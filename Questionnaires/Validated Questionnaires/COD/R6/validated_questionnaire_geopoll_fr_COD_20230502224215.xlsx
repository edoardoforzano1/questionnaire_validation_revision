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9"/>
  <workbookPr/>
  <mc:AlternateContent xmlns:mc="http://schemas.openxmlformats.org/markup-compatibility/2006">
    <mc:Choice Requires="x15">
      <x15ac:absPath xmlns:x15ac="http://schemas.microsoft.com/office/spreadsheetml/2010/11/ac" url="/Users/ibrahim.aliahmad/Documents/FAO/Working Files/Questionnaire Validation/Script/questionnaire_validation/NEW Questionnaire/Questionnaires/Validated Questionnaires/COD/R6/"/>
    </mc:Choice>
  </mc:AlternateContent>
  <xr:revisionPtr revIDLastSave="0" documentId="13_ncr:1_{3AF81038-7ACA-0246-A78B-E473CB56D1BA}" xr6:coauthVersionLast="47" xr6:coauthVersionMax="47" xr10:uidLastSave="{00000000-0000-0000-0000-000000000000}"/>
  <bookViews>
    <workbookView xWindow="0" yWindow="0" windowWidth="33600" windowHeight="21000" activeTab="4" xr2:uid="{00000000-000D-0000-FFFF-FFFF00000000}"/>
  </bookViews>
  <sheets>
    <sheet name="survey" sheetId="1" r:id="rId1"/>
    <sheet name="New Durations" sheetId="2" state="hidden" r:id="rId2"/>
    <sheet name="Crop list" sheetId="3" state="hidden" r:id="rId3"/>
    <sheet name="Additional information" sheetId="4" state="hidden" r:id="rId4"/>
    <sheet name="Admin 2 info1" sheetId="6" r:id="rId5"/>
  </sheets>
  <definedNames>
    <definedName name="_xlnm._FilterDatabase" localSheetId="2" hidden="1">'Crop list'!$C$3:$F$93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9" i="4" l="1"/>
  <c r="D18" i="4"/>
  <c r="D17" i="4"/>
  <c r="D9" i="4"/>
  <c r="D83" i="3"/>
  <c r="D82" i="3"/>
  <c r="D67" i="3"/>
  <c r="D66" i="3"/>
  <c r="D51" i="3"/>
  <c r="D50" i="3"/>
  <c r="D35" i="3"/>
  <c r="D34" i="3"/>
  <c r="D19" i="3"/>
  <c r="D18" i="3"/>
  <c r="D4" i="3" a="1"/>
  <c r="D81" i="3" s="1"/>
  <c r="D4" i="3"/>
  <c r="Z240" i="1"/>
  <c r="Y240" i="1"/>
  <c r="G240" i="1"/>
  <c r="E240" i="1"/>
  <c r="Y239" i="1"/>
  <c r="Z239" i="1" s="1"/>
  <c r="G239" i="1"/>
  <c r="E239" i="1"/>
  <c r="Z238" i="1"/>
  <c r="Y238" i="1"/>
  <c r="Z237" i="1"/>
  <c r="Y237" i="1"/>
  <c r="G237" i="1"/>
  <c r="E237" i="1"/>
  <c r="Z236" i="1"/>
  <c r="Y236" i="1"/>
  <c r="G236" i="1"/>
  <c r="E236" i="1"/>
  <c r="Z235" i="1"/>
  <c r="Y235" i="1"/>
  <c r="G235" i="1"/>
  <c r="E235" i="1"/>
  <c r="Z234" i="1"/>
  <c r="Y234" i="1"/>
  <c r="G234" i="1"/>
  <c r="E234" i="1"/>
  <c r="Z233" i="1"/>
  <c r="Y233" i="1"/>
  <c r="G233" i="1"/>
  <c r="E233" i="1"/>
  <c r="Z232" i="1"/>
  <c r="Y232" i="1"/>
  <c r="G232" i="1"/>
  <c r="E232" i="1"/>
  <c r="Z231" i="1"/>
  <c r="Y231" i="1"/>
  <c r="G231" i="1"/>
  <c r="E231" i="1"/>
  <c r="Z230" i="1"/>
  <c r="Y230" i="1"/>
  <c r="Z229" i="1"/>
  <c r="Y229" i="1"/>
  <c r="Z228" i="1"/>
  <c r="Y228" i="1"/>
  <c r="G228" i="1"/>
  <c r="E228" i="1"/>
  <c r="Z227" i="1"/>
  <c r="Y227" i="1"/>
  <c r="Z226" i="1"/>
  <c r="Y226" i="1"/>
  <c r="G226" i="1"/>
  <c r="E226" i="1"/>
  <c r="Y225" i="1"/>
  <c r="Z225" i="1" s="1"/>
  <c r="G225" i="1"/>
  <c r="E225" i="1"/>
  <c r="Z224" i="1"/>
  <c r="Y224" i="1"/>
  <c r="Z223" i="1"/>
  <c r="Y223" i="1"/>
  <c r="G223" i="1"/>
  <c r="E223" i="1"/>
  <c r="Y222" i="1"/>
  <c r="Z222" i="1" s="1"/>
  <c r="G222" i="1"/>
  <c r="E222" i="1"/>
  <c r="Z221" i="1"/>
  <c r="Y221" i="1"/>
  <c r="Z220" i="1"/>
  <c r="Y220" i="1"/>
  <c r="G220" i="1"/>
  <c r="E220" i="1"/>
  <c r="Z219" i="1"/>
  <c r="Y219" i="1"/>
  <c r="G219" i="1"/>
  <c r="E219" i="1"/>
  <c r="Z218" i="1"/>
  <c r="Y218" i="1"/>
  <c r="G218" i="1"/>
  <c r="E218" i="1"/>
  <c r="Z217" i="1"/>
  <c r="Y217" i="1"/>
  <c r="G217" i="1"/>
  <c r="E217" i="1"/>
  <c r="Z216" i="1"/>
  <c r="Y216" i="1"/>
  <c r="G216" i="1"/>
  <c r="E216" i="1"/>
  <c r="Z215" i="1"/>
  <c r="Y215" i="1"/>
  <c r="G215" i="1"/>
  <c r="E215" i="1"/>
  <c r="Z214" i="1"/>
  <c r="Y214" i="1"/>
  <c r="G214" i="1"/>
  <c r="E214" i="1"/>
  <c r="Z213" i="1"/>
  <c r="Y213" i="1"/>
  <c r="G213" i="1"/>
  <c r="E213" i="1"/>
  <c r="Z212" i="1"/>
  <c r="Y212" i="1"/>
  <c r="G212" i="1"/>
  <c r="E212" i="1"/>
  <c r="Z211" i="1"/>
  <c r="Y211" i="1"/>
  <c r="G211" i="1"/>
  <c r="E211" i="1"/>
  <c r="Z210" i="1"/>
  <c r="Y210" i="1"/>
  <c r="G210" i="1"/>
  <c r="E210" i="1"/>
  <c r="Z209" i="1"/>
  <c r="Y209" i="1"/>
  <c r="G209" i="1"/>
  <c r="E209" i="1"/>
  <c r="Z208" i="1"/>
  <c r="Y208" i="1"/>
  <c r="G208" i="1"/>
  <c r="E208" i="1"/>
  <c r="Z207" i="1"/>
  <c r="Y207" i="1"/>
  <c r="G207" i="1"/>
  <c r="E207" i="1"/>
  <c r="Z206" i="1"/>
  <c r="Y206" i="1"/>
  <c r="G206" i="1"/>
  <c r="E206" i="1"/>
  <c r="Z205" i="1"/>
  <c r="Y205" i="1"/>
  <c r="G205" i="1"/>
  <c r="E205" i="1"/>
  <c r="Y204" i="1"/>
  <c r="Z204" i="1" s="1"/>
  <c r="G204" i="1"/>
  <c r="E204" i="1"/>
  <c r="Z203" i="1"/>
  <c r="Y203" i="1"/>
  <c r="G203" i="1"/>
  <c r="E203" i="1"/>
  <c r="Z202" i="1"/>
  <c r="Y202" i="1"/>
  <c r="G202" i="1"/>
  <c r="E202" i="1"/>
  <c r="A202" i="1"/>
  <c r="A203" i="1" s="1"/>
  <c r="A204" i="1" s="1"/>
  <c r="A205" i="1" s="1"/>
  <c r="A206" i="1" s="1"/>
  <c r="A207" i="1" s="1"/>
  <c r="A208" i="1" s="1"/>
  <c r="A209" i="1" s="1"/>
  <c r="A210" i="1" s="1"/>
  <c r="A211" i="1" s="1"/>
  <c r="A212" i="1" s="1"/>
  <c r="A213" i="1" s="1"/>
  <c r="A215" i="1" s="1"/>
  <c r="A216" i="1" s="1"/>
  <c r="A217" i="1" s="1"/>
  <c r="A218" i="1" s="1"/>
  <c r="A219" i="1" s="1"/>
  <c r="A220" i="1" s="1"/>
  <c r="A222" i="1" s="1"/>
  <c r="A223" i="1" s="1"/>
  <c r="A225" i="1" s="1"/>
  <c r="A226" i="1" s="1"/>
  <c r="Z201" i="1"/>
  <c r="Y201" i="1"/>
  <c r="G201" i="1"/>
  <c r="E201" i="1"/>
  <c r="A201" i="1"/>
  <c r="Z200" i="1"/>
  <c r="Y200" i="1"/>
  <c r="G200" i="1"/>
  <c r="E200" i="1"/>
  <c r="A200" i="1"/>
  <c r="Z199" i="1"/>
  <c r="Y199" i="1"/>
  <c r="G199" i="1"/>
  <c r="E199" i="1"/>
  <c r="Z198" i="1"/>
  <c r="Y198" i="1"/>
  <c r="G198" i="1"/>
  <c r="E198" i="1"/>
  <c r="A198" i="1"/>
  <c r="A199" i="1" s="1"/>
  <c r="Z197" i="1"/>
  <c r="Y197" i="1"/>
  <c r="G197" i="1"/>
  <c r="E197" i="1"/>
  <c r="A197" i="1"/>
  <c r="Z196" i="1"/>
  <c r="Y196" i="1"/>
  <c r="G196" i="1"/>
  <c r="E196" i="1"/>
  <c r="A196" i="1"/>
  <c r="Z195" i="1"/>
  <c r="Y195" i="1"/>
  <c r="G195" i="1"/>
  <c r="E195" i="1"/>
  <c r="Z194" i="1"/>
  <c r="Y194" i="1"/>
  <c r="G194" i="1"/>
  <c r="E194" i="1"/>
  <c r="Z193" i="1"/>
  <c r="Y193" i="1"/>
  <c r="G193" i="1"/>
  <c r="E193" i="1"/>
  <c r="A193" i="1"/>
  <c r="A194" i="1" s="1"/>
  <c r="A195" i="1" s="1"/>
  <c r="Z192" i="1"/>
  <c r="Y192" i="1"/>
  <c r="G192" i="1"/>
  <c r="E192" i="1"/>
  <c r="Z191" i="1"/>
  <c r="Y191" i="1"/>
  <c r="G191" i="1"/>
  <c r="E191" i="1"/>
  <c r="Z190" i="1"/>
  <c r="Y190" i="1"/>
  <c r="G190" i="1"/>
  <c r="E190" i="1"/>
  <c r="Z189" i="1"/>
  <c r="Y189" i="1"/>
  <c r="G189" i="1"/>
  <c r="E189" i="1"/>
  <c r="Y188" i="1"/>
  <c r="Z188" i="1" s="1"/>
  <c r="G188" i="1"/>
  <c r="E188" i="1"/>
  <c r="Z187" i="1"/>
  <c r="Y187" i="1"/>
  <c r="G187" i="1"/>
  <c r="E187" i="1"/>
  <c r="Y186" i="1"/>
  <c r="Z186" i="1" s="1"/>
  <c r="G186" i="1"/>
  <c r="E186" i="1"/>
  <c r="Y185" i="1"/>
  <c r="Z185" i="1" s="1"/>
  <c r="G185" i="1"/>
  <c r="E185" i="1"/>
  <c r="Y184" i="1"/>
  <c r="Z184" i="1" s="1"/>
  <c r="G184" i="1"/>
  <c r="E184" i="1"/>
  <c r="Y183" i="1"/>
  <c r="Z183" i="1" s="1"/>
  <c r="G183" i="1"/>
  <c r="E183" i="1"/>
  <c r="Y182" i="1"/>
  <c r="Z182" i="1" s="1"/>
  <c r="G182" i="1"/>
  <c r="E182" i="1"/>
  <c r="Y181" i="1"/>
  <c r="Z181" i="1" s="1"/>
  <c r="G181" i="1"/>
  <c r="E181" i="1"/>
  <c r="Z180" i="1"/>
  <c r="Y180" i="1"/>
  <c r="G180" i="1"/>
  <c r="E180" i="1"/>
  <c r="Y179" i="1"/>
  <c r="Z179" i="1" s="1"/>
  <c r="G179" i="1"/>
  <c r="E179" i="1"/>
  <c r="Y178" i="1"/>
  <c r="Z178" i="1" s="1"/>
  <c r="G178" i="1"/>
  <c r="E178" i="1"/>
  <c r="Y177" i="1"/>
  <c r="Z177" i="1" s="1"/>
  <c r="G177" i="1"/>
  <c r="E177" i="1"/>
  <c r="Z176" i="1"/>
  <c r="Y176" i="1"/>
  <c r="Z175" i="1"/>
  <c r="Y175" i="1"/>
  <c r="Q175" i="1"/>
  <c r="Q174" i="1"/>
  <c r="Y174" i="1" s="1"/>
  <c r="Z174" i="1" s="1"/>
  <c r="G174" i="1"/>
  <c r="E174" i="1"/>
  <c r="Z173" i="1"/>
  <c r="Y173" i="1"/>
  <c r="Q173" i="1"/>
  <c r="Q172" i="1"/>
  <c r="Y172" i="1" s="1"/>
  <c r="Z172" i="1" s="1"/>
  <c r="G172" i="1"/>
  <c r="E172" i="1"/>
  <c r="Q171" i="1"/>
  <c r="Y171" i="1" s="1"/>
  <c r="Z171" i="1" s="1"/>
  <c r="G171" i="1"/>
  <c r="E171" i="1"/>
  <c r="Z170" i="1"/>
  <c r="Y170" i="1"/>
  <c r="Q170" i="1"/>
  <c r="Q169" i="1"/>
  <c r="Y169" i="1" s="1"/>
  <c r="Z169" i="1" s="1"/>
  <c r="G169" i="1"/>
  <c r="E169" i="1"/>
  <c r="Z168" i="1"/>
  <c r="Y168" i="1"/>
  <c r="Z167" i="1"/>
  <c r="Y167" i="1"/>
  <c r="Q167" i="1"/>
  <c r="Z166" i="1"/>
  <c r="Y166" i="1"/>
  <c r="Q166" i="1"/>
  <c r="G166" i="1"/>
  <c r="E166" i="1"/>
  <c r="Q165" i="1"/>
  <c r="Y165" i="1" s="1"/>
  <c r="Z165" i="1" s="1"/>
  <c r="G165" i="1"/>
  <c r="E165" i="1"/>
  <c r="Q164" i="1"/>
  <c r="Y164" i="1" s="1"/>
  <c r="Z164" i="1" s="1"/>
  <c r="G164" i="1"/>
  <c r="E164" i="1"/>
  <c r="Z163" i="1"/>
  <c r="Y163" i="1"/>
  <c r="Q163" i="1"/>
  <c r="Q162" i="1"/>
  <c r="Y162" i="1" s="1"/>
  <c r="Z162" i="1" s="1"/>
  <c r="G162" i="1"/>
  <c r="E162" i="1"/>
  <c r="Z161" i="1"/>
  <c r="Y161" i="1"/>
  <c r="Q161" i="1"/>
  <c r="Q160" i="1"/>
  <c r="Y160" i="1" s="1"/>
  <c r="Z160" i="1" s="1"/>
  <c r="G160" i="1"/>
  <c r="E160" i="1"/>
  <c r="Z159" i="1"/>
  <c r="Y159" i="1"/>
  <c r="Q159" i="1"/>
  <c r="Q158" i="1"/>
  <c r="Y158" i="1" s="1"/>
  <c r="Z158" i="1" s="1"/>
  <c r="G158" i="1"/>
  <c r="E158" i="1"/>
  <c r="Z157" i="1"/>
  <c r="Y157" i="1"/>
  <c r="Z156" i="1"/>
  <c r="Y156" i="1"/>
  <c r="Q156" i="1"/>
  <c r="Q155" i="1"/>
  <c r="Y155" i="1" s="1"/>
  <c r="Z155" i="1" s="1"/>
  <c r="G155" i="1"/>
  <c r="E155" i="1"/>
  <c r="Z154" i="1"/>
  <c r="Y154" i="1"/>
  <c r="Q154" i="1"/>
  <c r="Q153" i="1"/>
  <c r="Y153" i="1" s="1"/>
  <c r="Z153" i="1" s="1"/>
  <c r="G153" i="1"/>
  <c r="E153" i="1"/>
  <c r="Q152" i="1"/>
  <c r="Y152" i="1" s="1"/>
  <c r="Z152" i="1" s="1"/>
  <c r="G152" i="1"/>
  <c r="E152" i="1"/>
  <c r="Z151" i="1"/>
  <c r="Y151" i="1"/>
  <c r="Q151" i="1"/>
  <c r="Q150" i="1"/>
  <c r="Y150" i="1" s="1"/>
  <c r="Z150" i="1" s="1"/>
  <c r="G150" i="1"/>
  <c r="E150" i="1"/>
  <c r="Z149" i="1"/>
  <c r="Y149" i="1"/>
  <c r="Z148" i="1"/>
  <c r="Y148" i="1"/>
  <c r="Q148" i="1"/>
  <c r="Q147" i="1"/>
  <c r="Y147" i="1" s="1"/>
  <c r="Z147" i="1" s="1"/>
  <c r="G147" i="1"/>
  <c r="E147" i="1"/>
  <c r="Q146" i="1"/>
  <c r="Y146" i="1" s="1"/>
  <c r="Z146" i="1" s="1"/>
  <c r="G146" i="1"/>
  <c r="E146" i="1"/>
  <c r="A146" i="1"/>
  <c r="A147" i="1" s="1"/>
  <c r="A150" i="1" s="1"/>
  <c r="A152" i="1" s="1"/>
  <c r="A153" i="1" s="1"/>
  <c r="A155" i="1" s="1"/>
  <c r="A158" i="1" s="1"/>
  <c r="A160" i="1" s="1"/>
  <c r="A162" i="1" s="1"/>
  <c r="A164" i="1" s="1"/>
  <c r="A165" i="1" s="1"/>
  <c r="A166" i="1" s="1"/>
  <c r="A169" i="1" s="1"/>
  <c r="A171" i="1" s="1"/>
  <c r="A172" i="1" s="1"/>
  <c r="A174" i="1" s="1"/>
  <c r="A177" i="1" s="1"/>
  <c r="A178" i="1" s="1"/>
  <c r="A179" i="1" s="1"/>
  <c r="A180" i="1" s="1"/>
  <c r="A181" i="1" s="1"/>
  <c r="A182" i="1" s="1"/>
  <c r="A183" i="1" s="1"/>
  <c r="A184" i="1" s="1"/>
  <c r="A185" i="1" s="1"/>
  <c r="A186" i="1" s="1"/>
  <c r="A187" i="1" s="1"/>
  <c r="A188" i="1" s="1"/>
  <c r="A189" i="1" s="1"/>
  <c r="A190" i="1" s="1"/>
  <c r="A191" i="1" s="1"/>
  <c r="A192" i="1" s="1"/>
  <c r="Z145" i="1"/>
  <c r="Y145" i="1"/>
  <c r="Q145" i="1"/>
  <c r="Z144" i="1"/>
  <c r="Y144" i="1"/>
  <c r="Q144" i="1"/>
  <c r="G144" i="1"/>
  <c r="E144" i="1"/>
  <c r="Q143" i="1"/>
  <c r="Y143" i="1" s="1"/>
  <c r="Z143" i="1" s="1"/>
  <c r="G143" i="1"/>
  <c r="E143" i="1"/>
  <c r="Q142" i="1"/>
  <c r="Y142" i="1" s="1"/>
  <c r="Z142" i="1" s="1"/>
  <c r="G142" i="1"/>
  <c r="E142" i="1"/>
  <c r="Y141" i="1"/>
  <c r="Z141" i="1" s="1"/>
  <c r="Q141" i="1"/>
  <c r="G141" i="1"/>
  <c r="E141" i="1"/>
  <c r="Z140" i="1"/>
  <c r="Y140" i="1"/>
  <c r="Q140" i="1"/>
  <c r="Q139" i="1"/>
  <c r="Y139" i="1" s="1"/>
  <c r="Z139" i="1" s="1"/>
  <c r="G139" i="1"/>
  <c r="E139" i="1"/>
  <c r="Z138" i="1"/>
  <c r="Y138" i="1"/>
  <c r="Q138" i="1"/>
  <c r="Q137" i="1"/>
  <c r="Y137" i="1" s="1"/>
  <c r="Z137" i="1" s="1"/>
  <c r="G137" i="1"/>
  <c r="E137" i="1"/>
  <c r="Z136" i="1"/>
  <c r="Y136" i="1"/>
  <c r="Z135" i="1"/>
  <c r="Y135" i="1"/>
  <c r="Q135" i="1"/>
  <c r="Q134" i="1"/>
  <c r="Y134" i="1" s="1"/>
  <c r="Z134" i="1" s="1"/>
  <c r="G134" i="1"/>
  <c r="E134" i="1"/>
  <c r="Z133" i="1"/>
  <c r="Y133" i="1"/>
  <c r="Q133" i="1"/>
  <c r="Q132" i="1"/>
  <c r="Y132" i="1" s="1"/>
  <c r="Z132" i="1" s="1"/>
  <c r="G132" i="1"/>
  <c r="E132" i="1"/>
  <c r="Y131" i="1"/>
  <c r="Z131" i="1" s="1"/>
  <c r="Q131" i="1"/>
  <c r="G131" i="1"/>
  <c r="E131" i="1"/>
  <c r="Z130" i="1"/>
  <c r="Y130" i="1"/>
  <c r="Q130" i="1"/>
  <c r="Q129" i="1"/>
  <c r="Y129" i="1" s="1"/>
  <c r="Z129" i="1" s="1"/>
  <c r="G129" i="1"/>
  <c r="E129" i="1"/>
  <c r="Z128" i="1"/>
  <c r="Y128" i="1"/>
  <c r="Z127" i="1"/>
  <c r="Y127" i="1"/>
  <c r="Q127" i="1"/>
  <c r="Z126" i="1"/>
  <c r="Y126" i="1"/>
  <c r="Q126" i="1"/>
  <c r="G126" i="1"/>
  <c r="E126" i="1"/>
  <c r="Z125" i="1"/>
  <c r="Y125" i="1"/>
  <c r="Q125" i="1"/>
  <c r="Q124" i="1"/>
  <c r="Y124" i="1" s="1"/>
  <c r="Z124" i="1" s="1"/>
  <c r="G124" i="1"/>
  <c r="E124" i="1"/>
  <c r="Q123" i="1"/>
  <c r="Y123" i="1" s="1"/>
  <c r="Z123" i="1" s="1"/>
  <c r="G123" i="1"/>
  <c r="E123" i="1"/>
  <c r="Z122" i="1"/>
  <c r="Y122" i="1"/>
  <c r="Q122" i="1"/>
  <c r="Z121" i="1"/>
  <c r="Q121" i="1"/>
  <c r="Y121" i="1" s="1"/>
  <c r="G121" i="1"/>
  <c r="E121" i="1"/>
  <c r="Z120" i="1"/>
  <c r="Q120" i="1"/>
  <c r="Y120" i="1" s="1"/>
  <c r="G120" i="1"/>
  <c r="E120" i="1"/>
  <c r="Z119" i="1"/>
  <c r="Q119" i="1"/>
  <c r="Y119" i="1" s="1"/>
  <c r="G119" i="1"/>
  <c r="E119" i="1"/>
  <c r="Z118" i="1"/>
  <c r="Q118" i="1"/>
  <c r="Y118" i="1" s="1"/>
  <c r="G118" i="1"/>
  <c r="E118" i="1"/>
  <c r="Q117" i="1"/>
  <c r="Y117" i="1" s="1"/>
  <c r="Z117" i="1" s="1"/>
  <c r="G117" i="1"/>
  <c r="E117" i="1"/>
  <c r="Z116" i="1"/>
  <c r="Y116" i="1"/>
  <c r="Q116" i="1"/>
  <c r="Q115" i="1"/>
  <c r="Y115" i="1" s="1"/>
  <c r="Z115" i="1" s="1"/>
  <c r="G115" i="1"/>
  <c r="E115" i="1"/>
  <c r="Z114" i="1"/>
  <c r="Y114" i="1"/>
  <c r="Q114" i="1"/>
  <c r="Z113" i="1"/>
  <c r="Q113" i="1"/>
  <c r="Y113" i="1" s="1"/>
  <c r="G113" i="1"/>
  <c r="E113" i="1"/>
  <c r="Z112" i="1"/>
  <c r="Y112" i="1"/>
  <c r="Q112" i="1"/>
  <c r="Q111" i="1"/>
  <c r="Y111" i="1" s="1"/>
  <c r="Z111" i="1" s="1"/>
  <c r="G111" i="1"/>
  <c r="E111" i="1"/>
  <c r="Z110" i="1"/>
  <c r="Y110" i="1"/>
  <c r="Q110" i="1"/>
  <c r="Q109" i="1"/>
  <c r="Y109" i="1" s="1"/>
  <c r="Z109" i="1" s="1"/>
  <c r="G109" i="1"/>
  <c r="E109" i="1"/>
  <c r="Q108" i="1"/>
  <c r="Y108" i="1" s="1"/>
  <c r="Z108" i="1" s="1"/>
  <c r="G108" i="1"/>
  <c r="E108" i="1"/>
  <c r="A108" i="1"/>
  <c r="A111" i="1" s="1"/>
  <c r="A113" i="1" s="1"/>
  <c r="A115" i="1" s="1"/>
  <c r="A117" i="1" s="1"/>
  <c r="A118" i="1" s="1"/>
  <c r="A119" i="1" s="1"/>
  <c r="A120" i="1" s="1"/>
  <c r="A121" i="1" s="1"/>
  <c r="A123" i="1" s="1"/>
  <c r="A124" i="1" s="1"/>
  <c r="Z107" i="1"/>
  <c r="Y107" i="1"/>
  <c r="Q107" i="1"/>
  <c r="Q106" i="1"/>
  <c r="Y106" i="1" s="1"/>
  <c r="Z106" i="1" s="1"/>
  <c r="G106" i="1"/>
  <c r="E106" i="1"/>
  <c r="Q105" i="1"/>
  <c r="Y105" i="1" s="1"/>
  <c r="Z105" i="1" s="1"/>
  <c r="G105" i="1"/>
  <c r="E105" i="1"/>
  <c r="Z104" i="1"/>
  <c r="Y104" i="1"/>
  <c r="Q104" i="1"/>
  <c r="Q103" i="1"/>
  <c r="Y103" i="1" s="1"/>
  <c r="Z103" i="1" s="1"/>
  <c r="G103" i="1"/>
  <c r="E103" i="1"/>
  <c r="A103" i="1"/>
  <c r="Z102" i="1"/>
  <c r="Y102" i="1"/>
  <c r="Z101" i="1"/>
  <c r="Y101" i="1"/>
  <c r="Q101" i="1"/>
  <c r="Z100" i="1"/>
  <c r="Y100" i="1"/>
  <c r="Q100" i="1"/>
  <c r="G100" i="1"/>
  <c r="E100" i="1"/>
  <c r="Q99" i="1"/>
  <c r="Y99" i="1" s="1"/>
  <c r="Z99" i="1" s="1"/>
  <c r="G99" i="1"/>
  <c r="E99" i="1"/>
  <c r="A99" i="1"/>
  <c r="Z98" i="1"/>
  <c r="Y98" i="1"/>
  <c r="Q98" i="1"/>
  <c r="Q97" i="1"/>
  <c r="Y97" i="1" s="1"/>
  <c r="Z97" i="1" s="1"/>
  <c r="G97" i="1"/>
  <c r="E97" i="1"/>
  <c r="A97" i="1"/>
  <c r="Z96" i="1"/>
  <c r="Y96" i="1"/>
  <c r="Q96" i="1"/>
  <c r="Z95" i="1"/>
  <c r="Y95" i="1"/>
  <c r="Q95" i="1"/>
  <c r="G95" i="1"/>
  <c r="E95" i="1"/>
  <c r="Z94" i="1"/>
  <c r="Q94" i="1"/>
  <c r="Y94" i="1" s="1"/>
  <c r="G94" i="1"/>
  <c r="E94" i="1"/>
  <c r="Z93" i="1"/>
  <c r="Y93" i="1"/>
  <c r="Q93" i="1"/>
  <c r="Q92" i="1"/>
  <c r="Y92" i="1" s="1"/>
  <c r="Z92" i="1" s="1"/>
  <c r="G92" i="1"/>
  <c r="E92" i="1"/>
  <c r="Q91" i="1"/>
  <c r="Y91" i="1" s="1"/>
  <c r="Z91" i="1" s="1"/>
  <c r="G91" i="1"/>
  <c r="E91" i="1"/>
  <c r="Q90" i="1"/>
  <c r="Y90" i="1" s="1"/>
  <c r="Z90" i="1" s="1"/>
  <c r="G90" i="1"/>
  <c r="E90" i="1"/>
  <c r="Q89" i="1"/>
  <c r="Y89" i="1" s="1"/>
  <c r="Z89" i="1" s="1"/>
  <c r="G89" i="1"/>
  <c r="E89" i="1"/>
  <c r="Z88" i="1"/>
  <c r="Y88" i="1"/>
  <c r="Q88" i="1"/>
  <c r="Q87" i="1"/>
  <c r="Y87" i="1" s="1"/>
  <c r="Z87" i="1" s="1"/>
  <c r="G87" i="1"/>
  <c r="E87" i="1"/>
  <c r="A87" i="1"/>
  <c r="A89" i="1" s="1"/>
  <c r="A94" i="1" s="1"/>
  <c r="A95" i="1" s="1"/>
  <c r="Z86" i="1"/>
  <c r="Y86" i="1"/>
  <c r="Q86" i="1"/>
  <c r="Z85" i="1"/>
  <c r="Q85" i="1"/>
  <c r="Y85" i="1" s="1"/>
  <c r="G85" i="1"/>
  <c r="E85" i="1"/>
  <c r="Z84" i="1"/>
  <c r="Q84" i="1"/>
  <c r="Y84" i="1" s="1"/>
  <c r="G84" i="1"/>
  <c r="E84" i="1"/>
  <c r="A84" i="1"/>
  <c r="Z83" i="1"/>
  <c r="Q83" i="1"/>
  <c r="Y83" i="1" s="1"/>
  <c r="G83" i="1"/>
  <c r="E83" i="1"/>
  <c r="Z82" i="1"/>
  <c r="Y82" i="1"/>
  <c r="Q82" i="1"/>
  <c r="Y81" i="1"/>
  <c r="Z81" i="1" s="1"/>
  <c r="Q81" i="1"/>
  <c r="G81" i="1"/>
  <c r="E81" i="1"/>
  <c r="Q80" i="1"/>
  <c r="Y80" i="1" s="1"/>
  <c r="Z80" i="1" s="1"/>
  <c r="G80" i="1"/>
  <c r="E80" i="1"/>
  <c r="Z79" i="1"/>
  <c r="Y79" i="1"/>
  <c r="Q79" i="1"/>
  <c r="G79" i="1"/>
  <c r="E79" i="1"/>
  <c r="Q78" i="1"/>
  <c r="Y78" i="1" s="1"/>
  <c r="Z78" i="1" s="1"/>
  <c r="G78" i="1"/>
  <c r="E78" i="1"/>
  <c r="A78" i="1"/>
  <c r="Z77" i="1"/>
  <c r="Y77" i="1"/>
  <c r="Q77" i="1"/>
  <c r="Q76" i="1"/>
  <c r="Y76" i="1" s="1"/>
  <c r="Z76" i="1" s="1"/>
  <c r="G76" i="1"/>
  <c r="E76" i="1"/>
  <c r="A76" i="1"/>
  <c r="Z75" i="1"/>
  <c r="Y75" i="1"/>
  <c r="Q75" i="1"/>
  <c r="Z74" i="1"/>
  <c r="Q74" i="1"/>
  <c r="Y74" i="1" s="1"/>
  <c r="G74" i="1"/>
  <c r="E74" i="1"/>
  <c r="Z73" i="1"/>
  <c r="Q73" i="1"/>
  <c r="Y73" i="1" s="1"/>
  <c r="G73" i="1"/>
  <c r="E73" i="1"/>
  <c r="Z72" i="1"/>
  <c r="Q72" i="1"/>
  <c r="Y72" i="1" s="1"/>
  <c r="G72" i="1"/>
  <c r="E72" i="1"/>
  <c r="Z71" i="1"/>
  <c r="Q71" i="1"/>
  <c r="Y71" i="1" s="1"/>
  <c r="G71" i="1"/>
  <c r="E71" i="1"/>
  <c r="Z70" i="1"/>
  <c r="Y70" i="1"/>
  <c r="Q70" i="1"/>
  <c r="Q69" i="1"/>
  <c r="Y69" i="1" s="1"/>
  <c r="Z69" i="1" s="1"/>
  <c r="G69" i="1"/>
  <c r="E69" i="1"/>
  <c r="Y68" i="1"/>
  <c r="Z68" i="1" s="1"/>
  <c r="Q68" i="1"/>
  <c r="G68" i="1"/>
  <c r="E68" i="1"/>
  <c r="Q67" i="1"/>
  <c r="Y67" i="1" s="1"/>
  <c r="Z67" i="1" s="1"/>
  <c r="G67" i="1"/>
  <c r="E67" i="1"/>
  <c r="Q66" i="1"/>
  <c r="Y66" i="1" s="1"/>
  <c r="Z66" i="1" s="1"/>
  <c r="G66" i="1"/>
  <c r="E66" i="1"/>
  <c r="Z65" i="1"/>
  <c r="Y65" i="1"/>
  <c r="Q65" i="1"/>
  <c r="Z64" i="1"/>
  <c r="Y64" i="1"/>
  <c r="Z63" i="1"/>
  <c r="Q63" i="1"/>
  <c r="Y63" i="1" s="1"/>
  <c r="G63" i="1"/>
  <c r="E63" i="1"/>
  <c r="A63" i="1"/>
  <c r="A66" i="1" s="1"/>
  <c r="Z62" i="1"/>
  <c r="Q62" i="1"/>
  <c r="Y62" i="1" s="1"/>
  <c r="G62" i="1"/>
  <c r="E62" i="1"/>
  <c r="Z61" i="1"/>
  <c r="Y61" i="1"/>
  <c r="Q61" i="1"/>
  <c r="G61" i="1"/>
  <c r="E61" i="1"/>
  <c r="Z60" i="1"/>
  <c r="Q60" i="1"/>
  <c r="Y60" i="1" s="1"/>
  <c r="G60" i="1"/>
  <c r="E60" i="1"/>
  <c r="A60" i="1"/>
  <c r="A61" i="1" s="1"/>
  <c r="A62" i="1" s="1"/>
  <c r="Z59" i="1"/>
  <c r="Y59" i="1"/>
  <c r="Q59" i="1"/>
  <c r="G59" i="1"/>
  <c r="E59" i="1"/>
  <c r="A59" i="1"/>
  <c r="Z58" i="1"/>
  <c r="Y58" i="1"/>
  <c r="Q58" i="1"/>
  <c r="Q57" i="1"/>
  <c r="Y57" i="1" s="1"/>
  <c r="Z57" i="1" s="1"/>
  <c r="G57" i="1"/>
  <c r="E57" i="1"/>
  <c r="Q56" i="1"/>
  <c r="Y56" i="1" s="1"/>
  <c r="Z56" i="1" s="1"/>
  <c r="G56" i="1"/>
  <c r="E56" i="1"/>
  <c r="Y55" i="1"/>
  <c r="Z55" i="1" s="1"/>
  <c r="Q55" i="1"/>
  <c r="G55" i="1"/>
  <c r="E55" i="1"/>
  <c r="Z54" i="1"/>
  <c r="Y54" i="1"/>
  <c r="Q54" i="1"/>
  <c r="Q53" i="1"/>
  <c r="Y53" i="1" s="1"/>
  <c r="Z53" i="1" s="1"/>
  <c r="G53" i="1"/>
  <c r="E53" i="1"/>
  <c r="Z52" i="1"/>
  <c r="Y52" i="1"/>
  <c r="Q52" i="1"/>
  <c r="Q51" i="1"/>
  <c r="Y51" i="1" s="1"/>
  <c r="Z51" i="1" s="1"/>
  <c r="G51" i="1"/>
  <c r="E51" i="1"/>
  <c r="Y50" i="1"/>
  <c r="Z50" i="1" s="1"/>
  <c r="G50" i="1"/>
  <c r="E50" i="1"/>
  <c r="A50" i="1"/>
  <c r="A51" i="1" s="1"/>
  <c r="A53" i="1" s="1"/>
  <c r="Z49" i="1"/>
  <c r="Y49" i="1"/>
  <c r="Q49" i="1"/>
  <c r="Z48" i="1"/>
  <c r="Y48" i="1"/>
  <c r="Z47" i="1"/>
  <c r="Y47" i="1"/>
  <c r="Q47" i="1"/>
  <c r="Q46" i="1"/>
  <c r="Y46" i="1" s="1"/>
  <c r="Z46" i="1" s="1"/>
  <c r="G46" i="1"/>
  <c r="E46" i="1"/>
  <c r="G45" i="1"/>
  <c r="E45" i="1"/>
  <c r="Q36" i="1"/>
  <c r="Y36" i="1" s="1"/>
  <c r="Z36" i="1" s="1"/>
  <c r="G36" i="1"/>
  <c r="E36" i="1"/>
  <c r="A36" i="1"/>
  <c r="Q35" i="1"/>
  <c r="Y35" i="1" s="1"/>
  <c r="Z35" i="1" s="1"/>
  <c r="G35" i="1"/>
  <c r="E35" i="1"/>
  <c r="Z34" i="1"/>
  <c r="Y34" i="1"/>
  <c r="Q34" i="1"/>
  <c r="Z33" i="1"/>
  <c r="Q33" i="1"/>
  <c r="Y33" i="1" s="1"/>
  <c r="G33" i="1"/>
  <c r="E33" i="1"/>
  <c r="Z32" i="1"/>
  <c r="Y32" i="1"/>
  <c r="Q32" i="1"/>
  <c r="G32" i="1"/>
  <c r="E32" i="1"/>
  <c r="Z31" i="1"/>
  <c r="Q31" i="1"/>
  <c r="Y31" i="1" s="1"/>
  <c r="G31" i="1"/>
  <c r="E31" i="1"/>
  <c r="Z30" i="1"/>
  <c r="Q30" i="1"/>
  <c r="Y30" i="1" s="1"/>
  <c r="G30" i="1"/>
  <c r="E30" i="1"/>
  <c r="Z29" i="1"/>
  <c r="Q29" i="1"/>
  <c r="Y29" i="1" s="1"/>
  <c r="G29" i="1"/>
  <c r="E29" i="1"/>
  <c r="Z28" i="1"/>
  <c r="Q28" i="1"/>
  <c r="Y28" i="1" s="1"/>
  <c r="G28" i="1"/>
  <c r="E28" i="1"/>
  <c r="Z27" i="1"/>
  <c r="Q27" i="1"/>
  <c r="Y27" i="1" s="1"/>
  <c r="G27" i="1"/>
  <c r="E27" i="1"/>
  <c r="Z26" i="1"/>
  <c r="Y26" i="1"/>
  <c r="Q26" i="1"/>
  <c r="G26" i="1"/>
  <c r="E26" i="1"/>
  <c r="Z25" i="1"/>
  <c r="Y25" i="1"/>
  <c r="Q25" i="1"/>
  <c r="Q24" i="1"/>
  <c r="Y24" i="1" s="1"/>
  <c r="Z24" i="1" s="1"/>
  <c r="G24" i="1"/>
  <c r="E24" i="1"/>
  <c r="A24" i="1"/>
  <c r="Q23" i="1"/>
  <c r="Y23" i="1" s="1"/>
  <c r="Z23" i="1" s="1"/>
  <c r="G23" i="1"/>
  <c r="E23" i="1"/>
  <c r="Q22" i="1"/>
  <c r="Y22" i="1" s="1"/>
  <c r="Z22" i="1" s="1"/>
  <c r="G22" i="1"/>
  <c r="E22" i="1"/>
  <c r="Q21" i="1"/>
  <c r="Y21" i="1" s="1"/>
  <c r="G21" i="1"/>
  <c r="E21" i="1"/>
  <c r="Z20" i="1"/>
  <c r="Y20" i="1"/>
  <c r="Z19" i="1"/>
  <c r="Y19" i="1"/>
  <c r="G19" i="1"/>
  <c r="E19" i="1"/>
  <c r="Z18" i="1"/>
  <c r="Y18" i="1"/>
  <c r="G18" i="1"/>
  <c r="E18" i="1"/>
  <c r="Z17" i="1"/>
  <c r="Y17" i="1"/>
  <c r="G17" i="1"/>
  <c r="E17" i="1"/>
  <c r="Z16" i="1"/>
  <c r="Y16" i="1"/>
  <c r="G16" i="1"/>
  <c r="E16" i="1"/>
  <c r="Z15" i="1"/>
  <c r="Y15" i="1"/>
  <c r="G15" i="1"/>
  <c r="E15" i="1"/>
  <c r="Z14" i="1"/>
  <c r="Y14" i="1"/>
  <c r="G14" i="1"/>
  <c r="E14" i="1"/>
  <c r="Z13" i="1"/>
  <c r="Y13" i="1"/>
  <c r="G13" i="1"/>
  <c r="E13" i="1"/>
  <c r="Z12" i="1"/>
  <c r="Y12" i="1"/>
  <c r="G12" i="1"/>
  <c r="E12" i="1"/>
  <c r="Z11" i="1"/>
  <c r="Y11" i="1"/>
  <c r="G11" i="1"/>
  <c r="E11" i="1"/>
  <c r="Z10" i="1"/>
  <c r="Y10" i="1"/>
  <c r="G10" i="1"/>
  <c r="E10" i="1"/>
  <c r="Z9" i="1"/>
  <c r="Y9" i="1"/>
  <c r="G9" i="1"/>
  <c r="E9" i="1"/>
  <c r="Z8" i="1"/>
  <c r="Y8" i="1"/>
  <c r="G8" i="1"/>
  <c r="E8" i="1"/>
  <c r="Z7" i="1"/>
  <c r="Y7" i="1"/>
  <c r="G7" i="1"/>
  <c r="E7" i="1"/>
  <c r="Y6" i="1"/>
  <c r="G6" i="1"/>
  <c r="E6" i="1"/>
  <c r="Z5" i="1"/>
  <c r="Y5" i="1"/>
  <c r="G5" i="1"/>
  <c r="E5" i="1"/>
  <c r="Z4" i="1"/>
  <c r="Y4" i="1"/>
  <c r="Z21" i="1" l="1"/>
  <c r="Y245" i="1"/>
  <c r="Y243" i="1"/>
  <c r="A131" i="1"/>
  <c r="A132" i="1" s="1"/>
  <c r="A134" i="1" s="1"/>
  <c r="A137" i="1" s="1"/>
  <c r="A139" i="1" s="1"/>
  <c r="A141" i="1" s="1"/>
  <c r="A142" i="1" s="1"/>
  <c r="A126" i="1"/>
  <c r="Y244" i="1"/>
  <c r="D38" i="3"/>
  <c r="D23" i="3"/>
  <c r="D10" i="3"/>
  <c r="D26" i="3"/>
  <c r="D42" i="3"/>
  <c r="D58" i="3"/>
  <c r="D74" i="3"/>
  <c r="D90" i="3"/>
  <c r="D21" i="3"/>
  <c r="D22" i="3"/>
  <c r="D39" i="3"/>
  <c r="D40" i="3"/>
  <c r="D11" i="3"/>
  <c r="D27" i="3"/>
  <c r="D43" i="3"/>
  <c r="D59" i="3"/>
  <c r="D75" i="3"/>
  <c r="D91" i="3"/>
  <c r="D20" i="3"/>
  <c r="D5" i="3"/>
  <c r="D54" i="3"/>
  <c r="D7" i="3"/>
  <c r="D41" i="3"/>
  <c r="D12" i="3"/>
  <c r="D28" i="3"/>
  <c r="D44" i="3"/>
  <c r="D60" i="3"/>
  <c r="D76" i="3"/>
  <c r="D92" i="3"/>
  <c r="D37" i="3"/>
  <c r="D56" i="3"/>
  <c r="D9" i="3"/>
  <c r="D13" i="3"/>
  <c r="D29" i="3"/>
  <c r="D45" i="3"/>
  <c r="D61" i="3"/>
  <c r="D77" i="3"/>
  <c r="D93" i="3"/>
  <c r="D36" i="3"/>
  <c r="D53" i="3"/>
  <c r="D6" i="3"/>
  <c r="D24" i="3"/>
  <c r="D73" i="3"/>
  <c r="D14" i="3"/>
  <c r="D30" i="3"/>
  <c r="D46" i="3"/>
  <c r="D62" i="3"/>
  <c r="D78" i="3"/>
  <c r="D84" i="3"/>
  <c r="D85" i="3"/>
  <c r="D70" i="3"/>
  <c r="D87" i="3"/>
  <c r="D88" i="3"/>
  <c r="D25" i="3"/>
  <c r="D15" i="3"/>
  <c r="D31" i="3"/>
  <c r="D47" i="3"/>
  <c r="D63" i="3"/>
  <c r="D79" i="3"/>
  <c r="D52" i="3"/>
  <c r="D71" i="3"/>
  <c r="D8" i="3"/>
  <c r="D89" i="3"/>
  <c r="Z6" i="1"/>
  <c r="Z243" i="1" s="1"/>
  <c r="D16" i="3"/>
  <c r="D32" i="3"/>
  <c r="D48" i="3"/>
  <c r="D64" i="3"/>
  <c r="D80" i="3"/>
  <c r="D68" i="3"/>
  <c r="D69" i="3"/>
  <c r="D86" i="3"/>
  <c r="D55" i="3"/>
  <c r="D72" i="3"/>
  <c r="D57" i="3"/>
  <c r="D17" i="3"/>
  <c r="D33" i="3"/>
  <c r="D49" i="3"/>
  <c r="D65" i="3"/>
</calcChain>
</file>

<file path=xl/sharedStrings.xml><?xml version="1.0" encoding="utf-8"?>
<sst xmlns="http://schemas.openxmlformats.org/spreadsheetml/2006/main" count="4008" uniqueCount="1836">
  <si>
    <t>GeoPoll Submission Form</t>
  </si>
  <si>
    <t>FAO - Household Questionnaire</t>
  </si>
  <si>
    <t>Additional notes</t>
  </si>
  <si>
    <t>Q #</t>
  </si>
  <si>
    <t>Q Name</t>
  </si>
  <si>
    <t>Suggested Qname</t>
  </si>
  <si>
    <t>English</t>
  </si>
  <si>
    <t>Length</t>
  </si>
  <si>
    <t>French</t>
  </si>
  <si>
    <t>Q Type</t>
  </si>
  <si>
    <t>Randomize</t>
  </si>
  <si>
    <t>Conditional</t>
  </si>
  <si>
    <t>Programming Instructions</t>
  </si>
  <si>
    <t>Skip Pattern</t>
  </si>
  <si>
    <t>Codes</t>
  </si>
  <si>
    <t xml:space="preserve">Default skip patterns &amp; conditional </t>
  </si>
  <si>
    <t>Specify skip pattern variable (from blue text)</t>
  </si>
  <si>
    <t>Estimated percentage of repondents</t>
  </si>
  <si>
    <t>Mandatory</t>
  </si>
  <si>
    <t>Duration (sec)</t>
  </si>
  <si>
    <t>Weighted duration</t>
  </si>
  <si>
    <t>Core questions only</t>
  </si>
  <si>
    <t>A. PRESENTATION OF THE SURVEY AND ELIGIBILITY CRITERIA SELECTION</t>
  </si>
  <si>
    <t>no</t>
  </si>
  <si>
    <t>NA</t>
  </si>
  <si>
    <t>Optin</t>
  </si>
  <si>
    <t>Open Ended</t>
  </si>
  <si>
    <t>Form Type - TextBox</t>
  </si>
  <si>
    <t>Any Response = phone_number</t>
  </si>
  <si>
    <t>phone_number</t>
  </si>
  <si>
    <t xml:space="preserve">Input the phone number that you are contacting: </t>
  </si>
  <si>
    <t xml:space="preserve">Saisir le numéro de téléphone que vous chercher à contacter: </t>
  </si>
  <si>
    <t>Any Response = calldispo</t>
  </si>
  <si>
    <t>yes</t>
  </si>
  <si>
    <t>calldispo</t>
  </si>
  <si>
    <t>Phone number: #CATI_MOBILENUMBER#
1)Someone answers
2)Answering machine
3)No answer
4)Hang up or refusal
5)Call back
6)Under review
7)Disconnected</t>
  </si>
  <si>
    <t>Numéro de téléphone: #CATI_MOBILENUMBER#
1)Quelqu’un répond
2)Répondeur
3)Pas de réponse
4)Raccroche/Refuse
5)Doit être rappelé
6)À l’étude
7)Déconnecté</t>
  </si>
  <si>
    <t>Single Choice</t>
  </si>
  <si>
    <t>Form Type - Buttons</t>
  </si>
  <si>
    <t>1 = resp_language
2 = AnsweringMachine
3 = NoAnswer
4 = Refusal
5 = WhenCallBack
6 = UnderReview
7 = Disconnected</t>
  </si>
  <si>
    <t>AnsweringMachine</t>
  </si>
  <si>
    <t>calldispo_answeringmachine</t>
  </si>
  <si>
    <t>Reached an answering machine.</t>
  </si>
  <si>
    <t>L'appel a abouti sur un répondeur/une messagerie.</t>
  </si>
  <si>
    <t>End Poll AnsweringMachine</t>
  </si>
  <si>
    <t>NoAnswer</t>
  </si>
  <si>
    <t>calldispo_noanswer</t>
  </si>
  <si>
    <t>Phone rang and no one answered.</t>
  </si>
  <si>
    <t>Le téléphone a sonné et personne n'a répondu.</t>
  </si>
  <si>
    <t>End Poll NoAnswer</t>
  </si>
  <si>
    <t>UnderReview</t>
  </si>
  <si>
    <t>calldispo_underreview</t>
  </si>
  <si>
    <t>Case needs review by a supervisor.</t>
  </si>
  <si>
    <t>Le cas doit être examiné par un superviseur.</t>
  </si>
  <si>
    <t>End Poll UnderReview</t>
  </si>
  <si>
    <t>Disconnected</t>
  </si>
  <si>
    <t>calldispo_disconnected</t>
  </si>
  <si>
    <t>Phone was disconnected or out of service.</t>
  </si>
  <si>
    <t>Le téléphone est déconnecté ou hors service.</t>
  </si>
  <si>
    <t>End Poll Disconnected</t>
  </si>
  <si>
    <t>resp_language</t>
  </si>
  <si>
    <t>Which language do you wish to proceed with?
[OPERATOR: READ ANSWER CHOICES. SINGLE RESPONSE.]
1)English
2)other options [add as many as necessary]</t>
  </si>
  <si>
    <t>Quelle langue souhaitez-vous utiliser?
[OPÉRATEUR/OPÉRATRICE: LIRE LES CHOIX, RÉPONSE UNIQUE]
1)Français
2)autre [ajouter autant d'options que nécessaire]</t>
  </si>
  <si>
    <t>1 = introduction [English]
2 = introduction [languages &amp; add more if needed]</t>
  </si>
  <si>
    <t>For any response, go to introduction</t>
  </si>
  <si>
    <t>Insert most common national languages here [max 4 for translation with GeoPoll].</t>
  </si>
  <si>
    <t>introduction</t>
  </si>
  <si>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15/20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
1)CONTINUE</t>
  </si>
  <si>
    <t>Bonjour Monsieur/Madame, mon nom est  #OPERATOR#. Je vous appelle de la part de l'agence de sondage GeoPoll pour le compte de l'Organisation des Nations Unies pour l'alimentation et l'agriculture [la FAO]. Nous menons une enquête sur les moyens d'existence et la capacité des ménages à accéder à la nourriture dans votre région. J'aimerais vous poser quelques questions sur votre ménage.
L'enquête dure généralement entre 15 et 20 minutes. Toutes les informations que vous fournirez resteront strictement confidentielles; elles ne seront utilisées que dans le cadre de cette enquête et ne seront pas communiquées à d'autres personnes.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Vous recevrez #TOPUP#! de crédit téléphonique comme incitation à participer à l'enquête.
Veuillez noter que cet appel peut être enregistré à des fins de contrôle qualité.
Avez-vous des questions?
[OPÉRATEUR/OPÉRATRICE: LE CAS ÉCHÉANT, RÉPONDRE AUX QUESTIONS DE LA PERSONNE INTERROGÉE.]
1)CONTINUER</t>
  </si>
  <si>
    <t>1 = Agree</t>
  </si>
  <si>
    <t>For any response, go to Agree</t>
  </si>
  <si>
    <t>Set the amount of incentive here, if any.</t>
  </si>
  <si>
    <t>Agree</t>
  </si>
  <si>
    <t>resp_agree</t>
  </si>
  <si>
    <t xml:space="preserve">Are you interested in participating in this survey?
[OPERATOR: SINGLE RESPONSE]
1)Yes 
2)Not now but another time in the week 
3)No </t>
  </si>
  <si>
    <t xml:space="preserve">Souhaitez-vous participer à cette enquête?
[OPÉRATEUR/OPÉRATRICE: RÉPONSE UNIQUE]
1)Oui
2)Pas maintenant, mais à un autre moment de la semaine 
3)Non </t>
  </si>
  <si>
    <t>StartRecording</t>
  </si>
  <si>
    <t>1 = resp_firstname
2 = WhenCallBack
3 = resp_refusalwhy</t>
  </si>
  <si>
    <t>if Agree = 1, go to resp_firstname
if Agree = 2, go to WhenCallBack
if Agree = 3, go to resp_refusalwhy</t>
  </si>
  <si>
    <t>resp_refusalwhy</t>
  </si>
  <si>
    <t>Please let us know why you have REFUSED to take the survey.
[OPERATOR: SINGLE RESPONSE]
1)Not interested
2)Do not want to be recorded
3)Other [specify]</t>
  </si>
  <si>
    <t xml:space="preserve">Pourriez-vous m'indiquer pourquoi vous refusez de répondre à l'enquête.
[OPÉRATEUR/OPÉRATRICE: RÉPONSE UNIQUE]
1)Pas intéressé
2)Ne veut pas être enregistré
3)Autre [préciser] </t>
  </si>
  <si>
    <t>Open Ended - Single Choice</t>
  </si>
  <si>
    <t>Form Type - RadioList</t>
  </si>
  <si>
    <t>Any Response = Refusal</t>
  </si>
  <si>
    <t>For any response, go to Refusal</t>
  </si>
  <si>
    <t>WhenCallBack</t>
  </si>
  <si>
    <t>resp_whencallback</t>
  </si>
  <si>
    <t>When would it be a good time to call you back?
[RECORD HH/MM/DD/MM OF CALLBACK]</t>
  </si>
  <si>
    <t>À quel moment pourrais-je vous rappeler?
[ENREGISTRER HH/MM/JJ/MM DU RAPPEL]</t>
  </si>
  <si>
    <t>Form Type - TextBox
IsCallBackDemographic</t>
  </si>
  <si>
    <t>Any Response = CallbackMessageEN</t>
  </si>
  <si>
    <t>For any response, go to CallbackMessageEN</t>
  </si>
  <si>
    <t>CallbackMessageEN</t>
  </si>
  <si>
    <t>callbackmessage_en</t>
  </si>
  <si>
    <t>Thank you, we will call you back at {WhenCallBack} you requested. Thank you again and have a great day!
[OPERATOR: ENTER CALL NOTES BELOW, WHO YOU SPOKE TO AND WHAT THEY SAID]</t>
  </si>
  <si>
    <t>Merci, nous vous rappellerons à {WhenCallBack}. Merci encore et bonne journée!
[OPÉRATEUR/OPÉRATRICE: SAISIR LES DONNÉES D'APPEL CI-DESSOUS, LE NOM DE LA PERSONNE À LAQUELLE VOUS AVEZ PARLÉ ET CE QU'ELLE A DIT]</t>
  </si>
  <si>
    <t>Any Response = End poll callback</t>
  </si>
  <si>
    <t>Ineligible</t>
  </si>
  <si>
    <t>You are ineligible for this survey. Thank you for your time and please look out for future surveys!</t>
  </si>
  <si>
    <t>Vous êtes inéligible pour participer à cette enquête. Merci pour votre temps et renseignez-vous sur les prochains sondages!</t>
  </si>
  <si>
    <t>End Poll Ineligible</t>
  </si>
  <si>
    <t>Refusal</t>
  </si>
  <si>
    <t>NA </t>
  </si>
  <si>
    <t>Thank you for your time, you will be removed from today's survey.</t>
  </si>
  <si>
    <t>Merci pour votre temps. Vous allez être retiré de l'enquête d'aujourd'hui.</t>
  </si>
  <si>
    <t>End poll declined</t>
  </si>
  <si>
    <t>B. GENERAL INFORMATION &amp; ELIGIBILITY CRITERIA</t>
  </si>
  <si>
    <t>resp_firstname</t>
  </si>
  <si>
    <t>What is your first name?
[OPERATOR: RECORD THE RESPONDENT'S FIRST NAME. ENTER 999 FOR REFUSED.]</t>
  </si>
  <si>
    <t>Quel est votre prénom?
[OPÉRATEUR/OPÉRATRICE: SAISIR LE PRÉNOM DE LA PERSONNE INTÉRROGÉE. SAISIR  999 POUR REFUSÉ.]</t>
  </si>
  <si>
    <t>Any Response = resp_lastname</t>
  </si>
  <si>
    <t>For any response, go to resp_lastname</t>
  </si>
  <si>
    <t>resp_lastname</t>
  </si>
  <si>
    <t>What is your last name? 
[OPERATOR: RECORD THE RESPONDENT'S LAST NAME. ENTER 999 FOR REFUSED.]</t>
  </si>
  <si>
    <t>Quel est votre nom de famille?
[OPÉRATEUR/OPÉRATRICE: SAISIR LE NOM DE FAMILLE DE LA PERSONNE INTÉRROGÉE. SAISIR  999 POUR REFUSÉ.]</t>
  </si>
  <si>
    <t>Any Response = resp_age</t>
  </si>
  <si>
    <t>For any response, go to resp_age</t>
  </si>
  <si>
    <t>resp_age</t>
  </si>
  <si>
    <t>How old are you? 
[OPERATOR: RECORD AGE IN NUMBER OF YEARS. ROUND UP TO NEAREST WHOLE NUMBER. IF THE RESPONDENT GIVES BIRTH YEAR, REPEAT THE QUESTION. ENTER 00 FOR DON'T KNOW.]</t>
  </si>
  <si>
    <t>Quel âge avez-vous [en années]?
[OPÉRATEUR/OPÉRATRICE: SAISIR L'ÂGE EN ANNÉES. ARRONDIR AU NOMBRE ENTIER LE PLUS PROCHE. SI LE RÉPONDANT DONNE SON ANNÉE DE NAISSANCE, RÉPÉTER LA QUESTION. SAISIR 00 POUR "NE SAIT PAS".]</t>
  </si>
  <si>
    <t>Range</t>
  </si>
  <si>
    <t>0-17 = Ineligible
18-100 = resp_gender
00 = Ineligible</t>
  </si>
  <si>
    <t>Only respondents from 18-100 will be eligible for the survey.</t>
  </si>
  <si>
    <t>resp_gender</t>
  </si>
  <si>
    <t>What is the gender of the respondent?
[OPERATOR: DO NOT ASK THIS QUESTION OUT LOUD. LISTEN TO THE VOICE AND SELECT THE GENDER.]
1)Male
2)Female
3)DON'T KNOW
4)REFUSED</t>
  </si>
  <si>
    <t>Quel est le sexe du répondant?  
[OPÉRATEUR/OPÉRATRICE: NE PAS POSER CETTE QUESTION À VOIX HAUTE. ÉCOUTER LA VOIX ET DÉTERMINER LE SEXE.]
1)Homme
2)Femme
3)NE SAIT PAS
4)REFUSÉ</t>
  </si>
  <si>
    <t>1-4 = phone_number_conf</t>
  </si>
  <si>
    <t>For any response, go to phone_number_conf</t>
  </si>
  <si>
    <t>phone_number_conf</t>
  </si>
  <si>
    <t>Is the phone number I am calling you on yours or a household members?
[OPERATOR: SINGLE RESPONSE.]
1)YES
2)NO
3)DON'T KNOW
4)REFUSED</t>
  </si>
  <si>
    <t>Le numéro de téléphone sur lequel je vous appelle est-il le vôtre ou celui d'un membre de votre famille?
[OPÉRATEUR/OPÉRATRICE: RÉPONSE UNIQUE.]
1)Oui
2)Non
3)NE SAIT PAS
4)REFUSÉ</t>
  </si>
  <si>
    <t>1 = contact_2
2 = phone_number_personal
3-4 = contact_2</t>
  </si>
  <si>
    <t>if phone_number_conf = 1, go to contact_2
if phone_number_conf = 2, go to phone_number_personal
if phone_number_conf = 3-4, go to contact_2</t>
  </si>
  <si>
    <t>yes - panel</t>
  </si>
  <si>
    <t>phone_number_personal</t>
  </si>
  <si>
    <t>phone_number_pers</t>
  </si>
  <si>
    <t>What is your phone number?
[OPERATOR: RECORD THE NUMBER GIVEN]</t>
  </si>
  <si>
    <t>Quel est votre numéro de téléphone?
[OPÉRATEUR/OPÉRATRICE: SAISIR LE NUMERO.]</t>
  </si>
  <si>
    <t>Any Response = contact_2</t>
  </si>
  <si>
    <t>For any response, go to contact_2</t>
  </si>
  <si>
    <t>contact_2</t>
  </si>
  <si>
    <t>Can you give me an additonal phone number belonging to you, a relative or a friend at which you can be reached?
[OPERATOR: SINGLE RESPONSE.]
1)YES - mine 
2)YES - friend or relative
3)NO
4)DON'T KNOW
5)REFUSED</t>
  </si>
  <si>
    <t>Pouvez-vous me donner un autre numéro de téléphone, le vôtre, celui d'un parent ou d'un ami, auquel vous pouvez être joint?
[OPÉRATEUR/OPÉRATRICE: RÉPONSE UNIQUE.]
1)Oui - le mien
2)Oui - celui d'un ami ou d'un parent
3)Non
4)NE SAIT PAS
5)REFUSÉ</t>
  </si>
  <si>
    <t>1-2 = phone_number_2
3-5 = hh_admin1</t>
  </si>
  <si>
    <t>if contact_2 = 1-2, go to phone_number_2
if contact_2 = 3-5, go to contact_3</t>
  </si>
  <si>
    <t>phone_number_2</t>
  </si>
  <si>
    <t>What is the additional phone number?
[OPERATOR: RECORD THE NUMBER GIVEN]</t>
  </si>
  <si>
    <t>Quel est cet autre numéro de téléphone?
[OPÉRATEUR/OPÉRATRICE: SAISIR LE NUMERO.]</t>
  </si>
  <si>
    <t>Any Response = contact_2_name</t>
  </si>
  <si>
    <t>For any response, go to contact_2_name</t>
  </si>
  <si>
    <t>contact_2_name</t>
  </si>
  <si>
    <t>What is the name of the contact?
[OPERATOR: RECORD THE NAME OF THE CONTACT FOR THE PHONE NUMBER.]</t>
  </si>
  <si>
    <t>Quel est le nom du contact associé à ce numéro de téléphone?
[OPÉRATEUR/OPÉRATRICE: SAISIR LENOM DU CONTACT POUR CE NUMERO DE TÉLÉPHONE.]</t>
  </si>
  <si>
    <t>Send if "contact_2" "Equals" "YES - friend or relative", if not satisfied go to "contact_3"</t>
  </si>
  <si>
    <t>Any Response = contact_3</t>
  </si>
  <si>
    <t>Asked if "contact_2" "Equals" "YES - friend or relative". Otherwise, it skips to "contact_3".
For any response, go to contact_3</t>
  </si>
  <si>
    <t>contact_3</t>
  </si>
  <si>
    <t>1-2= phone_number_3
3-5 = hh_admin1</t>
  </si>
  <si>
    <t>if contact_3 = 1-2, go to phone_number_3
if contact_3 = 3-5, go to hh_admin1</t>
  </si>
  <si>
    <t>phone_number_3</t>
  </si>
  <si>
    <t>Any Response = contact_3_name</t>
  </si>
  <si>
    <t>For any response, go to contact_3_name</t>
  </si>
  <si>
    <t>contact_3_name</t>
  </si>
  <si>
    <t>phone_number_3_name</t>
  </si>
  <si>
    <t>Send if "contact_3" "Equals" "YES - friend or relative", if not satisfied go to "hh_admin1"</t>
  </si>
  <si>
    <t>Any Response = hh_admin1</t>
  </si>
  <si>
    <t>Asked if "contact_3" "Equals" "YES - friend or relative". Otherwise, it skips to "hh_admin1".
For any response, go to hh_admin1</t>
  </si>
  <si>
    <t>hh_admin1</t>
  </si>
  <si>
    <t>Currently, in which region does your household reside?
[hint: household consists of all members living together, sharing resources &amp; eating from the same pot.]
[OPERATOR: SINGLE SELECTION.]
1)BAS-UELE
2)EQUATEUR
3)HAUT-KATANGA
4)HAUT-LOMAMI
5)HAUT-UELE
6)ITURI
7)KASAI
8)KASAI-CENTRAL
9)KASAI-ORIENTAL
10)KINSHASA
11)KONGO CENTRAL
12)KWANGO
13)KWILU
14)LOMAMI
15)LUALABA
16)MAI-NDOMBE
17)MANIEMA
18)MONGALA
19)NORD-KIVU
20)NORD-UBANGI
21)SANKURU
22)SUD-KIVU
23)SUD-UBANGI
24)TANGANYIKA
25)TSHOPO
26)TSHUAPA
27)DON'T KNOW
28)REFUSED</t>
  </si>
  <si>
    <t>Actuellement, dans quel region votre ménage vit-il ?
[conseil: le ménage est composé de toutes les personnes vivant ensemble, partageant leurs ressources et mangeant dans une marmite commune.]
[OPÉRATEUR/OPÉRATRICE: RÉPONSE UNIQUE.]
1)BAS-UELE
2)EQUATEUR
3)HAUT-KATANGA
4)HAUT-LOMAMI
5)HAUT-UELE
6)ITURI
7)KASAI
8)KASAI-CENTRAL
9)KASAI-ORIENTAL
10)KINSHASA
11)KONGO CENTRAL
12)KWANGO
13)KWILU
14)LOMAMI
15)LUALABA
16)MAI-NDOMBE
17)MANIEMA
18)MONGALA
19)NORD-KIVU
20)NORD-UBANGI
21)SANKURU
22)SUD-KIVU
23)SUD-UBANGI
24)TANGANYIKA
25)TSHOPO
26)TSHUAPA
27)DON'T KNOW
28)REFUSED</t>
  </si>
  <si>
    <t>Form Type - Buttons
IsDemographic - ADM1</t>
  </si>
  <si>
    <t>1 = hh_admin2_1
2-3 = Ineligible</t>
  </si>
  <si>
    <t xml:space="preserve">The administrative information will be updated by GeoPoll based on the sample design document and the administrative boundaries provided by the dashboard team after the questionnaire validation. </t>
  </si>
  <si>
    <t>hh_admin2_1</t>
  </si>
  <si>
    <t xml:space="preserve">Currently, in which territory do your household live in?
[OPERATOR: DO NOT READ THE OPTIONS. SINGLE SELECTION]
1)ARIWARA
2)ARU
3)ARU CITY
4)BUNIA
5)DJUGU
6)INGBOKOLO
7)IRUMU
8)MAHAGI
9)MAHAGI CITY
10)MAMBASA
11)MONGWALU
12)DON'T KNOW
13)REFUSED </t>
  </si>
  <si>
    <t>Dans quelle territoire vit votre ménage actuellement?
[OPERATEUR/OPERATRICE: NE LISEZ PAS LES OPTIONS. SEULEMENT UNE REPONSE]
1)ARIWARA
2)ARU
3)ARU CITY
4)BUNIA
5)DJUGU
6)INGBOKOLO
7)IRUMU
8)MAHAGI
9)MAHAGI CITY
10)MAMBASA
11)MONGWALU
12) NE SAIT PAS
13)REFUSE</t>
  </si>
  <si>
    <t>Form Type - Buttons
IsDemographic - ADM2</t>
  </si>
  <si>
    <t>1 =  hh_agricactivity
2-3 = Ineligible</t>
  </si>
  <si>
    <t>hh_admin2_2</t>
  </si>
  <si>
    <t xml:space="preserve">Currently, in which territory do your household live in?
[OPERATOR: DO NOT READ THE OPTIONS. SINGLE SELECTION]
1)DEKESE
2)ILEBO
3)ILEBO CITY
4)KAMONIA
5)LUEBO
6)LUEBO CITY
7)MWEKA
8)TSHIKAPA
9)DON'T KNOW
10)REFUSED </t>
  </si>
  <si>
    <t>Dans quelle territoire vit votre ménage actuellement?
[OPERATEUR/OPERATRICE: NE LISEZ PAS LES OPTIONS. SEULEMENT UNE REPONSE]
1)DEKESE
2)ILEBO
3)ILEBO CITY
4)KAMONIA
5)LUEBO
6)LUEBO CITY
7)MWEKA
8)TSHIKAPA
9)NE SAIT PAS
10)REFUSE</t>
  </si>
  <si>
    <t>hh_admin2_3</t>
  </si>
  <si>
    <t xml:space="preserve">Currently, in which territory do your household live in?
[OPERATOR: DO NOT READ THE OPTIONS. SINGLE SELECTION]
1)DEMBA
2)DIBAYA
3)DMBELENGE
4)KANANGA
5)KAZUMBA
6)LUIZA
7)TSHIMBULU
8)DON'T KNOW
9)REFUSED </t>
  </si>
  <si>
    <t>Dans quelle territoire vit votre ménage actuellement?
[OPERATEUR/OPERATRICE: NE LISEZ PAS LES OPTIONS. SEULEMENT UNE REPONSE]
1)DEMBA
2)DIBAYA
3)DMBELENGE
4)KANANGA
5)KAZUMBA
6)LUIZA
7)TSHIMBULU
8)NE SAIT PAS
9)REFUSE</t>
  </si>
  <si>
    <t>hh_admin2_4</t>
  </si>
  <si>
    <t xml:space="preserve">Currently, in which territory do your household live in?
[OPERATOR: DO NOT READ THE OPTIONS. SINGLE SELECTION]
1)KABEYA-KAMWANGA
2)KATANDA
3)LUKALABA
4)LUPATAPATA
5)MBUJI-MAYI
6)MIABI
7)MIABI CITY
8)TSHILENGE
9)TSHILENGE CITY
10)DON'T KNOW
11)REFUSED </t>
  </si>
  <si>
    <t>Dans quelle territoire vit votre ménage actuellement?
[OPERATEUR/OPERATRICE: NE LISEZ PAS LES OPTIONS. SEULEMENT UNE REPONSE]
1)KABEYA-KAMWANGA
2)KATANDA
3)LUKALABA
4)LUPATAPATA
5)MBUJI-MAYI
6)MIABI
7)MIABI CITY
8)TSHILENGE
9)TSHILENGE CITY
10)NE SAIT PAS
11)REFUSE</t>
  </si>
  <si>
    <t>hh_admin2_5</t>
  </si>
  <si>
    <t xml:space="preserve">Currently, in which territory do your household live in?
[OPERATOR: DO NOT READ THE OPTIONS. SINGLE SELECTION]
1)BENI
2)BUTEMBO
3)GOMA
4)LUBERO
5)MASISI
6)NYIRAGONGO
7)OICHA
8)OICHA CITY
9)RUTSHURU
10)RUTSHURU CITY
11)WALIKAME
12)DON'T KNOW
13)REFUSED </t>
  </si>
  <si>
    <t>Dans quelle territoire vit votre ménage actuellement?
[OPERATEUR/OPERATRICE: NE LISEZ PAS LES OPTIONS. SEULEMENT UNE REPONSE]
1)BENI
2)BUTEMBO
3)GOMA
4)LUBERO
5)MASISI
6)NYIRAGONGO
7)OICHA
8)OICHA CITY
9)RUTSHURU
10)RUTSHURU CITY
11)WALIKAME
12)NE SAIT PAS
13)REFUSE</t>
  </si>
  <si>
    <t>hh_admin2_6</t>
  </si>
  <si>
    <t>Currently, in which territory do your household live in?
[OPERATOR: DO NOT READ THE OPTIONS. SINGLE SELECTION]
1)BOSOBOLO
2)BUSINGA
3)GBADOLITE
4)MOBAYI-MBONGO
5)MOBAYI-MBONGO CITY
6)YAKOMA
7)DON'T KNOW
8)REFUSED</t>
  </si>
  <si>
    <t>Dans quelle territoire vit votre ménage actuellement?
[OPERATEUR/OPERATRICE: NE LISEZ PAS LES OPTIONS. SEULEMENT UNE REPONSE]
1)BOSOBOLO
2)BUSINGA
3)GBADOLITE
4)MOBAYI-MBONGO
5)MOBAYI-MBONGO CITY
6)YAKOMA
7)NE SAIT PAS
8)REFUSE</t>
  </si>
  <si>
    <t>hh_admin2_7</t>
  </si>
  <si>
    <t>Currently, in which territory do your household live in?
[OPERATOR: DO NOT READ THE OPTIONS. SINGLE SELECTION]
1)BARAKA
2)BUKAVU
3)FIZI
4)IDJWI
5)KABARE
6)KALEHE
7)KAMITUGA
8)MWENGA
9)SHABUNDA
10)SHABUNDA CITY
11)UVIRA
12)UVIRA CITY
13)WALUNGU
14)DON'T KNOW
15)REFUSED</t>
  </si>
  <si>
    <t>Dans quelle territoire vit votre ménage actuellement?
[OPERATEUR/OPERATRICE: NE LISEZ PAS LES OPTIONS. SEULEMENT UNE REPONSE]
1)BARAKA
2)BUKAVU
3)FIZI
4)IDJWI
5)KABARE
6)KALEHE
7)KAMITUGA
8)MWENGA
9)SHABUNDA
10)SHABUNDA CITY
11)UVIRA
12)UVIRA CITY
13)WALUNGU
14)NE SAIT PAS
15)REFUSE</t>
  </si>
  <si>
    <t>hh_admin2_8</t>
  </si>
  <si>
    <t>Currently, in which territory do your household live in?
[OPERATOR: DO NOT READ THE OPTIONS. SINGLE SELECTION]
1)BUDJALA
2)GEMENA
3)GEMENA CITY
4)KUNGU
5)LIBENGE
6)ZONGO
7)DON'T KNOW
8)REFUSED</t>
  </si>
  <si>
    <t>Dans quelle territoire vit votre ménage actuellement?
[OPERATEUR/OPERATRICE: NE LISEZ PAS LES OPTIONS. SEULEMENT UNE REPONSE]
1)BUDJALA
2)GEMENA
3)GEMENA CITY
4)KUNGU
5)LIBENGE
6)ZONGO
7)NE SAIT PAS
8)REFUSE</t>
  </si>
  <si>
    <t>hh_admin2_9</t>
  </si>
  <si>
    <t>Currently, in which territory do your household live in?
[OPERATOR: DO NOT READ THE OPTIONS. SINGLE SELECTION]
1)KABALO
2)KALEMIE
3) KAOZE
4)KONGOLO
5)KONGOLO CITY
6)MANONO
7)MANONO CITY
8)MOBA
9)NYUNZU
10)DON'T KNOW
11)REFUSED</t>
  </si>
  <si>
    <t>Dans quelle territoire vit votre ménage actuellement?
[OPERATEUR/OPERATRICE: NE LISEZ PAS LES OPTIONS. SEULEMENT UNE REPONSE]
1)KABALO
2)KALEMIE
3) KAOZE
4)KONGOLO
5)KONGOLO CITY
6)MANONO
7)MANONO CITY
8)MOBA
9)NYUNZU
10)NE SAIT PAS
11)REFUSE</t>
  </si>
  <si>
    <t>quotareached</t>
  </si>
  <si>
    <t>[OPERATOR: DO NOT READ. ANSWER QUESTION BELOW.]
THIS RESPONDENT REPORTED THEY LIVE IN:
{ADM1}
{ADM2}
1)THE GOAL FOR THIS LOCATION HAS BEEN ACHIEVED - END SURVEY
2)THE GOAL FOR THIS LOCATION IS OPEN - CONTINUE SURVEY</t>
  </si>
  <si>
    <t>[OPÉRATEUR/OPÉRATRICE: NE PAS LIRE. RÉPONDRE À LA QUESTION CI-DESSOUS.]
CE RÉPONDANT DIT VIVRE À:
{ADM1}
{ADM2}
1)L'OBJECTIF DANS CETTE ZONE A ÉTÉ ATTEINT - FIN DU SONDAGE
2)L'OBJECTIF DANS CETTE ZONE N'EST PAS ENCORE ATTEINT - CONTINUER LE SONDAGE</t>
  </si>
  <si>
    <t>1 = End Poll Quota Reached
2 = hh_agricactivity</t>
  </si>
  <si>
    <t>hh_agricactivity</t>
  </si>
  <si>
    <t xml:space="preserve">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 </t>
  </si>
  <si>
    <t>Est-ce que quelqu'un dans votre ménage a produit des cultures ou du bétail pour la consommation du ménage ou pour la vente au cours des 12 derniers mois, y compris des membres du ménage actuellement partis pour la transhumance?
[OPÉRATEUR / OPÉRATRICE : RÉPONSE UNIQUE. IL S'AGIT DE LA PRINCIPALE QUESTION DE SÉLECTION.]
[CONSEILS POUR PRÉCISER : Cultivez-vous des végétaux afin de les vendre ou de les consommer ? Élevez-vous des animaux afin de les vendre ou de les consommer, y compris les produits issus de l'élevage, comme la viande, le lait, la laine ou le cuir ? L'un des membres de votre ménage est-il actuellement parti avec du bétail pour la transhumance ?]
1)Oui - production végétale 
2)Oui - production animale
3)Oui - production végétale et animale 
4)Non
5)NE SAIT PAS
6)REFUSÉ</t>
  </si>
  <si>
    <t>1-4 = resp_id
5-6 = Ineligible</t>
  </si>
  <si>
    <t xml:space="preserve">if hh_agricactivity = 1-4, go to resp_id. Otherwise, the respondent is ineligible. </t>
  </si>
  <si>
    <t>B. GENERAL HOUSEHOLD INFORMATION</t>
  </si>
  <si>
    <t>resp_id</t>
  </si>
  <si>
    <t xml:space="preserve">Are you the head of household? 
[OPERATOR: SINGLE RESPONSE.]
1)Yes
2)No
3)DON'T KNOW
4)REFUSED
</t>
  </si>
  <si>
    <t>Êtes-vous le chef de ménage?
[OPÉRATEUR/OPÉRATRICE: RÉPONSE UNIQUE.]
1)Oui
2)Non
3)NE SAIT PAS
4)REFUSÉ</t>
  </si>
  <si>
    <t>1 = hh_education 
2-4 = hh_gender</t>
  </si>
  <si>
    <t>if resp_id = 1, go to hh_education. 
Otherwise, go to hh_gender.</t>
  </si>
  <si>
    <t>hh_gender</t>
  </si>
  <si>
    <t>Is the head of your household male or female?
[OPERATOR: SINGLE RESPONSE.]
1)Male 
2)Female
3)DON'T KNOW
4)REFUSED</t>
  </si>
  <si>
    <t>Le chef de votre ménage est-il un homme ou une femme?
[OPÉRATEUR/OPÉRATRICE: RÉPONSE UNIQUE.]
1)Homme
2)Femme
3)NE SAIT PAS
4)REFUSÉ</t>
  </si>
  <si>
    <t>1-4 = hh_education</t>
  </si>
  <si>
    <t>if hh_gender = 1-4, go to hh_education.</t>
  </si>
  <si>
    <t>hh_education</t>
  </si>
  <si>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</si>
  <si>
    <t>Quel est le niveau d'éducation du chef de votre ménage ?
[OPÉRATEUR/OPÉRATRICE: RÉPONSE UNIQUE.]
1)Aucun ou n'a pas terminé l'école primaire
2)A terminé l'école primaire
3)A terminé l'école secondaire
4)Diplôme de l'enseignement supérieur [Université]
5)Enseignement religieux ou informel uniquement
6)NE SAIT PAS
7)REFUSÉ</t>
  </si>
  <si>
    <t>1-7 = hh_wealth</t>
  </si>
  <si>
    <t>if hh_education = 1-7, go to hh_wealth.</t>
  </si>
  <si>
    <t>hh_wealth_water</t>
  </si>
  <si>
    <t>Where does the water that you drink at home come from?
[OPERATOR: SINGLE CHOICE.]
1)Private tap from piped water
2)Public tap
3)Protected well
4)Bottled water
5)Other safe source
6)River
7)Unprotected well
8)Spring water
9)Surface water [e.g. canals, ponds, dams]
10)Other unsafe source
11)DON'T KNOW
12)REFUSED</t>
  </si>
  <si>
    <t>Où vous procurez-vous habituellement l'eau que vous buvez dans votre foyer?
[OPÉRATEUR/OPÉRATRICE: RÉPONSE UNIQUE.]
1)Robinet privé avec eau courante
2)Robinet public
3)Puits protégé
4)Eau en bouteille
5)Autre source sûre
6)Rivière
7)Puits non protégé
8)Eau de source
9)Eaux de surface [par ex. canaux, étangs, barrages]
10)Autre source non sûre
11)NE SAIT PAS
12)REFUSÉ</t>
  </si>
  <si>
    <t xml:space="preserve">
1-12 = [income_main OR other optional question]</t>
  </si>
  <si>
    <t>For any response, go to [income_main OR other optional question]</t>
  </si>
  <si>
    <t>Select wealth indicators based on baseline information available; you can delete those that you do not want to use. 
If none of these indicators work in the context of your country, other wealth proxies are proposed in the optional questions below. 
Remember that baseline data will be necessary, and the variable should be defined properly in the "weight_input_table".</t>
  </si>
  <si>
    <t>hh_wealth_toilet</t>
  </si>
  <si>
    <t>Where do household members typically go to use a toilet?
[OPERATOR: SINGLE CHOICE.]
1)Flush latrine [toilet with water]
2)Traditional pit latrine [no water]
3)Open pit [hole in the ground for excrement without water, roof or wall]
4)Communal latrine [with or without water]
5)None – bush
6)DON'T KNOW
7)REFUSED</t>
  </si>
  <si>
    <t>Quel genre de toilettes les membres de votre ménage utilisent-ils?
[OPÉRATEUR/OPÉRATRICE: RÉPONSE UNIQUE.]
1)Latrines à chasse d'eau [toilettes avec eau]
2)Latrines traditionnelles à fosse [sans eau]
3)Fosse ouverte [trou dans le sol pour les excréments, sans eau, toit ni mur]
4)Latrines communautaires [avec ou sans eau]
5)Aucune – brousse
6)NE SAIT PAS
7)REFUSÉ</t>
  </si>
  <si>
    <t xml:space="preserve">
1-7 = [income_main OR other optional question]</t>
  </si>
  <si>
    <t>hh_wealth_light</t>
  </si>
  <si>
    <t>What is the main source of light in your dwelling?
[OPERATOR: SINGLE RESPONSE.]
1)Electricity [from generator or electrical grid]
2)Candle
3)Petrol lamp
4)Lamp with batteries
5)Solar panel
6)Other [no electric supply to the house]
7)DON'T KNOW
8)REFUSED</t>
  </si>
  <si>
    <t>Quelle est la principale source de lumière de votre logement?
[OPÉRATEUR/OPÉRATRICE: RÉPONSE UNIQUE.]
1)Électricité [générateur ou réseau électrique]
2)Bougie
3)Lampe à pétrole
4)Lampe à piles
5)Panneaux solaires
6)Autre [pas d'alimentation électrique dans la maison]
7)NE SAIT PAS
8)REFUSÉ</t>
  </si>
  <si>
    <t xml:space="preserve">
1-8 = [income_main OR other optional question]</t>
  </si>
  <si>
    <t>hh_residencetype</t>
  </si>
  <si>
    <t>Which in the following types of residence best describes your residence?
[OPERATOR: READ OUT THE OPTIONS. SINGLE RESPONSE.]
[HINT: IF RESPONDENT IS ONLY AWAY FROM THE HOUSEHOLD FOR SHORT SEASONAL WORK (&lt;6 MONTHS) OR TRANSHUMANCE, MAKE SURE TO REFER TO THEIR HOUSEHOLD BACK WHERE THEY TYPICALLY ARE LOCATED.]
1)Permanent Resident - you have been living in your village / town for longer than two years and this is what you consider your habitual residence
2)Recent migrant not forcefully displaced - you have been living in your current place of residence for less than two years and you moved there voluntarily for work / family or other reasons that are not related to conflict or natural disaster
3)Returnee - you have only come back to this residence in the last two years after having been forced to move to another location having fled conflict or natural disaster [if return was over 2 years ago the respondent is considered a permanent resident]
4)Internally displaced person [IDP] - you were forced to flee your village or town because of conflict or natural disaster and you are now an internally displaced person in your current place of residence 
5)Refugee - you were forced to flee your country because of conflict or natural disaster and you are now a refugee in your current place of residence
6)DON'T KNOW
7)REFUSED</t>
  </si>
  <si>
    <t>Parmi les propositions suivantes, laquelle décrit le mieux votre statut de résidence?
[OPÉRATEUR/OPÉRATRICE: LIRE LES OPTIONS, RÉPONSE UNIQUE].
[CONSEIL: SI LA PERSONNE INTERROGÉE N'EST ÉLOIGNÉE DU FOYER QUE POUR UN TRAVAIL SAISONNIER DE COURTE DURÉE (&lt;6 MOIS) OU POUR LA TRANSHUMANCE,  FAIRE RÉFÉRENCE AU FOYER DE RETOUR OÙ ELLE VIT HABITUELLEMENT].
1)Résident permanent - vous vivez dans votre village/ville depuis plus de deux ans et vous le/la considérez comme votre lieu de résidence habituel
2)Migrant récent non déplacé de force - vous vivez dans votre lieu de résidence actuel depuis moins de deux ans et vous vous y êtes déplacé volontairement pour des raisons professionnelles, familiales ou autres qui ne sont pas liées à un conflit ou à une catastrophe naturelle
3)Personne rapatriée - vous êtes revenu dans votre lieu de résidence au cours des deux dernières années après avoir été contraint de vous déplacer pour fuir un conflit ou une catastrophe naturelle [si le retour a eu lieu il y a plus de deux ans, le répondant est considéré comme un résident permanent]
4)Personne déplacée à l'intérieur de son pays - vous avez été forcé de fuir votre village ou votre ville en raison d'un conflit ou d'une catastrophe naturelle et, dans votre lieu de résidence actuel, vous êtes une personne déplacée à l'intérieur de son propre pays 
5)Réfugié - vous avez été forcé de fuir votre pays en raison d'un conflit ou d'une catastrophe naturelle et, dans votre lieu de résidence actuel, vous êtes un réfugié
6)NE SAIT PAS
7)REFUSÉ</t>
  </si>
  <si>
    <t>1-7 = hh_size</t>
  </si>
  <si>
    <t>For any response, go to [next question]</t>
  </si>
  <si>
    <t>hh_size</t>
  </si>
  <si>
    <t>How many people are part of the household?
[OPERATOR: RECORD NUMBER OF MEMBERS IN HOUSEHOLD. ENTER 88 FOR DON'T KNOW &amp; 99 FOR REFUSED.]
[HINT: TO BE A PART OF THE SAME HOUSEHOLD, MEMBERS MUST LIVE UNDER THE SAME ROOF, SHARE THE SAME RESOURCES &amp; EAT FROM THE SAME POT.]</t>
  </si>
  <si>
    <t>De combien de personnes est composé votre ménage?
[OPÉRATEUR/OPÉRATRICE: ENREGISTRER LE NOMBRE DE MEMBRES DU MÉNAGE. ENTRER 88 POUR «NE SAIT PAS» ET 99 POUR «REFUSÉ».]
[CONSEIL: POUR FAIRE PARTIE D'UN MÊME MÉNAGE, LES MEMBRES DOIVENT VIVRE ENSEMBLE, METTRE EN COMMUN LEURS RESSOURCES ET PARTAGER LEURS REPAS.]</t>
  </si>
  <si>
    <t>1-50 = hh_asset_prod
88-88 = hh_asset_prod
99-99 = hh_asset_prod</t>
  </si>
  <si>
    <t>hh_asset_prod</t>
  </si>
  <si>
    <t>hh_asset_prod_
1) hh_asset_prod_process
2) hh_asset_prod_farmmach
3) hh_asset_prod_sewing
4) hh_asset_prod_taxi
5) hh_asset_prod_truck
6) hh_asset_prod_other
7) hh_asset_prod_none
8) hh_asset_prod_dk
9) hh_asset_prod_ref</t>
  </si>
  <si>
    <t>Does your household own any of the following productive assets? 
[OPERATOR: MULTIPLE RESPONSES POSSIBLE. READ ANSWER OPTIONS OUT LOUD.]
1)Processing assets [e.g. grinding/crushing machine, mill, oil press]
2)Farm machinery [e.g. tractor, plough, sickle, etc.]
3)Sewing machine or weaving tool 
4)Taxi
5)Truck
6)Other productive machines or assets
7)No productive machines or assets
8)DON'T KNOW
9)REFUSED</t>
  </si>
  <si>
    <t xml:space="preserve">Votre ménage possède-t-il l'un des actifs productifs suivants?
[OPÉRATEUR / OPÉRATRICE : PLUSIEURS RÉPONSES POSSIBLES. LIRE LES OPTIONS DE RÉPONSE À HAUTE VOIX.]
1)Actifs de transformation [par exempe broyeur, moulin, presse à huile]
2)Machine agricole [par exemple tracteur, charrue, faucille, etc.]
3)Machine à coudre ou métier à tisser
4)Taxi
5)Camion
6)Autres machines ou actifs productifs
7)Aucune machine ou actif productif
8)NE SAIT PAS
9)REFUSÉ
</t>
  </si>
  <si>
    <t>Select All That Apply</t>
  </si>
  <si>
    <t>Form Type - Checklist
7,8,9 = IsNone</t>
  </si>
  <si>
    <t>1-9 = hh_asset_transp</t>
  </si>
  <si>
    <t>1)hh_asset_prod_process
2)hh_asset_prod_farmmach
3)hh_asset_prod_sewing
4)hh_asset_prod_taxi
5)hh_asset_prod_truck
6)hh_asset_prod_other
7)hh_asset_prod_none
8)hh_asset_prod_dk
9)hh_asset_prod_ref</t>
  </si>
  <si>
    <t xml:space="preserve">This wealth indicator may be useful to Identify poor households in middle income countries. It could be interesting for F2F surveys, to be used as baseline reference for follow-up surveys. </t>
  </si>
  <si>
    <t>hh_asset_transp</t>
  </si>
  <si>
    <t>hh_asset_transp_
1) hh_asset_transp_bici
2) hh_asset_transp_cart
3) hh_asset_transp_boat
4) hh_asset_transp_motorbike
5) hh_asset_transp_car
6) hh_asset_transp_van
7) hh_asset_transp_other
8) hh_asset_transp_none
9) hh_asset_transp_dk
10) hh_asset_transp_ref</t>
  </si>
  <si>
    <t>Do you or any member of your household own any of the following transportation assets? 
[OPERATOR: MULTIPLE RESPONSES POSSIBLE. READ ANSWER OPTIONS OUT LOUD.]
1)Bicycle
2)Cart [animal drawn]
3)Boat/canoe
4)Motorbike / scooter / auto rickshaw
5)Car
6)Van or small truck
7)Other motor vehicle
8)None of the above
9)DON'T KNOW
10)REFUSED</t>
  </si>
  <si>
    <t xml:space="preserve">Est-ce que vous ou un membre de votre ménage possède un des véhicules suivants? 
[OPÉRATEUR / OPÉRATRICE : PLUSIEURS RÉPONSES POSSIBLES. LIRE LES OPTIONS DE RÉPONSE À HAUTE VOIX.]
1)Bicyclette
2)Chariot [tiré par un animal]
3)Bateau/barque
4)Moto/scooter/pousse-pousse
5)Voiture
6)Fourgonnette ou petit camion
7)Autre véhicule motorisé
8)Aucun des véhicules proposés
9)NE SAIT PAS
10)REFUSÉ
</t>
  </si>
  <si>
    <t>Form Type - Checklist
8,9,10 = IsNone</t>
  </si>
  <si>
    <t>1-10 = hh_maritalstat</t>
  </si>
  <si>
    <t>1)hh_asset_transp_bici
2)hh_asset_transp_cart
3)hh_asset_transp_boat
4)hh_asset_transp_motorbike
5)hh_asset_transp_car
6)hh_asset_transp_van
7)hh_asset_transp_other
8)hh_asset_transp_none
9)hh_asset_transp_dk
10)hh_asset_transp_ref</t>
  </si>
  <si>
    <t>hh_age</t>
  </si>
  <si>
    <t>How old is the head of household? 
[OPERATOR: SINGLE RESPONSE.]
1)Under 18
2)18 to 40 
3)41 to 65 
4)Over 65
5)DON'T KNOW
6)REFUSED</t>
  </si>
  <si>
    <t>Quel âge a le chef de famille?
[OPÉRATEUR/OPÉRATRICE: RÉPONSE UNIQUE.]
1)Moins de 18 ans
2)entre 18 et 40 ans 
3)entre 41 et 65 ans
4)Plus de 65 ans
5)NE SAIT PAS
6)REFUSÉ</t>
  </si>
  <si>
    <t>1-6 = income_main</t>
  </si>
  <si>
    <t>C. INCOME SOURCES, LIVELIHOOD AND SHOCKS</t>
  </si>
  <si>
    <t>income_main</t>
  </si>
  <si>
    <t>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20)REFUSED</t>
  </si>
  <si>
    <t>Quelle était la principale source de revenus de votre ménage au cours des trois derniers mois?
[OPÉRATEUR/OPÉRATRICE: RÉPONSE UNIQUE. L'OPTION «REFUSÉ» DOIT ÊTRE, AUTANT QUE POSSIBLE, ÉVITÉE.]
1)Production et vente de cultures vivrières
2)Production et vente de légumes ou de fruits 
3)Production et vente de cultures de rente
4)Production et vente de bétail et de produits animaux
5)Production et vente de miel ou de produits apicoles
6)Production et vente de poisson 
7)Collecte et vente de produits forestiers ou de brousse
8)Commerce agricole EXCLUANT les producteurs [formel ou informel]
9)Salaire journalier dans une exploitation et autres emplois occasionnels dans le secteur agricole
10)Emploi stable dans le secteur agricole 
11)Indépendant non-agricole ou profession libérale / médecin / architecte / avocat / y compris restaurant
12)Salaire journalier hors exploitation et autres emplois occasionnels non agricoles
13)Emploi stable dans le secteur non-agricole
14)Emploi public 
15)Revenu non tiré du travail / Charité
16)Revenu non tiré du travail / Transferts sociaux, pension, aide humanitaire
17)Revenu non tiré du travail / Envois de fonds des migrants
18)Revenu non tiré du travail / Revenu d'autres loyers
19)Aucune source de revenus au cours des trois derniers mois et recours exclusif à l'épargne / création de dettes
20)REFUSÉ</t>
  </si>
  <si>
    <t>Form Type - Buttons
IsDemographic</t>
  </si>
  <si>
    <t>1-3 = income_main_crop_check
4 = income_main_ls_check 
5 = income_main_comp OR optional question
6 = income_main_fish_check 
7-18 = income_main_comp OR optional question
19-20 = shock</t>
  </si>
  <si>
    <t>if options #1-3 selected go to income_main_crop_check 
if options #4 selected go to income_main_ls_check 
if options #6 selected go to income_main_fish_check
if options #5, 7-18 selected, go to [income_main_comp OR optional question] 
if options #19-20 selected, go to shock</t>
  </si>
  <si>
    <t>income_main_crop_check</t>
  </si>
  <si>
    <t xml:space="preserve">Are the crops that you sell also produced by you or anyone in your household?
[OPERATOR: SINGLE RESPONSE.]
1)YES
2)NO
3)DON'T KNOW
4)REFUSED </t>
  </si>
  <si>
    <t>Les cultures que vous vendez sont-elles produites par vous ou par un des membres de votre ménage ?
[OPÉRATEUR/OPÉRATRICE: RÉPONSE UNIQUE.]
1)Oui
2)Non
3)NE SAIT PAS
4)REFUSÉ</t>
  </si>
  <si>
    <t>1-4 = income_main_comp OR optional question</t>
  </si>
  <si>
    <t>if income_main_crop_check = 1-4, go to [income_main_comp OR optional question]</t>
  </si>
  <si>
    <t>income_main_ls_check</t>
  </si>
  <si>
    <t xml:space="preserve">Are the livestock and livestock products that you sell also produced by you or anyone in your household?
[OPERATOR: SINGLE RESPONSE.]
1)YES
2)NO
3)DON'T KNOW
4)REFUSED </t>
  </si>
  <si>
    <t xml:space="preserve">Le bétail et les produits du bétail que vous vendez sont-ils produits par vous par un des membres de votre ménage ?
[OPÉRATEUR/OPÉRATRICE: RÉPONSE UNIQUE.]
1)Oui
2)Non
3)NE SAIT PAS
4)REFUSÉ
</t>
  </si>
  <si>
    <t>if income_main_ls_check = 1-4, go to [income_main_comp OR optional question]</t>
  </si>
  <si>
    <t>income_main_fish_check</t>
  </si>
  <si>
    <t xml:space="preserve">Are the fish and/or fish products that you sell also captured or harvested by you or anyone in your household?
[OPERATOR: SINGLE RESPONSE.]
1)YES
2)NO
3)DON'T KNOW
4)REFUSED </t>
  </si>
  <si>
    <t>Les produits de la pêche / aquaculture que vous vendez sont-ils produits par vous ou par un membre de votre ménage ? 
[OPÉRATEUR/OPÉRATRICE: RÉPONSE UNIQUE.]
1)Oui
2)Non
3)NE SAIT PAS
4)REFUSÉ</t>
  </si>
  <si>
    <t>if income_main_fish_check = 1-4, go to [income_main_comp OR optional question]</t>
  </si>
  <si>
    <t>income_main_amount</t>
  </si>
  <si>
    <t>How much was earned [in CDF] from your main income source, {income_main}, in the past 3 months ?
[OPERATOR: MAKE SURE THE INFORMATION IS RECORDED IN THE CORRECT CURRENCY. ENTER 8888888 FOR DON'T KNOW AND 9999999 FOR REFUSED.]</t>
  </si>
  <si>
    <t>Quelle somme [en CDF] a rapporté votre principale source de revenus, {income_main}, au cours des trois derniers mois?
[OPÉRATEUR/OPÉRATRICE: VÉRIFIER QUE LA RÉPONSE EST ENREGISTRÉE DANS LA BONNE DEVISE. SAISIR 8888888 POUR «NE SAIT PAS» ET 9999999 POUR «REFUSÉ».]</t>
  </si>
  <si>
    <t>1 - 2000000 = income_main_comp OR optional question
2000000 - 10000000 = income_main_amount_conf
8888888-8888888 = income_main_comp OR optional question
9999999-9999999 = income_main_comp OR optional question</t>
  </si>
  <si>
    <t>If the income amount is over the threshold set in "Additional information", the respondent will be asked to confirm with income_main_amount_conf. Otherwise, go to income_main_comp or optional question.</t>
  </si>
  <si>
    <t>We recommend using this pair of questions together.</t>
  </si>
  <si>
    <t>income_main_amount_conf</t>
  </si>
  <si>
    <t>Can you confirm the amount of income you just stated is correct?
[OPERATOR: IF THE AMOUNT EARNED FROM THIS INCOME SOURCE OVER THE PAST 3 MONTH IS INDEED OVER 2000000, CLICK ON CONTINUE. OTHERWISE, GO BACK AND CHANGE THE AMOUNT ENTERED.]
1)CONTINUE</t>
  </si>
  <si>
    <t>Pouvez-vous confirmer que le montant que vous venez de déclarer est correct?
[OPÉRATEUR/OPÉRATRICE: SI LE MONTANT ISSU DE CETTE SOURCE DE REVENU AU COURS DES TROIS DERNIERS MOIS EST SUPÉRIEUR AU 2000000, CLIQUER SUR CONTINUER. SINON, REVENIR EN ARRIÈRE ET MODIFIER LE MONTANT SAISI.]
1)CONTINUER</t>
  </si>
  <si>
    <t>1 = income_main_comp OR optional question</t>
  </si>
  <si>
    <t>if income_main_amount_conf = 1, go to income_main_comp or optional question</t>
  </si>
  <si>
    <t>income_main_gender</t>
  </si>
  <si>
    <t>What is the gender of the household member[s] generating income from this source? 
[OPERATOR: SINGLE RESPONSE.]
1)Male
2)Female
3)Joint [both male &amp; female]
4)DON'T KNOW
5)REFUSED</t>
  </si>
  <si>
    <t>Quel est le sexe du ou des membres du ménage qui génèrent des revenus de cette source? 
[OPÉRATEUR/OPÉRATRICE: RÉPONSE UNIQUE].
1)Homme
2)Femme
3)Mixte [homme et femme]
4)NE SAIT PAS
5)REFUSÉ</t>
  </si>
  <si>
    <t>1-5 = [income_main_comp OR optional question]</t>
  </si>
  <si>
    <t>if income_main_gender = 1-5, go to income_main_comp or optional question</t>
  </si>
  <si>
    <t>income_main_control</t>
  </si>
  <si>
    <t>Who controls the revenue that is earned from this source? 
[OPERATOR: SINGLE RESPONSE.]
1)Male household member[s]
2)Female household member[s]
3)Joint household members [both female &amp; male]
4)DON'T KNOW
5)REFUSED</t>
  </si>
  <si>
    <t>Qui contrôle les revenus qui proviennent de cette source? 
[OPÉRATEUR/OPÉRATRICE: RÉPONSE UNIQUE].
1)Membre[s] masculin[s] du ménage
2)Membre[s] féminin[s] du ménage
3)Membres du ménage conjointement [femme et homme]
4)NE SAIT PAS
5)REFUSÉ</t>
  </si>
  <si>
    <t>1-5 = income_main_comp</t>
  </si>
  <si>
    <t>if income_main_control = 1-5, go to income_main_comp</t>
  </si>
  <si>
    <t>income_main_comp</t>
  </si>
  <si>
    <t>Le revenu de votre ménage provenant de {income_main} a-t-il changé au cours des trois derniers mois par rapport à la même période de l'année dernière? 
[OPÉRATEUR/OPÉRATRICE: RÉPONSE UNIQUE.]
1)Très supérieur [augmentation de plus de 50%]
2)Légèrement supérieur
3)Identique
5)Légèrement inférieur
5)Très inférieur [moins de la moitié]
6)NE SAIT PAS
7)REFUSÉ</t>
  </si>
  <si>
    <t>1-7= income_sec</t>
  </si>
  <si>
    <t>if income_main_comp = 1-7, go to income_sec</t>
  </si>
  <si>
    <t>income_sec</t>
  </si>
  <si>
    <t>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</si>
  <si>
    <t>Quelle était la deuxième source principale de revenus de votre ménage au cours des trois derniers mois?
[OPÉRATEUR/OPÉRATRICE: RÉPONSE UNIQUE. LES OPTIONS «NE SAIT PAS» ET «REFUSÉ» DOIVENT ÊTRE ÉVITÉES AUTANT QUE POSSIBLE].
1)Production et vente de cultures vivrières
2)Production et vente de légumes ou de fruits 
3)Production et vente de cultures de rente
4)Production et vente de bétail et de produits animaux
5)Production et vente de miel ou de produits apicoles
6)Production et vente de poisson 
7)Collecte et vente de produits forestiers ou de brousse
8)Commerce agricole EXCLUANT les producteurs [formel ou informel]
9)Salaire journalier dans une exploitation et autres emplois occasionnels dans le secteur agricole
10)Emploi stable dans le secteur agricole 
11)Indépendant non-agricole ou profession libérale / médecin / architecte / avocat / y compris restaurant
12)Salaire journalier hors exploitation et autres emplois occasionnels non agricoles
13)Emploi stable dans le secteur non-agricole
14)Emploi public 
15)Revenu non tiré du travail / Charité
16)Revenu non tiré du travail / Transferts sociaux, pension, aide humanitaire
17)Revenu non tiré du travail / Envois de fonds des migrants
18)Revenu non tiré du travail / Revenu d'autres loyers
19)Pas de deuxième source principale de revenus
20)NE SAIT PAS
21)REFUSÉ</t>
  </si>
  <si>
    <t>Form Type - Buttons
exclude selected "income_main"
IsDemographic</t>
  </si>
  <si>
    <t>1-3 = income_sec_crop_check
4 = income_sec_ls_check
5 = income_sec_comp OR optional question
6 = income_sec_fish_check
7-18 = income_sec_comp OR optional question
19-21 = shock</t>
  </si>
  <si>
    <t>if options #1-3 selected, go to income_sec_crop_check
if options #4 selected, go to income_sec_ls_check
if options #6 selected, go to income_sec_fish_check 
if options #5, 7-18 selected, go to [income_sec_comp OR optional question]
if options #19-21 selected, go to shock</t>
  </si>
  <si>
    <t>income_sec_crop_check</t>
  </si>
  <si>
    <t>1-4 = income_sec_comp OR optional question</t>
  </si>
  <si>
    <t>if income_sec_crop_check = 1-4, go to [income_sec_comp OR optional question]</t>
  </si>
  <si>
    <t>income_sec_ls_check</t>
  </si>
  <si>
    <t>if income_sec_ls_check = 1-4, go to [income_sec_comp OR optional question]</t>
  </si>
  <si>
    <t>income_sec_fish_check</t>
  </si>
  <si>
    <t>if income_sec_fish_check = 1-4, go to [income_sec_comp OR optional question]</t>
  </si>
  <si>
    <t>income_sec_amount</t>
  </si>
  <si>
    <t>How much was earned [in CDF] from your second main income source, {income_sec}, in the past 3 months ?
[OPERATOR: MAKE SURE THE INFORMATION IS RECORDED IN THE CORRECT CURRENCY. ENTER 8888888 FOR DON'T KNOW AND 9999999 FOR REFUSED.]</t>
  </si>
  <si>
    <t>Quelle somme [en CDF] a rapporté votre deuxième principale source de revenu, {income_sec}, au cours des trois derniers mois?
[OPÉRATEUR/OPÉRATRICE: VÉRIFIER QUE LA RÉPONSE EST ENREGISTRÉE DANS LA BONNE DEVISE. SAISIR 8888888 POUR «NE SAIT PAS» ET 9999999 POUR «REFUSÉ».]</t>
  </si>
  <si>
    <t>1 - 2000000 = income_sec_comp or optional question
2000000 - 10000000 = income_sec_amount_conf
8888888-8888888 = income_sec_comp or optional question
9999999-9999999 = income_sec_comp or optional question</t>
  </si>
  <si>
    <t>If the income amount is over the threshold set in "Additional information", the respondent will be asked to confirm with income_sec_amount_conf. Otherwise, go to income_sec_comp.</t>
  </si>
  <si>
    <t>income_sec_amount_conf</t>
  </si>
  <si>
    <t>1 = income_sec_comp or optional question</t>
  </si>
  <si>
    <t>if income_sec_amount_conf = 1, go to income_sec_comp</t>
  </si>
  <si>
    <t>income_sec_gender</t>
  </si>
  <si>
    <t>1-5 = [income_sec_comp OR optional question]</t>
  </si>
  <si>
    <t>if income_sec_gender = 1-5, go to income_sec_comp or optional question</t>
  </si>
  <si>
    <t>income_sec_comp</t>
  </si>
  <si>
    <t>Le revenu de votre ménage provenant de {income_sec} a-t-il changé au cours des trois derniers mois par rapport à la même période de l'année dernière? 
[OPÉRATEUR/OPÉRATRICE: RÉPONSE UNIQUE.]
1)Très supérieur [augmentation de plus de 50%]
2)Légèrement supérieur
3)Identique
5)Légèrement inférieur
5)Très inférieur [moins de la moitié]
6)NE SAIT PAS
7)REFUSÉ</t>
  </si>
  <si>
    <t>1-7= income_third</t>
  </si>
  <si>
    <t>if income_sec_comp = 1-7, go to income_third</t>
  </si>
  <si>
    <t>income_third</t>
  </si>
  <si>
    <t>What was your household's third most important source of income in the past 3 months?
[OPERATOR: SINGLE RESPONSE. DON'T KNOW AND REFUSED OPTIONS SHOULD RARELY/NOT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</si>
  <si>
    <t>Quelle était la troisième source principale de revenus de votre ménage au cours des trois derniers mois?
[OPÉRATEUR/OPÉRATRICE: RÉPONSE UNIQUE. LES OPTIONS «NE SAIT PAS» ET «REFUSÉ» DOIVENT ÊTRE ÉVITÉES AUTANT QUE POSSIBLE].
1)Production et vente de cultures vivrières
2)Production et vente de légumes ou de fruits 
3)Production et vente de cultures de rente
4)Production et vente de bétail et de produits animaux
5)Production et vente de miel ou de produits apicoles
6)Production et vente de poisson 
7)Collecte et vente de produits forestiers ou de brousse
8)Commerce agricole EXCLUANT les producteurs [formel ou informel]
9)Salaire journalier dans une exploitation et autres emplois occasionnels dans le secteur agricole
10)Emploi stable dans le secteur agricole 
11)Indépendant non-agricole ou profession libérale / médecin / architecte / avocat / y compris restaurant
12)Salaire journalier hors exploitation et autres emplois occasionnels non agricoles
13)Emploi stable dans le secteur non-agricole
14)Emploi public 
15)Revenu non tiré du travail / Charité
16)Revenu non tiré du travail / Transferts sociaux, pension, aide humanitaire
17)Revenu non tiré du travail / Envois de fonds des migrants
18)Revenu non tiré du travail / Revenu d'autres loyers
19)Pas de troisième source principale de revenus
20)NE SAIT PAS
21)REFUSÉ</t>
  </si>
  <si>
    <t>Form Type - Buttons
exclude selected "income_main"
exclude selected "income_sec"
IsDemographic</t>
  </si>
  <si>
    <t>1-3 = income_third_crop_check
4 = income_third_ls_check
5 = income_third_comp OR optional question
6 = income_third_fish_check
7-18 = income_third_comp OR optional question
19-21 = shock</t>
  </si>
  <si>
    <t>if options #1-3 selected, go to income_third_crop_check
if options #4 selected, go to income_third_ls_check
if option #6 selected, go to income_third_fish_check 
if options #5, 7-18 selected, go to [income_third_comp OR optional question] 
if options #19-21 selected, go to shock</t>
  </si>
  <si>
    <t>income_third_crop_check</t>
  </si>
  <si>
    <t>1-4 = income_third_comp OR optional question</t>
  </si>
  <si>
    <t>if income_third_crop_check = 1-4, go to [income_third_comp OR optional question]</t>
  </si>
  <si>
    <t>income_third_ls_check</t>
  </si>
  <si>
    <t>if income_third_ls_check = 1-4, go to [income_third_comp OR optional question]</t>
  </si>
  <si>
    <t>income_third_fish_check</t>
  </si>
  <si>
    <t>if income_third_fish_check = 1-4, go to [income_third_comp OR optional question]</t>
  </si>
  <si>
    <t>income_third_amount</t>
  </si>
  <si>
    <t>How much was earned [in CDF] from your third main source of income, {income_third}, in the past 3 months ?
[OPERATOR: MAKE SURE THE INFORMATION IS RECORDED IN THE CORRECT CURRENCY. ENTER 8888888 FOR DON'T KNOW AND 9999999 FOR REFUSED.]</t>
  </si>
  <si>
    <t>Quelle somme [en CDF] a rapporté votre troisième principale source de revenu, {income_sec}, au cours des trois derniers mois?
[OPÉRATEUR/OPÉRATRICE: VÉRIFIER QUE LA RÉPONSE EST ENREGISTRÉE DANS LA BONNE DEVISE. SAISIR 8888888 POUR «NE SAIT PAS» ET 9999999 POUR «REFUSÉ».]</t>
  </si>
  <si>
    <t>1 - 2000000 = income_third_comp or optional question
2000000 - 10000000 = income_third_amount_conf
8888888-8888888 = income_third_comp or optional question
9999999-9999999 = income_third_comp or optional question</t>
  </si>
  <si>
    <t>If the income amount is over the threshold set in "Additional information", the respondent will be asked to confirm with income_third_amount_conf. Otherwise, go to income_third_comp or optional question.</t>
  </si>
  <si>
    <t>income_third_amount_conf</t>
  </si>
  <si>
    <t>1 = income_third_comp or optional question</t>
  </si>
  <si>
    <t>if income_third_amount_conf = 1, go to income_third_comp or optional question</t>
  </si>
  <si>
    <t>income_third_comp</t>
  </si>
  <si>
    <t>Le revenu de votre ménage provenant de {income_third} a-t-il changé au cours des trois derniers mois par rapport à la même période de l'année dernière? 
[OPÉRATEUR/OPÉRATRICE: RÉPONSE UNIQUE.]
1)Très supérieur [augmentation de plus de 50%]
2)Légèrement supérieur
3)Identique
5)Légèrement inférieur
5)Très inférieur [moins de la moitié]
6)NE SAIT PAS
7)REFUSÉ</t>
  </si>
  <si>
    <t>1-7= shock</t>
  </si>
  <si>
    <t>if income_third_comp = 1-7, go to shock</t>
  </si>
  <si>
    <t>shock</t>
  </si>
  <si>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</si>
  <si>
    <t>Has your household or community faced any particular disaster or crisis affecting your household's ability to raise an income and/or to produce food for self consumption in the last 3 months,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</si>
  <si>
    <t>Au cours des trois derniers mois, est-ce que votre ménage ou votre communauté ont été confrontés à une catastrophe ou une crise particulières qui a atteint votre capacité à dégager un revenu et/ou à produire des aliments pour votre propre consommation? Si oui, lesquelles?
[OPÉRATEUR/OPÉRATRICE: SÉLECTIONNER LES CHOCS PERTINENTS SUBIS PAR LE MÉNAGE. PLUSIEURS RÉPONSES POSSIBLES. SE RÉFÉRER AUX CHOCS ÉCONOMIQUES, AUX CHOCS TOUCHANT LES RÉCOLTES ET LE BÉTAIL, AUX CHOCS INTRA-MÉNAGE, AUX RISQUES NATURELS ET AUX RISQUES D'ORIGINE HUMAINE]
1)Aucun choc
2)Maladie, accident ou décès d'un ou plusieurs membres du ménage [maladie du soutien de famille / dépenses médicales anormalement élevées / frais funéraires / décès du soutien de famille]
3)Perte d'emploi ou d'opportunités de travail [non due à la maladie ou à un accident]
4)Autre choc interne au ménage
5)Prix des denrées alimentaires anormalement élevés
6)Prix des carburants ou des transports anormalement élevés
7)Restrictions de mouvements de population [par exemple, en raison d'une épidémie ou de dommages causés aux infrastructures].
8)Autre choc économique 
9)Invasion d'organismes nuisibles
10)Maladie des plantes
11)Maladie animale [touchant de nombreux animaux] ou mort d'animaux
12)Accès difficile aux pâturages
13)Autre choc touchant les cultures et le bétail
14)Températures froides / grêle
15)Inondations / érosion des berges
16)Ouragan / cyclone / tornade
17)Sécheresse / stress dû à la chaleur
18)Tremblement de terre
19)Glissement de terrain
20)Incendie dû à une catastrophe naturelle
21)Autre risque naturel
22)Violence et insécurité / conflit
23)Vol d'actifs de production [terres/ bétail/ outils/ etc.]
24)Incendie dû à une catastrophe d'origine humaine
25)Autre risque d'origine humaine
26)NE SAIT PAS
27)REFUSÉ</t>
  </si>
  <si>
    <t>Form Type - Checklist 
1,26,27 = IsNone</t>
  </si>
  <si>
    <t>1-27 = [crp_intro or optional question]</t>
  </si>
  <si>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</si>
  <si>
    <t>if shock = 1-27, go to [crp_intro or optional question]</t>
  </si>
  <si>
    <t>hh_explanation</t>
  </si>
  <si>
    <t>If the household was affected by a major recent shock as indicated in this assessment [for example, an earthquake], what are the [already observed or expected] consequences for your household, in your own words?
[OPERATOR: RECORD IN FEW WORDS THE MAIN CONSEQUENCE OF THE RECENT SHOCKS. ENTER 88 FOR DON'T KNOW AND 99 FOR REFUSED.]</t>
  </si>
  <si>
    <t>Si votre ménage a récemment été concerné par un choc majeur mentionné dans cette évaluation [par exemple, un tremblement de terre], quelles en sont, selon vous et dans vos propres mots, les conséquences [déjà ressenties ou attendues] pour votre ménage?
[OPÉRATEUR/OPÉRATRICE: SAISIR EN QUELQUES MOTS LA PRINCIPALE CONSÉQUENCE DES RÉCENTS CHOCS. SAISIR 88 POUR «NE SAIT PAS» ET 99 POUR «REFUSÉ»].</t>
  </si>
  <si>
    <t>Any Response = covid</t>
  </si>
  <si>
    <t>For any response to hh_explanation, go to covid.</t>
  </si>
  <si>
    <t>D. CROP PRODUCTION</t>
  </si>
  <si>
    <t>crp_intro</t>
  </si>
  <si>
    <t>We will now ask you some questions about crop production which apply to you and anyone in your household that is involved in crop production or sales. All questions refer to the crops grown during Rainy season.
1)CONTINUE</t>
  </si>
  <si>
    <t>Send if "hh_agricactivity" "Equals" "Yes - crop production" Or "hh_agricactivity" "Equals" "Yes - both crop and livestock production" Or "income_main_crop_check" "Equals" "YES" Or "income_sec_crop_check" "Equals" "YES" Or "income_third_crop_check" "Equals" "YES", if not satisfied go to "crp_salesmain"</t>
  </si>
  <si>
    <t>1 = crp_landsize_num</t>
  </si>
  <si>
    <t>If hh_agricactivity = "Yes - crop production" or "Yes - both crop and livestock production" or if they reported production and sales of crops in one of the three main income sources and confirmed that they are involved in production, then this section will be asked to respondents.
Otherwise, skip to crp_salesmain.
Next question is crp_landsize_num</t>
  </si>
  <si>
    <t>crp_landsize_num</t>
  </si>
  <si>
    <t>What is the total size of the land you can cultivate?
[OPERATOR: RECORD THE TOTAL LAND SIZE PROVIDED BY THE RESPONDENT. WRITE 8888888 FOR DON'T KNOW AND 9999999 FOR REFUSED. MEASUREMENT UNIT WILL BE SPECIFIED IN THE FOLLOWING QUESTION.]</t>
  </si>
  <si>
    <t>Quelle superficie totale pouvez-vous cultiver?
[OPÉRATEUR/OPÉRATRICE: SAISIR LA TAILLE TOTALE DU TERRAIN SIGNALÉE PAR LE RÉPONDANT. ENTRER 8888888 POUR «NE SAIT PAS» ET 9999999 POUR «REFUSÉ» . L'UNITÉ DE MESURE SERA PRÉCISÉE À LA QUESTION SUIVANTE].</t>
  </si>
  <si>
    <t>0-1000000 = crp_landsize_unit
8888888-8888888 = crp_main
9999999-9999999 = crp_main</t>
  </si>
  <si>
    <t>For any response, go to crp_landsize_unit. Range is between 0 and 1000000. For "Don't know" and "Refused", go to crp_main.</t>
  </si>
  <si>
    <t>crp_landsize_unit</t>
  </si>
  <si>
    <t>1-5 = crp_main</t>
  </si>
  <si>
    <t>if crp_landsize_unit = 1-5, go to crp_main</t>
  </si>
  <si>
    <t>crp_main</t>
  </si>
  <si>
    <t>Form Type - Dropdown
IsDemographic</t>
  </si>
  <si>
    <t>1-90 = crp_irrig_source
91 = crp_main_check
92-93 = crp_salesmain</t>
  </si>
  <si>
    <t>$CROP CODES$</t>
  </si>
  <si>
    <t>if crp_main = any type of crop, go to crp_irrig_source;
if crp_main = "No crop production", go to crp_main_check
if crp_main = "Don't know" or "Refused", go to crp_salesmain</t>
  </si>
  <si>
    <t>crp_main_check</t>
  </si>
  <si>
    <t>1 = crp_salesmain
2 = crp_proddif</t>
  </si>
  <si>
    <t>if crp_main_check = 1, go to crp_salesmain
if crp_main_check = 2, go to crp_proddif</t>
  </si>
  <si>
    <t>crp_irrig_source</t>
  </si>
  <si>
    <t>Where do you normally and mainly obtain water for the production of {crp_main}? 
[OPERATOR: SINGLE RESPONSE.]
1)Rainfed
2)Groundwater
3)Natural surface water [river / lake / stream / pond / etc.]
4)Constructed water point [canal / dam / etc.]
5)Public water supply system [e.g. tap water]
6)Other [specify]
7)DON'T KNOW
8)REFUSED</t>
  </si>
  <si>
    <t>Quelle est normalement votre principale source d'eau pour la production de {crp_main}? 
[OPÉRATEUR/OPÉRATRICE: RÉPONSE UNIQUE.]
1)Pluie
2)Eaux souterraines
3)Eaux de surface naturelles [rivière / lac / ruisseau / étang / etc.]
4)Point d'eau artificiel [canal / barrage /etc.] 
5)Système public d'approvisionnement en eau [par ex. eau du robinet]
6)Autre [préciser]
7)NE SAIT PAS
8)REFUSÉ</t>
  </si>
  <si>
    <t>1-8 = crp_area_change OR optional question</t>
  </si>
  <si>
    <t>if crp_irrig_source = 1-8, go to [crp_area_change or optional question]</t>
  </si>
  <si>
    <t>crp_seed_supply</t>
  </si>
  <si>
    <t>crp_seed_supply
1) crp_seed_ownprod
2) crp_seed_market
3) crp_seed_company
4) crp_seed_ngo
5) crp_seed_organized_community
6) crp_seed_gov
7) crp_seed_relatives_friends
8) crp_seed_other
9) crp_seed_dk
10) crp_seed_ref</t>
  </si>
  <si>
    <t>Who do you normally procure your seeds from? 
[OPERATOR: MULTIPLE RESPONSES POSSIBLE.]
1)Own production
2)Local market or agro-input shop/dealer
3)Private seed company
4)NGOs
5)Community seed banks / farmer networks / farmers' association / etc.
6)Government [e.g. MoA]
7)Relatives or friends
8)Other
9)DON'T KNOW
10)REFUSED</t>
  </si>
  <si>
    <t>Où vous procurez-vous habituellement vos semences?
[OPÉRATEUR/OPÉRATRICE: PLUSIEURS RÉPONSES POSSIBLES.]
1)Propre production
2)Marché local ou magasin / négociant d'intrants agricoles
3)Entreprises privées de semences
4)ONG
5)Banques de semences communautaires / réseaux de cultivateurs / associations de cultivateurs / etc.
6)Gouvernement [par ex., ministère de l'Agriculture]
7)Famille ou amis 
8)Autre
9)NE SAIT PAS
10)REFUSÉ</t>
  </si>
  <si>
    <t xml:space="preserve">Select All That Apply </t>
  </si>
  <si>
    <t>Form Type - Checklist
9,10 = IsNone</t>
  </si>
  <si>
    <t>1-10 = crp_area_change</t>
  </si>
  <si>
    <t>1)crp_seed_ownprod
2)crp_seed_market
3)crp_seed_company
4)crp_seed_ngo
5)crp_seed_organized_community
6)crp_seed_gov
7)crp_seed_relatives_friends
8)crp_seed_other
9)crp_seed_dk
10)crp_seed_ref</t>
  </si>
  <si>
    <t>if crp_seed_supply = 1-10, go to crp_area_change</t>
  </si>
  <si>
    <t>crp_area_change</t>
  </si>
  <si>
    <t>1-7 = crp_harv_change</t>
  </si>
  <si>
    <t>if crp_area_change = 1-7, go to crp_harv_change</t>
  </si>
  <si>
    <t>crp_harv_change</t>
  </si>
  <si>
    <t>1-7 = crp_proddif OR crp_harv_vol</t>
  </si>
  <si>
    <t>if crp_harv_change = 1-7, go to [crp_proddif or crp_harv_vol]</t>
  </si>
  <si>
    <t>crp_harv_vol</t>
  </si>
  <si>
    <t>How much [threshed] {crp_main} did you harvest this Rainy season?
[OPERATOR: RECORD THE RESPONSE GIVEN. UNIT OF MEASUREMENT TO BE SPECIFIED IN NEXT QUESTION. ENTER 8888888 FOR DON'T KNOW &amp; 9999999 FOR REFUSED, TO BE USED RARELY - PROBE!]</t>
  </si>
  <si>
    <t>1-1000000 = crp_harv_unit
8888888-8888888 =  crp_proddif
9999999-9999999 =  crp_proddif</t>
  </si>
  <si>
    <t>For any response, go to crp_harv_unit. For "Don't know" or "Refused", go to crp_proddif</t>
  </si>
  <si>
    <t xml:space="preserve">Keep this block of questions together, if used.
</t>
  </si>
  <si>
    <t>crp_harv_unit</t>
  </si>
  <si>
    <t>Unit of measurement for harvested {crp_main} :
[OPERATOR: SINGLE SELECTION]
1)Kilograms [kgs]
2)Tonnes
3)Ounces
4)Pounds
5)Bags
6)Boxes
7)Bundles
8)Packets
9)Other [specify]</t>
  </si>
  <si>
    <t>Unité de mesure pour la/le {crp_main} récolté[e]:
[OPÉRATEUR/OPÉRATRICE: RÉPONSE UNIQUE.]
1)Kilogrammes [kg]
2)Tonnes
3)Onces
4)Livres
5)Sacs
6)Boîtes
7)Fagots
8)Paquets
9)Autre [préciser]</t>
  </si>
  <si>
    <t>Form Type - RadioList
IsDemographic</t>
  </si>
  <si>
    <t>1-4 = crp_harv_lastyr
5-9 = crp_harv_unit_kg</t>
  </si>
  <si>
    <t>If crp_harv_unit = 1-4, go to crp_harv_lastyr
If crp_harv_unit = 5-9, go to crp_harv_unit_kg</t>
  </si>
  <si>
    <t>crp_harv_unit_kg</t>
  </si>
  <si>
    <t>How many kilograms [kgs] in each unit?
[OPERATOR: RECORD THE AMOUNT GIVEN. ENTER 88888 FOR DON'T KNOW &amp; 99999 FOR REFUSED]</t>
  </si>
  <si>
    <t>Combien de kilogrammes [kg] chaque unité contient-elle?
[OPÉRATEUR/OPÉRATRICE:  SAISIR LA QUANTITÉ ANNONCÉE. SAISIR 88888 POUR «NE SAIT PAS» ET 99999 POUR «REFUSÉ».]</t>
  </si>
  <si>
    <t>1-10000 = crp_harv_lastyr
88888-88888 =  crp_harv_lastyr
99999-99999 =  crp_harv_lastyr</t>
  </si>
  <si>
    <t>For any response, go to crp_harv_lastyr</t>
  </si>
  <si>
    <t>crp_harv_lastyr</t>
  </si>
  <si>
    <t>How many {crp_harv_unit} of [threshed] {crp_main} did you harvest last year during the same season?
[OPERATOR: RECORD THE RESPONSE GIVEN. ENTER 8888888 FOR DON'T KNOW &amp; 9999999 FOR REFUSED, TO BE USED RARELY - PROBE!]</t>
  </si>
  <si>
    <t>Combien de {crp_harv_unit} de {crp_main} [battu] avez-vous récolté l'année dernière au cours de la même saison?
[OPÉRATEUR/OPÉRATRICE: SAISIR LA RÉPONSE DONNÉE. ENTRER 8888888 POUR «NE SAIT PAS» ET 9999999 POUR «REFUSÉ», À UTILISER LE MOINS POSSIBLE - DEMANDER DES PRÉCISIONS!]</t>
  </si>
  <si>
    <t>1-1000000 = crp_proddif
8888888-8888888 = crp_proddif
9999999-9999999 = crp_proddif</t>
  </si>
  <si>
    <t>For any response, go to crp_proddif</t>
  </si>
  <si>
    <t>crp_proddif</t>
  </si>
  <si>
    <t>Has your household faced any significant difficulty in terms of crop production in Rainy season?
[OPERATOR: SINGLE RESPONSE.]
1)YES
2)NO
3)DON'T KNOW
4)REFUSED</t>
  </si>
  <si>
    <t>1 = crp_proddif_2
2-4 = [crp_salesmain or optional question]</t>
  </si>
  <si>
    <t>if crp_proddif = 1, go to crp_proddif_2 ; 
if crp_proddif = 2-4, go to [crp_salesmain or optional question]</t>
  </si>
  <si>
    <t>crp_proddif_2</t>
  </si>
  <si>
    <t>crp_proddif_
1) crp_proddif_plant_disease
2) crp_proddif_pest_outbreak
3) crp_proddif_animal_grazing
4) crp_proddif_access_plot
5) crp_proddif_access_fertilize
6) crp_proddif_seed_quality
7) crp_proddif_seed_quantity
8) crp_proddif_access_pesticide
9) crp_proddif_access_labour
10) crp_proddif_access_machinery
11) crp_proddif_access_fuel
12) crp_proddif_soil_erosion
13) crp_proddif_lack_irrigation
14) crp_proddif_excess_water
15) crp_proddif_access_credit
16) crp_proddif_other
17) crp_proddif_dk
18) crp_proddif_ref</t>
  </si>
  <si>
    <t>Which difficulty has your household faced with crop production in Rainy season?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</si>
  <si>
    <t>Form Type - Checklist
17,18 = IsNone</t>
  </si>
  <si>
    <t>1-18 = [crp_salesmain OR optional question]</t>
  </si>
  <si>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</si>
  <si>
    <t>if crp_proddif_2 = 1-18, go to [crp_salesmain OR optional question]</t>
  </si>
  <si>
    <t>crp_storage</t>
  </si>
  <si>
    <t>Last year, what proportion of your {crp_main} stock did you lose [to pests, rotting, mould, etc.] after the harvest?
[OPERATOR: SINGLE RESPONSE.]
1)None
2)A little
3)An important part of it, but less than half
4)Most of it [half or more]
5)Almost everything 
6)Everything
7)DON'T KNOW
8)REFUSED</t>
  </si>
  <si>
    <t>L'année dernière, quelle part du stock de votre {crp_main} avez-vous perdue [en raison des parasites, de la pourriture, de la moisissure, etc.] après la récolte?
[OPÉRATEUR/OPÉRATRICE: RÉPONSE UNIQUE.]
1)Aucune
2)Une petite part
3)Une part importante, mais moins de la moitié
4)Une grande part [la moitié ou plus]
5)La presque totalité 
6)La totalité
7)NE SAIT PAS
8)REFUSÉ</t>
  </si>
  <si>
    <t>Send if "crp_main" "Equals" "Rice" Or "crp_main" "Equals" "Wheat" Or "crp_main" "Equals" "Millet" Or "crp_main" "Equals" "Sorghum" Or "crp_main" "Equals" "Maize" Or "crp_main" "Equals" "Barley" Or "crp_main" "Equals" "Other Cereal" Or "crp_main" "Equals" "Cassava" Or "crp_main" "Equals" "Potatoe" Or "crp_main" "Equals" "Sweet Potatoes" Or "crp_main" "Equals" "Yams" Or "crp_main" "Equals" "Carrots" Or "crp_main" "Equals" "Cocoyam" Or "crp_main" "Equals" "Other tubers" Or "crp_main" "Equals" "Beans" Or "crp_main" "Equals" "Lentils" Or "crp_main" "Equals" "Peas" Or "crp_main" "Equals" "Soybeans" Or "crp_main" "Equals" "Chickpeas" Or "crp_main" "Equals" "Fava beans" Or "crp_main" "Equals" "Broad beans" Or "crp_main" "Equals" "Other pulses" Or "crp_main" "Equals" "Cabbage" Or "crp_main" "Equals" "Lettuce" Or "crp_main" "Equals" "Spinach-Amaranth" Or "crp_main" "Equals" "Cassava leaves" Or "crp_main" "Equals" "Potatoe leaves" Or "crp_main" "Equals" "Moringa" Or "crp_main" "Equals" "Sorrel Hibiscus / Rosselle" Or "crp_main" "Equals" "Green salad herbs [thyme / parsley / mint / rocca / other]" Or "crp_main" "Equals" "Cauliflower" Or "crp_main" "Equals" "Other leafy vegetables" Or "crp_main" "Equals" "Tomatoes" Or "crp_main" "Equals" "Cucumber" Or "crp_main" "Equals" "Pumpkin" Or "crp_main" "Equals" "Eggplant/aubergine" Or "crp_main" "Equals" "Zucchini" Or "crp_main" "Equals" "Okra" Or "crp_main" "Equals" "Bell pepper" Or "crp_main" "Equals" "Onions" Or "crp_main" "Equals" "Haricot" Or "crp_main" "Equals" "Green peas" Or "crp_main" "Equals" "Fava beans green" Or "crp_main" "Equals" "Other non leafy vegs" Or "crp_main" "Equals" "Orange" Or "crp_main" "Equals" "Lemon" Or "crp_main" "Equals" "Grapefruit" Or "crp_main" "Equals" "Mandarins/clementines" Or "crp_main" "Equals" "Other citrus fruit" Or "crp_main" "Equals" "Sweet Banana" Or "crp_main" "Equals" "Plantains" Or "crp_main" "Equals" "Papaya" Or "crp_main" "Equals" "Mango" Or "crp_main" "Equals" "Guava" Or "crp_main" "Equals" "Pineapple" Or "crp_main" "Equals" "Avocado" Or "crp_main" "Equals" "Water Melon" Or "crp_main" "Equals" "Dates" Or "crp_main" "Equals" "Figs" Or "crp_main" "Equals" "Grapes" Or "crp_main" "Equals" "Olives" Or "crp_main" "Equals" "Apple" Or "crp_main" "Equals" "Apricot" Or "crp_main" "Equals" "Cherries" Or "crp_main" "Equals" "Peach/nectarine" Or "crp_main" "Equals" "Strawberries" Or "crp_main" "Equals" "Melon [Cantaloupe]" Or "crp_main" "Equals" "Other fruit" Or "crp_main" "Equals" "Coconuts" Or "crp_main" "Equals" "Groundnut/peanut" Or "crp_main" "Equals" "Cashew Nut" Or "crp_main" "Equals" "Kola Nut" Or "crp_main" "Equals" "Sesame" Or "crp_main" "Equals" "Bambara nut" Or "crp_main" "Equals" "Almond" Or "crp_main" "Equals" "Walnut" Or "crp_main" "Equals" "Other nuts" Or "crp_main" "Equals" "Cocoa" Or "crp_main" "Equals" "Coffee" Or "crp_main" "Equals" "Tea" Or "crp_main" "Equals" "Sugarcane" Or "crp_main" "Equals" "Sunflower" Or "crp_main" "Equals" "Other food cash crop" Or "crp_main" "Equals" "Cotton" Or "crp_main" "Equals" "Rubber" Or "crp_main" "Equals" "Jute" Or "crp_main" "Equals" "Fodder" Or "crp_main" "Equals" "Tobacco" Or "crp_main" "Equals" "Qat" Or "crp_main" "Equals" "Other non-food cash crop" if not satisfied go to "crp_salesmain",</t>
  </si>
  <si>
    <t>1-8 = crp_salesmain or optional question</t>
  </si>
  <si>
    <t>if the respondent has listed any crop as a main crop, they will be administered this question. If not, they will be sent to the crop marketing module, since the rest of the questions reference the main crop specifically in the question text. 
if crp_storage =  1-8, go to crp_salesmain or optional question</t>
  </si>
  <si>
    <t>D. CROP MARKETING</t>
  </si>
  <si>
    <t>crp_salesmain</t>
  </si>
  <si>
    <t>What has been the main crop that you have sold over the last 3 months?
[OPERATOR: "No crop sold in the last 3 months" APPEARS AT THE END OF THE LIST OF OPTIONS. SELECT ALL CROPS LISTED BY THE RESPONDENT.]
1)Millet
2)Sorghum
3)Maize
4)Cassava
5)Potatoe
6)Beans
7)Soybeans
8)Plantains
9)Papaya
10)Groundnut/peanut
11)Coffee
12)Rice
13)Wheat
14)Barley
15)Other Cereal
16)Sweet Potatoes
17)Yams
18)Carrots
19)Cocoyam
20)Other tubers
21)Lentils
22)Peas
23)Chickpeas
24)Fava beans
25)Broad beans
26)Other pulses
27)Cabbage
28)Lettuce
29)Spinach-Amaranth
30)Cassava leaves
31)Potatoe leaves
32)Moringa
33)Sorrel Hibiscus / Rosselle
34)Green salad herbs [thyme, parsley, mint, rocca, other]
35)Cauliflower
36)Other leafy vegetables
37)Tomatoes
38)Cucumber
39)Pumpkin
40)Eggplant/aubergine
41)Zucchini
42)Okra
43)Bell pepper
44)Onions
45)Haricot
46)Green peas
47)Fava beans green
48)Other non leafy vegs
49)Orange
50)Lemon
51)Grapefruit
52)Mandarins/clementines
53)Other citrus fruit
54)Sweet Banana
55)Mango
56)Guava
57)Pineapple
58)Avocado
59)Water Melon
60)Dates
61)Figs
62)Grapes
63)Olives
64)Apple
65)Apricot
66)Cherries
67)Peach/nectarine
68)Strawberries
69)Melon [Cantaloupe]
70)Other fruit
71)Coconuts
72)Cashew Nut
73)Kola Nut
74)Sesame
75)Bambara nut
76)Almond
77)Walnut
78)Other nuts
79)Cocoa
80)Tea
81)Sugarcane
82)Sunflower
83)Other food cash crop
84)Cotton
85)Rubber
86)Jute
87)Fodder
88)Tobacco
89)Qat
90)Other non-food cash crop
91)No crop sold in the last 3 months
92)DON'T KNOW
93)REFUSED</t>
  </si>
  <si>
    <t>Quelle a été la principale récolte que vous avez vendue au cours des 3 derniers mois 
[OPERATEUR /OPÉRATRICE: "Pas de culture vendue sur les 3 derniers mois" FIGURE DANS LES DERNIÈRES OPTIONS DE RÉPONSE. SÉLECTIONNER TOUTES LES CULTURES LISTÉES PAR LE RÉPONDANT.]
1)Mil
2)Sorgho
3)Maïs
4)Manioc
5)Pommes de terre
6)Haricots
7)Soja
8)Banane plantain
9)Papaye
10)Arachide / cacahuète
11)Café
12)Riz
13)Blé
14)Orge
15)Autres céréales
16)Patates douces
17)Ignames
18)Carottes
19)Chou caraïbe
20)Autres tubercules
21)Lentilles
22)Pois
23)Pois chiches
24)Fève
25)Fève large
26)Autres légumineuses
27)Choux
28)Laitue
29)Epinards-Amaranthe
30)Feuilles de manioc
31)Feuilles de pomme de terre
32)Moringa
33)Oseille Hibiscus / Rosselle
34)Herbes aromatiques [thym, persil, menthe, rocca, autres]
35)Choux-fleur
36)Autres légumes à feuilles
37)Tomates
38)Concombre
39)Citrouille
40)Aubergines/aubergines
41)Courgettes
42)Okra
43)Poivrons
44)Oignons
45)Haricot 
46)Petit pois
47)Pois fève
48)Autres légumes non feuillus
49)Orange
50)Citron
51)Pamplemousse
52)Tangerine/clémentine
53)Autres agrumes
54)Banane douce
55)Mangue
56)Goyave
57)Ananas
58)Avocat
59)Pastèques
60)Dattes
61)Figues
62)Raisins
63)Olives
64)Pomme
65)Abricot
66)Cerises
67)Pêche/nectarine
68)Fraises
69)Melon
70)Autres fruits
71)Noix de coco
72)Noix de cajou
73)Noix de kola
74)Sésame
75)Noix de bambara
76)Amande
77)Noix
78)Autres fruits à coque
79)Cacao
80)Thé
81)Canne à sucre
82)Tournesol
83)Autres cultures vivrières de rente
84)Coton
85)Caoutchouc
86)Jute
87)Fourrage
88)Tabac
89)Qat
90)Autre culture de rente non alimentaire
91)Pas de récolte vendue pendant les 3 derniers mois
92)NE SAIT PAS
93)REFUSÉ</t>
  </si>
  <si>
    <t>Send if "income_main" "Equals" "Production and sale of staple crops" Or "income_main" "Equals" "Production and sale of vegetable or fruit" Or "income_main" "Equals" "Production and sale of cashcrops" Or "income_sec" "Equals" "Production and sale of staple crops" Or "income_sec" "Equals" "Production and sale of vegetable or fruit" Or "income_sec" "Equals" "Production and sale of cashcrops"  Or "income_third" "Equals" "Production and sale of staple crops" Or "income_third" "Equals" "Production and sale of vegetable or fruit" Or "income_third" "Equals" "Production and sale of cashcrops", if not satisfied go to "ls_intro"</t>
  </si>
  <si>
    <t>1-90 = crp_salesdif
91-92 = ls_intro</t>
  </si>
  <si>
    <t>$CROP SOLD CODES$</t>
  </si>
  <si>
    <t>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crp_salesdif
If "Don't know" or "Refused", go to ls_intro</t>
  </si>
  <si>
    <t>crp_salesdif</t>
  </si>
  <si>
    <t>Has your household faced any significant difficulty in the last 3 months selling your {crp_salesmain}?
[OPERATOR: SINGLE RESPONSE.]
1)YES
2)NO
3)DON'T KNOW
4)REFUSED</t>
  </si>
  <si>
    <t>Au cours des trois derniers mois, votre ménage a-t-il rencontré d'importantes difficultés pour vendre ses récoltes de {crp_salesmain}?
[OPÉRATEUR/OPÉRATRICE: RÉPONSE UNIQUE.]
1)Oui
2)Non
3)NE SAIT PAS
4)REFUSÉ</t>
  </si>
  <si>
    <t>1 = crp_salesdif_2
2-4 = crp_salesprice</t>
  </si>
  <si>
    <t>if crp_salesdif = 1, go to crp_salesdif_2 ; 
if crp_salesdif = 2-4, go to crp_salesprice</t>
  </si>
  <si>
    <t>crp_salesdif_2</t>
  </si>
  <si>
    <t>crp_saledif_
1) crp_saledif_marketing_cost
2) crp_saledif_damage_losses
3) crp_saledif_low_demand
4) crp_saledif_pay_delay
5) crp_saledif_low_price
6) crp_saledif_processing
7) crp_saledif_competition
8) crp_saledif_other
9) crp_saledif_dk
10) crp_saledif_ref</t>
  </si>
  <si>
    <t>Which difficulties has your household faced in the last 3 months selling your {crp_salesmain}?
[OPERATOR: MULTIPLE RESPONSES POSSIBLE. SELECT OPTION(S) THAT BEST FIT THE INFORMATION PROVIDED BY THE RESPONDENTS.]
1)High transportation or other marketing costs
2)Damages and losses due to storage difficulties and/or difficulty accessing the market [e.g. insecurity, poor infrastructure, etc.]
3)Lack of demand from usual traders or buyers
4)Payment delays from traders / buyers
5)Low selling prices [e.g. compared to input prices / inflation]
6)Difficulty processing product [lack of processing inputs / equipment / etc]
7)Market flooded with products
8)Other
9)DON'T KNOW
10)REFUSED</t>
  </si>
  <si>
    <t>Quelles difficultés votre ménage a-t-il rencontrées au cours des trois derniers mois pour vendre ses cultures principales, {crp_salesmain}?
[OPÉRATEUR/OPÉRATRICE: PLUSIEURS RÉPONSES POSSIBLES. SÉLECTIONNER LA OU LES OPTIONS QUI CORRESPONDENT LE MIEUX AUX INFORMATIONS PROPOSÉES PAR LE RÉPONDANT.]
1)Coûts de transport ou autres coûts de commercialisation élevés
2)Dommages et pertes dus à des difficultés de stockage et/ou d'accès au marché [par exemple, insécurité, mauvaises infrastructures, etc.]
3)Baisse de la demande des commerçants ou clients habituels
4)Retards de paiement de la part des négociants/acheteurs
5)Faible prix de vente [par exemple, par rapport aux prix des intrants / inflation] 
6)Difficulté de transformation de la production [manque d'intrants / d'équipements de transformation / etc.]
7)Marchés saturés
8)Autre
9)NE SAIT PAS
10)REFUSÉ</t>
  </si>
  <si>
    <t>1-10 = crp_salesprice</t>
  </si>
  <si>
    <t>1)crp_saledif_marketing_cost
2)crp_saledif_damage_losses
3)crp_saledif_low_demand
4)crp_saledif_pay_delay
5)crp_saledif_low_price
6)crp_saledif_processing
7)crp_saledif_competition
8)crp_saledif_other
9)crp_saledif_dk
10)crp_saledif_ref</t>
  </si>
  <si>
    <t>if crp_salesdif_2 = 1-10, go to crp_salesprice</t>
  </si>
  <si>
    <t>crp_salesprice</t>
  </si>
  <si>
    <t>Comment évaluez-vous le prix actuel de {crp_salesmain} de votre ménage par rapport au prix moyen de la même période de l'année dernière? 
[OPÉRATEUR/OPÉRATRICE: RÉPONSE UNIQUE. INSISTER SUR LA PRINCIPALE PRODUCTION MENTIONNÉE]
1)Très supérieur [augmentation de plus de 50%]
2)Légèrement supérieur
3)Identique
5)Légèrement inférieur
5)Très inférieur [moins de la moitié]
6)NE SAIT PAS
7)REFUSÉ</t>
  </si>
  <si>
    <t xml:space="preserve">1-7 = ls_intro </t>
  </si>
  <si>
    <t>if crp_salesprice = 1-7, go to ls_intro</t>
  </si>
  <si>
    <t>E. LIVESTOCK PRODUCTION</t>
  </si>
  <si>
    <t>ls_intro</t>
  </si>
  <si>
    <t>We will now ask you some questions about livestock production which apply to you and anyone in your household that is involved in livestock production or sales. 
1)CONTINUE</t>
  </si>
  <si>
    <t>Nous allons maintenant vous poser quelques questions sur la production animale. Ces questions s'appliquent à vous et à toute personne de votre ménage impliquée dans la production ou la vente de bétail. 
1)CONTINUER</t>
  </si>
  <si>
    <t>Send if "hh_agricactivity" "Equals" "Yes - livestock production" Or "hh_agricactivity" "Equals" "Yes - both crop and livestock production" Or "income_main_ls_check" "Equals" "YES" Or "income_sec_ls_check" "Equals" "YES Or "income_third_ls_check" "Equals" "YES", if not satisfied go to "ls_salesmain"</t>
  </si>
  <si>
    <t>1 = ls_main</t>
  </si>
  <si>
    <t>If hh_agricactivity = "Yes - livestock production" or "Yes - both crop and livestock production" or if they reported production and sales of livestocks in one of the three main income sources and confirmed that they are involved in production, then this section will be administered to respondents.
Otherwise, skip to ls_salesmain.</t>
  </si>
  <si>
    <t>ls_main</t>
  </si>
  <si>
    <t>What was the main animal raised by your household for food and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</si>
  <si>
    <t>Quel animal votre ménage a-t-il principalement élevé pour se nourrir et générer des revenus au cours des 12 derniers mois?
[OPÉRATEUR/OPÉRATRICE: RÉPONSE UNIQUE. NE RETENIR QUE L'ANIMAL PRINCIPAL.]
[CONSEIL: N'OUBLIEZ PAS DE POSER DES QUESTIONS SUR LA TRANSHUMANCE - LE DÉPLACEMENT DU BÉTAIL D'UN PÂTURAGE À UN AUTRE.]
1)Bovins [vache / bœuf / veau / yak / buffle]
2)Chèvres
3)Moutons
4)Porcins [cochon / sanglier / porc / etc.]
5)Équidés [âne / cheval / etc]
6)Petits mammifères domestiques [lapin / vison / cochon d'Inde / etc.]
7)Volaille [poulet / pintade / canard / caille / dinde / etc.]
8)Camélidés
9)Autre
10)NE SAIT PAS
11)REFUSÉ</t>
  </si>
  <si>
    <t>Form Type - Buttons
set demographic</t>
  </si>
  <si>
    <t>1-9 = ls_num_lastyr
10-11 = ls_proddif</t>
  </si>
  <si>
    <t>if ls_main = 1-9, go to ls_num_lastyr ; 
If ls_main = 10-11, go to ls_proddif</t>
  </si>
  <si>
    <t>ls_num_lastyr</t>
  </si>
  <si>
    <t>How many {ls_main] did you have at the same time last year?
[OPERATOR: RECORD THE NUMBER OF ANIMALS. ENTER 88888 FOR DON'T KNOW AND 99999 FOR REFUSED.]</t>
  </si>
  <si>
    <t>Combien de {ls_main} possédiez-vous à la même periode il y a un an?
[OPÉRATEUR/OPÉRATRICE: SAISIR LE NOMBRE D'ANIMAUX. ENTREZ 88888 POUR «NE SAIT PAS» ET 99999 POUR «REFUSÉ».]</t>
  </si>
  <si>
    <t>Form Type - TextBox
demographic</t>
  </si>
  <si>
    <t>0-10000 = ls_num_now
88888-88888 = ls_num_now
99999-99999 = ls_num_now</t>
  </si>
  <si>
    <t>answers can range from 0-10000; any response goes to ls_num_now</t>
  </si>
  <si>
    <t>ls_num_now</t>
  </si>
  <si>
    <t>How many {ls_main} do you have now?
[OPERATOR: RECORD THE NUMBER OF ANIMALS. ENTER 88888 FOR DON'T KNOW AND 99999 FOR REFUSED.]</t>
  </si>
  <si>
    <t>Combien de {ls_main} avez-vous maintenant ?
[OPÉRATEUR/OPÉRATRICE: SAISIR LE NOMBRE D'ANIMAUX. ENTREZ 88888 POUR «NE SAIT PAS» ET 99999 POUR «REFUSÉ».]</t>
  </si>
  <si>
    <t>0-10000 = ls_num_change
88888-88888 = ls_num_change
99999-99999 = ls_num_change</t>
  </si>
  <si>
    <t>answers can range from 0-10000; any response goes to ls_num_change</t>
  </si>
  <si>
    <t>ls_num_change</t>
  </si>
  <si>
    <t>ls_num_
1) ls_num_no_change
2) ls_num_inc_less_sales
3) ls_num_inc_more_birth
4) ls_num_inc_more_acquired
5) ls_num_inc_received_free
6) ls_num_dec_poor_health
7) ls_num_dec_death
8) ls_num_dec_sales_good_price
9) ls_num_dec_sales_distress
10) ls_num_dec_escape_stolen
11) ls_num_dec_consumed
12) ls_num_inc_dec_other
13) ls_num_inc_dec_dk
14) ls_num_inc_dec_ref</t>
  </si>
  <si>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 drought, lack of feed
7)Animal death due to other factors [e.g. diseases, parasites, injury]
8)Sold more than usual because of good prices
9)Sold more than usual because of distress sales [unable to feed animal / need money urgently for household basic needs even if sales were unsustainable]
10)Animal escaped or was lost or stolen
11)Killed or gave away more animals than usual for household consumption or celebrations [marriage / funerals / etc]
12)Other
13)DON’T KNOW
14)REFUSED</t>
  </si>
  <si>
    <t>Pourquoi le nombre d’animaux que vous possédez a-t-il varié?
[OPÉRATEUR/OPÉRATRICE: PLUSIEURS RÉPONSES POSSIBLES.] 
1)Pas de changement significatif du nombre de têtes de bétail
2)Diminution des ventes
3)Davantage de naissances
4)Davantage d'animaux achetés ou troqués cette année
5)Animaux reçus gratuitement [réapprovisionnement / cadeau]
6)Mort d'animaux due à la malnutrition, à la sécheresse, au manque de nourriture 
7)Mort d'animaux due à d'autres facteurs [par ex. maladies, parasites, blessures]
8)Davantage de ventes en raison de bons prix
9)Davantage de ventes en raison de ventes de détresse [incapacité à nourrir l'animal / besoin urgent d'argent pour les besoins de base du ménage même si les ventes ne sont pas durables]
10)Animaux échappés, perdus ou volés
11)Davantage d'animaux abattus ou donnés pour la consommation du ménage ou pour des cérémonies [mariage / funérailles / etc.]
12)Autre
13)NE SAIT PAS
14)REFUSÉ</t>
  </si>
  <si>
    <t>Form Type - Checklist
1,13,14 = IsNone</t>
  </si>
  <si>
    <t>1-14 = [ls_proddif OR optional question]</t>
  </si>
  <si>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</si>
  <si>
    <t>If ls_num_change 1-14 = [ls_proddif OR optional question]</t>
  </si>
  <si>
    <t>ls_feed</t>
  </si>
  <si>
    <t>ls_feed
1) ls_feed_open_pasture
2) ls_feed_common_pasture
3) ls_feed_self_produced
4) ls_feed_purchased
5) ls_feed_free_dist
6) ls_feed_other
7) ls_feed_dk
8) ls_feed_ref</t>
  </si>
  <si>
    <t>Where do you usually access feed for your {ls_main}?  
[OPERATOR: MULTIPLE RESPONSES POSSIBLE.] 
1)Open pasture
2)Community-managed pasture land
3)Owned or rented field or self-produced fodder
4)Purchase feed or fodder at the market
5)Free distribution
6)Other
7)DON'T KNOW
8)REFUSED</t>
  </si>
  <si>
    <t>Où vous procurez-vous habituellement l'alimentation pour votre {ls_main}?
[OPÉRATEUR/OPÉRATRICE: PLUSIEURS RÉPONSES POSSIBLES.] 
1)Pâturages ouverts
2)Pâturages gérés par la communauté
3)Champ possédé ou loué, ou fourrage auto-produit
4)Achat d'aliments/fourrage sur les marchés
5)Distributions gratuites
6)Autre
7)NE SAIT PAS
8)REFUSÉ</t>
  </si>
  <si>
    <t>Form Type - Checklist
7,8 = IsNone</t>
  </si>
  <si>
    <t>1-8 = ls_proddif</t>
  </si>
  <si>
    <t>1)ls_feed_open_pasture
2)ls_feed_common_pasture
3)ls_feed_self_produced
4)ls_feed_purchased
5)ls_feed_free_dist
6)ls_feed_other
7)ls_feed_dk
8)ls_feed_ref</t>
  </si>
  <si>
    <t>For any response, go to ls_proddif</t>
  </si>
  <si>
    <t>ls_proddif</t>
  </si>
  <si>
    <t>Has your household faced any significant difficulty with livestock production over the last 3 months?
[OPERATOR: SINGLE RESPONSE.]
1)YES 
2)NO
3)DON'T KNOW
4)REFUSED</t>
  </si>
  <si>
    <t>Votre ménage a-t-il rencontré d'importantes difficultés en matière d'élevage au cours des trois derniers mois?
[OPÉRATEUR/OPÉRATRICE: RÉPONSE UNIQUE.]
1)OUI
2)NON
3)NE SAIT PAS
4)REFUSÉ</t>
  </si>
  <si>
    <t>1=ls_proddif_2
2-4= [ls_salesmain OR optional question]</t>
  </si>
  <si>
    <t>if ls_proddif = 1, go to ls_proddif_2 ; 
if ls_proddif = 2-4, go to [ls_salesmain OR optional question]</t>
  </si>
  <si>
    <t>ls_proddif_2</t>
  </si>
  <si>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</si>
  <si>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 treatments, spraying, advisory etc]
5)Access to veterinary inputs [medicine for animals / tools for animal health / etc]
6)Livestock diseases or injury
7)Livestock theft
8)Access to livestock market to buy young animals
9)Access to credit
10)Access to manpower labour 
11)Other
12)DON'T KNOW
13)REFUSED</t>
  </si>
  <si>
    <t>Quelles difficultés votre ménage a-t-il rencontrées en matière d'élevage au cours des trois derniers mois ?
[OPÉRATEUR/OPÉRATRICE: PLUSIEURS RÉPONSES POSSIBLES. SÉLECTIONNER LA OU LES OPTIONS QUI CORRESPONDENT LE MIEUX AUX INFORMATIONS PROPOSÉES PAR LES RÉPONDANTS.]
1)Difficulté à acheter des aliments pour animaux [prix ou accès au marché]
2)Accès aux pâturages
3)Accès à l'eau
4)Accès aux services vétérinaires [vaccins / traitements / pulvérisations / conseils / etc.]
5)Accès aux intrants vétérinaires [médicaments pour animaux / outils pour la santé animale / etc.]
6)Maladies ou blessures du bétail
7)Vol de bétail
8)Accès aux marchés de bétail pour acheter de jeunes animaux
9)Accès au crédit
10)Accès à la main-d'œuvre
11)Autre
12)NE SAIT PAS
13)REFUS</t>
  </si>
  <si>
    <t>Form Type - Checklist
12,13 = IsNone</t>
  </si>
  <si>
    <t>1-13 = [ls_salesmain OR optional question]</t>
  </si>
  <si>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</si>
  <si>
    <t>if ls_proddif_2 = 1-13, go to ls_salesmain OR optional question</t>
  </si>
  <si>
    <t>E. LIVESTOCK MARKETING</t>
  </si>
  <si>
    <t>ls_salesmain</t>
  </si>
  <si>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</si>
  <si>
    <t>Quel était le principal animal ou produit animal vendu par votre ménage au cours des trois derniers mois?
[OPÉRATEUR/OPÉRATRICE: RÉPONSE UNIQUE. INSISTER SUR LE PRODUIT PRINCIPAL.]
1)Bovins [vache / bœuf / veau / yak / buffle]
2)Chèvres
3)Moutons
4)Porcins [cochon / sanglier / porc / etc.]
5)Équidés [âne / cheval / etc.]
6)Petits mammifères domestiques [lapins / visons / cochons d'Inde / etc.]
7)Volailles [poulets / pintades / canards / cailles / dindes / etc.]
8)Camélidés
9)Œufs
10)Lait ou produits laitiers
11)Peau, cuir ou laine
12)NE SAIT PAS
13)REFUSÉ</t>
  </si>
  <si>
    <t>Send if "income_main" "Equals" "Production and sale of livestock and livestock products" Or "income_sec" "Equals" "Production and sale of livestock and livestock products" Or "income_third" "Equals" "Production and sale of livestock and livestock products" if not satisfied go to "fish_intro"</t>
  </si>
  <si>
    <t>Form Type - Buttons
IsDemographic</t>
  </si>
  <si>
    <t>1-11 = ls_salesdif
12-13 = fish_intro</t>
  </si>
  <si>
    <t>If either income_main or income_sec or income_third = "Production and sale of livestock and livestock products", then this section will be asked to respondents.
Otherwise, skip to fish_main.
if ls_salesmain = 1-11, go to ls_salesdif ; 
if ls_salesmain = 12-13, go to fish_intro</t>
  </si>
  <si>
    <t>ls_salesdif</t>
  </si>
  <si>
    <t>Has your household faced any significant difficulty in the last 3 months selling your {ls_salesmain}?
[OPERATOR: SINGLE RESPONSE.]
1)YES
2)NO
3)DON'T KNOW
4)REFUSED</t>
  </si>
  <si>
    <t>Votre ménage a-t-il rencontré d'importantes difficultés pour vendre ses {ls_salesmain} au cours des trois derniers mois ?
[OPÉRATEUR/OPÉRATRICE: RÉPONSE UNIQUE.]
1)Oui
2)Non
3)NE SAIT PAS
4)REFUSÉ</t>
  </si>
  <si>
    <t>1 = ls_salesdif_2
2-4 = ls_salesprice</t>
  </si>
  <si>
    <t>if ls_salesdif = 1, go to ls_salesdif_2 ; 
if ls_salesdif = 2-4, go to ls_salesprice</t>
  </si>
  <si>
    <t>ls_salesdif_2</t>
  </si>
  <si>
    <t>ls_salesdif_
1) ls_salesdif_marketing_cost
2) ls_salesdif_damage_losses
3) ls_salesdif_low_demand
4) ls_salesdif_pay_delay
5) ls_salesdif_low_price
6)  ls_salesdif_slaughterhouse
7) ls_salesdif_processing
8) ls_salesdif_competition
9) ls_salesdif_other
10) ls_salesdif_dk
11) ls_salesdif_ref</t>
  </si>
  <si>
    <t>Which difficulties has your household faced in the last 3 months selling your {ls_salesmain}?
[OPERATOR: MULTIPLE RESPONSES POSSIBLE. SELECT OPTION(S) THAT BEST FIT THE INFORMATION PROVIDED BY THE RESPONDENTS.]
1)High transportation or other marketing costs
2)Damage and losses during transportation or difficulty accessing the market
3)Lack of demand from usual traders or buyers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 etc]
8)Market flooded with products
9)Other
10)DON'T KNOW
11)REFUSED</t>
  </si>
  <si>
    <t>Quelles difficultés votre ménage a-t-il rencontrées au cours des trois derniers mois pour vendre {ls_salesmain}?
[OPÉRATEUR/OPÉRATRICE: PLUSIEURS RÉPONSES POSSIBLES. SÉLECTIONNER LA OU LES OPTIONS QUI CORRESPONDENT LE MIEUX AUX INFORMATIONS FOURNIES PAR LES PERSONNES INTERROGÉES.]
1)Coûts de transport ou autres coûts de commercialisation élevés
2)Dommages et pertes pendant le transport ou difficulté d'accès au marché
3)Baisse de la demande des commerçants ou clients habituels
4)Retards de paiement de la part des négociants/acheteurs
5)Faibles prix de vente [par exemple, par rapport aux prix des intrants / inflation]
6)Fermeture des abattoirs ou difficultés d'accès aux abattoirs
7)Difficultés de transformation du produit autres que la fermeture des abattoirs [manque d'accès aux intrants de transformation / aux équipements / etc.]
8)Marchés saturés
9)Autre
10)NE SAIT PAS
11)REFUSÉ</t>
  </si>
  <si>
    <t>Form Type - Checklist
10,11 = IsNone</t>
  </si>
  <si>
    <t>1-11 = ls_salesprice</t>
  </si>
  <si>
    <t>1)ls_salesdif_marketing_cost
2)ls_salesdif_damage_losses
3)ls_salesdif_low_demand
4)ls_salesdif_pay_delay
5)ls_salesdif_low_price
6)ls_salesdif_slaughterhouse
7)ls_salesdif_processing
8)ls_salesdif_competition
9)ls_salesdif_other
10)ls_salesdif_dk
11)ls_salesdif_ref</t>
  </si>
  <si>
    <t>if ls_salesdif_2 = 1-11, go to ls_salesprice</t>
  </si>
  <si>
    <t>ls_salesprice</t>
  </si>
  <si>
    <t>Comment évaluez-vous le prix actuel de {ls_salesmain} par rapport au prix moyen de la même période de l'année dernière?
[OPÉRATEUR/OPÉRATRICE: RÉPONSE UNIQUE. INSISTER SUR LE PRINCIPAL PRODUIT MENTIONNÉ AUPARAVANT.]
1)Très supérieur [augmentation de plus de 50%]
2)Légèrement supérieur
3)Identique
5)Légèrement inférieur
5)Très inférieur [moins de la moitié]
6)NE SAIT PAS
7)REFUSÉ</t>
  </si>
  <si>
    <t>1-7 = fish_intro</t>
  </si>
  <si>
    <t>For options #1-7, go to fish_intro</t>
  </si>
  <si>
    <t>F. FISHERIES PRODUCTION</t>
  </si>
  <si>
    <t>fish_intro</t>
  </si>
  <si>
    <t>We will now ask you some questions about fishing and aquaculture production which apply to you and anyone in your household that is involved in the capture, culture, processing or sales of fish.
1)CONTINUE</t>
  </si>
  <si>
    <t>Nous allons maintenant vous poser quelques questions sur la pêche et la production aquacole. Ces questions s'appliquent à vous et à toute personne de votre foyer impliquée dans la capture, l'élevage, la transformation ou la vente de poisson.
1)CONTINUER</t>
  </si>
  <si>
    <t>Send if "income_main_fish_check" "Equals" "YES" Or "income_sec_fish_check" "Equals" "YES Or "income_third_fish_check" "Equals" "YES", if not satisfied go to "fies"</t>
  </si>
  <si>
    <t>1 = fish_main</t>
  </si>
  <si>
    <t>If the respondent reported production and sales of fish in one of the three main income sources and confirmed that they are involved in production, then this section will be administered to respondents. Otherwise, skip to fies</t>
  </si>
  <si>
    <t>fish_main</t>
  </si>
  <si>
    <t>fish_main_
1) fish_main_coastal
2) fish_main_offshore_sea
3) fish_main_freshwater
4) fish_main_aquaculture
5) fish_main_dk
6) fish_main_ref</t>
  </si>
  <si>
    <t>What type of fishing activity does your household generally practice?
[OPERATOR: MULTIPLE RESPONSES POSSIBLE.]
1)Near coastal, delta, lagoon fishing
2)Offshore sea fishing
3)Freshwater fishing [in lakes, reservoirs, ponds, rivers, or wetlands]
4)Aquaculture
5)DON'T KNOW
6)REFUSED</t>
  </si>
  <si>
    <t>Quel type de pêche votre ménage pratique-t-il généralement ?
[OPÉRATEUR/OPÉRATRICE: RÉPONSE MULTIPLE.]
1)Pêche côtière, dans les deltas ou les lagunes
2)Pêche en haute mer
3)Pêche en eau douce [lacs, réservoirs, étangs, rivières ou zones humides]
4)Aquaculture
5)NE SAIT PAS
6)REFUSÉ</t>
  </si>
  <si>
    <t>Form Type - Checklist
5,6 = IsNone</t>
  </si>
  <si>
    <t>1-6 = fish_change</t>
  </si>
  <si>
    <t>1)fish_main_coastal
2)fish_main_offshore_sea
3)fish_main_freshwater
4)fish_main_aquaculture
5)fish_main_dk
6)fish_main_ref</t>
  </si>
  <si>
    <t>if fish_main = 1-6, go to fish_change</t>
  </si>
  <si>
    <t>fish_change</t>
  </si>
  <si>
    <t>How does your fish catch [capture fishery] in the last 3 months [or last harvest] compare to the same period [harvest] last year?
[OPERATOR: SINGLE RESPONSE.]
1)A lot more [increased by more than 50%]
2)Slightly more
3)Same
4)Slightly less
5)A lot less [less than half as much]
6)DON'T KNOW
7)REFUSED</t>
  </si>
  <si>
    <t>Comment évaluez-vous votre capture de poissons [prises] au cours des trois derniers mois [ou de la dernière récolte] par rapport à la même période [récolte] de l'année dernière?
[OPÉRATEUR/OPÉRATRICE: RÉPONSE UNIQUE]
1)Très supérieure [augmentation de plus de 50%]
2)Légèrement supérieure
3)Identique
5)Légèrement inférieure
5)Très inférieure [moins de la moitié]
6)NE SAIT PAS
7)REFUSÉ</t>
  </si>
  <si>
    <t>1-7 = fish_proddif</t>
  </si>
  <si>
    <t>if fish_change = 1-7, go to fish_proddif</t>
  </si>
  <si>
    <t>fish_proddif</t>
  </si>
  <si>
    <t>Has your household faced any significant difficulty with fish catch and/or harvest in the last 3 months?
[OPERATOR: SINGLE RESPONSE.]
1)YES
2)NO
3)DON'T KNOW
4)REFUSED</t>
  </si>
  <si>
    <t>Votre ménage a-t-il rencontré d'importantes difficultés dans la capture ou la récolte de poisson au cours des trois derniers mois?
[OPÉRATEUR/OPÉRATRICE: RÉPONSE UNIQUE.]
1)OUI
2)NON
3)NE SAIT PAS
4)REFUSÉ</t>
  </si>
  <si>
    <t>1=fish_proddif_2
2-4= [fish_salesmain OR optional question]</t>
  </si>
  <si>
    <t>if fish_proddif = 1, go to fish_proddif_2 ; 
if fish_proddif = 2-4, go to fish_salesmain OR optional question</t>
  </si>
  <si>
    <t>fish_proddif_2</t>
  </si>
  <si>
    <t>fish_proddif_
1) fish_proddif_find_fish
2) fish_proddif_pests
3) fish_proddif_access_area
4) fish_proddif_fuel
5) fish_proddif_input_access
6) fish_proddif_labour
7) fish_proddif_infrastructure
8) fish_proddif_damage_equip
9) fish_proddif_other
10) fish_proddif_dk
11) fish_proddif_ref</t>
  </si>
  <si>
    <t>Which difficulties has your household faced with fish catch and/or harvest in the last 3 months?
[OPERATOR: MULTIPLE RESPONSES POSSIBLE. SELECT OPTION(S) THAT BEST FIT THE INFORMATION PROVIDED BY THE RESPONDENTS.]
1)Fish is more difficult to find than in previous years in the same season [fishing]
2)Fish pests and diseases [aquaculture]
3)Access to fishing or aquaculture area [e.g. due to weather or security]
4)Access to fuel [prices higher or not available]
5)Access to other fishing or culture inputs [prices higher or not available]
6)Access to labour or crew labour [prices higher or not available]
7)Damage or destruction of infrastructure [ponds, cages, ports, landing sites]
8)Damage or destruction of boats or gears
9)Other
10)DON'T KNOW
11)REFUSED</t>
  </si>
  <si>
    <t>Quelles difficultés votre ménage a-t-il rencontrées dans la capture ou la récolte de poisson au cours des trois derniers mois?
[OPÉRATEUR/OPÉRATRICE: PLUSIEURS RÉPONSES POSSIBLES. SÉLECTIONNER LA OU LES OPTIONS QUI CORRESPONDENT LE MIEUX AUX INFORMATIONS PROPOSÉES PAR LES RÉPONDANTS].
1)Le poisson est plus difficile à trouver que les années précédentes à la même saison [pêche]
2)Parasites et maladies des poissons [aquaculture]
3)Accès aux zones de pêche ou d'aquaculture [par exemple, en raison des conditions météorologiques ou sécuritaires].
4)Accès au carburant [trop cher ou non disponible]
5)Accès à d'autres intrants de pêche ou de culture [trop chers ou non disponibles]
6)Accès à la main-d'œuvre ou aux équipages [trop chers ou non disponibles]
7)Dommages ou destruction des infrastructures [étangs, cages, ports, sites de débarquement]
8)Dommages ou destruction des bateaux ou du matériel de pêche
9)Autre
10)NE SAIT PAS
11)REFUSÉ</t>
  </si>
  <si>
    <t>1-11 = [fish_salesmain OR optional question]</t>
  </si>
  <si>
    <t>1)fish_proddif_find_fish
2)fish_proddif_pests
3)fish_proddif_access_area
4)fish_proddif_fuel
5)fish_proddif_input_access
6)fish_proddif_labour
7)fish_proddif_infrastructure
8)fish_proddif_damage_equip
9)fish_proddif_other
10)fish_proddif_dk
11)fish_proddif_ref</t>
  </si>
  <si>
    <t>If fish_proddif_2 = 1-11, go to fish_salesmain OR optional question</t>
  </si>
  <si>
    <t>fish_inputdif</t>
  </si>
  <si>
    <t>fish_inputdif_
1) fish_inputdif_bait_feed
2)fish_inputdif_fingerling
3) fish_inputdif_gear
4) fish_inputdif_ice
5) fish_inputdif_fuel
6) fish_inputdif_repairs
7) fish_inputdif_labour
8) fish_inputdif_other 
9)fish_inputdif_dk
10) fish_inputdif_ref</t>
  </si>
  <si>
    <t>Which fishing [culture] input material has your household had difficulties accessing in the last 3 months?
[OPERATOR: MULTIPLE RESPONSE POSSIBLE.]
1)Feed or bait
2)Fingerlings
3)Fishing gear [e.g. rods, hooks, nets]
4)Ice
5)Fuel
6)Equipment repairs [including boats] or spare parts
7)Labour
8)Other [specify]
9)DON'T KNOW
10)REFUSED</t>
  </si>
  <si>
    <t>Quel matériel de pêche [pour la culture] votre ménage a-t-il eu des difficultés à se procurer au cours des trois derniers mois?
[OPÉRATEUR/OPÉRATRICE: PLUSIEURS RÉPONSES POSSIBLES.]
1)Aliments ou appâts
2)Alevins
3)Matériel de pêche [par exemple, cannes à pêche, hameçons, filets]
4)Glace
5)Carburant
6)Réparation de l'équipement [y compris bateaux] ou pièces de rechange
7)Main d'oeuvre
8)Autre [préciser]
9)NE SAIT PAS
10)REFUSÉ</t>
  </si>
  <si>
    <t xml:space="preserve">Open Ended - Select All That Apply </t>
  </si>
  <si>
    <t>Send if "fish_proddif_2" "Contains" "Access to other fishing or culture inputs [prices higher or not available]" if not satisfied go to "fish_salesmain"</t>
  </si>
  <si>
    <t>Form Type - Checklist
9,10= IsNone</t>
  </si>
  <si>
    <t>1-10 = [fish_salesmain]</t>
  </si>
  <si>
    <t>1)fish_inputdif_bait_feed
2)fish_inputdif_fingerling
3)fish_inputdif_gear
4)fish_inputdif_ice
5)fish_inputdif_fuel
6)fish_inputdif_repairs
7)fish_inputdif_labour
8)fish_inputdif_other 
9)fish_inputdif_dk
10) fish_inputdif_ref</t>
  </si>
  <si>
    <t>Asked only to respondents that answered fish_proddif_2 = 4.
if fish_inputdif = 1-10, go to fish_salesmain</t>
  </si>
  <si>
    <t>F. FISHERIES MARKETING</t>
  </si>
  <si>
    <t>fish_salesmain</t>
  </si>
  <si>
    <t>What was the main fish product sold by your household in the last 3 months?
[OPERATOR: SINGLE RESPONSE.]
1)Fresh fish [any kind, including invertebrates]
2)Preserved fish [including dry fish, smoked fish, fermented fish, salt fish]
3)Frozen fish
4)Canned fish
5)Other [specify]
6)DON'T KNOW
7)REFUSED</t>
  </si>
  <si>
    <t>Quel était le principal produit piscicole vendu par votre ménage au cours des trois derniers mois?
[OPÉRATEUR/OPÉRATRICE: RÉPONSE UNIQUE.]
1)Poisson frais [toutes sortes, y compris invertébrés]
2)Poisson conservé [y compris poisson séché, poisson fumé, poisson fermenté, poisson salé]
3)Poisson congelé
4)Conserves de poisson
5)Autre [préciser]
6)NE SAIT PAS
7)REFUSÉ</t>
  </si>
  <si>
    <t>1-5 = fish_salesdif
6-7 = fies</t>
  </si>
  <si>
    <t>if fish_salesmain = 1-5, go to fish_salesdif
if fish_salesmain = 6-7, go to fies</t>
  </si>
  <si>
    <t>fish_salesdif</t>
  </si>
  <si>
    <t>Has your household faced any significant difficulty marketing / selling your {fish_salesmain} in the last 3 months?
[OPERATOR: SINGLE RESPONSE]
1)YES
2)NO
3)DON'T KNOW
4)REFUSED</t>
  </si>
  <si>
    <t>Votre ménage a-t-il rencontré d'importantes difficultés pour commercialiser / vendre ses {fish_salesmain} au cours des trois derniers mois?
[OPÉRATEUR/OPÉRATRICE: RÉPONSE UNIQUE.]
1)OUI
2)NON
3)NE SAIT PAS
4)REFUSÉ</t>
  </si>
  <si>
    <t>1 = fish_salesdif_2
2-4 = fish_salesprice</t>
  </si>
  <si>
    <t>if fish_salesdif = 1, go to fish_salesdif_2 ;
if fish_salesdif = 2-4, go to fish_salesprice</t>
  </si>
  <si>
    <t>fish_salesdif_2</t>
  </si>
  <si>
    <t xml:space="preserve">fish_saledif_
1) fish_saledif_marketing_cost
2) fish_saledif_damage_losses
3) fish_saledif_low_demand
4) fish_saledif_pay_delay
5) fish_saledif_low_prices
6) fish_saledif_processing
7) fish_saledif_competition
8) fish_saledif_other
9) fish_saledif_dk
10) fish_saledif_ref
</t>
  </si>
  <si>
    <t>Which difficulties has your household faced in the last 3 months selling your {fish_salesmain}?
[OPERATOR: MULTIPLE RESPONSES POSSIBLE. SELECT OPTION(S) THAT BEST FIT THE INFORMATION PROVIDED BY THE RESPONDENTS.]
1)High transportation or other marketing costs
2)Deterioration and losses due to storage difficulties or delays or inability to physically access markets
3)Lack of demand from usual buyers/traders
4)Payment delays from traders/buyers 
5)Low selling prices [e.g. compared to input prices / inflation]
6)Difficulties processing product [lack of access to processing inputs / equipment / etc]
7)Market flooded with product
8)Other
9)DON'T KNOW
10)REFUSED</t>
  </si>
  <si>
    <t>Quelles difficultés votre ménage a-t-il rencontrées au cours des trois derniers mois pour vendre ses {fish_salesmain}?
[OPÉRATEUR/OPÉRATRICE: PLUSIEURS RÉPONSES POSSIBLES. SÉLECTIONNEZ LA OU LES OPTIONS QUI CORRESPONDENT LE MIEUX AUX INFORMATIONS FOURNIES PAR LES PERSONNES INTERROGÉES.]
1)Coûts de transport ou autres coûts de commercialisation élevés
2)Détérioration et pertes dues à des difficultés ou des retards de stockage ou à l'impossibilité d'accéder physiquement aux marchés
3)Baisse de la demande des commerçants/clients habituels
4)Retards de paiement de la part des négociants/acheteurs
5)Faibles prix de vente [par exemple, par rapport aux prix des intrants / inflation]
6)Difficultés de transformation du produit [manque d'accès aux intrants de transformation / équipements / etc.]
7)Marchés saturés
8)Autre
9)NE SAIT PAS
10)REFUSÉ</t>
  </si>
  <si>
    <t>1-10 = fish_salesprice</t>
  </si>
  <si>
    <t>1)fish_saledif_marketing_cost
2)fish_saledif_damage_losses
3)fish_saledif_low_demand
4)fish_saledif_pay_delay
5)fish_saledif_low_prices
6)fish_saledif_processing
7)fish_saledif_competition
8)fish_saledif_other
9)fish_saledif_dk
10)fish_saledif_ref</t>
  </si>
  <si>
    <t>if fish_salesdif = 1-10, go to fish_salesprice</t>
  </si>
  <si>
    <t>fish_salesprice</t>
  </si>
  <si>
    <t>Comment évaluez-vous le prix actuel de {fish_salesmain} vendus par votre ménage par rapport au prix moyen sur la même période/récolte de l'année dernière? 
[OPÉRATEUR/OPÉRATRICE: RÉPONSE UNIQUE. INSISTER SUR LE PRINCIPAL PRODUIT MENTIONNÉ AUPARAVANT.]
1)Très supérieur [augmentation de plus de 50%]
2)Légèrement supérieur
3)Identique
5)Inférieur
5)Très inférieur [moins de la moitié]
6)NE SAIT PAS
7)REFUSÉ</t>
  </si>
  <si>
    <t>1-7 = fies</t>
  </si>
  <si>
    <t>if fish_salesprice = 1-7, go to fies</t>
  </si>
  <si>
    <t>G. FOOD SECURITY AND CONSUMPTION</t>
  </si>
  <si>
    <t>fies_intro</t>
  </si>
  <si>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</si>
  <si>
    <t>Je vais maintenant vous poser quelques questions sur votre consommation de nourriture, l'utilisation de la nourriture et les mécanismes d'adaptation. Attention: il faut vous référer à la bonne période pour chaque série de questions. La première série de questions concerne les expériences auxquelles vous ou les membres de votre foyer avez été confrontés au cours des 30 derniers jours. 
[OPÉRATEUR/OPÉRATRICE: RÉPONSE UNIQUE]
1) CONTINUER</t>
  </si>
  <si>
    <t>1 = fies_worried</t>
  </si>
  <si>
    <t>if fies = 1, go to fies_worried</t>
  </si>
  <si>
    <t>Check if the ESS team has an official translation.</t>
  </si>
  <si>
    <t>fies_worried</t>
  </si>
  <si>
    <t>During the last 30 days, was there a time when you or others in your household were worried about not having enough food to eat because of lack of money or other resources?
[OPERATOR: SINGLE RESPONSE]
1)YES
2)NO
3)DON'T KNOW
4)REFUSED</t>
  </si>
  <si>
    <t>Au cours de ces 30 derniers jours, vous ou un membre de votre ménage avez-vous été inquiet[e]s de ne pas avoir suffisamment de nourriture par manque d’argent ou d’autres ressources?
[OPÉRATEUR/OPÉRATRICE: RÉPONSE UNIQUE.]
1)OUI
2)NON
3)NE SAIT PAS
4)REFUSÉ</t>
  </si>
  <si>
    <t>1-4 = fies_healthy</t>
  </si>
  <si>
    <t>if fies_worried = 1-4, go to fies_healthy</t>
  </si>
  <si>
    <t>fies_healthy</t>
  </si>
  <si>
    <t>During the last 30 days, was there a time when you or others in your household were unable to eat healthy and nutritious food because of lack of money or other resources?
[OPERATOR: SINGLE RESPONSE]
1)YES
2)NO
3)DON'T KNOW
4)REFUSED</t>
  </si>
  <si>
    <t>Au cours des 30 derniers jours, vous ou un autre membre de votre ménage n'avez-vous pas pu manger une nourriture saine det nutritive par manque d’argent ou d’autres ressources?
[OPÉRATEUR/OPÉRATRICE: RÉPONSE UNIQUE.]
1)OUI
2)NON
3)NE SAIT PAS
4)REFUSÉ</t>
  </si>
  <si>
    <t>1-4 = fies_fewfoods</t>
  </si>
  <si>
    <t>if fies_healthy = 1-4, go to fies_fewfoods</t>
  </si>
  <si>
    <t>fies_fewfoods</t>
  </si>
  <si>
    <t>During the last 30 days, was there a time when you or others in your household ate only a few kinds of foods because of lack of money or other resources?
[OPERATOR: SINGLE RESPONSE]
1)YES
2)NO
3)DON'T KNOW
4)REFUSED</t>
  </si>
  <si>
    <t>Au cours des 30 derniers jours, vous ou un autre membre de votre ménage avez-vous mangé une nourriture peu variée par manque d’argent ou d’autres ressources?
[OPÉRATEUR/OPÉRATRICE: RÉPONSE UNIQUE.]
1)OUI
2)NON
3)NE SAIT PAS
4)REFUSÉ</t>
  </si>
  <si>
    <t>1-4 = fies_skipped</t>
  </si>
  <si>
    <t>if fies_fewfoods = 1-4, go to fies_skipped</t>
  </si>
  <si>
    <t>fies_skipped</t>
  </si>
  <si>
    <t>During the last 30 days, was there a time when you or others in your household had to skip a meal because of lack of money or other resources to get food?
[OPERATOR: SINGLE RESPONSE]
1)YES
2)NO
3)DON'T KNOW
4)REFUSED</t>
  </si>
  <si>
    <t>Au cours des 30 derniers jours, vous ou un autre membre de votre ménage avez-vous dû sauter un repas par manque d’argent ou d’autres ressources?
[OPÉRATEUR/OPÉRATRICE: RÉPONSE UNIQUE.]
1)OUI
2)NON
3)NE SAIT PAS
4)REFUSÉ</t>
  </si>
  <si>
    <t>1-4 = fies_ateless</t>
  </si>
  <si>
    <t>if fies_skipped = 1-4, go to fies_ateless</t>
  </si>
  <si>
    <t>fies_ateless</t>
  </si>
  <si>
    <t>During the last 30 days, was there a time when you or others in your household ate less than you thought you should because of lack of money or other resources?
[OPERATOR: SINGLE RESPONSE]
1)YES
2)NO
3)DON'T KNOW
4)REFUSED</t>
  </si>
  <si>
    <t>Au cours des 30 derniers jours, y-a-t-il eu des moments lors desquels vous ou un autre membre de votre ménage avez mangé moins que ce que vous pensiez vous auriez dû manger par manque d'argent ou d'autres ressources?
[OPÉRATEUR/OPÉRATRICE: RÉPONSE UNIQUE.]
1)OUI
2)NON
3)NE SAIT PAS
4)REFUSÉ</t>
  </si>
  <si>
    <t>1-4 = fies_ranout</t>
  </si>
  <si>
    <t>if fies_ateless = 1-4, go to fies_ranout</t>
  </si>
  <si>
    <t>fies_ranout</t>
  </si>
  <si>
    <t>In the past 30 days, was there ever no food to eat of any kind in your house because of lack of resources to get food?
[OPERATOR: SINGLE RESPONSE]
1)YES
2)NO
3)DON'T KNOW
4)REFUSED</t>
  </si>
  <si>
    <t>Au cours des 30 derniers jours, n'y avait-il aucun aliment à manger, de quelque nature que ce soit, dans votre foyer, en raison du manque de ressources pour se procurer de la nourriture?
[OPÉRATEUR/OPÉRATRICE: RÉPONSE UNIQUE.]
1)OUI
2)NON
3)NE SAIT PAS
4)REFUSÉ</t>
  </si>
  <si>
    <t>1=fies_ranout_hhs
2-4 = fies_hungry</t>
  </si>
  <si>
    <t>if fies_ranout = 1, go to fies_ranout_hhs. Otherwise, go to fies_hungry</t>
  </si>
  <si>
    <t>fies_ranout_hhs</t>
  </si>
  <si>
    <t>How often did this happen?
[OPERATOR: SINGLE RESPONSE]
1)Rarely [1-2 times in the past 30 days]
2)Sometimes [3-10 times in the past 30 days]
3)Often [more than 10 times in the last 30 days]
4)DON'T KNOW
5)REFUSED</t>
  </si>
  <si>
    <t>Combien de fois cela s'est-il produit?
[OPÉRATEUR/OPÉRATRICE: RÉPONSE UNIQUE]
1)Rarement [1 ou 2 fois au cours des 30 derniers jours]
2)Parfois [entre 3 et 10 fois au cours des 30 derniers jours]
3)Souvent [plus de 10 fois au cours des 30 derniers jours]
4)NE SAIT PAS
5)REFUSÉ</t>
  </si>
  <si>
    <t xml:space="preserve">1-5 = fies_hungry </t>
  </si>
  <si>
    <t>if fies_ranout_hhs = 1-5, go to fies_hungry</t>
  </si>
  <si>
    <t>fies_hungry</t>
  </si>
  <si>
    <t>In the past 30 days, did you or any household member ever go to sleep at night hungry because there was not enough food?
[OPERATOR: SINGLE RESPONSE]
1)YES
2)NO
3)DON'T KNOW
4)REFUSED</t>
  </si>
  <si>
    <t>Au cours des 30 derniers jours, etiez-vous ou un membre de votre ménage obligé de dormir affamé le soir parce qu'il n'y avait pas assez de nourriture ?
[OPÉRATEUR/OPÉRATRICE: RÉPONSE UNIQUE.]
1)OUI
2)NON
3)NE SAIT PAS
4)REFUSÉ</t>
  </si>
  <si>
    <t>1=fies_hungry_hhs
2-4 = fies_whlday</t>
  </si>
  <si>
    <t>if fies_hungry = 1, go to fies_hungry_hhs. Otherwise, go to fies_whlday</t>
  </si>
  <si>
    <t>fies_hungry_hhs</t>
  </si>
  <si>
    <t>1-5 = fies_whlday</t>
  </si>
  <si>
    <t>if fies_hungry_hhs = 1-5, go to fies_whlday</t>
  </si>
  <si>
    <t>fies_whlday</t>
  </si>
  <si>
    <t>In the past 30 days, did you or any household member ever go a whole day and night without eating anything at all because there was not enough food?
[OPERATOR: SINGLE RESPONSE]
1)YES
2)NO
3)DON'T KNOW
4)REFUSED</t>
  </si>
  <si>
    <t>Au cours des 30 derniers jours, avez-vous ou un membre de votre ménage passé un jour et une nuit entière sans rien manger parce qu'il n'y avait pas assez de nourriture?
[OPÉRATEUR/OPÉRATRICE: RÉPONSE UNIQUE.]
1)OUI
2)NON
3)NE SAIT PAS
4)REFUSÉ</t>
  </si>
  <si>
    <t>1=fies_whlday_hhs
2-4 = [lcsi_intro OR hdds]</t>
  </si>
  <si>
    <t>if fies_whlday = 1, go to fies_whlday_hhs. Otherwise, go to lcsi_intro OR hdds</t>
  </si>
  <si>
    <t>fies_whlday_hhs</t>
  </si>
  <si>
    <t>1-5 = [lcsi_intro OR hdds]</t>
  </si>
  <si>
    <t>if fies_whlday_hhs = 1-5, go to lcsi_intro OR hdds</t>
  </si>
  <si>
    <t>lcsi_intro</t>
  </si>
  <si>
    <t>Now I would like to ask you another set of questions on coping strategies, referring to the past 30 days.
[OPERATOR: SINGLE RESPONSE]
1)NEXT</t>
  </si>
  <si>
    <t>Je voudrais maintenant vous poser une autre série de questions sur les stratégies d'adaptation que vous avez mises en place au cours des 30 derniers jours.
[OPÉRATEUR/OPÉRATRICE: RÉPONSE UNIQUE]
1)CONTINUER</t>
  </si>
  <si>
    <t>1 = [next question]</t>
  </si>
  <si>
    <t>Coping strategies should be selected based on the local context. Ten (10) coping strategies should be selected; 4 in stress, 3 in crisis and 3 in emergency. 
Please delete coping strategies that you do not want to use in your survey or propose changes for the "English" column (i.e. text) under the "Additional notes" column.</t>
  </si>
  <si>
    <t>cs_stress_hh_assets</t>
  </si>
  <si>
    <t xml:space="preserve"> cs_stress_hh_assets</t>
  </si>
  <si>
    <t>Over the past 30 days, did anyone in your household have to sell household assets / goods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</si>
  <si>
    <t>Au cours des 30 derniers jours, est-ce que quelqu'un dans votre foyer a dû vendre des actifs/biens ménager [radio, meubles, télévision, bijoux, etc.]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</si>
  <si>
    <t>1-6 = [next question]</t>
  </si>
  <si>
    <t>cs_stress_spent_savings</t>
  </si>
  <si>
    <t xml:space="preserve"> cs_stress_spent_savings</t>
  </si>
  <si>
    <t>Over the past 30 days, did anyone in your household have to spend savings because of lack of food or money?
[OPERATOR: SINGLE RESPONSE]
1)Yes
2)No - because it wasn’t necessary
3)No - because you already sold those assets or did this activity within the last 12 months and you cannot continue to do it
4)Not applicable
5)DON'T KNOW 
6)REFUSED</t>
  </si>
  <si>
    <t>Au cours des 30 derniers jours, est-ce que quelqu'un dans votre ménage a dû dépenser les économies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</si>
  <si>
    <t>cs_stress_sold_more_animals</t>
  </si>
  <si>
    <t>Over the past 30 days, did anyone in your household have to sell more animals [non-reproductive] than usual because of lack of food or money?
[OPERATOR: SINGLE RESPONSE]
1)Yes
2)No - because it wasn’t necessary
3)No - because you already sold those assets or did this activity within the last 12 months and you cannot continue to do it
4)Not applicable
5)DON'T KNOW 
6)REFUSED</t>
  </si>
  <si>
    <t>Au cours des 30 derniers jours, est-ce que quelqu'un dans votre ménage a dû vendre plus d'animaux [non reproducteurs] que d'habitude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</si>
  <si>
    <t>cs_stress_borrowed_or_helped</t>
  </si>
  <si>
    <t>Over the past 30 days, did anyone in your household have to borrow food or rely on help from friends or relatives because of lack of food or money?
[OPERATOR: SINGLE RESPONSE]
1)Yes
2)No - because it wasn’t necessary
3)No - because you already sold those assets or did this activity within the last 12 months and you cannot continue to do it
4)Not applicable
5)DON'T KNOW 
6)REFUSED</t>
  </si>
  <si>
    <t>Au cours des 30 derniers jours, est-ce que quelqu'un dans votre ménage a dû emprunter de la nourriture ou compter sur l'aide d'amis ou de parents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</si>
  <si>
    <t>cs_stress_credit</t>
  </si>
  <si>
    <t>Over the past 30 days, did anyone in your household have to purchase food on credit or borrowed food because of lack of food or money?
[OPERATOR: SINGLE RESPONSE]
1)Yes
2)No - because it wasn’t necessary
3)No - because you already sold those assets or did this activity within the last 12 months and you cannot continue to do it
4)Not applicable
5)DON'T KNOW 
6)REFUSED</t>
  </si>
  <si>
    <t>Au cours des 30 derniers jours, est-ce que quelqu'un dans votre ménage a dû acheter de la nourriture à crédit ou emprunter de la nourriture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</si>
  <si>
    <t>cs_stress_borrowed_money</t>
  </si>
  <si>
    <t>Over the past 30 days, did anyone in your household have to borrow money because of lack of food or money?
[OPERATOR: SINGLE RESPONSE]
1)Yes
2)No - because it wasn’t necessary
3)No - because you already sold those assets or did this activity within the last 12 months and you cannot continue to do it
4)Not applicable
5) DON'T KNOW 
6) REFUSED</t>
  </si>
  <si>
    <t>Au cours des 30 derniers jours, est-ce que quelqu'un dans votre ménage a dû emprunter de l'argent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</si>
  <si>
    <t>cs_crisis_sold_prod_assets</t>
  </si>
  <si>
    <t>Over the past 30 days, did anyone in your household have to sell productive assets or means of transport [sewing machine, wheelbarrow, bicycle, car, etc.] because of lack of food or money?
[OPERATOR: SINGLE RESPONSE]
1)Yes
2)No - because it wasn’t necessary
3)No - because you already sold those assets or did this activity within the last 12 months and you cannot continue to do it
4)Not applicable
5)DON'T KNOW 
6)REFUSED</t>
  </si>
  <si>
    <t>Au cours des 30 derniers jours, est-ce que quelqu'un dans votre ménage a dû vendre des actifs productifs ou des véhicules [machine à coudre, brouette, vélo, voiture, etc.]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</si>
  <si>
    <t>cs_crisis_reduced_health_exp</t>
  </si>
  <si>
    <t>Over the past 30 days, did anyone in your household have to reduce expenses on health [including drugs] because of lack of food or money?
[OPERATOR: SINGLE RESPONSE]
1)Yes
2)No - because it wasn’t necessary
3)No - because you already sold those assets or did this activity within the last 12 months and you cannot continue to do it
4)Not applicable
5)DON'T KNOW 
6)REFUSED</t>
  </si>
  <si>
    <t>Au cours des 30 derniers jours, est-ce que quelqu'un dans votre ménage a dû réduire les dépenses de santé [y compris les médicaments]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</si>
  <si>
    <t>cs_crisis_harv_immature_crops</t>
  </si>
  <si>
    <t>Over the past 30 days, did anyone in your household have to harvest immature crops [e.g. green maize] to eat because of lack of food or money?
[OPERATOR: SINGLE RESPONSE]
1)Yes
2)No - because it wasn’t necessary
3)No - because you already sold those assets or did this activity within the last 12 months and you cannot continue to do it
4)Not applicable
5)DON'T KNOW 
6)REFUSED</t>
  </si>
  <si>
    <t>Au cours des 30 derniers jours, est-ce que quelqu'un dans votre ménage a dû récolter des cultures immatures [par ex., le maïs vert] pour les manger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</si>
  <si>
    <t>cs_crisis_consume_seed_stock</t>
  </si>
  <si>
    <t>Over the past 30 days, did anyone in your household consume seed stocks that were to be held/saved for the next planting season because of lack of food or money?
[OPERATOR: SINGLE RESPONSE]
1)Yes
2)No - because it wasn’t necessary
3)No - because you already sold those assets or did this activity within the last 12 months and you cannot continue to do it
4)Not applicable
5)DON'T KNOW 
6)REFUSED</t>
  </si>
  <si>
    <t>Au cours des 30 derniers jours, est-ce que quelqu'un dans votre ménage a dû consommer les stocks de semences qui devaient être conservés pour la prochaine campagne de semis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6)REFUSÉ</t>
  </si>
  <si>
    <t>cs_emergency_begged</t>
  </si>
  <si>
    <t>Over the past 30 days, did anyone in your household have to beg because of lack of food or money?
[OPERATOR: SINGLE RESPONSE]
1)Yes
2)No - because it wasn’t necessary
3)No - because you already sold those assets or did this activity within the last 12 months and you cannot continue to do it
4)Not applicable
5)DON'T KNOW 
6)REFUSED</t>
  </si>
  <si>
    <t>Au cours des 30 derniers jours, est-ce que quelqu'un dans votre ménage a dû mendier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</si>
  <si>
    <t>cs_emergency_illegal</t>
  </si>
  <si>
    <t>Over the past 30 days, did anyone in your household have to engage in illegal or degrading income activities [theft, prostitution] because of lack of food or money?
[OPERATOR: SINGLE RESPONSE]
1)Yes
2)No - because it wasn’t necessary
3)No - because you already sold those assets or did this activity within the last 12 months and you cannot continue to do it
4)Not applicable
5)DON'T KNOW 
6)REFUSED</t>
  </si>
  <si>
    <t>Au cours des 30 derniers jours, est-ce que quelqu'un dans votre ménage a dû s'engager dans des activités illégales ou dégradantes pour obtenir un revenu [vol, prostitution]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</si>
  <si>
    <t>cs_emergency_hh_migration</t>
  </si>
  <si>
    <t>Over the past 30 days, did your entire household have to migrate because of lack of food or money?
[OPERATOR: SINGLE RESPONSE]
1)Yes
2)No - because it wasn’t necessary
3)No - because you already sold those assets or did this activity within the last 12 months and you cannot continue to do it
4)Not applicable
5)DON'T KNOW 
6)REFUSED</t>
  </si>
  <si>
    <t>Au cours des 30 derniers jours, est-ce que votre ménage entier a dû migrer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</si>
  <si>
    <t>hdds</t>
  </si>
  <si>
    <t>hdds
1) hdds_cereals
2) hdds_rootstubers
3) hdds_vegetables
4) hdds_fruits
5) hdds_meat
6) hdds_eggs
7) hdds_fish
8) hdds_legumes
9) hdds_milkdairy
10) hdds_oils
11)hdds_sugar
12) hdds_condiments</t>
  </si>
  <si>
    <t>Now I would like to ask you a set of questions on food consumption, referring to the 24 hours of yesterday.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</si>
  <si>
    <t>Je voudrais maintenant vous poser une série de questions sur votre consommation alimentaire, avec comme référence les 24 dernières heures. Veuillez décrire les aliments [repas et collations] que vous ou tout membre du ménage avez consommés à la maison au cours de la journée d’hier [dans les 24 dernières heures: petit-déjeuner, déjeuner, dîner et collations].
[OPÉRATEUR/OPÉRATRICE: SÉLECTIONNER TOUS LES GROUPES D'ALIMENTS CONSOMMÉS AU COURS DES 24 HEURES DE LA JOURNÉE PASSÉE DANS LES RÉPONSES DE LA PERSONNE INTERROGÉE. PLUSIEURS RÉPONSES POSSIBLES.]
1)Céréales [sorgho / millet / maïs / blé / riz / spaghettis / pain ou toute autre céréale disponible localement]
2)Racines et tubercules [patate douce blanche / pomme de terre / igname / manioc ou autres tubercules]
3)Légumes [tous]
4)Fruits [tous]
5)Viande, volaille et abats [bœuf / porc / agneau / chèvre/ lapin / gibier / poulet / canard / foie / rein / cœur ou autres abats]
6)Œufs
7)Poissons ou crustacés [poissons frais ou séchés / crustacés]
8)Légumineuses, fruits à coque et graines [haricots / pois / arachides / lentilles / amandes et/ou autres fruits à coque]
9)Lait et autres produits laitiers [lait frais / lait caillé / yaourt / fromage / autres produits laitiers]
10)Huiles et graisses [cuisson / beurre / margarine / graisse / huile / autres huiles]
11)Sucre ou produits sucrés [miel / confiture / beignets / bonbons / chocolat / biscuits / pâtisseries / gâteaux et autres produits sucrés]
12)Condiments [cacao / sel / ail / épices / levure / levure chimique / tomate ou sauce tomate / viande ou poisson comme condiment] et café / thé</t>
  </si>
  <si>
    <t>Form Type - Checklist</t>
  </si>
  <si>
    <t>1-12 = hdds_confirmation</t>
  </si>
  <si>
    <t>1)hdds_cereals
2)hdds_rootstubers
3)hdds_vegetables
4)hdds_fruits
5)hdds_meat
6)hdds_eggs
7)hdds_fish
8)hdds_legumes
9)hdds_milkdairy
10)hdds_oils
11)hdds_sugar
12)hdds_condiments</t>
  </si>
  <si>
    <t>if hdds = 1-12, go to hdds_confirmation</t>
  </si>
  <si>
    <t>hdds_confirmation</t>
  </si>
  <si>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</si>
  <si>
    <t>[OPÉRATEUR/OPÉRATRICE: N'OUBLIEZ PAS DE DEMANDER DES INFORMATIONS SUR LES COLLATIONS, LES ALIMENTS SPÉCIAUX DONNÉS AUX ENFANTS OU AUX FEMMES ENCEINTES, LES INGRÉDIENTS CONTENUS DANS LES PLATS COMPOSÉS. À LA FIN, RENSEIGNEZ-VOUS SUR LES GROUPES D'ALIMENTS NON CONSOMMÉS. 
SI CES QUESTIONS ONT DÉJÀ ÉTÉ POSÉES, CLIQUER SUR CONTINUER. SINON, REVENEZ EN ARRIÈRE ET ASSUREZ-VOUS QUE TOUS LES GROUPES ALIMENTAIRES CONSOMMÉS AU COURS DES 24 HEURES D'HIER ONT BIEN ÉTÉ SÉLECTIONNÉS.]
1)CONTINUER</t>
  </si>
  <si>
    <t>1 = need or next question</t>
  </si>
  <si>
    <t>if hdds_confirmation = 1, go to need or optional question</t>
  </si>
  <si>
    <t>fcs_intro</t>
  </si>
  <si>
    <t xml:space="preserve">Now I would like to ask you about the foods and drinks your household ate or drank in the last 7 days during the day and at night [breakfast, lunch, dinner, snacks]. 
1)CONTINUE
</t>
  </si>
  <si>
    <t>Je voudrais maintenant vous interroger sur les aliments et les boissons consommés dans votre ménage au cours des 7 derniers jours pendant la journée et la nuit [petit-déjeuner, déjeuner, dîner, collations].
1)CONTINUER</t>
  </si>
  <si>
    <t>1 = fcs_staple_days</t>
  </si>
  <si>
    <t>if fcs_intro = 1, go to fcs_staple_days</t>
  </si>
  <si>
    <t>fcs_staple_days</t>
  </si>
  <si>
    <t>How many days over the last 7 days, did members of your household eat starches, roots and tubers such as rice, maize, pasta, bread, sorghum, millet, potato, yam, cassava, white sweet potato?
[OPERATOR: RECORD NUMBER OF DAYS 0 - 7.]
[HINT: IF CONSUMED ONLY IN SMALL QUANTITY, DO NOT INCLUDE.]</t>
  </si>
  <si>
    <t>Combien de fois [en nombre de jours] au cours des 7 derniers jours, les membres de votre foyer ont-ils mangé des féculents, racines et tubercules tels que du riz, du maïs, des pâtes, du pain, du sorgho, du millet, des pommes de terre, des ignames, du manioc, des patates douces blanches?
[OPÉRATEUR/OPÉRATRICE: SAISIR LE NOMBRE DE JOURS DE 0 À 7.]
[CONSEIL : SI CONSOMMÉ UNIQUEMENT EN PETITE QUANTITÉ, NE PAS INCLURE.]</t>
  </si>
  <si>
    <t>0-7 = fcs_pulses_days</t>
  </si>
  <si>
    <t>For any response, go to fcs_pulses_days</t>
  </si>
  <si>
    <t>fcs_pulses_days</t>
  </si>
  <si>
    <t>How many days over the last 7 days, did members of your household eat pulses and nuts such as beans, lentils, cowpeas, soybean, pigeon peas and peanuts or other nuts?
[OPERATOR: RECORD NUMBER OF DAYS 0 - 7]
[HINT: IF CONSUMED ONLY IN SMALL QUANTITY, DO NOT INCLUDE.]</t>
  </si>
  <si>
    <t>Combien de fois [en nombre de jours] au cours des 7 derniers jours, les membres de votre foyer ont-ils mangé des légumineuses et des fruits à coque tels que des haricots, des lentilles, du niébé, du soja, des pois cajan, des cacahuètes ou d'autres fruits à coque?
[OPÉRATEUR/OPÉRATRICE: SAISIR LE NOMBRE DE JOURS DE 0 À 7.]
[CONSEIL : SI CONSOMMÉ UNIQUEMENT EN PETITE QUANTITÉ, NE PAS INCLURE.]</t>
  </si>
  <si>
    <t>0-7 = fcs_vegetables_days</t>
  </si>
  <si>
    <t>For any response, go to fcs_vegetables_days</t>
  </si>
  <si>
    <t>fcs_vegetables_days</t>
  </si>
  <si>
    <t>0-7 = fcs_fruit_days</t>
  </si>
  <si>
    <t>For any response, go to fcs_fruit_days</t>
  </si>
  <si>
    <t>fcs_fruit_days</t>
  </si>
  <si>
    <t>0-7 = fcs_meat_fish_days</t>
  </si>
  <si>
    <t>For any response, go to fcs_meat_fish_days</t>
  </si>
  <si>
    <t>fcs_meat_fish_days</t>
  </si>
  <si>
    <t>How many days over the last 7 days, did members of your household eat meat, eggs or fish [any type of meat or fish including insects, birds, bush meat, seafood, or organs]?
[OPERATOR: RECORD NUMBER OF DAYS 0 - 7]
[HINT: IF CONSUMED ONLY IN SMALL QUANTITY, DO NOT INCLUDE.]</t>
  </si>
  <si>
    <t>Combien de fois [en nombre de jours] au cours des 7 derniers jours, les membres de votre foyer ont-ils mangé de la viande, des œufs ou du poisson [tout type de viande ou  poisson, y compris des insectes, oiseaux, viande de brousse, fruits de mer ou abats]?
[OPÉRATEUR/OPÉRATRICE: SAISIR LE NOMBRE DE JOURS DE 0 À 7.]
[CONSEIL : SI CONSOMMÉ UNIQUEMENT EN PETITE QUANTITÉ, NE PAS INCLURE.]</t>
  </si>
  <si>
    <t>0-7 = fcs_dairy_days</t>
  </si>
  <si>
    <t>For any response, go to fcs_dairy_days</t>
  </si>
  <si>
    <t>fcs_dairy_days</t>
  </si>
  <si>
    <t>How many days over the last 7 days, did members of your household consume fresh milk, sour milk, yogurt, cheese or other dairy products? [Excluding margarine/butter or small amounts of milk for tea/ coffee]
[OPERATOR: RECORD NUMBER OF DAYS 0 - 7]
[HINT: IF CONSUMED ONLY IN SMALL QUANTITY, DO NOT INCLUDE.]</t>
  </si>
  <si>
    <t>Combien de fois [en nombre de jours] au cours des 7 derniers jours, les membres de votre foyer ont-ils consommé du lait frais, du lait aigre, du yaourt, du fromage ou d'autres produits laitiers [à l'exception de la margarine/du beurre ou de petites quantités de lait pour le thé/café]?
[OPÉRATEUR/OPÉRATRICE: SAISIR LE NOMBRE DE JOURS DE 0 À 7.]
[CONSEIL : SI CONSOMMÉ UNIQUEMENT EN PETITE QUANTITÉ, NE PAS INCLURE.]</t>
  </si>
  <si>
    <t>0-7 = fcs_sugar_days</t>
  </si>
  <si>
    <t>For any response, go to fcs_sugar_days</t>
  </si>
  <si>
    <t>fcs_sugar_days</t>
  </si>
  <si>
    <t>How many days over the last 7 days, did members of your household consume sugar or sweets such as sugar, honey, jam, cakes, candy, cookies, pastries, cakes and other sweets and sugary drinks?
[OPERATOR: RECORD NUMBER OF DAYS 0 - 7]
[HINT: IF CONSUMED ONLY IN SMALL QUANTITY, DO NOT INCLUDE.]</t>
  </si>
  <si>
    <t>Combien de fois [en nombre de jours] au cours des 7 derniers jours, les membres de votre foyer ont-ils consommé du sucre ou des produits sucrés tels que du sucre, du miel, de la confiture, des gâteaux, des bonbons, des biscuits, des pâtisseries et d'autres sucreries et des boissons sucrées?
[OPÉRATEUR/OPÉRATRICE: SAISIR LE NOMBRE DE JOURS DE 0 À 7.]
[CONSEIL : SI CONSOMMÉ UNIQUEMENT EN PETITE QUANTITÉ, NE PAS INCLURE.]</t>
  </si>
  <si>
    <t>0-7 = fcs_oil_days</t>
  </si>
  <si>
    <t>For any response, go to fcs_oil_days</t>
  </si>
  <si>
    <t>fcs_oil_days</t>
  </si>
  <si>
    <t>How many days over the last 7 days, did members of your household eat oil/fat/butter such as vegetable oil, palm oil, groundnut oil, margarine, other fats / oil?
[OPERATOR: RECORD NUMBER OF DAYS 0 - 7]
[HINT: IF CONSUMED ONLY IN SMALL QUANTITY, DO NOT INCLUDE.]</t>
  </si>
  <si>
    <t>Combien de fois [en nombre de jours] au cours des 7 derniers jours, les membres de votre foyer ont-ils consommé de l'huile/de la graisse/du beurre tels que des huiles végétales, de l'huile de palme, de l'huile d'arachide, de la margarine, d'autres graisses/huiles?
[OPÉRATEUR/OPÉRATRICE: SAISIR LE NOMBRE DE JOURS DE 0 À 7.]
[CONSEIL : SI CONSOMMÉ UNIQUEMENT EN PETITE QUANTITÉ, NE PAS INCLURE.]</t>
  </si>
  <si>
    <t>0-7 = fcs_condiments_days</t>
  </si>
  <si>
    <t>For any response, go to fcs_condiments_days</t>
  </si>
  <si>
    <t>fcs_condiments_days</t>
  </si>
  <si>
    <t>How many days over the last 7 days, did members of your household eat spices or condiments such as tea, coffee, cocoa, salt, garlic, spices, yeast, meat fish as a condiment or small amounts of milk for tea or coffee?
[OPERATOR: RECORD NUMBER OF DAYS 0 - 7]</t>
  </si>
  <si>
    <t>Combien de fois [en nombre de jours] au cours des 7 derniers jours, les membres de votre foyer ont-ils consommé des épices ou des condiments tels que du thé, du café, du cacao, du sel, de l'ail, des épices, de la levure, de la viande, du poisson comme condiment ou de petites quantités de lait pour le thé ou le café?
[OPÉRATEUR/OPÉRATRICE: SAISIR LE NOMBRE DE JOURS DE 0 À 7]</t>
  </si>
  <si>
    <t>0-7 = rcsi_intro</t>
  </si>
  <si>
    <t>For any response, go to rcsi_intro</t>
  </si>
  <si>
    <t>rcsi_intro</t>
  </si>
  <si>
    <t>Now I will ask you about the number of days, in the last 7 days, during which the household has done some of the actions that I will mention to cope with the lack of food or money to buy food.
1)CONTINUE</t>
  </si>
  <si>
    <t>Je vais maintenant vous demander combien de fois [en nombre de jours], au cours des 7 derniers jours, votre ménage a du recourir à certaines mesures pour faire face au manque de nourriture ou d'argent pour acheter de la nourriture.
1)CONTINUER</t>
  </si>
  <si>
    <t>1 = rcsi_less_preferred_foods</t>
  </si>
  <si>
    <t>For any response, go to rcsi_less_preferred_foods</t>
  </si>
  <si>
    <t>rcsi_less_preferred_foods</t>
  </si>
  <si>
    <t>In the past 7 days, how many days did your household rely on less preferred or less expensive food due to lack of food/money?  
[OPERATOR: RECORD NUMBER OF DAYS 0 - 7 ]</t>
  </si>
  <si>
    <t>Au cours des 7 derniers jours, combien de fois [en nombre de jours] votre ménage s'est-il rabattu sur des aliments qu'il aime moins ou moins chers par manque de nourriture/argent ?  
[OPÉRATEUR/OPÉRATRICE: SAISIR LE NOMBRE DE JOURS DE 0 À 7]</t>
  </si>
  <si>
    <t>0-7 = rcsi_borrowed_food</t>
  </si>
  <si>
    <t>For any response, go to rcsi_borrowed_food</t>
  </si>
  <si>
    <t>rcsi_borrowed_food</t>
  </si>
  <si>
    <t>In the past 7 days, how many days did your household borrow food, or rely on help from a friend or relative due to lack of food or money to buy food? 
[OPERATOR: RECORD NUMBER OF DAYS 0 - 7 ]</t>
  </si>
  <si>
    <t>Au cours des 7 derniers jours, combien de fois [en nombre de jours] votre ménage a-t-il emprunté de la nourriture ou demandé l'aide d'un ami ou d'un parent en raison du manque de nourriture ou d'argent pour acheter de la nourriture ?
[OPÉRATEUR/OPÉRATRICE: SAISIR LE NOMBRE DE JOURS DE 0 À 7]</t>
  </si>
  <si>
    <t>0-7 = rcsi_reduce_number_meals</t>
  </si>
  <si>
    <t>For any response, go to rcsi_reduce_number_meals</t>
  </si>
  <si>
    <t>rcsi_reduce_number_meals</t>
  </si>
  <si>
    <t>In the past 7 days, how many days did your household reduce the number of meals eaten in a day due to lack of food or money to buy food?
[OPERATOR: RECORD NUMBER OF DAYS 0 - 7 ]</t>
  </si>
  <si>
    <t>Au cours des 7 derniers jours, combien de fois [en nombre de jours] votre ménage a-t-il réduit le nombre de repas pris dans une journée par manque de nourriture ou d'argent pour acheter de la nourriture ?
[OPÉRATEUR/OPÉRATRICE: SAISIR LE NOMBRE DE JOURS DE 0 À 7]</t>
  </si>
  <si>
    <t>0-7 = rcsi_limit_portions</t>
  </si>
  <si>
    <t>For any response, go to rcsi_limit_portions</t>
  </si>
  <si>
    <t>rcsi_limit_portions</t>
  </si>
  <si>
    <t>In the past 7 days, how many days did your household limit portion sizes at mealtime due to lack of food or money to buy food? 
[OPERATOR: RECORD NUMBER OF DAYS 0 - 7 ]</t>
  </si>
  <si>
    <t>Au cours des 7 derniers jours, combien de fois [en nombre de jours] votre ménage a-t-il limité la taille des portions consommées pour le repas en raison du manque de nourriture ou d'argent pour acheter de la nourriture ?
[OPÉRATEUR/OPÉRATRICE: SAISIR LE NOMBRE DE JOURS DE 0 À 7]</t>
  </si>
  <si>
    <t>0-7 = rcsi_restrict_adult_consumpt</t>
  </si>
  <si>
    <t>For any response, go to rcsi_restrict_adult_consumpt</t>
  </si>
  <si>
    <t>rcsi_restrict_adult_consumpt</t>
  </si>
  <si>
    <t>In the past 7 days, how many days did your household restrict consumption by adults so children could eat, due to lack of food or money to buy food?
[OPERATOR: RECORD NUMBER OF DAYS 0 - 7 ]</t>
  </si>
  <si>
    <t>Au cours des 7 derniers jours, combien de fois [en nombre de jours] votre ménage a-t-il limité les quantités consommées par les adultes pour que les enfants puissent manger, par manque de nourriture ou d'argent pour acheter de la nourriture ?
[OPÉRATEUR/OPÉRATRICE: SAISIR LE NOMBRE DE JOURS DE 0 À 7]</t>
  </si>
  <si>
    <t>0-7 = need</t>
  </si>
  <si>
    <t>For any response, go to need</t>
  </si>
  <si>
    <t>H. NEEDS ASSISTANCE</t>
  </si>
  <si>
    <t>need</t>
  </si>
  <si>
    <t>Does your household need assistance for agricultural activities [including crop, livestock and fisheries/aquaculture activities] over the next 3 to 6 months?
[OPERATOR: SINGLE RESPONSE.]
1)YES
2)NO
3)DON'T KNOW
4)REFUSED</t>
  </si>
  <si>
    <t>Votre ménage aura-t-il besoin d'aide pour soutenir son activité agricole [cultures, élevage et pêche/aquaculture] au cours des 3 à 6 prochains mois ?  
[OPÉRATEUR/OPÉRATRICE: RÉPONSE UNIQUE.]
1)OUI
2)NON
3)NE SAIT PAS
4)REFUSÉ</t>
  </si>
  <si>
    <t>Send if "hh_agricactivity" "Equals" "Yes - crop production" Or "hh_agricactivity" "Equals" "Yes - livestock production" Or "hh_agricactivity" "Equals" "Yes - both crop and livestock production"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if not satisfied, go to "callback".</t>
  </si>
  <si>
    <t>1 = need_2
2-4= need_received</t>
  </si>
  <si>
    <t>Only administered to agricultural households. Otherwise, go to "callback". 
if need = 1, go to need_2
if need = 2-4, go to need_received</t>
  </si>
  <si>
    <t>need_2</t>
  </si>
  <si>
    <t>need_
1) need_food
2) need_cash
3) need_vouchers_fair
4) need_crop_inputs
5) need_crop_infrastructure
6) need_crop_knowledge
7) need_ls_feed
8) need_ls_vet_service
9) need_ls_infrastructure
10) need_ls_knowledge
11) need_fish_inputs
12) need_fish_infrastructure
13) need_fish_knowledge
14) need_env_infra_rehab
15) need_cold_storage
16) need_marketing_supp
17) need_other
18) need_dk
19) need_ref</t>
  </si>
  <si>
    <t>What are your household's greatest needs for assistance for agricultural activities [including crop, livestock or fisheries/aquaculture activities] over the next 3 to 6 months?
[OPERATOR: MULTIPLE RESPONSE. DO NOT READ THE OPTIONS.]
1)Food
2)Cash
3)Vouchers or input trade fairs
4)Inputs for crop and/or vegetable production [e.g. seeds, fertilizer, tools]
5)Infrastructure for crop and/or vegetable production [e.g. irrigation, canal rehabilitation, pumps]
6)Training &amp; technical knowledge/advice for crop production
7)Livestock feed [fodder or supplementary feed]
8)Veterinary services [e.g. vaccination, dips, deworming]
9)Infrastructure for livestock [e.g. water points, transhumance corridors, shelter, health points]
10)Training &amp; technical knowledge/advice for livestock production
11)Inputs for fishing or aquaculture production
12)Infrastructure for fisheries or aquaculture production [e.g. rehabilitation of port; repair of ponds]
13)Training &amp; technical knowledge/advice for fisheries or aquaculture production
14)Environmental or infrastructure rehabilitation [community-wide]
15)Cold storage
16)Marketing or sales support [e.g. public procurement]
17)Other [specify]
18)DON'T KNOW
19)REFUSED</t>
  </si>
  <si>
    <t>Quels sont les principaux besoins d'assistance de votre ménage pour soutenir son activité agricole [cultures, élevage ou pêche/aquaculture] au cours des 3 à 6 prochains mois ?
[OPÉRATEUR/OPÉRATRICE: PLUSIEURS RÉPONSES POSSILES. SI POSSIBLE, NE PAS LIRE LES OPTIONS.]
1)Nourriture
2)Argent liquide
3)Bons d'achat ou foire aux intrants
4)Intrants pour la production végétale et/ou de légumes [par exemple, semences, engrais, outils]
5)Infrastructures pour la production végétale et/ou de légumes [par exemple, irrigation, réhabilitation de canaux, pompes]
6)Formations et conseils techniques pour la production végétale
7)Aliments pour le bétail [fourrage ou aliments complémentaires]
8)Services vétérinaires [par exemple, vaccination, bain antiparasitaire, vermifuges]
9)Infrastructures pour le bétail [par exemple, points d'eau, couloirs de transhumance, abris, points santé]
10)Formations et conseils techniques pour la production animale
11)Intrants pour la production de poissons ou l'aquaculture
12)Infrastructures pour la pêche ou l'aquaculture [par exemple, réhabilitation du port, réaménagement des étangs]
13)Formations et conseils techniques pour la pêche ou l'aquaculture
14)Réhabilitation de l'environnement ou des infrastructures [à l'échelle de la communauté]
15)Stockage réfrigéré
16)Soutien à la commercialisation ou aux ventes [par exemple, passation de marchés publics]
17)Autre [préciser]
18)NE SAIT PAS
19)REFUSÉ</t>
  </si>
  <si>
    <t>Form Type - Checklist
18,19 = IsNone</t>
  </si>
  <si>
    <t>1-19 = need_received</t>
  </si>
  <si>
    <t>1)need_food
2)need_cash
3)need_vouchers_fair
4)need_crop_inputs
5)need_crop_infrastructure
6)need_crop_knowledge
7)need_ls_feed
8)need_ls_vet_service
9)need_ls_infrastructure
10)need_ls_knowledge
11)need_fish_inputs
12)need_fish_infrastructure
13)need_fish_knowledge
14)need_env_infra_rehab
15)need_cold_storage
16)need_marketing_supp
17)need_other
18)need_dk
19)need_ref</t>
  </si>
  <si>
    <t>if need_2 = 1-19, go to need_received</t>
  </si>
  <si>
    <t>need_received</t>
  </si>
  <si>
    <t>need_received_
1) need_received_food
2) need_received_cash
3) need_received_vouchers_fair
4) need_received_crop_assist
5) need_received_ls_assist
6) need_received_fish_assist
7) need_received_rehabilitation
8) need_received_sales_support
9) need_received_other
10) need_received_none
11) need_received_dk
12) need_received_ref</t>
  </si>
  <si>
    <t>Has your household received any assistance in the last 3 months, and if so, which kind?
[OPERATOR: MULTIPLE RESPONSE POSSIBLE. READ OUT THE OPTIONS.]
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</si>
  <si>
    <t>Votre ménage a-t-il reçu une aide au cours des 3 derniers mois, et si oui, de quel type ?
[OPÉRATEUR/OPÉRATRICE: PLUSIEURS RÉPONSES POSSIBLES. LIRE LES OPTIONS À VOIX HAUTE.]
1)Nourriture
2)Argent liquide 
3)Bons d'achat/foires aux intrants
4)Soutien à la production végétale et/ou de légumes
5)Soutien à l'élevage
6)Soutien à la pêche et/ou à l'aquaculture
7)Réhabilitation de l'environnement ou des infrastructures [à l'échelle de la communauté]
8)Soutien à la commercialisation ou à la vente [par exemple, passation de marchés publics]
9)Autre [préciser]
10)Aucune aide reçue
11)NE SAIT PAS 
12)REFUSÉ</t>
  </si>
  <si>
    <t>Form Type - Checklist
10,11,12 = IsNone</t>
  </si>
  <si>
    <t>1-9 = assistance_quality 
10-12 = callback</t>
  </si>
  <si>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</si>
  <si>
    <t xml:space="preserve">if need_received = 1-9, go to assistance_quality.
Otherwise, go to callback. </t>
  </si>
  <si>
    <t>assistance_quality</t>
  </si>
  <si>
    <t>Were you satisfied with the quality of the assistance provided? 
[OPERATOR: SINGLE RESPONSE. QUALITY OF ASSISTANCE IN TERMS OF SUFFICIENT ASSISTANCE FOR PRODUCTION OR SALES DIFFICULTY TO BE OVERCOME.]
1)Yes
2)No - not received on time
3)No - did not meet my needs
4)No - quantity was not sufficient
5)No - there was a problem with the provider
6)No - there was a malfunction of the in-kind assistance provided [e.g. poor quality tools]
7)DON'T KNOW
8)REFUSED</t>
  </si>
  <si>
    <t>Avez-vous été satisfait de la qualité de l'assistance reçue?
[OPÉRATEUR/OPÉRATRICE: RÉPONSE UNIQUE. QUALITÉ DE L'ASSISTANCE EN TERMES D'AIDE SUFFISANTE POUR SURMONTER LES DIFFICULTÉS DE PRODUCTION OU DE VENTE.]
1)Oui
2)Non - pas reçue à temps
3)Non - n'a pas répondu à mes besoins
4)Non - la quantité n'était pas suffisante
5)Non - il y avait un problème avec le fournisseur
6)Non - il y a eu un dysfonctionnement de l'aide en nature fournie [par exemple, des outils de mauvaise qualité]
7)NE SAIT PAS
8)REFUSÉ</t>
  </si>
  <si>
    <t>1-8 = [callback or optional question]</t>
  </si>
  <si>
    <t>if assistance_quality = 1-8, go to callback or assistance_provider</t>
  </si>
  <si>
    <t>assistance_provider</t>
  </si>
  <si>
    <t>assistance_provider
1) assistance_fao
2) assistance_wfp
3) assistance_otherun
4) assistance_gov
5) assistance_ngo
6) assistance_dk
7) assistance_ref</t>
  </si>
  <si>
    <t>Who provided your household with this assistance?
[OPERATOR: MULTIPLE RESPONSE.]
1)FAO
2)WFP
3)Other UN agencies
4)Government
5)Non-governmental/local organization
6)DON'T KNOW
7)REFUSED</t>
  </si>
  <si>
    <t>Qui a fourni cette aide à votre ménage?
[OPÉRATEUR/OPÉRATRICE: RÉPONSE MULTIPLE.]
1)FAO
2)PAM
3)Autres agences des Nations Unies
4)Gouvernment
5)Organisation non-gouvernmentale/locale
6)NE SAIT PAS
7)REFUSÉ</t>
  </si>
  <si>
    <t>Form Type - Checklist
6,7 = IsNone</t>
  </si>
  <si>
    <t>1-7 = callback</t>
  </si>
  <si>
    <t>1)assistance_fao
2)assistance_wfp
3)assistance_otherun
4)assistance_gov
5)assistance_ngo
6)assistance_dk
7)assistance_ref</t>
  </si>
  <si>
    <t xml:space="preserve">if assistance_provider = 1-7, go to callback </t>
  </si>
  <si>
    <t>I. CLOSING</t>
  </si>
  <si>
    <t>callback</t>
  </si>
  <si>
    <t>Your answers will help us to understand and respond to your community needs. May we call you back again in a few months?
[OPERATOR: SINGLE RESPONSE.]
1)YES
2)NO</t>
  </si>
  <si>
    <t>Vos réponses nous aideront à comprendre les besoins de votre communauté et à y répondre. Pouvons-nous vous rappeler dans quelques mois?
[OPÉRATEUR/OPÉRATRICE: RÉPONSE UNIQUE.]
1)OUI
2)NON</t>
  </si>
  <si>
    <t>1 = leader_contact
2 = language2</t>
  </si>
  <si>
    <t>if callback = 1, go to leader_contact
if 2, go to language2</t>
  </si>
  <si>
    <t>leader_contact</t>
  </si>
  <si>
    <t>Can you provide me with the contact information of a leader in your community?
[OPERATOR: SINGLE RESPONSE.]
1)YES 
2)NO
3)DON'T KNOW
4)REFUSED</t>
  </si>
  <si>
    <t>Pouvez-vous me donner les coordonnées d'une personnalité influente de votre communauté?
[OPÉRATEUR/OPÉRATRICE: RÉPONSE UNIQUE.]
1)OUI
2)NON
3)NE SAIT PAS
4)REFUSÉ</t>
  </si>
  <si>
    <t>1 = leader_type
2-4 = future_int_day</t>
  </si>
  <si>
    <t>if leader_contact = 1, go to leader_type;
if leader_contact = 2-4, go to future_int_day</t>
  </si>
  <si>
    <t>no - panel</t>
  </si>
  <si>
    <t>leader_type</t>
  </si>
  <si>
    <t>What type of community leader can you provide information for?
[OPERATOR: SINGLE RESPONSE.]
1)Village / town administrator
2)Agricultural extension officer
3)Health extension officer
4)Teacher
5)Other [specify]
6)DON'T KNOW
7)REFUSED</t>
  </si>
  <si>
    <t>Quel est le rôle de cette personnalité influente pour laquelle vous fournissez des informations?
[OPÉRATEUR/OPÉRATRICE: RÉPONSE UNIQUE.]
1)Administrateur du village/de la ville
2)Agent de vulgarisation agricole
3)Agent de vulgarisation sanitaire
4)Enseignant
5)Autre [préciser]
6)NE SAIT PAS
7)REFUSÉ</t>
  </si>
  <si>
    <t>1-7 = phone_number_leader</t>
  </si>
  <si>
    <t>if leader_type = 1-7, go to phone_number_leader</t>
  </si>
  <si>
    <t>phone_number_leader</t>
  </si>
  <si>
    <t>What is the leader's phone number?
[OPERATOR: RECORD THE NUMBER GIVEN]</t>
  </si>
  <si>
    <t xml:space="preserve">Quel est le numéro de téléphone de cette personnalité influente?
[OPÉRATEUR/OPÉRATRICE: SAISIR LE NUMÉRO DONNÉ.]
</t>
  </si>
  <si>
    <t>Any Response = leader_name</t>
  </si>
  <si>
    <t>For any response, go to leader_name</t>
  </si>
  <si>
    <t>leader_name</t>
  </si>
  <si>
    <t>What is the leader's name?
[OPERATOR: RECORD THE NAME OF THE CONTACT FOR THE PHONE NUMBER.]</t>
  </si>
  <si>
    <t xml:space="preserve">Quel est le nom de cette personnalité influente?
[OPÉRATEUR/OPÉRATRICE: SAISIR LE NOM ASSOCIÉ AU NUMÉRO.]
</t>
  </si>
  <si>
    <t>Any Response = future_int_day</t>
  </si>
  <si>
    <t>For any response, go to future_int_day</t>
  </si>
  <si>
    <t>future_int_day</t>
  </si>
  <si>
    <t>future_int_day_
1) future_int_day_mon
2) future_int_day_tues
3) future_int_day_wed
4) future_int_day_thurs
5) future_int_day_fri
6) future_int_day_sat
7) future_int_day_sun</t>
  </si>
  <si>
    <t>For future interviews, in which day[s] can I call you?
[OPERATOR: MULTIPLE ANSWERS POSSIBLE.]
1)Monday
2)Tuesday
3)Wednesday
4)Thursday
5)Friday
6)Saturday
7)Sunday</t>
  </si>
  <si>
    <t>Pour les prochains entretiens, quel[s] jour[s] puis-je vous appeler?
[OPÉRATEUR/OPÉRATRICE: PLUSIEURS RÉPONSES POSSIBLES.]
1)Lundi
2)Mardi
3)Mercredi
4)Jeudi
5)Vendredi
6)Samedi
7)Dimanche</t>
  </si>
  <si>
    <t>1-7 = future_int_time</t>
  </si>
  <si>
    <t>if l_future_int_day = 1-7, go to future_int_time</t>
  </si>
  <si>
    <t>future_int_time</t>
  </si>
  <si>
    <t>future_int_time_ 
1) future_int_time_morn
2) future_int_time_aft
3) future_int_time_eve</t>
  </si>
  <si>
    <t>For future interviews, at what time[s] can I call you?
[OPERATOR: MULTIPLE ANSWERS POSSIBLE.]
1)Mornings
2)Afternoons
3)Evenings</t>
  </si>
  <si>
    <t>Pour les prochains entretiens, à quel[s] moment[s] de la journée puis-je vous appeler?
[OPÉRATEUR/OPÉRATRICE: PLUSIEURS RÉPONSES POSSIBLES.]
1)Le matin
2)L'après-midi
3)Le soir</t>
  </si>
  <si>
    <t>1-3 = language2</t>
  </si>
  <si>
    <t>if future_int_time = 1-3, go to language2</t>
  </si>
  <si>
    <t>language2</t>
  </si>
  <si>
    <t>Select the language that was mostly used to complete the interview.
[OPERATOR: SINGLE RESPONSE.]
1)English
2)other languages [consistent with resp_language]</t>
  </si>
  <si>
    <t>Sélectionner la langue qui a été principalement utilisée pour réaliser l'entretien.
[OPÉRATEUR/OPÉRATRICE: RÉPONSE UNIQUE.]
1)Français
2)Autre langue [cohérente avec resp_languague].</t>
  </si>
  <si>
    <t>1-2 = closeout</t>
  </si>
  <si>
    <t>closeout</t>
  </si>
  <si>
    <t>Thank you for your time. The interview has come to an end. You will receive your #TOPUP# airtime credit on this phone within the next 2 days.</t>
  </si>
  <si>
    <t>Merci de nous avoir accordé votre temps. L'entretien est terminé. Vous recevrez votre crédit téléphonique #TOPUP# sur ce téléphone dans les deux prochains jours.</t>
  </si>
  <si>
    <t xml:space="preserve">AVERAGE ESTIMATED DURATION </t>
  </si>
  <si>
    <t>DURÉE MOYENNE ESTIMÉE</t>
  </si>
  <si>
    <t>AVERAGE ESTIMATED DURATION (without fisheries section)</t>
  </si>
  <si>
    <t>DURÉE MOYENNE ESTIMÉE (sans questions sur la pêche)</t>
  </si>
  <si>
    <t>AVERAGE ESTIMATED DURATION (without fisheries section or panel)</t>
  </si>
  <si>
    <t>DURÉE MOYENNE ESTIMÉE (sans questions sur la pêche ni sur panel)</t>
  </si>
  <si>
    <t>question</t>
  </si>
  <si>
    <t>duration</t>
  </si>
  <si>
    <t>responded %</t>
  </si>
  <si>
    <t>weighted time</t>
  </si>
  <si>
    <t>agree</t>
  </si>
  <si>
    <t>hh_milieu</t>
  </si>
  <si>
    <t>hh_wealthwall</t>
  </si>
  <si>
    <t>hh_reprwomen</t>
  </si>
  <si>
    <t>covid_policy</t>
  </si>
  <si>
    <t>wagecompar</t>
  </si>
  <si>
    <t>crp_landsize</t>
  </si>
  <si>
    <t>crp_landsmall</t>
  </si>
  <si>
    <t>crp_landmedium</t>
  </si>
  <si>
    <t>crp_irrigation</t>
  </si>
  <si>
    <t>crp_proddif_1</t>
  </si>
  <si>
    <t>crp_salesdif_1</t>
  </si>
  <si>
    <t>mrk_inno</t>
  </si>
  <si>
    <t>crp_proc</t>
  </si>
  <si>
    <t>crp_proc_mach</t>
  </si>
  <si>
    <t>crp_proc_owner</t>
  </si>
  <si>
    <t>crp_proc_state</t>
  </si>
  <si>
    <t>ls_food_supply</t>
  </si>
  <si>
    <t>ls_proddif_1</t>
  </si>
  <si>
    <t>ls_salesdif_1</t>
  </si>
  <si>
    <t>ls_proc_1</t>
  </si>
  <si>
    <t>ls_proc_2</t>
  </si>
  <si>
    <t>ls_proc_fac</t>
  </si>
  <si>
    <t>ls_proc_fac_statedairyprocess</t>
  </si>
  <si>
    <t>ls_proc_fac_statecoldtranspor</t>
  </si>
  <si>
    <t>ls_proc_fac_statedontknow</t>
  </si>
  <si>
    <t>cg</t>
  </si>
  <si>
    <t>ls_proc_fac_statepurchasepriv</t>
  </si>
  <si>
    <t>fish_proddif_1</t>
  </si>
  <si>
    <t>fish_salesdif_1</t>
  </si>
  <si>
    <t>fies</t>
  </si>
  <si>
    <t>copingstrategies</t>
  </si>
  <si>
    <t>cs_crisis_sold_productive_asset</t>
  </si>
  <si>
    <t>cs_crisis_consumed_seed_stocks</t>
  </si>
  <si>
    <t>cs_emergency_sold_house</t>
  </si>
  <si>
    <t>cs_emergency_sold_last_female</t>
  </si>
  <si>
    <t>cs_emergency_sold_till</t>
  </si>
  <si>
    <t>food_exp</t>
  </si>
  <si>
    <t>mdds_w</t>
  </si>
  <si>
    <t>mdds_w1</t>
  </si>
  <si>
    <t>mdds_w2</t>
  </si>
  <si>
    <t>mdds_w3</t>
  </si>
  <si>
    <t>mdds_w4</t>
  </si>
  <si>
    <t>mdds_w5</t>
  </si>
  <si>
    <t>mdds_w6</t>
  </si>
  <si>
    <t>mdds_w7</t>
  </si>
  <si>
    <t>mdds_w8</t>
  </si>
  <si>
    <t>mdds_w9</t>
  </si>
  <si>
    <t>mdds_w10</t>
  </si>
  <si>
    <t>mdds_w11</t>
  </si>
  <si>
    <t>need_1</t>
  </si>
  <si>
    <t>info_needs</t>
  </si>
  <si>
    <t>info_needstype</t>
  </si>
  <si>
    <t>info_needsmedium</t>
  </si>
  <si>
    <t>cs_stress_eat_elsewhere</t>
  </si>
  <si>
    <t>cs_crisis_decr_agric_input_exp</t>
  </si>
  <si>
    <t>covid_assistance</t>
  </si>
  <si>
    <t>what_covid_assistance</t>
  </si>
  <si>
    <t>ruralurban</t>
  </si>
  <si>
    <t>formal_informal</t>
  </si>
  <si>
    <t>hhsize04</t>
  </si>
  <si>
    <t>hhdisability</t>
  </si>
  <si>
    <t>hhincearners</t>
  </si>
  <si>
    <t>incomechangereduced</t>
  </si>
  <si>
    <t>hhexptotal30d</t>
  </si>
  <si>
    <t>expensefood30d</t>
  </si>
  <si>
    <t>cropdifficultyunrest</t>
  </si>
  <si>
    <t>cropsalesdifficultyunrest</t>
  </si>
  <si>
    <t>lsdifficultyunrest</t>
  </si>
  <si>
    <t>ls_salesdifficultyunrest</t>
  </si>
  <si>
    <t>cs_crisis_no_school</t>
  </si>
  <si>
    <t>cs_emergency_sold_last_drought</t>
  </si>
  <si>
    <t>cs_emergency_hh_risk</t>
  </si>
  <si>
    <t>wheremigration</t>
  </si>
  <si>
    <t>meals</t>
  </si>
  <si>
    <t>fcsstap</t>
  </si>
  <si>
    <t>fcspulse</t>
  </si>
  <si>
    <t>fcsdairy</t>
  </si>
  <si>
    <t>fcspr</t>
  </si>
  <si>
    <t>fcsveg</t>
  </si>
  <si>
    <t>fcsfruit</t>
  </si>
  <si>
    <t>fcsfat</t>
  </si>
  <si>
    <t>fcssugar</t>
  </si>
  <si>
    <t>accessmarket</t>
  </si>
  <si>
    <t>sourcewater</t>
  </si>
  <si>
    <t>othersourcewater</t>
  </si>
  <si>
    <t>adm1_name</t>
  </si>
  <si>
    <t>adm2_name</t>
  </si>
  <si>
    <t>covid</t>
  </si>
  <si>
    <t>crp_landright</t>
  </si>
  <si>
    <t>crp_seed</t>
  </si>
  <si>
    <t>crp_saledif_2</t>
  </si>
  <si>
    <t>ls_proc</t>
  </si>
  <si>
    <t>ls_proc_fac_state</t>
  </si>
  <si>
    <t>cs_spentsavings</t>
  </si>
  <si>
    <t>cs_borrowmoney</t>
  </si>
  <si>
    <t>cs_purchasedfoodcredit</t>
  </si>
  <si>
    <t>cs_soldhhassetsgoods</t>
  </si>
  <si>
    <t>cs_soldprodassets</t>
  </si>
  <si>
    <t>cs_eatplantingseeds</t>
  </si>
  <si>
    <t>cs_withdrewchild</t>
  </si>
  <si>
    <t>cs_soldlandhouse</t>
  </si>
  <si>
    <t>cs_begging</t>
  </si>
  <si>
    <t>cs_soldfemanimals</t>
  </si>
  <si>
    <t>reasonsmigration</t>
  </si>
  <si>
    <t>need_received_agent</t>
  </si>
  <si>
    <t>crp_area_change_covid19</t>
  </si>
  <si>
    <t>ls_proddif_2_covid19</t>
  </si>
  <si>
    <t xml:space="preserve">Select top 10 crops </t>
  </si>
  <si>
    <t>GeoPoll code</t>
  </si>
  <si>
    <t>Dataset code</t>
  </si>
  <si>
    <t>Label (EN)</t>
  </si>
  <si>
    <t>Label (FR)</t>
  </si>
  <si>
    <t>x</t>
  </si>
  <si>
    <t>1.1</t>
  </si>
  <si>
    <t>Rice</t>
  </si>
  <si>
    <t>Riz</t>
  </si>
  <si>
    <t>1.2</t>
  </si>
  <si>
    <t>Wheat</t>
  </si>
  <si>
    <t>Blé</t>
  </si>
  <si>
    <t>1.3</t>
  </si>
  <si>
    <t>Millet</t>
  </si>
  <si>
    <t>Mil</t>
  </si>
  <si>
    <t>1.4</t>
  </si>
  <si>
    <t>Sorghum</t>
  </si>
  <si>
    <t>Sorgho</t>
  </si>
  <si>
    <t>1.5</t>
  </si>
  <si>
    <t>Maize</t>
  </si>
  <si>
    <t>Maïs</t>
  </si>
  <si>
    <t>1.6</t>
  </si>
  <si>
    <t>Barley</t>
  </si>
  <si>
    <t>Orge</t>
  </si>
  <si>
    <t>1.99</t>
  </si>
  <si>
    <t>Other Cereal</t>
  </si>
  <si>
    <t>Autres céréales</t>
  </si>
  <si>
    <t>2.1</t>
  </si>
  <si>
    <t>Cassava</t>
  </si>
  <si>
    <t>Manioc</t>
  </si>
  <si>
    <t>2.2</t>
  </si>
  <si>
    <t>Potatoe</t>
  </si>
  <si>
    <t>Pommes de terre</t>
  </si>
  <si>
    <t>2.3</t>
  </si>
  <si>
    <t>Sweet Potatoes</t>
  </si>
  <si>
    <t>Patates douces</t>
  </si>
  <si>
    <t>2.4</t>
  </si>
  <si>
    <t>Yams</t>
  </si>
  <si>
    <t>Ignames</t>
  </si>
  <si>
    <t>2.5</t>
  </si>
  <si>
    <t>Carrots</t>
  </si>
  <si>
    <t>Carottes</t>
  </si>
  <si>
    <t>2.6</t>
  </si>
  <si>
    <t>Cocoyam</t>
  </si>
  <si>
    <t>Chou caraïbe</t>
  </si>
  <si>
    <t>2.99</t>
  </si>
  <si>
    <t>Other tubers</t>
  </si>
  <si>
    <t>Autres tubercules</t>
  </si>
  <si>
    <t>3.1</t>
  </si>
  <si>
    <t>Beans</t>
  </si>
  <si>
    <t>Haricots</t>
  </si>
  <si>
    <t>3.2</t>
  </si>
  <si>
    <t>Lentils</t>
  </si>
  <si>
    <t>Lentilles</t>
  </si>
  <si>
    <t>3.3</t>
  </si>
  <si>
    <t>Peas</t>
  </si>
  <si>
    <t>Pois</t>
  </si>
  <si>
    <t>3.4</t>
  </si>
  <si>
    <t>Soybeans</t>
  </si>
  <si>
    <t>Soja</t>
  </si>
  <si>
    <t>3.5</t>
  </si>
  <si>
    <t>Chickpeas</t>
  </si>
  <si>
    <t>Pois chiches</t>
  </si>
  <si>
    <t>3.6</t>
  </si>
  <si>
    <t>Fava beans</t>
  </si>
  <si>
    <t>Fève</t>
  </si>
  <si>
    <t>3.7</t>
  </si>
  <si>
    <t>Broad beans</t>
  </si>
  <si>
    <t>Fève large</t>
  </si>
  <si>
    <t>3.99</t>
  </si>
  <si>
    <t>Other pulses</t>
  </si>
  <si>
    <t>Autres légumineuses</t>
  </si>
  <si>
    <t>4.1</t>
  </si>
  <si>
    <t>Cabbage</t>
  </si>
  <si>
    <t>Choux</t>
  </si>
  <si>
    <t>4.2</t>
  </si>
  <si>
    <t>Lettuce</t>
  </si>
  <si>
    <t>Laitue</t>
  </si>
  <si>
    <t>4.3</t>
  </si>
  <si>
    <t>Spinach-Amaranth</t>
  </si>
  <si>
    <t>Epinards-Amaranthe</t>
  </si>
  <si>
    <t>4.4</t>
  </si>
  <si>
    <t>Cassava leaves</t>
  </si>
  <si>
    <t>Feuilles de manioc</t>
  </si>
  <si>
    <t>4.5</t>
  </si>
  <si>
    <t>Potatoe leaves</t>
  </si>
  <si>
    <t>Feuilles de pomme de terre</t>
  </si>
  <si>
    <t>4.6</t>
  </si>
  <si>
    <t>Moringa</t>
  </si>
  <si>
    <t>4.7</t>
  </si>
  <si>
    <t>Sorrel Hibiscus / Rosselle</t>
  </si>
  <si>
    <t>Oseille Hibiscus / Rosselle</t>
  </si>
  <si>
    <t>4.9</t>
  </si>
  <si>
    <t>Green salad herbs [thyme, parsley, mint, rocca, other]</t>
  </si>
  <si>
    <t>Herbes aromatiques [thym, persil, menthe, rocca, autres]</t>
  </si>
  <si>
    <t>4.101</t>
  </si>
  <si>
    <t>Cauliflower</t>
  </si>
  <si>
    <t>Choux-fleur</t>
  </si>
  <si>
    <t>4.99</t>
  </si>
  <si>
    <t>Other leafy vegetables</t>
  </si>
  <si>
    <t>Autres légumes à feuilles</t>
  </si>
  <si>
    <t>5.1</t>
  </si>
  <si>
    <t>Tomatoes</t>
  </si>
  <si>
    <t>Tomates</t>
  </si>
  <si>
    <t>5.2</t>
  </si>
  <si>
    <t>Cucumber</t>
  </si>
  <si>
    <t>Concombre</t>
  </si>
  <si>
    <t>5.3</t>
  </si>
  <si>
    <t>Pumpkin</t>
  </si>
  <si>
    <t>Citrouille</t>
  </si>
  <si>
    <t>5.4</t>
  </si>
  <si>
    <t>Eggplant/aubergine</t>
  </si>
  <si>
    <t>Aubergines/aubergines</t>
  </si>
  <si>
    <t>5.5</t>
  </si>
  <si>
    <t>Zucchini</t>
  </si>
  <si>
    <t>Courgettes</t>
  </si>
  <si>
    <t>5.6</t>
  </si>
  <si>
    <t>Okra</t>
  </si>
  <si>
    <t>5.7</t>
  </si>
  <si>
    <t>Bell pepper</t>
  </si>
  <si>
    <t>Poivrons</t>
  </si>
  <si>
    <t>5.8</t>
  </si>
  <si>
    <t>Onions</t>
  </si>
  <si>
    <t>Oignons</t>
  </si>
  <si>
    <t>5.9</t>
  </si>
  <si>
    <t>Haricot</t>
  </si>
  <si>
    <t xml:space="preserve">Haricot </t>
  </si>
  <si>
    <t>5.101</t>
  </si>
  <si>
    <t>Green peas</t>
  </si>
  <si>
    <t>Petit pois</t>
  </si>
  <si>
    <t>5.11</t>
  </si>
  <si>
    <t>Fava beans green</t>
  </si>
  <si>
    <t>Pois fève</t>
  </si>
  <si>
    <t>5.99</t>
  </si>
  <si>
    <t>Other non leafy vegs</t>
  </si>
  <si>
    <t>Autres légumes non feuillus</t>
  </si>
  <si>
    <t>6.1</t>
  </si>
  <si>
    <t>Orange</t>
  </si>
  <si>
    <t>6.2</t>
  </si>
  <si>
    <t>Lemon</t>
  </si>
  <si>
    <t>Citron</t>
  </si>
  <si>
    <t>6.3</t>
  </si>
  <si>
    <t>Grapefruit</t>
  </si>
  <si>
    <t>Pamplemousse</t>
  </si>
  <si>
    <t>6.4</t>
  </si>
  <si>
    <t>Mandarins/clementines</t>
  </si>
  <si>
    <t>Tangerine/clémentine</t>
  </si>
  <si>
    <t>6.99</t>
  </si>
  <si>
    <t>Other citrus fruit</t>
  </si>
  <si>
    <t>Autres agrumes</t>
  </si>
  <si>
    <t>7.1</t>
  </si>
  <si>
    <t>Sweet Banana</t>
  </si>
  <si>
    <t>Banane douce</t>
  </si>
  <si>
    <t>7.2</t>
  </si>
  <si>
    <t>Plantains</t>
  </si>
  <si>
    <t>Banane plantain</t>
  </si>
  <si>
    <t>7.3</t>
  </si>
  <si>
    <t>Papaya</t>
  </si>
  <si>
    <t>Papaye</t>
  </si>
  <si>
    <t>7.4</t>
  </si>
  <si>
    <t>Mango</t>
  </si>
  <si>
    <t>Mangue</t>
  </si>
  <si>
    <t>7.5</t>
  </si>
  <si>
    <t>Guava</t>
  </si>
  <si>
    <t>Goyave</t>
  </si>
  <si>
    <t>7.6</t>
  </si>
  <si>
    <t>Pineapple</t>
  </si>
  <si>
    <t>Ananas</t>
  </si>
  <si>
    <t>7.7</t>
  </si>
  <si>
    <t>Avocado</t>
  </si>
  <si>
    <t>Avocat</t>
  </si>
  <si>
    <t>7.8</t>
  </si>
  <si>
    <t>Water Melon</t>
  </si>
  <si>
    <t>Pastèques</t>
  </si>
  <si>
    <t>7.9</t>
  </si>
  <si>
    <t>Dates</t>
  </si>
  <si>
    <t>Dattes</t>
  </si>
  <si>
    <t>7.101</t>
  </si>
  <si>
    <t>Figs</t>
  </si>
  <si>
    <t>Figues</t>
  </si>
  <si>
    <t>7.11</t>
  </si>
  <si>
    <t>Grapes</t>
  </si>
  <si>
    <t>Raisins</t>
  </si>
  <si>
    <t>7.12</t>
  </si>
  <si>
    <t>Olives</t>
  </si>
  <si>
    <t>7.13</t>
  </si>
  <si>
    <t>Apple</t>
  </si>
  <si>
    <t>Pomme</t>
  </si>
  <si>
    <t>7.14</t>
  </si>
  <si>
    <t>Apricot</t>
  </si>
  <si>
    <t>Abricot</t>
  </si>
  <si>
    <t>7.15</t>
  </si>
  <si>
    <t>Cherries</t>
  </si>
  <si>
    <t>Cerises</t>
  </si>
  <si>
    <t>7.16</t>
  </si>
  <si>
    <t>Peach/nectarine</t>
  </si>
  <si>
    <t>Pêche/nectarine</t>
  </si>
  <si>
    <t>7.17</t>
  </si>
  <si>
    <t>Strawberries</t>
  </si>
  <si>
    <t>Fraises</t>
  </si>
  <si>
    <t>7.18</t>
  </si>
  <si>
    <t>Melon [Cantaloupe]</t>
  </si>
  <si>
    <t>Melon</t>
  </si>
  <si>
    <t>7.99</t>
  </si>
  <si>
    <t>Other fruit</t>
  </si>
  <si>
    <t>Autres fruits</t>
  </si>
  <si>
    <t>8.1</t>
  </si>
  <si>
    <t>Coconuts</t>
  </si>
  <si>
    <t>Noix de coco</t>
  </si>
  <si>
    <t>8.2</t>
  </si>
  <si>
    <t>Groundnut/peanut</t>
  </si>
  <si>
    <t>Arachide / cacahuète</t>
  </si>
  <si>
    <t>8.3</t>
  </si>
  <si>
    <t>Cashew Nut</t>
  </si>
  <si>
    <t>Noix de cajou</t>
  </si>
  <si>
    <t>8.4</t>
  </si>
  <si>
    <t>Kola Nut</t>
  </si>
  <si>
    <t>Noix de kola</t>
  </si>
  <si>
    <t>8.5</t>
  </si>
  <si>
    <t>Sesame</t>
  </si>
  <si>
    <t>Sésame</t>
  </si>
  <si>
    <t>8.6</t>
  </si>
  <si>
    <t>Bambara nut</t>
  </si>
  <si>
    <t>Noix de bambara</t>
  </si>
  <si>
    <t>8.7</t>
  </si>
  <si>
    <t>Almond</t>
  </si>
  <si>
    <t>Amande</t>
  </si>
  <si>
    <t>8.8</t>
  </si>
  <si>
    <t>Walnut</t>
  </si>
  <si>
    <t>Noix</t>
  </si>
  <si>
    <t>8.99</t>
  </si>
  <si>
    <t>Other nuts</t>
  </si>
  <si>
    <t>Autres fruits à coque</t>
  </si>
  <si>
    <t>9.1</t>
  </si>
  <si>
    <t>Cocoa</t>
  </si>
  <si>
    <t>Cacao</t>
  </si>
  <si>
    <t>9.2</t>
  </si>
  <si>
    <t>Coffee</t>
  </si>
  <si>
    <t>Café</t>
  </si>
  <si>
    <t>9.3</t>
  </si>
  <si>
    <t>Tea</t>
  </si>
  <si>
    <t>Thé</t>
  </si>
  <si>
    <t>9.4</t>
  </si>
  <si>
    <t>Sugarcane</t>
  </si>
  <si>
    <t>Canne à sucre</t>
  </si>
  <si>
    <t>9.5</t>
  </si>
  <si>
    <t>Sunflower</t>
  </si>
  <si>
    <t>Tournesol</t>
  </si>
  <si>
    <t>9.99</t>
  </si>
  <si>
    <t>Other food cash crop</t>
  </si>
  <si>
    <t>Autres cultures vivrières de rente</t>
  </si>
  <si>
    <t>10.1</t>
  </si>
  <si>
    <t>Cotton</t>
  </si>
  <si>
    <t>Coton</t>
  </si>
  <si>
    <t>10.2</t>
  </si>
  <si>
    <t>Rubber</t>
  </si>
  <si>
    <t>Caoutchouc</t>
  </si>
  <si>
    <t>10.3</t>
  </si>
  <si>
    <t>Jute</t>
  </si>
  <si>
    <t>10.4</t>
  </si>
  <si>
    <t>Fodder</t>
  </si>
  <si>
    <t>Fourrage</t>
  </si>
  <si>
    <t>10.5</t>
  </si>
  <si>
    <t>Tobacco</t>
  </si>
  <si>
    <t>Tabac</t>
  </si>
  <si>
    <t>10.6</t>
  </si>
  <si>
    <t>Qat</t>
  </si>
  <si>
    <t>10.99</t>
  </si>
  <si>
    <t>Other non-food cash crop</t>
  </si>
  <si>
    <t>Autre culture de rente non alimentaire</t>
  </si>
  <si>
    <t>Original 
EN / FR</t>
  </si>
  <si>
    <t>Replacement (EN)</t>
  </si>
  <si>
    <t>Remplacement (FR)</t>
  </si>
  <si>
    <t>Comment (EN)</t>
  </si>
  <si>
    <t>Commentaire (FR)</t>
  </si>
  <si>
    <t>Examples (EN)</t>
  </si>
  <si>
    <t>Exemples (FR)</t>
  </si>
  <si>
    <t>FOR CORE QUESTIONS    .
(Mandatory to fill out)    .</t>
  </si>
  <si>
    <t>ADMIN1</t>
  </si>
  <si>
    <t>Province</t>
  </si>
  <si>
    <t>The first subdivision of the country, after national level; region; province; governorate; etc.</t>
  </si>
  <si>
    <t xml:space="preserve">La première subdivision du pays, après le niveau national ; par exemple, région ; province ; gouvernorat ; etc. </t>
  </si>
  <si>
    <t>region</t>
  </si>
  <si>
    <t>ADMIN2</t>
  </si>
  <si>
    <t>Territory</t>
  </si>
  <si>
    <t>Territoire</t>
  </si>
  <si>
    <t>The second subdivision of the country; district; municipality; LGA; etc.</t>
  </si>
  <si>
    <t xml:space="preserve">La deuxième subdivision du pays ; par exemple, district, municipalité, LGA, etc. </t>
  </si>
  <si>
    <t>district</t>
  </si>
  <si>
    <t>reference year</t>
  </si>
  <si>
    <t>last year</t>
  </si>
  <si>
    <t>l'année dernière</t>
  </si>
  <si>
    <t xml:space="preserve">Comparison questions will need need a reference year. Select whether you want to use "last year" or "a normal year" as a baseline. A "normal year" should refers to an average year from the past 5 years - make sure to train the enumerators accordingly. </t>
  </si>
  <si>
    <t xml:space="preserve">Les questions de comparaison auront besoin d'une année de référence. Choisissez si vous voulez utiliser "l'année dernière" ou "une année normale" comme année de référence. Une "année normale" doit correspondre à une année moyenne des 5 dernières années - veillez à former les recenseurs en conséquence. </t>
  </si>
  <si>
    <t>a normal year</t>
  </si>
  <si>
    <t xml:space="preserve">une année normale </t>
  </si>
  <si>
    <t>season</t>
  </si>
  <si>
    <t>Rainy season</t>
  </si>
  <si>
    <t>Saison des pluies</t>
  </si>
  <si>
    <t>Name the crop season(s) of interest if there are several cropping seasons in the country (e.g. Meher and Belg in Ethiopia, rainy season / flood-recession cropping / irrigated dry season in the Sahel). You can refer to the “last season” or “ongoing season".</t>
  </si>
  <si>
    <t>Nommez la ou les saisons culturales concernée(s) en ANGLAIS s'il y en a plusieurs dans le pays (par exemple, Meher et Belg en Ethiopie, saison des pluies / cultures de décrue / saison sèche irriguée au Sahel). Vous pouvez vous référer à la "dernière saison" ou "saison actuelle".</t>
  </si>
  <si>
    <t>wet season</t>
  </si>
  <si>
    <t>saison des pluies</t>
  </si>
  <si>
    <t>season phase</t>
  </si>
  <si>
    <t>Maturing</t>
  </si>
  <si>
    <t>Proche de la récolte</t>
  </si>
  <si>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</si>
  <si>
    <t xml:space="preserve">Indiquez le stade de la saison culturale au moment de la collecte des données. Si la récolte de la saison n'a pas encore eu lieu, la question sur la récolte des cultures (crp_harv_change) inclura le mot "attendue" (là où se trouve #attendue ou rien#). Si la récolte a eu lieu, "attendue" ne sera pas inséré dans la question. </t>
  </si>
  <si>
    <t>Harvesting</t>
  </si>
  <si>
    <t>Récolte</t>
  </si>
  <si>
    <t>local measurement unit</t>
  </si>
  <si>
    <t xml:space="preserve">Specify the local measurement unit for land size, other than acres, hectares, square meters and square feet. If no other unit of measurement is needed, keep this cell blank. </t>
  </si>
  <si>
    <t xml:space="preserve">Indiquez l'unité utilisée localement pour mesurer la taille des terrains, autre que les acres, les hectares, les mètres carrés et les pieds carrés. Si aucune autre unité de mesure n'est nécessaire, garder cette cellule vide. </t>
  </si>
  <si>
    <t>Jeribs</t>
  </si>
  <si>
    <t>local measurement unit conversion</t>
  </si>
  <si>
    <t xml:space="preserve">Include the conversion of the local measurement unit to hectares. In other words, how many local measurement units are in 1 ha. </t>
  </si>
  <si>
    <t xml:space="preserve">Indiquez la conversion de l'unité de mesure locale en hectares. En d'autres termes, indiquez combien d'unités de mesure locales y a-t-il dans 1 ha. </t>
  </si>
  <si>
    <t>FOR OPTIONAL QUESTIONS    .
(Fill out if applicable)    .</t>
  </si>
  <si>
    <t>currency</t>
  </si>
  <si>
    <t>CDF</t>
  </si>
  <si>
    <t xml:space="preserve">The name of the main currency used nationally; USD; Naira; Rial; Pesos; etc. </t>
  </si>
  <si>
    <t xml:space="preserve">Nom de la principale devise utilisée au niveau national; par exemple, USD; Naira; Rial; Pesos; etc. </t>
  </si>
  <si>
    <t>Naira</t>
  </si>
  <si>
    <t>MIN AMOUNT</t>
  </si>
  <si>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should be inputted.</t>
  </si>
  <si>
    <t>Le montant minimum d'une source de revenu doit être fixé à 0 ou à toute valeur en dessous de laquelle il n'est pas possible d'effectuer une transaction. Par exemple, la plus petite pièce/billet d'une devise peut être de 1000, auquel cas vous fixerez le minimum à 1000. Cette saisie doit être effectuée dans la même devise que celle spécifiée ci-dessus. Seuls des chiffres doivent être saisis.</t>
  </si>
  <si>
    <t>MAX AMOUNT</t>
  </si>
  <si>
    <t>Set the maximum amount for an income source over 3 months. Enumerators will not be able to input values above this amount in questions related to income amounts. Using previous representative surveys for this population, you can estimate this amount by using the mean income plus five (5) standard deviations, unless the country has high inflation. In the latter case, set the maximum value based on your country context (higher than the proposed approach). Provide this input in the same currency as specified above. Only digits should be inputted.</t>
  </si>
  <si>
    <t>Fixez le montant maximum pouvant être généré par une source de revenu sur 3 mois. Il ne sera pas possible pour les enquêteurs d'entrer des valeurs supérieures à ce montant dans les questions relatives aux montants des revenus. En vous basant sur des enquêtes précédentes représentatives de cette population, vous pouvez estimer ce montant en utilisant le revenu moyen plus cinq (5) écarts types, sauf si le pays connaît une forte inflation. Dans ce dernier cas, fixez la valeur maximale en fonction du contexte de votre pays (plus élevée que l'approche proposée).  Cette saisie doit être effectuée dans la même devise que celle spécifiée ci-dessus. Seuls des chiffres doivent être saisis.</t>
  </si>
  <si>
    <t>THRESHOLD</t>
  </si>
  <si>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should be inputted.</t>
  </si>
  <si>
    <t>Le salaire seuil doit être calculé pour signaler les valeurs aberrantes (réponses qui semblent suspectes). En utilisant des enquêtes précédentes représentatives de cette population, une bonne estimation est la moyenne plus deux écarts types, ce qui devrait dégager le seuil pour les 3 ou 4% des valeurs de revenu les plus élevées.  Cette saisie doit être effectuée dans la même devise que celle spécifiée ci-dessus. Seuls des chiffres doivent être saisis.</t>
  </si>
  <si>
    <t>local vegetables</t>
  </si>
  <si>
    <t>Funbwa, spinach, cabbage, carrot</t>
  </si>
  <si>
    <t>Fumbwa, épinard, choux, carottes</t>
  </si>
  <si>
    <t>Input some common local vegetables [to be used as examples in the food consumption score indicator].</t>
  </si>
  <si>
    <t>Saisissez quelques légumes locaux courants [à utiliser comme exemples dans l'indicateur de score de consommation alimentaire].</t>
  </si>
  <si>
    <t>eggplants, zucchini, cauliflower</t>
  </si>
  <si>
    <t>aubergines, courgettes, choux-fleurs</t>
  </si>
  <si>
    <t>local fruits</t>
  </si>
  <si>
    <t>bananas, oranges, mangos</t>
  </si>
  <si>
    <t>bananes, oranges, mangues</t>
  </si>
  <si>
    <t>Input some common local fruits [to be used as examples in the food consumption score indicator].</t>
  </si>
  <si>
    <t>Indiquez quelques fruits locaux courants [à utiliser comme exemples dans l'indicateur de score de consommation alimentaire].</t>
  </si>
  <si>
    <t>apples, bananas, oranges</t>
  </si>
  <si>
    <t>pommes, bananes, oranges</t>
  </si>
  <si>
    <t>FILL OUT FOR QUESTIONNAIRE DURATION ESTIMATION    .</t>
  </si>
  <si>
    <t>Expected percentage of respondents cultivating crops</t>
  </si>
  <si>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</si>
  <si>
    <t>Si l'enquête est représentative et ne comporte pas de quotas, écrivez la proportion de ménages ruraux impliqués dans les cultures au niveau du pays,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producteurs de cultures, alors c'est 100/110 = 91% (le maximum que vous devez écrire est 100%).</t>
  </si>
  <si>
    <t>Expected percentage of respondents raising livestock</t>
  </si>
  <si>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</si>
  <si>
    <t>Si l'enquête est représentative et ne comporte pas de quotas, écrivez la proportion de ménages ruraux impliqués dans l'élevage,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éleveurs, alors c'est 100/110 = 91% (le maximum que vous devez écrire est 100%).</t>
  </si>
  <si>
    <t>Expected percentage of respondents involved in fishery</t>
  </si>
  <si>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</si>
  <si>
    <t>Si l'enquête est représentative et ne comporte pas de quotas, écrivez la proportion de ménages ruraux impliqués dans la pêche ou l'aquaculture; sinon, si vous utilisez des quotas, calculez le rapport entre le quota et la taille de l'échantillon au niveau où le quota est appliqué (ainsi, si vous n'avez pas fixé de quota, et que vous pensez avoir une proportion représentative de pêcheurs, écrivez simplement le pourcentage de pêcheurs dans la population que vous ciblez, dans l'exemple à droite, 5%).</t>
  </si>
  <si>
    <t>adm2_name_local</t>
  </si>
  <si>
    <t>adm2_pcode</t>
  </si>
  <si>
    <t>adm1_pcode</t>
  </si>
  <si>
    <t>adm0_name</t>
  </si>
  <si>
    <t>adm0_ISO3</t>
  </si>
  <si>
    <t>Gemena</t>
  </si>
  <si>
    <t>CD4202</t>
  </si>
  <si>
    <t>Sud-Ubangi</t>
  </si>
  <si>
    <t>CD42</t>
  </si>
  <si>
    <t>Democratic Republic of the Congo</t>
  </si>
  <si>
    <t>COD</t>
  </si>
  <si>
    <t>Gbadolite</t>
  </si>
  <si>
    <t>CD4301</t>
  </si>
  <si>
    <t>Nord-Ubangi</t>
  </si>
  <si>
    <t>CD43</t>
  </si>
  <si>
    <t>Fizi</t>
  </si>
  <si>
    <t>CD6210</t>
  </si>
  <si>
    <t>Sud-Kivu</t>
  </si>
  <si>
    <t>CD62</t>
  </si>
  <si>
    <t>Feshi</t>
  </si>
  <si>
    <t>CD3103</t>
  </si>
  <si>
    <t>Kwango</t>
  </si>
  <si>
    <t>CD31</t>
  </si>
  <si>
    <t>Faradje</t>
  </si>
  <si>
    <t>CD5307</t>
  </si>
  <si>
    <t>Haut-Uele</t>
  </si>
  <si>
    <t>CD53</t>
  </si>
  <si>
    <t>Dungu</t>
  </si>
  <si>
    <t>CD5305</t>
  </si>
  <si>
    <t>Djugu</t>
  </si>
  <si>
    <t>CD5405</t>
  </si>
  <si>
    <t>Ituri</t>
  </si>
  <si>
    <t>CD54</t>
  </si>
  <si>
    <t>Djolu</t>
  </si>
  <si>
    <t>CD4504</t>
  </si>
  <si>
    <t>Tshuapa</t>
  </si>
  <si>
    <t>CD45</t>
  </si>
  <si>
    <t>Dingila</t>
  </si>
  <si>
    <t>CD5210</t>
  </si>
  <si>
    <t>Bas-Uele</t>
  </si>
  <si>
    <t>CD52</t>
  </si>
  <si>
    <t>Dimbelenge</t>
  </si>
  <si>
    <t>CD9107</t>
  </si>
  <si>
    <t>Kasaï-Central</t>
  </si>
  <si>
    <t>CD91</t>
  </si>
  <si>
    <t>Dilolo</t>
  </si>
  <si>
    <t>CD7205</t>
  </si>
  <si>
    <t>Lualaba</t>
  </si>
  <si>
    <t>CD72</t>
  </si>
  <si>
    <t>Dibaya-Lubwe</t>
  </si>
  <si>
    <t>CD3209</t>
  </si>
  <si>
    <t>Kwilu</t>
  </si>
  <si>
    <t>CD32</t>
  </si>
  <si>
    <t>Dibaya</t>
  </si>
  <si>
    <t>CD9102</t>
  </si>
  <si>
    <t>Demba</t>
  </si>
  <si>
    <t>CD9106</t>
  </si>
  <si>
    <t>Dekese</t>
  </si>
  <si>
    <t>CD9208</t>
  </si>
  <si>
    <t>Kasaï</t>
  </si>
  <si>
    <t>CD92</t>
  </si>
  <si>
    <t>Butembo</t>
  </si>
  <si>
    <t>CD6110</t>
  </si>
  <si>
    <t>Nord-Kivu</t>
  </si>
  <si>
    <t>CD61</t>
  </si>
  <si>
    <t>Buta</t>
  </si>
  <si>
    <t>CD5202</t>
  </si>
  <si>
    <t>Businga</t>
  </si>
  <si>
    <t>CD4305</t>
  </si>
  <si>
    <t>Bunia</t>
  </si>
  <si>
    <t>CD5401</t>
  </si>
  <si>
    <t>Bumba</t>
  </si>
  <si>
    <t>CD4404</t>
  </si>
  <si>
    <t>Mongala</t>
  </si>
  <si>
    <t>CD44</t>
  </si>
  <si>
    <t>Bulungu</t>
  </si>
  <si>
    <t>CD3204</t>
  </si>
  <si>
    <t>Bukavu</t>
  </si>
  <si>
    <t>CD6201</t>
  </si>
  <si>
    <t>Bukama</t>
  </si>
  <si>
    <t>CD7306</t>
  </si>
  <si>
    <t>Haut-Lomami</t>
  </si>
  <si>
    <t>CD73</t>
  </si>
  <si>
    <t>Budjala</t>
  </si>
  <si>
    <t>CD4203</t>
  </si>
  <si>
    <t>Bosobolo</t>
  </si>
  <si>
    <t>CD4306</t>
  </si>
  <si>
    <t>Bongandanga</t>
  </si>
  <si>
    <t>CD4405</t>
  </si>
  <si>
    <t>Bondo</t>
  </si>
  <si>
    <t>CD5206</t>
  </si>
  <si>
    <t>Bomongo</t>
  </si>
  <si>
    <t>CD4104</t>
  </si>
  <si>
    <t>Equateur</t>
  </si>
  <si>
    <t>CD41</t>
  </si>
  <si>
    <t>Boma</t>
  </si>
  <si>
    <t>CD2002</t>
  </si>
  <si>
    <t>Kongo-Central</t>
  </si>
  <si>
    <t>CD20</t>
  </si>
  <si>
    <t>Bolomba</t>
  </si>
  <si>
    <t>CD4108</t>
  </si>
  <si>
    <t>Bolobo</t>
  </si>
  <si>
    <t>CD3308</t>
  </si>
  <si>
    <t>Maï-Ndombe</t>
  </si>
  <si>
    <t>CD33</t>
  </si>
  <si>
    <t>Bokungu</t>
  </si>
  <si>
    <t>CD4506</t>
  </si>
  <si>
    <t>Boende</t>
  </si>
  <si>
    <t>CD4502</t>
  </si>
  <si>
    <t>Bikoro</t>
  </si>
  <si>
    <t>CD4102</t>
  </si>
  <si>
    <t>Beni</t>
  </si>
  <si>
    <t>CD6109</t>
  </si>
  <si>
    <t>Bena-Dibele</t>
  </si>
  <si>
    <t>CD8305</t>
  </si>
  <si>
    <t>Sankuru</t>
  </si>
  <si>
    <t>CD83</t>
  </si>
  <si>
    <t>Befale</t>
  </si>
  <si>
    <t>CD4503</t>
  </si>
  <si>
    <t>Basoko</t>
  </si>
  <si>
    <t>CD5109</t>
  </si>
  <si>
    <t>Tshopo</t>
  </si>
  <si>
    <t>CD51</t>
  </si>
  <si>
    <t>Basankusu</t>
  </si>
  <si>
    <t>CD4107</t>
  </si>
  <si>
    <t>Baraka</t>
  </si>
  <si>
    <t>CD6211</t>
  </si>
  <si>
    <t>Bangu</t>
  </si>
  <si>
    <t>CD2012</t>
  </si>
  <si>
    <t>Bandundu</t>
  </si>
  <si>
    <t>CD3201</t>
  </si>
  <si>
    <t>Banalia</t>
  </si>
  <si>
    <t>CD5110</t>
  </si>
  <si>
    <t>Bambesa</t>
  </si>
  <si>
    <t>CD5209</t>
  </si>
  <si>
    <t>Bagata</t>
  </si>
  <si>
    <t>CD3202</t>
  </si>
  <si>
    <t>Bafwasende</t>
  </si>
  <si>
    <t>CD5111</t>
  </si>
  <si>
    <t>Aru</t>
  </si>
  <si>
    <t>CD5409</t>
  </si>
  <si>
    <t>Ariwara</t>
  </si>
  <si>
    <t>CD5410</t>
  </si>
  <si>
    <t>Ango</t>
  </si>
  <si>
    <t>CD5207</t>
  </si>
  <si>
    <t>Aketi</t>
  </si>
  <si>
    <t>CD5204</t>
  </si>
  <si>
    <t>Aba</t>
  </si>
  <si>
    <t>CD5306</t>
  </si>
  <si>
    <t>Zongo</t>
  </si>
  <si>
    <t>CD4206</t>
  </si>
  <si>
    <t>Yumbi</t>
  </si>
  <si>
    <t>CD3310</t>
  </si>
  <si>
    <t>Yangambi</t>
  </si>
  <si>
    <t>CD5106</t>
  </si>
  <si>
    <t>Yakoma</t>
  </si>
  <si>
    <t>CD4304</t>
  </si>
  <si>
    <t>Yahuma</t>
  </si>
  <si>
    <t>CD5107</t>
  </si>
  <si>
    <t>Watsa</t>
  </si>
  <si>
    <t>CD5309</t>
  </si>
  <si>
    <t>Wamba</t>
  </si>
  <si>
    <t>CD5311</t>
  </si>
  <si>
    <t>Walungu</t>
  </si>
  <si>
    <t>CD6207</t>
  </si>
  <si>
    <t>Walikale</t>
  </si>
  <si>
    <t>CD6104</t>
  </si>
  <si>
    <t>Uvira</t>
  </si>
  <si>
    <t>CD6208</t>
  </si>
  <si>
    <t>Ubundu</t>
  </si>
  <si>
    <t>CD5102</t>
  </si>
  <si>
    <t>Tshumbe</t>
  </si>
  <si>
    <t>CD8311</t>
  </si>
  <si>
    <t>Tshimbulu</t>
  </si>
  <si>
    <t>CD9103</t>
  </si>
  <si>
    <t>Tshilenge</t>
  </si>
  <si>
    <t>CD8202</t>
  </si>
  <si>
    <t>Kasaï-Oriental</t>
  </si>
  <si>
    <t>CD82</t>
  </si>
  <si>
    <t>Tshikapa</t>
  </si>
  <si>
    <t>CD9201</t>
  </si>
  <si>
    <t>Tshela</t>
  </si>
  <si>
    <t>CD2007</t>
  </si>
  <si>
    <t>Songololo</t>
  </si>
  <si>
    <t>CD2011</t>
  </si>
  <si>
    <t>Shabunda</t>
  </si>
  <si>
    <t>CD6203</t>
  </si>
  <si>
    <t>Seke-Banza</t>
  </si>
  <si>
    <t>CD2009</t>
  </si>
  <si>
    <t>Sandoa</t>
  </si>
  <si>
    <t>CD7206</t>
  </si>
  <si>
    <t>Sakania</t>
  </si>
  <si>
    <t>CD7104</t>
  </si>
  <si>
    <t>Haut-Katanga</t>
  </si>
  <si>
    <t>CD71</t>
  </si>
  <si>
    <t>Rutshuru</t>
  </si>
  <si>
    <t>CD6111</t>
  </si>
  <si>
    <t>Rungu</t>
  </si>
  <si>
    <t>CD5302</t>
  </si>
  <si>
    <t>Pweto</t>
  </si>
  <si>
    <t>CD7109</t>
  </si>
  <si>
    <t>Punia</t>
  </si>
  <si>
    <t>CD6303</t>
  </si>
  <si>
    <t>Maniema</t>
  </si>
  <si>
    <t>CD63</t>
  </si>
  <si>
    <t>Popokabaka</t>
  </si>
  <si>
    <t>CD3108</t>
  </si>
  <si>
    <t>Poko</t>
  </si>
  <si>
    <t>CD5208</t>
  </si>
  <si>
    <t>Pangi</t>
  </si>
  <si>
    <t>CD6307</t>
  </si>
  <si>
    <t>Oshwe</t>
  </si>
  <si>
    <t>CD3304</t>
  </si>
  <si>
    <t>Opala</t>
  </si>
  <si>
    <t>CD5103</t>
  </si>
  <si>
    <t>Oïcha</t>
  </si>
  <si>
    <t>CD6107</t>
  </si>
  <si>
    <t>Nyunzu</t>
  </si>
  <si>
    <t>CD7410</t>
  </si>
  <si>
    <t>Tanganyika</t>
  </si>
  <si>
    <t>CD74</t>
  </si>
  <si>
    <t>Nyiragongo</t>
  </si>
  <si>
    <t>CD6102</t>
  </si>
  <si>
    <t>Nioki</t>
  </si>
  <si>
    <t>CD3305</t>
  </si>
  <si>
    <t>Niangara</t>
  </si>
  <si>
    <t>CD5303</t>
  </si>
  <si>
    <t>Ngandajika</t>
  </si>
  <si>
    <t>CD8106</t>
  </si>
  <si>
    <t>Lomami</t>
  </si>
  <si>
    <t>CD81</t>
  </si>
  <si>
    <t>Namoya</t>
  </si>
  <si>
    <t>CD6310</t>
  </si>
  <si>
    <t>Mwenga</t>
  </si>
  <si>
    <t>CD6212</t>
  </si>
  <si>
    <t>Mwene-Ditu</t>
  </si>
  <si>
    <t>CD8103</t>
  </si>
  <si>
    <t>Mweka</t>
  </si>
  <si>
    <t>CD9207</t>
  </si>
  <si>
    <t>Mutshatsha</t>
  </si>
  <si>
    <t>CD7202</t>
  </si>
  <si>
    <t>Mushie</t>
  </si>
  <si>
    <t>CD3311</t>
  </si>
  <si>
    <t>Monkoto</t>
  </si>
  <si>
    <t>CD4507</t>
  </si>
  <si>
    <t>Mongwalu</t>
  </si>
  <si>
    <t>CD5404</t>
  </si>
  <si>
    <t>Mobayi-Mbongo</t>
  </si>
  <si>
    <t>CD4302</t>
  </si>
  <si>
    <t>Moba</t>
  </si>
  <si>
    <t>CD7404</t>
  </si>
  <si>
    <t>Moanda</t>
  </si>
  <si>
    <t>CD2003</t>
  </si>
  <si>
    <t>Mitwaba</t>
  </si>
  <si>
    <t>CD7108</t>
  </si>
  <si>
    <t>Miabi</t>
  </si>
  <si>
    <t>CD8205</t>
  </si>
  <si>
    <t>Mbuji-Mayi</t>
  </si>
  <si>
    <t>CD8201</t>
  </si>
  <si>
    <t>Mbanza-Ngungu</t>
  </si>
  <si>
    <t>CD2013</t>
  </si>
  <si>
    <t>Mbandaka</t>
  </si>
  <si>
    <t>CD4101</t>
  </si>
  <si>
    <t>Matadi</t>
  </si>
  <si>
    <t>CD2001</t>
  </si>
  <si>
    <t>Masisi</t>
  </si>
  <si>
    <t>CD6103</t>
  </si>
  <si>
    <t>Masi-Manimba</t>
  </si>
  <si>
    <t>CD3212</t>
  </si>
  <si>
    <t>Manono</t>
  </si>
  <si>
    <t>CD7406</t>
  </si>
  <si>
    <t>Mangai</t>
  </si>
  <si>
    <t>CD3208</t>
  </si>
  <si>
    <t>Mambasa</t>
  </si>
  <si>
    <t>CD5403</t>
  </si>
  <si>
    <t>Malemba-Nkulu</t>
  </si>
  <si>
    <t>CD7305</t>
  </si>
  <si>
    <t>Makanza</t>
  </si>
  <si>
    <t>CD4105</t>
  </si>
  <si>
    <t>Mahagi</t>
  </si>
  <si>
    <t>CD5407</t>
  </si>
  <si>
    <t>Madimba</t>
  </si>
  <si>
    <t>CD2017</t>
  </si>
  <si>
    <t>Lusambo</t>
  </si>
  <si>
    <t>CD8302</t>
  </si>
  <si>
    <t>Lupatapata</t>
  </si>
  <si>
    <t>CD8208</t>
  </si>
  <si>
    <t>Luozi</t>
  </si>
  <si>
    <t>CD2010</t>
  </si>
  <si>
    <t>Lukula</t>
  </si>
  <si>
    <t>CD2005</t>
  </si>
  <si>
    <t>Lukolela</t>
  </si>
  <si>
    <t>CD4103</t>
  </si>
  <si>
    <t>Lukalaba</t>
  </si>
  <si>
    <t>CD8204</t>
  </si>
  <si>
    <t>Luiza</t>
  </si>
  <si>
    <t>CD9104</t>
  </si>
  <si>
    <t>Luilu</t>
  </si>
  <si>
    <t>CD8104</t>
  </si>
  <si>
    <t>Luebo</t>
  </si>
  <si>
    <t>CD9204</t>
  </si>
  <si>
    <t>Lubutu</t>
  </si>
  <si>
    <t>CD6305</t>
  </si>
  <si>
    <t>Lubumbashi</t>
  </si>
  <si>
    <t>CD7101</t>
  </si>
  <si>
    <t>Lubudi</t>
  </si>
  <si>
    <t>CD7203</t>
  </si>
  <si>
    <t>Lubero</t>
  </si>
  <si>
    <t>CD6105</t>
  </si>
  <si>
    <t>Lubefu</t>
  </si>
  <si>
    <t>CD8309</t>
  </si>
  <si>
    <t>Lubao</t>
  </si>
  <si>
    <t>CD8108</t>
  </si>
  <si>
    <t>Lomela</t>
  </si>
  <si>
    <t>CD8307</t>
  </si>
  <si>
    <t>Lodja</t>
  </si>
  <si>
    <t>CD8303</t>
  </si>
  <si>
    <t>Lisala</t>
  </si>
  <si>
    <t>CD4402</t>
  </si>
  <si>
    <t>Likasi</t>
  </si>
  <si>
    <t>CD7106</t>
  </si>
  <si>
    <t>Libenge</t>
  </si>
  <si>
    <t>CD4205</t>
  </si>
  <si>
    <t>Kwamouth</t>
  </si>
  <si>
    <t>CD3307</t>
  </si>
  <si>
    <t>Kutu</t>
  </si>
  <si>
    <t>CD3306</t>
  </si>
  <si>
    <t>Kungu</t>
  </si>
  <si>
    <t>CD4204</t>
  </si>
  <si>
    <t>Kongolo</t>
  </si>
  <si>
    <t>CD7409</t>
  </si>
  <si>
    <t>Kolwezi</t>
  </si>
  <si>
    <t>CD7201</t>
  </si>
  <si>
    <t>Kole</t>
  </si>
  <si>
    <t>CD8306</t>
  </si>
  <si>
    <t>Kisangani</t>
  </si>
  <si>
    <t>CD5101</t>
  </si>
  <si>
    <t>Kiri</t>
  </si>
  <si>
    <t>CD3303</t>
  </si>
  <si>
    <t>Kipushi</t>
  </si>
  <si>
    <t>CD7102</t>
  </si>
  <si>
    <t>Kinshasa</t>
  </si>
  <si>
    <t>CD1000</t>
  </si>
  <si>
    <t>CD10</t>
  </si>
  <si>
    <t>Kindu</t>
  </si>
  <si>
    <t>CD6301</t>
  </si>
  <si>
    <t>Kimvula</t>
  </si>
  <si>
    <t>CD2019</t>
  </si>
  <si>
    <t>Kikwit</t>
  </si>
  <si>
    <t>CD3203</t>
  </si>
  <si>
    <t>Kibombo</t>
  </si>
  <si>
    <t>CD6313</t>
  </si>
  <si>
    <t>Kenge</t>
  </si>
  <si>
    <t>CD3102</t>
  </si>
  <si>
    <t>Kazumba</t>
  </si>
  <si>
    <t>CD9105</t>
  </si>
  <si>
    <t>Katanda</t>
  </si>
  <si>
    <t>CD8209</t>
  </si>
  <si>
    <t>Katako-Kombe</t>
  </si>
  <si>
    <t>CD8308</t>
  </si>
  <si>
    <t>Kasongo-Lunda</t>
  </si>
  <si>
    <t>CD3107</t>
  </si>
  <si>
    <t>Kasongo</t>
  </si>
  <si>
    <t>CD6311</t>
  </si>
  <si>
    <t>Kasenga</t>
  </si>
  <si>
    <t>CD7107</t>
  </si>
  <si>
    <t>Kasangulu</t>
  </si>
  <si>
    <t>CD2015</t>
  </si>
  <si>
    <t>Kasaji</t>
  </si>
  <si>
    <t>CD7204</t>
  </si>
  <si>
    <t>Kapanga</t>
  </si>
  <si>
    <t>CD7207</t>
  </si>
  <si>
    <t>Kaoze</t>
  </si>
  <si>
    <t>CD7403</t>
  </si>
  <si>
    <t>Kaniama</t>
  </si>
  <si>
    <t>CD7303</t>
  </si>
  <si>
    <t>Kananga</t>
  </si>
  <si>
    <t>CD9101</t>
  </si>
  <si>
    <t>Kamonia</t>
  </si>
  <si>
    <t>CD9202</t>
  </si>
  <si>
    <t>Kamituga</t>
  </si>
  <si>
    <t>CD6213</t>
  </si>
  <si>
    <t>Kamina</t>
  </si>
  <si>
    <t>CD7302</t>
  </si>
  <si>
    <t>Kamiji</t>
  </si>
  <si>
    <t>CD8105</t>
  </si>
  <si>
    <t>Kambove</t>
  </si>
  <si>
    <t>CD7105</t>
  </si>
  <si>
    <t>Kalima</t>
  </si>
  <si>
    <t>CD6308</t>
  </si>
  <si>
    <t>Kalemie</t>
  </si>
  <si>
    <t>CD7402</t>
  </si>
  <si>
    <t>Kalehe</t>
  </si>
  <si>
    <t>CD6205</t>
  </si>
  <si>
    <t>Kailo</t>
  </si>
  <si>
    <t>CD6302</t>
  </si>
  <si>
    <t>Kahemba</t>
  </si>
  <si>
    <t>CD3105</t>
  </si>
  <si>
    <t>Kabongo</t>
  </si>
  <si>
    <t>CD7304</t>
  </si>
  <si>
    <t>Kabinda</t>
  </si>
  <si>
    <t>CD8102</t>
  </si>
  <si>
    <t>Kabeya-Kamwanga</t>
  </si>
  <si>
    <t>CD8207</t>
  </si>
  <si>
    <t>Kabare</t>
  </si>
  <si>
    <t>CD6202</t>
  </si>
  <si>
    <t>Kabambare</t>
  </si>
  <si>
    <t>CD6309</t>
  </si>
  <si>
    <t>Kabalo</t>
  </si>
  <si>
    <t>CD7407</t>
  </si>
  <si>
    <t>Isiro</t>
  </si>
  <si>
    <t>CD5301</t>
  </si>
  <si>
    <t>Isangi</t>
  </si>
  <si>
    <t>CD5105</t>
  </si>
  <si>
    <t>Irumu</t>
  </si>
  <si>
    <t>CD5402</t>
  </si>
  <si>
    <t>Inongo</t>
  </si>
  <si>
    <t>CD3302</t>
  </si>
  <si>
    <t>Inkisi</t>
  </si>
  <si>
    <t>CD2018</t>
  </si>
  <si>
    <t>Ingende</t>
  </si>
  <si>
    <t>CD4109</t>
  </si>
  <si>
    <t>Ingbokolo</t>
  </si>
  <si>
    <t>CD5411</t>
  </si>
  <si>
    <t>Ilebo</t>
  </si>
  <si>
    <t>CD9205</t>
  </si>
  <si>
    <t>Ikela</t>
  </si>
  <si>
    <t>CD4505</t>
  </si>
  <si>
    <t>Idjwi</t>
  </si>
  <si>
    <t>CD6206</t>
  </si>
  <si>
    <t>Idiofa</t>
  </si>
  <si>
    <t>CD3206</t>
  </si>
  <si>
    <t>Gungu</t>
  </si>
  <si>
    <t>CD3210</t>
  </si>
  <si>
    <t>Goma</t>
  </si>
  <si>
    <t>CD6101</t>
  </si>
  <si>
    <t>Nous allons maintenant vous poser quelques questions sur la production végétale. Ces questions vous concernent ainsi que toute personne de votre ménage impliquée dans la production ou la vente de cultures. Toutes les questions se rapportent aux cultures pratiquées pendant la Saison des pluies. 
1)CONTINUER</t>
  </si>
  <si>
    <t>Comment estimez-vous la superficie plantée de {crp_main} pour la Saison des pluies par rapport à l'année dernière?
[OPÉRATEUR/OPÉRATRICE: RÉPONSE UNIQUE.]
1)Très supérieure [augmentation de plus de 50%]
2)Légèrement supérieure
3)Identique
5)Légèrement inférieure
5)Très inférieure [moins de la moitié]
6)NE SAIT PAS
7)REFUSÉ</t>
  </si>
  <si>
    <t>Quelle quantité [battue] de {crp_main} avez-vous récoltée cette Saison des pluies?
[OPÉRATEUR/OPÉRATRICE:  SAISIR LA RÉPONSE DONNÉE. L'UNITÉ DE MESURE DOIT ÊTRE SPÉCIFIÉE À LA QUESTION SUIVANTE. SAISIR 8888888 POUR «NE SAIT PAS» ET 9999999 POUR «REFUSÉ», À UTILISER LE MOINS POSSIBLE - DEMANDER DES PRÉCISIONS!]</t>
  </si>
  <si>
    <t>Votre ménage a-t-il rencontré d'importantes difficultés en matière de production végétale au cours de Saison des pluies ?
[OPÉRATEUR/OPÉRATRICE: RÉPONSE UNIQUE.]
1)Oui
2)Non
3)NE SAIT PAS
4)REFUSÉ</t>
  </si>
  <si>
    <t>Quelles difficultés votre ménage a-t-il rencontrées dans la production végétale au cours de Saison des pluies?
[OPÉRATEUR/OPÉRATRICE: PLUSIEURS RÉPONSES POSSIBLES. SÉLECTIONNER LA/LES OPTIONS CORRESPONDANT LE MIEUX AUX INFORMATIONS DONNÉES PAR LE RÉPONDANT.]
1)Maladie des plantes
2)Invasion d'organismes nuisibles [dont oiseaux]
3)Pâturage incontrôlé d'animaux
4)Accès à la parcelle
5)Accès aux engrais [non disponibles sur les marchés ou prix trop élevés]
6)Accès à des semences de qualité
7)Accès à des semences en quantité suffisante [non disponibles sur les marchés ou prix trop élevés]
8)Accès aux pesticides
9)Accès à la main-d'œuvre
10)Accès aux machines, outils ou animaux pour labourer
11)Accès au carburant ou à l'électricité pour alimenter les équipements agricoles
12)Érosion des sols
13)Eau d'irrigation ou pluie insuffisante
14)Eau d'irrigation ou pluie trop abondante
15)Accès au crédit
16)Autre
17)NE SAIT PAS
18)REFUSÉ</t>
  </si>
  <si>
    <t>Has your household's income from {income_main} changed in the last 3 months compared to the same period of last year?
[OPERATOR: SINGLE RESPONSE.]
1)A lot more [increased by more than 50%]
2)Slightly more
3)Same
4)Slightly less
5)A lot less [less than half as much]
6)DON'T KNOW
7)REFUSED</t>
  </si>
  <si>
    <t>Has your household's income from {income_sec} changed in the last 3 months compared to the same period of last year? 
[OPERATOR: SINGLE RESPONSE.]
1)A lot more [increased by more than 50%]
2)Slightly more
3)Same
4)Slightly less
5)A lot less [less than half as much]
6)DON'T KNOW
7)REFUSED</t>
  </si>
  <si>
    <t>Has your household's income from {income_third} changed in the last 3 months compared to the same period of last year?
[OPERATOR: SINGLE RESPONSE.]
1)A lot more [increased by more than 50%]
2)Slightly more
3)Same
4)Slightly less
5)A lot less [less than half as much]
6)DON'T KNOW
7)REFUSED</t>
  </si>
  <si>
    <t>Unité de mesure des terrains cultivés:
 [OPÉRATEUR/OPÉRATRICE: RÉPONSE UNIQUE.]
1)Acres
2)Hectares
3)Mètres carrés
4)Pieds carrés</t>
  </si>
  <si>
    <t xml:space="preserve">Unit of measurement for land size: 
[OPERATOR: DO NOT READ. SINGLE RESPONSE.]
1)Acres
2)Hectares
3)Square meters
4)Square feet
</t>
  </si>
  <si>
    <t>What has been the main crop that your household has grown for food and income generation in Rainy season, if any? 
 [OPERATOR: SINGLE RESPONSE. "NO CROP PRODUCTION" IS IN LAST OPTIONS AT THE END.] 
1)Millet
2)Sorghum
3)Maize
4)Cassava
5)Potatoe
6)Beans
7)Soybeans
8)Plantains
9)Papaya
10)Groundnut/peanut
11)Coffee
12)Rice
13)Wheat
14)Barley
15)Other Cereal
16)Sweet Potatoes
17)Yams
18)Carrots
19)Cocoyam
20)Other tubers
21)Lentils
22)Peas
23)Chickpeas
24)Fava beans
25)Broad beans
26)Other pulses
27)Cabbage
28)Lettuce
29)Spinach-Amaranth
30)Cassava leaves
31)Potatoe leaves
32)Moringa
33)Sorrel Hibiscus / Rosselle
34)Green salad herbs [thyme, parsley, mint, rocca, other]
35)Cauliflower
36)Other leafy vegetables
37)Tomatoes
38)Cucumber
39)Pumpkin
40)Eggplant/aubergine
41)Zucchini
42)Okra
43)Bell pepper
44)Onions
45)Haricot
46)Green peas
47)Fava beans green
48)Other non leafy vegs
49)Orange
50)Lemon
51)Grapefruit
52)Mandarins/clementines
53)Other citrus fruit
54)Sweet Banana
55)Mango
56)Guava
57)Pineapple
58)Avocado
59)Water Melon
60)Dates
61)Figs
62)Grapes
63)Olives
64)Apple
65)Apricot
66)Cherries
67)Peach/nectarine
68)Strawberries
69)Melon [Cantaloupe]
70)Other fruit
71)Coconuts
72)Cashew Nut
73)Kola Nut
74)Sesame
75)Bambara nut
76)Almond
77)Walnut
78)Other nuts
79)Cocoa
80)Tea
81)Sugarcane
82)Sunflower
83)Other food cash crop
84)Cotton
85)Rubber
86)Jute
87)Fodder
88)Tobacco
89)Qat
90)Other non-food cash crop</t>
  </si>
  <si>
    <t>Quelle a été la principale culture pratiquée par votre ménage pour se nourrir et générer des revenus pendant la Saison des pluies, si applicable? 
 [OPÉRATEUR/OPÉRATRICE: RÉPONSE UNIQUE. «AUCUNE PRODUCTION VÉGÉTALE» EST PARMI LES DERNIÈRES OPTIONS, À LA FIN DE LA LISTE.] 
1)Mil
2)Sorgho
3)Maïs
4)Manioc
5)Pommes de terre
6)Haricots
7)Soja
8)Banane plantain
9)Papaye
10)Arachide / cacahuète
11)Café
12)Riz
13)Blé
14)Orge
15)Autres céréales
16)Patates douces
17)Ignames
18)Carottes
19)Chou caraïbe
20)Autres tubercules
21)Lentilles
22)Pois
23)Pois chiches
24)Fève
25)Fève large
26)Autres légumineuses
27)Choux
28)Laitue
29)Epinards-Amaranthe
30)Feuilles de manioc
31)Feuilles de pomme de terre
32)Moringa
33)Oseille Hibiscus / Rosselle
34)Herbes aromatiques [thym, persil, menthe, rocca, autres]
35)Choux-fleur
36)Autres légumes à feuilles
37)Tomates
38)Concombre
39)Citrouille
40)Aubergines/aubergines
41)Courgettes
42)Okra
43)Poivrons
44)Oignons
45)Haricot 
46)Petit pois
47)Pois fève
48)Autres légumes non feuillus
49)Orange
50)Citron
51)Pamplemousse
52)Tangerine/clémentine
53)Autres agrumes
54)Banane douce
55)Mangue
56)Goyave
57)Ananas
58)Avocat
59)Pastèques
60)Dattes
61)Figues
62)Raisins
63)Olives
64)Pomme
65)Abricot
66)Cerises
67)Pêche/nectarine
68)Fraises
69)Melon
70)Autres fruits
71)Noix de coco
72)Noix de cajou
73)Noix de kola
74)Sésame
75)Noix de bambara
76)Amande
77)Noix
78)Autres fruits à coque
79)Cacao
80)Thé
81)Canne à sucre
82)Tournesol
83)Autres cultures vivrières de rente
84)Coton
85)Caoutchouc
86)Jute
87)Fourrage
88)Tabac
89)Qat
90)Autre culture de rente non alimentaire</t>
  </si>
  <si>
    <t>Comment estimez-vous la récolte expected de {crp_main} pour la Saison des pluies par rapport à l'année dernière?
[OPÉRATEUR/OPÉRATRICE: RÉPONSE UNIQUE.]
1)Très supérieure [augmentation de plus de 50%]
2)Légèrement supérieure
3)Identique
5)Légèrement inférieure
5)Très inférieure [moins de la moitié]
6)NE SAIT PAS
7)REFUSÉ</t>
  </si>
  <si>
    <t>How does the  harvest of {crp_main} in the Rainy season compare to last year? 
[OPERATOR: SINGLE RESPONSE.]
1)A lot more [increased by more than 50%]
2)Slightly more
3)Same
4)Slightly less
5)A lot less [less than half as much]
6)DON'T KNOW
7)REFUSED</t>
  </si>
  <si>
    <t>How did the area planted for {crp_main} from Rainy season compare to last year?
[OPERATOR: SINGLE RESPONSE.]
1)A lot more [increased by more than 50%]
2)Slightly more
3)Same
4)Slightly less
5)A lot less [less than half as much]
6)DON'T KNOW
7)REFUSED</t>
  </si>
  <si>
    <t>How does the current price of your household's {crp_salesmain} compare to the average price in the same period of last year? 
[OPERATOR: SINGLE RESPONSE. INSIST ON THE MAIN PRODUCT MENTIONED.]
1)A lot more [increased by more than 50%]
2)Slightly more
3)Same
4)Slightly less
5)A lot less [less than half as much]
6)DON'T KNOW
7)REFUSED</t>
  </si>
  <si>
    <t>How does the current price of your household's {ls_salesmain} compare to the average price in the same period of last year?
[OPERATOR: SINGLE RESPONSE. INSIST ON THE MAIN PRODUCT MENTIONED.]
1)A lot more [increased by more than 50%]
2)Slightly more
3)Same
4)Slightly less
5)A lot less [less than half as much]
6)DON'T KNOW
7)REFUSED</t>
  </si>
  <si>
    <t>How does the current price of your household's {fish_salesmain} sold compare to the average price in the same period/harvest of last year? 
[OPERATOR: SINGLE RESPONSE. INSIST ON THE MAIN PRODUCT MENTIONED.]
1)A lot more [increased by more than 50%]
2)Slightly more
3)Same
4)Slightly less
5)A lot less [less than half as much]
6)DON'T KNOW
7)REFUSED</t>
  </si>
  <si>
    <t>Combien de fois [en nombre de jours] au cours des 7 derniers jours, les membres de votre foyer ont-ils mangé des fruits tels que des bananes, oranges, mangues et/ou d'autres fruits?
[OPÉRATEUR/OPÉRATRICE: SAISIR LE NOMBRE DE JOURS DE 0 À 7.]
[CONSEIL : SI CONSOMMÉ UNIQUEMENT EN PETITE QUANTITÉ, NE PAS INCLURE.]</t>
  </si>
  <si>
    <t>How many days over the last 7 days, did members of your household eat fruit such as bananas, oranges, mangos and/or other fruits?
[OPERATOR: RECORD NUMBER OF DAYS 0 - 7]
[HINT: IF CONSUMED ONLY IN SMALL QUANTITY, DO NOT INCLUDE.]</t>
  </si>
  <si>
    <t>Combien de fois [en nombre de jours] au cours des 7 derniers jours, les membres de votre foyer ont-ils mangé des légumes ou des feuilles tels que des Fumbwa, épinard, choux, carottes et/ou d'autres feuilles/légumes?
[OPÉRATEUR/OPÉRATRICE: SAISIR LE NOMBRE DE JOURS DE 0 À 7.]
[CONSEIL : SI CONSOMMÉ UNIQUEMENT EN PETITE QUANTITÉ, NE PAS INCLURE.]</t>
  </si>
  <si>
    <t>How many days over the last 7 days, did members of your household eat vegetables or leaves such as Funbwa, spinach, cabbage, carrot and/or other leaves/vegetables?
[OPERATOR: RECORD NUMBER OF DAYS 0 - 7] 
[HINT: IF CONSUMED ONLY IN SMALL QUANTITY, DO NOT INCLUDE.]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</si>
</sst>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52"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sz val="12"/>
      <color theme="1"/>
      <name val="Calibri"/>
      <family val="2"/>
      <scheme val="minor"/>
    </font>
    <font>
      <sz val="10"/>
      <color rgb="FF000000"/>
      <name val="Arial"/>
      <family val="2"/>
    </font>
    <font>
      <sz val="11"/>
      <name val="Calibri"/>
      <family val="2"/>
      <scheme val="minor"/>
    </font>
    <font>
      <sz val="12"/>
      <name val="Calibri"/>
      <family val="2"/>
      <scheme val="minor"/>
    </font>
    <font>
      <b/>
      <sz val="12"/>
      <color theme="0"/>
      <name val="Calibri"/>
      <family val="2"/>
      <scheme val="minor"/>
    </font>
    <font>
      <b/>
      <sz val="12"/>
      <name val="Calibri"/>
      <family val="2"/>
      <scheme val="minor"/>
    </font>
    <font>
      <sz val="12"/>
      <color rgb="FFFF0000"/>
      <name val="Calibri"/>
      <family val="2"/>
      <scheme val="minor"/>
    </font>
    <font>
      <sz val="12"/>
      <color theme="4"/>
      <name val="Calibri"/>
      <family val="2"/>
      <scheme val="minor"/>
    </font>
    <font>
      <i/>
      <sz val="12"/>
      <name val="Calibri"/>
      <family val="2"/>
      <scheme val="minor"/>
    </font>
    <font>
      <b/>
      <sz val="12"/>
      <color theme="4"/>
      <name val="Calibri"/>
      <family val="2"/>
      <scheme val="minor"/>
    </font>
    <font>
      <b/>
      <i/>
      <sz val="12"/>
      <name val="Calibri"/>
      <family val="2"/>
      <scheme val="minor"/>
    </font>
    <font>
      <b/>
      <sz val="12"/>
      <color rgb="FF7030A0"/>
      <name val="Calibri"/>
      <family val="2"/>
      <scheme val="minor"/>
    </font>
    <font>
      <sz val="12"/>
      <color rgb="FF7030A0"/>
      <name val="Calibri"/>
      <family val="2"/>
      <scheme val="minor"/>
    </font>
    <font>
      <b/>
      <sz val="11"/>
      <color rgb="FF000000"/>
      <name val="Calibri"/>
      <family val="2"/>
    </font>
    <font>
      <sz val="11"/>
      <color rgb="FF000000"/>
      <name val="Calibri"/>
      <family val="2"/>
    </font>
    <font>
      <sz val="11"/>
      <name val="Calibri"/>
      <family val="2"/>
    </font>
    <font>
      <i/>
      <sz val="11"/>
      <color rgb="FF000000"/>
      <name val="Calibri"/>
      <family val="2"/>
    </font>
    <font>
      <i/>
      <sz val="11"/>
      <name val="Calibri"/>
      <family val="2"/>
    </font>
    <font>
      <sz val="10"/>
      <name val="Calibri"/>
      <family val="2"/>
      <scheme val="minor"/>
    </font>
    <font>
      <b/>
      <sz val="11"/>
      <name val="Calibri"/>
      <family val="2"/>
    </font>
    <font>
      <b/>
      <sz val="11"/>
      <name val="Calibri"/>
      <family val="2"/>
      <scheme val="minor"/>
    </font>
    <font>
      <b/>
      <sz val="12"/>
      <color theme="1"/>
      <name val="Calibri"/>
      <family val="2"/>
      <scheme val="minor"/>
    </font>
    <font>
      <sz val="12"/>
      <color rgb="FF000000"/>
      <name val="Calibri"/>
      <family val="2"/>
      <scheme val="minor"/>
    </font>
    <font>
      <b/>
      <i/>
      <sz val="12"/>
      <color theme="1"/>
      <name val="Calibri"/>
      <family val="2"/>
      <scheme val="minor"/>
    </font>
    <font>
      <sz val="10.5"/>
      <name val="Calibri"/>
      <family val="2"/>
      <scheme val="minor"/>
    </font>
    <font>
      <sz val="12"/>
      <color rgb="FF00B050"/>
      <name val="Calibri"/>
      <family val="2"/>
      <scheme val="minor"/>
    </font>
    <font>
      <b/>
      <sz val="12"/>
      <color theme="9" tint="-0.499984740745262"/>
      <name val="Calibri"/>
      <family val="2"/>
      <scheme val="minor"/>
    </font>
    <font>
      <sz val="12"/>
      <color theme="9" tint="-0.499984740745262"/>
      <name val="Calibri"/>
      <family val="2"/>
      <scheme val="minor"/>
    </font>
    <font>
      <sz val="12"/>
      <color theme="9" tint="-0.499984740745262"/>
      <name val="Calibri (Body)"/>
    </font>
    <font>
      <b/>
      <sz val="12"/>
      <color theme="9" tint="-0.499984740745262"/>
      <name val="Calibri (Body)"/>
    </font>
    <font>
      <sz val="11"/>
      <color theme="9" tint="-0.499984740745262"/>
      <name val="Calibri (Body)"/>
    </font>
    <font>
      <sz val="10"/>
      <color theme="4"/>
      <name val="Calibri"/>
      <family val="2"/>
      <scheme val="minor"/>
    </font>
    <font>
      <sz val="12"/>
      <name val="Calibri (Body)"/>
    </font>
    <font>
      <sz val="12"/>
      <name val="Calibri"/>
      <family val="2"/>
    </font>
    <font>
      <b/>
      <sz val="12"/>
      <color theme="4"/>
      <name val="Calibri (Body)"/>
    </font>
    <font>
      <sz val="11"/>
      <name val="Calibri (Body)"/>
    </font>
    <font>
      <b/>
      <sz val="12"/>
      <name val="Calibri (Body)"/>
    </font>
    <font>
      <sz val="14"/>
      <name val="Calibri"/>
      <family val="2"/>
      <scheme val="minor"/>
    </font>
    <font>
      <i/>
      <sz val="10.5"/>
      <name val="Calibri"/>
      <family val="2"/>
    </font>
    <font>
      <sz val="14"/>
      <color theme="1"/>
      <name val="Calibri"/>
      <family val="2"/>
      <scheme val="minor"/>
    </font>
    <font>
      <b/>
      <sz val="11"/>
      <name val="Calibri"/>
      <family val="2"/>
    </font>
  </fonts>
  <fills count="14">
    <fill>
      <patternFill patternType="none"/>
    </fill>
    <fill>
      <patternFill patternType="gray125"/>
    </fill>
    <fill>
      <patternFill patternType="solid">
        <fgColor theme="1"/>
        <bgColor indexed="64"/>
      </patternFill>
    </fill>
    <fill>
      <patternFill patternType="solid">
        <fgColor rgb="FF4398B6"/>
        <bgColor indexed="64"/>
      </patternFill>
    </fill>
    <fill>
      <patternFill patternType="solid">
        <fgColor theme="0"/>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rgb="FFD9D9D9"/>
        <bgColor rgb="FF000000"/>
      </patternFill>
    </fill>
    <fill>
      <patternFill patternType="solid">
        <fgColor rgb="FFA5A5A5"/>
      </patternFill>
    </fill>
    <fill>
      <patternFill patternType="solid">
        <fgColor rgb="FFF6DFDC"/>
        <bgColor indexed="64"/>
      </patternFill>
    </fill>
    <fill>
      <patternFill patternType="solid">
        <fgColor rgb="FFF6DFDC"/>
        <bgColor rgb="FF000000"/>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0" tint="-0.14999847407452621"/>
        <bgColor rgb="FF000000"/>
      </patternFill>
    </fill>
  </fills>
  <borders count="80">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style="thin">
        <color auto="1"/>
      </top>
      <bottom/>
      <diagonal/>
    </border>
    <border>
      <left style="medium">
        <color indexed="64"/>
      </left>
      <right style="thin">
        <color auto="1"/>
      </right>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style="medium">
        <color indexed="64"/>
      </top>
      <bottom style="medium">
        <color indexed="64"/>
      </bottom>
      <diagonal/>
    </border>
    <border>
      <left style="thin">
        <color auto="1"/>
      </left>
      <right/>
      <top/>
      <bottom style="thin">
        <color auto="1"/>
      </bottom>
      <diagonal/>
    </border>
    <border>
      <left style="thin">
        <color auto="1"/>
      </left>
      <right/>
      <top style="thin">
        <color auto="1"/>
      </top>
      <bottom style="medium">
        <color indexed="64"/>
      </bottom>
      <diagonal/>
    </border>
    <border>
      <left style="medium">
        <color indexed="64"/>
      </left>
      <right style="thin">
        <color auto="1"/>
      </right>
      <top/>
      <bottom/>
      <diagonal/>
    </border>
    <border>
      <left style="thin">
        <color auto="1"/>
      </left>
      <right/>
      <top/>
      <bottom/>
      <diagonal/>
    </border>
    <border>
      <left style="double">
        <color rgb="FF3F3F3F"/>
      </left>
      <right style="double">
        <color rgb="FF3F3F3F"/>
      </right>
      <top style="double">
        <color rgb="FF3F3F3F"/>
      </top>
      <bottom style="double">
        <color rgb="FF3F3F3F"/>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thin">
        <color theme="1"/>
      </right>
      <top style="medium">
        <color indexed="64"/>
      </top>
      <bottom style="medium">
        <color indexed="64"/>
      </bottom>
      <diagonal/>
    </border>
    <border>
      <left/>
      <right style="medium">
        <color indexed="64"/>
      </right>
      <top style="thin">
        <color auto="1"/>
      </top>
      <bottom style="thin">
        <color auto="1"/>
      </bottom>
      <diagonal/>
    </border>
    <border>
      <left style="thin">
        <color auto="1"/>
      </left>
      <right style="thin">
        <color theme="1"/>
      </right>
      <top style="thin">
        <color auto="1"/>
      </top>
      <bottom style="thin">
        <color auto="1"/>
      </bottom>
      <diagonal/>
    </border>
    <border>
      <left/>
      <right style="medium">
        <color indexed="64"/>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thin">
        <color theme="1"/>
      </right>
      <top style="medium">
        <color indexed="64"/>
      </top>
      <bottom style="thin">
        <color auto="1"/>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style="thin">
        <color theme="1"/>
      </left>
      <right style="thin">
        <color theme="1"/>
      </right>
      <top style="thin">
        <color theme="1"/>
      </top>
      <bottom style="thin">
        <color theme="1"/>
      </bottom>
      <diagonal/>
    </border>
    <border>
      <left style="medium">
        <color indexed="64"/>
      </left>
      <right style="medium">
        <color indexed="64"/>
      </right>
      <top/>
      <bottom style="thin">
        <color auto="1"/>
      </bottom>
      <diagonal/>
    </border>
    <border>
      <left style="thin">
        <color rgb="FF000000"/>
      </left>
      <right style="thin">
        <color rgb="FF000000"/>
      </right>
      <top style="thin">
        <color rgb="FF000000"/>
      </top>
      <bottom/>
      <diagonal/>
    </border>
    <border>
      <left/>
      <right style="medium">
        <color indexed="64"/>
      </right>
      <top/>
      <bottom style="medium">
        <color indexed="64"/>
      </bottom>
      <diagonal/>
    </border>
    <border>
      <left style="thin">
        <color theme="1"/>
      </left>
      <right style="thin">
        <color auto="1"/>
      </right>
      <top style="thin">
        <color auto="1"/>
      </top>
      <bottom style="thin">
        <color indexed="64"/>
      </bottom>
      <diagonal/>
    </border>
    <border>
      <left style="thin">
        <color auto="1"/>
      </left>
      <right style="thin">
        <color theme="1"/>
      </right>
      <top style="thin">
        <color auto="1"/>
      </top>
      <bottom style="medium">
        <color indexed="64"/>
      </bottom>
      <diagonal/>
    </border>
    <border>
      <left style="thin">
        <color theme="0"/>
      </left>
      <right/>
      <top style="thin">
        <color theme="0"/>
      </top>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thin">
        <color auto="1"/>
      </left>
      <right/>
      <top style="medium">
        <color indexed="64"/>
      </top>
      <bottom style="thin">
        <color indexed="64"/>
      </bottom>
      <diagonal/>
    </border>
    <border>
      <left/>
      <right/>
      <top/>
      <bottom style="thin">
        <color indexed="64"/>
      </bottom>
      <diagonal/>
    </border>
    <border>
      <left style="medium">
        <color indexed="64"/>
      </left>
      <right/>
      <top style="thin">
        <color auto="1"/>
      </top>
      <bottom style="thin">
        <color auto="1"/>
      </bottom>
      <diagonal/>
    </border>
    <border>
      <left/>
      <right/>
      <top style="thin">
        <color auto="1"/>
      </top>
      <bottom style="thin">
        <color auto="1"/>
      </bottom>
      <diagonal/>
    </border>
    <border>
      <left style="thin">
        <color theme="1"/>
      </left>
      <right style="thin">
        <color theme="1"/>
      </right>
      <top/>
      <bottom style="thin">
        <color theme="1"/>
      </bottom>
      <diagonal/>
    </border>
    <border>
      <left style="thin">
        <color auto="1"/>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thin">
        <color auto="1"/>
      </left>
      <right style="medium">
        <color indexed="64"/>
      </right>
      <top style="thin">
        <color auto="1"/>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right style="thin">
        <color indexed="64"/>
      </right>
      <top style="thin">
        <color auto="1"/>
      </top>
      <bottom style="thin">
        <color auto="1"/>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thin">
        <color auto="1"/>
      </top>
      <bottom/>
      <diagonal/>
    </border>
    <border>
      <left/>
      <right style="medium">
        <color indexed="64"/>
      </right>
      <top style="medium">
        <color indexed="64"/>
      </top>
      <bottom/>
      <diagonal/>
    </border>
    <border>
      <left style="thin">
        <color theme="1"/>
      </left>
      <right style="thin">
        <color theme="1"/>
      </right>
      <top style="medium">
        <color indexed="64"/>
      </top>
      <bottom style="thin">
        <color indexed="64"/>
      </bottom>
      <diagonal/>
    </border>
    <border>
      <left style="thin">
        <color theme="1"/>
      </left>
      <right style="thin">
        <color theme="1"/>
      </right>
      <top style="thin">
        <color auto="1"/>
      </top>
      <bottom style="thin">
        <color auto="1"/>
      </bottom>
      <diagonal/>
    </border>
    <border>
      <left/>
      <right style="thin">
        <color indexed="64"/>
      </right>
      <top style="medium">
        <color indexed="64"/>
      </top>
      <bottom/>
      <diagonal/>
    </border>
    <border>
      <left style="thin">
        <color auto="1"/>
      </left>
      <right style="thin">
        <color auto="1"/>
      </right>
      <top style="thin">
        <color auto="1"/>
      </top>
      <bottom style="thin">
        <color auto="1"/>
      </bottom>
      <diagonal/>
    </border>
  </borders>
  <cellStyleXfs count="18">
    <xf numFmtId="0" fontId="0" fillId="0" borderId="0"/>
    <xf numFmtId="0" fontId="11" fillId="0" borderId="0"/>
    <xf numFmtId="0" fontId="12" fillId="0" borderId="0"/>
    <xf numFmtId="0" fontId="10" fillId="0" borderId="0"/>
    <xf numFmtId="0" fontId="11" fillId="0" borderId="0"/>
    <xf numFmtId="0" fontId="10" fillId="0" borderId="0"/>
    <xf numFmtId="0" fontId="10" fillId="0" borderId="0"/>
    <xf numFmtId="0" fontId="15" fillId="8" borderId="21"/>
    <xf numFmtId="0" fontId="11" fillId="0" borderId="0"/>
    <xf numFmtId="0" fontId="11" fillId="0" borderId="0"/>
    <xf numFmtId="0" fontId="11" fillId="0" borderId="0"/>
    <xf numFmtId="9" fontId="10" fillId="0" borderId="0"/>
    <xf numFmtId="0" fontId="11" fillId="0" borderId="0"/>
    <xf numFmtId="0" fontId="11" fillId="0" borderId="0"/>
    <xf numFmtId="0" fontId="11" fillId="0" borderId="0"/>
    <xf numFmtId="0" fontId="11" fillId="0" borderId="0"/>
    <xf numFmtId="0" fontId="11" fillId="0" borderId="0"/>
    <xf numFmtId="0" fontId="11" fillId="0" borderId="0"/>
  </cellStyleXfs>
  <cellXfs count="625">
    <xf numFmtId="0" fontId="0" fillId="0" borderId="0" xfId="0"/>
    <xf numFmtId="0" fontId="0" fillId="0" borderId="22" xfId="0" applyBorder="1"/>
    <xf numFmtId="0" fontId="13" fillId="0" borderId="22" xfId="0" applyFont="1" applyBorder="1" applyAlignment="1">
      <alignment horizontal="center" vertical="center"/>
    </xf>
    <xf numFmtId="0" fontId="0" fillId="0" borderId="23" xfId="0" applyBorder="1"/>
    <xf numFmtId="0" fontId="13" fillId="0" borderId="25" xfId="0" applyFont="1" applyBorder="1" applyAlignment="1">
      <alignment horizontal="center" vertical="center"/>
    </xf>
    <xf numFmtId="0" fontId="0" fillId="0" borderId="25" xfId="0" applyBorder="1"/>
    <xf numFmtId="0" fontId="13" fillId="0" borderId="26" xfId="0" applyFont="1" applyBorder="1" applyAlignment="1">
      <alignment horizontal="center" vertical="center"/>
    </xf>
    <xf numFmtId="0" fontId="0" fillId="0" borderId="26" xfId="0" applyBorder="1"/>
    <xf numFmtId="0" fontId="13" fillId="0" borderId="1" xfId="0" applyFont="1" applyBorder="1"/>
    <xf numFmtId="0" fontId="14" fillId="0" borderId="35" xfId="3" applyFont="1" applyBorder="1" applyAlignment="1" applyProtection="1">
      <alignment horizontal="left" vertical="center" wrapText="1"/>
      <protection locked="0"/>
    </xf>
    <xf numFmtId="0" fontId="14" fillId="0" borderId="36" xfId="3" applyFont="1" applyBorder="1" applyAlignment="1" applyProtection="1">
      <alignment horizontal="left" vertical="center" wrapText="1"/>
      <protection locked="0"/>
    </xf>
    <xf numFmtId="0" fontId="14" fillId="0" borderId="36" xfId="5" applyFont="1" applyBorder="1" applyAlignment="1" applyProtection="1">
      <alignment horizontal="left" vertical="center" wrapText="1"/>
      <protection locked="0"/>
    </xf>
    <xf numFmtId="0" fontId="19" fillId="9" borderId="36" xfId="3" applyFont="1" applyFill="1" applyBorder="1" applyAlignment="1" applyProtection="1">
      <alignment horizontal="left" vertical="center" wrapText="1"/>
      <protection locked="0"/>
    </xf>
    <xf numFmtId="0" fontId="14" fillId="0" borderId="37" xfId="3" applyFont="1" applyBorder="1" applyAlignment="1" applyProtection="1">
      <alignment horizontal="left" vertical="center" wrapText="1"/>
      <protection locked="0"/>
    </xf>
    <xf numFmtId="0" fontId="14" fillId="6" borderId="8" xfId="2" applyFont="1" applyFill="1" applyBorder="1" applyAlignment="1" applyProtection="1">
      <alignment horizontal="center" vertical="center"/>
      <protection locked="0"/>
    </xf>
    <xf numFmtId="0" fontId="14" fillId="6" borderId="13" xfId="0" applyFont="1" applyFill="1" applyBorder="1" applyAlignment="1" applyProtection="1">
      <alignment horizontal="left" vertical="center" wrapText="1"/>
      <protection locked="0"/>
    </xf>
    <xf numFmtId="0" fontId="14" fillId="6" borderId="3" xfId="2" applyFont="1" applyFill="1" applyBorder="1" applyAlignment="1" applyProtection="1">
      <alignment horizontal="center" vertical="center" wrapText="1"/>
      <protection locked="0"/>
    </xf>
    <xf numFmtId="0" fontId="14" fillId="6" borderId="3" xfId="0" applyFont="1" applyFill="1" applyBorder="1" applyAlignment="1" applyProtection="1">
      <alignment horizontal="center" vertical="center" wrapText="1"/>
      <protection locked="0"/>
    </xf>
    <xf numFmtId="0" fontId="14" fillId="6" borderId="3" xfId="3" applyFont="1" applyFill="1" applyBorder="1" applyAlignment="1" applyProtection="1">
      <alignment horizontal="left" vertical="center" wrapText="1"/>
      <protection locked="0"/>
    </xf>
    <xf numFmtId="0" fontId="14" fillId="6" borderId="1" xfId="0" applyFont="1" applyFill="1" applyBorder="1" applyAlignment="1" applyProtection="1">
      <alignment horizontal="left" vertical="center" wrapText="1"/>
      <protection locked="0"/>
    </xf>
    <xf numFmtId="0" fontId="14" fillId="6" borderId="1" xfId="2" applyFont="1" applyFill="1" applyBorder="1" applyAlignment="1" applyProtection="1">
      <alignment horizontal="center" vertical="center" wrapText="1"/>
      <protection locked="0"/>
    </xf>
    <xf numFmtId="0" fontId="14" fillId="6" borderId="1" xfId="0" applyFont="1" applyFill="1" applyBorder="1" applyAlignment="1" applyProtection="1">
      <alignment horizontal="center" vertical="center" wrapText="1"/>
      <protection locked="0"/>
    </xf>
    <xf numFmtId="0" fontId="14" fillId="6" borderId="1" xfId="3" applyFont="1" applyFill="1" applyBorder="1" applyAlignment="1" applyProtection="1">
      <alignment horizontal="left" vertical="center" wrapText="1"/>
      <protection locked="0"/>
    </xf>
    <xf numFmtId="0" fontId="14" fillId="6" borderId="2" xfId="2" applyFont="1" applyFill="1" applyBorder="1" applyAlignment="1" applyProtection="1">
      <alignment horizontal="center" vertical="center" wrapText="1"/>
      <protection locked="0"/>
    </xf>
    <xf numFmtId="0" fontId="14" fillId="6" borderId="13" xfId="2" applyFont="1" applyFill="1" applyBorder="1" applyAlignment="1" applyProtection="1">
      <alignment horizontal="center" vertical="center" wrapText="1"/>
      <protection locked="0"/>
    </xf>
    <xf numFmtId="0" fontId="14" fillId="0" borderId="34" xfId="3" applyFont="1" applyBorder="1" applyAlignment="1" applyProtection="1">
      <alignment horizontal="left" vertical="center" wrapText="1"/>
      <protection locked="0"/>
    </xf>
    <xf numFmtId="0" fontId="14" fillId="6" borderId="19" xfId="2" applyFont="1" applyFill="1" applyBorder="1" applyAlignment="1" applyProtection="1">
      <alignment horizontal="center" vertical="center"/>
      <protection locked="0"/>
    </xf>
    <xf numFmtId="0" fontId="14" fillId="6" borderId="2" xfId="0" applyFont="1" applyFill="1" applyBorder="1" applyAlignment="1" applyProtection="1">
      <alignment horizontal="left" vertical="center" wrapText="1"/>
      <protection locked="0"/>
    </xf>
    <xf numFmtId="0" fontId="14" fillId="6" borderId="20" xfId="3" applyFont="1" applyFill="1" applyBorder="1" applyAlignment="1" applyProtection="1">
      <alignment horizontal="left" vertical="center" wrapText="1"/>
      <protection locked="0"/>
    </xf>
    <xf numFmtId="0" fontId="14" fillId="10" borderId="17" xfId="0" applyFont="1" applyFill="1" applyBorder="1" applyAlignment="1" applyProtection="1">
      <alignment horizontal="left" vertical="center" wrapText="1"/>
      <protection locked="0"/>
    </xf>
    <xf numFmtId="0" fontId="14" fillId="6" borderId="14" xfId="3" applyFont="1" applyFill="1" applyBorder="1" applyAlignment="1" applyProtection="1">
      <alignment horizontal="left" vertical="center" wrapText="1"/>
      <protection locked="0"/>
    </xf>
    <xf numFmtId="0" fontId="19" fillId="7" borderId="14" xfId="0" applyFont="1" applyFill="1" applyBorder="1" applyAlignment="1" applyProtection="1">
      <alignment horizontal="left" vertical="center" wrapText="1"/>
      <protection locked="0"/>
    </xf>
    <xf numFmtId="0" fontId="14" fillId="6" borderId="3" xfId="3" applyFont="1" applyFill="1" applyBorder="1" applyAlignment="1" applyProtection="1">
      <alignment horizontal="center" vertical="center" wrapText="1"/>
      <protection locked="0"/>
    </xf>
    <xf numFmtId="0" fontId="14" fillId="6" borderId="17" xfId="3" applyFont="1" applyFill="1" applyBorder="1" applyAlignment="1" applyProtection="1">
      <alignment horizontal="left" vertical="center" wrapText="1"/>
      <protection locked="0"/>
    </xf>
    <xf numFmtId="0" fontId="14" fillId="7" borderId="17" xfId="0" applyFont="1" applyFill="1" applyBorder="1" applyAlignment="1" applyProtection="1">
      <alignment horizontal="left" vertical="center" wrapText="1"/>
      <protection locked="0"/>
    </xf>
    <xf numFmtId="0" fontId="14" fillId="6" borderId="1" xfId="3" applyFont="1" applyFill="1" applyBorder="1" applyAlignment="1" applyProtection="1">
      <alignment horizontal="center" vertical="center" wrapText="1"/>
      <protection locked="0"/>
    </xf>
    <xf numFmtId="0" fontId="14" fillId="6" borderId="13" xfId="3" applyFont="1" applyFill="1" applyBorder="1" applyAlignment="1" applyProtection="1">
      <alignment horizontal="left" vertical="center" wrapText="1"/>
      <protection locked="0"/>
    </xf>
    <xf numFmtId="0" fontId="14" fillId="6" borderId="1" xfId="3" applyFont="1" applyFill="1" applyBorder="1" applyAlignment="1" applyProtection="1">
      <alignment vertical="center" wrapText="1"/>
      <protection locked="0"/>
    </xf>
    <xf numFmtId="0" fontId="16" fillId="6" borderId="1" xfId="2" applyFont="1" applyFill="1" applyBorder="1" applyAlignment="1" applyProtection="1">
      <alignment horizontal="center" vertical="center" wrapText="1"/>
      <protection locked="0"/>
    </xf>
    <xf numFmtId="0" fontId="14" fillId="6" borderId="6" xfId="2" applyFont="1" applyFill="1" applyBorder="1" applyAlignment="1" applyProtection="1">
      <alignment horizontal="center" vertical="center"/>
      <protection locked="0"/>
    </xf>
    <xf numFmtId="0" fontId="14" fillId="6" borderId="2" xfId="3" applyFont="1" applyFill="1" applyBorder="1" applyAlignment="1" applyProtection="1">
      <alignment horizontal="left" vertical="center" wrapText="1"/>
      <protection locked="0"/>
    </xf>
    <xf numFmtId="0" fontId="14" fillId="6" borderId="15" xfId="3" applyFont="1" applyFill="1" applyBorder="1" applyAlignment="1" applyProtection="1">
      <alignment horizontal="left" vertical="center" wrapText="1"/>
      <protection locked="0"/>
    </xf>
    <xf numFmtId="0" fontId="14" fillId="9" borderId="14" xfId="0" applyFont="1" applyFill="1" applyBorder="1" applyAlignment="1" applyProtection="1">
      <alignment horizontal="left" vertical="center" wrapText="1"/>
      <protection locked="0"/>
    </xf>
    <xf numFmtId="0" fontId="14" fillId="9" borderId="17" xfId="3" applyFont="1" applyFill="1" applyBorder="1" applyAlignment="1" applyProtection="1">
      <alignment horizontal="left" vertical="center" wrapText="1"/>
      <protection locked="0"/>
    </xf>
    <xf numFmtId="0" fontId="14" fillId="9" borderId="20" xfId="3" applyFont="1" applyFill="1" applyBorder="1" applyAlignment="1" applyProtection="1">
      <alignment horizontal="left" vertical="center" wrapText="1"/>
      <protection locked="0"/>
    </xf>
    <xf numFmtId="0" fontId="14" fillId="0" borderId="8" xfId="2" applyFont="1" applyBorder="1" applyAlignment="1" applyProtection="1">
      <alignment horizontal="center" vertical="center"/>
      <protection locked="0"/>
    </xf>
    <xf numFmtId="0" fontId="14" fillId="0" borderId="1" xfId="0" applyFont="1" applyBorder="1" applyAlignment="1" applyProtection="1">
      <alignment horizontal="left" vertical="center" wrapText="1"/>
      <protection locked="0"/>
    </xf>
    <xf numFmtId="0" fontId="14" fillId="0" borderId="1" xfId="2" applyFont="1" applyBorder="1" applyAlignment="1" applyProtection="1">
      <alignment horizontal="center" vertical="center" wrapText="1"/>
      <protection locked="0"/>
    </xf>
    <xf numFmtId="0" fontId="14" fillId="0" borderId="1" xfId="0" applyFont="1" applyBorder="1" applyAlignment="1" applyProtection="1">
      <alignment horizontal="center" vertical="center" wrapText="1"/>
      <protection locked="0"/>
    </xf>
    <xf numFmtId="0" fontId="31" fillId="0" borderId="1" xfId="0" applyFont="1" applyBorder="1"/>
    <xf numFmtId="0" fontId="16" fillId="12" borderId="1" xfId="7" applyFont="1" applyFill="1" applyBorder="1" applyAlignment="1" applyProtection="1">
      <alignment horizontal="center" vertical="center"/>
      <protection locked="0"/>
    </xf>
    <xf numFmtId="0" fontId="14" fillId="0" borderId="49" xfId="3" applyFont="1" applyBorder="1" applyAlignment="1" applyProtection="1">
      <alignment horizontal="left" vertical="center" wrapText="1"/>
      <protection locked="0"/>
    </xf>
    <xf numFmtId="0" fontId="29" fillId="10" borderId="17" xfId="0" applyFont="1" applyFill="1" applyBorder="1" applyAlignment="1" applyProtection="1">
      <alignment horizontal="left" vertical="center" wrapText="1"/>
      <protection locked="0"/>
    </xf>
    <xf numFmtId="0" fontId="16" fillId="6" borderId="48" xfId="0" applyFont="1" applyFill="1" applyBorder="1" applyAlignment="1" applyProtection="1">
      <alignment horizontal="center" vertical="center"/>
      <protection locked="0"/>
    </xf>
    <xf numFmtId="0" fontId="14" fillId="6" borderId="48" xfId="0" applyFont="1" applyFill="1" applyBorder="1" applyAlignment="1" applyProtection="1">
      <alignment horizontal="center" vertical="center"/>
      <protection locked="0"/>
    </xf>
    <xf numFmtId="0" fontId="14" fillId="6" borderId="48" xfId="3" applyFont="1" applyFill="1" applyBorder="1" applyAlignment="1" applyProtection="1">
      <alignment horizontal="center" vertical="center" wrapText="1"/>
      <protection locked="0"/>
    </xf>
    <xf numFmtId="0" fontId="33" fillId="6" borderId="1" xfId="0" applyFont="1" applyFill="1" applyBorder="1" applyAlignment="1" applyProtection="1">
      <alignment horizontal="left" vertical="center" wrapText="1"/>
      <protection locked="0"/>
    </xf>
    <xf numFmtId="0" fontId="14" fillId="6" borderId="48" xfId="3" applyFont="1" applyFill="1" applyBorder="1" applyAlignment="1" applyProtection="1">
      <alignment vertical="center" wrapText="1"/>
      <protection locked="0"/>
    </xf>
    <xf numFmtId="0" fontId="14" fillId="6" borderId="7" xfId="2" applyFont="1" applyFill="1" applyBorder="1" applyAlignment="1" applyProtection="1">
      <alignment horizontal="center" vertical="center"/>
      <protection locked="0"/>
    </xf>
    <xf numFmtId="0" fontId="14" fillId="6" borderId="3" xfId="0" applyFont="1" applyFill="1" applyBorder="1" applyAlignment="1" applyProtection="1">
      <alignment horizontal="left" vertical="center" wrapText="1"/>
      <protection locked="0"/>
    </xf>
    <xf numFmtId="0" fontId="14" fillId="0" borderId="14" xfId="2" applyFont="1" applyBorder="1" applyAlignment="1" applyProtection="1">
      <alignment horizontal="left" vertical="center" wrapText="1"/>
      <protection locked="0"/>
    </xf>
    <xf numFmtId="0" fontId="14" fillId="9" borderId="14" xfId="3" applyFont="1" applyFill="1" applyBorder="1" applyAlignment="1" applyProtection="1">
      <alignment horizontal="left" vertical="center" wrapText="1"/>
      <protection locked="0"/>
    </xf>
    <xf numFmtId="0" fontId="14" fillId="6" borderId="17" xfId="3" applyFont="1" applyFill="1" applyBorder="1" applyAlignment="1" applyProtection="1">
      <alignment horizontal="center" vertical="center" wrapText="1"/>
      <protection locked="0"/>
    </xf>
    <xf numFmtId="0" fontId="21" fillId="13" borderId="17" xfId="0" applyFont="1" applyFill="1" applyBorder="1" applyAlignment="1" applyProtection="1">
      <alignment horizontal="center" vertical="center" wrapText="1"/>
      <protection locked="0"/>
    </xf>
    <xf numFmtId="1" fontId="0" fillId="0" borderId="0" xfId="0" applyNumberFormat="1"/>
    <xf numFmtId="9" fontId="0" fillId="0" borderId="0" xfId="11" applyFont="1"/>
    <xf numFmtId="0" fontId="14" fillId="9" borderId="14" xfId="3" applyFont="1" applyFill="1" applyBorder="1" applyAlignment="1" applyProtection="1">
      <alignment vertical="center" wrapText="1"/>
      <protection locked="0"/>
    </xf>
    <xf numFmtId="0" fontId="21" fillId="6" borderId="20" xfId="3" applyFont="1" applyFill="1" applyBorder="1" applyAlignment="1" applyProtection="1">
      <alignment horizontal="center" vertical="center" wrapText="1"/>
      <protection locked="0"/>
    </xf>
    <xf numFmtId="0" fontId="33" fillId="6" borderId="14" xfId="0" applyFont="1" applyFill="1" applyBorder="1" applyAlignment="1" applyProtection="1">
      <alignment horizontal="left" vertical="center" wrapText="1"/>
      <protection locked="0"/>
    </xf>
    <xf numFmtId="0" fontId="14" fillId="0" borderId="49" xfId="3" applyFont="1" applyBorder="1" applyAlignment="1" applyProtection="1">
      <alignment horizontal="left" vertical="center"/>
      <protection locked="0"/>
    </xf>
    <xf numFmtId="0" fontId="10" fillId="9" borderId="52" xfId="2" applyFont="1" applyFill="1" applyBorder="1" applyAlignment="1" applyProtection="1">
      <alignment horizontal="left" vertical="center" wrapText="1"/>
      <protection locked="0"/>
    </xf>
    <xf numFmtId="0" fontId="36" fillId="4" borderId="36" xfId="3" applyFont="1" applyFill="1" applyBorder="1" applyAlignment="1" applyProtection="1">
      <alignment horizontal="left" vertical="center" wrapText="1"/>
      <protection locked="0"/>
    </xf>
    <xf numFmtId="0" fontId="19" fillId="0" borderId="36" xfId="3" applyFont="1" applyBorder="1" applyAlignment="1" applyProtection="1">
      <alignment horizontal="left" vertical="center" wrapText="1"/>
      <protection locked="0"/>
    </xf>
    <xf numFmtId="0" fontId="14" fillId="0" borderId="29" xfId="3" applyFont="1" applyBorder="1" applyAlignment="1" applyProtection="1">
      <alignment horizontal="left" vertical="center" wrapText="1"/>
      <protection locked="0"/>
    </xf>
    <xf numFmtId="0" fontId="36" fillId="4" borderId="7" xfId="2" applyFont="1" applyFill="1" applyBorder="1" applyAlignment="1" applyProtection="1">
      <alignment horizontal="center" vertical="center"/>
      <protection locked="0"/>
    </xf>
    <xf numFmtId="0" fontId="38" fillId="4" borderId="3" xfId="2" applyFont="1" applyFill="1" applyBorder="1" applyAlignment="1" applyProtection="1">
      <alignment horizontal="center" vertical="center" wrapText="1"/>
      <protection locked="0"/>
    </xf>
    <xf numFmtId="0" fontId="38" fillId="4" borderId="3" xfId="3" applyFont="1" applyFill="1" applyBorder="1" applyAlignment="1" applyProtection="1">
      <alignment horizontal="center" vertical="center" wrapText="1"/>
      <protection locked="0"/>
    </xf>
    <xf numFmtId="0" fontId="38" fillId="4" borderId="17" xfId="3" applyFont="1" applyFill="1" applyBorder="1" applyAlignment="1" applyProtection="1">
      <alignment horizontal="left" vertical="center" wrapText="1"/>
      <protection locked="0"/>
    </xf>
    <xf numFmtId="49" fontId="38" fillId="4" borderId="60" xfId="0" applyNumberFormat="1" applyFont="1" applyFill="1" applyBorder="1" applyAlignment="1" applyProtection="1">
      <alignment vertical="center" wrapText="1"/>
      <protection locked="0"/>
    </xf>
    <xf numFmtId="0" fontId="38" fillId="4" borderId="3" xfId="3" applyFont="1" applyFill="1" applyBorder="1" applyAlignment="1" applyProtection="1">
      <alignment horizontal="left" vertical="center" wrapText="1"/>
      <protection locked="0"/>
    </xf>
    <xf numFmtId="0" fontId="36" fillId="4" borderId="3" xfId="3" applyFont="1" applyFill="1" applyBorder="1" applyAlignment="1" applyProtection="1">
      <alignment horizontal="left" vertical="center" wrapText="1"/>
      <protection locked="0"/>
    </xf>
    <xf numFmtId="0" fontId="14" fillId="0" borderId="1" xfId="3" applyFont="1" applyBorder="1" applyAlignment="1" applyProtection="1">
      <alignment horizontal="left" vertical="center" wrapText="1"/>
      <protection locked="0"/>
    </xf>
    <xf numFmtId="0" fontId="14" fillId="0" borderId="17" xfId="3" applyFont="1" applyBorder="1" applyAlignment="1" applyProtection="1">
      <alignment horizontal="center" vertical="center" wrapText="1"/>
      <protection locked="0"/>
    </xf>
    <xf numFmtId="0" fontId="14" fillId="0" borderId="14" xfId="3" applyFont="1" applyBorder="1" applyAlignment="1" applyProtection="1">
      <alignment horizontal="center" vertical="center" wrapText="1"/>
      <protection locked="0"/>
    </xf>
    <xf numFmtId="0" fontId="14" fillId="0" borderId="14" xfId="5" applyFont="1" applyBorder="1" applyAlignment="1" applyProtection="1">
      <alignment horizontal="center" vertical="center" wrapText="1"/>
      <protection locked="0"/>
    </xf>
    <xf numFmtId="0" fontId="19" fillId="0" borderId="14" xfId="3" applyFont="1" applyBorder="1" applyAlignment="1" applyProtection="1">
      <alignment horizontal="left" vertical="center" wrapText="1"/>
      <protection locked="0"/>
    </xf>
    <xf numFmtId="0" fontId="14" fillId="0" borderId="14" xfId="3" applyFont="1" applyBorder="1" applyAlignment="1" applyProtection="1">
      <alignment horizontal="left" vertical="center" wrapText="1"/>
      <protection locked="0"/>
    </xf>
    <xf numFmtId="0" fontId="14" fillId="0" borderId="15" xfId="3" applyFont="1" applyBorder="1" applyAlignment="1" applyProtection="1">
      <alignment horizontal="center" vertical="center" wrapText="1"/>
      <protection locked="0"/>
    </xf>
    <xf numFmtId="0" fontId="14" fillId="0" borderId="17" xfId="3" applyFont="1" applyBorder="1" applyAlignment="1" applyProtection="1">
      <alignment horizontal="left" vertical="center" wrapText="1"/>
      <protection locked="0"/>
    </xf>
    <xf numFmtId="0" fontId="14" fillId="0" borderId="20" xfId="3" applyFont="1" applyBorder="1" applyAlignment="1" applyProtection="1">
      <alignment horizontal="left" vertical="center" wrapText="1"/>
      <protection locked="0"/>
    </xf>
    <xf numFmtId="0" fontId="14" fillId="0" borderId="2" xfId="3" applyFont="1" applyBorder="1" applyAlignment="1" applyProtection="1">
      <alignment horizontal="left" vertical="center" wrapText="1"/>
      <protection locked="0"/>
    </xf>
    <xf numFmtId="0" fontId="14" fillId="9" borderId="14" xfId="2" applyFont="1" applyFill="1" applyBorder="1" applyAlignment="1" applyProtection="1">
      <alignment horizontal="left" vertical="center" wrapText="1"/>
      <protection locked="0"/>
    </xf>
    <xf numFmtId="0" fontId="14" fillId="0" borderId="17" xfId="2" applyFont="1" applyBorder="1" applyAlignment="1" applyProtection="1">
      <alignment horizontal="left" vertical="center" wrapText="1"/>
      <protection locked="0"/>
    </xf>
    <xf numFmtId="0" fontId="14" fillId="0" borderId="17" xfId="0" applyFont="1" applyBorder="1" applyAlignment="1" applyProtection="1">
      <alignment vertical="center"/>
      <protection locked="0"/>
    </xf>
    <xf numFmtId="0" fontId="14" fillId="0" borderId="44" xfId="3" applyFont="1" applyBorder="1" applyAlignment="1" applyProtection="1">
      <alignment horizontal="left" vertical="center" wrapText="1"/>
      <protection locked="0"/>
    </xf>
    <xf numFmtId="0" fontId="14" fillId="0" borderId="15" xfId="0" applyFont="1" applyBorder="1" applyAlignment="1" applyProtection="1">
      <alignment horizontal="left" vertical="center" wrapText="1"/>
      <protection locked="0"/>
    </xf>
    <xf numFmtId="0" fontId="14" fillId="0" borderId="15" xfId="3" applyFont="1" applyBorder="1" applyAlignment="1" applyProtection="1">
      <alignment horizontal="left" vertical="center" wrapText="1"/>
      <protection locked="0"/>
    </xf>
    <xf numFmtId="0" fontId="14" fillId="0" borderId="14" xfId="0" applyFont="1" applyBorder="1" applyAlignment="1" applyProtection="1">
      <alignment horizontal="left" vertical="center" wrapText="1"/>
      <protection locked="0"/>
    </xf>
    <xf numFmtId="0" fontId="14" fillId="0" borderId="16" xfId="2" applyFont="1" applyBorder="1" applyAlignment="1" applyProtection="1">
      <alignment horizontal="center" vertical="center" wrapText="1"/>
      <protection locked="0"/>
    </xf>
    <xf numFmtId="0" fontId="14" fillId="0" borderId="28" xfId="3" applyFont="1" applyBorder="1" applyAlignment="1" applyProtection="1">
      <alignment horizontal="left" vertical="center" wrapText="1"/>
      <protection locked="0"/>
    </xf>
    <xf numFmtId="0" fontId="14" fillId="0" borderId="7" xfId="2" applyFont="1" applyBorder="1" applyAlignment="1" applyProtection="1">
      <alignment horizontal="center" vertical="center"/>
      <protection locked="0"/>
    </xf>
    <xf numFmtId="0" fontId="14" fillId="0" borderId="3" xfId="0" applyFont="1" applyBorder="1" applyAlignment="1" applyProtection="1">
      <alignment horizontal="center" vertical="center" wrapText="1"/>
      <protection locked="0"/>
    </xf>
    <xf numFmtId="0" fontId="14" fillId="0" borderId="1" xfId="3" applyFont="1" applyBorder="1" applyAlignment="1" applyProtection="1">
      <alignment horizontal="center" vertical="center" wrapText="1"/>
      <protection locked="0"/>
    </xf>
    <xf numFmtId="0" fontId="14" fillId="0" borderId="2" xfId="2" applyFont="1" applyBorder="1" applyAlignment="1" applyProtection="1">
      <alignment horizontal="center" vertical="center"/>
      <protection locked="0"/>
    </xf>
    <xf numFmtId="0" fontId="14" fillId="0" borderId="2" xfId="2" applyFont="1" applyBorder="1" applyAlignment="1" applyProtection="1">
      <alignment horizontal="center" vertical="center" wrapText="1"/>
      <protection locked="0"/>
    </xf>
    <xf numFmtId="0" fontId="14" fillId="0" borderId="2" xfId="3" applyFont="1" applyBorder="1" applyAlignment="1" applyProtection="1">
      <alignment horizontal="center" vertical="center" wrapText="1"/>
      <protection locked="0"/>
    </xf>
    <xf numFmtId="0" fontId="14" fillId="0" borderId="3" xfId="0" applyFont="1" applyBorder="1" applyAlignment="1" applyProtection="1">
      <alignment horizontal="left" vertical="center" wrapText="1"/>
      <protection locked="0"/>
    </xf>
    <xf numFmtId="0" fontId="14" fillId="0" borderId="3" xfId="2" applyFont="1" applyBorder="1" applyAlignment="1" applyProtection="1">
      <alignment horizontal="center" vertical="center" wrapText="1"/>
      <protection locked="0"/>
    </xf>
    <xf numFmtId="0" fontId="16" fillId="0" borderId="3" xfId="0" applyFont="1" applyBorder="1" applyAlignment="1" applyProtection="1">
      <alignment horizontal="center" vertical="center" wrapText="1"/>
      <protection locked="0"/>
    </xf>
    <xf numFmtId="0" fontId="14" fillId="0" borderId="3" xfId="3" applyFont="1" applyBorder="1" applyAlignment="1" applyProtection="1">
      <alignment vertical="center" wrapText="1"/>
      <protection locked="0"/>
    </xf>
    <xf numFmtId="0" fontId="14" fillId="0" borderId="3" xfId="3" applyFont="1" applyBorder="1" applyAlignment="1" applyProtection="1">
      <alignment horizontal="center" vertical="center" wrapText="1"/>
      <protection locked="0"/>
    </xf>
    <xf numFmtId="0" fontId="14" fillId="6" borderId="1" xfId="2" applyFont="1" applyFill="1" applyBorder="1" applyAlignment="1" applyProtection="1">
      <alignment horizontal="center" vertical="center"/>
      <protection locked="0"/>
    </xf>
    <xf numFmtId="0" fontId="14" fillId="0" borderId="0" xfId="3" applyFont="1" applyAlignment="1" applyProtection="1">
      <alignment horizontal="center" vertical="center"/>
      <protection locked="0"/>
    </xf>
    <xf numFmtId="0" fontId="14" fillId="0" borderId="1" xfId="3" applyFont="1" applyBorder="1" applyAlignment="1" applyProtection="1">
      <alignment horizontal="center" vertical="center"/>
      <protection locked="0"/>
    </xf>
    <xf numFmtId="0" fontId="14" fillId="0" borderId="6" xfId="2" applyFont="1" applyBorder="1" applyAlignment="1" applyProtection="1">
      <alignment horizontal="center" vertical="center"/>
      <protection locked="0"/>
    </xf>
    <xf numFmtId="0" fontId="14" fillId="0" borderId="2" xfId="0" applyFont="1" applyBorder="1" applyAlignment="1" applyProtection="1">
      <alignment horizontal="center" vertical="center" wrapText="1"/>
      <protection locked="0"/>
    </xf>
    <xf numFmtId="0" fontId="14" fillId="0" borderId="13" xfId="0" applyFont="1" applyBorder="1" applyAlignment="1" applyProtection="1">
      <alignment horizontal="center" vertical="center" wrapText="1"/>
      <protection locked="0"/>
    </xf>
    <xf numFmtId="0" fontId="14" fillId="7" borderId="1" xfId="0" applyFont="1" applyFill="1" applyBorder="1" applyAlignment="1" applyProtection="1">
      <alignment horizontal="center" vertical="center" wrapText="1"/>
      <protection locked="0"/>
    </xf>
    <xf numFmtId="9" fontId="26" fillId="0" borderId="42" xfId="11" applyFont="1" applyBorder="1" applyAlignment="1">
      <alignment horizontal="center" vertical="center" wrapText="1"/>
    </xf>
    <xf numFmtId="9" fontId="26" fillId="0" borderId="47" xfId="11" applyFont="1" applyBorder="1" applyAlignment="1">
      <alignment horizontal="center" vertical="center" wrapText="1"/>
    </xf>
    <xf numFmtId="0" fontId="20" fillId="0" borderId="3" xfId="3" applyFont="1" applyBorder="1" applyAlignment="1" applyProtection="1">
      <alignment vertical="center" wrapText="1"/>
      <protection locked="0"/>
    </xf>
    <xf numFmtId="0" fontId="35" fillId="0" borderId="2" xfId="3" applyFont="1" applyBorder="1" applyAlignment="1" applyProtection="1">
      <alignment horizontal="left" vertical="center" wrapText="1"/>
      <protection locked="0"/>
    </xf>
    <xf numFmtId="0" fontId="14" fillId="0" borderId="20" xfId="3" applyFont="1" applyBorder="1" applyAlignment="1" applyProtection="1">
      <alignment horizontal="center" vertical="center" wrapText="1"/>
      <protection locked="0"/>
    </xf>
    <xf numFmtId="0" fontId="21" fillId="9" borderId="36" xfId="3" applyFont="1" applyFill="1" applyBorder="1" applyAlignment="1" applyProtection="1">
      <alignment horizontal="left" vertical="center" wrapText="1"/>
      <protection locked="0"/>
    </xf>
    <xf numFmtId="0" fontId="19" fillId="13" borderId="17" xfId="0" applyFont="1" applyFill="1" applyBorder="1" applyAlignment="1" applyProtection="1">
      <alignment horizontal="left" vertical="center" wrapText="1"/>
      <protection locked="0"/>
    </xf>
    <xf numFmtId="0" fontId="14" fillId="4" borderId="7" xfId="2" applyFont="1" applyFill="1" applyBorder="1" applyAlignment="1" applyProtection="1">
      <alignment horizontal="center" vertical="center"/>
      <protection locked="0"/>
    </xf>
    <xf numFmtId="0" fontId="14" fillId="6" borderId="17" xfId="2" applyFont="1" applyFill="1" applyBorder="1" applyAlignment="1" applyProtection="1">
      <alignment horizontal="left" vertical="center" wrapText="1"/>
      <protection locked="0"/>
    </xf>
    <xf numFmtId="0" fontId="14" fillId="0" borderId="36" xfId="3" applyFont="1" applyBorder="1" applyAlignment="1" applyProtection="1">
      <alignment horizontal="center" vertical="center" wrapText="1"/>
      <protection locked="0"/>
    </xf>
    <xf numFmtId="0" fontId="14" fillId="0" borderId="49" xfId="3" applyFont="1" applyBorder="1" applyAlignment="1" applyProtection="1">
      <alignment horizontal="center" vertical="center" wrapText="1"/>
      <protection locked="0"/>
    </xf>
    <xf numFmtId="0" fontId="14" fillId="0" borderId="0" xfId="3" applyFont="1" applyAlignment="1" applyProtection="1">
      <alignment horizontal="left" vertical="center" wrapText="1"/>
      <protection locked="0"/>
    </xf>
    <xf numFmtId="0" fontId="14" fillId="0" borderId="16" xfId="2" applyFont="1" applyBorder="1" applyAlignment="1">
      <alignment horizontal="center" vertical="center" wrapText="1"/>
    </xf>
    <xf numFmtId="0" fontId="14" fillId="0" borderId="16" xfId="2" applyFont="1" applyBorder="1" applyAlignment="1">
      <alignment horizontal="left" vertical="center" wrapText="1"/>
    </xf>
    <xf numFmtId="0" fontId="14" fillId="0" borderId="4" xfId="2" applyFont="1" applyBorder="1" applyAlignment="1">
      <alignment horizontal="center" vertical="center" wrapText="1"/>
    </xf>
    <xf numFmtId="0" fontId="14" fillId="0" borderId="4" xfId="3" applyFont="1" applyBorder="1" applyAlignment="1">
      <alignment horizontal="left" vertical="center" wrapText="1"/>
    </xf>
    <xf numFmtId="0" fontId="14" fillId="0" borderId="4" xfId="0" applyFont="1" applyBorder="1" applyAlignment="1">
      <alignment horizontal="center" vertical="center" wrapText="1"/>
    </xf>
    <xf numFmtId="0" fontId="14" fillId="0" borderId="2" xfId="2" applyFont="1" applyBorder="1" applyAlignment="1">
      <alignment horizontal="center" vertical="center" wrapText="1"/>
    </xf>
    <xf numFmtId="0" fontId="14" fillId="0" borderId="13" xfId="2" applyFont="1" applyBorder="1" applyAlignment="1">
      <alignment horizontal="center" vertical="center" wrapText="1"/>
    </xf>
    <xf numFmtId="0" fontId="14" fillId="0" borderId="13" xfId="0" applyFont="1" applyBorder="1" applyAlignment="1">
      <alignment horizontal="center" vertical="center" wrapText="1"/>
    </xf>
    <xf numFmtId="0" fontId="36" fillId="0" borderId="0" xfId="3" applyFont="1" applyProtection="1">
      <protection locked="0"/>
    </xf>
    <xf numFmtId="0" fontId="36" fillId="0" borderId="0" xfId="0" applyFont="1" applyProtection="1">
      <protection locked="0"/>
    </xf>
    <xf numFmtId="0" fontId="37" fillId="0" borderId="0" xfId="3" applyFont="1" applyAlignment="1" applyProtection="1">
      <alignment horizontal="center" vertical="center" wrapText="1"/>
      <protection locked="0"/>
    </xf>
    <xf numFmtId="0" fontId="14" fillId="0" borderId="0" xfId="0" applyFont="1" applyAlignment="1" applyProtection="1">
      <alignment horizontal="center" vertical="center"/>
      <protection locked="0"/>
    </xf>
    <xf numFmtId="0" fontId="14" fillId="0" borderId="0" xfId="0" applyFont="1" applyAlignment="1" applyProtection="1">
      <alignment horizontal="center" vertical="center" wrapText="1"/>
      <protection locked="0"/>
    </xf>
    <xf numFmtId="0" fontId="14" fillId="0" borderId="17" xfId="3" applyFont="1" applyBorder="1" applyAlignment="1">
      <alignment horizontal="left" vertical="center" wrapText="1"/>
    </xf>
    <xf numFmtId="0" fontId="14" fillId="0" borderId="3" xfId="2" applyFont="1" applyBorder="1" applyAlignment="1">
      <alignment horizontal="center" vertical="center" wrapText="1"/>
    </xf>
    <xf numFmtId="0" fontId="14" fillId="0" borderId="3" xfId="3" applyFont="1" applyBorder="1" applyAlignment="1">
      <alignment horizontal="left" vertical="center" wrapText="1"/>
    </xf>
    <xf numFmtId="0" fontId="14" fillId="0" borderId="3" xfId="0" applyFont="1" applyBorder="1" applyAlignment="1">
      <alignment horizontal="center" vertical="center" wrapText="1"/>
    </xf>
    <xf numFmtId="0" fontId="14" fillId="0" borderId="0" xfId="3" applyFont="1" applyProtection="1">
      <protection locked="0"/>
    </xf>
    <xf numFmtId="0" fontId="14" fillId="0" borderId="0" xfId="0" applyFont="1" applyProtection="1">
      <protection locked="0"/>
    </xf>
    <xf numFmtId="0" fontId="16" fillId="0" borderId="0" xfId="3" applyFont="1" applyAlignment="1" applyProtection="1">
      <alignment horizontal="center" vertical="center"/>
      <protection locked="0"/>
    </xf>
    <xf numFmtId="0" fontId="14" fillId="0" borderId="17" xfId="0" applyFont="1" applyBorder="1" applyAlignment="1">
      <alignment horizontal="left" vertical="center" wrapText="1"/>
    </xf>
    <xf numFmtId="0" fontId="14" fillId="0" borderId="14" xfId="3" applyFont="1" applyBorder="1" applyAlignment="1">
      <alignment horizontal="left" vertical="center" wrapText="1"/>
    </xf>
    <xf numFmtId="0" fontId="14" fillId="0" borderId="1" xfId="2" applyFont="1" applyBorder="1" applyAlignment="1">
      <alignment horizontal="center" vertical="center" wrapText="1"/>
    </xf>
    <xf numFmtId="0" fontId="14" fillId="0" borderId="1" xfId="0" applyFont="1" applyBorder="1" applyAlignment="1">
      <alignment horizontal="center" vertical="center" wrapText="1"/>
    </xf>
    <xf numFmtId="0" fontId="14" fillId="0" borderId="3" xfId="3" applyFont="1" applyBorder="1" applyAlignment="1">
      <alignment horizontal="center" vertical="center" wrapText="1"/>
    </xf>
    <xf numFmtId="0" fontId="14" fillId="0" borderId="0" xfId="3" applyFont="1" applyAlignment="1" applyProtection="1">
      <alignment vertical="center" wrapText="1"/>
      <protection locked="0"/>
    </xf>
    <xf numFmtId="0" fontId="14" fillId="0" borderId="49" xfId="3" applyFont="1" applyBorder="1" applyAlignment="1" applyProtection="1">
      <alignment vertical="center" wrapText="1"/>
      <protection locked="0"/>
    </xf>
    <xf numFmtId="0" fontId="14" fillId="0" borderId="20" xfId="3" applyFont="1" applyBorder="1" applyAlignment="1">
      <alignment horizontal="left" vertical="center" wrapText="1"/>
    </xf>
    <xf numFmtId="0" fontId="14" fillId="0" borderId="13" xfId="3" applyFont="1" applyBorder="1" applyAlignment="1">
      <alignment horizontal="center" vertical="center" wrapText="1"/>
    </xf>
    <xf numFmtId="0" fontId="14" fillId="0" borderId="2" xfId="3" applyFont="1" applyBorder="1" applyAlignment="1">
      <alignment horizontal="left" vertical="center" wrapText="1"/>
    </xf>
    <xf numFmtId="0" fontId="14" fillId="0" borderId="36" xfId="3" applyFont="1" applyBorder="1" applyAlignment="1" applyProtection="1">
      <alignment vertical="center" wrapText="1"/>
      <protection locked="0"/>
    </xf>
    <xf numFmtId="0" fontId="14" fillId="0" borderId="1" xfId="3" applyFont="1" applyBorder="1" applyAlignment="1">
      <alignment horizontal="center" vertical="center" wrapText="1"/>
    </xf>
    <xf numFmtId="0" fontId="10" fillId="0" borderId="0" xfId="0" applyFont="1" applyProtection="1">
      <protection locked="0"/>
    </xf>
    <xf numFmtId="0" fontId="14" fillId="0" borderId="14" xfId="0" applyFont="1" applyBorder="1" applyAlignment="1">
      <alignment horizontal="left" vertical="center" wrapText="1"/>
    </xf>
    <xf numFmtId="0" fontId="13" fillId="0" borderId="48" xfId="6" applyFont="1" applyBorder="1" applyAlignment="1">
      <alignment vertical="center" wrapText="1"/>
    </xf>
    <xf numFmtId="0" fontId="13" fillId="0" borderId="48" xfId="3" applyFont="1" applyBorder="1" applyAlignment="1">
      <alignment vertical="center" wrapText="1"/>
    </xf>
    <xf numFmtId="0" fontId="14" fillId="0" borderId="1" xfId="3" applyFont="1" applyBorder="1" applyAlignment="1">
      <alignment vertical="center" wrapText="1"/>
    </xf>
    <xf numFmtId="0" fontId="14" fillId="0" borderId="1" xfId="3" applyFont="1" applyBorder="1" applyAlignment="1">
      <alignment horizontal="left" vertical="center" wrapText="1"/>
    </xf>
    <xf numFmtId="0" fontId="16" fillId="0" borderId="1" xfId="2" applyFont="1" applyBorder="1" applyAlignment="1">
      <alignment horizontal="center" vertical="center" wrapText="1"/>
    </xf>
    <xf numFmtId="0" fontId="14" fillId="0" borderId="17" xfId="2" applyFont="1" applyBorder="1" applyAlignment="1">
      <alignment horizontal="left" vertical="center" wrapText="1"/>
    </xf>
    <xf numFmtId="0" fontId="14" fillId="0" borderId="3" xfId="3" applyFont="1" applyBorder="1" applyAlignment="1">
      <alignment vertical="center" wrapText="1"/>
    </xf>
    <xf numFmtId="0" fontId="14" fillId="0" borderId="14" xfId="0" applyFont="1" applyBorder="1" applyAlignment="1" applyProtection="1">
      <alignment vertical="center"/>
      <protection locked="0"/>
    </xf>
    <xf numFmtId="0" fontId="14" fillId="0" borderId="3" xfId="0" applyFont="1" applyBorder="1" applyAlignment="1" applyProtection="1">
      <alignment horizontal="center" vertical="center"/>
      <protection locked="0"/>
    </xf>
    <xf numFmtId="0" fontId="14" fillId="0" borderId="3" xfId="3" applyFont="1" applyBorder="1" applyAlignment="1" applyProtection="1">
      <alignment horizontal="left" vertical="center" wrapText="1"/>
      <protection locked="0"/>
    </xf>
    <xf numFmtId="0" fontId="16" fillId="0" borderId="3" xfId="0" applyFont="1" applyBorder="1" applyAlignment="1" applyProtection="1">
      <alignment horizontal="center" vertical="center"/>
      <protection locked="0"/>
    </xf>
    <xf numFmtId="0" fontId="14" fillId="0" borderId="17" xfId="0" applyFont="1" applyBorder="1" applyAlignment="1" applyProtection="1">
      <alignment horizontal="left" vertical="center" wrapText="1"/>
      <protection locked="0"/>
    </xf>
    <xf numFmtId="0" fontId="14" fillId="0" borderId="14" xfId="2" applyFont="1" applyBorder="1" applyAlignment="1">
      <alignment horizontal="left" vertical="center" wrapText="1"/>
    </xf>
    <xf numFmtId="0" fontId="14" fillId="0" borderId="1" xfId="3" applyFont="1" applyBorder="1" applyAlignment="1">
      <alignment horizontal="center" vertical="center"/>
    </xf>
    <xf numFmtId="0" fontId="33" fillId="9" borderId="0" xfId="0" applyFont="1" applyFill="1" applyAlignment="1" applyProtection="1">
      <alignment horizontal="left" vertical="center" wrapText="1"/>
      <protection locked="0"/>
    </xf>
    <xf numFmtId="0" fontId="33" fillId="0" borderId="50" xfId="0" applyFont="1" applyBorder="1" applyAlignment="1">
      <alignment horizontal="left" vertical="center" wrapText="1"/>
    </xf>
    <xf numFmtId="0" fontId="14" fillId="0" borderId="1" xfId="2" applyFont="1" applyBorder="1" applyAlignment="1" applyProtection="1">
      <alignment horizontal="left" vertical="center" wrapText="1"/>
      <protection locked="0"/>
    </xf>
    <xf numFmtId="0" fontId="14" fillId="0" borderId="0" xfId="2" applyFont="1" applyAlignment="1" applyProtection="1">
      <alignment horizontal="left" vertical="center" wrapText="1"/>
      <protection locked="0"/>
    </xf>
    <xf numFmtId="0" fontId="14" fillId="0" borderId="1" xfId="3" applyFont="1" applyBorder="1" applyAlignment="1" applyProtection="1">
      <alignment vertical="center" wrapText="1"/>
      <protection locked="0"/>
    </xf>
    <xf numFmtId="0" fontId="14" fillId="0" borderId="1" xfId="14" applyFont="1" applyBorder="1" applyAlignment="1" applyProtection="1">
      <alignment horizontal="center" vertical="center" wrapText="1"/>
      <protection locked="0"/>
    </xf>
    <xf numFmtId="0" fontId="16" fillId="0" borderId="1" xfId="14" applyFont="1" applyBorder="1" applyAlignment="1" applyProtection="1">
      <alignment horizontal="center" vertical="center" wrapText="1"/>
      <protection locked="0"/>
    </xf>
    <xf numFmtId="0" fontId="14" fillId="0" borderId="1" xfId="14" applyFont="1" applyBorder="1" applyAlignment="1">
      <alignment horizontal="center" vertical="center" wrapText="1"/>
    </xf>
    <xf numFmtId="0" fontId="16" fillId="0" borderId="1" xfId="14" applyFont="1" applyBorder="1" applyAlignment="1">
      <alignment horizontal="center" vertical="center" wrapText="1"/>
    </xf>
    <xf numFmtId="0" fontId="10" fillId="0" borderId="52" xfId="2" applyFont="1" applyBorder="1" applyAlignment="1" applyProtection="1">
      <alignment horizontal="left" vertical="center" wrapText="1"/>
      <protection locked="0"/>
    </xf>
    <xf numFmtId="0" fontId="0" fillId="0" borderId="48" xfId="2" applyFont="1" applyBorder="1" applyAlignment="1">
      <alignment horizontal="left" vertical="center" wrapText="1"/>
    </xf>
    <xf numFmtId="0" fontId="19" fillId="0" borderId="49" xfId="3" applyFont="1" applyBorder="1" applyAlignment="1" applyProtection="1">
      <alignment vertical="center" wrapText="1"/>
      <protection locked="0"/>
    </xf>
    <xf numFmtId="0" fontId="14" fillId="0" borderId="60" xfId="0" applyFont="1" applyBorder="1" applyAlignment="1" applyProtection="1">
      <alignment horizontal="left" vertical="center" wrapText="1"/>
      <protection locked="0"/>
    </xf>
    <xf numFmtId="0" fontId="19" fillId="0" borderId="36" xfId="3" applyFont="1" applyBorder="1" applyAlignment="1" applyProtection="1">
      <alignment vertical="center" wrapText="1"/>
      <protection locked="0"/>
    </xf>
    <xf numFmtId="0" fontId="21" fillId="0" borderId="17" xfId="0" applyFont="1" applyBorder="1" applyAlignment="1" applyProtection="1">
      <alignment horizontal="center" vertical="center" wrapText="1"/>
      <protection locked="0"/>
    </xf>
    <xf numFmtId="0" fontId="16" fillId="0" borderId="36" xfId="3" applyFont="1" applyBorder="1" applyAlignment="1" applyProtection="1">
      <alignment horizontal="center" vertical="center" wrapText="1"/>
      <protection locked="0"/>
    </xf>
    <xf numFmtId="0" fontId="16" fillId="0" borderId="3" xfId="0" applyFont="1" applyBorder="1" applyAlignment="1">
      <alignment horizontal="center" vertical="center" wrapText="1"/>
    </xf>
    <xf numFmtId="0" fontId="14" fillId="0" borderId="1" xfId="0" applyFont="1" applyBorder="1" applyAlignment="1">
      <alignment vertical="center" wrapText="1"/>
    </xf>
    <xf numFmtId="0" fontId="14" fillId="0" borderId="3" xfId="2" applyFont="1" applyBorder="1" applyAlignment="1" applyProtection="1">
      <alignment horizontal="center" vertical="center"/>
      <protection locked="0"/>
    </xf>
    <xf numFmtId="0" fontId="14" fillId="0" borderId="1" xfId="0" applyFont="1" applyBorder="1" applyAlignment="1">
      <alignment horizontal="left" vertical="center" wrapText="1"/>
    </xf>
    <xf numFmtId="0" fontId="14" fillId="0" borderId="3" xfId="0" applyFont="1" applyBorder="1" applyAlignment="1">
      <alignment horizontal="left" vertical="center" wrapText="1"/>
    </xf>
    <xf numFmtId="0" fontId="16" fillId="0" borderId="0" xfId="0" applyFont="1" applyAlignment="1" applyProtection="1">
      <alignment horizontal="center" vertical="center"/>
      <protection locked="0"/>
    </xf>
    <xf numFmtId="0" fontId="14" fillId="0" borderId="0" xfId="3" applyFont="1" applyAlignment="1" applyProtection="1">
      <alignment horizontal="left" vertical="center"/>
      <protection locked="0"/>
    </xf>
    <xf numFmtId="0" fontId="19" fillId="0" borderId="17" xfId="3" applyFont="1" applyBorder="1" applyAlignment="1" applyProtection="1">
      <alignment horizontal="left" vertical="center"/>
      <protection locked="0"/>
    </xf>
    <xf numFmtId="0" fontId="19" fillId="0" borderId="17" xfId="3" applyFont="1" applyBorder="1" applyAlignment="1">
      <alignment horizontal="left" vertical="center" wrapText="1"/>
    </xf>
    <xf numFmtId="0" fontId="14" fillId="0" borderId="3" xfId="2" applyFont="1" applyBorder="1" applyAlignment="1">
      <alignment horizontal="center" vertical="center"/>
    </xf>
    <xf numFmtId="0" fontId="14" fillId="0" borderId="3" xfId="0" applyFont="1" applyBorder="1" applyAlignment="1">
      <alignment horizontal="center" vertical="center"/>
    </xf>
    <xf numFmtId="0" fontId="14" fillId="0" borderId="17" xfId="2" applyFont="1" applyBorder="1" applyAlignment="1" applyProtection="1">
      <alignment horizontal="left" vertical="center"/>
      <protection locked="0"/>
    </xf>
    <xf numFmtId="0" fontId="14" fillId="0" borderId="17" xfId="2" applyFont="1" applyBorder="1" applyAlignment="1">
      <alignment horizontal="left" vertical="center"/>
    </xf>
    <xf numFmtId="0" fontId="14" fillId="0" borderId="1" xfId="2" applyFont="1" applyBorder="1" applyAlignment="1">
      <alignment horizontal="center" vertical="center"/>
    </xf>
    <xf numFmtId="0" fontId="14" fillId="0" borderId="3" xfId="2" applyFont="1" applyBorder="1" applyAlignment="1">
      <alignment horizontal="left" vertical="center" wrapText="1"/>
    </xf>
    <xf numFmtId="0" fontId="16" fillId="0" borderId="3" xfId="2" applyFont="1" applyBorder="1" applyAlignment="1">
      <alignment horizontal="center" vertical="center"/>
    </xf>
    <xf numFmtId="0" fontId="14" fillId="0" borderId="14" xfId="3" applyFont="1" applyBorder="1" applyAlignment="1">
      <alignment horizontal="center" vertical="center" wrapText="1"/>
    </xf>
    <xf numFmtId="0" fontId="14" fillId="0" borderId="18" xfId="3" applyFont="1" applyBorder="1" applyAlignment="1">
      <alignment horizontal="left" vertical="center" wrapText="1"/>
    </xf>
    <xf numFmtId="0" fontId="14" fillId="0" borderId="10" xfId="2" applyFont="1" applyBorder="1" applyAlignment="1">
      <alignment horizontal="center" vertical="center" wrapText="1"/>
    </xf>
    <xf numFmtId="0" fontId="14" fillId="0" borderId="10" xfId="3" applyFont="1" applyBorder="1" applyAlignment="1">
      <alignment horizontal="center" vertical="center" wrapText="1"/>
    </xf>
    <xf numFmtId="0" fontId="14" fillId="0" borderId="10" xfId="3" applyFont="1" applyBorder="1" applyAlignment="1">
      <alignment horizontal="left" vertical="center" wrapText="1"/>
    </xf>
    <xf numFmtId="0" fontId="14" fillId="0" borderId="12" xfId="0" applyFont="1" applyBorder="1" applyAlignment="1">
      <alignment horizontal="center" vertical="center" wrapText="1"/>
    </xf>
    <xf numFmtId="0" fontId="16" fillId="0" borderId="10" xfId="14" applyFont="1" applyBorder="1" applyAlignment="1">
      <alignment horizontal="center" vertical="center" wrapText="1"/>
    </xf>
    <xf numFmtId="0" fontId="19" fillId="0" borderId="14" xfId="3" applyFont="1" applyBorder="1" applyAlignment="1">
      <alignment horizontal="left" vertical="center" wrapText="1"/>
    </xf>
    <xf numFmtId="0" fontId="10" fillId="0" borderId="48" xfId="3" applyBorder="1" applyAlignment="1">
      <alignment horizontal="left" vertical="center" wrapText="1"/>
    </xf>
    <xf numFmtId="0" fontId="14" fillId="0" borderId="14" xfId="5" applyFont="1" applyBorder="1" applyAlignment="1">
      <alignment horizontal="center" vertical="center" wrapText="1"/>
    </xf>
    <xf numFmtId="0" fontId="14" fillId="0" borderId="14" xfId="5" applyFont="1" applyBorder="1" applyAlignment="1">
      <alignment horizontal="left" vertical="center" wrapText="1"/>
    </xf>
    <xf numFmtId="0" fontId="14" fillId="0" borderId="1" xfId="5" applyFont="1" applyBorder="1" applyAlignment="1">
      <alignment horizontal="left" vertical="center" wrapText="1"/>
    </xf>
    <xf numFmtId="0" fontId="14" fillId="0" borderId="17" xfId="3" applyFont="1" applyBorder="1" applyAlignment="1">
      <alignment horizontal="center" vertical="center" wrapText="1"/>
    </xf>
    <xf numFmtId="0" fontId="16" fillId="3" borderId="15" xfId="2" applyFont="1" applyFill="1" applyBorder="1" applyAlignment="1">
      <alignment horizontal="center" vertical="center" wrapText="1"/>
    </xf>
    <xf numFmtId="0" fontId="16" fillId="0" borderId="15" xfId="2" applyFont="1" applyBorder="1" applyAlignment="1">
      <alignment horizontal="center" vertical="center" wrapText="1"/>
    </xf>
    <xf numFmtId="0" fontId="16" fillId="0" borderId="2" xfId="2" applyFont="1" applyBorder="1" applyAlignment="1">
      <alignment horizontal="center" vertical="center" wrapText="1"/>
    </xf>
    <xf numFmtId="0" fontId="16" fillId="4" borderId="2" xfId="2" applyFont="1" applyFill="1" applyBorder="1" applyAlignment="1">
      <alignment horizontal="center" vertical="center" wrapText="1"/>
    </xf>
    <xf numFmtId="0" fontId="16" fillId="3" borderId="2" xfId="2" applyFont="1" applyFill="1" applyBorder="1" applyAlignment="1">
      <alignment horizontal="center" vertical="center" wrapText="1"/>
    </xf>
    <xf numFmtId="0" fontId="16" fillId="0" borderId="6" xfId="2" applyFont="1" applyBorder="1" applyAlignment="1">
      <alignment horizontal="center" vertical="center"/>
    </xf>
    <xf numFmtId="0" fontId="14" fillId="0" borderId="0" xfId="0" applyFont="1" applyAlignment="1" applyProtection="1">
      <alignment wrapText="1"/>
      <protection locked="0"/>
    </xf>
    <xf numFmtId="0" fontId="14" fillId="0" borderId="0" xfId="0" applyFont="1" applyAlignment="1" applyProtection="1">
      <alignment horizontal="center"/>
      <protection locked="0"/>
    </xf>
    <xf numFmtId="0" fontId="16" fillId="0" borderId="0" xfId="0" applyFont="1" applyProtection="1">
      <protection locked="0"/>
    </xf>
    <xf numFmtId="0" fontId="16" fillId="0" borderId="32" xfId="0" applyFont="1" applyBorder="1" applyProtection="1">
      <protection locked="0"/>
    </xf>
    <xf numFmtId="0" fontId="16" fillId="0" borderId="31" xfId="0" applyFont="1" applyBorder="1" applyAlignment="1" applyProtection="1">
      <alignment wrapText="1"/>
      <protection locked="0"/>
    </xf>
    <xf numFmtId="0" fontId="16" fillId="0" borderId="4" xfId="14" applyFont="1" applyBorder="1" applyAlignment="1">
      <alignment horizontal="center" vertical="center" wrapText="1"/>
    </xf>
    <xf numFmtId="0" fontId="14" fillId="0" borderId="0" xfId="3" applyFont="1" applyAlignment="1" applyProtection="1">
      <alignment wrapText="1"/>
      <protection locked="0"/>
    </xf>
    <xf numFmtId="0" fontId="16" fillId="0" borderId="13" xfId="14" applyFont="1" applyBorder="1" applyAlignment="1">
      <alignment horizontal="center" vertical="center" wrapText="1"/>
    </xf>
    <xf numFmtId="0" fontId="16" fillId="0" borderId="3" xfId="14" applyFont="1" applyBorder="1" applyAlignment="1">
      <alignment horizontal="center" vertical="center" wrapText="1"/>
    </xf>
    <xf numFmtId="0" fontId="16" fillId="6" borderId="1" xfId="14" applyFont="1" applyFill="1" applyBorder="1" applyAlignment="1" applyProtection="1">
      <alignment horizontal="center" vertical="center" wrapText="1"/>
      <protection locked="0"/>
    </xf>
    <xf numFmtId="0" fontId="16" fillId="0" borderId="2" xfId="14" applyFont="1" applyBorder="1" applyAlignment="1">
      <alignment horizontal="center" vertical="center" wrapText="1"/>
    </xf>
    <xf numFmtId="0" fontId="16" fillId="6" borderId="2" xfId="14" applyFont="1" applyFill="1" applyBorder="1" applyAlignment="1" applyProtection="1">
      <alignment horizontal="center" vertical="center" wrapText="1"/>
      <protection locked="0"/>
    </xf>
    <xf numFmtId="0" fontId="14" fillId="6" borderId="2" xfId="14" applyFont="1" applyFill="1" applyBorder="1" applyAlignment="1" applyProtection="1">
      <alignment horizontal="center" vertical="center" wrapText="1"/>
      <protection locked="0"/>
    </xf>
    <xf numFmtId="0" fontId="16" fillId="6" borderId="13" xfId="14" applyFont="1" applyFill="1" applyBorder="1" applyAlignment="1" applyProtection="1">
      <alignment horizontal="center" vertical="center" wrapText="1"/>
      <protection locked="0"/>
    </xf>
    <xf numFmtId="0" fontId="16" fillId="0" borderId="1" xfId="2" applyFont="1" applyBorder="1" applyAlignment="1" applyProtection="1">
      <alignment horizontal="center" vertical="center" wrapText="1"/>
      <protection locked="0"/>
    </xf>
    <xf numFmtId="0" fontId="17" fillId="0" borderId="0" xfId="3" applyFont="1" applyProtection="1">
      <protection locked="0"/>
    </xf>
    <xf numFmtId="0" fontId="14" fillId="0" borderId="0" xfId="0" applyFont="1" applyAlignment="1" applyProtection="1">
      <alignment horizontal="left" vertical="center" wrapText="1"/>
      <protection locked="0"/>
    </xf>
    <xf numFmtId="0" fontId="14" fillId="6" borderId="1" xfId="14" applyFont="1" applyFill="1" applyBorder="1" applyAlignment="1" applyProtection="1">
      <alignment horizontal="center" vertical="center" wrapText="1"/>
      <protection locked="0"/>
    </xf>
    <xf numFmtId="0" fontId="14" fillId="0" borderId="3" xfId="14" applyFont="1" applyBorder="1" applyAlignment="1">
      <alignment horizontal="center" vertical="center" wrapText="1"/>
    </xf>
    <xf numFmtId="0" fontId="20" fillId="0" borderId="2" xfId="3" applyFont="1" applyBorder="1" applyAlignment="1" applyProtection="1">
      <alignment vertical="center" wrapText="1"/>
      <protection locked="0"/>
    </xf>
    <xf numFmtId="0" fontId="37" fillId="4" borderId="3" xfId="14" applyFont="1" applyFill="1" applyBorder="1" applyAlignment="1" applyProtection="1">
      <alignment horizontal="center" vertical="center" wrapText="1"/>
      <protection locked="0"/>
    </xf>
    <xf numFmtId="0" fontId="16" fillId="0" borderId="3" xfId="14" applyFont="1" applyBorder="1" applyAlignment="1">
      <alignment horizontal="center" vertical="center"/>
    </xf>
    <xf numFmtId="0" fontId="16" fillId="0" borderId="0" xfId="0" applyFont="1" applyAlignment="1" applyProtection="1">
      <alignment horizontal="center" vertical="center" wrapText="1"/>
      <protection locked="0"/>
    </xf>
    <xf numFmtId="0" fontId="14" fillId="0" borderId="29" xfId="3" applyFont="1" applyBorder="1" applyAlignment="1" applyProtection="1">
      <alignment horizontal="center" vertical="center" wrapText="1"/>
      <protection locked="0"/>
    </xf>
    <xf numFmtId="0" fontId="14" fillId="0" borderId="20" xfId="3" applyFont="1" applyBorder="1" applyAlignment="1">
      <alignment horizontal="center" vertical="center" wrapText="1"/>
    </xf>
    <xf numFmtId="0" fontId="36" fillId="0" borderId="36" xfId="3" applyFont="1" applyBorder="1" applyAlignment="1" applyProtection="1">
      <alignment horizontal="left" vertical="center" wrapText="1"/>
      <protection locked="0"/>
    </xf>
    <xf numFmtId="0" fontId="36" fillId="0" borderId="17" xfId="3" applyFont="1" applyBorder="1" applyAlignment="1" applyProtection="1">
      <alignment horizontal="left" vertical="center" wrapText="1"/>
      <protection locked="0"/>
    </xf>
    <xf numFmtId="0" fontId="38" fillId="0" borderId="14" xfId="3" applyFont="1" applyBorder="1" applyAlignment="1" applyProtection="1">
      <alignment horizontal="left" vertical="center" wrapText="1"/>
      <protection locked="0"/>
    </xf>
    <xf numFmtId="0" fontId="38" fillId="0" borderId="1" xfId="2" applyFont="1" applyBorder="1" applyAlignment="1" applyProtection="1">
      <alignment horizontal="center" vertical="center" wrapText="1"/>
      <protection locked="0"/>
    </xf>
    <xf numFmtId="0" fontId="38" fillId="0" borderId="3" xfId="2" applyFont="1" applyBorder="1" applyAlignment="1" applyProtection="1">
      <alignment horizontal="center" vertical="center" wrapText="1"/>
      <protection locked="0"/>
    </xf>
    <xf numFmtId="49" fontId="38" fillId="0" borderId="60" xfId="0" applyNumberFormat="1" applyFont="1" applyBorder="1" applyAlignment="1" applyProtection="1">
      <alignment horizontal="left" vertical="center" wrapText="1"/>
      <protection locked="0"/>
    </xf>
    <xf numFmtId="0" fontId="38" fillId="0" borderId="3" xfId="0" applyFont="1" applyBorder="1" applyAlignment="1" applyProtection="1">
      <alignment horizontal="center" vertical="center" wrapText="1"/>
      <protection locked="0"/>
    </xf>
    <xf numFmtId="0" fontId="37" fillId="0" borderId="3" xfId="0" applyFont="1" applyBorder="1" applyAlignment="1" applyProtection="1">
      <alignment horizontal="center" vertical="center" wrapText="1"/>
      <protection locked="0"/>
    </xf>
    <xf numFmtId="0" fontId="36" fillId="0" borderId="6" xfId="2" applyFont="1" applyBorder="1" applyAlignment="1" applyProtection="1">
      <alignment horizontal="center" vertical="center"/>
      <protection locked="0"/>
    </xf>
    <xf numFmtId="0" fontId="14" fillId="0" borderId="20" xfId="0" applyFont="1" applyBorder="1" applyAlignment="1" applyProtection="1">
      <alignment horizontal="left" vertical="center" wrapText="1"/>
      <protection locked="0"/>
    </xf>
    <xf numFmtId="0" fontId="16" fillId="0" borderId="3" xfId="14" applyFont="1" applyBorder="1" applyAlignment="1" applyProtection="1">
      <alignment horizontal="center" vertical="center" wrapText="1"/>
      <protection locked="0"/>
    </xf>
    <xf numFmtId="0" fontId="16" fillId="0" borderId="2" xfId="14" applyFont="1" applyBorder="1" applyAlignment="1" applyProtection="1">
      <alignment horizontal="center" vertical="center" wrapText="1"/>
      <protection locked="0"/>
    </xf>
    <xf numFmtId="0" fontId="14" fillId="0" borderId="60" xfId="2" applyFont="1" applyBorder="1" applyAlignment="1" applyProtection="1">
      <alignment horizontal="left" vertical="center" wrapText="1"/>
      <protection locked="0"/>
    </xf>
    <xf numFmtId="0" fontId="16" fillId="0" borderId="3" xfId="2" applyFont="1" applyBorder="1" applyAlignment="1" applyProtection="1">
      <alignment horizontal="center" vertical="center" wrapText="1"/>
      <protection locked="0"/>
    </xf>
    <xf numFmtId="0" fontId="14" fillId="0" borderId="1" xfId="0" applyFont="1" applyBorder="1" applyAlignment="1" applyProtection="1">
      <alignment vertical="center" wrapText="1"/>
      <protection locked="0"/>
    </xf>
    <xf numFmtId="0" fontId="14" fillId="0" borderId="3" xfId="14" applyFont="1" applyBorder="1" applyAlignment="1" applyProtection="1">
      <alignment horizontal="center" vertical="center" wrapText="1"/>
      <protection locked="0"/>
    </xf>
    <xf numFmtId="0" fontId="14" fillId="0" borderId="48" xfId="3" applyFont="1" applyBorder="1" applyAlignment="1" applyProtection="1">
      <alignment vertical="center" wrapText="1"/>
      <protection locked="0"/>
    </xf>
    <xf numFmtId="0" fontId="14" fillId="0" borderId="17" xfId="3" applyFont="1" applyBorder="1" applyAlignment="1" applyProtection="1">
      <alignment vertical="center" wrapText="1"/>
      <protection locked="0"/>
    </xf>
    <xf numFmtId="0" fontId="14" fillId="0" borderId="2" xfId="14" applyFont="1" applyBorder="1" applyAlignment="1" applyProtection="1">
      <alignment horizontal="center" vertical="center" wrapText="1"/>
      <protection locked="0"/>
    </xf>
    <xf numFmtId="9" fontId="26" fillId="0" borderId="0" xfId="11" applyFont="1" applyAlignment="1">
      <alignment horizontal="center" vertical="center"/>
    </xf>
    <xf numFmtId="0" fontId="30" fillId="3" borderId="4" xfId="2" applyFont="1" applyFill="1" applyBorder="1" applyAlignment="1">
      <alignment horizontal="center" vertical="center" wrapText="1"/>
    </xf>
    <xf numFmtId="0" fontId="30" fillId="3" borderId="33" xfId="2" applyFont="1" applyFill="1" applyBorder="1" applyAlignment="1">
      <alignment horizontal="center" vertical="center" wrapText="1"/>
    </xf>
    <xf numFmtId="0" fontId="26" fillId="0" borderId="0" xfId="0" applyFont="1" applyAlignment="1" applyProtection="1">
      <alignment horizontal="center" vertical="center"/>
      <protection locked="0"/>
    </xf>
    <xf numFmtId="0" fontId="14" fillId="0" borderId="62" xfId="3" applyFont="1" applyBorder="1" applyAlignment="1" applyProtection="1">
      <alignment horizontal="left" vertical="center" wrapText="1"/>
      <protection locked="0"/>
    </xf>
    <xf numFmtId="0" fontId="39" fillId="4" borderId="7" xfId="2" applyFont="1" applyFill="1" applyBorder="1" applyAlignment="1" applyProtection="1">
      <alignment horizontal="center" vertical="center" wrapText="1"/>
      <protection locked="0"/>
    </xf>
    <xf numFmtId="0" fontId="39" fillId="4" borderId="17" xfId="3" applyFont="1" applyFill="1" applyBorder="1" applyAlignment="1" applyProtection="1">
      <alignment horizontal="left" vertical="center" wrapText="1"/>
      <protection locked="0"/>
    </xf>
    <xf numFmtId="0" fontId="39" fillId="4" borderId="49" xfId="3" applyFont="1" applyFill="1" applyBorder="1" applyAlignment="1" applyProtection="1">
      <alignment horizontal="left" vertical="center" wrapText="1"/>
      <protection locked="0"/>
    </xf>
    <xf numFmtId="9" fontId="41" fillId="0" borderId="0" xfId="11" applyFont="1" applyAlignment="1">
      <alignment horizontal="center" vertical="center"/>
    </xf>
    <xf numFmtId="0" fontId="39" fillId="0" borderId="0" xfId="0" applyFont="1" applyAlignment="1" applyProtection="1">
      <alignment horizontal="center" vertical="center" wrapText="1"/>
      <protection locked="0"/>
    </xf>
    <xf numFmtId="0" fontId="39" fillId="0" borderId="0" xfId="3" applyFont="1" applyAlignment="1" applyProtection="1">
      <alignment wrapText="1"/>
      <protection locked="0"/>
    </xf>
    <xf numFmtId="0" fontId="40" fillId="0" borderId="0" xfId="3" applyFont="1" applyAlignment="1" applyProtection="1">
      <alignment horizontal="center" vertical="center" wrapText="1"/>
      <protection locked="0"/>
    </xf>
    <xf numFmtId="0" fontId="39" fillId="0" borderId="0" xfId="0" applyFont="1" applyAlignment="1" applyProtection="1">
      <alignment wrapText="1"/>
      <protection locked="0"/>
    </xf>
    <xf numFmtId="0" fontId="39" fillId="4" borderId="7" xfId="2" applyFont="1" applyFill="1" applyBorder="1" applyAlignment="1" applyProtection="1">
      <alignment horizontal="center" vertical="center"/>
      <protection locked="0"/>
    </xf>
    <xf numFmtId="0" fontId="39" fillId="0" borderId="0" xfId="0" applyFont="1" applyAlignment="1" applyProtection="1">
      <alignment horizontal="center" vertical="center"/>
      <protection locked="0"/>
    </xf>
    <xf numFmtId="0" fontId="39" fillId="0" borderId="0" xfId="3" applyFont="1" applyProtection="1">
      <protection locked="0"/>
    </xf>
    <xf numFmtId="0" fontId="39" fillId="0" borderId="0" xfId="0" applyFont="1" applyProtection="1">
      <protection locked="0"/>
    </xf>
    <xf numFmtId="0" fontId="40" fillId="4" borderId="1" xfId="0" applyFont="1" applyFill="1" applyBorder="1" applyAlignment="1">
      <alignment horizontal="center" vertical="center" wrapText="1"/>
    </xf>
    <xf numFmtId="0" fontId="39" fillId="4" borderId="1" xfId="0" applyFont="1" applyFill="1" applyBorder="1" applyAlignment="1">
      <alignment horizontal="center" vertical="center" wrapText="1"/>
    </xf>
    <xf numFmtId="49" fontId="39" fillId="4" borderId="38" xfId="0" applyNumberFormat="1" applyFont="1" applyFill="1" applyBorder="1" applyAlignment="1">
      <alignment horizontal="left" vertical="center" wrapText="1"/>
    </xf>
    <xf numFmtId="0" fontId="39" fillId="4" borderId="3" xfId="2" applyFont="1" applyFill="1" applyBorder="1" applyAlignment="1">
      <alignment horizontal="center" vertical="center" wrapText="1"/>
    </xf>
    <xf numFmtId="0" fontId="39" fillId="4" borderId="14" xfId="3" applyFont="1" applyFill="1" applyBorder="1" applyAlignment="1">
      <alignment horizontal="left" vertical="center" wrapText="1"/>
    </xf>
    <xf numFmtId="0" fontId="39" fillId="4" borderId="17" xfId="3" applyFont="1" applyFill="1" applyBorder="1" applyAlignment="1">
      <alignment horizontal="left" vertical="center" wrapText="1"/>
    </xf>
    <xf numFmtId="0" fontId="39" fillId="4" borderId="36" xfId="3" applyFont="1" applyFill="1" applyBorder="1" applyAlignment="1" applyProtection="1">
      <alignment horizontal="left" vertical="center" wrapText="1"/>
      <protection locked="0"/>
    </xf>
    <xf numFmtId="0" fontId="39" fillId="4" borderId="1" xfId="2" applyFont="1" applyFill="1" applyBorder="1" applyAlignment="1">
      <alignment horizontal="center" vertical="center" wrapText="1"/>
    </xf>
    <xf numFmtId="0" fontId="40" fillId="0" borderId="3" xfId="14" applyFont="1" applyBorder="1" applyAlignment="1">
      <alignment horizontal="center" vertical="center" wrapText="1"/>
    </xf>
    <xf numFmtId="0" fontId="39" fillId="0" borderId="3" xfId="14" applyFont="1" applyBorder="1" applyAlignment="1">
      <alignment horizontal="center" vertical="center" wrapText="1"/>
    </xf>
    <xf numFmtId="49" fontId="39" fillId="0" borderId="38" xfId="0" applyNumberFormat="1" applyFont="1" applyBorder="1" applyAlignment="1">
      <alignment vertical="center" wrapText="1"/>
    </xf>
    <xf numFmtId="0" fontId="39" fillId="0" borderId="1" xfId="2" applyFont="1" applyBorder="1" applyAlignment="1">
      <alignment horizontal="center" vertical="center" wrapText="1"/>
    </xf>
    <xf numFmtId="0" fontId="39" fillId="0" borderId="1" xfId="3" applyFont="1" applyBorder="1" applyAlignment="1">
      <alignment horizontal="center" vertical="center" wrapText="1"/>
    </xf>
    <xf numFmtId="0" fontId="39" fillId="0" borderId="17" xfId="3" applyFont="1" applyBorder="1" applyAlignment="1">
      <alignment horizontal="left" vertical="center" wrapText="1"/>
    </xf>
    <xf numFmtId="0" fontId="39" fillId="0" borderId="17" xfId="3" applyFont="1" applyBorder="1" applyAlignment="1" applyProtection="1">
      <alignment horizontal="left" vertical="center" wrapText="1"/>
      <protection locked="0"/>
    </xf>
    <xf numFmtId="0" fontId="39" fillId="0" borderId="36" xfId="3" applyFont="1" applyBorder="1" applyAlignment="1" applyProtection="1">
      <alignment horizontal="left" vertical="center" wrapText="1"/>
      <protection locked="0"/>
    </xf>
    <xf numFmtId="0" fontId="39" fillId="0" borderId="1" xfId="3" applyFont="1" applyBorder="1" applyAlignment="1">
      <alignment horizontal="left" vertical="center" wrapText="1"/>
    </xf>
    <xf numFmtId="0" fontId="39" fillId="0" borderId="14" xfId="3" applyFont="1" applyBorder="1" applyAlignment="1" applyProtection="1">
      <alignment horizontal="left" vertical="center" wrapText="1"/>
      <protection locked="0"/>
    </xf>
    <xf numFmtId="0" fontId="40" fillId="4" borderId="3" xfId="14" applyFont="1" applyFill="1" applyBorder="1" applyAlignment="1">
      <alignment horizontal="center" vertical="center" wrapText="1"/>
    </xf>
    <xf numFmtId="0" fontId="39" fillId="4" borderId="3" xfId="14" applyFont="1" applyFill="1" applyBorder="1" applyAlignment="1">
      <alignment horizontal="center" vertical="center" wrapText="1"/>
    </xf>
    <xf numFmtId="49" fontId="39" fillId="4" borderId="38" xfId="0" applyNumberFormat="1" applyFont="1" applyFill="1" applyBorder="1" applyAlignment="1">
      <alignment vertical="center" wrapText="1"/>
    </xf>
    <xf numFmtId="0" fontId="39" fillId="4" borderId="1" xfId="3" applyFont="1" applyFill="1" applyBorder="1" applyAlignment="1">
      <alignment horizontal="center" vertical="center" wrapText="1"/>
    </xf>
    <xf numFmtId="0" fontId="39" fillId="4" borderId="17" xfId="0" applyFont="1" applyFill="1" applyBorder="1" applyAlignment="1">
      <alignment horizontal="left" vertical="center" wrapText="1"/>
    </xf>
    <xf numFmtId="0" fontId="39" fillId="4" borderId="17" xfId="0" applyFont="1" applyFill="1" applyBorder="1" applyAlignment="1" applyProtection="1">
      <alignment horizontal="left" vertical="center" wrapText="1"/>
      <protection locked="0"/>
    </xf>
    <xf numFmtId="0" fontId="39" fillId="4" borderId="1" xfId="3" applyFont="1" applyFill="1" applyBorder="1" applyAlignment="1">
      <alignment horizontal="left" vertical="center" wrapText="1"/>
    </xf>
    <xf numFmtId="0" fontId="39" fillId="4" borderId="14" xfId="3" applyFont="1" applyFill="1" applyBorder="1" applyAlignment="1" applyProtection="1">
      <alignment horizontal="left" vertical="center" wrapText="1"/>
      <protection locked="0"/>
    </xf>
    <xf numFmtId="0" fontId="10" fillId="0" borderId="48" xfId="2" applyFont="1" applyBorder="1" applyAlignment="1" applyProtection="1">
      <alignment horizontal="left" vertical="center" wrapText="1"/>
      <protection locked="0"/>
    </xf>
    <xf numFmtId="0" fontId="31" fillId="0" borderId="1" xfId="0" applyFont="1" applyBorder="1" applyAlignment="1">
      <alignment horizontal="center" vertical="center"/>
    </xf>
    <xf numFmtId="0" fontId="13" fillId="0" borderId="1" xfId="0" applyFont="1" applyBorder="1" applyAlignment="1">
      <alignment horizontal="center"/>
    </xf>
    <xf numFmtId="0" fontId="13" fillId="0" borderId="25" xfId="0" applyFont="1" applyBorder="1"/>
    <xf numFmtId="0" fontId="31" fillId="0" borderId="1" xfId="0" applyFont="1" applyBorder="1" applyAlignment="1">
      <alignment horizontal="center" vertical="center" wrapText="1"/>
    </xf>
    <xf numFmtId="0" fontId="13" fillId="0" borderId="26" xfId="0" applyFont="1" applyBorder="1"/>
    <xf numFmtId="0" fontId="13" fillId="0" borderId="22" xfId="0" applyFont="1" applyBorder="1"/>
    <xf numFmtId="0" fontId="14" fillId="4" borderId="8" xfId="2" applyFont="1" applyFill="1" applyBorder="1" applyAlignment="1" applyProtection="1">
      <alignment horizontal="center" vertical="center"/>
      <protection locked="0"/>
    </xf>
    <xf numFmtId="0" fontId="26" fillId="0" borderId="0" xfId="0" applyFont="1" applyAlignment="1" applyProtection="1">
      <alignment horizontal="right" vertical="center"/>
      <protection locked="0"/>
    </xf>
    <xf numFmtId="9" fontId="26" fillId="0" borderId="0" xfId="11" applyFont="1" applyAlignment="1" applyProtection="1">
      <alignment horizontal="right" vertical="center"/>
      <protection locked="0"/>
    </xf>
    <xf numFmtId="9" fontId="30" fillId="0" borderId="32" xfId="11" applyFont="1" applyBorder="1" applyAlignment="1" applyProtection="1">
      <alignment horizontal="right" vertical="center"/>
      <protection locked="0"/>
    </xf>
    <xf numFmtId="0" fontId="30" fillId="0" borderId="32" xfId="0" applyFont="1" applyBorder="1" applyAlignment="1" applyProtection="1">
      <alignment horizontal="right" vertical="center"/>
      <protection locked="0"/>
    </xf>
    <xf numFmtId="9" fontId="30" fillId="0" borderId="65" xfId="11" applyFont="1" applyBorder="1" applyAlignment="1" applyProtection="1">
      <alignment horizontal="right" vertical="center"/>
      <protection locked="0"/>
    </xf>
    <xf numFmtId="0" fontId="30" fillId="0" borderId="65" xfId="0" applyFont="1" applyBorder="1" applyAlignment="1" applyProtection="1">
      <alignment horizontal="right" vertical="center"/>
      <protection locked="0"/>
    </xf>
    <xf numFmtId="0" fontId="16" fillId="0" borderId="65" xfId="0" applyFont="1" applyBorder="1" applyProtection="1">
      <protection locked="0"/>
    </xf>
    <xf numFmtId="0" fontId="16" fillId="0" borderId="66" xfId="0" applyFont="1" applyBorder="1" applyAlignment="1" applyProtection="1">
      <alignment wrapText="1"/>
      <protection locked="0"/>
    </xf>
    <xf numFmtId="0" fontId="14" fillId="0" borderId="5" xfId="2" applyFont="1" applyBorder="1" applyAlignment="1" applyProtection="1">
      <alignment horizontal="center" vertical="center"/>
      <protection locked="0"/>
    </xf>
    <xf numFmtId="0" fontId="14" fillId="0" borderId="6" xfId="2" applyFont="1" applyBorder="1" applyAlignment="1" applyProtection="1">
      <alignment horizontal="center" vertical="center" wrapText="1"/>
      <protection locked="0"/>
    </xf>
    <xf numFmtId="0" fontId="39" fillId="4" borderId="8" xfId="2" applyFont="1" applyFill="1" applyBorder="1" applyAlignment="1" applyProtection="1">
      <alignment horizontal="center" vertical="center"/>
      <protection locked="0"/>
    </xf>
    <xf numFmtId="9" fontId="41" fillId="0" borderId="0" xfId="11" applyFont="1" applyAlignment="1" applyProtection="1">
      <alignment horizontal="center" vertical="center"/>
      <protection locked="0"/>
    </xf>
    <xf numFmtId="0" fontId="14" fillId="0" borderId="7" xfId="2" applyFont="1" applyBorder="1" applyAlignment="1" applyProtection="1">
      <alignment horizontal="center" vertical="center" wrapText="1"/>
      <protection locked="0"/>
    </xf>
    <xf numFmtId="0" fontId="14" fillId="0" borderId="19" xfId="2" applyFont="1" applyBorder="1" applyAlignment="1" applyProtection="1">
      <alignment horizontal="center" vertical="center"/>
      <protection locked="0"/>
    </xf>
    <xf numFmtId="0" fontId="16" fillId="0" borderId="0" xfId="3" applyFont="1" applyProtection="1">
      <protection locked="0"/>
    </xf>
    <xf numFmtId="0" fontId="39" fillId="0" borderId="7" xfId="2" applyFont="1" applyBorder="1" applyAlignment="1" applyProtection="1">
      <alignment horizontal="center" vertical="center"/>
      <protection locked="0"/>
    </xf>
    <xf numFmtId="0" fontId="14" fillId="0" borderId="43" xfId="2" applyFont="1" applyBorder="1" applyAlignment="1" applyProtection="1">
      <alignment horizontal="center" vertical="center"/>
      <protection locked="0"/>
    </xf>
    <xf numFmtId="0" fontId="14" fillId="0" borderId="9" xfId="2" applyFont="1" applyBorder="1" applyAlignment="1" applyProtection="1">
      <alignment horizontal="center" vertical="center"/>
      <protection locked="0"/>
    </xf>
    <xf numFmtId="9" fontId="26" fillId="0" borderId="0" xfId="11" applyFont="1" applyAlignment="1" applyProtection="1">
      <alignment horizontal="center" vertical="center"/>
      <protection locked="0"/>
    </xf>
    <xf numFmtId="0" fontId="16" fillId="3" borderId="28" xfId="0" applyFont="1" applyFill="1" applyBorder="1" applyAlignment="1" applyProtection="1">
      <alignment horizontal="center" vertical="center" wrapText="1"/>
      <protection locked="0"/>
    </xf>
    <xf numFmtId="0" fontId="21" fillId="6" borderId="2" xfId="3" applyFont="1" applyFill="1" applyBorder="1" applyAlignment="1" applyProtection="1">
      <alignment vertical="center" wrapText="1"/>
      <protection locked="0"/>
    </xf>
    <xf numFmtId="0" fontId="21" fillId="6" borderId="15" xfId="3" applyFont="1" applyFill="1" applyBorder="1" applyAlignment="1" applyProtection="1">
      <alignment vertical="center" wrapText="1"/>
      <protection locked="0"/>
    </xf>
    <xf numFmtId="0" fontId="16" fillId="6" borderId="3" xfId="0" applyFont="1" applyFill="1" applyBorder="1" applyAlignment="1" applyProtection="1">
      <alignment horizontal="center" vertical="center" wrapText="1"/>
      <protection locked="0"/>
    </xf>
    <xf numFmtId="0" fontId="14" fillId="6" borderId="1" xfId="3" applyFont="1" applyFill="1" applyBorder="1" applyProtection="1">
      <protection locked="0"/>
    </xf>
    <xf numFmtId="0" fontId="14" fillId="6" borderId="14" xfId="3" applyFont="1" applyFill="1" applyBorder="1" applyProtection="1">
      <protection locked="0"/>
    </xf>
    <xf numFmtId="0" fontId="21" fillId="6" borderId="1" xfId="3" applyFont="1" applyFill="1" applyBorder="1" applyAlignment="1" applyProtection="1">
      <alignment vertical="center" wrapText="1"/>
      <protection locked="0"/>
    </xf>
    <xf numFmtId="0" fontId="21" fillId="6" borderId="14" xfId="3" applyFont="1" applyFill="1" applyBorder="1" applyAlignment="1" applyProtection="1">
      <alignment vertical="center" wrapText="1"/>
      <protection locked="0"/>
    </xf>
    <xf numFmtId="0" fontId="16" fillId="0" borderId="1" xfId="7" applyFont="1" applyFill="1" applyBorder="1" applyAlignment="1">
      <alignment horizontal="center" vertical="center"/>
    </xf>
    <xf numFmtId="0" fontId="14" fillId="0" borderId="6" xfId="2" applyFont="1" applyBorder="1" applyAlignment="1">
      <alignment horizontal="center" vertical="center"/>
    </xf>
    <xf numFmtId="0" fontId="29" fillId="0" borderId="1" xfId="2" applyFont="1" applyBorder="1" applyAlignment="1">
      <alignment horizontal="center" vertical="center" wrapText="1"/>
    </xf>
    <xf numFmtId="0" fontId="14" fillId="0" borderId="67" xfId="0" applyFont="1" applyBorder="1" applyAlignment="1" applyProtection="1">
      <alignment horizontal="left" vertical="center" wrapText="1"/>
      <protection locked="0"/>
    </xf>
    <xf numFmtId="0" fontId="14" fillId="6" borderId="67" xfId="3" applyFont="1" applyFill="1" applyBorder="1" applyAlignment="1" applyProtection="1">
      <alignment horizontal="left" vertical="center" wrapText="1"/>
      <protection locked="0"/>
    </xf>
    <xf numFmtId="0" fontId="17" fillId="6" borderId="19" xfId="2" applyFont="1" applyFill="1" applyBorder="1" applyAlignment="1" applyProtection="1">
      <alignment horizontal="center" vertical="center"/>
      <protection locked="0"/>
    </xf>
    <xf numFmtId="0" fontId="14" fillId="13" borderId="17" xfId="0" applyFont="1" applyFill="1" applyBorder="1" applyAlignment="1" applyProtection="1">
      <alignment horizontal="left" vertical="center" wrapText="1"/>
      <protection locked="0"/>
    </xf>
    <xf numFmtId="0" fontId="14" fillId="6" borderId="17" xfId="0" applyFont="1" applyFill="1" applyBorder="1" applyAlignment="1" applyProtection="1">
      <alignment horizontal="left" vertical="center" wrapText="1"/>
      <protection locked="0"/>
    </xf>
    <xf numFmtId="49" fontId="38" fillId="0" borderId="38" xfId="0" applyNumberFormat="1" applyFont="1" applyBorder="1" applyAlignment="1">
      <alignment vertical="center" wrapText="1"/>
    </xf>
    <xf numFmtId="9" fontId="46" fillId="0" borderId="0" xfId="11" applyFont="1" applyAlignment="1" applyProtection="1">
      <alignment horizontal="center" vertical="center"/>
      <protection locked="0"/>
    </xf>
    <xf numFmtId="0" fontId="43" fillId="0" borderId="7" xfId="2" applyFont="1" applyBorder="1" applyAlignment="1" applyProtection="1">
      <alignment horizontal="center" vertical="center"/>
      <protection locked="0"/>
    </xf>
    <xf numFmtId="0" fontId="43" fillId="0" borderId="17" xfId="2" applyFont="1" applyBorder="1" applyAlignment="1" applyProtection="1">
      <alignment horizontal="center" vertical="center"/>
      <protection locked="0"/>
    </xf>
    <xf numFmtId="0" fontId="43" fillId="0" borderId="49" xfId="3" applyFont="1" applyBorder="1" applyAlignment="1" applyProtection="1">
      <alignment horizontal="left" vertical="center" wrapText="1"/>
      <protection locked="0"/>
    </xf>
    <xf numFmtId="0" fontId="43" fillId="0" borderId="0" xfId="0" applyFont="1" applyAlignment="1" applyProtection="1">
      <alignment horizontal="center" vertical="center"/>
      <protection locked="0"/>
    </xf>
    <xf numFmtId="0" fontId="43" fillId="0" borderId="0" xfId="3" applyFont="1" applyProtection="1">
      <protection locked="0"/>
    </xf>
    <xf numFmtId="0" fontId="43" fillId="0" borderId="0" xfId="0" applyFont="1" applyProtection="1">
      <protection locked="0"/>
    </xf>
    <xf numFmtId="0" fontId="20" fillId="0" borderId="1" xfId="3" applyFont="1" applyBorder="1" applyAlignment="1" applyProtection="1">
      <alignment vertical="center" wrapText="1"/>
      <protection locked="0"/>
    </xf>
    <xf numFmtId="0" fontId="19" fillId="6" borderId="14" xfId="0" applyFont="1" applyFill="1" applyBorder="1" applyAlignment="1" applyProtection="1">
      <alignment horizontal="left" vertical="center" wrapText="1"/>
      <protection locked="0"/>
    </xf>
    <xf numFmtId="0" fontId="16" fillId="6" borderId="3" xfId="14" applyFont="1" applyFill="1" applyBorder="1" applyAlignment="1" applyProtection="1">
      <alignment horizontal="center" vertical="center" wrapText="1"/>
      <protection locked="0"/>
    </xf>
    <xf numFmtId="0" fontId="14" fillId="6" borderId="3" xfId="14" applyFont="1" applyFill="1" applyBorder="1" applyAlignment="1" applyProtection="1">
      <alignment horizontal="center" vertical="center" wrapText="1"/>
      <protection locked="0"/>
    </xf>
    <xf numFmtId="0" fontId="23" fillId="13" borderId="14" xfId="0" applyFont="1" applyFill="1" applyBorder="1" applyAlignment="1" applyProtection="1">
      <alignment horizontal="left" vertical="center" wrapText="1"/>
      <protection locked="0"/>
    </xf>
    <xf numFmtId="0" fontId="19" fillId="13" borderId="14" xfId="0" applyFont="1" applyFill="1" applyBorder="1" applyAlignment="1" applyProtection="1">
      <alignment horizontal="left" vertical="center" wrapText="1"/>
      <protection locked="0"/>
    </xf>
    <xf numFmtId="0" fontId="29" fillId="0" borderId="3" xfId="0" applyFont="1" applyBorder="1" applyAlignment="1">
      <alignment horizontal="center" vertical="center" wrapText="1"/>
    </xf>
    <xf numFmtId="0" fontId="13" fillId="0" borderId="1" xfId="3" applyFont="1" applyBorder="1" applyAlignment="1">
      <alignment vertical="top" wrapText="1"/>
    </xf>
    <xf numFmtId="0" fontId="14" fillId="13" borderId="3" xfId="0" applyFont="1" applyFill="1" applyBorder="1" applyAlignment="1" applyProtection="1">
      <alignment horizontal="center" vertical="center" wrapText="1"/>
      <protection locked="0"/>
    </xf>
    <xf numFmtId="0" fontId="14" fillId="6" borderId="48" xfId="3" applyFont="1" applyFill="1" applyBorder="1" applyAlignment="1" applyProtection="1">
      <alignment horizontal="left" vertical="center" wrapText="1"/>
      <protection locked="0"/>
    </xf>
    <xf numFmtId="0" fontId="21" fillId="9" borderId="35" xfId="3" applyFont="1" applyFill="1" applyBorder="1" applyAlignment="1" applyProtection="1">
      <alignment horizontal="left" vertical="center" wrapText="1"/>
      <protection locked="0"/>
    </xf>
    <xf numFmtId="49" fontId="38" fillId="0" borderId="38" xfId="0" applyNumberFormat="1" applyFont="1" applyBorder="1" applyAlignment="1">
      <alignment horizontal="left" vertical="center" wrapText="1"/>
    </xf>
    <xf numFmtId="0" fontId="14" fillId="6" borderId="2" xfId="0" applyFont="1" applyFill="1" applyBorder="1" applyAlignment="1" applyProtection="1">
      <alignment horizontal="center" vertical="center" wrapText="1"/>
      <protection locked="0"/>
    </xf>
    <xf numFmtId="0" fontId="13" fillId="0" borderId="48" xfId="2" applyFont="1" applyBorder="1" applyAlignment="1">
      <alignment horizontal="left" vertical="center" wrapText="1"/>
    </xf>
    <xf numFmtId="0" fontId="14" fillId="0" borderId="67" xfId="3" applyFont="1" applyBorder="1" applyAlignment="1" applyProtection="1">
      <alignment horizontal="center" vertical="center" wrapText="1"/>
      <protection locked="0"/>
    </xf>
    <xf numFmtId="9" fontId="26" fillId="0" borderId="0" xfId="11" applyFont="1" applyAlignment="1">
      <alignment horizontal="center" vertical="center" wrapText="1"/>
    </xf>
    <xf numFmtId="0" fontId="21" fillId="0" borderId="36" xfId="3" applyFont="1" applyBorder="1" applyAlignment="1" applyProtection="1">
      <alignment horizontal="left" vertical="center" wrapText="1"/>
      <protection locked="0"/>
    </xf>
    <xf numFmtId="0" fontId="22" fillId="0" borderId="17" xfId="3" applyFont="1" applyBorder="1" applyAlignment="1">
      <alignment horizontal="center" vertical="center" wrapText="1"/>
    </xf>
    <xf numFmtId="0" fontId="47" fillId="0" borderId="3" xfId="2" applyFont="1" applyBorder="1" applyAlignment="1">
      <alignment horizontal="center" vertical="center"/>
    </xf>
    <xf numFmtId="0" fontId="43" fillId="0" borderId="3" xfId="2" applyFont="1" applyBorder="1" applyAlignment="1">
      <alignment horizontal="center" vertical="center"/>
    </xf>
    <xf numFmtId="0" fontId="43" fillId="0" borderId="48" xfId="0" applyFont="1" applyBorder="1" applyAlignment="1">
      <alignment wrapText="1"/>
    </xf>
    <xf numFmtId="0" fontId="43" fillId="0" borderId="17" xfId="2" applyFont="1" applyBorder="1" applyAlignment="1">
      <alignment horizontal="left" vertical="center" wrapText="1"/>
    </xf>
    <xf numFmtId="0" fontId="45" fillId="0" borderId="17" xfId="3" applyFont="1" applyBorder="1" applyAlignment="1">
      <alignment horizontal="left" vertical="center" wrapText="1"/>
    </xf>
    <xf numFmtId="0" fontId="20" fillId="0" borderId="14" xfId="3" applyFont="1" applyBorder="1" applyAlignment="1">
      <alignment horizontal="left" vertical="center" wrapText="1"/>
    </xf>
    <xf numFmtId="0" fontId="48" fillId="0" borderId="1" xfId="2" applyFont="1" applyBorder="1" applyAlignment="1">
      <alignment horizontal="center" vertical="center" wrapText="1"/>
    </xf>
    <xf numFmtId="0" fontId="14" fillId="0" borderId="2" xfId="14" applyFont="1" applyBorder="1" applyAlignment="1">
      <alignment horizontal="center" vertical="center" wrapText="1"/>
    </xf>
    <xf numFmtId="0" fontId="14" fillId="0" borderId="2" xfId="3" applyFont="1" applyBorder="1" applyAlignment="1">
      <alignment horizontal="center" vertical="center" wrapText="1"/>
    </xf>
    <xf numFmtId="0" fontId="14" fillId="0" borderId="15" xfId="3" applyFont="1" applyBorder="1" applyAlignment="1">
      <alignment horizontal="left" vertical="center" wrapText="1"/>
    </xf>
    <xf numFmtId="0" fontId="42" fillId="13" borderId="1" xfId="0" applyFont="1" applyFill="1" applyBorder="1" applyAlignment="1" applyProtection="1">
      <alignment horizontal="center" vertical="center"/>
      <protection locked="0"/>
    </xf>
    <xf numFmtId="0" fontId="14" fillId="0" borderId="48" xfId="3" applyFont="1" applyBorder="1" applyAlignment="1">
      <alignment horizontal="left" vertical="center" wrapText="1"/>
    </xf>
    <xf numFmtId="0" fontId="16" fillId="0" borderId="3" xfId="2" applyFont="1" applyBorder="1" applyAlignment="1">
      <alignment horizontal="center" vertical="center" wrapText="1"/>
    </xf>
    <xf numFmtId="0" fontId="18" fillId="0" borderId="1" xfId="3" applyFont="1" applyBorder="1" applyAlignment="1">
      <alignment horizontal="left" vertical="center" wrapText="1"/>
    </xf>
    <xf numFmtId="0" fontId="32" fillId="0" borderId="48" xfId="0" applyFont="1" applyBorder="1" applyAlignment="1">
      <alignment horizontal="center" vertical="center"/>
    </xf>
    <xf numFmtId="0" fontId="14" fillId="0" borderId="48" xfId="0" applyFont="1" applyBorder="1" applyAlignment="1">
      <alignment vertical="center" wrapText="1"/>
    </xf>
    <xf numFmtId="0" fontId="14" fillId="0" borderId="48" xfId="0" applyFont="1" applyBorder="1" applyAlignment="1">
      <alignment horizontal="center" vertical="center" wrapText="1"/>
    </xf>
    <xf numFmtId="0" fontId="16" fillId="0" borderId="1" xfId="0" applyFont="1" applyBorder="1" applyAlignment="1">
      <alignment horizontal="center" vertical="center"/>
    </xf>
    <xf numFmtId="0" fontId="14" fillId="0" borderId="1" xfId="0" applyFont="1" applyBorder="1" applyAlignment="1">
      <alignment horizontal="center" vertical="center"/>
    </xf>
    <xf numFmtId="0" fontId="14" fillId="0" borderId="14" xfId="0" applyFont="1" applyBorder="1" applyAlignment="1">
      <alignment vertical="center"/>
    </xf>
    <xf numFmtId="0" fontId="18" fillId="0" borderId="14" xfId="3" applyFont="1" applyBorder="1" applyAlignment="1">
      <alignment horizontal="left" vertical="center" wrapText="1"/>
    </xf>
    <xf numFmtId="0" fontId="14" fillId="0" borderId="48" xfId="3" applyFont="1" applyBorder="1" applyAlignment="1">
      <alignment vertical="center" wrapText="1"/>
    </xf>
    <xf numFmtId="0" fontId="14" fillId="0" borderId="59" xfId="3" applyFont="1" applyBorder="1" applyAlignment="1">
      <alignment horizontal="left" vertical="center" wrapText="1"/>
    </xf>
    <xf numFmtId="0" fontId="14" fillId="0" borderId="15" xfId="0" applyFont="1" applyBorder="1" applyAlignment="1">
      <alignment horizontal="left" vertical="center" wrapText="1"/>
    </xf>
    <xf numFmtId="0" fontId="17" fillId="0" borderId="48" xfId="3" applyFont="1" applyBorder="1" applyAlignment="1">
      <alignment horizontal="left" vertical="center" wrapText="1"/>
    </xf>
    <xf numFmtId="0" fontId="44" fillId="0" borderId="3" xfId="0" applyFont="1" applyBorder="1" applyAlignment="1">
      <alignment horizontal="center" vertical="center" wrapText="1"/>
    </xf>
    <xf numFmtId="0" fontId="14" fillId="0" borderId="2" xfId="0" applyFont="1" applyBorder="1" applyAlignment="1">
      <alignment horizontal="center" vertical="center" wrapText="1"/>
    </xf>
    <xf numFmtId="0" fontId="16" fillId="0" borderId="48" xfId="0" applyFont="1" applyBorder="1" applyAlignment="1">
      <alignment horizontal="center" vertical="center"/>
    </xf>
    <xf numFmtId="0" fontId="14" fillId="0" borderId="48" xfId="0" applyFont="1" applyBorder="1" applyAlignment="1">
      <alignment horizontal="center" vertical="center"/>
    </xf>
    <xf numFmtId="0" fontId="43" fillId="0" borderId="2" xfId="2" applyFont="1" applyBorder="1" applyAlignment="1">
      <alignment horizontal="center" vertical="center" wrapText="1"/>
    </xf>
    <xf numFmtId="0" fontId="14" fillId="0" borderId="0" xfId="3" applyFont="1"/>
    <xf numFmtId="0" fontId="14" fillId="6" borderId="48" xfId="0" applyFont="1" applyFill="1" applyBorder="1" applyAlignment="1" applyProtection="1">
      <alignment horizontal="center" vertical="center" wrapText="1"/>
      <protection locked="0"/>
    </xf>
    <xf numFmtId="0" fontId="43" fillId="6" borderId="2" xfId="2" applyFont="1" applyFill="1" applyBorder="1" applyAlignment="1" applyProtection="1">
      <alignment horizontal="center" vertical="center" wrapText="1"/>
      <protection locked="0"/>
    </xf>
    <xf numFmtId="0" fontId="40" fillId="4" borderId="1" xfId="0" applyFont="1" applyFill="1" applyBorder="1" applyAlignment="1" applyProtection="1">
      <alignment horizontal="center" vertical="center" wrapText="1"/>
      <protection locked="0"/>
    </xf>
    <xf numFmtId="0" fontId="39" fillId="4" borderId="1" xfId="0" applyFont="1" applyFill="1" applyBorder="1" applyAlignment="1" applyProtection="1">
      <alignment horizontal="center" vertical="center" wrapText="1"/>
      <protection locked="0"/>
    </xf>
    <xf numFmtId="49" fontId="39" fillId="4" borderId="38" xfId="0" applyNumberFormat="1" applyFont="1" applyFill="1" applyBorder="1" applyAlignment="1" applyProtection="1">
      <alignment horizontal="left" vertical="center" wrapText="1"/>
      <protection locked="0"/>
    </xf>
    <xf numFmtId="0" fontId="39" fillId="4" borderId="3" xfId="2" applyFont="1" applyFill="1" applyBorder="1" applyAlignment="1" applyProtection="1">
      <alignment horizontal="center" vertical="center" wrapText="1"/>
      <protection locked="0"/>
    </xf>
    <xf numFmtId="49" fontId="38" fillId="0" borderId="38" xfId="0" applyNumberFormat="1" applyFont="1" applyBorder="1" applyAlignment="1" applyProtection="1">
      <alignment horizontal="left" vertical="center" wrapText="1"/>
      <protection locked="0"/>
    </xf>
    <xf numFmtId="0" fontId="39" fillId="4" borderId="1" xfId="2" applyFont="1" applyFill="1" applyBorder="1" applyAlignment="1" applyProtection="1">
      <alignment horizontal="center" vertical="center" wrapText="1"/>
      <protection locked="0"/>
    </xf>
    <xf numFmtId="0" fontId="16" fillId="0" borderId="0" xfId="3" applyFont="1" applyAlignment="1">
      <alignment horizontal="center" vertical="center"/>
    </xf>
    <xf numFmtId="0" fontId="40" fillId="0" borderId="0" xfId="3" applyFont="1" applyAlignment="1">
      <alignment horizontal="center" vertical="center" wrapText="1"/>
    </xf>
    <xf numFmtId="0" fontId="14" fillId="0" borderId="0" xfId="0" applyFont="1" applyAlignment="1">
      <alignment horizontal="center" vertical="center"/>
    </xf>
    <xf numFmtId="0" fontId="14" fillId="0" borderId="0" xfId="0" applyFont="1"/>
    <xf numFmtId="0" fontId="16" fillId="0" borderId="0" xfId="3" applyFont="1" applyAlignment="1">
      <alignment horizontal="center" vertical="center" wrapText="1"/>
    </xf>
    <xf numFmtId="0" fontId="47" fillId="0" borderId="0" xfId="3" applyFont="1" applyAlignment="1">
      <alignment horizontal="center" vertical="center"/>
    </xf>
    <xf numFmtId="0" fontId="16" fillId="0" borderId="0" xfId="0" applyFont="1" applyAlignment="1">
      <alignment horizontal="center" vertical="center"/>
    </xf>
    <xf numFmtId="2" fontId="14" fillId="0" borderId="0" xfId="0" applyNumberFormat="1" applyFont="1" applyProtection="1">
      <protection locked="0"/>
    </xf>
    <xf numFmtId="2" fontId="30" fillId="0" borderId="33" xfId="0" applyNumberFormat="1" applyFont="1" applyBorder="1" applyAlignment="1" applyProtection="1">
      <alignment horizontal="right" vertical="center"/>
      <protection locked="0"/>
    </xf>
    <xf numFmtId="2" fontId="30" fillId="0" borderId="64" xfId="0" applyNumberFormat="1" applyFont="1" applyBorder="1" applyAlignment="1" applyProtection="1">
      <alignment horizontal="right" vertical="center"/>
      <protection locked="0"/>
    </xf>
    <xf numFmtId="2" fontId="30" fillId="0" borderId="11" xfId="0" applyNumberFormat="1" applyFont="1" applyBorder="1" applyAlignment="1" applyProtection="1">
      <alignment horizontal="right" vertical="center"/>
      <protection locked="0"/>
    </xf>
    <xf numFmtId="0" fontId="14" fillId="0" borderId="1" xfId="2" applyFont="1" applyBorder="1" applyAlignment="1">
      <alignment horizontal="left" vertical="center" wrapText="1"/>
    </xf>
    <xf numFmtId="49" fontId="38" fillId="4" borderId="38" xfId="0" applyNumberFormat="1" applyFont="1" applyFill="1" applyBorder="1" applyAlignment="1">
      <alignment vertical="center" wrapText="1"/>
    </xf>
    <xf numFmtId="0" fontId="39" fillId="4" borderId="1" xfId="2" applyFont="1" applyFill="1" applyBorder="1" applyAlignment="1">
      <alignment horizontal="left" vertical="center" wrapText="1"/>
    </xf>
    <xf numFmtId="0" fontId="14" fillId="0" borderId="2" xfId="2" applyFont="1" applyBorder="1" applyAlignment="1">
      <alignment horizontal="left" vertical="center" wrapText="1"/>
    </xf>
    <xf numFmtId="0" fontId="14" fillId="6" borderId="1" xfId="0" applyFont="1" applyFill="1" applyBorder="1" applyAlignment="1" applyProtection="1">
      <alignment horizontal="left" wrapText="1"/>
      <protection locked="0"/>
    </xf>
    <xf numFmtId="0" fontId="14" fillId="6" borderId="13" xfId="2" applyFont="1" applyFill="1" applyBorder="1" applyAlignment="1" applyProtection="1">
      <alignment horizontal="left" vertical="center" wrapText="1"/>
      <protection locked="0"/>
    </xf>
    <xf numFmtId="0" fontId="14" fillId="0" borderId="3" xfId="3" applyFont="1" applyBorder="1" applyAlignment="1">
      <alignment horizontal="left" wrapText="1"/>
    </xf>
    <xf numFmtId="0" fontId="14" fillId="0" borderId="3" xfId="2" applyFont="1" applyBorder="1" applyAlignment="1" applyProtection="1">
      <alignment horizontal="left" vertical="center" wrapText="1"/>
      <protection locked="0"/>
    </xf>
    <xf numFmtId="0" fontId="14" fillId="6" borderId="1" xfId="2" applyFont="1" applyFill="1" applyBorder="1" applyAlignment="1" applyProtection="1">
      <alignment horizontal="left" vertical="center" wrapText="1"/>
      <protection locked="0"/>
    </xf>
    <xf numFmtId="0" fontId="14" fillId="6" borderId="3" xfId="2" applyFont="1" applyFill="1" applyBorder="1" applyAlignment="1" applyProtection="1">
      <alignment horizontal="left" vertical="center" wrapText="1"/>
      <protection locked="0"/>
    </xf>
    <xf numFmtId="0" fontId="14" fillId="0" borderId="1" xfId="3" applyFont="1" applyBorder="1" applyAlignment="1">
      <alignment vertical="top" wrapText="1"/>
    </xf>
    <xf numFmtId="0" fontId="14" fillId="0" borderId="0" xfId="0" applyFont="1" applyAlignment="1">
      <alignment horizontal="left" vertical="center" wrapText="1"/>
    </xf>
    <xf numFmtId="0" fontId="33" fillId="0" borderId="68" xfId="0" applyFont="1" applyBorder="1" applyAlignment="1">
      <alignment vertical="center" wrapText="1"/>
    </xf>
    <xf numFmtId="0" fontId="33" fillId="0" borderId="1" xfId="0" applyFont="1" applyBorder="1" applyAlignment="1" applyProtection="1">
      <alignment horizontal="left" vertical="center" wrapText="1"/>
      <protection locked="0"/>
    </xf>
    <xf numFmtId="0" fontId="14" fillId="7" borderId="1" xfId="0" applyFont="1" applyFill="1" applyBorder="1" applyAlignment="1" applyProtection="1">
      <alignment horizontal="left" vertical="center" wrapText="1"/>
      <protection locked="0"/>
    </xf>
    <xf numFmtId="0" fontId="14" fillId="6" borderId="2" xfId="2" applyFont="1" applyFill="1" applyBorder="1" applyAlignment="1" applyProtection="1">
      <alignment horizontal="left" vertical="center" wrapText="1"/>
      <protection locked="0"/>
    </xf>
    <xf numFmtId="0" fontId="14" fillId="0" borderId="44" xfId="2" applyFont="1" applyBorder="1" applyAlignment="1">
      <alignment horizontal="left" vertical="center" wrapText="1"/>
    </xf>
    <xf numFmtId="49" fontId="38" fillId="4" borderId="38" xfId="0" applyNumberFormat="1" applyFont="1" applyFill="1" applyBorder="1" applyAlignment="1">
      <alignment horizontal="left" vertical="center" wrapText="1"/>
    </xf>
    <xf numFmtId="2" fontId="8" fillId="9" borderId="14" xfId="12" applyNumberFormat="1" applyFont="1" applyFill="1" applyBorder="1" applyAlignment="1" applyProtection="1">
      <alignment horizontal="center" vertical="center"/>
      <protection locked="0"/>
    </xf>
    <xf numFmtId="9" fontId="26" fillId="0" borderId="13" xfId="11" applyFont="1" applyBorder="1" applyAlignment="1">
      <alignment horizontal="center" vertical="center" wrapText="1"/>
    </xf>
    <xf numFmtId="9" fontId="26" fillId="0" borderId="2" xfId="11" applyFont="1" applyBorder="1" applyAlignment="1">
      <alignment horizontal="center" vertical="center" wrapText="1"/>
    </xf>
    <xf numFmtId="9" fontId="26" fillId="0" borderId="10" xfId="11" applyFont="1" applyBorder="1" applyAlignment="1">
      <alignment horizontal="center" vertical="center" wrapText="1"/>
    </xf>
    <xf numFmtId="9" fontId="26" fillId="0" borderId="75" xfId="11" applyFont="1" applyBorder="1" applyAlignment="1">
      <alignment horizontal="center" vertical="center" wrapText="1"/>
    </xf>
    <xf numFmtId="0" fontId="7" fillId="9" borderId="1" xfId="16" applyFont="1" applyFill="1" applyBorder="1" applyAlignment="1" applyProtection="1">
      <alignment horizontal="center" vertical="center"/>
      <protection locked="0"/>
    </xf>
    <xf numFmtId="0" fontId="7" fillId="9" borderId="14" xfId="16" applyFont="1" applyFill="1" applyBorder="1" applyAlignment="1" applyProtection="1">
      <alignment horizontal="center" vertical="center"/>
      <protection locked="0"/>
    </xf>
    <xf numFmtId="0" fontId="7" fillId="9" borderId="1" xfId="16" applyFont="1" applyFill="1" applyBorder="1" applyAlignment="1" applyProtection="1">
      <alignment horizontal="center" vertical="center" wrapText="1"/>
      <protection locked="0"/>
    </xf>
    <xf numFmtId="0" fontId="7" fillId="9" borderId="14" xfId="16" applyFont="1" applyFill="1" applyBorder="1" applyAlignment="1" applyProtection="1">
      <alignment horizontal="center" vertical="center" wrapText="1"/>
      <protection locked="0"/>
    </xf>
    <xf numFmtId="2" fontId="7" fillId="9" borderId="69" xfId="16" applyNumberFormat="1" applyFont="1" applyFill="1" applyBorder="1" applyAlignment="1" applyProtection="1">
      <alignment horizontal="center" vertical="center" wrapText="1"/>
      <protection locked="0"/>
    </xf>
    <xf numFmtId="0" fontId="9" fillId="0" borderId="22" xfId="10" applyFont="1" applyBorder="1"/>
    <xf numFmtId="0" fontId="9" fillId="0" borderId="25" xfId="10" applyFont="1" applyBorder="1"/>
    <xf numFmtId="0" fontId="9" fillId="0" borderId="25" xfId="10" applyFont="1" applyBorder="1" applyAlignment="1">
      <alignment horizontal="left" vertical="center"/>
    </xf>
    <xf numFmtId="0" fontId="9" fillId="0" borderId="23" xfId="10" applyFont="1" applyBorder="1"/>
    <xf numFmtId="0" fontId="9" fillId="0" borderId="54" xfId="10" applyFont="1" applyBorder="1"/>
    <xf numFmtId="0" fontId="24" fillId="0" borderId="4" xfId="10" applyFont="1" applyBorder="1" applyAlignment="1">
      <alignment horizontal="center"/>
    </xf>
    <xf numFmtId="0" fontId="24" fillId="0" borderId="16" xfId="10" applyFont="1" applyBorder="1" applyAlignment="1">
      <alignment horizontal="center"/>
    </xf>
    <xf numFmtId="0" fontId="24" fillId="0" borderId="39" xfId="10" applyFont="1" applyBorder="1" applyAlignment="1">
      <alignment horizontal="center" vertical="center"/>
    </xf>
    <xf numFmtId="0" fontId="24" fillId="0" borderId="70" xfId="16" applyFont="1" applyBorder="1" applyAlignment="1">
      <alignment horizontal="center" vertical="center"/>
    </xf>
    <xf numFmtId="0" fontId="24" fillId="0" borderId="33" xfId="10" applyFont="1" applyBorder="1" applyAlignment="1">
      <alignment horizontal="center"/>
    </xf>
    <xf numFmtId="0" fontId="9" fillId="0" borderId="24" xfId="10" applyFont="1" applyBorder="1"/>
    <xf numFmtId="0" fontId="25" fillId="0" borderId="43" xfId="10" applyFont="1" applyBorder="1" applyAlignment="1">
      <alignment vertical="center"/>
    </xf>
    <xf numFmtId="0" fontId="25" fillId="0" borderId="45" xfId="10" applyFont="1" applyBorder="1" applyAlignment="1">
      <alignment horizontal="left" vertical="center" wrapText="1"/>
    </xf>
    <xf numFmtId="0" fontId="25" fillId="0" borderId="1" xfId="16" applyFont="1" applyBorder="1" applyAlignment="1">
      <alignment vertical="center" wrapText="1"/>
    </xf>
    <xf numFmtId="0" fontId="25" fillId="0" borderId="44" xfId="10" applyFont="1" applyBorder="1" applyAlignment="1">
      <alignment horizontal="center" vertical="center" wrapText="1"/>
    </xf>
    <xf numFmtId="0" fontId="25" fillId="0" borderId="58" xfId="16" applyFont="1" applyBorder="1" applyAlignment="1">
      <alignment horizontal="center" vertical="center" wrapText="1"/>
    </xf>
    <xf numFmtId="0" fontId="25" fillId="0" borderId="8" xfId="10" applyFont="1" applyBorder="1" applyAlignment="1">
      <alignment vertical="center"/>
    </xf>
    <xf numFmtId="0" fontId="25" fillId="0" borderId="41" xfId="10" applyFont="1" applyBorder="1" applyAlignment="1">
      <alignment horizontal="left" vertical="center" wrapText="1"/>
    </xf>
    <xf numFmtId="0" fontId="25" fillId="0" borderId="1" xfId="10" applyFont="1" applyBorder="1" applyAlignment="1">
      <alignment horizontal="center" vertical="center" wrapText="1"/>
    </xf>
    <xf numFmtId="0" fontId="25" fillId="0" borderId="40" xfId="16" applyFont="1" applyBorder="1" applyAlignment="1">
      <alignment horizontal="center" vertical="center" wrapText="1"/>
    </xf>
    <xf numFmtId="0" fontId="26" fillId="0" borderId="41" xfId="10" applyFont="1" applyBorder="1" applyAlignment="1">
      <alignment horizontal="left" vertical="center" wrapText="1"/>
    </xf>
    <xf numFmtId="0" fontId="26" fillId="0" borderId="1" xfId="16" applyFont="1" applyBorder="1" applyAlignment="1">
      <alignment vertical="center" wrapText="1"/>
    </xf>
    <xf numFmtId="0" fontId="26" fillId="0" borderId="1" xfId="10" applyFont="1" applyBorder="1" applyAlignment="1">
      <alignment horizontal="center" vertical="center" wrapText="1"/>
    </xf>
    <xf numFmtId="0" fontId="26" fillId="0" borderId="40" xfId="16" applyFont="1" applyBorder="1" applyAlignment="1">
      <alignment horizontal="center" vertical="center" wrapText="1"/>
    </xf>
    <xf numFmtId="0" fontId="7" fillId="0" borderId="1" xfId="16" applyFont="1" applyBorder="1" applyAlignment="1">
      <alignment horizontal="center" vertical="center"/>
    </xf>
    <xf numFmtId="0" fontId="27" fillId="0" borderId="8" xfId="10" applyFont="1" applyBorder="1" applyAlignment="1">
      <alignment vertical="center"/>
    </xf>
    <xf numFmtId="0" fontId="26" fillId="0" borderId="41" xfId="12" applyFont="1" applyBorder="1" applyAlignment="1">
      <alignment vertical="center" wrapText="1"/>
    </xf>
    <xf numFmtId="0" fontId="26" fillId="0" borderId="71" xfId="16" applyFont="1" applyBorder="1" applyAlignment="1">
      <alignment vertical="center" wrapText="1"/>
    </xf>
    <xf numFmtId="0" fontId="27" fillId="0" borderId="55" xfId="10" applyFont="1" applyBorder="1" applyAlignment="1">
      <alignment vertical="center"/>
    </xf>
    <xf numFmtId="2" fontId="7" fillId="4" borderId="10" xfId="16" applyNumberFormat="1" applyFont="1" applyFill="1" applyBorder="1" applyAlignment="1">
      <alignment horizontal="center" vertical="center"/>
    </xf>
    <xf numFmtId="0" fontId="26" fillId="0" borderId="56" xfId="12" applyFont="1" applyBorder="1" applyAlignment="1">
      <alignment vertical="center" wrapText="1"/>
    </xf>
    <xf numFmtId="0" fontId="26" fillId="0" borderId="72" xfId="16" applyFont="1" applyBorder="1" applyAlignment="1">
      <alignment vertical="center" wrapText="1"/>
    </xf>
    <xf numFmtId="2" fontId="26" fillId="0" borderId="12" xfId="10" applyNumberFormat="1" applyFont="1" applyBorder="1" applyAlignment="1">
      <alignment horizontal="center" vertical="center" wrapText="1"/>
    </xf>
    <xf numFmtId="2" fontId="26" fillId="0" borderId="51" xfId="16" applyNumberFormat="1" applyFont="1" applyBorder="1" applyAlignment="1">
      <alignment horizontal="center" vertical="center" wrapText="1"/>
    </xf>
    <xf numFmtId="0" fontId="25" fillId="0" borderId="7" xfId="10" applyFont="1" applyBorder="1" applyAlignment="1">
      <alignment vertical="center"/>
    </xf>
    <xf numFmtId="0" fontId="25" fillId="0" borderId="57" xfId="10" applyFont="1" applyBorder="1" applyAlignment="1">
      <alignment horizontal="left" vertical="center" wrapText="1"/>
    </xf>
    <xf numFmtId="0" fontId="25" fillId="0" borderId="76" xfId="16" applyFont="1" applyBorder="1" applyAlignment="1">
      <alignment vertical="center" wrapText="1"/>
    </xf>
    <xf numFmtId="0" fontId="25" fillId="0" borderId="3" xfId="10" applyFont="1" applyBorder="1" applyAlignment="1">
      <alignment horizontal="center" vertical="center" wrapText="1"/>
    </xf>
    <xf numFmtId="0" fontId="25" fillId="0" borderId="46" xfId="16" applyFont="1" applyBorder="1" applyAlignment="1">
      <alignment horizontal="center" vertical="center" wrapText="1"/>
    </xf>
    <xf numFmtId="0" fontId="25" fillId="0" borderId="8" xfId="12" applyFont="1" applyBorder="1" applyAlignment="1">
      <alignment horizontal="left" vertical="center"/>
    </xf>
    <xf numFmtId="2" fontId="8" fillId="0" borderId="1" xfId="12" applyNumberFormat="1" applyFont="1" applyBorder="1" applyAlignment="1">
      <alignment horizontal="center" vertical="center"/>
    </xf>
    <xf numFmtId="0" fontId="26" fillId="0" borderId="41" xfId="10" applyFont="1" applyBorder="1" applyAlignment="1">
      <alignment vertical="center" wrapText="1"/>
    </xf>
    <xf numFmtId="0" fontId="26" fillId="0" borderId="77" xfId="16" applyFont="1" applyBorder="1" applyAlignment="1">
      <alignment vertical="center" wrapText="1"/>
    </xf>
    <xf numFmtId="4" fontId="26" fillId="0" borderId="1" xfId="12" applyNumberFormat="1" applyFont="1" applyBorder="1" applyAlignment="1">
      <alignment horizontal="center" vertical="center" wrapText="1"/>
    </xf>
    <xf numFmtId="4" fontId="7" fillId="4" borderId="67" xfId="16" applyNumberFormat="1" applyFont="1" applyFill="1" applyBorder="1" applyAlignment="1">
      <alignment horizontal="center" vertical="center"/>
    </xf>
    <xf numFmtId="0" fontId="26" fillId="0" borderId="77" xfId="16" applyFont="1" applyBorder="1" applyAlignment="1">
      <alignment wrapText="1"/>
    </xf>
    <xf numFmtId="4" fontId="26" fillId="0" borderId="1" xfId="10" applyNumberFormat="1" applyFont="1" applyBorder="1" applyAlignment="1">
      <alignment horizontal="center" vertical="center" wrapText="1"/>
    </xf>
    <xf numFmtId="0" fontId="26" fillId="4" borderId="0" xfId="10" applyFont="1" applyFill="1" applyAlignment="1">
      <alignment wrapText="1"/>
    </xf>
    <xf numFmtId="0" fontId="9" fillId="0" borderId="26" xfId="10" applyFont="1" applyBorder="1"/>
    <xf numFmtId="0" fontId="27" fillId="0" borderId="9" xfId="10" applyFont="1" applyBorder="1" applyAlignment="1">
      <alignment vertical="center"/>
    </xf>
    <xf numFmtId="0" fontId="26" fillId="0" borderId="53" xfId="10" applyFont="1" applyBorder="1" applyAlignment="1">
      <alignment horizontal="left" vertical="center" wrapText="1"/>
    </xf>
    <xf numFmtId="0" fontId="26" fillId="0" borderId="73" xfId="16" applyFont="1" applyBorder="1" applyAlignment="1">
      <alignment vertical="center" wrapText="1"/>
    </xf>
    <xf numFmtId="0" fontId="26" fillId="0" borderId="10" xfId="10" applyFont="1" applyBorder="1" applyAlignment="1">
      <alignment horizontal="center" vertical="center" wrapText="1"/>
    </xf>
    <xf numFmtId="0" fontId="26" fillId="0" borderId="47" xfId="16" applyFont="1" applyBorder="1" applyAlignment="1">
      <alignment horizontal="center" vertical="center" wrapText="1"/>
    </xf>
    <xf numFmtId="0" fontId="9" fillId="0" borderId="28" xfId="10" applyFont="1" applyBorder="1" applyAlignment="1">
      <alignment wrapText="1"/>
    </xf>
    <xf numFmtId="0" fontId="25" fillId="0" borderId="55" xfId="10" applyFont="1" applyBorder="1" applyAlignment="1">
      <alignment vertical="center"/>
    </xf>
    <xf numFmtId="0" fontId="26" fillId="0" borderId="56" xfId="10" applyFont="1" applyBorder="1" applyAlignment="1">
      <alignment horizontal="left" vertical="center" wrapText="1"/>
    </xf>
    <xf numFmtId="0" fontId="26" fillId="4" borderId="72" xfId="16" applyFont="1" applyFill="1" applyBorder="1" applyAlignment="1">
      <alignment vertical="center" wrapText="1"/>
    </xf>
    <xf numFmtId="0" fontId="26" fillId="0" borderId="12" xfId="10" applyFont="1" applyBorder="1" applyAlignment="1">
      <alignment horizontal="center" vertical="center" wrapText="1"/>
    </xf>
    <xf numFmtId="0" fontId="26" fillId="4" borderId="51" xfId="16" applyFont="1" applyFill="1" applyBorder="1" applyAlignment="1">
      <alignment horizontal="center" vertical="center" wrapText="1"/>
    </xf>
    <xf numFmtId="0" fontId="27" fillId="0" borderId="7" xfId="10" applyFont="1" applyBorder="1" applyAlignment="1">
      <alignment horizontal="left" vertical="center" wrapText="1"/>
    </xf>
    <xf numFmtId="0" fontId="28" fillId="0" borderId="3" xfId="10" applyFont="1" applyBorder="1" applyAlignment="1">
      <alignment horizontal="left" vertical="center" wrapText="1"/>
    </xf>
    <xf numFmtId="0" fontId="49" fillId="0" borderId="78" xfId="16" applyFont="1" applyBorder="1" applyAlignment="1">
      <alignment vertical="center" wrapText="1"/>
    </xf>
    <xf numFmtId="0" fontId="27" fillId="0" borderId="8" xfId="10" applyFont="1" applyBorder="1" applyAlignment="1">
      <alignment horizontal="left" vertical="center" wrapText="1"/>
    </xf>
    <xf numFmtId="0" fontId="28" fillId="0" borderId="1" xfId="10" applyFont="1" applyBorder="1" applyAlignment="1">
      <alignment horizontal="left" vertical="center" wrapText="1"/>
    </xf>
    <xf numFmtId="0" fontId="49" fillId="0" borderId="74" xfId="16" applyFont="1" applyBorder="1" applyAlignment="1">
      <alignment vertical="center" wrapText="1"/>
    </xf>
    <xf numFmtId="0" fontId="27" fillId="0" borderId="9" xfId="10" applyFont="1" applyBorder="1" applyAlignment="1">
      <alignment horizontal="left" vertical="center" wrapText="1"/>
    </xf>
    <xf numFmtId="0" fontId="28" fillId="0" borderId="10" xfId="10" applyFont="1" applyBorder="1" applyAlignment="1">
      <alignment horizontal="left" vertical="center" wrapText="1"/>
    </xf>
    <xf numFmtId="0" fontId="49" fillId="0" borderId="73" xfId="16" applyFont="1" applyBorder="1" applyAlignment="1">
      <alignment vertical="center" wrapText="1"/>
    </xf>
    <xf numFmtId="0" fontId="9" fillId="0" borderId="26" xfId="10" applyFont="1" applyBorder="1" applyAlignment="1">
      <alignment horizontal="left" vertical="center"/>
    </xf>
    <xf numFmtId="0" fontId="9" fillId="0" borderId="22" xfId="10" applyFont="1" applyBorder="1" applyAlignment="1">
      <alignment horizontal="left" vertical="center"/>
    </xf>
    <xf numFmtId="0" fontId="0" fillId="0" borderId="25" xfId="0" applyBorder="1" applyAlignment="1">
      <alignment wrapText="1"/>
    </xf>
    <xf numFmtId="0" fontId="13" fillId="0" borderId="1" xfId="0" applyFont="1" applyBorder="1" applyAlignment="1">
      <alignment wrapText="1"/>
    </xf>
    <xf numFmtId="0" fontId="31" fillId="0" borderId="1" xfId="0" applyFont="1" applyBorder="1" applyAlignment="1">
      <alignment wrapText="1"/>
    </xf>
    <xf numFmtId="0" fontId="0" fillId="0" borderId="26" xfId="0" applyBorder="1" applyAlignment="1">
      <alignment wrapText="1"/>
    </xf>
    <xf numFmtId="0" fontId="0" fillId="0" borderId="22" xfId="0" applyBorder="1" applyAlignment="1">
      <alignment wrapText="1"/>
    </xf>
    <xf numFmtId="0" fontId="14" fillId="4" borderId="2" xfId="2" applyFont="1" applyFill="1" applyBorder="1" applyAlignment="1">
      <alignment horizontal="left" vertical="center" wrapText="1"/>
    </xf>
    <xf numFmtId="0" fontId="6" fillId="0" borderId="1" xfId="0" applyFont="1" applyBorder="1" applyAlignment="1">
      <alignment horizontal="left" vertical="center" wrapText="1"/>
    </xf>
    <xf numFmtId="0" fontId="6" fillId="0" borderId="1" xfId="2" applyFont="1" applyBorder="1" applyAlignment="1">
      <alignment horizontal="left" vertical="center" wrapText="1"/>
    </xf>
    <xf numFmtId="0" fontId="6" fillId="0" borderId="10" xfId="2" applyFont="1" applyBorder="1" applyAlignment="1">
      <alignment horizontal="left" vertical="center" wrapText="1"/>
    </xf>
    <xf numFmtId="0" fontId="6" fillId="4" borderId="1" xfId="0" applyFont="1" applyFill="1" applyBorder="1" applyAlignment="1">
      <alignment horizontal="left" vertical="center" wrapText="1"/>
    </xf>
    <xf numFmtId="0" fontId="6" fillId="0" borderId="1" xfId="0" applyFont="1" applyBorder="1" applyAlignment="1" applyProtection="1">
      <alignment horizontal="left" vertical="center" wrapText="1"/>
      <protection locked="0"/>
    </xf>
    <xf numFmtId="0" fontId="6" fillId="0" borderId="0" xfId="0" applyFont="1" applyAlignment="1" applyProtection="1">
      <alignment horizontal="left" vertical="center"/>
      <protection locked="0"/>
    </xf>
    <xf numFmtId="0" fontId="6" fillId="0" borderId="1" xfId="3" applyFont="1" applyBorder="1" applyAlignment="1" applyProtection="1">
      <alignment horizontal="left" vertical="center" wrapText="1"/>
      <protection locked="0"/>
    </xf>
    <xf numFmtId="0" fontId="6" fillId="0" borderId="48" xfId="0" applyFont="1" applyBorder="1" applyAlignment="1">
      <alignment horizontal="center" vertical="center"/>
    </xf>
    <xf numFmtId="0" fontId="6" fillId="0" borderId="48" xfId="0" applyFont="1" applyBorder="1" applyAlignment="1">
      <alignment vertical="center" wrapText="1"/>
    </xf>
    <xf numFmtId="0" fontId="6" fillId="0" borderId="3" xfId="3" applyFont="1" applyBorder="1" applyAlignment="1">
      <alignment horizontal="left" vertical="center" wrapText="1"/>
    </xf>
    <xf numFmtId="0" fontId="6" fillId="0" borderId="3" xfId="3" applyFont="1" applyBorder="1" applyAlignment="1" applyProtection="1">
      <alignment horizontal="left" vertical="center" wrapText="1"/>
      <protection locked="0"/>
    </xf>
    <xf numFmtId="0" fontId="6" fillId="0" borderId="2" xfId="3" applyFont="1" applyBorder="1" applyAlignment="1" applyProtection="1">
      <alignment horizontal="left" vertical="center" wrapText="1"/>
      <protection locked="0"/>
    </xf>
    <xf numFmtId="0" fontId="6" fillId="0" borderId="1" xfId="3" applyFont="1" applyBorder="1" applyAlignment="1">
      <alignment vertical="center" wrapText="1"/>
    </xf>
    <xf numFmtId="0" fontId="6" fillId="6" borderId="1" xfId="3" applyFont="1" applyFill="1" applyBorder="1" applyAlignment="1" applyProtection="1">
      <alignment vertical="center" wrapText="1"/>
      <protection locked="0"/>
    </xf>
    <xf numFmtId="0" fontId="6" fillId="0" borderId="63" xfId="3" applyFont="1" applyBorder="1" applyAlignment="1">
      <alignment horizontal="left" vertical="center" wrapText="1"/>
    </xf>
    <xf numFmtId="0" fontId="6" fillId="0" borderId="48" xfId="3" applyFont="1" applyBorder="1" applyAlignment="1">
      <alignment horizontal="left" vertical="center" wrapText="1"/>
    </xf>
    <xf numFmtId="0" fontId="6" fillId="0" borderId="22" xfId="10" applyFont="1" applyBorder="1"/>
    <xf numFmtId="4" fontId="6" fillId="0" borderId="1" xfId="10" applyNumberFormat="1" applyFont="1" applyBorder="1" applyAlignment="1">
      <alignment horizontal="center" vertical="center"/>
    </xf>
    <xf numFmtId="4" fontId="6" fillId="9" borderId="14" xfId="10" applyNumberFormat="1" applyFont="1" applyFill="1" applyBorder="1" applyAlignment="1" applyProtection="1">
      <alignment horizontal="center" vertical="center"/>
      <protection locked="0"/>
    </xf>
    <xf numFmtId="0" fontId="6" fillId="0" borderId="12" xfId="10" applyFont="1" applyBorder="1" applyAlignment="1">
      <alignment horizontal="center" vertical="center"/>
    </xf>
    <xf numFmtId="0" fontId="6" fillId="0" borderId="69" xfId="10" applyFont="1" applyBorder="1" applyAlignment="1">
      <alignment horizontal="center" vertical="center"/>
    </xf>
    <xf numFmtId="0" fontId="5" fillId="6" borderId="1" xfId="0" applyFont="1" applyFill="1" applyBorder="1" applyAlignment="1" applyProtection="1">
      <alignment horizontal="left" vertical="center" wrapText="1"/>
      <protection locked="0"/>
    </xf>
    <xf numFmtId="0" fontId="5" fillId="6" borderId="1" xfId="3" applyFont="1" applyFill="1" applyBorder="1" applyAlignment="1" applyProtection="1">
      <alignment vertical="center" wrapText="1"/>
      <protection locked="0"/>
    </xf>
    <xf numFmtId="0" fontId="4" fillId="6" borderId="1" xfId="3" applyFont="1" applyFill="1" applyBorder="1" applyAlignment="1" applyProtection="1">
      <alignment vertical="center" wrapText="1"/>
      <protection locked="0"/>
    </xf>
    <xf numFmtId="0" fontId="19" fillId="0" borderId="17" xfId="0" applyFont="1" applyBorder="1" applyAlignment="1">
      <alignment horizontal="left" vertical="center" wrapText="1"/>
    </xf>
    <xf numFmtId="0" fontId="19" fillId="0" borderId="49" xfId="3" applyFont="1" applyBorder="1" applyAlignment="1" applyProtection="1">
      <alignment horizontal="center" vertical="center" wrapText="1"/>
      <protection locked="0"/>
    </xf>
    <xf numFmtId="0" fontId="21" fillId="0" borderId="49" xfId="3" applyFont="1" applyBorder="1" applyAlignment="1" applyProtection="1">
      <alignment horizontal="center" vertical="center" wrapText="1"/>
      <protection locked="0"/>
    </xf>
    <xf numFmtId="0" fontId="3" fillId="9" borderId="59" xfId="10" applyFont="1" applyFill="1" applyBorder="1" applyAlignment="1" applyProtection="1">
      <alignment horizontal="center" vertical="center"/>
      <protection locked="0"/>
    </xf>
    <xf numFmtId="0" fontId="3" fillId="9" borderId="14" xfId="10" applyFont="1" applyFill="1" applyBorder="1" applyAlignment="1" applyProtection="1">
      <alignment horizontal="center" vertical="center"/>
      <protection locked="0"/>
    </xf>
    <xf numFmtId="0" fontId="3" fillId="9" borderId="1" xfId="10" applyFont="1" applyFill="1" applyBorder="1" applyAlignment="1" applyProtection="1">
      <alignment horizontal="center" vertical="center"/>
      <protection locked="0"/>
    </xf>
    <xf numFmtId="0" fontId="3" fillId="9" borderId="17" xfId="10" applyFont="1" applyFill="1" applyBorder="1" applyAlignment="1" applyProtection="1">
      <alignment horizontal="center" vertical="center"/>
      <protection locked="0"/>
    </xf>
    <xf numFmtId="0" fontId="3" fillId="9" borderId="1" xfId="16" applyFont="1" applyFill="1" applyBorder="1" applyAlignment="1" applyProtection="1">
      <alignment horizontal="center" vertical="center"/>
      <protection locked="0"/>
    </xf>
    <xf numFmtId="0" fontId="3" fillId="9" borderId="14" xfId="16" applyFont="1" applyFill="1" applyBorder="1" applyAlignment="1" applyProtection="1">
      <alignment horizontal="center" vertical="center"/>
      <protection locked="0"/>
    </xf>
    <xf numFmtId="0" fontId="3" fillId="9" borderId="10" xfId="16" applyFont="1" applyFill="1" applyBorder="1" applyAlignment="1" applyProtection="1">
      <alignment horizontal="center" vertical="center"/>
      <protection locked="0"/>
    </xf>
    <xf numFmtId="0" fontId="3" fillId="9" borderId="18" xfId="16" applyFont="1" applyFill="1" applyBorder="1" applyAlignment="1" applyProtection="1">
      <alignment horizontal="center" vertical="center"/>
      <protection locked="0"/>
    </xf>
    <xf numFmtId="0" fontId="50" fillId="0" borderId="3" xfId="3" applyFont="1" applyBorder="1" applyAlignment="1">
      <alignment horizontal="left" vertical="center" wrapText="1"/>
    </xf>
    <xf numFmtId="0" fontId="50" fillId="0" borderId="3" xfId="2" applyFont="1" applyBorder="1" applyAlignment="1">
      <alignment horizontal="left" vertical="center" wrapText="1"/>
    </xf>
    <xf numFmtId="0" fontId="19" fillId="11" borderId="17" xfId="3" applyFont="1" applyFill="1" applyBorder="1" applyAlignment="1">
      <alignment horizontal="center" vertical="center" wrapText="1"/>
    </xf>
    <xf numFmtId="0" fontId="50" fillId="0" borderId="1" xfId="0" applyFont="1" applyBorder="1" applyAlignment="1">
      <alignment horizontal="left" vertical="center" wrapText="1"/>
    </xf>
    <xf numFmtId="0" fontId="48" fillId="0" borderId="1" xfId="0" applyFont="1" applyBorder="1" applyAlignment="1">
      <alignment horizontal="left" vertical="center" wrapText="1"/>
    </xf>
    <xf numFmtId="164" fontId="26" fillId="0" borderId="0" xfId="0" applyNumberFormat="1" applyFont="1" applyAlignment="1">
      <alignment horizontal="center" vertical="center"/>
    </xf>
    <xf numFmtId="164" fontId="26" fillId="0" borderId="0" xfId="0" applyNumberFormat="1" applyFont="1" applyAlignment="1" applyProtection="1">
      <alignment horizontal="center" vertical="center"/>
      <protection locked="0"/>
    </xf>
    <xf numFmtId="164" fontId="41" fillId="0" borderId="0" xfId="0" applyNumberFormat="1" applyFont="1" applyAlignment="1">
      <alignment horizontal="center" vertical="center"/>
    </xf>
    <xf numFmtId="164" fontId="46" fillId="0" borderId="0" xfId="0" applyNumberFormat="1" applyFont="1" applyAlignment="1">
      <alignment horizontal="center" vertical="center"/>
    </xf>
    <xf numFmtId="164" fontId="26" fillId="0" borderId="0" xfId="0" applyNumberFormat="1" applyFont="1" applyAlignment="1">
      <alignment horizontal="center" vertical="center" wrapText="1"/>
    </xf>
    <xf numFmtId="164" fontId="41" fillId="0" borderId="0" xfId="0" applyNumberFormat="1" applyFont="1" applyAlignment="1" applyProtection="1">
      <alignment horizontal="center" vertical="center" wrapText="1"/>
      <protection locked="0"/>
    </xf>
    <xf numFmtId="164" fontId="41" fillId="0" borderId="0" xfId="0" applyNumberFormat="1" applyFont="1" applyAlignment="1">
      <alignment horizontal="center" vertical="center" wrapText="1"/>
    </xf>
    <xf numFmtId="164" fontId="26" fillId="0" borderId="0" xfId="0" applyNumberFormat="1" applyFont="1" applyAlignment="1" applyProtection="1">
      <alignment horizontal="center" vertical="center" wrapText="1"/>
      <protection locked="0"/>
    </xf>
    <xf numFmtId="164" fontId="26" fillId="0" borderId="0" xfId="0" applyNumberFormat="1" applyFont="1" applyAlignment="1">
      <alignment horizontal="right" vertical="center"/>
    </xf>
    <xf numFmtId="164" fontId="26" fillId="0" borderId="0" xfId="0" applyNumberFormat="1" applyFont="1" applyAlignment="1" applyProtection="1">
      <alignment horizontal="right" vertical="center"/>
      <protection locked="0"/>
    </xf>
    <xf numFmtId="165" fontId="7" fillId="0" borderId="44" xfId="16" applyNumberFormat="1" applyFont="1" applyBorder="1" applyAlignment="1">
      <alignment horizontal="center" vertical="center"/>
    </xf>
    <xf numFmtId="165" fontId="6" fillId="9" borderId="3" xfId="10" applyNumberFormat="1" applyFont="1" applyFill="1" applyBorder="1" applyAlignment="1" applyProtection="1">
      <alignment horizontal="center" vertical="center"/>
      <protection locked="0"/>
    </xf>
    <xf numFmtId="165" fontId="7" fillId="0" borderId="13" xfId="16" applyNumberFormat="1" applyFont="1" applyBorder="1" applyAlignment="1">
      <alignment horizontal="center" vertical="center"/>
    </xf>
    <xf numFmtId="165" fontId="6" fillId="9" borderId="1" xfId="10" applyNumberFormat="1" applyFont="1" applyFill="1" applyBorder="1" applyAlignment="1" applyProtection="1">
      <alignment horizontal="center" vertical="center"/>
      <protection locked="0"/>
    </xf>
    <xf numFmtId="165" fontId="7" fillId="0" borderId="10" xfId="16" applyNumberFormat="1" applyFont="1" applyBorder="1" applyAlignment="1">
      <alignment horizontal="center" vertical="center"/>
    </xf>
    <xf numFmtId="165" fontId="6" fillId="9" borderId="10" xfId="10" applyNumberFormat="1" applyFont="1" applyFill="1" applyBorder="1" applyAlignment="1" applyProtection="1">
      <alignment horizontal="center" vertical="center"/>
      <protection locked="0"/>
    </xf>
    <xf numFmtId="0" fontId="24" fillId="0" borderId="5" xfId="10" applyFont="1" applyBorder="1" applyAlignment="1">
      <alignment horizontal="center" wrapText="1"/>
    </xf>
    <xf numFmtId="0" fontId="2" fillId="4" borderId="1" xfId="16" applyFont="1" applyFill="1" applyBorder="1" applyAlignment="1">
      <alignment horizontal="center" vertical="center"/>
    </xf>
    <xf numFmtId="0" fontId="2" fillId="0" borderId="44" xfId="10" applyFont="1" applyBorder="1" applyAlignment="1">
      <alignment horizontal="center" vertical="center"/>
    </xf>
    <xf numFmtId="0" fontId="2" fillId="0" borderId="1" xfId="10" applyFont="1" applyBorder="1" applyAlignment="1">
      <alignment horizontal="center" vertical="center"/>
    </xf>
    <xf numFmtId="0" fontId="2" fillId="0" borderId="3" xfId="10" applyFont="1" applyBorder="1" applyAlignment="1">
      <alignment horizontal="center" vertical="center"/>
    </xf>
    <xf numFmtId="0" fontId="51" fillId="0" borderId="79" xfId="0" applyFont="1" applyBorder="1" applyAlignment="1">
      <alignment horizontal="center" vertical="top"/>
    </xf>
    <xf numFmtId="0" fontId="19" fillId="11" borderId="1" xfId="3" applyFont="1" applyFill="1" applyBorder="1" applyAlignment="1">
      <alignment horizontal="center" vertical="center" wrapText="1"/>
    </xf>
    <xf numFmtId="0" fontId="0" fillId="0" borderId="3" xfId="0" applyBorder="1"/>
    <xf numFmtId="0" fontId="14" fillId="5" borderId="28" xfId="2" applyFont="1" applyFill="1" applyBorder="1" applyAlignment="1">
      <alignment horizontal="center" vertical="center"/>
    </xf>
    <xf numFmtId="0" fontId="0" fillId="0" borderId="32" xfId="0" applyBorder="1"/>
    <xf numFmtId="0" fontId="0" fillId="0" borderId="33" xfId="0" applyBorder="1"/>
    <xf numFmtId="0" fontId="21" fillId="0" borderId="36" xfId="3" applyFont="1" applyBorder="1" applyAlignment="1" applyProtection="1">
      <alignment horizontal="center" vertical="center" wrapText="1"/>
      <protection locked="0"/>
    </xf>
    <xf numFmtId="0" fontId="0" fillId="0" borderId="29" xfId="0" applyBorder="1"/>
    <xf numFmtId="0" fontId="0" fillId="0" borderId="49" xfId="0" applyBorder="1"/>
    <xf numFmtId="0" fontId="14" fillId="2" borderId="27" xfId="14" applyFont="1" applyFill="1" applyBorder="1" applyAlignment="1">
      <alignment horizontal="center" vertical="center" wrapText="1"/>
    </xf>
    <xf numFmtId="0" fontId="16" fillId="0" borderId="0" xfId="0" applyFont="1" applyProtection="1">
      <protection locked="0"/>
    </xf>
    <xf numFmtId="0" fontId="14" fillId="0" borderId="0" xfId="0" applyFont="1" applyAlignment="1" applyProtection="1">
      <alignment horizontal="center"/>
      <protection locked="0"/>
    </xf>
    <xf numFmtId="0" fontId="14" fillId="0" borderId="0" xfId="0" applyFont="1" applyAlignment="1" applyProtection="1">
      <alignment wrapText="1"/>
      <protection locked="0"/>
    </xf>
    <xf numFmtId="0" fontId="14" fillId="0" borderId="0" xfId="0" applyFont="1" applyProtection="1">
      <protection locked="0"/>
    </xf>
    <xf numFmtId="0" fontId="14" fillId="3" borderId="61" xfId="14" applyFont="1" applyFill="1" applyBorder="1" applyAlignment="1">
      <alignment horizontal="center" vertical="center" wrapText="1"/>
    </xf>
    <xf numFmtId="0" fontId="0" fillId="0" borderId="62" xfId="0" applyBorder="1"/>
    <xf numFmtId="0" fontId="16" fillId="3" borderId="28" xfId="2" applyFont="1" applyFill="1" applyBorder="1" applyAlignment="1">
      <alignment horizontal="center" vertical="center" wrapText="1"/>
    </xf>
    <xf numFmtId="0" fontId="0" fillId="0" borderId="30" xfId="0" applyBorder="1"/>
    <xf numFmtId="0" fontId="19" fillId="0" borderId="36" xfId="3" applyFont="1" applyBorder="1" applyAlignment="1" applyProtection="1">
      <alignment horizontal="center" vertical="center" wrapText="1"/>
      <protection locked="0"/>
    </xf>
    <xf numFmtId="0" fontId="34" fillId="9" borderId="36" xfId="3" applyFont="1" applyFill="1" applyBorder="1" applyAlignment="1" applyProtection="1">
      <alignment horizontal="center" vertical="center" wrapText="1"/>
      <protection locked="0"/>
    </xf>
    <xf numFmtId="0" fontId="6" fillId="0" borderId="28" xfId="10" applyFont="1" applyBorder="1" applyAlignment="1">
      <alignment horizontal="center" vertical="top" textRotation="90"/>
    </xf>
    <xf numFmtId="0" fontId="6" fillId="0" borderId="28" xfId="10" applyFont="1" applyBorder="1" applyAlignment="1">
      <alignment horizontal="center" vertical="top" textRotation="90" wrapText="1"/>
    </xf>
    <xf numFmtId="0" fontId="1" fillId="6" borderId="1" xfId="3" applyFont="1" applyFill="1" applyBorder="1" applyAlignment="1" applyProtection="1">
      <alignment vertical="center" wrapText="1"/>
      <protection locked="0"/>
    </xf>
    <xf numFmtId="0" fontId="1" fillId="0" borderId="0" xfId="0" applyFont="1" applyAlignment="1">
      <alignment horizontal="left" vertical="center" wrapText="1"/>
    </xf>
  </cellXfs>
  <cellStyles count="18">
    <cellStyle name="Check Cell" xfId="7" builtinId="23"/>
    <cellStyle name="Normal" xfId="0" builtinId="0"/>
    <cellStyle name="Normal 2" xfId="1" xr:uid="{00000000-0005-0000-0000-000001000000}"/>
    <cellStyle name="Normal 2 2" xfId="4" xr:uid="{00000000-0005-0000-0000-000004000000}"/>
    <cellStyle name="Normal 2 2 2" xfId="9" xr:uid="{00000000-0005-0000-0000-000009000000}"/>
    <cellStyle name="Normal 2 2 3" xfId="14" xr:uid="{00000000-0005-0000-0000-00000E000000}"/>
    <cellStyle name="Normal 2 2 3 2" xfId="15" xr:uid="{00000000-0005-0000-0000-00000F000000}"/>
    <cellStyle name="Normal 2 2 3 3" xfId="17" xr:uid="{00000000-0005-0000-0000-000011000000}"/>
    <cellStyle name="Normal 2 3" xfId="8" xr:uid="{00000000-0005-0000-0000-000008000000}"/>
    <cellStyle name="Normal 2 4" xfId="13" xr:uid="{00000000-0005-0000-0000-00000D000000}"/>
    <cellStyle name="Normal 3" xfId="3" xr:uid="{00000000-0005-0000-0000-000003000000}"/>
    <cellStyle name="Normal 3 2" xfId="6" xr:uid="{00000000-0005-0000-0000-000006000000}"/>
    <cellStyle name="Normal 4" xfId="5" xr:uid="{00000000-0005-0000-0000-000005000000}"/>
    <cellStyle name="Normal 4 2" xfId="10" xr:uid="{00000000-0005-0000-0000-00000A000000}"/>
    <cellStyle name="Normal 4 2 2" xfId="12" xr:uid="{00000000-0005-0000-0000-00000C000000}"/>
    <cellStyle name="Normal 4 2 2 2" xfId="16" xr:uid="{00000000-0005-0000-0000-000010000000}"/>
    <cellStyle name="Normal 5" xfId="2" xr:uid="{00000000-0005-0000-0000-000002000000}"/>
    <cellStyle name="Percent" xfId="11" builtinId="5"/>
  </cellStyles>
  <dxfs count="171">
    <dxf>
      <font>
        <color rgb="FF9C0006"/>
      </font>
      <fill>
        <patternFill>
          <bgColor rgb="FFFFC7CE"/>
        </patternFill>
      </fill>
    </dxf>
    <dxf>
      <font>
        <color rgb="FF9C0006"/>
      </font>
      <fill>
        <patternFill>
          <bgColor rgb="FFFFC7CE"/>
        </patternFill>
      </fill>
    </dxf>
    <dxf>
      <fill>
        <patternFill patternType="solid">
          <fgColor indexed="64"/>
          <bgColor theme="6" tint="0.79998168889431442"/>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99BCE7"/>
        </patternFill>
      </fill>
    </dxf>
    <dxf>
      <fill>
        <patternFill patternType="solid">
          <fgColor indexed="64"/>
          <bgColor theme="6" tint="0.59999389629810485"/>
        </patternFill>
      </fill>
    </dxf>
    <dxf>
      <fill>
        <patternFill>
          <bgColor rgb="FFEEB400"/>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rgb="FFE3E0CF"/>
        </patternFill>
      </fill>
    </dxf>
    <dxf>
      <fill>
        <patternFill>
          <bgColor theme="6" tint="0.3999450666829432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2"/>
        </patternFill>
      </fill>
    </dxf>
    <dxf>
      <fill>
        <patternFill>
          <bgColor theme="7" tint="0.59996337778862885"/>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FFD44B"/>
        </patternFill>
      </fill>
    </dxf>
    <dxf>
      <font>
        <color rgb="FF9C0006"/>
      </font>
      <fill>
        <patternFill>
          <bgColor rgb="FFFFC7CE"/>
        </patternFill>
      </fill>
    </dxf>
    <dxf>
      <fill>
        <patternFill patternType="solid">
          <fgColor indexed="64"/>
          <bgColor rgb="FFBA005D"/>
        </patternFill>
      </fill>
    </dxf>
    <dxf>
      <fill>
        <patternFill>
          <bgColor theme="9" tint="0.59996337778862885"/>
        </patternFill>
      </fill>
    </dxf>
    <dxf>
      <fill>
        <patternFill>
          <bgColor theme="9" tint="0.39994506668294322"/>
        </patternFill>
      </fill>
    </dxf>
    <dxf>
      <fill>
        <patternFill patternType="solid">
          <fgColor indexed="64"/>
          <bgColor rgb="FF9E004F"/>
        </patternFill>
      </fill>
    </dxf>
    <dxf>
      <fill>
        <patternFill>
          <bgColor rgb="FFFFBB57"/>
        </patternFill>
      </fill>
    </dxf>
    <dxf>
      <fill>
        <patternFill>
          <bgColor rgb="FFFF9900"/>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2DBDA"/>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99BCE7"/>
        </patternFill>
      </fill>
    </dxf>
    <dxf>
      <fill>
        <patternFill patternType="solid">
          <fgColor indexed="64"/>
          <bgColor theme="6" tint="0.59999389629810485"/>
        </patternFill>
      </fill>
    </dxf>
    <dxf>
      <fill>
        <patternFill>
          <bgColor rgb="FFE1AAA9"/>
        </patternFill>
      </fill>
    </dxf>
    <dxf>
      <fill>
        <patternFill>
          <bgColor theme="7" tint="0.59996337778862885"/>
        </patternFill>
      </fill>
    </dxf>
    <dxf>
      <fill>
        <patternFill patternType="solid">
          <fgColor indexed="64"/>
          <bgColor rgb="FFE4E300"/>
        </patternFill>
      </fill>
    </dxf>
    <dxf>
      <fill>
        <patternFill>
          <bgColor theme="7" tint="0.39994506668294322"/>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rgb="FFE3E0CF"/>
        </patternFill>
      </fill>
    </dxf>
    <dxf>
      <fill>
        <patternFill>
          <bgColor theme="6" tint="0.3999450666829432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28916</xdr:rowOff>
    </xdr:from>
    <xdr:ext cx="935182" cy="411480"/>
    <xdr:pic>
      <xdr:nvPicPr>
        <xdr:cNvPr id="2"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rcRect t="26785" b="35417"/>
        <a:stretch>
          <a:fillRect/>
        </a:stretch>
      </xdr:blipFill>
      <xdr:spPr bwMode="auto">
        <a:xfrm>
          <a:off x="0" y="28916"/>
          <a:ext cx="935182" cy="411480"/>
        </a:xfrm>
        <a:prstGeom prst="rect">
          <a:avLst/>
        </a:prstGeom>
        <a:noFill/>
        <a:ln>
          <a:noFill/>
          <a:prstDash val="solid"/>
        </a:ln>
      </xdr:spPr>
    </xdr:pic>
    <xdr:clientData/>
  </xdr:oneCellAnchor>
</xdr:wsDr>
</file>

<file path=xl/theme/theme1.xml><?xml version="1.0" encoding="utf-8"?>
<a:theme xmlns:a="http://schemas.openxmlformats.org/drawingml/2006/main" name="Thème Office 2013 – 2022">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499984740745262"/>
  </sheetPr>
  <dimension ref="A1:XEP245"/>
  <sheetViews>
    <sheetView zoomScaleNormal="100" workbookViewId="0">
      <pane xSplit="4" ySplit="3" topLeftCell="E106" activePane="bottomRight" state="frozen"/>
      <selection pane="topRight" activeCell="E1" sqref="E1"/>
      <selection pane="bottomLeft" activeCell="A4" sqref="A4"/>
      <selection pane="bottomRight" activeCell="F111" sqref="F111"/>
    </sheetView>
  </sheetViews>
  <sheetFormatPr baseColWidth="10" defaultColWidth="8.83203125" defaultRowHeight="16" outlineLevelCol="1" x14ac:dyDescent="0.2"/>
  <cols>
    <col min="1" max="1" width="7.5" style="148" hidden="1" customWidth="1"/>
    <col min="2" max="2" width="26" style="231" customWidth="1"/>
    <col min="3" max="3" width="36.6640625" style="230" hidden="1" customWidth="1"/>
    <col min="4" max="4" width="72.6640625" style="229" customWidth="1"/>
    <col min="5" max="5" width="9.6640625" style="148" hidden="1" customWidth="1"/>
    <col min="6" max="6" width="72.6640625" style="229" customWidth="1"/>
    <col min="7" max="7" width="9.6640625" style="148" hidden="1" customWidth="1"/>
    <col min="8" max="8" width="15.83203125" style="148" customWidth="1"/>
    <col min="9" max="9" width="12.33203125" style="148" hidden="1" customWidth="1"/>
    <col min="10" max="10" width="41" style="148" hidden="1" customWidth="1"/>
    <col min="11" max="11" width="33" style="148" hidden="1" customWidth="1"/>
    <col min="12" max="12" width="41.83203125" style="148" hidden="1" customWidth="1"/>
    <col min="13" max="13" width="33.1640625" style="148" hidden="1" customWidth="1"/>
    <col min="14" max="14" width="47.33203125" style="148" customWidth="1"/>
    <col min="15" max="15" width="22.33203125" style="148" customWidth="1"/>
    <col min="16" max="16" width="40.83203125" style="148" customWidth="1"/>
    <col min="17" max="17" width="15" style="325" hidden="1" customWidth="1"/>
    <col min="18" max="18" width="8.83203125" style="162" hidden="1" customWidth="1"/>
    <col min="19" max="19" width="8.83203125" style="148" hidden="1" customWidth="1"/>
    <col min="20" max="20" width="20.6640625" style="199" hidden="1" customWidth="1"/>
    <col min="21" max="21" width="8.83203125" style="148" hidden="1" customWidth="1" outlineLevel="1"/>
    <col min="22" max="22" width="8.83203125" style="148" hidden="1" customWidth="1" collapsed="1"/>
    <col min="23" max="23" width="8.83203125" style="148" hidden="1" customWidth="1"/>
    <col min="24" max="24" width="15.33203125" style="324" hidden="1" customWidth="1"/>
    <col min="25" max="25" width="11.5" style="324" customWidth="1"/>
    <col min="26" max="26" width="10.6640625" style="148" hidden="1" customWidth="1" outlineLevel="1"/>
    <col min="27" max="27" width="8.83203125" style="148" customWidth="1" collapsed="1"/>
    <col min="28" max="30" width="8.83203125" style="148" customWidth="1"/>
    <col min="31" max="16384" width="8.83203125" style="148"/>
  </cols>
  <sheetData>
    <row r="1" spans="1:26" ht="18.75" customHeight="1" thickBot="1" x14ac:dyDescent="0.25">
      <c r="A1" s="610" t="s">
        <v>0</v>
      </c>
      <c r="B1" s="611"/>
      <c r="C1" s="612"/>
      <c r="D1" s="613"/>
      <c r="E1" s="614"/>
      <c r="F1" s="613"/>
      <c r="G1" s="614"/>
      <c r="H1" s="614"/>
      <c r="I1" s="614"/>
      <c r="J1" s="614"/>
      <c r="K1" s="614"/>
      <c r="L1" s="614"/>
      <c r="M1" s="614"/>
      <c r="N1" s="614"/>
      <c r="O1" s="614"/>
      <c r="P1" s="614"/>
      <c r="Q1" s="342"/>
      <c r="R1" s="141"/>
      <c r="T1" s="141"/>
      <c r="X1" s="276"/>
      <c r="Y1" s="276"/>
    </row>
    <row r="2" spans="1:26" ht="15" customHeight="1" thickBot="1" x14ac:dyDescent="0.25">
      <c r="A2" s="615" t="s">
        <v>1</v>
      </c>
      <c r="B2" s="616"/>
      <c r="C2" s="616"/>
      <c r="D2" s="616"/>
      <c r="E2" s="616"/>
      <c r="F2" s="616"/>
      <c r="G2" s="616"/>
      <c r="H2" s="616"/>
      <c r="I2" s="616"/>
      <c r="J2" s="616"/>
      <c r="K2" s="616"/>
      <c r="L2" s="616"/>
      <c r="M2" s="616"/>
      <c r="N2" s="616"/>
      <c r="O2" s="616"/>
      <c r="P2" s="617" t="s">
        <v>2</v>
      </c>
      <c r="Q2" s="342"/>
      <c r="R2" s="141"/>
      <c r="X2" s="276"/>
      <c r="Y2" s="276"/>
    </row>
    <row r="3" spans="1:26" s="231" customFormat="1" ht="61.5" customHeight="1" thickBot="1" x14ac:dyDescent="0.25">
      <c r="A3" s="228" t="s">
        <v>3</v>
      </c>
      <c r="B3" s="227" t="s">
        <v>4</v>
      </c>
      <c r="C3" s="225" t="s">
        <v>5</v>
      </c>
      <c r="D3" s="227" t="s">
        <v>6</v>
      </c>
      <c r="E3" s="226" t="s">
        <v>7</v>
      </c>
      <c r="F3" s="227" t="s">
        <v>8</v>
      </c>
      <c r="G3" s="226" t="s">
        <v>7</v>
      </c>
      <c r="H3" s="227" t="s">
        <v>9</v>
      </c>
      <c r="I3" s="226" t="s">
        <v>10</v>
      </c>
      <c r="J3" s="225" t="s">
        <v>11</v>
      </c>
      <c r="K3" s="225" t="s">
        <v>12</v>
      </c>
      <c r="L3" s="224" t="s">
        <v>13</v>
      </c>
      <c r="M3" s="224" t="s">
        <v>14</v>
      </c>
      <c r="N3" s="223" t="s">
        <v>15</v>
      </c>
      <c r="O3" s="223" t="s">
        <v>16</v>
      </c>
      <c r="P3" s="618"/>
      <c r="Q3" s="274" t="s">
        <v>17</v>
      </c>
      <c r="R3" s="251"/>
      <c r="T3" s="343" t="s">
        <v>18</v>
      </c>
      <c r="X3" s="274" t="s">
        <v>19</v>
      </c>
      <c r="Y3" s="275" t="s">
        <v>20</v>
      </c>
      <c r="Z3" s="275" t="s">
        <v>21</v>
      </c>
    </row>
    <row r="4" spans="1:26" ht="18" customHeight="1" thickBot="1" x14ac:dyDescent="0.25">
      <c r="A4" s="604" t="s">
        <v>22</v>
      </c>
      <c r="B4" s="605"/>
      <c r="C4" s="605"/>
      <c r="D4" s="605"/>
      <c r="E4" s="605"/>
      <c r="F4" s="605"/>
      <c r="G4" s="605"/>
      <c r="H4" s="605"/>
      <c r="I4" s="605"/>
      <c r="J4" s="605"/>
      <c r="K4" s="605"/>
      <c r="L4" s="605"/>
      <c r="M4" s="605"/>
      <c r="N4" s="605"/>
      <c r="O4" s="605"/>
      <c r="P4" s="606"/>
      <c r="Q4" s="342"/>
      <c r="R4" s="141"/>
      <c r="T4" s="199" t="s">
        <v>23</v>
      </c>
      <c r="X4" s="276"/>
      <c r="Y4" s="580" t="str">
        <f>IF(X4="","",X4*V4)</f>
        <v/>
      </c>
      <c r="Z4" s="141" t="str">
        <f t="shared" ref="Z4:Z36" si="0">IF(T4="yes",Y4,"")</f>
        <v/>
      </c>
    </row>
    <row r="5" spans="1:26" ht="26.25" customHeight="1" x14ac:dyDescent="0.2">
      <c r="A5" s="100" t="s">
        <v>24</v>
      </c>
      <c r="B5" s="237" t="s">
        <v>25</v>
      </c>
      <c r="C5" s="247"/>
      <c r="D5" s="145" t="s">
        <v>25</v>
      </c>
      <c r="E5" s="144">
        <f t="shared" ref="E5:E19" si="1">LEN(D5)</f>
        <v>5</v>
      </c>
      <c r="F5" s="145" t="s">
        <v>25</v>
      </c>
      <c r="G5" s="144">
        <f t="shared" ref="G5:G19" si="2">LEN(F5)</f>
        <v>5</v>
      </c>
      <c r="H5" s="144" t="s">
        <v>26</v>
      </c>
      <c r="I5" s="144" t="s">
        <v>24</v>
      </c>
      <c r="J5" s="144" t="s">
        <v>24</v>
      </c>
      <c r="K5" s="144" t="s">
        <v>27</v>
      </c>
      <c r="L5" s="143" t="s">
        <v>28</v>
      </c>
      <c r="M5" s="222" t="s">
        <v>24</v>
      </c>
      <c r="N5" s="222" t="s">
        <v>24</v>
      </c>
      <c r="O5" s="82"/>
      <c r="P5" s="9"/>
      <c r="Q5" s="342"/>
      <c r="R5" s="141"/>
      <c r="T5" s="199" t="s">
        <v>23</v>
      </c>
      <c r="X5" s="581">
        <v>0</v>
      </c>
      <c r="Y5" s="580">
        <f t="shared" ref="Y5:Y36" si="3">IF(X5="","",X5*Q5)</f>
        <v>0</v>
      </c>
      <c r="Z5" s="141" t="str">
        <f t="shared" si="0"/>
        <v/>
      </c>
    </row>
    <row r="6" spans="1:26" ht="17" customHeight="1" x14ac:dyDescent="0.2">
      <c r="A6" s="100" t="s">
        <v>24</v>
      </c>
      <c r="B6" s="194" t="s">
        <v>29</v>
      </c>
      <c r="C6" s="146" t="s">
        <v>29</v>
      </c>
      <c r="D6" s="167" t="s">
        <v>30</v>
      </c>
      <c r="E6" s="144">
        <f t="shared" si="1"/>
        <v>48</v>
      </c>
      <c r="F6" s="167" t="s">
        <v>31</v>
      </c>
      <c r="G6" s="144">
        <f t="shared" si="2"/>
        <v>61</v>
      </c>
      <c r="H6" s="144" t="s">
        <v>26</v>
      </c>
      <c r="I6" s="144" t="s">
        <v>24</v>
      </c>
      <c r="J6" s="144" t="s">
        <v>24</v>
      </c>
      <c r="K6" s="144" t="s">
        <v>27</v>
      </c>
      <c r="L6" s="143" t="s">
        <v>32</v>
      </c>
      <c r="M6" s="222" t="s">
        <v>24</v>
      </c>
      <c r="N6" s="222" t="s">
        <v>24</v>
      </c>
      <c r="O6" s="82"/>
      <c r="P6" s="51"/>
      <c r="Q6" s="342"/>
      <c r="R6" s="141"/>
      <c r="T6" s="199" t="s">
        <v>33</v>
      </c>
      <c r="X6" s="581">
        <v>0</v>
      </c>
      <c r="Y6" s="580">
        <f t="shared" si="3"/>
        <v>0</v>
      </c>
      <c r="Z6" s="141">
        <f t="shared" si="0"/>
        <v>0</v>
      </c>
    </row>
    <row r="7" spans="1:26" ht="136" customHeight="1" x14ac:dyDescent="0.2">
      <c r="A7" s="45" t="s">
        <v>24</v>
      </c>
      <c r="B7" s="186" t="s">
        <v>34</v>
      </c>
      <c r="C7" s="146" t="s">
        <v>34</v>
      </c>
      <c r="D7" s="167" t="s">
        <v>35</v>
      </c>
      <c r="E7" s="152">
        <f t="shared" si="1"/>
        <v>146</v>
      </c>
      <c r="F7" s="435" t="s">
        <v>36</v>
      </c>
      <c r="G7" s="144">
        <f t="shared" si="2"/>
        <v>152</v>
      </c>
      <c r="H7" s="161" t="s">
        <v>37</v>
      </c>
      <c r="I7" s="152" t="s">
        <v>24</v>
      </c>
      <c r="J7" s="152" t="s">
        <v>24</v>
      </c>
      <c r="K7" s="152" t="s">
        <v>38</v>
      </c>
      <c r="L7" s="151" t="s">
        <v>39</v>
      </c>
      <c r="M7" s="222" t="s">
        <v>24</v>
      </c>
      <c r="N7" s="210" t="s">
        <v>24</v>
      </c>
      <c r="O7" s="83"/>
      <c r="P7" s="10"/>
      <c r="Q7" s="342"/>
      <c r="R7" s="141"/>
      <c r="T7" s="199" t="s">
        <v>23</v>
      </c>
      <c r="X7" s="581">
        <v>14.69530773162842</v>
      </c>
      <c r="Y7" s="580">
        <f t="shared" si="3"/>
        <v>0</v>
      </c>
      <c r="Z7" s="141" t="str">
        <f t="shared" si="0"/>
        <v/>
      </c>
    </row>
    <row r="8" spans="1:26" ht="37.5" customHeight="1" x14ac:dyDescent="0.2">
      <c r="A8" s="45" t="s">
        <v>24</v>
      </c>
      <c r="B8" s="186" t="s">
        <v>40</v>
      </c>
      <c r="C8" s="146" t="s">
        <v>41</v>
      </c>
      <c r="D8" s="221" t="s">
        <v>42</v>
      </c>
      <c r="E8" s="152">
        <f t="shared" si="1"/>
        <v>29</v>
      </c>
      <c r="F8" s="221" t="s">
        <v>43</v>
      </c>
      <c r="G8" s="144">
        <f t="shared" si="2"/>
        <v>49</v>
      </c>
      <c r="H8" s="161" t="s">
        <v>24</v>
      </c>
      <c r="I8" s="161" t="s">
        <v>24</v>
      </c>
      <c r="J8" s="161" t="s">
        <v>24</v>
      </c>
      <c r="K8" s="161" t="s">
        <v>24</v>
      </c>
      <c r="L8" s="220" t="s">
        <v>44</v>
      </c>
      <c r="M8" s="222" t="s">
        <v>24</v>
      </c>
      <c r="N8" s="219" t="s">
        <v>24</v>
      </c>
      <c r="O8" s="84"/>
      <c r="P8" s="11"/>
      <c r="Q8" s="342"/>
      <c r="R8" s="141"/>
      <c r="T8" s="199" t="s">
        <v>23</v>
      </c>
      <c r="X8" s="581">
        <v>0</v>
      </c>
      <c r="Y8" s="580">
        <f t="shared" si="3"/>
        <v>0</v>
      </c>
      <c r="Z8" s="141" t="str">
        <f t="shared" si="0"/>
        <v/>
      </c>
    </row>
    <row r="9" spans="1:26" ht="37.5" customHeight="1" x14ac:dyDescent="0.2">
      <c r="A9" s="45" t="s">
        <v>24</v>
      </c>
      <c r="B9" s="186" t="s">
        <v>45</v>
      </c>
      <c r="C9" s="146" t="s">
        <v>46</v>
      </c>
      <c r="D9" s="221" t="s">
        <v>47</v>
      </c>
      <c r="E9" s="152">
        <f t="shared" si="1"/>
        <v>31</v>
      </c>
      <c r="F9" s="435" t="s">
        <v>48</v>
      </c>
      <c r="G9" s="144">
        <f t="shared" si="2"/>
        <v>45</v>
      </c>
      <c r="H9" s="161" t="s">
        <v>24</v>
      </c>
      <c r="I9" s="161" t="s">
        <v>24</v>
      </c>
      <c r="J9" s="161" t="s">
        <v>24</v>
      </c>
      <c r="K9" s="161" t="s">
        <v>24</v>
      </c>
      <c r="L9" s="220" t="s">
        <v>49</v>
      </c>
      <c r="M9" s="222" t="s">
        <v>24</v>
      </c>
      <c r="N9" s="219" t="s">
        <v>24</v>
      </c>
      <c r="O9" s="84"/>
      <c r="P9" s="11"/>
      <c r="Q9" s="342"/>
      <c r="R9" s="141"/>
      <c r="T9" s="199" t="s">
        <v>23</v>
      </c>
      <c r="X9" s="581">
        <v>0</v>
      </c>
      <c r="Y9" s="580">
        <f t="shared" si="3"/>
        <v>0</v>
      </c>
      <c r="Z9" s="141" t="str">
        <f t="shared" si="0"/>
        <v/>
      </c>
    </row>
    <row r="10" spans="1:26" ht="37.5" customHeight="1" x14ac:dyDescent="0.2">
      <c r="A10" s="45" t="s">
        <v>24</v>
      </c>
      <c r="B10" s="186" t="s">
        <v>50</v>
      </c>
      <c r="C10" s="146" t="s">
        <v>51</v>
      </c>
      <c r="D10" s="221" t="s">
        <v>52</v>
      </c>
      <c r="E10" s="152">
        <f t="shared" si="1"/>
        <v>34</v>
      </c>
      <c r="F10" s="435" t="s">
        <v>53</v>
      </c>
      <c r="G10" s="144">
        <f t="shared" si="2"/>
        <v>44</v>
      </c>
      <c r="H10" s="161" t="s">
        <v>24</v>
      </c>
      <c r="I10" s="161" t="s">
        <v>24</v>
      </c>
      <c r="J10" s="161" t="s">
        <v>24</v>
      </c>
      <c r="K10" s="161" t="s">
        <v>24</v>
      </c>
      <c r="L10" s="220" t="s">
        <v>54</v>
      </c>
      <c r="M10" s="222" t="s">
        <v>24</v>
      </c>
      <c r="N10" s="219" t="s">
        <v>24</v>
      </c>
      <c r="O10" s="84"/>
      <c r="P10" s="11"/>
      <c r="Q10" s="342"/>
      <c r="R10" s="141"/>
      <c r="T10" s="199" t="s">
        <v>23</v>
      </c>
      <c r="X10" s="581">
        <v>0</v>
      </c>
      <c r="Y10" s="580">
        <f t="shared" si="3"/>
        <v>0</v>
      </c>
      <c r="Z10" s="141" t="str">
        <f t="shared" si="0"/>
        <v/>
      </c>
    </row>
    <row r="11" spans="1:26" ht="37.5" customHeight="1" x14ac:dyDescent="0.2">
      <c r="A11" s="45" t="s">
        <v>24</v>
      </c>
      <c r="B11" s="186" t="s">
        <v>55</v>
      </c>
      <c r="C11" s="146" t="s">
        <v>56</v>
      </c>
      <c r="D11" s="221" t="s">
        <v>57</v>
      </c>
      <c r="E11" s="152">
        <f t="shared" si="1"/>
        <v>41</v>
      </c>
      <c r="F11" s="435" t="s">
        <v>58</v>
      </c>
      <c r="G11" s="144">
        <f t="shared" si="2"/>
        <v>44</v>
      </c>
      <c r="H11" s="161" t="s">
        <v>24</v>
      </c>
      <c r="I11" s="161" t="s">
        <v>24</v>
      </c>
      <c r="J11" s="161" t="s">
        <v>24</v>
      </c>
      <c r="K11" s="161" t="s">
        <v>24</v>
      </c>
      <c r="L11" s="220" t="s">
        <v>59</v>
      </c>
      <c r="M11" s="222" t="s">
        <v>24</v>
      </c>
      <c r="N11" s="219" t="s">
        <v>24</v>
      </c>
      <c r="O11" s="84"/>
      <c r="P11" s="11"/>
      <c r="Q11" s="342"/>
      <c r="R11" s="141"/>
      <c r="T11" s="199" t="s">
        <v>23</v>
      </c>
      <c r="X11" s="581">
        <v>0</v>
      </c>
      <c r="Y11" s="580">
        <f t="shared" si="3"/>
        <v>0</v>
      </c>
      <c r="Z11" s="141" t="str">
        <f t="shared" si="0"/>
        <v/>
      </c>
    </row>
    <row r="12" spans="1:26" ht="102" customHeight="1" x14ac:dyDescent="0.2">
      <c r="A12" s="45" t="s">
        <v>24</v>
      </c>
      <c r="B12" s="186" t="s">
        <v>60</v>
      </c>
      <c r="C12" s="146" t="s">
        <v>60</v>
      </c>
      <c r="D12" s="218" t="s">
        <v>61</v>
      </c>
      <c r="E12" s="152">
        <f t="shared" si="1"/>
        <v>148</v>
      </c>
      <c r="F12" s="435" t="s">
        <v>62</v>
      </c>
      <c r="G12" s="144">
        <f t="shared" si="2"/>
        <v>156</v>
      </c>
      <c r="H12" s="161" t="s">
        <v>37</v>
      </c>
      <c r="I12" s="152" t="s">
        <v>24</v>
      </c>
      <c r="J12" s="152" t="s">
        <v>24</v>
      </c>
      <c r="K12" s="152" t="s">
        <v>38</v>
      </c>
      <c r="L12" s="151" t="s">
        <v>63</v>
      </c>
      <c r="M12" s="222" t="s">
        <v>24</v>
      </c>
      <c r="N12" s="217" t="s">
        <v>64</v>
      </c>
      <c r="O12" s="85"/>
      <c r="P12" s="12" t="s">
        <v>65</v>
      </c>
      <c r="Q12" s="342"/>
      <c r="R12" s="141"/>
      <c r="T12" s="199" t="s">
        <v>23</v>
      </c>
      <c r="X12" s="581">
        <v>3.103272438049316</v>
      </c>
      <c r="Y12" s="580">
        <f t="shared" si="3"/>
        <v>0</v>
      </c>
      <c r="Z12" s="141" t="str">
        <f t="shared" si="0"/>
        <v/>
      </c>
    </row>
    <row r="13" spans="1:26" ht="409.5" customHeight="1" x14ac:dyDescent="0.2">
      <c r="A13" s="45" t="s">
        <v>24</v>
      </c>
      <c r="B13" s="186" t="s">
        <v>66</v>
      </c>
      <c r="C13" s="146" t="s">
        <v>66</v>
      </c>
      <c r="D13" s="46" t="s">
        <v>67</v>
      </c>
      <c r="E13" s="152">
        <f t="shared" si="1"/>
        <v>1098</v>
      </c>
      <c r="F13" s="180" t="s">
        <v>68</v>
      </c>
      <c r="G13" s="144">
        <f t="shared" si="2"/>
        <v>1293</v>
      </c>
      <c r="H13" s="161" t="s">
        <v>37</v>
      </c>
      <c r="I13" s="152" t="s">
        <v>24</v>
      </c>
      <c r="J13" s="152" t="s">
        <v>24</v>
      </c>
      <c r="K13" s="152" t="s">
        <v>38</v>
      </c>
      <c r="L13" s="151" t="s">
        <v>69</v>
      </c>
      <c r="M13" s="222" t="s">
        <v>24</v>
      </c>
      <c r="N13" s="217" t="s">
        <v>70</v>
      </c>
      <c r="O13" s="85"/>
      <c r="P13" s="12" t="s">
        <v>71</v>
      </c>
      <c r="Q13" s="342"/>
      <c r="R13" s="141"/>
      <c r="T13" s="199" t="s">
        <v>23</v>
      </c>
      <c r="X13" s="581">
        <v>37.418449401855469</v>
      </c>
      <c r="Y13" s="580">
        <f t="shared" si="3"/>
        <v>0</v>
      </c>
      <c r="Z13" s="141" t="str">
        <f t="shared" si="0"/>
        <v/>
      </c>
    </row>
    <row r="14" spans="1:26" s="147" customFormat="1" ht="119" customHeight="1" x14ac:dyDescent="0.2">
      <c r="A14" s="45" t="s">
        <v>24</v>
      </c>
      <c r="B14" s="186" t="s">
        <v>72</v>
      </c>
      <c r="C14" s="146" t="s">
        <v>73</v>
      </c>
      <c r="D14" s="167" t="s">
        <v>74</v>
      </c>
      <c r="E14" s="152">
        <f t="shared" si="1"/>
        <v>134</v>
      </c>
      <c r="F14" s="540" t="s">
        <v>75</v>
      </c>
      <c r="G14" s="144">
        <f t="shared" si="2"/>
        <v>152</v>
      </c>
      <c r="H14" s="161" t="s">
        <v>76</v>
      </c>
      <c r="I14" s="152" t="s">
        <v>24</v>
      </c>
      <c r="J14" s="152" t="s">
        <v>24</v>
      </c>
      <c r="K14" s="152" t="s">
        <v>38</v>
      </c>
      <c r="L14" s="151" t="s">
        <v>77</v>
      </c>
      <c r="M14" s="222" t="s">
        <v>24</v>
      </c>
      <c r="N14" s="151" t="s">
        <v>78</v>
      </c>
      <c r="O14" s="86"/>
      <c r="P14" s="10"/>
      <c r="Q14" s="342">
        <v>1</v>
      </c>
      <c r="R14" s="141"/>
      <c r="T14" s="199" t="s">
        <v>23</v>
      </c>
      <c r="U14" s="148"/>
      <c r="X14" s="581">
        <v>3.805951595306396</v>
      </c>
      <c r="Y14" s="580">
        <f t="shared" si="3"/>
        <v>3.805951595306396</v>
      </c>
      <c r="Z14" s="141" t="str">
        <f t="shared" si="0"/>
        <v/>
      </c>
    </row>
    <row r="15" spans="1:26" s="147" customFormat="1" ht="119" customHeight="1" x14ac:dyDescent="0.2">
      <c r="A15" s="45" t="s">
        <v>24</v>
      </c>
      <c r="B15" s="186" t="s">
        <v>79</v>
      </c>
      <c r="C15" s="146" t="s">
        <v>79</v>
      </c>
      <c r="D15" s="197" t="s">
        <v>80</v>
      </c>
      <c r="E15" s="152">
        <f t="shared" si="1"/>
        <v>153</v>
      </c>
      <c r="F15" s="541" t="s">
        <v>81</v>
      </c>
      <c r="G15" s="144">
        <f t="shared" si="2"/>
        <v>178</v>
      </c>
      <c r="H15" s="161" t="s">
        <v>82</v>
      </c>
      <c r="I15" s="152" t="s">
        <v>24</v>
      </c>
      <c r="J15" s="152" t="s">
        <v>24</v>
      </c>
      <c r="K15" s="152" t="s">
        <v>83</v>
      </c>
      <c r="L15" s="151" t="s">
        <v>84</v>
      </c>
      <c r="M15" s="222" t="s">
        <v>24</v>
      </c>
      <c r="N15" s="151" t="s">
        <v>85</v>
      </c>
      <c r="O15" s="86"/>
      <c r="P15" s="10"/>
      <c r="Q15" s="342">
        <v>1</v>
      </c>
      <c r="R15" s="141"/>
      <c r="T15" s="149" t="s">
        <v>23</v>
      </c>
      <c r="U15" s="148"/>
      <c r="X15" s="581">
        <v>0</v>
      </c>
      <c r="Y15" s="580">
        <f t="shared" si="3"/>
        <v>0</v>
      </c>
      <c r="Z15" s="141" t="str">
        <f t="shared" si="0"/>
        <v/>
      </c>
    </row>
    <row r="16" spans="1:26" s="147" customFormat="1" ht="51" customHeight="1" x14ac:dyDescent="0.2">
      <c r="A16" s="45" t="s">
        <v>24</v>
      </c>
      <c r="B16" s="186" t="s">
        <v>86</v>
      </c>
      <c r="C16" s="146" t="s">
        <v>87</v>
      </c>
      <c r="D16" s="167" t="s">
        <v>88</v>
      </c>
      <c r="E16" s="152">
        <f t="shared" si="1"/>
        <v>80</v>
      </c>
      <c r="F16" s="541" t="s">
        <v>89</v>
      </c>
      <c r="G16" s="144">
        <f t="shared" si="2"/>
        <v>77</v>
      </c>
      <c r="H16" s="161" t="s">
        <v>26</v>
      </c>
      <c r="I16" s="152" t="s">
        <v>24</v>
      </c>
      <c r="J16" s="152" t="s">
        <v>24</v>
      </c>
      <c r="K16" s="152" t="s">
        <v>90</v>
      </c>
      <c r="L16" s="151" t="s">
        <v>91</v>
      </c>
      <c r="M16" s="222" t="s">
        <v>24</v>
      </c>
      <c r="N16" s="151" t="s">
        <v>92</v>
      </c>
      <c r="O16" s="86"/>
      <c r="P16" s="10"/>
      <c r="Q16" s="342">
        <v>1</v>
      </c>
      <c r="R16" s="141"/>
      <c r="T16" s="149" t="s">
        <v>23</v>
      </c>
      <c r="U16" s="148"/>
      <c r="X16" s="581">
        <v>0</v>
      </c>
      <c r="Y16" s="580">
        <f t="shared" si="3"/>
        <v>0</v>
      </c>
      <c r="Z16" s="141" t="str">
        <f t="shared" si="0"/>
        <v/>
      </c>
    </row>
    <row r="17" spans="1:26" s="147" customFormat="1" ht="85" customHeight="1" x14ac:dyDescent="0.2">
      <c r="A17" s="45" t="s">
        <v>24</v>
      </c>
      <c r="B17" s="186" t="s">
        <v>93</v>
      </c>
      <c r="C17" s="146" t="s">
        <v>94</v>
      </c>
      <c r="D17" s="167" t="s">
        <v>95</v>
      </c>
      <c r="E17" s="152">
        <f t="shared" si="1"/>
        <v>176</v>
      </c>
      <c r="F17" s="541" t="s">
        <v>96</v>
      </c>
      <c r="G17" s="144">
        <f t="shared" si="2"/>
        <v>211</v>
      </c>
      <c r="H17" s="161" t="s">
        <v>26</v>
      </c>
      <c r="I17" s="152" t="s">
        <v>24</v>
      </c>
      <c r="J17" s="152" t="s">
        <v>24</v>
      </c>
      <c r="K17" s="152" t="s">
        <v>27</v>
      </c>
      <c r="L17" s="151" t="s">
        <v>97</v>
      </c>
      <c r="M17" s="222" t="s">
        <v>24</v>
      </c>
      <c r="N17" s="210" t="s">
        <v>24</v>
      </c>
      <c r="O17" s="83"/>
      <c r="P17" s="10"/>
      <c r="Q17" s="342">
        <v>1</v>
      </c>
      <c r="R17" s="141"/>
      <c r="T17" s="149" t="s">
        <v>23</v>
      </c>
      <c r="U17" s="148"/>
      <c r="X17" s="581">
        <v>0</v>
      </c>
      <c r="Y17" s="580">
        <f t="shared" si="3"/>
        <v>0</v>
      </c>
      <c r="Z17" s="141" t="str">
        <f t="shared" si="0"/>
        <v/>
      </c>
    </row>
    <row r="18" spans="1:26" s="147" customFormat="1" ht="50.25" customHeight="1" x14ac:dyDescent="0.2">
      <c r="A18" s="45" t="s">
        <v>24</v>
      </c>
      <c r="B18" s="186" t="s">
        <v>98</v>
      </c>
      <c r="C18" s="146" t="s">
        <v>24</v>
      </c>
      <c r="D18" s="167" t="s">
        <v>99</v>
      </c>
      <c r="E18" s="152">
        <f t="shared" si="1"/>
        <v>99</v>
      </c>
      <c r="F18" s="541" t="s">
        <v>100</v>
      </c>
      <c r="G18" s="144">
        <f t="shared" si="2"/>
        <v>123</v>
      </c>
      <c r="H18" s="161" t="s">
        <v>24</v>
      </c>
      <c r="I18" s="152" t="s">
        <v>24</v>
      </c>
      <c r="J18" s="152" t="s">
        <v>24</v>
      </c>
      <c r="K18" s="152" t="s">
        <v>24</v>
      </c>
      <c r="L18" s="151" t="s">
        <v>101</v>
      </c>
      <c r="M18" s="222" t="s">
        <v>24</v>
      </c>
      <c r="N18" s="210" t="s">
        <v>24</v>
      </c>
      <c r="O18" s="83"/>
      <c r="P18" s="10"/>
      <c r="Q18" s="342">
        <v>1</v>
      </c>
      <c r="R18" s="141"/>
      <c r="T18" s="149" t="s">
        <v>23</v>
      </c>
      <c r="U18" s="148"/>
      <c r="X18" s="581">
        <v>0</v>
      </c>
      <c r="Y18" s="580">
        <f t="shared" si="3"/>
        <v>0</v>
      </c>
      <c r="Z18" s="141" t="str">
        <f t="shared" si="0"/>
        <v/>
      </c>
    </row>
    <row r="19" spans="1:26" s="147" customFormat="1" ht="50.25" customHeight="1" thickBot="1" x14ac:dyDescent="0.25">
      <c r="A19" s="341" t="s">
        <v>24</v>
      </c>
      <c r="B19" s="216" t="s">
        <v>102</v>
      </c>
      <c r="C19" s="215" t="s">
        <v>103</v>
      </c>
      <c r="D19" s="214" t="s">
        <v>104</v>
      </c>
      <c r="E19" s="212">
        <f t="shared" si="1"/>
        <v>65</v>
      </c>
      <c r="F19" s="542" t="s">
        <v>105</v>
      </c>
      <c r="G19" s="144">
        <f t="shared" si="2"/>
        <v>74</v>
      </c>
      <c r="H19" s="213" t="s">
        <v>24</v>
      </c>
      <c r="I19" s="212" t="s">
        <v>24</v>
      </c>
      <c r="J19" s="212" t="s">
        <v>24</v>
      </c>
      <c r="K19" s="212" t="s">
        <v>24</v>
      </c>
      <c r="L19" s="211" t="s">
        <v>106</v>
      </c>
      <c r="M19" s="222" t="s">
        <v>24</v>
      </c>
      <c r="N19" s="210" t="s">
        <v>24</v>
      </c>
      <c r="O19" s="87"/>
      <c r="P19" s="13"/>
      <c r="Q19" s="342">
        <v>1</v>
      </c>
      <c r="R19" s="141"/>
      <c r="T19" s="149" t="s">
        <v>23</v>
      </c>
      <c r="U19" s="148"/>
      <c r="X19" s="581">
        <v>0</v>
      </c>
      <c r="Y19" s="580">
        <f t="shared" si="3"/>
        <v>0</v>
      </c>
      <c r="Z19" s="141" t="str">
        <f t="shared" si="0"/>
        <v/>
      </c>
    </row>
    <row r="20" spans="1:26" s="415" customFormat="1" ht="17" customHeight="1" thickBot="1" x14ac:dyDescent="0.25">
      <c r="A20" s="604" t="s">
        <v>107</v>
      </c>
      <c r="B20" s="605"/>
      <c r="C20" s="605"/>
      <c r="D20" s="605"/>
      <c r="E20" s="605"/>
      <c r="F20" s="605"/>
      <c r="G20" s="605"/>
      <c r="H20" s="605"/>
      <c r="I20" s="605"/>
      <c r="J20" s="605"/>
      <c r="K20" s="605"/>
      <c r="L20" s="605"/>
      <c r="M20" s="605"/>
      <c r="N20" s="605"/>
      <c r="O20" s="605"/>
      <c r="P20" s="606"/>
      <c r="Q20" s="273"/>
      <c r="R20" s="426"/>
      <c r="T20" s="424"/>
      <c r="U20" s="427"/>
      <c r="X20" s="580"/>
      <c r="Y20" s="580" t="str">
        <f t="shared" si="3"/>
        <v/>
      </c>
      <c r="Z20" s="426" t="str">
        <f t="shared" si="0"/>
        <v/>
      </c>
    </row>
    <row r="21" spans="1:26" s="147" customFormat="1" ht="68.25" customHeight="1" x14ac:dyDescent="0.2">
      <c r="A21" s="340" t="s">
        <v>24</v>
      </c>
      <c r="B21" s="209" t="s">
        <v>108</v>
      </c>
      <c r="C21" s="203" t="s">
        <v>108</v>
      </c>
      <c r="D21" s="208" t="s">
        <v>109</v>
      </c>
      <c r="E21" s="207">
        <f>LEN(D21)</f>
        <v>96</v>
      </c>
      <c r="F21" s="208" t="s">
        <v>110</v>
      </c>
      <c r="G21" s="207">
        <f>LEN(F21)</f>
        <v>116</v>
      </c>
      <c r="H21" s="177" t="s">
        <v>26</v>
      </c>
      <c r="I21" s="207" t="s">
        <v>24</v>
      </c>
      <c r="J21" s="207" t="s">
        <v>24</v>
      </c>
      <c r="K21" s="207" t="s">
        <v>27</v>
      </c>
      <c r="L21" s="206" t="s">
        <v>111</v>
      </c>
      <c r="M21" s="222" t="s">
        <v>24</v>
      </c>
      <c r="N21" s="208" t="s">
        <v>112</v>
      </c>
      <c r="O21" s="205"/>
      <c r="P21" s="69"/>
      <c r="Q21" s="273">
        <f>1</f>
        <v>1</v>
      </c>
      <c r="R21" s="141"/>
      <c r="T21" s="424" t="s">
        <v>33</v>
      </c>
      <c r="U21" s="148"/>
      <c r="X21" s="580">
        <v>25.874027252197269</v>
      </c>
      <c r="Y21" s="580">
        <f t="shared" si="3"/>
        <v>25.874027252197269</v>
      </c>
      <c r="Z21" s="141">
        <f t="shared" si="0"/>
        <v>25.874027252197269</v>
      </c>
    </row>
    <row r="22" spans="1:26" s="147" customFormat="1" ht="68" customHeight="1" x14ac:dyDescent="0.2">
      <c r="A22" s="45" t="s">
        <v>24</v>
      </c>
      <c r="B22" s="209" t="s">
        <v>113</v>
      </c>
      <c r="C22" s="203" t="s">
        <v>113</v>
      </c>
      <c r="D22" s="208" t="s">
        <v>114</v>
      </c>
      <c r="E22" s="207">
        <f>LEN(D22)</f>
        <v>95</v>
      </c>
      <c r="F22" s="208" t="s">
        <v>115</v>
      </c>
      <c r="G22" s="207">
        <f>LEN(F22)</f>
        <v>132</v>
      </c>
      <c r="H22" s="177" t="s">
        <v>26</v>
      </c>
      <c r="I22" s="207" t="s">
        <v>24</v>
      </c>
      <c r="J22" s="207" t="s">
        <v>24</v>
      </c>
      <c r="K22" s="207" t="s">
        <v>27</v>
      </c>
      <c r="L22" s="206" t="s">
        <v>116</v>
      </c>
      <c r="M22" s="222" t="s">
        <v>24</v>
      </c>
      <c r="N22" s="169" t="s">
        <v>117</v>
      </c>
      <c r="O22" s="205"/>
      <c r="P22" s="69"/>
      <c r="Q22" s="273">
        <f>1</f>
        <v>1</v>
      </c>
      <c r="R22" s="141"/>
      <c r="T22" s="424" t="s">
        <v>33</v>
      </c>
      <c r="U22" s="148"/>
      <c r="X22" s="580">
        <v>8.5994815826416016</v>
      </c>
      <c r="Y22" s="580">
        <f t="shared" si="3"/>
        <v>8.5994815826416016</v>
      </c>
      <c r="Z22" s="141">
        <f t="shared" si="0"/>
        <v>8.5994815826416016</v>
      </c>
    </row>
    <row r="23" spans="1:26" s="147" customFormat="1" ht="85" customHeight="1" x14ac:dyDescent="0.2">
      <c r="A23" s="100">
        <v>1</v>
      </c>
      <c r="B23" s="250" t="s">
        <v>118</v>
      </c>
      <c r="C23" s="204" t="s">
        <v>118</v>
      </c>
      <c r="D23" s="145" t="s">
        <v>119</v>
      </c>
      <c r="E23" s="203">
        <f>LEN(D23)</f>
        <v>177</v>
      </c>
      <c r="F23" s="208" t="s">
        <v>120</v>
      </c>
      <c r="G23" s="207">
        <f>LEN(F23)</f>
        <v>219</v>
      </c>
      <c r="H23" s="203" t="s">
        <v>121</v>
      </c>
      <c r="I23" s="203" t="s">
        <v>24</v>
      </c>
      <c r="J23" s="203" t="s">
        <v>24</v>
      </c>
      <c r="K23" s="203" t="s">
        <v>27</v>
      </c>
      <c r="L23" s="143" t="s">
        <v>122</v>
      </c>
      <c r="M23" s="222" t="s">
        <v>24</v>
      </c>
      <c r="N23" s="202" t="s">
        <v>123</v>
      </c>
      <c r="O23" s="201"/>
      <c r="P23" s="69"/>
      <c r="Q23" s="273">
        <f>1</f>
        <v>1</v>
      </c>
      <c r="R23" s="141"/>
      <c r="T23" s="430" t="s">
        <v>33</v>
      </c>
      <c r="U23" s="148"/>
      <c r="X23" s="580">
        <v>9.8907184600830078</v>
      </c>
      <c r="Y23" s="580">
        <f t="shared" si="3"/>
        <v>9.8907184600830078</v>
      </c>
      <c r="Z23" s="141">
        <f t="shared" si="0"/>
        <v>9.8907184600830078</v>
      </c>
    </row>
    <row r="24" spans="1:26" s="147" customFormat="1" ht="153" customHeight="1" x14ac:dyDescent="0.2">
      <c r="A24" s="100">
        <f>A23+1</f>
        <v>2</v>
      </c>
      <c r="B24" s="186" t="s">
        <v>124</v>
      </c>
      <c r="C24" s="146" t="s">
        <v>124</v>
      </c>
      <c r="D24" s="167" t="s">
        <v>125</v>
      </c>
      <c r="E24" s="152">
        <f>LEN(D24)</f>
        <v>168</v>
      </c>
      <c r="F24" s="167" t="s">
        <v>126</v>
      </c>
      <c r="G24" s="207">
        <f>LEN(F24)</f>
        <v>178</v>
      </c>
      <c r="H24" s="161" t="s">
        <v>37</v>
      </c>
      <c r="I24" s="152" t="s">
        <v>24</v>
      </c>
      <c r="J24" s="152" t="s">
        <v>24</v>
      </c>
      <c r="K24" s="152" t="s">
        <v>38</v>
      </c>
      <c r="L24" s="151" t="s">
        <v>127</v>
      </c>
      <c r="M24" s="222" t="s">
        <v>24</v>
      </c>
      <c r="N24" s="143" t="s">
        <v>128</v>
      </c>
      <c r="O24" s="88"/>
      <c r="P24" s="10"/>
      <c r="Q24" s="273">
        <f>1</f>
        <v>1</v>
      </c>
      <c r="R24" s="141"/>
      <c r="T24" s="430" t="s">
        <v>33</v>
      </c>
      <c r="U24" s="148"/>
      <c r="X24" s="580">
        <v>1.7156481742858889</v>
      </c>
      <c r="Y24" s="580">
        <f t="shared" si="3"/>
        <v>1.7156481742858889</v>
      </c>
      <c r="Z24" s="141">
        <f t="shared" si="0"/>
        <v>1.7156481742858889</v>
      </c>
    </row>
    <row r="25" spans="1:26" s="147" customFormat="1" x14ac:dyDescent="0.2">
      <c r="A25" s="100"/>
      <c r="B25" s="264"/>
      <c r="C25" s="101"/>
      <c r="D25" s="129"/>
      <c r="E25" s="47"/>
      <c r="F25" s="47"/>
      <c r="G25" s="47"/>
      <c r="H25" s="102"/>
      <c r="I25" s="47"/>
      <c r="J25" s="47"/>
      <c r="K25" s="47"/>
      <c r="L25" s="88"/>
      <c r="M25" s="88"/>
      <c r="N25" s="88"/>
      <c r="O25" s="88"/>
      <c r="P25" s="10"/>
      <c r="Q25" s="342">
        <f>1</f>
        <v>1</v>
      </c>
      <c r="R25" s="141"/>
      <c r="T25" s="199"/>
      <c r="U25" s="148"/>
      <c r="X25" s="581"/>
      <c r="Y25" s="581" t="str">
        <f t="shared" si="3"/>
        <v/>
      </c>
      <c r="Z25" s="141" t="str">
        <f t="shared" si="0"/>
        <v/>
      </c>
    </row>
    <row r="26" spans="1:26" s="288" customFormat="1" ht="153" customHeight="1" x14ac:dyDescent="0.2">
      <c r="A26" s="339"/>
      <c r="B26" s="298" t="s">
        <v>129</v>
      </c>
      <c r="C26" s="299" t="s">
        <v>129</v>
      </c>
      <c r="D26" s="300" t="s">
        <v>130</v>
      </c>
      <c r="E26" s="301">
        <f t="shared" ref="E26:E33" si="4">LEN(D26)</f>
        <v>134</v>
      </c>
      <c r="F26" s="359" t="s">
        <v>131</v>
      </c>
      <c r="G26" s="301">
        <f t="shared" ref="G26:G33" si="5">LEN(F26)</f>
        <v>181</v>
      </c>
      <c r="H26" s="302" t="s">
        <v>37</v>
      </c>
      <c r="I26" s="301" t="s">
        <v>24</v>
      </c>
      <c r="J26" s="301" t="s">
        <v>24</v>
      </c>
      <c r="K26" s="301" t="s">
        <v>38</v>
      </c>
      <c r="L26" s="303" t="s">
        <v>132</v>
      </c>
      <c r="M26" s="222" t="s">
        <v>24</v>
      </c>
      <c r="N26" s="303" t="s">
        <v>133</v>
      </c>
      <c r="O26" s="304"/>
      <c r="P26" s="305"/>
      <c r="Q26" s="281">
        <f>1</f>
        <v>1</v>
      </c>
      <c r="R26" s="287"/>
      <c r="T26" s="425" t="s">
        <v>134</v>
      </c>
      <c r="U26" s="289"/>
      <c r="X26" s="582">
        <v>6.375236988067627</v>
      </c>
      <c r="Y26" s="580">
        <f t="shared" si="3"/>
        <v>6.375236988067627</v>
      </c>
      <c r="Z26" s="141" t="str">
        <f t="shared" si="0"/>
        <v/>
      </c>
    </row>
    <row r="27" spans="1:26" s="288" customFormat="1" ht="51" customHeight="1" x14ac:dyDescent="0.2">
      <c r="A27" s="339"/>
      <c r="B27" s="298" t="s">
        <v>135</v>
      </c>
      <c r="C27" s="299" t="s">
        <v>136</v>
      </c>
      <c r="D27" s="359" t="s">
        <v>137</v>
      </c>
      <c r="E27" s="301">
        <f t="shared" si="4"/>
        <v>63</v>
      </c>
      <c r="F27" s="359" t="s">
        <v>138</v>
      </c>
      <c r="G27" s="301">
        <f t="shared" si="5"/>
        <v>78</v>
      </c>
      <c r="H27" s="302" t="s">
        <v>26</v>
      </c>
      <c r="I27" s="301" t="s">
        <v>24</v>
      </c>
      <c r="J27" s="301" t="s">
        <v>24</v>
      </c>
      <c r="K27" s="301" t="s">
        <v>27</v>
      </c>
      <c r="L27" s="303" t="s">
        <v>139</v>
      </c>
      <c r="M27" s="222" t="s">
        <v>24</v>
      </c>
      <c r="N27" s="306" t="s">
        <v>140</v>
      </c>
      <c r="O27" s="307"/>
      <c r="P27" s="305"/>
      <c r="Q27" s="281">
        <f>1</f>
        <v>1</v>
      </c>
      <c r="R27" s="287"/>
      <c r="T27" s="425" t="s">
        <v>134</v>
      </c>
      <c r="U27" s="289"/>
      <c r="X27" s="582">
        <v>28.70000076293945</v>
      </c>
      <c r="Y27" s="580">
        <f t="shared" si="3"/>
        <v>28.70000076293945</v>
      </c>
      <c r="Z27" s="141" t="str">
        <f t="shared" si="0"/>
        <v/>
      </c>
    </row>
    <row r="28" spans="1:26" s="288" customFormat="1" ht="170" customHeight="1" x14ac:dyDescent="0.2">
      <c r="A28" s="286"/>
      <c r="B28" s="308" t="s">
        <v>141</v>
      </c>
      <c r="C28" s="309" t="s">
        <v>141</v>
      </c>
      <c r="D28" s="310" t="s">
        <v>142</v>
      </c>
      <c r="E28" s="297">
        <f t="shared" si="4"/>
        <v>211</v>
      </c>
      <c r="F28" s="436" t="s">
        <v>143</v>
      </c>
      <c r="G28" s="301">
        <f t="shared" si="5"/>
        <v>248</v>
      </c>
      <c r="H28" s="311" t="s">
        <v>37</v>
      </c>
      <c r="I28" s="297" t="s">
        <v>24</v>
      </c>
      <c r="J28" s="297" t="s">
        <v>24</v>
      </c>
      <c r="K28" s="297" t="s">
        <v>38</v>
      </c>
      <c r="L28" s="295" t="s">
        <v>144</v>
      </c>
      <c r="M28" s="222" t="s">
        <v>24</v>
      </c>
      <c r="N28" s="312" t="s">
        <v>145</v>
      </c>
      <c r="O28" s="313"/>
      <c r="P28" s="296"/>
      <c r="Q28" s="281">
        <f>1</f>
        <v>1</v>
      </c>
      <c r="R28" s="287"/>
      <c r="T28" s="425" t="s">
        <v>134</v>
      </c>
      <c r="U28" s="289"/>
      <c r="X28" s="582">
        <v>10.14181709289551</v>
      </c>
      <c r="Y28" s="580">
        <f t="shared" si="3"/>
        <v>10.14181709289551</v>
      </c>
      <c r="Z28" s="141" t="str">
        <f t="shared" si="0"/>
        <v/>
      </c>
    </row>
    <row r="29" spans="1:26" s="288" customFormat="1" ht="51" customHeight="1" x14ac:dyDescent="0.2">
      <c r="A29" s="286"/>
      <c r="B29" s="308" t="s">
        <v>146</v>
      </c>
      <c r="C29" s="309" t="s">
        <v>146</v>
      </c>
      <c r="D29" s="359" t="s">
        <v>147</v>
      </c>
      <c r="E29" s="297">
        <f t="shared" si="4"/>
        <v>73</v>
      </c>
      <c r="F29" s="437" t="s">
        <v>148</v>
      </c>
      <c r="G29" s="301">
        <f t="shared" si="5"/>
        <v>82</v>
      </c>
      <c r="H29" s="311" t="s">
        <v>26</v>
      </c>
      <c r="I29" s="297" t="s">
        <v>24</v>
      </c>
      <c r="J29" s="297" t="s">
        <v>24</v>
      </c>
      <c r="K29" s="297" t="s">
        <v>27</v>
      </c>
      <c r="L29" s="295" t="s">
        <v>149</v>
      </c>
      <c r="M29" s="222" t="s">
        <v>24</v>
      </c>
      <c r="N29" s="314" t="s">
        <v>150</v>
      </c>
      <c r="O29" s="315"/>
      <c r="P29" s="296"/>
      <c r="Q29" s="281">
        <f>1</f>
        <v>1</v>
      </c>
      <c r="R29" s="287"/>
      <c r="T29" s="425" t="s">
        <v>134</v>
      </c>
      <c r="U29" s="289"/>
      <c r="X29" s="582">
        <v>21.659982681274411</v>
      </c>
      <c r="Y29" s="580">
        <f t="shared" si="3"/>
        <v>21.659982681274411</v>
      </c>
      <c r="Z29" s="141" t="str">
        <f t="shared" si="0"/>
        <v/>
      </c>
    </row>
    <row r="30" spans="1:26" s="288" customFormat="1" ht="68" customHeight="1" x14ac:dyDescent="0.2">
      <c r="A30" s="286"/>
      <c r="B30" s="308" t="s">
        <v>151</v>
      </c>
      <c r="C30" s="309" t="s">
        <v>151</v>
      </c>
      <c r="D30" s="359" t="s">
        <v>152</v>
      </c>
      <c r="E30" s="297">
        <f t="shared" si="4"/>
        <v>98</v>
      </c>
      <c r="F30" s="436" t="s">
        <v>153</v>
      </c>
      <c r="G30" s="301">
        <f t="shared" si="5"/>
        <v>138</v>
      </c>
      <c r="H30" s="311" t="s">
        <v>26</v>
      </c>
      <c r="I30" s="297" t="s">
        <v>24</v>
      </c>
      <c r="J30" s="297" t="s">
        <v>154</v>
      </c>
      <c r="K30" s="297" t="s">
        <v>27</v>
      </c>
      <c r="L30" s="295" t="s">
        <v>155</v>
      </c>
      <c r="M30" s="222" t="s">
        <v>24</v>
      </c>
      <c r="N30" s="314" t="s">
        <v>156</v>
      </c>
      <c r="O30" s="279"/>
      <c r="P30" s="296"/>
      <c r="Q30" s="281">
        <f>1</f>
        <v>1</v>
      </c>
      <c r="R30" s="287"/>
      <c r="T30" s="425" t="s">
        <v>134</v>
      </c>
      <c r="U30" s="289"/>
      <c r="X30" s="582">
        <v>11.82179641723633</v>
      </c>
      <c r="Y30" s="580">
        <f t="shared" si="3"/>
        <v>11.82179641723633</v>
      </c>
      <c r="Z30" s="141" t="str">
        <f t="shared" si="0"/>
        <v/>
      </c>
    </row>
    <row r="31" spans="1:26" s="288" customFormat="1" ht="170" customHeight="1" x14ac:dyDescent="0.2">
      <c r="A31" s="286"/>
      <c r="B31" s="308" t="s">
        <v>157</v>
      </c>
      <c r="C31" s="309" t="s">
        <v>157</v>
      </c>
      <c r="D31" s="359" t="s">
        <v>142</v>
      </c>
      <c r="E31" s="297">
        <f t="shared" si="4"/>
        <v>211</v>
      </c>
      <c r="F31" s="436" t="s">
        <v>143</v>
      </c>
      <c r="G31" s="301">
        <f t="shared" si="5"/>
        <v>248</v>
      </c>
      <c r="H31" s="311" t="s">
        <v>37</v>
      </c>
      <c r="I31" s="297" t="s">
        <v>24</v>
      </c>
      <c r="J31" s="297" t="s">
        <v>24</v>
      </c>
      <c r="K31" s="297" t="s">
        <v>38</v>
      </c>
      <c r="L31" s="295" t="s">
        <v>158</v>
      </c>
      <c r="M31" s="222" t="s">
        <v>24</v>
      </c>
      <c r="N31" s="312" t="s">
        <v>159</v>
      </c>
      <c r="O31" s="313"/>
      <c r="P31" s="296"/>
      <c r="Q31" s="281">
        <f>1</f>
        <v>1</v>
      </c>
      <c r="R31" s="287"/>
      <c r="T31" s="425" t="s">
        <v>134</v>
      </c>
      <c r="U31" s="289"/>
      <c r="X31" s="582">
        <v>3.163594007492065</v>
      </c>
      <c r="Y31" s="580">
        <f t="shared" si="3"/>
        <v>3.163594007492065</v>
      </c>
      <c r="Z31" s="141" t="str">
        <f t="shared" si="0"/>
        <v/>
      </c>
    </row>
    <row r="32" spans="1:26" s="288" customFormat="1" ht="51" customHeight="1" x14ac:dyDescent="0.2">
      <c r="A32" s="286"/>
      <c r="B32" s="308" t="s">
        <v>160</v>
      </c>
      <c r="C32" s="309" t="s">
        <v>160</v>
      </c>
      <c r="D32" s="359" t="s">
        <v>147</v>
      </c>
      <c r="E32" s="297">
        <f t="shared" si="4"/>
        <v>73</v>
      </c>
      <c r="F32" s="437" t="s">
        <v>148</v>
      </c>
      <c r="G32" s="301">
        <f t="shared" si="5"/>
        <v>82</v>
      </c>
      <c r="H32" s="311" t="s">
        <v>26</v>
      </c>
      <c r="I32" s="297" t="s">
        <v>24</v>
      </c>
      <c r="J32" s="297" t="s">
        <v>24</v>
      </c>
      <c r="K32" s="297" t="s">
        <v>27</v>
      </c>
      <c r="L32" s="295" t="s">
        <v>161</v>
      </c>
      <c r="M32" s="222" t="s">
        <v>24</v>
      </c>
      <c r="N32" s="314" t="s">
        <v>162</v>
      </c>
      <c r="O32" s="315"/>
      <c r="P32" s="296"/>
      <c r="Q32" s="281">
        <f>1</f>
        <v>1</v>
      </c>
      <c r="R32" s="287"/>
      <c r="T32" s="425" t="s">
        <v>134</v>
      </c>
      <c r="U32" s="289"/>
      <c r="X32" s="582">
        <v>10.83014392852783</v>
      </c>
      <c r="Y32" s="580">
        <f t="shared" si="3"/>
        <v>10.83014392852783</v>
      </c>
      <c r="Z32" s="141" t="str">
        <f t="shared" si="0"/>
        <v/>
      </c>
    </row>
    <row r="33" spans="1:27" s="288" customFormat="1" ht="68" customHeight="1" x14ac:dyDescent="0.2">
      <c r="A33" s="286"/>
      <c r="B33" s="308" t="s">
        <v>163</v>
      </c>
      <c r="C33" s="308" t="s">
        <v>164</v>
      </c>
      <c r="D33" s="359" t="s">
        <v>152</v>
      </c>
      <c r="E33" s="297">
        <f t="shared" si="4"/>
        <v>98</v>
      </c>
      <c r="F33" s="436" t="s">
        <v>153</v>
      </c>
      <c r="G33" s="301">
        <f t="shared" si="5"/>
        <v>138</v>
      </c>
      <c r="H33" s="311" t="s">
        <v>26</v>
      </c>
      <c r="I33" s="297" t="s">
        <v>24</v>
      </c>
      <c r="J33" s="297" t="s">
        <v>165</v>
      </c>
      <c r="K33" s="297" t="s">
        <v>27</v>
      </c>
      <c r="L33" s="295" t="s">
        <v>166</v>
      </c>
      <c r="M33" s="222" t="s">
        <v>24</v>
      </c>
      <c r="N33" s="314" t="s">
        <v>167</v>
      </c>
      <c r="O33" s="279"/>
      <c r="P33" s="296"/>
      <c r="Q33" s="281">
        <f>1</f>
        <v>1</v>
      </c>
      <c r="R33" s="287"/>
      <c r="T33" s="425" t="s">
        <v>134</v>
      </c>
      <c r="U33" s="289"/>
      <c r="X33" s="582">
        <v>11.260416984558111</v>
      </c>
      <c r="Y33" s="580">
        <f t="shared" si="3"/>
        <v>11.260416984558111</v>
      </c>
      <c r="Z33" s="141" t="str">
        <f t="shared" si="0"/>
        <v/>
      </c>
    </row>
    <row r="34" spans="1:27" s="138" customFormat="1" x14ac:dyDescent="0.2">
      <c r="A34" s="74"/>
      <c r="B34" s="249"/>
      <c r="C34" s="249"/>
      <c r="D34" s="78"/>
      <c r="E34" s="75"/>
      <c r="F34" s="75"/>
      <c r="G34" s="75"/>
      <c r="H34" s="76"/>
      <c r="I34" s="75"/>
      <c r="J34" s="75"/>
      <c r="K34" s="75"/>
      <c r="L34" s="77"/>
      <c r="M34" s="82"/>
      <c r="N34" s="79"/>
      <c r="O34" s="80"/>
      <c r="P34" s="71"/>
      <c r="Q34" s="342">
        <f>1</f>
        <v>1</v>
      </c>
      <c r="R34" s="141"/>
      <c r="T34" s="140"/>
      <c r="U34" s="139"/>
      <c r="X34" s="581"/>
      <c r="Y34" s="581" t="str">
        <f t="shared" si="3"/>
        <v/>
      </c>
      <c r="Z34" s="141" t="str">
        <f t="shared" si="0"/>
        <v/>
      </c>
    </row>
    <row r="35" spans="1:27" s="147" customFormat="1" ht="409.5" customHeight="1" x14ac:dyDescent="0.2">
      <c r="A35" s="100">
        <v>3</v>
      </c>
      <c r="B35" s="237" t="s">
        <v>168</v>
      </c>
      <c r="C35" s="146" t="s">
        <v>168</v>
      </c>
      <c r="D35" s="575" t="s">
        <v>169</v>
      </c>
      <c r="E35" s="144">
        <f>LEN(D35)</f>
        <v>533</v>
      </c>
      <c r="F35" s="576" t="s">
        <v>170</v>
      </c>
      <c r="G35" s="144">
        <f>LEN(F35)</f>
        <v>576</v>
      </c>
      <c r="H35" s="154" t="s">
        <v>37</v>
      </c>
      <c r="I35" s="144" t="s">
        <v>24</v>
      </c>
      <c r="J35" s="144" t="s">
        <v>24</v>
      </c>
      <c r="K35" s="144" t="s">
        <v>171</v>
      </c>
      <c r="L35" s="389" t="s">
        <v>172</v>
      </c>
      <c r="M35" s="222" t="s">
        <v>24</v>
      </c>
      <c r="N35" s="602" t="s">
        <v>173</v>
      </c>
      <c r="O35" s="277"/>
      <c r="P35" s="10"/>
      <c r="Q35" s="273">
        <f>1</f>
        <v>1</v>
      </c>
      <c r="R35" s="141"/>
      <c r="T35" s="430" t="s">
        <v>33</v>
      </c>
      <c r="U35" s="148"/>
      <c r="X35" s="580">
        <v>13.957258919109851</v>
      </c>
      <c r="Y35" s="580">
        <f t="shared" si="3"/>
        <v>13.957258919109851</v>
      </c>
      <c r="Z35" s="141">
        <f t="shared" si="0"/>
        <v>13.957258919109851</v>
      </c>
    </row>
    <row r="36" spans="1:27" s="147" customFormat="1" ht="360" customHeight="1" x14ac:dyDescent="0.2">
      <c r="A36" s="45">
        <f>A35+1</f>
        <v>4</v>
      </c>
      <c r="B36" s="186" t="s">
        <v>174</v>
      </c>
      <c r="C36" s="146" t="s">
        <v>174</v>
      </c>
      <c r="D36" s="578" t="s">
        <v>175</v>
      </c>
      <c r="E36" s="152">
        <f>LEN(D36)</f>
        <v>247</v>
      </c>
      <c r="F36" s="578" t="s">
        <v>176</v>
      </c>
      <c r="G36" s="144">
        <f>LEN(F36)</f>
        <v>262</v>
      </c>
      <c r="H36" s="161" t="s">
        <v>37</v>
      </c>
      <c r="I36" s="152" t="s">
        <v>24</v>
      </c>
      <c r="J36" s="152" t="s">
        <v>24</v>
      </c>
      <c r="K36" s="152" t="s">
        <v>177</v>
      </c>
      <c r="L36" s="390" t="s">
        <v>178</v>
      </c>
      <c r="M36" s="222" t="s">
        <v>24</v>
      </c>
      <c r="N36" s="603"/>
      <c r="O36" s="381"/>
      <c r="P36" s="127"/>
      <c r="Q36" s="273">
        <f>1</f>
        <v>1</v>
      </c>
      <c r="R36" s="141"/>
      <c r="T36" s="430" t="s">
        <v>33</v>
      </c>
      <c r="U36" s="148"/>
      <c r="X36" s="580">
        <v>7.9549989700317383</v>
      </c>
      <c r="Y36" s="580">
        <f t="shared" si="3"/>
        <v>7.9549989700317383</v>
      </c>
      <c r="Z36" s="141">
        <f t="shared" si="0"/>
        <v>7.9549989700317383</v>
      </c>
    </row>
    <row r="37" spans="1:27" s="147" customFormat="1" ht="300" customHeight="1" x14ac:dyDescent="0.2">
      <c r="A37" s="114"/>
      <c r="B37" s="186" t="s">
        <v>179</v>
      </c>
      <c r="C37" s="137"/>
      <c r="D37" s="578" t="s">
        <v>180</v>
      </c>
      <c r="E37" s="152"/>
      <c r="F37" s="578" t="s">
        <v>181</v>
      </c>
      <c r="G37" s="144"/>
      <c r="H37" s="161" t="s">
        <v>37</v>
      </c>
      <c r="I37" s="152"/>
      <c r="J37" s="152"/>
      <c r="K37" s="152"/>
      <c r="L37" s="390"/>
      <c r="M37" s="222"/>
      <c r="N37" s="577"/>
      <c r="O37" s="82"/>
      <c r="P37" s="128"/>
      <c r="Q37" s="273"/>
      <c r="R37" s="141"/>
      <c r="T37" s="430"/>
      <c r="U37" s="148"/>
      <c r="X37" s="580"/>
      <c r="Y37" s="580"/>
      <c r="Z37" s="141"/>
    </row>
    <row r="38" spans="1:27" s="147" customFormat="1" ht="280" customHeight="1" x14ac:dyDescent="0.2">
      <c r="A38" s="114"/>
      <c r="B38" s="186" t="s">
        <v>182</v>
      </c>
      <c r="C38" s="137"/>
      <c r="D38" s="579" t="s">
        <v>183</v>
      </c>
      <c r="E38" s="152"/>
      <c r="F38" s="579" t="s">
        <v>184</v>
      </c>
      <c r="G38" s="144"/>
      <c r="H38" s="153" t="s">
        <v>37</v>
      </c>
      <c r="I38" s="152"/>
      <c r="J38" s="152"/>
      <c r="K38" s="152"/>
      <c r="L38" s="390"/>
      <c r="M38" s="222"/>
      <c r="N38" s="577"/>
      <c r="O38" s="82"/>
      <c r="P38" s="128"/>
      <c r="Q38" s="273"/>
      <c r="R38" s="141"/>
      <c r="T38" s="430"/>
      <c r="U38" s="148"/>
      <c r="X38" s="580"/>
      <c r="Y38" s="580"/>
      <c r="Z38" s="141"/>
    </row>
    <row r="39" spans="1:27" s="147" customFormat="1" ht="320" customHeight="1" x14ac:dyDescent="0.2">
      <c r="A39" s="114"/>
      <c r="B39" s="186" t="s">
        <v>185</v>
      </c>
      <c r="C39" s="137"/>
      <c r="D39" s="579" t="s">
        <v>186</v>
      </c>
      <c r="E39" s="152"/>
      <c r="F39" s="579" t="s">
        <v>187</v>
      </c>
      <c r="G39" s="144"/>
      <c r="H39" s="153" t="s">
        <v>37</v>
      </c>
      <c r="I39" s="152"/>
      <c r="J39" s="152"/>
      <c r="K39" s="152"/>
      <c r="L39" s="390"/>
      <c r="M39" s="222"/>
      <c r="N39" s="577"/>
      <c r="O39" s="82"/>
      <c r="P39" s="128"/>
      <c r="Q39" s="273"/>
      <c r="R39" s="141"/>
      <c r="T39" s="430"/>
      <c r="U39" s="148"/>
      <c r="X39" s="580"/>
      <c r="Y39" s="580"/>
      <c r="Z39" s="141"/>
    </row>
    <row r="40" spans="1:27" s="147" customFormat="1" ht="360" customHeight="1" x14ac:dyDescent="0.2">
      <c r="A40" s="114"/>
      <c r="B40" s="186" t="s">
        <v>188</v>
      </c>
      <c r="C40" s="137"/>
      <c r="D40" s="579" t="s">
        <v>189</v>
      </c>
      <c r="E40" s="152"/>
      <c r="F40" s="579" t="s">
        <v>190</v>
      </c>
      <c r="G40" s="144"/>
      <c r="H40" s="153" t="s">
        <v>37</v>
      </c>
      <c r="I40" s="152"/>
      <c r="J40" s="152"/>
      <c r="K40" s="152"/>
      <c r="L40" s="390"/>
      <c r="M40" s="222"/>
      <c r="N40" s="577"/>
      <c r="O40" s="82"/>
      <c r="P40" s="128"/>
      <c r="Q40" s="273"/>
      <c r="R40" s="141"/>
      <c r="T40" s="430"/>
      <c r="U40" s="148"/>
      <c r="X40" s="580"/>
      <c r="Y40" s="580"/>
      <c r="Z40" s="141"/>
    </row>
    <row r="41" spans="1:27" s="147" customFormat="1" ht="260" customHeight="1" x14ac:dyDescent="0.2">
      <c r="A41" s="114"/>
      <c r="B41" s="186" t="s">
        <v>191</v>
      </c>
      <c r="C41" s="137"/>
      <c r="D41" s="579" t="s">
        <v>192</v>
      </c>
      <c r="E41" s="152"/>
      <c r="F41" s="579" t="s">
        <v>193</v>
      </c>
      <c r="G41" s="144"/>
      <c r="H41" s="153" t="s">
        <v>37</v>
      </c>
      <c r="I41" s="152"/>
      <c r="J41" s="152"/>
      <c r="K41" s="152"/>
      <c r="L41" s="390"/>
      <c r="M41" s="222"/>
      <c r="N41" s="577"/>
      <c r="O41" s="82"/>
      <c r="P41" s="128"/>
      <c r="Q41" s="273"/>
      <c r="R41" s="141"/>
      <c r="T41" s="430"/>
      <c r="U41" s="148"/>
      <c r="X41" s="580"/>
      <c r="Y41" s="580"/>
      <c r="Z41" s="141"/>
    </row>
    <row r="42" spans="1:27" s="147" customFormat="1" ht="400" customHeight="1" x14ac:dyDescent="0.2">
      <c r="A42" s="114"/>
      <c r="B42" s="186" t="s">
        <v>194</v>
      </c>
      <c r="C42" s="137"/>
      <c r="D42" s="579" t="s">
        <v>195</v>
      </c>
      <c r="E42" s="152"/>
      <c r="F42" s="579" t="s">
        <v>196</v>
      </c>
      <c r="G42" s="144"/>
      <c r="H42" s="153" t="s">
        <v>37</v>
      </c>
      <c r="I42" s="152"/>
      <c r="J42" s="152"/>
      <c r="K42" s="152"/>
      <c r="L42" s="390"/>
      <c r="M42" s="222"/>
      <c r="N42" s="577"/>
      <c r="O42" s="82"/>
      <c r="P42" s="128"/>
      <c r="Q42" s="273"/>
      <c r="R42" s="141"/>
      <c r="T42" s="430"/>
      <c r="U42" s="148"/>
      <c r="X42" s="580"/>
      <c r="Y42" s="580"/>
      <c r="Z42" s="141"/>
    </row>
    <row r="43" spans="1:27" s="147" customFormat="1" ht="260" customHeight="1" x14ac:dyDescent="0.2">
      <c r="A43" s="114"/>
      <c r="B43" s="186" t="s">
        <v>197</v>
      </c>
      <c r="C43" s="137"/>
      <c r="D43" s="579" t="s">
        <v>198</v>
      </c>
      <c r="E43" s="152"/>
      <c r="F43" s="579" t="s">
        <v>199</v>
      </c>
      <c r="G43" s="144"/>
      <c r="H43" s="153" t="s">
        <v>37</v>
      </c>
      <c r="I43" s="152"/>
      <c r="J43" s="152"/>
      <c r="K43" s="152"/>
      <c r="L43" s="390"/>
      <c r="M43" s="222"/>
      <c r="N43" s="577"/>
      <c r="O43" s="82"/>
      <c r="P43" s="128"/>
      <c r="Q43" s="273"/>
      <c r="R43" s="141"/>
      <c r="T43" s="430"/>
      <c r="U43" s="148"/>
      <c r="X43" s="580"/>
      <c r="Y43" s="580"/>
      <c r="Z43" s="141"/>
    </row>
    <row r="44" spans="1:27" s="147" customFormat="1" ht="320" customHeight="1" x14ac:dyDescent="0.2">
      <c r="A44" s="114"/>
      <c r="B44" s="186" t="s">
        <v>200</v>
      </c>
      <c r="C44" s="137"/>
      <c r="D44" s="579" t="s">
        <v>201</v>
      </c>
      <c r="E44" s="152"/>
      <c r="F44" s="579" t="s">
        <v>202</v>
      </c>
      <c r="G44" s="144"/>
      <c r="H44" s="153" t="s">
        <v>37</v>
      </c>
      <c r="I44" s="152"/>
      <c r="J44" s="152"/>
      <c r="K44" s="152"/>
      <c r="L44" s="390"/>
      <c r="M44" s="222"/>
      <c r="N44" s="577"/>
      <c r="O44" s="82"/>
      <c r="P44" s="128"/>
      <c r="Q44" s="273"/>
      <c r="R44" s="141"/>
      <c r="T44" s="430"/>
      <c r="U44" s="148"/>
      <c r="X44" s="580"/>
      <c r="Y44" s="580"/>
      <c r="Z44" s="141"/>
    </row>
    <row r="45" spans="1:27" s="147" customFormat="1" ht="170" customHeight="1" x14ac:dyDescent="0.2">
      <c r="A45" s="114"/>
      <c r="B45" s="239" t="s">
        <v>203</v>
      </c>
      <c r="C45" s="137" t="s">
        <v>203</v>
      </c>
      <c r="D45" s="167" t="s">
        <v>204</v>
      </c>
      <c r="E45" s="391">
        <f>LEN(D45)</f>
        <v>218</v>
      </c>
      <c r="F45" s="435" t="s">
        <v>205</v>
      </c>
      <c r="G45" s="144">
        <f>LEN(F45)</f>
        <v>251</v>
      </c>
      <c r="H45" s="161" t="s">
        <v>37</v>
      </c>
      <c r="I45" s="161" t="s">
        <v>24</v>
      </c>
      <c r="J45" s="161" t="s">
        <v>24</v>
      </c>
      <c r="K45" s="161" t="s">
        <v>38</v>
      </c>
      <c r="L45" s="151" t="s">
        <v>206</v>
      </c>
      <c r="M45" s="222" t="s">
        <v>24</v>
      </c>
      <c r="N45" s="388"/>
      <c r="O45" s="362"/>
      <c r="P45" s="363"/>
      <c r="Q45" s="580"/>
      <c r="R45" s="580"/>
      <c r="S45" s="141"/>
      <c r="U45" s="199"/>
      <c r="V45" s="148"/>
      <c r="Y45" s="580"/>
      <c r="Z45" s="580"/>
      <c r="AA45" s="141"/>
    </row>
    <row r="46" spans="1:27" s="147" customFormat="1" ht="306" customHeight="1" x14ac:dyDescent="0.2">
      <c r="A46" s="114">
        <v>1</v>
      </c>
      <c r="B46" s="239" t="s">
        <v>207</v>
      </c>
      <c r="C46" s="392" t="s">
        <v>207</v>
      </c>
      <c r="D46" s="159" t="s">
        <v>208</v>
      </c>
      <c r="E46" s="135">
        <f>LEN(D46)</f>
        <v>658</v>
      </c>
      <c r="F46" s="438" t="s">
        <v>209</v>
      </c>
      <c r="G46" s="144">
        <f>LEN(F46)</f>
        <v>794</v>
      </c>
      <c r="H46" s="393" t="s">
        <v>37</v>
      </c>
      <c r="I46" s="135" t="s">
        <v>24</v>
      </c>
      <c r="J46" s="135" t="s">
        <v>24</v>
      </c>
      <c r="K46" s="135" t="s">
        <v>38</v>
      </c>
      <c r="L46" s="394" t="s">
        <v>210</v>
      </c>
      <c r="M46" s="222" t="s">
        <v>24</v>
      </c>
      <c r="N46" s="157" t="s">
        <v>211</v>
      </c>
      <c r="O46" s="89"/>
      <c r="P46" s="25"/>
      <c r="Q46" s="273">
        <f>1</f>
        <v>1</v>
      </c>
      <c r="R46" s="141"/>
      <c r="T46" s="430" t="s">
        <v>33</v>
      </c>
      <c r="U46" s="148"/>
      <c r="X46" s="580">
        <v>24.41083908081055</v>
      </c>
      <c r="Y46" s="580">
        <f t="shared" ref="Y46:Y77" si="6">IF(X46="","",X46*Q46)</f>
        <v>24.41083908081055</v>
      </c>
      <c r="Z46" s="141">
        <f t="shared" ref="Z46:Z77" si="7">IF(T46="yes",Y46,"")</f>
        <v>24.41083908081055</v>
      </c>
    </row>
    <row r="47" spans="1:27" s="147" customFormat="1" ht="17" customHeight="1" thickBot="1" x14ac:dyDescent="0.25">
      <c r="A47" s="103"/>
      <c r="B47" s="265"/>
      <c r="C47" s="272"/>
      <c r="D47" s="90"/>
      <c r="E47" s="104"/>
      <c r="F47" s="104"/>
      <c r="G47" s="104"/>
      <c r="H47" s="105"/>
      <c r="I47" s="104"/>
      <c r="J47" s="104"/>
      <c r="K47" s="104"/>
      <c r="L47" s="90"/>
      <c r="M47" s="90"/>
      <c r="N47" s="90"/>
      <c r="O47" s="90"/>
      <c r="P47" s="25"/>
      <c r="Q47" s="342">
        <f>1</f>
        <v>1</v>
      </c>
      <c r="R47" s="141"/>
      <c r="T47" s="199"/>
      <c r="U47" s="148"/>
      <c r="X47" s="581"/>
      <c r="Y47" s="581" t="str">
        <f t="shared" si="6"/>
        <v/>
      </c>
      <c r="Z47" s="141" t="str">
        <f t="shared" si="7"/>
        <v/>
      </c>
    </row>
    <row r="48" spans="1:27" s="147" customFormat="1" ht="17" customHeight="1" thickBot="1" x14ac:dyDescent="0.25">
      <c r="A48" s="604" t="s">
        <v>212</v>
      </c>
      <c r="B48" s="605"/>
      <c r="C48" s="605"/>
      <c r="D48" s="605"/>
      <c r="E48" s="605"/>
      <c r="F48" s="605"/>
      <c r="G48" s="605"/>
      <c r="H48" s="605"/>
      <c r="I48" s="605"/>
      <c r="J48" s="605"/>
      <c r="K48" s="605"/>
      <c r="L48" s="605"/>
      <c r="M48" s="605"/>
      <c r="N48" s="605"/>
      <c r="O48" s="605"/>
      <c r="P48" s="606"/>
      <c r="Q48" s="342"/>
      <c r="R48" s="141"/>
      <c r="T48" s="149"/>
      <c r="U48" s="148"/>
      <c r="X48" s="581"/>
      <c r="Y48" s="580" t="str">
        <f t="shared" si="6"/>
        <v/>
      </c>
      <c r="Z48" s="141" t="str">
        <f t="shared" si="7"/>
        <v/>
      </c>
    </row>
    <row r="49" spans="1:26" s="147" customFormat="1" x14ac:dyDescent="0.2">
      <c r="A49" s="196"/>
      <c r="B49" s="196"/>
      <c r="C49" s="196"/>
      <c r="D49" s="107"/>
      <c r="E49" s="196"/>
      <c r="F49" s="107"/>
      <c r="G49" s="196"/>
      <c r="H49" s="196"/>
      <c r="I49" s="196"/>
      <c r="J49" s="196"/>
      <c r="K49" s="196"/>
      <c r="L49" s="196"/>
      <c r="M49" s="196"/>
      <c r="N49" s="196"/>
      <c r="O49" s="196"/>
      <c r="P49" s="51"/>
      <c r="Q49" s="342">
        <f>1</f>
        <v>1</v>
      </c>
      <c r="R49" s="141"/>
      <c r="T49" s="149"/>
      <c r="U49" s="148"/>
      <c r="X49" s="581"/>
      <c r="Y49" s="581" t="str">
        <f t="shared" si="6"/>
        <v/>
      </c>
      <c r="Z49" s="141" t="str">
        <f t="shared" si="7"/>
        <v/>
      </c>
    </row>
    <row r="50" spans="1:26" s="365" customFormat="1" ht="153" customHeight="1" x14ac:dyDescent="0.2">
      <c r="A50" s="361">
        <f>A46+1</f>
        <v>2</v>
      </c>
      <c r="B50" s="385" t="s">
        <v>213</v>
      </c>
      <c r="C50" s="386" t="s">
        <v>213</v>
      </c>
      <c r="D50" s="387" t="s">
        <v>214</v>
      </c>
      <c r="E50" s="386">
        <f>LEN(D50)</f>
        <v>97</v>
      </c>
      <c r="F50" s="435" t="s">
        <v>215</v>
      </c>
      <c r="G50" s="386">
        <f>LEN(F50)</f>
        <v>105</v>
      </c>
      <c r="H50" s="386" t="s">
        <v>37</v>
      </c>
      <c r="I50" s="386" t="s">
        <v>24</v>
      </c>
      <c r="J50" s="386" t="s">
        <v>24</v>
      </c>
      <c r="K50" s="386" t="s">
        <v>38</v>
      </c>
      <c r="L50" s="388" t="s">
        <v>216</v>
      </c>
      <c r="M50" s="222" t="s">
        <v>24</v>
      </c>
      <c r="N50" s="388" t="s">
        <v>217</v>
      </c>
      <c r="O50" s="362"/>
      <c r="P50" s="363"/>
      <c r="Q50" s="360">
        <v>1</v>
      </c>
      <c r="R50" s="364"/>
      <c r="T50" s="429" t="s">
        <v>33</v>
      </c>
      <c r="U50" s="366"/>
      <c r="X50" s="583">
        <v>10.5</v>
      </c>
      <c r="Y50" s="580">
        <f t="shared" si="6"/>
        <v>10.5</v>
      </c>
      <c r="Z50" s="364">
        <f t="shared" si="7"/>
        <v>10.5</v>
      </c>
    </row>
    <row r="51" spans="1:26" s="147" customFormat="1" ht="136" customHeight="1" x14ac:dyDescent="0.2">
      <c r="A51" s="100">
        <f>A50+1</f>
        <v>3</v>
      </c>
      <c r="B51" s="237" t="s">
        <v>218</v>
      </c>
      <c r="C51" s="146" t="s">
        <v>218</v>
      </c>
      <c r="D51" s="198" t="s">
        <v>219</v>
      </c>
      <c r="E51" s="144">
        <f>LEN(D51)</f>
        <v>116</v>
      </c>
      <c r="F51" s="435" t="s">
        <v>220</v>
      </c>
      <c r="G51" s="386">
        <f>LEN(F51)</f>
        <v>134</v>
      </c>
      <c r="H51" s="146" t="s">
        <v>37</v>
      </c>
      <c r="I51" s="144" t="s">
        <v>24</v>
      </c>
      <c r="J51" s="144" t="s">
        <v>24</v>
      </c>
      <c r="K51" s="144" t="s">
        <v>38</v>
      </c>
      <c r="L51" s="143" t="s">
        <v>221</v>
      </c>
      <c r="M51" s="222" t="s">
        <v>24</v>
      </c>
      <c r="N51" s="143" t="s">
        <v>222</v>
      </c>
      <c r="O51" s="88"/>
      <c r="P51" s="51"/>
      <c r="Q51" s="273">
        <f>1</f>
        <v>1</v>
      </c>
      <c r="R51" s="141"/>
      <c r="T51" s="424" t="s">
        <v>33</v>
      </c>
      <c r="U51" s="148"/>
      <c r="X51" s="580">
        <v>10.504533767700201</v>
      </c>
      <c r="Y51" s="580">
        <f t="shared" si="6"/>
        <v>10.504533767700201</v>
      </c>
      <c r="Z51" s="141">
        <f t="shared" si="7"/>
        <v>10.504533767700201</v>
      </c>
    </row>
    <row r="52" spans="1:26" s="147" customFormat="1" x14ac:dyDescent="0.2">
      <c r="A52" s="100"/>
      <c r="B52" s="264"/>
      <c r="C52" s="101"/>
      <c r="D52" s="106"/>
      <c r="E52" s="107"/>
      <c r="F52" s="107"/>
      <c r="G52" s="107"/>
      <c r="H52" s="101"/>
      <c r="I52" s="107"/>
      <c r="J52" s="107"/>
      <c r="K52" s="107"/>
      <c r="L52" s="88"/>
      <c r="M52" s="88"/>
      <c r="N52" s="88"/>
      <c r="O52" s="88"/>
      <c r="P52" s="51"/>
      <c r="Q52" s="342">
        <f>1</f>
        <v>1</v>
      </c>
      <c r="R52" s="141"/>
      <c r="T52" s="149"/>
      <c r="U52" s="148"/>
      <c r="X52" s="581"/>
      <c r="Y52" s="581" t="str">
        <f t="shared" si="6"/>
        <v/>
      </c>
      <c r="Z52" s="141" t="str">
        <f t="shared" si="7"/>
        <v/>
      </c>
    </row>
    <row r="53" spans="1:26" s="147" customFormat="1" ht="187" customHeight="1" x14ac:dyDescent="0.2">
      <c r="A53" s="45">
        <f>A51+1</f>
        <v>4</v>
      </c>
      <c r="B53" s="186" t="s">
        <v>223</v>
      </c>
      <c r="C53" s="146" t="s">
        <v>223</v>
      </c>
      <c r="D53" s="543" t="s">
        <v>224</v>
      </c>
      <c r="E53" s="152">
        <f>LEN(D53)</f>
        <v>314</v>
      </c>
      <c r="F53" s="435" t="s">
        <v>225</v>
      </c>
      <c r="G53" s="152">
        <f>LEN(F53)</f>
        <v>324</v>
      </c>
      <c r="H53" s="153" t="s">
        <v>37</v>
      </c>
      <c r="I53" s="152" t="s">
        <v>24</v>
      </c>
      <c r="J53" s="152" t="s">
        <v>24</v>
      </c>
      <c r="K53" s="152" t="s">
        <v>38</v>
      </c>
      <c r="L53" s="151" t="s">
        <v>226</v>
      </c>
      <c r="M53" s="222" t="s">
        <v>24</v>
      </c>
      <c r="N53" s="143" t="s">
        <v>227</v>
      </c>
      <c r="O53" s="88"/>
      <c r="P53" s="25"/>
      <c r="Q53" s="273">
        <f>1</f>
        <v>1</v>
      </c>
      <c r="R53" s="141"/>
      <c r="T53" s="424" t="s">
        <v>33</v>
      </c>
      <c r="U53" s="148"/>
      <c r="X53" s="580">
        <v>12.42189884185791</v>
      </c>
      <c r="Y53" s="580">
        <f t="shared" si="6"/>
        <v>12.42189884185791</v>
      </c>
      <c r="Z53" s="141">
        <f t="shared" si="7"/>
        <v>12.42189884185791</v>
      </c>
    </row>
    <row r="54" spans="1:26" s="147" customFormat="1" x14ac:dyDescent="0.2">
      <c r="A54" s="45"/>
      <c r="B54" s="184"/>
      <c r="C54" s="101"/>
      <c r="D54" s="46"/>
      <c r="E54" s="47"/>
      <c r="F54" s="46"/>
      <c r="G54" s="47"/>
      <c r="H54" s="48"/>
      <c r="I54" s="47"/>
      <c r="J54" s="47"/>
      <c r="K54" s="47"/>
      <c r="L54" s="96"/>
      <c r="M54" s="88"/>
      <c r="N54" s="88"/>
      <c r="O54" s="88"/>
      <c r="P54" s="25"/>
      <c r="Q54" s="342">
        <f>1</f>
        <v>1</v>
      </c>
      <c r="R54" s="141"/>
      <c r="T54" s="149"/>
      <c r="U54" s="148"/>
      <c r="X54" s="581"/>
      <c r="Y54" s="581" t="str">
        <f t="shared" si="6"/>
        <v/>
      </c>
      <c r="Z54" s="141" t="str">
        <f t="shared" si="7"/>
        <v/>
      </c>
    </row>
    <row r="55" spans="1:26" s="147" customFormat="1" ht="272" customHeight="1" x14ac:dyDescent="0.2">
      <c r="A55" s="45">
        <v>10</v>
      </c>
      <c r="B55" s="184" t="s">
        <v>228</v>
      </c>
      <c r="C55" s="183" t="s">
        <v>228</v>
      </c>
      <c r="D55" s="46" t="s">
        <v>229</v>
      </c>
      <c r="E55" s="47">
        <f>LEN(D55)</f>
        <v>313</v>
      </c>
      <c r="F55" s="180" t="s">
        <v>230</v>
      </c>
      <c r="G55" s="47">
        <f>LEN(F55)</f>
        <v>372</v>
      </c>
      <c r="H55" s="48" t="s">
        <v>37</v>
      </c>
      <c r="I55" s="47" t="s">
        <v>24</v>
      </c>
      <c r="J55" s="47" t="s">
        <v>24</v>
      </c>
      <c r="K55" s="47" t="s">
        <v>38</v>
      </c>
      <c r="L55" s="248" t="s">
        <v>231</v>
      </c>
      <c r="M55" s="82" t="s">
        <v>24</v>
      </c>
      <c r="N55" s="182" t="s">
        <v>232</v>
      </c>
      <c r="O55" s="66"/>
      <c r="P55" s="607" t="s">
        <v>233</v>
      </c>
      <c r="Q55" s="342">
        <f>1</f>
        <v>1</v>
      </c>
      <c r="R55" s="141"/>
      <c r="T55" s="149" t="s">
        <v>33</v>
      </c>
      <c r="U55" s="148"/>
      <c r="X55" s="581">
        <v>16.615655899047852</v>
      </c>
      <c r="Y55" s="581">
        <f t="shared" si="6"/>
        <v>16.615655899047852</v>
      </c>
      <c r="Z55" s="141">
        <f t="shared" si="7"/>
        <v>16.615655899047852</v>
      </c>
    </row>
    <row r="56" spans="1:26" s="147" customFormat="1" ht="187" customHeight="1" x14ac:dyDescent="0.2">
      <c r="A56" s="45">
        <v>10</v>
      </c>
      <c r="B56" s="184" t="s">
        <v>234</v>
      </c>
      <c r="C56" s="183" t="s">
        <v>234</v>
      </c>
      <c r="D56" s="46" t="s">
        <v>235</v>
      </c>
      <c r="E56" s="47">
        <f>LEN(D56)</f>
        <v>312</v>
      </c>
      <c r="F56" s="180" t="s">
        <v>236</v>
      </c>
      <c r="G56" s="47">
        <f>LEN(F56)</f>
        <v>366</v>
      </c>
      <c r="H56" s="48" t="s">
        <v>37</v>
      </c>
      <c r="I56" s="47" t="s">
        <v>24</v>
      </c>
      <c r="J56" s="47" t="s">
        <v>24</v>
      </c>
      <c r="K56" s="47" t="s">
        <v>38</v>
      </c>
      <c r="L56" s="248" t="s">
        <v>237</v>
      </c>
      <c r="M56" s="82" t="s">
        <v>24</v>
      </c>
      <c r="N56" s="182" t="s">
        <v>232</v>
      </c>
      <c r="O56" s="66"/>
      <c r="P56" s="608"/>
      <c r="Q56" s="342">
        <f>1</f>
        <v>1</v>
      </c>
      <c r="R56" s="141"/>
      <c r="T56" s="149" t="s">
        <v>33</v>
      </c>
      <c r="U56" s="148"/>
      <c r="X56" s="581">
        <v>12.600021362304689</v>
      </c>
      <c r="Y56" s="581">
        <f t="shared" si="6"/>
        <v>12.600021362304689</v>
      </c>
      <c r="Z56" s="141">
        <f t="shared" si="7"/>
        <v>12.600021362304689</v>
      </c>
    </row>
    <row r="57" spans="1:26" s="147" customFormat="1" ht="204" customHeight="1" x14ac:dyDescent="0.2">
      <c r="A57" s="45">
        <v>10</v>
      </c>
      <c r="B57" s="184" t="s">
        <v>238</v>
      </c>
      <c r="C57" s="183" t="s">
        <v>238</v>
      </c>
      <c r="D57" s="46" t="s">
        <v>239</v>
      </c>
      <c r="E57" s="47">
        <f>LEN(D57)</f>
        <v>255</v>
      </c>
      <c r="F57" s="180" t="s">
        <v>240</v>
      </c>
      <c r="G57" s="47">
        <f>LEN(F57)</f>
        <v>292</v>
      </c>
      <c r="H57" s="48" t="s">
        <v>37</v>
      </c>
      <c r="I57" s="47" t="s">
        <v>24</v>
      </c>
      <c r="J57" s="47" t="s">
        <v>24</v>
      </c>
      <c r="K57" s="47" t="s">
        <v>38</v>
      </c>
      <c r="L57" s="367" t="s">
        <v>241</v>
      </c>
      <c r="M57" s="82" t="s">
        <v>24</v>
      </c>
      <c r="N57" s="182" t="s">
        <v>232</v>
      </c>
      <c r="O57" s="66"/>
      <c r="P57" s="609"/>
      <c r="Q57" s="342">
        <f>1</f>
        <v>1</v>
      </c>
      <c r="R57" s="141"/>
      <c r="T57" s="149" t="s">
        <v>33</v>
      </c>
      <c r="U57" s="148"/>
      <c r="X57" s="581">
        <v>11.655922889709471</v>
      </c>
      <c r="Y57" s="581">
        <f t="shared" si="6"/>
        <v>11.655922889709471</v>
      </c>
      <c r="Z57" s="141">
        <f t="shared" si="7"/>
        <v>11.655922889709471</v>
      </c>
    </row>
    <row r="58" spans="1:26" s="147" customFormat="1" x14ac:dyDescent="0.2">
      <c r="A58" s="45"/>
      <c r="B58" s="184"/>
      <c r="C58" s="269"/>
      <c r="D58" s="544"/>
      <c r="E58" s="107"/>
      <c r="F58" s="107"/>
      <c r="G58" s="107"/>
      <c r="H58" s="101"/>
      <c r="I58" s="107"/>
      <c r="J58" s="107"/>
      <c r="K58" s="107"/>
      <c r="L58" s="120"/>
      <c r="M58" s="88"/>
      <c r="N58" s="271"/>
      <c r="O58" s="271"/>
      <c r="P58" s="566"/>
      <c r="Q58" s="342">
        <f>1</f>
        <v>1</v>
      </c>
      <c r="R58" s="141"/>
      <c r="T58" s="149"/>
      <c r="U58" s="148"/>
      <c r="X58" s="581"/>
      <c r="Y58" s="581" t="str">
        <f t="shared" si="6"/>
        <v/>
      </c>
      <c r="Z58" s="141" t="str">
        <f t="shared" si="7"/>
        <v/>
      </c>
    </row>
    <row r="59" spans="1:26" s="147" customFormat="1" ht="409.5" customHeight="1" x14ac:dyDescent="0.2">
      <c r="A59" s="14">
        <f>A57+1</f>
        <v>11</v>
      </c>
      <c r="B59" s="238" t="s">
        <v>242</v>
      </c>
      <c r="C59" s="17" t="s">
        <v>242</v>
      </c>
      <c r="D59" s="15" t="s">
        <v>243</v>
      </c>
      <c r="E59" s="16">
        <f>LEN(D59)</f>
        <v>1333</v>
      </c>
      <c r="F59" s="15" t="s">
        <v>244</v>
      </c>
      <c r="G59" s="16">
        <f>LEN(F59)</f>
        <v>1534</v>
      </c>
      <c r="H59" s="17" t="s">
        <v>37</v>
      </c>
      <c r="I59" s="16" t="s">
        <v>24</v>
      </c>
      <c r="J59" s="16" t="s">
        <v>24</v>
      </c>
      <c r="K59" s="16" t="s">
        <v>38</v>
      </c>
      <c r="L59" s="18" t="s">
        <v>245</v>
      </c>
      <c r="M59" s="82" t="s">
        <v>24</v>
      </c>
      <c r="N59" s="37" t="s">
        <v>246</v>
      </c>
      <c r="O59" s="62"/>
      <c r="P59" s="51"/>
      <c r="Q59" s="342">
        <f>1</f>
        <v>1</v>
      </c>
      <c r="R59" s="141"/>
      <c r="T59" s="149" t="s">
        <v>23</v>
      </c>
      <c r="U59" s="148"/>
      <c r="X59" s="581">
        <v>13.22066497802734</v>
      </c>
      <c r="Y59" s="581">
        <f t="shared" si="6"/>
        <v>13.22066497802734</v>
      </c>
      <c r="Z59" s="141" t="str">
        <f t="shared" si="7"/>
        <v/>
      </c>
    </row>
    <row r="60" spans="1:26" s="147" customFormat="1" ht="119" customHeight="1" x14ac:dyDescent="0.2">
      <c r="A60" s="14">
        <f>A59+1</f>
        <v>12</v>
      </c>
      <c r="B60" s="238" t="s">
        <v>247</v>
      </c>
      <c r="C60" s="21" t="s">
        <v>247</v>
      </c>
      <c r="D60" s="19" t="s">
        <v>248</v>
      </c>
      <c r="E60" s="20">
        <f>LEN(D60)</f>
        <v>269</v>
      </c>
      <c r="F60" s="19" t="s">
        <v>249</v>
      </c>
      <c r="G60" s="20">
        <f>LEN(F60)</f>
        <v>310</v>
      </c>
      <c r="H60" s="21" t="s">
        <v>121</v>
      </c>
      <c r="I60" s="20" t="s">
        <v>24</v>
      </c>
      <c r="J60" s="20" t="s">
        <v>24</v>
      </c>
      <c r="K60" s="20" t="s">
        <v>27</v>
      </c>
      <c r="L60" s="22" t="s">
        <v>250</v>
      </c>
      <c r="M60" s="82" t="s">
        <v>24</v>
      </c>
      <c r="N60" s="37" t="s">
        <v>246</v>
      </c>
      <c r="O60" s="62"/>
      <c r="P60" s="10"/>
      <c r="Q60" s="342">
        <f>1</f>
        <v>1</v>
      </c>
      <c r="R60" s="141"/>
      <c r="T60" s="149" t="s">
        <v>23</v>
      </c>
      <c r="U60" s="148"/>
      <c r="X60" s="581">
        <v>16.90229415893555</v>
      </c>
      <c r="Y60" s="581">
        <f t="shared" si="6"/>
        <v>16.90229415893555</v>
      </c>
      <c r="Z60" s="141" t="str">
        <f t="shared" si="7"/>
        <v/>
      </c>
    </row>
    <row r="61" spans="1:26" s="147" customFormat="1" ht="255" customHeight="1" x14ac:dyDescent="0.2">
      <c r="A61" s="14">
        <f>A60+1</f>
        <v>13</v>
      </c>
      <c r="B61" s="238" t="s">
        <v>251</v>
      </c>
      <c r="C61" s="246" t="s">
        <v>252</v>
      </c>
      <c r="D61" s="19" t="s">
        <v>253</v>
      </c>
      <c r="E61" s="20">
        <f>LEN(D61)</f>
        <v>406</v>
      </c>
      <c r="F61" s="439" t="s">
        <v>254</v>
      </c>
      <c r="G61" s="20">
        <f>LEN(F61)</f>
        <v>455</v>
      </c>
      <c r="H61" s="21" t="s">
        <v>255</v>
      </c>
      <c r="I61" s="20" t="s">
        <v>24</v>
      </c>
      <c r="J61" s="20" t="s">
        <v>24</v>
      </c>
      <c r="K61" s="20" t="s">
        <v>256</v>
      </c>
      <c r="L61" s="22" t="s">
        <v>257</v>
      </c>
      <c r="M61" s="82" t="s">
        <v>258</v>
      </c>
      <c r="N61" s="37" t="s">
        <v>246</v>
      </c>
      <c r="O61" s="62"/>
      <c r="P61" s="72" t="s">
        <v>259</v>
      </c>
      <c r="Q61" s="342">
        <f>1</f>
        <v>1</v>
      </c>
      <c r="R61" s="141"/>
      <c r="T61" s="149" t="s">
        <v>23</v>
      </c>
      <c r="U61" s="148"/>
      <c r="X61" s="581">
        <v>16.957803726196289</v>
      </c>
      <c r="Y61" s="581">
        <f t="shared" si="6"/>
        <v>16.957803726196289</v>
      </c>
      <c r="Z61" s="141" t="str">
        <f t="shared" si="7"/>
        <v/>
      </c>
    </row>
    <row r="62" spans="1:26" s="147" customFormat="1" ht="289" customHeight="1" x14ac:dyDescent="0.2">
      <c r="A62" s="14">
        <f>A61+1</f>
        <v>14</v>
      </c>
      <c r="B62" s="238" t="s">
        <v>260</v>
      </c>
      <c r="C62" s="246" t="s">
        <v>261</v>
      </c>
      <c r="D62" s="19" t="s">
        <v>262</v>
      </c>
      <c r="E62" s="20">
        <f>LEN(D62)</f>
        <v>336</v>
      </c>
      <c r="F62" s="561" t="s">
        <v>263</v>
      </c>
      <c r="G62" s="20">
        <f>LEN(F62)</f>
        <v>396</v>
      </c>
      <c r="H62" s="21" t="s">
        <v>255</v>
      </c>
      <c r="I62" s="20" t="s">
        <v>24</v>
      </c>
      <c r="J62" s="20" t="s">
        <v>24</v>
      </c>
      <c r="K62" s="20" t="s">
        <v>264</v>
      </c>
      <c r="L62" s="22" t="s">
        <v>265</v>
      </c>
      <c r="M62" s="82" t="s">
        <v>266</v>
      </c>
      <c r="N62" s="37" t="s">
        <v>246</v>
      </c>
      <c r="O62" s="62"/>
      <c r="P62" s="72" t="s">
        <v>259</v>
      </c>
      <c r="Q62" s="342">
        <f>1</f>
        <v>1</v>
      </c>
      <c r="R62" s="141"/>
      <c r="T62" s="149" t="s">
        <v>23</v>
      </c>
      <c r="U62" s="148"/>
      <c r="X62" s="581">
        <v>11.02202892303467</v>
      </c>
      <c r="Y62" s="581">
        <f t="shared" si="6"/>
        <v>11.02202892303467</v>
      </c>
      <c r="Z62" s="141" t="str">
        <f t="shared" si="7"/>
        <v/>
      </c>
    </row>
    <row r="63" spans="1:26" s="147" customFormat="1" ht="171" customHeight="1" thickBot="1" x14ac:dyDescent="0.25">
      <c r="A63" s="14" t="e">
        <f>#REF!+1</f>
        <v>#REF!</v>
      </c>
      <c r="B63" s="240" t="s">
        <v>267</v>
      </c>
      <c r="C63" s="241" t="s">
        <v>267</v>
      </c>
      <c r="D63" s="27" t="s">
        <v>268</v>
      </c>
      <c r="E63" s="23">
        <f>LEN(D63)</f>
        <v>133</v>
      </c>
      <c r="F63" s="440" t="s">
        <v>269</v>
      </c>
      <c r="G63" s="23">
        <f>LEN(F63)</f>
        <v>173</v>
      </c>
      <c r="H63" s="21" t="s">
        <v>37</v>
      </c>
      <c r="I63" s="23" t="s">
        <v>24</v>
      </c>
      <c r="J63" s="23" t="s">
        <v>24</v>
      </c>
      <c r="K63" s="20" t="s">
        <v>38</v>
      </c>
      <c r="L63" s="22" t="s">
        <v>270</v>
      </c>
      <c r="M63" s="82" t="s">
        <v>24</v>
      </c>
      <c r="N63" s="37" t="s">
        <v>246</v>
      </c>
      <c r="O63" s="67"/>
      <c r="P63" s="10"/>
      <c r="Q63" s="342">
        <f>1</f>
        <v>1</v>
      </c>
      <c r="R63" s="141"/>
      <c r="T63" s="149" t="s">
        <v>23</v>
      </c>
      <c r="U63" s="148"/>
      <c r="X63" s="581">
        <v>7.02484130859375</v>
      </c>
      <c r="Y63" s="581">
        <f t="shared" si="6"/>
        <v>7.02484130859375</v>
      </c>
      <c r="Z63" s="141" t="str">
        <f t="shared" si="7"/>
        <v/>
      </c>
    </row>
    <row r="64" spans="1:26" s="415" customFormat="1" ht="17" customHeight="1" thickBot="1" x14ac:dyDescent="0.25">
      <c r="A64" s="604" t="s">
        <v>271</v>
      </c>
      <c r="B64" s="605"/>
      <c r="C64" s="605"/>
      <c r="D64" s="605"/>
      <c r="E64" s="605"/>
      <c r="F64" s="605"/>
      <c r="G64" s="605"/>
      <c r="H64" s="605"/>
      <c r="I64" s="605"/>
      <c r="J64" s="605"/>
      <c r="K64" s="605"/>
      <c r="L64" s="605"/>
      <c r="M64" s="605"/>
      <c r="N64" s="605"/>
      <c r="O64" s="605"/>
      <c r="P64" s="606"/>
      <c r="Q64" s="273"/>
      <c r="R64" s="426"/>
      <c r="T64" s="424"/>
      <c r="U64" s="427"/>
      <c r="X64" s="580"/>
      <c r="Y64" s="580" t="str">
        <f t="shared" si="6"/>
        <v/>
      </c>
      <c r="Z64" s="426" t="str">
        <f t="shared" si="7"/>
        <v/>
      </c>
    </row>
    <row r="65" spans="1:16370" s="147" customFormat="1" x14ac:dyDescent="0.2">
      <c r="A65" s="196"/>
      <c r="B65" s="196"/>
      <c r="C65" s="196"/>
      <c r="D65" s="107"/>
      <c r="E65" s="196"/>
      <c r="F65" s="196"/>
      <c r="G65" s="196"/>
      <c r="H65" s="196"/>
      <c r="I65" s="196"/>
      <c r="J65" s="196"/>
      <c r="K65" s="196"/>
      <c r="L65" s="196"/>
      <c r="M65" s="88"/>
      <c r="N65" s="196"/>
      <c r="O65" s="196"/>
      <c r="P65" s="51"/>
      <c r="Q65" s="342">
        <f>1</f>
        <v>1</v>
      </c>
      <c r="R65" s="141"/>
      <c r="T65" s="149"/>
      <c r="U65" s="148"/>
      <c r="X65" s="581"/>
      <c r="Y65" s="581" t="str">
        <f t="shared" si="6"/>
        <v/>
      </c>
      <c r="Z65" s="141" t="str">
        <f t="shared" si="7"/>
        <v/>
      </c>
    </row>
    <row r="66" spans="1:16370" s="147" customFormat="1" ht="409.5" customHeight="1" x14ac:dyDescent="0.2">
      <c r="A66" s="100" t="e">
        <f>A63+1</f>
        <v>#REF!</v>
      </c>
      <c r="B66" s="237" t="s">
        <v>272</v>
      </c>
      <c r="C66" s="146" t="s">
        <v>272</v>
      </c>
      <c r="D66" s="145" t="s">
        <v>273</v>
      </c>
      <c r="E66" s="144">
        <f>LEN(D66)</f>
        <v>1204</v>
      </c>
      <c r="F66" s="441" t="s">
        <v>274</v>
      </c>
      <c r="G66" s="144">
        <f>LEN(F66)</f>
        <v>1349</v>
      </c>
      <c r="H66" s="146" t="s">
        <v>37</v>
      </c>
      <c r="I66" s="144" t="s">
        <v>24</v>
      </c>
      <c r="J66" s="144" t="s">
        <v>24</v>
      </c>
      <c r="K66" s="144" t="s">
        <v>275</v>
      </c>
      <c r="L66" s="143" t="s">
        <v>276</v>
      </c>
      <c r="M66" s="222" t="s">
        <v>24</v>
      </c>
      <c r="N66" s="150" t="s">
        <v>277</v>
      </c>
      <c r="O66" s="52"/>
      <c r="P66" s="51"/>
      <c r="Q66" s="273">
        <f>1</f>
        <v>1</v>
      </c>
      <c r="R66" s="141"/>
      <c r="T66" s="424" t="s">
        <v>33</v>
      </c>
      <c r="U66" s="148"/>
      <c r="X66" s="580">
        <v>31.888334274291989</v>
      </c>
      <c r="Y66" s="580">
        <f t="shared" si="6"/>
        <v>31.888334274291989</v>
      </c>
      <c r="Z66" s="141">
        <f t="shared" si="7"/>
        <v>31.888334274291989</v>
      </c>
    </row>
    <row r="67" spans="1:16370" s="147" customFormat="1" ht="153" customHeight="1" x14ac:dyDescent="0.2">
      <c r="A67" s="100"/>
      <c r="B67" s="237" t="s">
        <v>278</v>
      </c>
      <c r="C67" s="247" t="s">
        <v>278</v>
      </c>
      <c r="D67" s="151" t="s">
        <v>279</v>
      </c>
      <c r="E67" s="144">
        <f>LEN(D67)</f>
        <v>143</v>
      </c>
      <c r="F67" s="406" t="s">
        <v>280</v>
      </c>
      <c r="G67" s="144">
        <f>LEN(F67)</f>
        <v>175</v>
      </c>
      <c r="H67" s="146" t="s">
        <v>37</v>
      </c>
      <c r="I67" s="144" t="s">
        <v>24</v>
      </c>
      <c r="J67" s="144" t="s">
        <v>24</v>
      </c>
      <c r="K67" s="144" t="s">
        <v>38</v>
      </c>
      <c r="L67" s="143" t="s">
        <v>281</v>
      </c>
      <c r="M67" s="222" t="s">
        <v>24</v>
      </c>
      <c r="N67" s="150" t="s">
        <v>282</v>
      </c>
      <c r="O67" s="52"/>
      <c r="P67" s="51"/>
      <c r="Q67" s="273">
        <f>1</f>
        <v>1</v>
      </c>
      <c r="R67" s="141"/>
      <c r="T67" s="424" t="s">
        <v>33</v>
      </c>
      <c r="U67" s="148"/>
      <c r="X67" s="580">
        <v>8</v>
      </c>
      <c r="Y67" s="580">
        <f t="shared" si="6"/>
        <v>8</v>
      </c>
      <c r="Z67" s="141">
        <f t="shared" si="7"/>
        <v>8</v>
      </c>
    </row>
    <row r="68" spans="1:16370" s="147" customFormat="1" ht="187" customHeight="1" x14ac:dyDescent="0.2">
      <c r="A68" s="100"/>
      <c r="B68" s="237" t="s">
        <v>283</v>
      </c>
      <c r="C68" s="247" t="s">
        <v>283</v>
      </c>
      <c r="D68" s="151" t="s">
        <v>284</v>
      </c>
      <c r="E68" s="144">
        <f>LEN(D68)</f>
        <v>170</v>
      </c>
      <c r="F68" s="406" t="s">
        <v>285</v>
      </c>
      <c r="G68" s="144">
        <f>LEN(F68)</f>
        <v>194</v>
      </c>
      <c r="H68" s="146" t="s">
        <v>37</v>
      </c>
      <c r="I68" s="144" t="s">
        <v>24</v>
      </c>
      <c r="J68" s="144" t="s">
        <v>24</v>
      </c>
      <c r="K68" s="144" t="s">
        <v>38</v>
      </c>
      <c r="L68" s="143" t="s">
        <v>281</v>
      </c>
      <c r="M68" s="222" t="s">
        <v>24</v>
      </c>
      <c r="N68" s="150" t="s">
        <v>286</v>
      </c>
      <c r="O68" s="52"/>
      <c r="P68" s="51"/>
      <c r="Q68" s="273">
        <f>1</f>
        <v>1</v>
      </c>
      <c r="R68" s="141"/>
      <c r="T68" s="424" t="s">
        <v>33</v>
      </c>
      <c r="U68" s="148"/>
      <c r="X68" s="580">
        <v>8</v>
      </c>
      <c r="Y68" s="580">
        <f t="shared" si="6"/>
        <v>8</v>
      </c>
      <c r="Z68" s="141">
        <f t="shared" si="7"/>
        <v>8</v>
      </c>
    </row>
    <row r="69" spans="1:16370" s="147" customFormat="1" ht="153" customHeight="1" x14ac:dyDescent="0.2">
      <c r="A69" s="100"/>
      <c r="B69" s="237" t="s">
        <v>287</v>
      </c>
      <c r="C69" s="247" t="s">
        <v>287</v>
      </c>
      <c r="D69" s="151" t="s">
        <v>288</v>
      </c>
      <c r="E69" s="144">
        <f>LEN(D69)</f>
        <v>176</v>
      </c>
      <c r="F69" s="406" t="s">
        <v>289</v>
      </c>
      <c r="G69" s="144">
        <f>LEN(F69)</f>
        <v>194</v>
      </c>
      <c r="H69" s="146" t="s">
        <v>37</v>
      </c>
      <c r="I69" s="144" t="s">
        <v>24</v>
      </c>
      <c r="J69" s="144" t="s">
        <v>24</v>
      </c>
      <c r="K69" s="144" t="s">
        <v>38</v>
      </c>
      <c r="L69" s="143" t="s">
        <v>281</v>
      </c>
      <c r="M69" s="222" t="s">
        <v>24</v>
      </c>
      <c r="N69" s="150" t="s">
        <v>290</v>
      </c>
      <c r="O69" s="52"/>
      <c r="P69" s="51"/>
      <c r="Q69" s="273">
        <f>1</f>
        <v>1</v>
      </c>
      <c r="R69" s="141"/>
      <c r="T69" s="424" t="s">
        <v>33</v>
      </c>
      <c r="U69" s="148"/>
      <c r="X69" s="580">
        <v>8</v>
      </c>
      <c r="Y69" s="580">
        <f t="shared" si="6"/>
        <v>8</v>
      </c>
      <c r="Z69" s="141">
        <f t="shared" si="7"/>
        <v>8</v>
      </c>
    </row>
    <row r="70" spans="1:16370" s="147" customFormat="1" x14ac:dyDescent="0.2">
      <c r="A70" s="100"/>
      <c r="B70" s="264"/>
      <c r="C70" s="269"/>
      <c r="D70" s="270"/>
      <c r="E70" s="107"/>
      <c r="G70" s="107"/>
      <c r="H70" s="101"/>
      <c r="I70" s="107"/>
      <c r="J70" s="107"/>
      <c r="K70" s="107"/>
      <c r="L70" s="88"/>
      <c r="M70" s="60"/>
      <c r="N70" s="175"/>
      <c r="O70" s="175"/>
      <c r="P70" s="51"/>
      <c r="Q70" s="342">
        <f>1</f>
        <v>1</v>
      </c>
      <c r="R70" s="141"/>
      <c r="T70" s="149"/>
      <c r="U70" s="148"/>
      <c r="X70" s="581"/>
      <c r="Y70" s="581" t="str">
        <f t="shared" si="6"/>
        <v/>
      </c>
      <c r="Z70" s="141" t="str">
        <f t="shared" si="7"/>
        <v/>
      </c>
    </row>
    <row r="71" spans="1:16370" s="147" customFormat="1" ht="136" customHeight="1" x14ac:dyDescent="0.2">
      <c r="A71" s="14">
        <v>19</v>
      </c>
      <c r="B71" s="238" t="s">
        <v>291</v>
      </c>
      <c r="C71" s="17" t="s">
        <v>291</v>
      </c>
      <c r="D71" s="22" t="s">
        <v>292</v>
      </c>
      <c r="E71" s="20">
        <f>LEN(D71)</f>
        <v>226</v>
      </c>
      <c r="F71" s="443" t="s">
        <v>293</v>
      </c>
      <c r="G71" s="20">
        <f>LEN(F71)</f>
        <v>264</v>
      </c>
      <c r="H71" s="20" t="s">
        <v>121</v>
      </c>
      <c r="I71" s="20" t="s">
        <v>24</v>
      </c>
      <c r="J71" s="20" t="s">
        <v>24</v>
      </c>
      <c r="K71" s="20" t="s">
        <v>27</v>
      </c>
      <c r="L71" s="30" t="s">
        <v>294</v>
      </c>
      <c r="M71" s="82" t="s">
        <v>24</v>
      </c>
      <c r="N71" s="368" t="s">
        <v>295</v>
      </c>
      <c r="O71" s="31"/>
      <c r="P71" s="619" t="s">
        <v>296</v>
      </c>
      <c r="Q71" s="342">
        <f>1</f>
        <v>1</v>
      </c>
      <c r="R71" s="141"/>
      <c r="T71" s="149" t="s">
        <v>23</v>
      </c>
      <c r="U71" s="148"/>
      <c r="X71" s="581">
        <v>31.963766098022461</v>
      </c>
      <c r="Y71" s="581">
        <f t="shared" si="6"/>
        <v>31.963766098022461</v>
      </c>
      <c r="Z71" s="141" t="str">
        <f t="shared" si="7"/>
        <v/>
      </c>
    </row>
    <row r="72" spans="1:16370" s="147" customFormat="1" ht="119" customHeight="1" x14ac:dyDescent="0.2">
      <c r="A72" s="14">
        <v>19</v>
      </c>
      <c r="B72" s="238" t="s">
        <v>297</v>
      </c>
      <c r="C72" s="246" t="s">
        <v>297</v>
      </c>
      <c r="D72" s="22" t="s">
        <v>298</v>
      </c>
      <c r="E72" s="20">
        <f>LEN(D72)</f>
        <v>249</v>
      </c>
      <c r="F72" s="444" t="s">
        <v>299</v>
      </c>
      <c r="G72" s="20">
        <f>LEN(F72)</f>
        <v>297</v>
      </c>
      <c r="H72" s="32" t="s">
        <v>37</v>
      </c>
      <c r="I72" s="16" t="s">
        <v>24</v>
      </c>
      <c r="J72" s="16" t="s">
        <v>24</v>
      </c>
      <c r="K72" s="16" t="s">
        <v>38</v>
      </c>
      <c r="L72" s="33" t="s">
        <v>300</v>
      </c>
      <c r="M72" s="82" t="s">
        <v>24</v>
      </c>
      <c r="N72" s="358" t="s">
        <v>301</v>
      </c>
      <c r="O72" s="34"/>
      <c r="P72" s="609"/>
      <c r="Q72" s="342">
        <f>1</f>
        <v>1</v>
      </c>
      <c r="R72" s="141"/>
      <c r="T72" s="149" t="s">
        <v>23</v>
      </c>
      <c r="U72" s="148"/>
      <c r="X72" s="581">
        <v>2.2273674011230469</v>
      </c>
      <c r="Y72" s="581">
        <f t="shared" si="6"/>
        <v>2.2273674011230469</v>
      </c>
      <c r="Z72" s="141" t="str">
        <f t="shared" si="7"/>
        <v/>
      </c>
    </row>
    <row r="73" spans="1:16370" s="147" customFormat="1" ht="170" customHeight="1" x14ac:dyDescent="0.2">
      <c r="A73" s="58">
        <v>18</v>
      </c>
      <c r="B73" s="369" t="s">
        <v>302</v>
      </c>
      <c r="C73" s="370" t="s">
        <v>302</v>
      </c>
      <c r="D73" s="57" t="s">
        <v>303</v>
      </c>
      <c r="E73" s="16">
        <f>LEN(D73)</f>
        <v>181</v>
      </c>
      <c r="F73" s="444" t="s">
        <v>304</v>
      </c>
      <c r="G73" s="20">
        <f>LEN(F73)</f>
        <v>193</v>
      </c>
      <c r="H73" s="17" t="s">
        <v>37</v>
      </c>
      <c r="I73" s="16" t="s">
        <v>24</v>
      </c>
      <c r="J73" s="16" t="s">
        <v>24</v>
      </c>
      <c r="K73" s="16" t="s">
        <v>38</v>
      </c>
      <c r="L73" s="33" t="s">
        <v>305</v>
      </c>
      <c r="M73" s="82" t="s">
        <v>24</v>
      </c>
      <c r="N73" s="357" t="s">
        <v>306</v>
      </c>
      <c r="O73" s="357"/>
      <c r="P73" s="51"/>
      <c r="Q73" s="342">
        <f>1</f>
        <v>1</v>
      </c>
      <c r="R73" s="141"/>
      <c r="T73" s="149" t="s">
        <v>23</v>
      </c>
      <c r="U73" s="148"/>
      <c r="X73" s="581">
        <v>4.7874016761779794</v>
      </c>
      <c r="Y73" s="581">
        <f t="shared" si="6"/>
        <v>4.7874016761779794</v>
      </c>
      <c r="Z73" s="141" t="str">
        <f t="shared" si="7"/>
        <v/>
      </c>
    </row>
    <row r="74" spans="1:16370" s="147" customFormat="1" ht="153" customHeight="1" x14ac:dyDescent="0.2">
      <c r="A74" s="356"/>
      <c r="B74" s="242" t="s">
        <v>307</v>
      </c>
      <c r="C74" s="246" t="s">
        <v>307</v>
      </c>
      <c r="D74" s="36" t="s">
        <v>308</v>
      </c>
      <c r="E74" s="24">
        <f>LEN(D74)</f>
        <v>215</v>
      </c>
      <c r="F74" s="443" t="s">
        <v>309</v>
      </c>
      <c r="G74" s="20">
        <f>LEN(F74)</f>
        <v>241</v>
      </c>
      <c r="H74" s="35" t="s">
        <v>37</v>
      </c>
      <c r="I74" s="20" t="s">
        <v>24</v>
      </c>
      <c r="J74" s="20" t="s">
        <v>24</v>
      </c>
      <c r="K74" s="20" t="s">
        <v>38</v>
      </c>
      <c r="L74" s="22" t="s">
        <v>310</v>
      </c>
      <c r="M74" s="82" t="s">
        <v>24</v>
      </c>
      <c r="N74" s="30" t="s">
        <v>311</v>
      </c>
      <c r="O74" s="355"/>
      <c r="P74" s="10"/>
      <c r="Q74" s="342">
        <f>1</f>
        <v>1</v>
      </c>
      <c r="R74" s="141"/>
      <c r="S74" s="545"/>
      <c r="T74" s="149" t="s">
        <v>23</v>
      </c>
      <c r="U74" s="148"/>
      <c r="V74" s="545"/>
      <c r="W74" s="545"/>
      <c r="X74" s="581">
        <v>20.918367385864261</v>
      </c>
      <c r="Y74" s="581">
        <f t="shared" si="6"/>
        <v>20.918367385864261</v>
      </c>
      <c r="Z74" s="141" t="str">
        <f t="shared" si="7"/>
        <v/>
      </c>
      <c r="AA74" s="545"/>
      <c r="AB74" s="545"/>
      <c r="AC74" s="545"/>
      <c r="AD74" s="545"/>
      <c r="AE74" s="545"/>
      <c r="AF74" s="545"/>
      <c r="AG74" s="545"/>
      <c r="AH74" s="545"/>
      <c r="AI74" s="545"/>
      <c r="AJ74" s="545"/>
      <c r="AK74" s="545"/>
      <c r="AL74" s="545"/>
      <c r="AM74" s="545"/>
      <c r="AN74" s="545"/>
      <c r="AO74" s="545"/>
      <c r="AP74" s="545"/>
      <c r="AQ74" s="545"/>
      <c r="AR74" s="545"/>
      <c r="AS74" s="545"/>
      <c r="AT74" s="545"/>
      <c r="AU74" s="545"/>
      <c r="AV74" s="545"/>
      <c r="AW74" s="545"/>
      <c r="AX74" s="545"/>
      <c r="AY74" s="545"/>
      <c r="AZ74" s="545"/>
      <c r="BA74" s="545"/>
      <c r="BB74" s="545"/>
      <c r="BC74" s="545"/>
      <c r="BD74" s="545"/>
      <c r="BE74" s="545"/>
      <c r="BF74" s="545"/>
      <c r="BG74" s="545"/>
      <c r="BH74" s="545"/>
      <c r="BI74" s="545"/>
      <c r="BJ74" s="545"/>
      <c r="BK74" s="545"/>
      <c r="BL74" s="545"/>
      <c r="BM74" s="545"/>
      <c r="BN74" s="545"/>
      <c r="BO74" s="545"/>
      <c r="BP74" s="545"/>
      <c r="BQ74" s="545"/>
      <c r="BR74" s="545"/>
      <c r="BS74" s="545"/>
      <c r="BT74" s="545"/>
      <c r="BU74" s="545"/>
      <c r="BV74" s="545"/>
      <c r="BW74" s="545"/>
      <c r="BX74" s="545"/>
      <c r="BY74" s="545"/>
      <c r="BZ74" s="545"/>
      <c r="CA74" s="545"/>
      <c r="CB74" s="545"/>
      <c r="CC74" s="545"/>
      <c r="CD74" s="545"/>
      <c r="CE74" s="545"/>
      <c r="CF74" s="545"/>
      <c r="CG74" s="545"/>
      <c r="CH74" s="545"/>
      <c r="CI74" s="545"/>
      <c r="CJ74" s="545"/>
      <c r="CK74" s="545"/>
      <c r="CL74" s="545"/>
      <c r="CM74" s="545"/>
      <c r="CN74" s="545"/>
      <c r="CO74" s="545"/>
      <c r="CP74" s="545"/>
      <c r="CQ74" s="545"/>
      <c r="CR74" s="545"/>
      <c r="CS74" s="545"/>
      <c r="CT74" s="545"/>
      <c r="CU74" s="545"/>
      <c r="CV74" s="545"/>
      <c r="CW74" s="545"/>
      <c r="CX74" s="545"/>
      <c r="CY74" s="545"/>
      <c r="CZ74" s="545"/>
      <c r="DA74" s="545"/>
      <c r="DB74" s="545"/>
      <c r="DC74" s="545"/>
      <c r="DD74" s="545"/>
      <c r="DE74" s="545"/>
      <c r="DF74" s="545"/>
      <c r="DG74" s="545"/>
      <c r="DH74" s="545"/>
      <c r="DI74" s="545"/>
      <c r="DJ74" s="545"/>
      <c r="DK74" s="545"/>
      <c r="DL74" s="545"/>
      <c r="DM74" s="545"/>
      <c r="DN74" s="545"/>
      <c r="DO74" s="545"/>
      <c r="DP74" s="545"/>
      <c r="DQ74" s="545"/>
      <c r="DR74" s="545"/>
      <c r="DS74" s="545"/>
      <c r="DT74" s="545"/>
      <c r="DU74" s="545"/>
      <c r="DV74" s="545"/>
      <c r="DW74" s="545"/>
      <c r="DX74" s="545"/>
      <c r="DY74" s="545"/>
      <c r="DZ74" s="545"/>
      <c r="EA74" s="545"/>
      <c r="EB74" s="545"/>
      <c r="EC74" s="545"/>
      <c r="ED74" s="545"/>
      <c r="EE74" s="545"/>
      <c r="EF74" s="545"/>
      <c r="EG74" s="545"/>
      <c r="EH74" s="545"/>
      <c r="EI74" s="545"/>
      <c r="EJ74" s="545"/>
      <c r="EK74" s="545"/>
      <c r="EL74" s="545"/>
      <c r="EM74" s="545"/>
      <c r="EN74" s="545"/>
      <c r="EO74" s="545"/>
      <c r="EP74" s="545"/>
      <c r="EQ74" s="545"/>
      <c r="ER74" s="545"/>
      <c r="ES74" s="545"/>
      <c r="ET74" s="545"/>
      <c r="EU74" s="545"/>
      <c r="EV74" s="545"/>
      <c r="EW74" s="545"/>
      <c r="EX74" s="545"/>
      <c r="EY74" s="545"/>
      <c r="EZ74" s="545"/>
      <c r="FA74" s="545"/>
      <c r="FB74" s="545"/>
      <c r="FC74" s="545"/>
      <c r="FD74" s="545"/>
      <c r="FE74" s="545"/>
      <c r="FF74" s="545"/>
      <c r="FG74" s="545"/>
      <c r="FH74" s="545"/>
      <c r="FI74" s="545"/>
      <c r="FJ74" s="545"/>
      <c r="FK74" s="545"/>
      <c r="FL74" s="545"/>
      <c r="FM74" s="545"/>
      <c r="FN74" s="545"/>
      <c r="FO74" s="545"/>
      <c r="FP74" s="545"/>
      <c r="FQ74" s="545"/>
      <c r="FR74" s="545"/>
      <c r="FS74" s="545"/>
      <c r="FT74" s="545"/>
      <c r="FU74" s="545"/>
      <c r="FV74" s="545"/>
      <c r="FW74" s="545"/>
      <c r="FX74" s="545"/>
      <c r="FY74" s="545"/>
      <c r="FZ74" s="545"/>
      <c r="GA74" s="545"/>
      <c r="GB74" s="545"/>
      <c r="GC74" s="545"/>
      <c r="GD74" s="545"/>
      <c r="GE74" s="545"/>
      <c r="GF74" s="545"/>
      <c r="GG74" s="545"/>
      <c r="GH74" s="545"/>
      <c r="GI74" s="545"/>
      <c r="GJ74" s="545"/>
      <c r="GK74" s="545"/>
      <c r="GL74" s="545"/>
      <c r="GM74" s="545"/>
      <c r="GN74" s="545"/>
      <c r="GO74" s="545"/>
      <c r="GP74" s="545"/>
      <c r="GQ74" s="545"/>
      <c r="GR74" s="545"/>
      <c r="GS74" s="545"/>
      <c r="GT74" s="545"/>
      <c r="GU74" s="545"/>
      <c r="GV74" s="545"/>
      <c r="GW74" s="545"/>
      <c r="GX74" s="545"/>
      <c r="GY74" s="545"/>
      <c r="GZ74" s="545"/>
      <c r="HA74" s="545"/>
      <c r="HB74" s="545"/>
      <c r="HC74" s="545"/>
      <c r="HD74" s="545"/>
      <c r="HE74" s="545"/>
      <c r="HF74" s="545"/>
      <c r="HG74" s="545"/>
      <c r="HH74" s="545"/>
      <c r="HI74" s="545"/>
      <c r="HJ74" s="545"/>
      <c r="HK74" s="545"/>
      <c r="HL74" s="545"/>
      <c r="HM74" s="545"/>
      <c r="HN74" s="545"/>
      <c r="HO74" s="545"/>
      <c r="HP74" s="545"/>
      <c r="HQ74" s="545"/>
      <c r="HR74" s="545"/>
      <c r="HS74" s="545"/>
      <c r="HT74" s="545"/>
      <c r="HU74" s="545"/>
      <c r="HV74" s="545"/>
      <c r="HW74" s="545"/>
      <c r="HX74" s="545"/>
      <c r="HY74" s="545"/>
      <c r="HZ74" s="545"/>
      <c r="IA74" s="545"/>
      <c r="IB74" s="545"/>
      <c r="IC74" s="545"/>
      <c r="ID74" s="545"/>
      <c r="IE74" s="545"/>
      <c r="IF74" s="545"/>
      <c r="IG74" s="545"/>
      <c r="IH74" s="545"/>
      <c r="II74" s="545"/>
      <c r="IJ74" s="545"/>
      <c r="IK74" s="545"/>
      <c r="IL74" s="545"/>
      <c r="IM74" s="545"/>
      <c r="IN74" s="545"/>
      <c r="IO74" s="545"/>
      <c r="IP74" s="545"/>
      <c r="IQ74" s="545"/>
      <c r="IR74" s="545"/>
      <c r="IS74" s="545"/>
      <c r="IT74" s="545"/>
      <c r="IU74" s="545"/>
      <c r="IV74" s="545"/>
      <c r="IW74" s="545"/>
      <c r="IX74" s="545"/>
      <c r="IY74" s="545"/>
      <c r="IZ74" s="545"/>
      <c r="JA74" s="545"/>
      <c r="JB74" s="545"/>
      <c r="JC74" s="545"/>
      <c r="JD74" s="545"/>
      <c r="JE74" s="545"/>
      <c r="JF74" s="545"/>
      <c r="JG74" s="545"/>
      <c r="JH74" s="545"/>
      <c r="JI74" s="545"/>
      <c r="JJ74" s="545"/>
      <c r="JK74" s="545"/>
      <c r="JL74" s="545"/>
      <c r="JM74" s="545"/>
      <c r="JN74" s="545"/>
      <c r="JO74" s="545"/>
      <c r="JP74" s="545"/>
      <c r="JQ74" s="545"/>
      <c r="JR74" s="545"/>
      <c r="JS74" s="545"/>
      <c r="JT74" s="545"/>
      <c r="JU74" s="545"/>
      <c r="JV74" s="545"/>
      <c r="JW74" s="545"/>
      <c r="JX74" s="545"/>
      <c r="JY74" s="545"/>
      <c r="JZ74" s="545"/>
      <c r="KA74" s="545"/>
      <c r="KB74" s="545"/>
      <c r="KC74" s="545"/>
      <c r="KD74" s="545"/>
      <c r="KE74" s="545"/>
      <c r="KF74" s="545"/>
      <c r="KG74" s="545"/>
      <c r="KH74" s="545"/>
      <c r="KI74" s="545"/>
      <c r="KJ74" s="545"/>
      <c r="KK74" s="545"/>
      <c r="KL74" s="545"/>
      <c r="KM74" s="545"/>
      <c r="KN74" s="545"/>
      <c r="KO74" s="545"/>
      <c r="KP74" s="545"/>
      <c r="KQ74" s="545"/>
      <c r="KR74" s="545"/>
      <c r="KS74" s="545"/>
      <c r="KT74" s="545"/>
      <c r="KU74" s="545"/>
      <c r="KV74" s="545"/>
      <c r="KW74" s="545"/>
      <c r="KX74" s="545"/>
      <c r="KY74" s="545"/>
      <c r="KZ74" s="545"/>
      <c r="LA74" s="545"/>
      <c r="LB74" s="545"/>
      <c r="LC74" s="545"/>
      <c r="LD74" s="545"/>
      <c r="LE74" s="545"/>
      <c r="LF74" s="545"/>
      <c r="LG74" s="545"/>
      <c r="LH74" s="545"/>
      <c r="LI74" s="545"/>
      <c r="LJ74" s="545"/>
      <c r="LK74" s="545"/>
      <c r="LL74" s="545"/>
      <c r="LM74" s="545"/>
      <c r="LN74" s="545"/>
      <c r="LO74" s="545"/>
      <c r="LP74" s="545"/>
      <c r="LQ74" s="545"/>
      <c r="LR74" s="545"/>
      <c r="LS74" s="545"/>
      <c r="LT74" s="545"/>
      <c r="LU74" s="545"/>
      <c r="LV74" s="545"/>
      <c r="LW74" s="545"/>
      <c r="LX74" s="545"/>
      <c r="LY74" s="545"/>
      <c r="LZ74" s="545"/>
      <c r="MA74" s="545"/>
      <c r="MB74" s="545"/>
      <c r="MC74" s="545"/>
      <c r="MD74" s="545"/>
      <c r="ME74" s="545"/>
      <c r="MF74" s="545"/>
      <c r="MG74" s="545"/>
      <c r="MH74" s="545"/>
      <c r="MI74" s="545"/>
      <c r="MJ74" s="545"/>
      <c r="MK74" s="545"/>
      <c r="ML74" s="545"/>
      <c r="MM74" s="545"/>
      <c r="MN74" s="545"/>
      <c r="MO74" s="545"/>
      <c r="MP74" s="545"/>
      <c r="MQ74" s="545"/>
      <c r="MR74" s="545"/>
      <c r="MS74" s="545"/>
      <c r="MT74" s="545"/>
      <c r="MU74" s="545"/>
      <c r="MV74" s="545"/>
      <c r="MW74" s="545"/>
      <c r="MX74" s="545"/>
      <c r="MY74" s="545"/>
      <c r="MZ74" s="545"/>
      <c r="NA74" s="545"/>
      <c r="NB74" s="545"/>
      <c r="NC74" s="545"/>
      <c r="ND74" s="545"/>
      <c r="NE74" s="545"/>
      <c r="NF74" s="545"/>
      <c r="NG74" s="545"/>
      <c r="NH74" s="545"/>
      <c r="NI74" s="545"/>
      <c r="NJ74" s="545"/>
      <c r="NK74" s="545"/>
      <c r="NL74" s="545"/>
      <c r="NM74" s="545"/>
      <c r="NN74" s="545"/>
      <c r="NO74" s="545"/>
      <c r="NP74" s="545"/>
      <c r="NQ74" s="545"/>
      <c r="NR74" s="545"/>
      <c r="NS74" s="545"/>
      <c r="NT74" s="545"/>
      <c r="NU74" s="545"/>
      <c r="NV74" s="545"/>
      <c r="NW74" s="545"/>
      <c r="NX74" s="545"/>
      <c r="NY74" s="545"/>
      <c r="NZ74" s="545"/>
      <c r="OA74" s="545"/>
      <c r="OB74" s="545"/>
      <c r="OC74" s="545"/>
      <c r="OD74" s="545"/>
      <c r="OE74" s="545"/>
      <c r="OF74" s="545"/>
      <c r="OG74" s="545"/>
      <c r="OH74" s="545"/>
      <c r="OI74" s="545"/>
      <c r="OJ74" s="545"/>
      <c r="OK74" s="545"/>
      <c r="OL74" s="545"/>
      <c r="OM74" s="545"/>
      <c r="ON74" s="545"/>
      <c r="OO74" s="545"/>
      <c r="OP74" s="545"/>
      <c r="OQ74" s="545"/>
      <c r="OR74" s="545"/>
      <c r="OS74" s="545"/>
      <c r="OT74" s="545"/>
      <c r="OU74" s="545"/>
      <c r="OV74" s="545"/>
      <c r="OW74" s="545"/>
      <c r="OX74" s="545"/>
      <c r="OY74" s="545"/>
      <c r="OZ74" s="545"/>
      <c r="PA74" s="545"/>
      <c r="PB74" s="545"/>
      <c r="PC74" s="545"/>
      <c r="PD74" s="545"/>
      <c r="PE74" s="545"/>
      <c r="PF74" s="545"/>
      <c r="PG74" s="545"/>
      <c r="PH74" s="545"/>
      <c r="PI74" s="545"/>
      <c r="PJ74" s="545"/>
      <c r="PK74" s="545"/>
      <c r="PL74" s="545"/>
      <c r="PM74" s="545"/>
      <c r="PN74" s="545"/>
      <c r="PO74" s="545"/>
      <c r="PP74" s="545"/>
      <c r="PQ74" s="545"/>
      <c r="PR74" s="545"/>
      <c r="PS74" s="545"/>
      <c r="PT74" s="545"/>
      <c r="PU74" s="545"/>
      <c r="PV74" s="545"/>
      <c r="PW74" s="545"/>
      <c r="PX74" s="545"/>
      <c r="PY74" s="545"/>
      <c r="PZ74" s="545"/>
      <c r="QA74" s="545"/>
      <c r="QB74" s="545"/>
      <c r="QC74" s="545"/>
      <c r="QD74" s="545"/>
      <c r="QE74" s="545"/>
      <c r="QF74" s="545"/>
      <c r="QG74" s="545"/>
      <c r="QH74" s="545"/>
      <c r="QI74" s="545"/>
      <c r="QJ74" s="545"/>
      <c r="QK74" s="545"/>
      <c r="QL74" s="545"/>
      <c r="QM74" s="545"/>
      <c r="QN74" s="545"/>
      <c r="QO74" s="545"/>
      <c r="QP74" s="545"/>
      <c r="QQ74" s="545"/>
      <c r="QR74" s="545"/>
      <c r="QS74" s="545"/>
      <c r="QT74" s="545"/>
      <c r="QU74" s="545"/>
      <c r="QV74" s="545"/>
      <c r="QW74" s="545"/>
      <c r="QX74" s="545"/>
      <c r="QY74" s="545"/>
      <c r="QZ74" s="545"/>
      <c r="RA74" s="545"/>
      <c r="RB74" s="545"/>
      <c r="RC74" s="545"/>
      <c r="RD74" s="545"/>
      <c r="RE74" s="545"/>
      <c r="RF74" s="545"/>
      <c r="RG74" s="545"/>
      <c r="RH74" s="545"/>
      <c r="RI74" s="545"/>
      <c r="RJ74" s="545"/>
      <c r="RK74" s="545"/>
      <c r="RL74" s="545"/>
      <c r="RM74" s="545"/>
      <c r="RN74" s="545"/>
      <c r="RO74" s="545"/>
      <c r="RP74" s="545"/>
      <c r="RQ74" s="545"/>
      <c r="RR74" s="545"/>
      <c r="RS74" s="545"/>
      <c r="RT74" s="545"/>
      <c r="RU74" s="545"/>
      <c r="RV74" s="545"/>
      <c r="RW74" s="545"/>
      <c r="RX74" s="545"/>
      <c r="RY74" s="545"/>
      <c r="RZ74" s="545"/>
      <c r="SA74" s="545"/>
      <c r="SB74" s="545"/>
      <c r="SC74" s="545"/>
      <c r="SD74" s="545"/>
      <c r="SE74" s="545"/>
      <c r="SF74" s="545"/>
      <c r="SG74" s="545"/>
      <c r="SH74" s="545"/>
      <c r="SI74" s="545"/>
      <c r="SJ74" s="545"/>
      <c r="SK74" s="545"/>
      <c r="SL74" s="545"/>
      <c r="SM74" s="545"/>
      <c r="SN74" s="545"/>
      <c r="SO74" s="545"/>
      <c r="SP74" s="545"/>
      <c r="SQ74" s="545"/>
      <c r="SR74" s="545"/>
      <c r="SS74" s="545"/>
      <c r="ST74" s="545"/>
      <c r="SU74" s="545"/>
      <c r="SV74" s="545"/>
      <c r="SW74" s="545"/>
      <c r="SX74" s="545"/>
      <c r="SY74" s="545"/>
      <c r="SZ74" s="545"/>
      <c r="TA74" s="545"/>
      <c r="TB74" s="545"/>
      <c r="TC74" s="545"/>
      <c r="TD74" s="545"/>
      <c r="TE74" s="545"/>
      <c r="TF74" s="545"/>
      <c r="TG74" s="545"/>
      <c r="TH74" s="545"/>
      <c r="TI74" s="545"/>
      <c r="TJ74" s="545"/>
      <c r="TK74" s="545"/>
      <c r="TL74" s="545"/>
      <c r="TM74" s="545"/>
      <c r="TN74" s="545"/>
      <c r="TO74" s="545"/>
      <c r="TP74" s="545"/>
      <c r="TQ74" s="545"/>
      <c r="TR74" s="545"/>
      <c r="TS74" s="545"/>
      <c r="TT74" s="545"/>
      <c r="TU74" s="545"/>
      <c r="TV74" s="545"/>
      <c r="TW74" s="545"/>
      <c r="TX74" s="545"/>
      <c r="TY74" s="545"/>
      <c r="TZ74" s="545"/>
      <c r="UA74" s="545"/>
      <c r="UB74" s="545"/>
      <c r="UC74" s="545"/>
      <c r="UD74" s="545"/>
      <c r="UE74" s="545"/>
      <c r="UF74" s="545"/>
      <c r="UG74" s="545"/>
      <c r="UH74" s="545"/>
      <c r="UI74" s="545"/>
      <c r="UJ74" s="545"/>
      <c r="UK74" s="545"/>
      <c r="UL74" s="545"/>
      <c r="UM74" s="545"/>
      <c r="UN74" s="545"/>
      <c r="UO74" s="545"/>
      <c r="UP74" s="545"/>
      <c r="UQ74" s="545"/>
      <c r="UR74" s="545"/>
      <c r="US74" s="545"/>
      <c r="UT74" s="545"/>
      <c r="UU74" s="545"/>
      <c r="UV74" s="545"/>
      <c r="UW74" s="545"/>
      <c r="UX74" s="545"/>
      <c r="UY74" s="545"/>
      <c r="UZ74" s="545"/>
      <c r="VA74" s="545"/>
      <c r="VB74" s="545"/>
      <c r="VC74" s="545"/>
      <c r="VD74" s="545"/>
      <c r="VE74" s="545"/>
      <c r="VF74" s="545"/>
      <c r="VG74" s="545"/>
      <c r="VH74" s="545"/>
      <c r="VI74" s="545"/>
      <c r="VJ74" s="545"/>
      <c r="VK74" s="545"/>
      <c r="VL74" s="545"/>
      <c r="VM74" s="545"/>
      <c r="VN74" s="545"/>
      <c r="VO74" s="545"/>
      <c r="VP74" s="545"/>
      <c r="VQ74" s="545"/>
      <c r="VR74" s="545"/>
      <c r="VS74" s="545"/>
      <c r="VT74" s="545"/>
      <c r="VU74" s="545"/>
      <c r="VV74" s="545"/>
      <c r="VW74" s="545"/>
      <c r="VX74" s="545"/>
      <c r="VY74" s="545"/>
      <c r="VZ74" s="545"/>
      <c r="WA74" s="545"/>
      <c r="WB74" s="545"/>
      <c r="WC74" s="545"/>
      <c r="WD74" s="545"/>
      <c r="WE74" s="545"/>
      <c r="WF74" s="545"/>
      <c r="WG74" s="545"/>
      <c r="WH74" s="545"/>
      <c r="WI74" s="545"/>
      <c r="WJ74" s="545"/>
      <c r="WK74" s="545"/>
      <c r="WL74" s="545"/>
      <c r="WM74" s="545"/>
      <c r="WN74" s="545"/>
      <c r="WO74" s="545"/>
      <c r="WP74" s="545"/>
      <c r="WQ74" s="545"/>
      <c r="WR74" s="545"/>
      <c r="WS74" s="545"/>
      <c r="WT74" s="545"/>
      <c r="WU74" s="545"/>
      <c r="WV74" s="545"/>
      <c r="WW74" s="545"/>
      <c r="WX74" s="545"/>
      <c r="WY74" s="545"/>
      <c r="WZ74" s="545"/>
      <c r="XA74" s="545"/>
      <c r="XB74" s="545"/>
      <c r="XC74" s="545"/>
      <c r="XD74" s="545"/>
      <c r="XE74" s="545"/>
      <c r="XF74" s="545"/>
      <c r="XG74" s="545"/>
      <c r="XH74" s="545"/>
      <c r="XI74" s="545"/>
      <c r="XJ74" s="545"/>
      <c r="XK74" s="545"/>
      <c r="XL74" s="545"/>
      <c r="XM74" s="545"/>
      <c r="XN74" s="545"/>
      <c r="XO74" s="545"/>
      <c r="XP74" s="545"/>
      <c r="XQ74" s="545"/>
      <c r="XR74" s="545"/>
      <c r="XS74" s="545"/>
      <c r="XT74" s="545"/>
      <c r="XU74" s="545"/>
      <c r="XV74" s="545"/>
      <c r="XW74" s="545"/>
      <c r="XX74" s="545"/>
      <c r="XY74" s="545"/>
      <c r="XZ74" s="545"/>
      <c r="YA74" s="545"/>
      <c r="YB74" s="545"/>
      <c r="YC74" s="545"/>
      <c r="YD74" s="545"/>
      <c r="YE74" s="545"/>
      <c r="YF74" s="545"/>
      <c r="YG74" s="545"/>
      <c r="YH74" s="545"/>
      <c r="YI74" s="545"/>
      <c r="YJ74" s="545"/>
      <c r="YK74" s="545"/>
      <c r="YL74" s="545"/>
      <c r="YM74" s="545"/>
      <c r="YN74" s="545"/>
      <c r="YO74" s="545"/>
      <c r="YP74" s="545"/>
      <c r="YQ74" s="545"/>
      <c r="YR74" s="545"/>
      <c r="YS74" s="545"/>
      <c r="YT74" s="545"/>
      <c r="YU74" s="545"/>
      <c r="YV74" s="545"/>
      <c r="YW74" s="545"/>
      <c r="YX74" s="545"/>
      <c r="YY74" s="545"/>
      <c r="YZ74" s="545"/>
      <c r="ZA74" s="545"/>
      <c r="ZB74" s="545"/>
      <c r="ZC74" s="545"/>
      <c r="ZD74" s="545"/>
      <c r="ZE74" s="545"/>
      <c r="ZF74" s="545"/>
      <c r="ZG74" s="545"/>
      <c r="ZH74" s="545"/>
      <c r="ZI74" s="545"/>
      <c r="ZJ74" s="545"/>
      <c r="ZK74" s="545"/>
      <c r="ZL74" s="545"/>
      <c r="ZM74" s="545"/>
      <c r="ZN74" s="545"/>
      <c r="ZO74" s="545"/>
      <c r="ZP74" s="545"/>
      <c r="ZQ74" s="545"/>
      <c r="ZR74" s="545"/>
      <c r="ZS74" s="545"/>
      <c r="ZT74" s="545"/>
      <c r="ZU74" s="545"/>
      <c r="ZV74" s="545"/>
      <c r="ZW74" s="545"/>
      <c r="ZX74" s="545"/>
      <c r="ZY74" s="545"/>
      <c r="ZZ74" s="545"/>
      <c r="AAA74" s="545"/>
      <c r="AAB74" s="545"/>
      <c r="AAC74" s="545"/>
      <c r="AAD74" s="545"/>
      <c r="AAE74" s="545"/>
      <c r="AAF74" s="545"/>
      <c r="AAG74" s="545"/>
      <c r="AAH74" s="545"/>
      <c r="AAI74" s="545"/>
      <c r="AAJ74" s="545"/>
      <c r="AAK74" s="545"/>
      <c r="AAL74" s="545"/>
      <c r="AAM74" s="545"/>
      <c r="AAN74" s="545"/>
      <c r="AAO74" s="545"/>
      <c r="AAP74" s="545"/>
      <c r="AAQ74" s="545"/>
      <c r="AAR74" s="545"/>
      <c r="AAS74" s="545"/>
      <c r="AAT74" s="545"/>
      <c r="AAU74" s="545"/>
      <c r="AAV74" s="545"/>
      <c r="AAW74" s="545"/>
      <c r="AAX74" s="545"/>
      <c r="AAY74" s="545"/>
      <c r="AAZ74" s="545"/>
      <c r="ABA74" s="545"/>
      <c r="ABB74" s="545"/>
      <c r="ABC74" s="545"/>
      <c r="ABD74" s="545"/>
      <c r="ABE74" s="545"/>
      <c r="ABF74" s="545"/>
      <c r="ABG74" s="545"/>
      <c r="ABH74" s="545"/>
      <c r="ABI74" s="545"/>
      <c r="ABJ74" s="545"/>
      <c r="ABK74" s="545"/>
      <c r="ABL74" s="545"/>
      <c r="ABM74" s="545"/>
      <c r="ABN74" s="545"/>
      <c r="ABO74" s="545"/>
      <c r="ABP74" s="545"/>
      <c r="ABQ74" s="545"/>
      <c r="ABR74" s="545"/>
      <c r="ABS74" s="545"/>
      <c r="ABT74" s="545"/>
      <c r="ABU74" s="545"/>
      <c r="ABV74" s="545"/>
      <c r="ABW74" s="545"/>
      <c r="ABX74" s="545"/>
      <c r="ABY74" s="545"/>
      <c r="ABZ74" s="545"/>
      <c r="ACA74" s="545"/>
      <c r="ACB74" s="545"/>
      <c r="ACC74" s="545"/>
      <c r="ACD74" s="545"/>
      <c r="ACE74" s="545"/>
      <c r="ACF74" s="545"/>
      <c r="ACG74" s="545"/>
      <c r="ACH74" s="545"/>
      <c r="ACI74" s="545"/>
      <c r="ACJ74" s="545"/>
      <c r="ACK74" s="545"/>
      <c r="ACL74" s="545"/>
      <c r="ACM74" s="545"/>
      <c r="ACN74" s="545"/>
      <c r="ACO74" s="545"/>
      <c r="ACP74" s="545"/>
      <c r="ACQ74" s="545"/>
      <c r="ACR74" s="545"/>
      <c r="ACS74" s="545"/>
      <c r="ACT74" s="545"/>
      <c r="ACU74" s="545"/>
      <c r="ACV74" s="545"/>
      <c r="ACW74" s="545"/>
      <c r="ACX74" s="545"/>
      <c r="ACY74" s="545"/>
      <c r="ACZ74" s="545"/>
      <c r="ADA74" s="545"/>
      <c r="ADB74" s="545"/>
      <c r="ADC74" s="545"/>
      <c r="ADD74" s="545"/>
      <c r="ADE74" s="545"/>
      <c r="ADF74" s="545"/>
      <c r="ADG74" s="545"/>
      <c r="ADH74" s="545"/>
      <c r="ADI74" s="545"/>
      <c r="ADJ74" s="545"/>
      <c r="ADK74" s="545"/>
      <c r="ADL74" s="545"/>
      <c r="ADM74" s="545"/>
      <c r="ADN74" s="545"/>
      <c r="ADO74" s="545"/>
      <c r="ADP74" s="545"/>
      <c r="ADQ74" s="545"/>
      <c r="ADR74" s="545"/>
      <c r="ADS74" s="545"/>
      <c r="ADT74" s="545"/>
      <c r="ADU74" s="545"/>
      <c r="ADV74" s="545"/>
      <c r="ADW74" s="545"/>
      <c r="ADX74" s="545"/>
      <c r="ADY74" s="545"/>
      <c r="ADZ74" s="545"/>
      <c r="AEA74" s="545"/>
      <c r="AEB74" s="545"/>
      <c r="AEC74" s="545"/>
      <c r="AED74" s="545"/>
      <c r="AEE74" s="545"/>
      <c r="AEF74" s="545"/>
      <c r="AEG74" s="545"/>
      <c r="AEH74" s="545"/>
      <c r="AEI74" s="545"/>
      <c r="AEJ74" s="545"/>
      <c r="AEK74" s="545"/>
      <c r="AEL74" s="545"/>
      <c r="AEM74" s="545"/>
      <c r="AEN74" s="545"/>
      <c r="AEO74" s="545"/>
      <c r="AEP74" s="545"/>
      <c r="AEQ74" s="545"/>
      <c r="AER74" s="545"/>
      <c r="AES74" s="545"/>
      <c r="AET74" s="545"/>
      <c r="AEU74" s="545"/>
      <c r="AEV74" s="545"/>
      <c r="AEW74" s="545"/>
      <c r="AEX74" s="545"/>
      <c r="AEY74" s="545"/>
      <c r="AEZ74" s="545"/>
      <c r="AFA74" s="545"/>
      <c r="AFB74" s="545"/>
      <c r="AFC74" s="545"/>
      <c r="AFD74" s="545"/>
      <c r="AFE74" s="545"/>
      <c r="AFF74" s="545"/>
      <c r="AFG74" s="545"/>
      <c r="AFH74" s="545"/>
      <c r="AFI74" s="545"/>
      <c r="AFJ74" s="545"/>
      <c r="AFK74" s="545"/>
      <c r="AFL74" s="545"/>
      <c r="AFM74" s="545"/>
      <c r="AFN74" s="545"/>
      <c r="AFO74" s="545"/>
      <c r="AFP74" s="545"/>
      <c r="AFQ74" s="545"/>
      <c r="AFR74" s="545"/>
      <c r="AFS74" s="545"/>
      <c r="AFT74" s="545"/>
      <c r="AFU74" s="545"/>
      <c r="AFV74" s="545"/>
      <c r="AFW74" s="545"/>
      <c r="AFX74" s="545"/>
      <c r="AFY74" s="545"/>
      <c r="AFZ74" s="545"/>
      <c r="AGA74" s="545"/>
      <c r="AGB74" s="545"/>
      <c r="AGC74" s="545"/>
      <c r="AGD74" s="545"/>
      <c r="AGE74" s="545"/>
      <c r="AGF74" s="545"/>
      <c r="AGG74" s="545"/>
      <c r="AGH74" s="545"/>
      <c r="AGI74" s="545"/>
      <c r="AGJ74" s="545"/>
      <c r="AGK74" s="545"/>
      <c r="AGL74" s="545"/>
      <c r="AGM74" s="545"/>
      <c r="AGN74" s="545"/>
      <c r="AGO74" s="545"/>
      <c r="AGP74" s="545"/>
      <c r="AGQ74" s="545"/>
      <c r="AGR74" s="545"/>
      <c r="AGS74" s="545"/>
      <c r="AGT74" s="545"/>
      <c r="AGU74" s="545"/>
      <c r="AGV74" s="545"/>
      <c r="AGW74" s="545"/>
      <c r="AGX74" s="545"/>
      <c r="AGY74" s="545"/>
      <c r="AGZ74" s="545"/>
      <c r="AHA74" s="545"/>
      <c r="AHB74" s="545"/>
      <c r="AHC74" s="545"/>
      <c r="AHD74" s="545"/>
      <c r="AHE74" s="545"/>
      <c r="AHF74" s="545"/>
      <c r="AHG74" s="545"/>
      <c r="AHH74" s="545"/>
      <c r="AHI74" s="545"/>
      <c r="AHJ74" s="545"/>
      <c r="AHK74" s="545"/>
      <c r="AHL74" s="545"/>
      <c r="AHM74" s="545"/>
      <c r="AHN74" s="545"/>
      <c r="AHO74" s="545"/>
      <c r="AHP74" s="545"/>
      <c r="AHQ74" s="545"/>
      <c r="AHR74" s="545"/>
      <c r="AHS74" s="545"/>
      <c r="AHT74" s="545"/>
      <c r="AHU74" s="545"/>
      <c r="AHV74" s="545"/>
      <c r="AHW74" s="545"/>
      <c r="AHX74" s="545"/>
      <c r="AHY74" s="545"/>
      <c r="AHZ74" s="545"/>
      <c r="AIA74" s="545"/>
      <c r="AIB74" s="545"/>
      <c r="AIC74" s="545"/>
      <c r="AID74" s="545"/>
      <c r="AIE74" s="545"/>
      <c r="AIF74" s="545"/>
      <c r="AIG74" s="545"/>
      <c r="AIH74" s="545"/>
      <c r="AII74" s="545"/>
      <c r="AIJ74" s="545"/>
      <c r="AIK74" s="545"/>
      <c r="AIL74" s="545"/>
      <c r="AIM74" s="545"/>
      <c r="AIN74" s="545"/>
      <c r="AIO74" s="545"/>
      <c r="AIP74" s="545"/>
      <c r="AIQ74" s="545"/>
      <c r="AIR74" s="545"/>
      <c r="AIS74" s="545"/>
      <c r="AIT74" s="545"/>
      <c r="AIU74" s="545"/>
      <c r="AIV74" s="545"/>
      <c r="AIW74" s="545"/>
      <c r="AIX74" s="545"/>
      <c r="AIY74" s="545"/>
      <c r="AIZ74" s="545"/>
      <c r="AJA74" s="545"/>
      <c r="AJB74" s="545"/>
      <c r="AJC74" s="545"/>
      <c r="AJD74" s="545"/>
      <c r="AJE74" s="545"/>
      <c r="AJF74" s="545"/>
      <c r="AJG74" s="545"/>
      <c r="AJH74" s="545"/>
      <c r="AJI74" s="545"/>
      <c r="AJJ74" s="545"/>
      <c r="AJK74" s="545"/>
      <c r="AJL74" s="545"/>
      <c r="AJM74" s="545"/>
      <c r="AJN74" s="545"/>
      <c r="AJO74" s="545"/>
      <c r="AJP74" s="545"/>
      <c r="AJQ74" s="545"/>
      <c r="AJR74" s="545"/>
      <c r="AJS74" s="545"/>
      <c r="AJT74" s="545"/>
      <c r="AJU74" s="545"/>
      <c r="AJV74" s="545"/>
      <c r="AJW74" s="545"/>
      <c r="AJX74" s="545"/>
      <c r="AJY74" s="545"/>
      <c r="AJZ74" s="545"/>
      <c r="AKA74" s="545"/>
      <c r="AKB74" s="545"/>
      <c r="AKC74" s="545"/>
      <c r="AKD74" s="545"/>
      <c r="AKE74" s="545"/>
      <c r="AKF74" s="545"/>
      <c r="AKG74" s="545"/>
      <c r="AKH74" s="545"/>
      <c r="AKI74" s="545"/>
      <c r="AKJ74" s="545"/>
      <c r="AKK74" s="545"/>
      <c r="AKL74" s="545"/>
      <c r="AKM74" s="545"/>
      <c r="AKN74" s="545"/>
      <c r="AKO74" s="545"/>
      <c r="AKP74" s="545"/>
      <c r="AKQ74" s="545"/>
      <c r="AKR74" s="545"/>
      <c r="AKS74" s="545"/>
      <c r="AKT74" s="545"/>
      <c r="AKU74" s="545"/>
      <c r="AKV74" s="545"/>
      <c r="AKW74" s="545"/>
      <c r="AKX74" s="545"/>
      <c r="AKY74" s="545"/>
      <c r="AKZ74" s="545"/>
      <c r="ALA74" s="545"/>
      <c r="ALB74" s="545"/>
      <c r="ALC74" s="545"/>
      <c r="ALD74" s="545"/>
      <c r="ALE74" s="545"/>
      <c r="ALF74" s="545"/>
      <c r="ALG74" s="545"/>
      <c r="ALH74" s="545"/>
      <c r="ALI74" s="545"/>
      <c r="ALJ74" s="545"/>
      <c r="ALK74" s="545"/>
      <c r="ALL74" s="545"/>
      <c r="ALM74" s="545"/>
      <c r="ALN74" s="545"/>
      <c r="ALO74" s="545"/>
      <c r="ALP74" s="545"/>
      <c r="ALQ74" s="545"/>
      <c r="ALR74" s="545"/>
      <c r="ALS74" s="545"/>
      <c r="ALT74" s="545"/>
      <c r="ALU74" s="545"/>
      <c r="ALV74" s="545"/>
      <c r="ALW74" s="545"/>
      <c r="ALX74" s="545"/>
      <c r="ALY74" s="545"/>
      <c r="ALZ74" s="545"/>
      <c r="AMA74" s="545"/>
      <c r="AMB74" s="545"/>
      <c r="AMC74" s="545"/>
      <c r="AMD74" s="545"/>
      <c r="AME74" s="545"/>
      <c r="AMF74" s="545"/>
      <c r="AMG74" s="545"/>
      <c r="AMH74" s="545"/>
      <c r="AMI74" s="545"/>
      <c r="AMJ74" s="545"/>
      <c r="AMK74" s="545"/>
      <c r="AML74" s="545"/>
      <c r="AMM74" s="545"/>
      <c r="AMN74" s="545"/>
      <c r="AMO74" s="545"/>
      <c r="AMP74" s="545"/>
      <c r="AMQ74" s="545"/>
      <c r="AMR74" s="545"/>
      <c r="AMS74" s="545"/>
      <c r="AMT74" s="545"/>
      <c r="AMU74" s="545"/>
      <c r="AMV74" s="545"/>
      <c r="AMW74" s="545"/>
      <c r="AMX74" s="545"/>
      <c r="AMY74" s="545"/>
      <c r="AMZ74" s="545"/>
      <c r="ANA74" s="545"/>
      <c r="ANB74" s="545"/>
      <c r="ANC74" s="545"/>
      <c r="AND74" s="545"/>
      <c r="ANE74" s="545"/>
      <c r="ANF74" s="545"/>
      <c r="ANG74" s="545"/>
      <c r="ANH74" s="545"/>
      <c r="ANI74" s="545"/>
      <c r="ANJ74" s="545"/>
      <c r="ANK74" s="545"/>
      <c r="ANL74" s="545"/>
      <c r="ANM74" s="545"/>
      <c r="ANN74" s="545"/>
      <c r="ANO74" s="545"/>
      <c r="ANP74" s="545"/>
      <c r="ANQ74" s="545"/>
      <c r="ANR74" s="545"/>
      <c r="ANS74" s="545"/>
      <c r="ANT74" s="545"/>
      <c r="ANU74" s="545"/>
      <c r="ANV74" s="545"/>
      <c r="ANW74" s="545"/>
      <c r="ANX74" s="545"/>
      <c r="ANY74" s="545"/>
      <c r="ANZ74" s="545"/>
      <c r="AOA74" s="545"/>
      <c r="AOB74" s="545"/>
      <c r="AOC74" s="545"/>
      <c r="AOD74" s="545"/>
      <c r="AOE74" s="545"/>
      <c r="AOF74" s="545"/>
      <c r="AOG74" s="545"/>
      <c r="AOH74" s="545"/>
      <c r="AOI74" s="545"/>
      <c r="AOJ74" s="545"/>
      <c r="AOK74" s="545"/>
      <c r="AOL74" s="545"/>
      <c r="AOM74" s="545"/>
      <c r="AON74" s="545"/>
      <c r="AOO74" s="545"/>
      <c r="AOP74" s="545"/>
      <c r="AOQ74" s="545"/>
      <c r="AOR74" s="545"/>
      <c r="AOS74" s="545"/>
      <c r="AOT74" s="545"/>
      <c r="AOU74" s="545"/>
      <c r="AOV74" s="545"/>
      <c r="AOW74" s="545"/>
      <c r="AOX74" s="545"/>
      <c r="AOY74" s="545"/>
      <c r="AOZ74" s="545"/>
      <c r="APA74" s="545"/>
      <c r="APB74" s="545"/>
      <c r="APC74" s="545"/>
      <c r="APD74" s="545"/>
      <c r="APE74" s="545"/>
      <c r="APF74" s="545"/>
      <c r="APG74" s="545"/>
      <c r="APH74" s="545"/>
      <c r="API74" s="545"/>
      <c r="APJ74" s="545"/>
      <c r="APK74" s="545"/>
      <c r="APL74" s="545"/>
      <c r="APM74" s="545"/>
      <c r="APN74" s="545"/>
      <c r="APO74" s="545"/>
      <c r="APP74" s="545"/>
      <c r="APQ74" s="545"/>
      <c r="APR74" s="545"/>
      <c r="APS74" s="545"/>
      <c r="APT74" s="545"/>
      <c r="APU74" s="545"/>
      <c r="APV74" s="545"/>
      <c r="APW74" s="545"/>
      <c r="APX74" s="545"/>
      <c r="APY74" s="545"/>
      <c r="APZ74" s="545"/>
      <c r="AQA74" s="545"/>
      <c r="AQB74" s="545"/>
      <c r="AQC74" s="545"/>
      <c r="AQD74" s="545"/>
      <c r="AQE74" s="545"/>
      <c r="AQF74" s="545"/>
      <c r="AQG74" s="545"/>
      <c r="AQH74" s="545"/>
      <c r="AQI74" s="545"/>
      <c r="AQJ74" s="545"/>
      <c r="AQK74" s="545"/>
      <c r="AQL74" s="545"/>
      <c r="AQM74" s="545"/>
      <c r="AQN74" s="545"/>
      <c r="AQO74" s="545"/>
      <c r="AQP74" s="545"/>
      <c r="AQQ74" s="545"/>
      <c r="AQR74" s="545"/>
      <c r="AQS74" s="545"/>
      <c r="AQT74" s="545"/>
      <c r="AQU74" s="545"/>
      <c r="AQV74" s="545"/>
      <c r="AQW74" s="545"/>
      <c r="AQX74" s="545"/>
      <c r="AQY74" s="545"/>
      <c r="AQZ74" s="545"/>
      <c r="ARA74" s="545"/>
      <c r="ARB74" s="545"/>
      <c r="ARC74" s="545"/>
      <c r="ARD74" s="545"/>
      <c r="ARE74" s="545"/>
      <c r="ARF74" s="545"/>
      <c r="ARG74" s="545"/>
      <c r="ARH74" s="545"/>
      <c r="ARI74" s="545"/>
      <c r="ARJ74" s="545"/>
      <c r="ARK74" s="545"/>
      <c r="ARL74" s="545"/>
      <c r="ARM74" s="545"/>
      <c r="ARN74" s="545"/>
      <c r="ARO74" s="545"/>
      <c r="ARP74" s="545"/>
      <c r="ARQ74" s="545"/>
      <c r="ARR74" s="545"/>
      <c r="ARS74" s="545"/>
      <c r="ART74" s="545"/>
      <c r="ARU74" s="545"/>
      <c r="ARV74" s="545"/>
      <c r="ARW74" s="545"/>
      <c r="ARX74" s="545"/>
      <c r="ARY74" s="545"/>
      <c r="ARZ74" s="545"/>
      <c r="ASA74" s="545"/>
      <c r="ASB74" s="545"/>
      <c r="ASC74" s="545"/>
      <c r="ASD74" s="545"/>
      <c r="ASE74" s="545"/>
      <c r="ASF74" s="545"/>
      <c r="ASG74" s="545"/>
      <c r="ASH74" s="545"/>
      <c r="ASI74" s="545"/>
      <c r="ASJ74" s="545"/>
      <c r="ASK74" s="545"/>
      <c r="ASL74" s="545"/>
      <c r="ASM74" s="545"/>
      <c r="ASN74" s="545"/>
      <c r="ASO74" s="545"/>
      <c r="ASP74" s="545"/>
      <c r="ASQ74" s="545"/>
      <c r="ASR74" s="545"/>
      <c r="ASS74" s="545"/>
      <c r="AST74" s="545"/>
      <c r="ASU74" s="545"/>
      <c r="ASV74" s="545"/>
      <c r="ASW74" s="545"/>
      <c r="ASX74" s="545"/>
      <c r="ASY74" s="545"/>
      <c r="ASZ74" s="545"/>
      <c r="ATA74" s="545"/>
      <c r="ATB74" s="545"/>
      <c r="ATC74" s="545"/>
      <c r="ATD74" s="545"/>
      <c r="ATE74" s="545"/>
      <c r="ATF74" s="545"/>
      <c r="ATG74" s="545"/>
      <c r="ATH74" s="545"/>
      <c r="ATI74" s="545"/>
      <c r="ATJ74" s="545"/>
      <c r="ATK74" s="545"/>
      <c r="ATL74" s="545"/>
      <c r="ATM74" s="545"/>
      <c r="ATN74" s="545"/>
      <c r="ATO74" s="545"/>
      <c r="ATP74" s="545"/>
      <c r="ATQ74" s="545"/>
      <c r="ATR74" s="545"/>
      <c r="ATS74" s="545"/>
      <c r="ATT74" s="545"/>
      <c r="ATU74" s="545"/>
      <c r="ATV74" s="545"/>
      <c r="ATW74" s="545"/>
      <c r="ATX74" s="545"/>
      <c r="ATY74" s="545"/>
      <c r="ATZ74" s="545"/>
      <c r="AUA74" s="545"/>
      <c r="AUB74" s="545"/>
      <c r="AUC74" s="545"/>
      <c r="AUD74" s="545"/>
      <c r="AUE74" s="545"/>
      <c r="AUF74" s="545"/>
      <c r="AUG74" s="545"/>
      <c r="AUH74" s="545"/>
      <c r="AUI74" s="545"/>
      <c r="AUJ74" s="545"/>
      <c r="AUK74" s="545"/>
      <c r="AUL74" s="545"/>
      <c r="AUM74" s="545"/>
      <c r="AUN74" s="545"/>
      <c r="AUO74" s="545"/>
      <c r="AUP74" s="545"/>
      <c r="AUQ74" s="545"/>
      <c r="AUR74" s="545"/>
      <c r="AUS74" s="545"/>
      <c r="AUT74" s="545"/>
      <c r="AUU74" s="545"/>
      <c r="AUV74" s="545"/>
      <c r="AUW74" s="545"/>
      <c r="AUX74" s="545"/>
      <c r="AUY74" s="545"/>
      <c r="AUZ74" s="545"/>
      <c r="AVA74" s="545"/>
      <c r="AVB74" s="545"/>
      <c r="AVC74" s="545"/>
      <c r="AVD74" s="545"/>
      <c r="AVE74" s="545"/>
      <c r="AVF74" s="545"/>
      <c r="AVG74" s="545"/>
      <c r="AVH74" s="545"/>
      <c r="AVI74" s="545"/>
      <c r="AVJ74" s="545"/>
      <c r="AVK74" s="545"/>
      <c r="AVL74" s="545"/>
      <c r="AVM74" s="545"/>
      <c r="AVN74" s="545"/>
      <c r="AVO74" s="545"/>
      <c r="AVP74" s="545"/>
      <c r="AVQ74" s="545"/>
      <c r="AVR74" s="545"/>
      <c r="AVS74" s="545"/>
      <c r="AVT74" s="545"/>
      <c r="AVU74" s="545"/>
      <c r="AVV74" s="545"/>
      <c r="AVW74" s="545"/>
      <c r="AVX74" s="545"/>
      <c r="AVY74" s="545"/>
      <c r="AVZ74" s="545"/>
      <c r="AWA74" s="545"/>
      <c r="AWB74" s="545"/>
      <c r="AWC74" s="545"/>
      <c r="AWD74" s="545"/>
      <c r="AWE74" s="545"/>
      <c r="AWF74" s="545"/>
      <c r="AWG74" s="545"/>
      <c r="AWH74" s="545"/>
      <c r="AWI74" s="545"/>
      <c r="AWJ74" s="545"/>
      <c r="AWK74" s="545"/>
      <c r="AWL74" s="545"/>
      <c r="AWM74" s="545"/>
      <c r="AWN74" s="545"/>
      <c r="AWO74" s="545"/>
      <c r="AWP74" s="545"/>
      <c r="AWQ74" s="545"/>
      <c r="AWR74" s="545"/>
      <c r="AWS74" s="545"/>
      <c r="AWT74" s="545"/>
      <c r="AWU74" s="545"/>
      <c r="AWV74" s="545"/>
      <c r="AWW74" s="545"/>
      <c r="AWX74" s="545"/>
      <c r="AWY74" s="545"/>
      <c r="AWZ74" s="545"/>
      <c r="AXA74" s="545"/>
      <c r="AXB74" s="545"/>
      <c r="AXC74" s="545"/>
      <c r="AXD74" s="545"/>
      <c r="AXE74" s="545"/>
      <c r="AXF74" s="545"/>
      <c r="AXG74" s="545"/>
      <c r="AXH74" s="545"/>
      <c r="AXI74" s="545"/>
      <c r="AXJ74" s="545"/>
      <c r="AXK74" s="545"/>
      <c r="AXL74" s="545"/>
      <c r="AXM74" s="545"/>
      <c r="AXN74" s="545"/>
      <c r="AXO74" s="545"/>
      <c r="AXP74" s="545"/>
      <c r="AXQ74" s="545"/>
      <c r="AXR74" s="545"/>
      <c r="AXS74" s="545"/>
      <c r="AXT74" s="545"/>
      <c r="AXU74" s="545"/>
      <c r="AXV74" s="545"/>
      <c r="AXW74" s="545"/>
      <c r="AXX74" s="545"/>
      <c r="AXY74" s="545"/>
      <c r="AXZ74" s="545"/>
      <c r="AYA74" s="545"/>
      <c r="AYB74" s="545"/>
      <c r="AYC74" s="545"/>
      <c r="AYD74" s="545"/>
      <c r="AYE74" s="545"/>
      <c r="AYF74" s="545"/>
      <c r="AYG74" s="545"/>
      <c r="AYH74" s="545"/>
      <c r="AYI74" s="545"/>
      <c r="AYJ74" s="545"/>
      <c r="AYK74" s="545"/>
      <c r="AYL74" s="545"/>
      <c r="AYM74" s="545"/>
      <c r="AYN74" s="545"/>
      <c r="AYO74" s="545"/>
      <c r="AYP74" s="545"/>
      <c r="AYQ74" s="545"/>
      <c r="AYR74" s="545"/>
      <c r="AYS74" s="545"/>
      <c r="AYT74" s="545"/>
      <c r="AYU74" s="545"/>
      <c r="AYV74" s="545"/>
      <c r="AYW74" s="545"/>
      <c r="AYX74" s="545"/>
      <c r="AYY74" s="545"/>
      <c r="AYZ74" s="545"/>
      <c r="AZA74" s="545"/>
      <c r="AZB74" s="545"/>
      <c r="AZC74" s="545"/>
      <c r="AZD74" s="545"/>
      <c r="AZE74" s="545"/>
      <c r="AZF74" s="545"/>
      <c r="AZG74" s="545"/>
      <c r="AZH74" s="545"/>
      <c r="AZI74" s="545"/>
      <c r="AZJ74" s="545"/>
      <c r="AZK74" s="545"/>
      <c r="AZL74" s="545"/>
      <c r="AZM74" s="545"/>
      <c r="AZN74" s="545"/>
      <c r="AZO74" s="545"/>
      <c r="AZP74" s="545"/>
      <c r="AZQ74" s="545"/>
      <c r="AZR74" s="545"/>
      <c r="AZS74" s="545"/>
      <c r="AZT74" s="545"/>
      <c r="AZU74" s="545"/>
      <c r="AZV74" s="545"/>
      <c r="AZW74" s="545"/>
      <c r="AZX74" s="545"/>
      <c r="AZY74" s="545"/>
      <c r="AZZ74" s="545"/>
      <c r="BAA74" s="545"/>
      <c r="BAB74" s="545"/>
      <c r="BAC74" s="545"/>
      <c r="BAD74" s="545"/>
      <c r="BAE74" s="545"/>
      <c r="BAF74" s="545"/>
      <c r="BAG74" s="545"/>
      <c r="BAH74" s="545"/>
      <c r="BAI74" s="545"/>
      <c r="BAJ74" s="545"/>
      <c r="BAK74" s="545"/>
      <c r="BAL74" s="545"/>
      <c r="BAM74" s="545"/>
      <c r="BAN74" s="545"/>
      <c r="BAO74" s="545"/>
      <c r="BAP74" s="545"/>
      <c r="BAQ74" s="545"/>
      <c r="BAR74" s="545"/>
      <c r="BAS74" s="545"/>
      <c r="BAT74" s="545"/>
      <c r="BAU74" s="545"/>
      <c r="BAV74" s="545"/>
      <c r="BAW74" s="545"/>
      <c r="BAX74" s="545"/>
      <c r="BAY74" s="545"/>
      <c r="BAZ74" s="545"/>
      <c r="BBA74" s="545"/>
      <c r="BBB74" s="545"/>
      <c r="BBC74" s="545"/>
      <c r="BBD74" s="545"/>
      <c r="BBE74" s="545"/>
      <c r="BBF74" s="545"/>
      <c r="BBG74" s="545"/>
      <c r="BBH74" s="545"/>
      <c r="BBI74" s="545"/>
      <c r="BBJ74" s="545"/>
      <c r="BBK74" s="545"/>
      <c r="BBL74" s="545"/>
      <c r="BBM74" s="545"/>
      <c r="BBN74" s="545"/>
      <c r="BBO74" s="545"/>
      <c r="BBP74" s="545"/>
      <c r="BBQ74" s="545"/>
      <c r="BBR74" s="545"/>
      <c r="BBS74" s="545"/>
      <c r="BBT74" s="545"/>
      <c r="BBU74" s="545"/>
      <c r="BBV74" s="545"/>
      <c r="BBW74" s="545"/>
      <c r="BBX74" s="545"/>
      <c r="BBY74" s="545"/>
      <c r="BBZ74" s="545"/>
      <c r="BCA74" s="545"/>
      <c r="BCB74" s="545"/>
      <c r="BCC74" s="545"/>
      <c r="BCD74" s="545"/>
      <c r="BCE74" s="545"/>
      <c r="BCF74" s="545"/>
      <c r="BCG74" s="545"/>
      <c r="BCH74" s="545"/>
      <c r="BCI74" s="545"/>
      <c r="BCJ74" s="545"/>
      <c r="BCK74" s="545"/>
      <c r="BCL74" s="545"/>
      <c r="BCM74" s="545"/>
      <c r="BCN74" s="545"/>
      <c r="BCO74" s="545"/>
      <c r="BCP74" s="545"/>
      <c r="BCQ74" s="545"/>
      <c r="BCR74" s="545"/>
      <c r="BCS74" s="545"/>
      <c r="BCT74" s="545"/>
      <c r="BCU74" s="545"/>
      <c r="BCV74" s="545"/>
      <c r="BCW74" s="545"/>
      <c r="BCX74" s="545"/>
      <c r="BCY74" s="545"/>
      <c r="BCZ74" s="545"/>
      <c r="BDA74" s="545"/>
      <c r="BDB74" s="545"/>
      <c r="BDC74" s="545"/>
      <c r="BDD74" s="545"/>
      <c r="BDE74" s="545"/>
      <c r="BDF74" s="545"/>
      <c r="BDG74" s="545"/>
      <c r="BDH74" s="545"/>
      <c r="BDI74" s="545"/>
      <c r="BDJ74" s="545"/>
      <c r="BDK74" s="545"/>
      <c r="BDL74" s="545"/>
      <c r="BDM74" s="545"/>
      <c r="BDN74" s="545"/>
      <c r="BDO74" s="545"/>
      <c r="BDP74" s="545"/>
      <c r="BDQ74" s="545"/>
      <c r="BDR74" s="545"/>
      <c r="BDS74" s="545"/>
      <c r="BDT74" s="545"/>
      <c r="BDU74" s="545"/>
      <c r="BDV74" s="545"/>
      <c r="BDW74" s="545"/>
      <c r="BDX74" s="545"/>
      <c r="BDY74" s="545"/>
      <c r="BDZ74" s="545"/>
      <c r="BEA74" s="545"/>
      <c r="BEB74" s="545"/>
      <c r="BEC74" s="545"/>
      <c r="BED74" s="545"/>
      <c r="BEE74" s="545"/>
      <c r="BEF74" s="545"/>
      <c r="BEG74" s="545"/>
      <c r="BEH74" s="545"/>
      <c r="BEI74" s="545"/>
      <c r="BEJ74" s="545"/>
      <c r="BEK74" s="545"/>
      <c r="BEL74" s="545"/>
      <c r="BEM74" s="545"/>
      <c r="BEN74" s="545"/>
      <c r="BEO74" s="545"/>
      <c r="BEP74" s="545"/>
      <c r="BEQ74" s="545"/>
      <c r="BER74" s="545"/>
      <c r="BES74" s="545"/>
      <c r="BET74" s="545"/>
      <c r="BEU74" s="545"/>
      <c r="BEV74" s="545"/>
      <c r="BEW74" s="545"/>
      <c r="BEX74" s="545"/>
      <c r="BEY74" s="545"/>
      <c r="BEZ74" s="545"/>
      <c r="BFA74" s="545"/>
      <c r="BFB74" s="545"/>
      <c r="BFC74" s="545"/>
      <c r="BFD74" s="545"/>
      <c r="BFE74" s="545"/>
      <c r="BFF74" s="545"/>
      <c r="BFG74" s="545"/>
      <c r="BFH74" s="545"/>
      <c r="BFI74" s="545"/>
      <c r="BFJ74" s="545"/>
      <c r="BFK74" s="545"/>
      <c r="BFL74" s="545"/>
      <c r="BFM74" s="545"/>
      <c r="BFN74" s="545"/>
      <c r="BFO74" s="545"/>
      <c r="BFP74" s="545"/>
      <c r="BFQ74" s="545"/>
      <c r="BFR74" s="545"/>
      <c r="BFS74" s="545"/>
      <c r="BFT74" s="545"/>
      <c r="BFU74" s="545"/>
      <c r="BFV74" s="545"/>
      <c r="BFW74" s="545"/>
      <c r="BFX74" s="545"/>
      <c r="BFY74" s="545"/>
      <c r="BFZ74" s="545"/>
      <c r="BGA74" s="545"/>
      <c r="BGB74" s="545"/>
      <c r="BGC74" s="545"/>
      <c r="BGD74" s="545"/>
      <c r="BGE74" s="545"/>
      <c r="BGF74" s="545"/>
      <c r="BGG74" s="545"/>
      <c r="BGH74" s="545"/>
      <c r="BGI74" s="545"/>
      <c r="BGJ74" s="545"/>
      <c r="BGK74" s="545"/>
      <c r="BGL74" s="545"/>
      <c r="BGM74" s="545"/>
      <c r="BGN74" s="545"/>
      <c r="BGO74" s="545"/>
      <c r="BGP74" s="545"/>
      <c r="BGQ74" s="545"/>
      <c r="BGR74" s="545"/>
      <c r="BGS74" s="545"/>
      <c r="BGT74" s="545"/>
      <c r="BGU74" s="545"/>
      <c r="BGV74" s="545"/>
      <c r="BGW74" s="545"/>
      <c r="BGX74" s="545"/>
      <c r="BGY74" s="545"/>
      <c r="BGZ74" s="545"/>
      <c r="BHA74" s="545"/>
      <c r="BHB74" s="545"/>
      <c r="BHC74" s="545"/>
      <c r="BHD74" s="545"/>
      <c r="BHE74" s="545"/>
      <c r="BHF74" s="545"/>
      <c r="BHG74" s="545"/>
      <c r="BHH74" s="545"/>
      <c r="BHI74" s="545"/>
      <c r="BHJ74" s="545"/>
      <c r="BHK74" s="545"/>
      <c r="BHL74" s="545"/>
      <c r="BHM74" s="545"/>
      <c r="BHN74" s="545"/>
      <c r="BHO74" s="545"/>
      <c r="BHP74" s="545"/>
      <c r="BHQ74" s="545"/>
      <c r="BHR74" s="545"/>
      <c r="BHS74" s="545"/>
      <c r="BHT74" s="545"/>
      <c r="BHU74" s="545"/>
      <c r="BHV74" s="545"/>
      <c r="BHW74" s="545"/>
      <c r="BHX74" s="545"/>
      <c r="BHY74" s="545"/>
      <c r="BHZ74" s="545"/>
      <c r="BIA74" s="545"/>
      <c r="BIB74" s="545"/>
      <c r="BIC74" s="545"/>
      <c r="BID74" s="545"/>
      <c r="BIE74" s="545"/>
      <c r="BIF74" s="545"/>
      <c r="BIG74" s="545"/>
      <c r="BIH74" s="545"/>
      <c r="BII74" s="545"/>
      <c r="BIJ74" s="545"/>
      <c r="BIK74" s="545"/>
      <c r="BIL74" s="545"/>
      <c r="BIM74" s="545"/>
      <c r="BIN74" s="545"/>
      <c r="BIO74" s="545"/>
      <c r="BIP74" s="545"/>
      <c r="BIQ74" s="545"/>
      <c r="BIR74" s="545"/>
      <c r="BIS74" s="545"/>
      <c r="BIT74" s="545"/>
      <c r="BIU74" s="545"/>
      <c r="BIV74" s="545"/>
      <c r="BIW74" s="545"/>
      <c r="BIX74" s="545"/>
      <c r="BIY74" s="545"/>
      <c r="BIZ74" s="545"/>
      <c r="BJA74" s="545"/>
      <c r="BJB74" s="545"/>
      <c r="BJC74" s="545"/>
      <c r="BJD74" s="545"/>
      <c r="BJE74" s="545"/>
      <c r="BJF74" s="545"/>
      <c r="BJG74" s="545"/>
      <c r="BJH74" s="545"/>
      <c r="BJI74" s="545"/>
      <c r="BJJ74" s="545"/>
      <c r="BJK74" s="545"/>
      <c r="BJL74" s="545"/>
      <c r="BJM74" s="545"/>
      <c r="BJN74" s="545"/>
      <c r="BJO74" s="545"/>
      <c r="BJP74" s="545"/>
      <c r="BJQ74" s="545"/>
      <c r="BJR74" s="545"/>
      <c r="BJS74" s="545"/>
      <c r="BJT74" s="545"/>
      <c r="BJU74" s="545"/>
      <c r="BJV74" s="545"/>
      <c r="BJW74" s="545"/>
      <c r="BJX74" s="545"/>
      <c r="BJY74" s="545"/>
      <c r="BJZ74" s="545"/>
      <c r="BKA74" s="545"/>
      <c r="BKB74" s="545"/>
      <c r="BKC74" s="545"/>
      <c r="BKD74" s="545"/>
      <c r="BKE74" s="545"/>
      <c r="BKF74" s="545"/>
      <c r="BKG74" s="545"/>
      <c r="BKH74" s="545"/>
      <c r="BKI74" s="545"/>
      <c r="BKJ74" s="545"/>
      <c r="BKK74" s="545"/>
      <c r="BKL74" s="545"/>
      <c r="BKM74" s="545"/>
      <c r="BKN74" s="545"/>
      <c r="BKO74" s="545"/>
      <c r="BKP74" s="545"/>
      <c r="BKQ74" s="545"/>
      <c r="BKR74" s="545"/>
      <c r="BKS74" s="545"/>
      <c r="BKT74" s="545"/>
      <c r="BKU74" s="545"/>
      <c r="BKV74" s="545"/>
      <c r="BKW74" s="545"/>
      <c r="BKX74" s="545"/>
      <c r="BKY74" s="545"/>
      <c r="BKZ74" s="545"/>
      <c r="BLA74" s="545"/>
      <c r="BLB74" s="545"/>
      <c r="BLC74" s="545"/>
      <c r="BLD74" s="545"/>
      <c r="BLE74" s="545"/>
      <c r="BLF74" s="545"/>
      <c r="BLG74" s="545"/>
      <c r="BLH74" s="545"/>
      <c r="BLI74" s="545"/>
      <c r="BLJ74" s="545"/>
      <c r="BLK74" s="545"/>
      <c r="BLL74" s="545"/>
      <c r="BLM74" s="545"/>
      <c r="BLN74" s="545"/>
      <c r="BLO74" s="545"/>
      <c r="BLP74" s="545"/>
      <c r="BLQ74" s="545"/>
      <c r="BLR74" s="545"/>
      <c r="BLS74" s="545"/>
      <c r="BLT74" s="545"/>
      <c r="BLU74" s="545"/>
      <c r="BLV74" s="545"/>
      <c r="BLW74" s="545"/>
      <c r="BLX74" s="545"/>
      <c r="BLY74" s="545"/>
      <c r="BLZ74" s="545"/>
      <c r="BMA74" s="545"/>
      <c r="BMB74" s="545"/>
      <c r="BMC74" s="545"/>
      <c r="BMD74" s="545"/>
      <c r="BME74" s="545"/>
      <c r="BMF74" s="545"/>
      <c r="BMG74" s="545"/>
      <c r="BMH74" s="545"/>
      <c r="BMI74" s="545"/>
      <c r="BMJ74" s="545"/>
      <c r="BMK74" s="545"/>
      <c r="BML74" s="545"/>
      <c r="BMM74" s="545"/>
      <c r="BMN74" s="545"/>
      <c r="BMO74" s="545"/>
      <c r="BMP74" s="545"/>
      <c r="BMQ74" s="545"/>
      <c r="BMR74" s="545"/>
      <c r="BMS74" s="545"/>
      <c r="BMT74" s="545"/>
      <c r="BMU74" s="545"/>
      <c r="BMV74" s="545"/>
      <c r="BMW74" s="545"/>
      <c r="BMX74" s="545"/>
      <c r="BMY74" s="545"/>
      <c r="BMZ74" s="545"/>
      <c r="BNA74" s="545"/>
      <c r="BNB74" s="545"/>
      <c r="BNC74" s="545"/>
      <c r="BND74" s="545"/>
      <c r="BNE74" s="545"/>
      <c r="BNF74" s="545"/>
      <c r="BNG74" s="545"/>
      <c r="BNH74" s="545"/>
      <c r="BNI74" s="545"/>
      <c r="BNJ74" s="545"/>
      <c r="BNK74" s="545"/>
      <c r="BNL74" s="545"/>
      <c r="BNM74" s="545"/>
      <c r="BNN74" s="545"/>
      <c r="BNO74" s="545"/>
      <c r="BNP74" s="545"/>
      <c r="BNQ74" s="545"/>
      <c r="BNR74" s="545"/>
      <c r="BNS74" s="545"/>
      <c r="BNT74" s="545"/>
      <c r="BNU74" s="545"/>
      <c r="BNV74" s="545"/>
      <c r="BNW74" s="545"/>
      <c r="BNX74" s="545"/>
      <c r="BNY74" s="545"/>
      <c r="BNZ74" s="545"/>
      <c r="BOA74" s="545"/>
      <c r="BOB74" s="545"/>
      <c r="BOC74" s="545"/>
      <c r="BOD74" s="545"/>
      <c r="BOE74" s="545"/>
      <c r="BOF74" s="545"/>
      <c r="BOG74" s="545"/>
      <c r="BOH74" s="545"/>
      <c r="BOI74" s="545"/>
      <c r="BOJ74" s="545"/>
      <c r="BOK74" s="545"/>
      <c r="BOL74" s="545"/>
      <c r="BOM74" s="545"/>
      <c r="BON74" s="545"/>
      <c r="BOO74" s="545"/>
      <c r="BOP74" s="545"/>
      <c r="BOQ74" s="545"/>
      <c r="BOR74" s="545"/>
      <c r="BOS74" s="545"/>
      <c r="BOT74" s="545"/>
      <c r="BOU74" s="545"/>
      <c r="BOV74" s="545"/>
      <c r="BOW74" s="545"/>
      <c r="BOX74" s="545"/>
      <c r="BOY74" s="545"/>
      <c r="BOZ74" s="545"/>
      <c r="BPA74" s="545"/>
      <c r="BPB74" s="545"/>
      <c r="BPC74" s="545"/>
      <c r="BPD74" s="545"/>
      <c r="BPE74" s="545"/>
      <c r="BPF74" s="545"/>
      <c r="BPG74" s="545"/>
      <c r="BPH74" s="545"/>
      <c r="BPI74" s="545"/>
      <c r="BPJ74" s="545"/>
      <c r="BPK74" s="545"/>
      <c r="BPL74" s="545"/>
      <c r="BPM74" s="545"/>
      <c r="BPN74" s="545"/>
      <c r="BPO74" s="545"/>
      <c r="BPP74" s="545"/>
      <c r="BPQ74" s="545"/>
      <c r="BPR74" s="545"/>
      <c r="BPS74" s="545"/>
      <c r="BPT74" s="545"/>
      <c r="BPU74" s="545"/>
      <c r="BPV74" s="545"/>
      <c r="BPW74" s="545"/>
      <c r="BPX74" s="545"/>
      <c r="BPY74" s="545"/>
      <c r="BPZ74" s="545"/>
      <c r="BQA74" s="545"/>
      <c r="BQB74" s="545"/>
      <c r="BQC74" s="545"/>
      <c r="BQD74" s="545"/>
      <c r="BQE74" s="545"/>
      <c r="BQF74" s="545"/>
      <c r="BQG74" s="545"/>
      <c r="BQH74" s="545"/>
      <c r="BQI74" s="545"/>
      <c r="BQJ74" s="545"/>
      <c r="BQK74" s="545"/>
      <c r="BQL74" s="545"/>
      <c r="BQM74" s="545"/>
      <c r="BQN74" s="545"/>
      <c r="BQO74" s="545"/>
      <c r="BQP74" s="545"/>
      <c r="BQQ74" s="545"/>
      <c r="BQR74" s="545"/>
      <c r="BQS74" s="545"/>
      <c r="BQT74" s="545"/>
      <c r="BQU74" s="545"/>
      <c r="BQV74" s="545"/>
      <c r="BQW74" s="545"/>
      <c r="BQX74" s="545"/>
      <c r="BQY74" s="545"/>
      <c r="BQZ74" s="545"/>
      <c r="BRA74" s="545"/>
      <c r="BRB74" s="545"/>
      <c r="BRC74" s="545"/>
      <c r="BRD74" s="545"/>
      <c r="BRE74" s="545"/>
      <c r="BRF74" s="545"/>
      <c r="BRG74" s="545"/>
      <c r="BRH74" s="545"/>
      <c r="BRI74" s="545"/>
      <c r="BRJ74" s="545"/>
      <c r="BRK74" s="545"/>
      <c r="BRL74" s="545"/>
      <c r="BRM74" s="545"/>
      <c r="BRN74" s="545"/>
      <c r="BRO74" s="545"/>
      <c r="BRP74" s="545"/>
      <c r="BRQ74" s="545"/>
      <c r="BRR74" s="545"/>
      <c r="BRS74" s="545"/>
      <c r="BRT74" s="545"/>
      <c r="BRU74" s="545"/>
      <c r="BRV74" s="545"/>
      <c r="BRW74" s="545"/>
      <c r="BRX74" s="545"/>
      <c r="BRY74" s="545"/>
      <c r="BRZ74" s="545"/>
      <c r="BSA74" s="545"/>
      <c r="BSB74" s="545"/>
      <c r="BSC74" s="545"/>
      <c r="BSD74" s="545"/>
      <c r="BSE74" s="545"/>
      <c r="BSF74" s="545"/>
      <c r="BSG74" s="545"/>
      <c r="BSH74" s="545"/>
      <c r="BSI74" s="545"/>
      <c r="BSJ74" s="545"/>
      <c r="BSK74" s="545"/>
      <c r="BSL74" s="545"/>
      <c r="BSM74" s="545"/>
      <c r="BSN74" s="545"/>
      <c r="BSO74" s="545"/>
      <c r="BSP74" s="545"/>
      <c r="BSQ74" s="545"/>
      <c r="BSR74" s="545"/>
      <c r="BSS74" s="545"/>
      <c r="BST74" s="545"/>
      <c r="BSU74" s="545"/>
      <c r="BSV74" s="545"/>
      <c r="BSW74" s="545"/>
      <c r="BSX74" s="545"/>
      <c r="BSY74" s="545"/>
      <c r="BSZ74" s="545"/>
      <c r="BTA74" s="545"/>
      <c r="BTB74" s="545"/>
      <c r="BTC74" s="545"/>
      <c r="BTD74" s="545"/>
      <c r="BTE74" s="545"/>
      <c r="BTF74" s="545"/>
      <c r="BTG74" s="545"/>
      <c r="BTH74" s="545"/>
      <c r="BTI74" s="545"/>
      <c r="BTJ74" s="545"/>
      <c r="BTK74" s="545"/>
      <c r="BTL74" s="545"/>
      <c r="BTM74" s="545"/>
      <c r="BTN74" s="545"/>
      <c r="BTO74" s="545"/>
      <c r="BTP74" s="545"/>
      <c r="BTQ74" s="545"/>
      <c r="BTR74" s="545"/>
      <c r="BTS74" s="545"/>
      <c r="BTT74" s="545"/>
      <c r="BTU74" s="545"/>
      <c r="BTV74" s="545"/>
      <c r="BTW74" s="545"/>
      <c r="BTX74" s="545"/>
      <c r="BTY74" s="545"/>
      <c r="BTZ74" s="545"/>
      <c r="BUA74" s="545"/>
      <c r="BUB74" s="545"/>
      <c r="BUC74" s="545"/>
      <c r="BUD74" s="545"/>
      <c r="BUE74" s="545"/>
      <c r="BUF74" s="545"/>
      <c r="BUG74" s="545"/>
      <c r="BUH74" s="545"/>
      <c r="BUI74" s="545"/>
      <c r="BUJ74" s="545"/>
      <c r="BUK74" s="545"/>
      <c r="BUL74" s="545"/>
      <c r="BUM74" s="545"/>
      <c r="BUN74" s="545"/>
      <c r="BUO74" s="545"/>
      <c r="BUP74" s="545"/>
      <c r="BUQ74" s="545"/>
      <c r="BUR74" s="545"/>
      <c r="BUS74" s="545"/>
      <c r="BUT74" s="545"/>
      <c r="BUU74" s="545"/>
      <c r="BUV74" s="545"/>
      <c r="BUW74" s="545"/>
      <c r="BUX74" s="545"/>
      <c r="BUY74" s="545"/>
      <c r="BUZ74" s="545"/>
      <c r="BVA74" s="545"/>
      <c r="BVB74" s="545"/>
      <c r="BVC74" s="545"/>
      <c r="BVD74" s="545"/>
      <c r="BVE74" s="545"/>
      <c r="BVF74" s="545"/>
      <c r="BVG74" s="545"/>
      <c r="BVH74" s="545"/>
      <c r="BVI74" s="545"/>
      <c r="BVJ74" s="545"/>
      <c r="BVK74" s="545"/>
      <c r="BVL74" s="545"/>
      <c r="BVM74" s="545"/>
      <c r="BVN74" s="545"/>
      <c r="BVO74" s="545"/>
      <c r="BVP74" s="545"/>
      <c r="BVQ74" s="545"/>
      <c r="BVR74" s="545"/>
      <c r="BVS74" s="545"/>
      <c r="BVT74" s="545"/>
      <c r="BVU74" s="545"/>
      <c r="BVV74" s="545"/>
      <c r="BVW74" s="545"/>
      <c r="BVX74" s="545"/>
      <c r="BVY74" s="545"/>
      <c r="BVZ74" s="545"/>
      <c r="BWA74" s="545"/>
      <c r="BWB74" s="545"/>
      <c r="BWC74" s="545"/>
      <c r="BWD74" s="545"/>
      <c r="BWE74" s="545"/>
      <c r="BWF74" s="545"/>
      <c r="BWG74" s="545"/>
      <c r="BWH74" s="545"/>
      <c r="BWI74" s="545"/>
      <c r="BWJ74" s="545"/>
      <c r="BWK74" s="545"/>
      <c r="BWL74" s="545"/>
      <c r="BWM74" s="545"/>
      <c r="BWN74" s="545"/>
      <c r="BWO74" s="545"/>
      <c r="BWP74" s="545"/>
      <c r="BWQ74" s="545"/>
      <c r="BWR74" s="545"/>
      <c r="BWS74" s="545"/>
      <c r="BWT74" s="545"/>
      <c r="BWU74" s="545"/>
      <c r="BWV74" s="545"/>
      <c r="BWW74" s="545"/>
      <c r="BWX74" s="545"/>
      <c r="BWY74" s="545"/>
      <c r="BWZ74" s="545"/>
      <c r="BXA74" s="545"/>
      <c r="BXB74" s="545"/>
      <c r="BXC74" s="545"/>
      <c r="BXD74" s="545"/>
      <c r="BXE74" s="545"/>
      <c r="BXF74" s="545"/>
      <c r="BXG74" s="545"/>
      <c r="BXH74" s="545"/>
      <c r="BXI74" s="545"/>
      <c r="BXJ74" s="545"/>
      <c r="BXK74" s="545"/>
      <c r="BXL74" s="545"/>
      <c r="BXM74" s="545"/>
      <c r="BXN74" s="545"/>
      <c r="BXO74" s="545"/>
      <c r="BXP74" s="545"/>
      <c r="BXQ74" s="545"/>
      <c r="BXR74" s="545"/>
      <c r="BXS74" s="545"/>
      <c r="BXT74" s="545"/>
      <c r="BXU74" s="545"/>
      <c r="BXV74" s="545"/>
      <c r="BXW74" s="545"/>
      <c r="BXX74" s="545"/>
      <c r="BXY74" s="545"/>
      <c r="BXZ74" s="545"/>
      <c r="BYA74" s="545"/>
      <c r="BYB74" s="545"/>
      <c r="BYC74" s="545"/>
      <c r="BYD74" s="545"/>
      <c r="BYE74" s="545"/>
      <c r="BYF74" s="545"/>
      <c r="BYG74" s="545"/>
      <c r="BYH74" s="545"/>
      <c r="BYI74" s="545"/>
      <c r="BYJ74" s="545"/>
      <c r="BYK74" s="545"/>
      <c r="BYL74" s="545"/>
      <c r="BYM74" s="545"/>
      <c r="BYN74" s="545"/>
      <c r="BYO74" s="545"/>
      <c r="BYP74" s="545"/>
      <c r="BYQ74" s="545"/>
      <c r="BYR74" s="545"/>
      <c r="BYS74" s="545"/>
      <c r="BYT74" s="545"/>
      <c r="BYU74" s="545"/>
      <c r="BYV74" s="545"/>
      <c r="BYW74" s="545"/>
      <c r="BYX74" s="545"/>
      <c r="BYY74" s="545"/>
      <c r="BYZ74" s="545"/>
      <c r="BZA74" s="545"/>
      <c r="BZB74" s="545"/>
      <c r="BZC74" s="545"/>
      <c r="BZD74" s="545"/>
      <c r="BZE74" s="545"/>
      <c r="BZF74" s="545"/>
      <c r="BZG74" s="545"/>
      <c r="BZH74" s="545"/>
      <c r="BZI74" s="545"/>
      <c r="BZJ74" s="545"/>
      <c r="BZK74" s="545"/>
      <c r="BZL74" s="545"/>
      <c r="BZM74" s="545"/>
      <c r="BZN74" s="545"/>
      <c r="BZO74" s="545"/>
      <c r="BZP74" s="545"/>
      <c r="BZQ74" s="545"/>
      <c r="BZR74" s="545"/>
      <c r="BZS74" s="545"/>
      <c r="BZT74" s="545"/>
      <c r="BZU74" s="545"/>
      <c r="BZV74" s="545"/>
      <c r="BZW74" s="545"/>
      <c r="BZX74" s="545"/>
      <c r="BZY74" s="545"/>
      <c r="BZZ74" s="545"/>
      <c r="CAA74" s="545"/>
      <c r="CAB74" s="545"/>
      <c r="CAC74" s="545"/>
      <c r="CAD74" s="545"/>
      <c r="CAE74" s="545"/>
      <c r="CAF74" s="545"/>
      <c r="CAG74" s="545"/>
      <c r="CAH74" s="545"/>
      <c r="CAI74" s="545"/>
      <c r="CAJ74" s="545"/>
      <c r="CAK74" s="545"/>
      <c r="CAL74" s="545"/>
      <c r="CAM74" s="545"/>
      <c r="CAN74" s="545"/>
      <c r="CAO74" s="545"/>
      <c r="CAP74" s="545"/>
      <c r="CAQ74" s="545"/>
      <c r="CAR74" s="545"/>
      <c r="CAS74" s="545"/>
      <c r="CAT74" s="545"/>
      <c r="CAU74" s="545"/>
      <c r="CAV74" s="545"/>
      <c r="CAW74" s="545"/>
      <c r="CAX74" s="545"/>
      <c r="CAY74" s="545"/>
      <c r="CAZ74" s="545"/>
      <c r="CBA74" s="545"/>
      <c r="CBB74" s="545"/>
      <c r="CBC74" s="545"/>
      <c r="CBD74" s="545"/>
      <c r="CBE74" s="545"/>
      <c r="CBF74" s="545"/>
      <c r="CBG74" s="545"/>
      <c r="CBH74" s="545"/>
      <c r="CBI74" s="545"/>
      <c r="CBJ74" s="545"/>
      <c r="CBK74" s="545"/>
      <c r="CBL74" s="545"/>
      <c r="CBM74" s="545"/>
      <c r="CBN74" s="545"/>
      <c r="CBO74" s="545"/>
      <c r="CBP74" s="545"/>
      <c r="CBQ74" s="545"/>
      <c r="CBR74" s="545"/>
      <c r="CBS74" s="545"/>
      <c r="CBT74" s="545"/>
      <c r="CBU74" s="545"/>
      <c r="CBV74" s="545"/>
      <c r="CBW74" s="545"/>
      <c r="CBX74" s="545"/>
      <c r="CBY74" s="545"/>
      <c r="CBZ74" s="545"/>
      <c r="CCA74" s="545"/>
      <c r="CCB74" s="545"/>
      <c r="CCC74" s="545"/>
      <c r="CCD74" s="545"/>
      <c r="CCE74" s="545"/>
      <c r="CCF74" s="545"/>
      <c r="CCG74" s="545"/>
      <c r="CCH74" s="545"/>
      <c r="CCI74" s="545"/>
      <c r="CCJ74" s="545"/>
      <c r="CCK74" s="545"/>
      <c r="CCL74" s="545"/>
      <c r="CCM74" s="545"/>
      <c r="CCN74" s="545"/>
      <c r="CCO74" s="545"/>
      <c r="CCP74" s="545"/>
      <c r="CCQ74" s="545"/>
      <c r="CCR74" s="545"/>
      <c r="CCS74" s="545"/>
      <c r="CCT74" s="545"/>
      <c r="CCU74" s="545"/>
      <c r="CCV74" s="545"/>
      <c r="CCW74" s="545"/>
      <c r="CCX74" s="545"/>
      <c r="CCY74" s="545"/>
      <c r="CCZ74" s="545"/>
      <c r="CDA74" s="545"/>
      <c r="CDB74" s="545"/>
      <c r="CDC74" s="545"/>
      <c r="CDD74" s="545"/>
      <c r="CDE74" s="545"/>
      <c r="CDF74" s="545"/>
      <c r="CDG74" s="545"/>
      <c r="CDH74" s="545"/>
      <c r="CDI74" s="545"/>
      <c r="CDJ74" s="545"/>
      <c r="CDK74" s="545"/>
      <c r="CDL74" s="545"/>
      <c r="CDM74" s="545"/>
      <c r="CDN74" s="545"/>
      <c r="CDO74" s="545"/>
      <c r="CDP74" s="545"/>
      <c r="CDQ74" s="545"/>
      <c r="CDR74" s="545"/>
      <c r="CDS74" s="545"/>
      <c r="CDT74" s="545"/>
      <c r="CDU74" s="545"/>
      <c r="CDV74" s="545"/>
      <c r="CDW74" s="545"/>
      <c r="CDX74" s="545"/>
      <c r="CDY74" s="545"/>
      <c r="CDZ74" s="545"/>
      <c r="CEA74" s="545"/>
      <c r="CEB74" s="545"/>
      <c r="CEC74" s="545"/>
      <c r="CED74" s="545"/>
      <c r="CEE74" s="545"/>
      <c r="CEF74" s="545"/>
      <c r="CEG74" s="545"/>
      <c r="CEH74" s="545"/>
      <c r="CEI74" s="545"/>
      <c r="CEJ74" s="545"/>
      <c r="CEK74" s="545"/>
      <c r="CEL74" s="545"/>
      <c r="CEM74" s="545"/>
      <c r="CEN74" s="545"/>
      <c r="CEO74" s="545"/>
      <c r="CEP74" s="545"/>
      <c r="CEQ74" s="545"/>
      <c r="CER74" s="545"/>
      <c r="CES74" s="545"/>
      <c r="CET74" s="545"/>
      <c r="CEU74" s="545"/>
      <c r="CEV74" s="545"/>
      <c r="CEW74" s="545"/>
      <c r="CEX74" s="545"/>
      <c r="CEY74" s="545"/>
      <c r="CEZ74" s="545"/>
      <c r="CFA74" s="545"/>
      <c r="CFB74" s="545"/>
      <c r="CFC74" s="545"/>
      <c r="CFD74" s="545"/>
      <c r="CFE74" s="545"/>
      <c r="CFF74" s="545"/>
      <c r="CFG74" s="545"/>
      <c r="CFH74" s="545"/>
      <c r="CFI74" s="545"/>
      <c r="CFJ74" s="545"/>
      <c r="CFK74" s="545"/>
      <c r="CFL74" s="545"/>
      <c r="CFM74" s="545"/>
      <c r="CFN74" s="545"/>
      <c r="CFO74" s="545"/>
      <c r="CFP74" s="545"/>
      <c r="CFQ74" s="545"/>
      <c r="CFR74" s="545"/>
      <c r="CFS74" s="545"/>
      <c r="CFT74" s="545"/>
      <c r="CFU74" s="545"/>
      <c r="CFV74" s="545"/>
      <c r="CFW74" s="545"/>
      <c r="CFX74" s="545"/>
      <c r="CFY74" s="545"/>
      <c r="CFZ74" s="545"/>
      <c r="CGA74" s="545"/>
      <c r="CGB74" s="545"/>
      <c r="CGC74" s="545"/>
      <c r="CGD74" s="545"/>
      <c r="CGE74" s="545"/>
      <c r="CGF74" s="545"/>
      <c r="CGG74" s="545"/>
      <c r="CGH74" s="545"/>
      <c r="CGI74" s="545"/>
      <c r="CGJ74" s="545"/>
      <c r="CGK74" s="545"/>
      <c r="CGL74" s="545"/>
      <c r="CGM74" s="545"/>
      <c r="CGN74" s="545"/>
      <c r="CGO74" s="545"/>
      <c r="CGP74" s="545"/>
      <c r="CGQ74" s="545"/>
      <c r="CGR74" s="545"/>
      <c r="CGS74" s="545"/>
      <c r="CGT74" s="545"/>
      <c r="CGU74" s="545"/>
      <c r="CGV74" s="545"/>
      <c r="CGW74" s="545"/>
      <c r="CGX74" s="545"/>
      <c r="CGY74" s="545"/>
      <c r="CGZ74" s="545"/>
      <c r="CHA74" s="545"/>
      <c r="CHB74" s="545"/>
      <c r="CHC74" s="545"/>
      <c r="CHD74" s="545"/>
      <c r="CHE74" s="545"/>
      <c r="CHF74" s="545"/>
      <c r="CHG74" s="545"/>
      <c r="CHH74" s="545"/>
      <c r="CHI74" s="545"/>
      <c r="CHJ74" s="545"/>
      <c r="CHK74" s="545"/>
      <c r="CHL74" s="545"/>
      <c r="CHM74" s="545"/>
      <c r="CHN74" s="545"/>
      <c r="CHO74" s="545"/>
      <c r="CHP74" s="545"/>
      <c r="CHQ74" s="545"/>
      <c r="CHR74" s="545"/>
      <c r="CHS74" s="545"/>
      <c r="CHT74" s="545"/>
      <c r="CHU74" s="545"/>
      <c r="CHV74" s="545"/>
      <c r="CHW74" s="545"/>
      <c r="CHX74" s="545"/>
      <c r="CHY74" s="545"/>
      <c r="CHZ74" s="545"/>
      <c r="CIA74" s="545"/>
      <c r="CIB74" s="545"/>
      <c r="CIC74" s="545"/>
      <c r="CID74" s="545"/>
      <c r="CIE74" s="545"/>
      <c r="CIF74" s="545"/>
      <c r="CIG74" s="545"/>
      <c r="CIH74" s="545"/>
      <c r="CII74" s="545"/>
      <c r="CIJ74" s="545"/>
      <c r="CIK74" s="545"/>
      <c r="CIL74" s="545"/>
      <c r="CIM74" s="545"/>
      <c r="CIN74" s="545"/>
      <c r="CIO74" s="545"/>
      <c r="CIP74" s="545"/>
      <c r="CIQ74" s="545"/>
      <c r="CIR74" s="545"/>
      <c r="CIS74" s="545"/>
      <c r="CIT74" s="545"/>
      <c r="CIU74" s="545"/>
      <c r="CIV74" s="545"/>
      <c r="CIW74" s="545"/>
      <c r="CIX74" s="545"/>
      <c r="CIY74" s="545"/>
      <c r="CIZ74" s="545"/>
      <c r="CJA74" s="545"/>
      <c r="CJB74" s="545"/>
      <c r="CJC74" s="545"/>
      <c r="CJD74" s="545"/>
      <c r="CJE74" s="545"/>
      <c r="CJF74" s="545"/>
      <c r="CJG74" s="545"/>
      <c r="CJH74" s="545"/>
      <c r="CJI74" s="545"/>
      <c r="CJJ74" s="545"/>
      <c r="CJK74" s="545"/>
      <c r="CJL74" s="545"/>
      <c r="CJM74" s="545"/>
      <c r="CJN74" s="545"/>
      <c r="CJO74" s="545"/>
      <c r="CJP74" s="545"/>
      <c r="CJQ74" s="545"/>
      <c r="CJR74" s="545"/>
      <c r="CJS74" s="545"/>
      <c r="CJT74" s="545"/>
      <c r="CJU74" s="545"/>
      <c r="CJV74" s="545"/>
      <c r="CJW74" s="545"/>
      <c r="CJX74" s="545"/>
      <c r="CJY74" s="545"/>
      <c r="CJZ74" s="545"/>
      <c r="CKA74" s="545"/>
      <c r="CKB74" s="545"/>
      <c r="CKC74" s="545"/>
      <c r="CKD74" s="545"/>
      <c r="CKE74" s="545"/>
      <c r="CKF74" s="545"/>
      <c r="CKG74" s="545"/>
      <c r="CKH74" s="545"/>
      <c r="CKI74" s="545"/>
      <c r="CKJ74" s="545"/>
      <c r="CKK74" s="545"/>
      <c r="CKL74" s="545"/>
      <c r="CKM74" s="545"/>
      <c r="CKN74" s="545"/>
      <c r="CKO74" s="545"/>
      <c r="CKP74" s="545"/>
      <c r="CKQ74" s="545"/>
      <c r="CKR74" s="545"/>
      <c r="CKS74" s="545"/>
      <c r="CKT74" s="545"/>
      <c r="CKU74" s="545"/>
      <c r="CKV74" s="545"/>
      <c r="CKW74" s="545"/>
      <c r="CKX74" s="545"/>
      <c r="CKY74" s="545"/>
      <c r="CKZ74" s="545"/>
      <c r="CLA74" s="545"/>
      <c r="CLB74" s="545"/>
      <c r="CLC74" s="545"/>
      <c r="CLD74" s="545"/>
      <c r="CLE74" s="545"/>
      <c r="CLF74" s="545"/>
      <c r="CLG74" s="545"/>
      <c r="CLH74" s="545"/>
      <c r="CLI74" s="545"/>
      <c r="CLJ74" s="545"/>
      <c r="CLK74" s="545"/>
      <c r="CLL74" s="545"/>
      <c r="CLM74" s="545"/>
      <c r="CLN74" s="545"/>
      <c r="CLO74" s="545"/>
      <c r="CLP74" s="545"/>
      <c r="CLQ74" s="545"/>
      <c r="CLR74" s="545"/>
      <c r="CLS74" s="545"/>
      <c r="CLT74" s="545"/>
      <c r="CLU74" s="545"/>
      <c r="CLV74" s="545"/>
      <c r="CLW74" s="545"/>
      <c r="CLX74" s="545"/>
      <c r="CLY74" s="545"/>
      <c r="CLZ74" s="545"/>
      <c r="CMA74" s="545"/>
      <c r="CMB74" s="545"/>
      <c r="CMC74" s="545"/>
      <c r="CMD74" s="545"/>
      <c r="CME74" s="545"/>
      <c r="CMF74" s="545"/>
      <c r="CMG74" s="545"/>
      <c r="CMH74" s="545"/>
      <c r="CMI74" s="545"/>
      <c r="CMJ74" s="545"/>
      <c r="CMK74" s="545"/>
      <c r="CML74" s="545"/>
      <c r="CMM74" s="545"/>
      <c r="CMN74" s="545"/>
      <c r="CMO74" s="545"/>
      <c r="CMP74" s="545"/>
      <c r="CMQ74" s="545"/>
      <c r="CMR74" s="545"/>
      <c r="CMS74" s="545"/>
      <c r="CMT74" s="545"/>
      <c r="CMU74" s="545"/>
      <c r="CMV74" s="545"/>
      <c r="CMW74" s="545"/>
      <c r="CMX74" s="545"/>
      <c r="CMY74" s="545"/>
      <c r="CMZ74" s="545"/>
      <c r="CNA74" s="545"/>
      <c r="CNB74" s="545"/>
      <c r="CNC74" s="545"/>
      <c r="CND74" s="545"/>
      <c r="CNE74" s="545"/>
      <c r="CNF74" s="545"/>
      <c r="CNG74" s="545"/>
      <c r="CNH74" s="545"/>
      <c r="CNI74" s="545"/>
      <c r="CNJ74" s="545"/>
      <c r="CNK74" s="545"/>
      <c r="CNL74" s="545"/>
      <c r="CNM74" s="545"/>
      <c r="CNN74" s="545"/>
      <c r="CNO74" s="545"/>
      <c r="CNP74" s="545"/>
      <c r="CNQ74" s="545"/>
      <c r="CNR74" s="545"/>
      <c r="CNS74" s="545"/>
      <c r="CNT74" s="545"/>
      <c r="CNU74" s="545"/>
      <c r="CNV74" s="545"/>
      <c r="CNW74" s="545"/>
      <c r="CNX74" s="545"/>
      <c r="CNY74" s="545"/>
      <c r="CNZ74" s="545"/>
      <c r="COA74" s="545"/>
      <c r="COB74" s="545"/>
      <c r="COC74" s="545"/>
      <c r="COD74" s="545"/>
      <c r="COE74" s="545"/>
      <c r="COF74" s="545"/>
      <c r="COG74" s="545"/>
      <c r="COH74" s="545"/>
      <c r="COI74" s="545"/>
      <c r="COJ74" s="545"/>
      <c r="COK74" s="545"/>
      <c r="COL74" s="545"/>
      <c r="COM74" s="545"/>
      <c r="CON74" s="545"/>
      <c r="COO74" s="545"/>
      <c r="COP74" s="545"/>
      <c r="COQ74" s="545"/>
      <c r="COR74" s="545"/>
      <c r="COS74" s="545"/>
      <c r="COT74" s="545"/>
      <c r="COU74" s="545"/>
      <c r="COV74" s="545"/>
      <c r="COW74" s="545"/>
      <c r="COX74" s="545"/>
      <c r="COY74" s="545"/>
      <c r="COZ74" s="545"/>
      <c r="CPA74" s="545"/>
      <c r="CPB74" s="545"/>
      <c r="CPC74" s="545"/>
      <c r="CPD74" s="545"/>
      <c r="CPE74" s="545"/>
      <c r="CPF74" s="545"/>
      <c r="CPG74" s="545"/>
      <c r="CPH74" s="545"/>
      <c r="CPI74" s="545"/>
      <c r="CPJ74" s="545"/>
      <c r="CPK74" s="545"/>
      <c r="CPL74" s="545"/>
      <c r="CPM74" s="545"/>
      <c r="CPN74" s="545"/>
      <c r="CPO74" s="545"/>
      <c r="CPP74" s="545"/>
      <c r="CPQ74" s="545"/>
      <c r="CPR74" s="545"/>
      <c r="CPS74" s="545"/>
      <c r="CPT74" s="545"/>
      <c r="CPU74" s="545"/>
      <c r="CPV74" s="545"/>
      <c r="CPW74" s="545"/>
      <c r="CPX74" s="545"/>
      <c r="CPY74" s="545"/>
      <c r="CPZ74" s="545"/>
      <c r="CQA74" s="545"/>
      <c r="CQB74" s="545"/>
      <c r="CQC74" s="545"/>
      <c r="CQD74" s="545"/>
      <c r="CQE74" s="545"/>
      <c r="CQF74" s="545"/>
      <c r="CQG74" s="545"/>
      <c r="CQH74" s="545"/>
      <c r="CQI74" s="545"/>
      <c r="CQJ74" s="545"/>
      <c r="CQK74" s="545"/>
      <c r="CQL74" s="545"/>
      <c r="CQM74" s="545"/>
      <c r="CQN74" s="545"/>
      <c r="CQO74" s="545"/>
      <c r="CQP74" s="545"/>
      <c r="CQQ74" s="545"/>
      <c r="CQR74" s="545"/>
      <c r="CQS74" s="545"/>
      <c r="CQT74" s="545"/>
      <c r="CQU74" s="545"/>
      <c r="CQV74" s="545"/>
      <c r="CQW74" s="545"/>
      <c r="CQX74" s="545"/>
      <c r="CQY74" s="545"/>
      <c r="CQZ74" s="545"/>
      <c r="CRA74" s="545"/>
      <c r="CRB74" s="545"/>
      <c r="CRC74" s="545"/>
      <c r="CRD74" s="545"/>
      <c r="CRE74" s="545"/>
      <c r="CRF74" s="545"/>
      <c r="CRG74" s="545"/>
      <c r="CRH74" s="545"/>
      <c r="CRI74" s="545"/>
      <c r="CRJ74" s="545"/>
      <c r="CRK74" s="545"/>
      <c r="CRL74" s="545"/>
      <c r="CRM74" s="545"/>
      <c r="CRN74" s="545"/>
      <c r="CRO74" s="545"/>
      <c r="CRP74" s="545"/>
      <c r="CRQ74" s="545"/>
      <c r="CRR74" s="545"/>
      <c r="CRS74" s="545"/>
      <c r="CRT74" s="545"/>
      <c r="CRU74" s="545"/>
      <c r="CRV74" s="545"/>
      <c r="CRW74" s="545"/>
      <c r="CRX74" s="545"/>
      <c r="CRY74" s="545"/>
      <c r="CRZ74" s="545"/>
      <c r="CSA74" s="545"/>
      <c r="CSB74" s="545"/>
      <c r="CSC74" s="545"/>
      <c r="CSD74" s="545"/>
      <c r="CSE74" s="545"/>
      <c r="CSF74" s="545"/>
      <c r="CSG74" s="545"/>
      <c r="CSH74" s="545"/>
      <c r="CSI74" s="545"/>
      <c r="CSJ74" s="545"/>
      <c r="CSK74" s="545"/>
      <c r="CSL74" s="545"/>
      <c r="CSM74" s="545"/>
      <c r="CSN74" s="545"/>
      <c r="CSO74" s="545"/>
      <c r="CSP74" s="545"/>
      <c r="CSQ74" s="545"/>
      <c r="CSR74" s="545"/>
      <c r="CSS74" s="545"/>
      <c r="CST74" s="545"/>
      <c r="CSU74" s="545"/>
      <c r="CSV74" s="545"/>
      <c r="CSW74" s="545"/>
      <c r="CSX74" s="545"/>
      <c r="CSY74" s="545"/>
      <c r="CSZ74" s="545"/>
      <c r="CTA74" s="545"/>
      <c r="CTB74" s="545"/>
      <c r="CTC74" s="545"/>
      <c r="CTD74" s="545"/>
      <c r="CTE74" s="545"/>
      <c r="CTF74" s="545"/>
      <c r="CTG74" s="545"/>
      <c r="CTH74" s="545"/>
      <c r="CTI74" s="545"/>
      <c r="CTJ74" s="545"/>
      <c r="CTK74" s="545"/>
      <c r="CTL74" s="545"/>
      <c r="CTM74" s="545"/>
      <c r="CTN74" s="545"/>
      <c r="CTO74" s="545"/>
      <c r="CTP74" s="545"/>
      <c r="CTQ74" s="545"/>
      <c r="CTR74" s="545"/>
      <c r="CTS74" s="545"/>
      <c r="CTT74" s="545"/>
      <c r="CTU74" s="545"/>
      <c r="CTV74" s="545"/>
      <c r="CTW74" s="545"/>
      <c r="CTX74" s="545"/>
      <c r="CTY74" s="545"/>
      <c r="CTZ74" s="545"/>
      <c r="CUA74" s="545"/>
      <c r="CUB74" s="545"/>
      <c r="CUC74" s="545"/>
      <c r="CUD74" s="545"/>
      <c r="CUE74" s="545"/>
      <c r="CUF74" s="545"/>
      <c r="CUG74" s="545"/>
      <c r="CUH74" s="545"/>
      <c r="CUI74" s="545"/>
      <c r="CUJ74" s="545"/>
      <c r="CUK74" s="545"/>
      <c r="CUL74" s="545"/>
      <c r="CUM74" s="545"/>
      <c r="CUN74" s="545"/>
      <c r="CUO74" s="545"/>
      <c r="CUP74" s="545"/>
      <c r="CUQ74" s="545"/>
      <c r="CUR74" s="545"/>
      <c r="CUS74" s="545"/>
      <c r="CUT74" s="545"/>
      <c r="CUU74" s="545"/>
      <c r="CUV74" s="545"/>
      <c r="CUW74" s="545"/>
      <c r="CUX74" s="545"/>
      <c r="CUY74" s="545"/>
      <c r="CUZ74" s="545"/>
      <c r="CVA74" s="545"/>
      <c r="CVB74" s="545"/>
      <c r="CVC74" s="545"/>
      <c r="CVD74" s="545"/>
      <c r="CVE74" s="545"/>
      <c r="CVF74" s="545"/>
      <c r="CVG74" s="545"/>
      <c r="CVH74" s="545"/>
      <c r="CVI74" s="545"/>
      <c r="CVJ74" s="545"/>
      <c r="CVK74" s="545"/>
      <c r="CVL74" s="545"/>
      <c r="CVM74" s="545"/>
      <c r="CVN74" s="545"/>
      <c r="CVO74" s="545"/>
      <c r="CVP74" s="545"/>
      <c r="CVQ74" s="545"/>
      <c r="CVR74" s="545"/>
      <c r="CVS74" s="545"/>
      <c r="CVT74" s="545"/>
      <c r="CVU74" s="545"/>
      <c r="CVV74" s="545"/>
      <c r="CVW74" s="545"/>
      <c r="CVX74" s="545"/>
      <c r="CVY74" s="545"/>
      <c r="CVZ74" s="545"/>
      <c r="CWA74" s="545"/>
      <c r="CWB74" s="545"/>
      <c r="CWC74" s="545"/>
      <c r="CWD74" s="545"/>
      <c r="CWE74" s="545"/>
      <c r="CWF74" s="545"/>
      <c r="CWG74" s="545"/>
      <c r="CWH74" s="545"/>
      <c r="CWI74" s="545"/>
      <c r="CWJ74" s="545"/>
      <c r="CWK74" s="545"/>
      <c r="CWL74" s="545"/>
      <c r="CWM74" s="545"/>
      <c r="CWN74" s="545"/>
      <c r="CWO74" s="545"/>
      <c r="CWP74" s="545"/>
      <c r="CWQ74" s="545"/>
      <c r="CWR74" s="545"/>
      <c r="CWS74" s="545"/>
      <c r="CWT74" s="545"/>
      <c r="CWU74" s="545"/>
      <c r="CWV74" s="545"/>
      <c r="CWW74" s="545"/>
      <c r="CWX74" s="545"/>
      <c r="CWY74" s="545"/>
      <c r="CWZ74" s="545"/>
      <c r="CXA74" s="545"/>
      <c r="CXB74" s="545"/>
      <c r="CXC74" s="545"/>
      <c r="CXD74" s="545"/>
      <c r="CXE74" s="545"/>
      <c r="CXF74" s="545"/>
      <c r="CXG74" s="545"/>
      <c r="CXH74" s="545"/>
      <c r="CXI74" s="545"/>
      <c r="CXJ74" s="545"/>
      <c r="CXK74" s="545"/>
      <c r="CXL74" s="545"/>
      <c r="CXM74" s="545"/>
      <c r="CXN74" s="545"/>
      <c r="CXO74" s="545"/>
      <c r="CXP74" s="545"/>
      <c r="CXQ74" s="545"/>
      <c r="CXR74" s="545"/>
      <c r="CXS74" s="545"/>
      <c r="CXT74" s="545"/>
      <c r="CXU74" s="545"/>
      <c r="CXV74" s="545"/>
      <c r="CXW74" s="545"/>
      <c r="CXX74" s="545"/>
      <c r="CXY74" s="545"/>
      <c r="CXZ74" s="545"/>
      <c r="CYA74" s="545"/>
      <c r="CYB74" s="545"/>
      <c r="CYC74" s="545"/>
      <c r="CYD74" s="545"/>
      <c r="CYE74" s="545"/>
      <c r="CYF74" s="545"/>
      <c r="CYG74" s="545"/>
      <c r="CYH74" s="545"/>
      <c r="CYI74" s="545"/>
      <c r="CYJ74" s="545"/>
      <c r="CYK74" s="545"/>
      <c r="CYL74" s="545"/>
      <c r="CYM74" s="545"/>
      <c r="CYN74" s="545"/>
      <c r="CYO74" s="545"/>
      <c r="CYP74" s="545"/>
      <c r="CYQ74" s="545"/>
      <c r="CYR74" s="545"/>
      <c r="CYS74" s="545"/>
      <c r="CYT74" s="545"/>
      <c r="CYU74" s="545"/>
      <c r="CYV74" s="545"/>
      <c r="CYW74" s="545"/>
      <c r="CYX74" s="545"/>
      <c r="CYY74" s="545"/>
      <c r="CYZ74" s="545"/>
      <c r="CZA74" s="545"/>
      <c r="CZB74" s="545"/>
      <c r="CZC74" s="545"/>
      <c r="CZD74" s="545"/>
      <c r="CZE74" s="545"/>
      <c r="CZF74" s="545"/>
      <c r="CZG74" s="545"/>
      <c r="CZH74" s="545"/>
      <c r="CZI74" s="545"/>
      <c r="CZJ74" s="545"/>
      <c r="CZK74" s="545"/>
      <c r="CZL74" s="545"/>
      <c r="CZM74" s="545"/>
      <c r="CZN74" s="545"/>
      <c r="CZO74" s="545"/>
      <c r="CZP74" s="545"/>
      <c r="CZQ74" s="545"/>
      <c r="CZR74" s="545"/>
      <c r="CZS74" s="545"/>
      <c r="CZT74" s="545"/>
      <c r="CZU74" s="545"/>
      <c r="CZV74" s="545"/>
      <c r="CZW74" s="545"/>
      <c r="CZX74" s="545"/>
      <c r="CZY74" s="545"/>
      <c r="CZZ74" s="545"/>
      <c r="DAA74" s="545"/>
      <c r="DAB74" s="545"/>
      <c r="DAC74" s="545"/>
      <c r="DAD74" s="545"/>
      <c r="DAE74" s="545"/>
      <c r="DAF74" s="545"/>
      <c r="DAG74" s="545"/>
      <c r="DAH74" s="545"/>
      <c r="DAI74" s="545"/>
      <c r="DAJ74" s="545"/>
      <c r="DAK74" s="545"/>
      <c r="DAL74" s="545"/>
      <c r="DAM74" s="545"/>
      <c r="DAN74" s="545"/>
      <c r="DAO74" s="545"/>
      <c r="DAP74" s="545"/>
      <c r="DAQ74" s="545"/>
      <c r="DAR74" s="545"/>
      <c r="DAS74" s="545"/>
      <c r="DAT74" s="545"/>
      <c r="DAU74" s="545"/>
      <c r="DAV74" s="545"/>
      <c r="DAW74" s="545"/>
      <c r="DAX74" s="545"/>
      <c r="DAY74" s="545"/>
      <c r="DAZ74" s="545"/>
      <c r="DBA74" s="545"/>
      <c r="DBB74" s="545"/>
      <c r="DBC74" s="545"/>
      <c r="DBD74" s="545"/>
      <c r="DBE74" s="545"/>
      <c r="DBF74" s="545"/>
      <c r="DBG74" s="545"/>
      <c r="DBH74" s="545"/>
      <c r="DBI74" s="545"/>
      <c r="DBJ74" s="545"/>
      <c r="DBK74" s="545"/>
      <c r="DBL74" s="545"/>
      <c r="DBM74" s="545"/>
      <c r="DBN74" s="545"/>
      <c r="DBO74" s="545"/>
      <c r="DBP74" s="545"/>
      <c r="DBQ74" s="545"/>
      <c r="DBR74" s="545"/>
      <c r="DBS74" s="545"/>
      <c r="DBT74" s="545"/>
      <c r="DBU74" s="545"/>
      <c r="DBV74" s="545"/>
      <c r="DBW74" s="545"/>
      <c r="DBX74" s="545"/>
      <c r="DBY74" s="545"/>
      <c r="DBZ74" s="545"/>
      <c r="DCA74" s="545"/>
      <c r="DCB74" s="545"/>
      <c r="DCC74" s="545"/>
      <c r="DCD74" s="545"/>
      <c r="DCE74" s="545"/>
      <c r="DCF74" s="545"/>
      <c r="DCG74" s="545"/>
      <c r="DCH74" s="545"/>
      <c r="DCI74" s="545"/>
      <c r="DCJ74" s="545"/>
      <c r="DCK74" s="545"/>
      <c r="DCL74" s="545"/>
      <c r="DCM74" s="545"/>
      <c r="DCN74" s="545"/>
      <c r="DCO74" s="545"/>
      <c r="DCP74" s="545"/>
      <c r="DCQ74" s="545"/>
      <c r="DCR74" s="545"/>
      <c r="DCS74" s="545"/>
      <c r="DCT74" s="545"/>
      <c r="DCU74" s="545"/>
      <c r="DCV74" s="545"/>
      <c r="DCW74" s="545"/>
      <c r="DCX74" s="545"/>
      <c r="DCY74" s="545"/>
      <c r="DCZ74" s="545"/>
      <c r="DDA74" s="545"/>
      <c r="DDB74" s="545"/>
      <c r="DDC74" s="545"/>
      <c r="DDD74" s="545"/>
      <c r="DDE74" s="545"/>
      <c r="DDF74" s="545"/>
      <c r="DDG74" s="545"/>
      <c r="DDH74" s="545"/>
      <c r="DDI74" s="545"/>
      <c r="DDJ74" s="545"/>
      <c r="DDK74" s="545"/>
      <c r="DDL74" s="545"/>
      <c r="DDM74" s="545"/>
      <c r="DDN74" s="545"/>
      <c r="DDO74" s="545"/>
      <c r="DDP74" s="545"/>
      <c r="DDQ74" s="545"/>
      <c r="DDR74" s="545"/>
      <c r="DDS74" s="545"/>
      <c r="DDT74" s="545"/>
      <c r="DDU74" s="545"/>
      <c r="DDV74" s="545"/>
      <c r="DDW74" s="545"/>
      <c r="DDX74" s="545"/>
      <c r="DDY74" s="545"/>
      <c r="DDZ74" s="545"/>
      <c r="DEA74" s="545"/>
      <c r="DEB74" s="545"/>
      <c r="DEC74" s="545"/>
      <c r="DED74" s="545"/>
      <c r="DEE74" s="545"/>
      <c r="DEF74" s="545"/>
      <c r="DEG74" s="545"/>
      <c r="DEH74" s="545"/>
      <c r="DEI74" s="545"/>
      <c r="DEJ74" s="545"/>
      <c r="DEK74" s="545"/>
      <c r="DEL74" s="545"/>
      <c r="DEM74" s="545"/>
      <c r="DEN74" s="545"/>
      <c r="DEO74" s="545"/>
      <c r="DEP74" s="545"/>
      <c r="DEQ74" s="545"/>
      <c r="DER74" s="545"/>
      <c r="DES74" s="545"/>
      <c r="DET74" s="545"/>
      <c r="DEU74" s="545"/>
      <c r="DEV74" s="545"/>
      <c r="DEW74" s="545"/>
      <c r="DEX74" s="545"/>
      <c r="DEY74" s="545"/>
      <c r="DEZ74" s="545"/>
      <c r="DFA74" s="545"/>
      <c r="DFB74" s="545"/>
      <c r="DFC74" s="545"/>
      <c r="DFD74" s="545"/>
      <c r="DFE74" s="545"/>
      <c r="DFF74" s="545"/>
      <c r="DFG74" s="545"/>
      <c r="DFH74" s="545"/>
      <c r="DFI74" s="545"/>
      <c r="DFJ74" s="545"/>
      <c r="DFK74" s="545"/>
      <c r="DFL74" s="545"/>
      <c r="DFM74" s="545"/>
      <c r="DFN74" s="545"/>
      <c r="DFO74" s="545"/>
      <c r="DFP74" s="545"/>
      <c r="DFQ74" s="545"/>
      <c r="DFR74" s="545"/>
      <c r="DFS74" s="545"/>
      <c r="DFT74" s="545"/>
      <c r="DFU74" s="545"/>
      <c r="DFV74" s="545"/>
      <c r="DFW74" s="545"/>
      <c r="DFX74" s="545"/>
      <c r="DFY74" s="545"/>
      <c r="DFZ74" s="545"/>
      <c r="DGA74" s="545"/>
      <c r="DGB74" s="545"/>
      <c r="DGC74" s="545"/>
      <c r="DGD74" s="545"/>
      <c r="DGE74" s="545"/>
      <c r="DGF74" s="545"/>
      <c r="DGG74" s="545"/>
      <c r="DGH74" s="545"/>
      <c r="DGI74" s="545"/>
      <c r="DGJ74" s="545"/>
      <c r="DGK74" s="545"/>
      <c r="DGL74" s="545"/>
      <c r="DGM74" s="545"/>
      <c r="DGN74" s="545"/>
      <c r="DGO74" s="545"/>
      <c r="DGP74" s="545"/>
      <c r="DGQ74" s="545"/>
      <c r="DGR74" s="545"/>
      <c r="DGS74" s="545"/>
      <c r="DGT74" s="545"/>
      <c r="DGU74" s="545"/>
      <c r="DGV74" s="545"/>
      <c r="DGW74" s="545"/>
      <c r="DGX74" s="545"/>
      <c r="DGY74" s="545"/>
      <c r="DGZ74" s="545"/>
      <c r="DHA74" s="545"/>
      <c r="DHB74" s="545"/>
      <c r="DHC74" s="545"/>
      <c r="DHD74" s="545"/>
      <c r="DHE74" s="545"/>
      <c r="DHF74" s="545"/>
      <c r="DHG74" s="545"/>
      <c r="DHH74" s="545"/>
      <c r="DHI74" s="545"/>
      <c r="DHJ74" s="545"/>
      <c r="DHK74" s="545"/>
      <c r="DHL74" s="545"/>
      <c r="DHM74" s="545"/>
      <c r="DHN74" s="545"/>
      <c r="DHO74" s="545"/>
      <c r="DHP74" s="545"/>
      <c r="DHQ74" s="545"/>
      <c r="DHR74" s="545"/>
      <c r="DHS74" s="545"/>
      <c r="DHT74" s="545"/>
      <c r="DHU74" s="545"/>
      <c r="DHV74" s="545"/>
      <c r="DHW74" s="545"/>
      <c r="DHX74" s="545"/>
      <c r="DHY74" s="545"/>
      <c r="DHZ74" s="545"/>
      <c r="DIA74" s="545"/>
      <c r="DIB74" s="545"/>
      <c r="DIC74" s="545"/>
      <c r="DID74" s="545"/>
      <c r="DIE74" s="545"/>
      <c r="DIF74" s="545"/>
      <c r="DIG74" s="545"/>
      <c r="DIH74" s="545"/>
      <c r="DII74" s="545"/>
      <c r="DIJ74" s="545"/>
      <c r="DIK74" s="545"/>
      <c r="DIL74" s="545"/>
      <c r="DIM74" s="545"/>
      <c r="DIN74" s="545"/>
      <c r="DIO74" s="545"/>
      <c r="DIP74" s="545"/>
      <c r="DIQ74" s="545"/>
      <c r="DIR74" s="545"/>
      <c r="DIS74" s="545"/>
      <c r="DIT74" s="545"/>
      <c r="DIU74" s="545"/>
      <c r="DIV74" s="545"/>
      <c r="DIW74" s="545"/>
      <c r="DIX74" s="545"/>
      <c r="DIY74" s="545"/>
      <c r="DIZ74" s="545"/>
      <c r="DJA74" s="545"/>
      <c r="DJB74" s="545"/>
      <c r="DJC74" s="545"/>
      <c r="DJD74" s="545"/>
      <c r="DJE74" s="545"/>
      <c r="DJF74" s="545"/>
      <c r="DJG74" s="545"/>
      <c r="DJH74" s="545"/>
      <c r="DJI74" s="545"/>
      <c r="DJJ74" s="545"/>
      <c r="DJK74" s="545"/>
      <c r="DJL74" s="545"/>
      <c r="DJM74" s="545"/>
      <c r="DJN74" s="545"/>
      <c r="DJO74" s="545"/>
      <c r="DJP74" s="545"/>
      <c r="DJQ74" s="545"/>
      <c r="DJR74" s="545"/>
      <c r="DJS74" s="545"/>
      <c r="DJT74" s="545"/>
      <c r="DJU74" s="545"/>
      <c r="DJV74" s="545"/>
      <c r="DJW74" s="545"/>
      <c r="DJX74" s="545"/>
      <c r="DJY74" s="545"/>
      <c r="DJZ74" s="545"/>
      <c r="DKA74" s="545"/>
      <c r="DKB74" s="545"/>
      <c r="DKC74" s="545"/>
      <c r="DKD74" s="545"/>
      <c r="DKE74" s="545"/>
      <c r="DKF74" s="545"/>
      <c r="DKG74" s="545"/>
      <c r="DKH74" s="545"/>
      <c r="DKI74" s="545"/>
      <c r="DKJ74" s="545"/>
      <c r="DKK74" s="545"/>
      <c r="DKL74" s="545"/>
      <c r="DKM74" s="545"/>
      <c r="DKN74" s="545"/>
      <c r="DKO74" s="545"/>
      <c r="DKP74" s="545"/>
      <c r="DKQ74" s="545"/>
      <c r="DKR74" s="545"/>
      <c r="DKS74" s="545"/>
      <c r="DKT74" s="545"/>
      <c r="DKU74" s="545"/>
      <c r="DKV74" s="545"/>
      <c r="DKW74" s="545"/>
      <c r="DKX74" s="545"/>
      <c r="DKY74" s="545"/>
      <c r="DKZ74" s="545"/>
      <c r="DLA74" s="545"/>
      <c r="DLB74" s="545"/>
      <c r="DLC74" s="545"/>
      <c r="DLD74" s="545"/>
      <c r="DLE74" s="545"/>
      <c r="DLF74" s="545"/>
      <c r="DLG74" s="545"/>
      <c r="DLH74" s="545"/>
      <c r="DLI74" s="545"/>
      <c r="DLJ74" s="545"/>
      <c r="DLK74" s="545"/>
      <c r="DLL74" s="545"/>
      <c r="DLM74" s="545"/>
      <c r="DLN74" s="545"/>
      <c r="DLO74" s="545"/>
      <c r="DLP74" s="545"/>
      <c r="DLQ74" s="545"/>
      <c r="DLR74" s="545"/>
      <c r="DLS74" s="545"/>
      <c r="DLT74" s="545"/>
      <c r="DLU74" s="545"/>
      <c r="DLV74" s="545"/>
      <c r="DLW74" s="545"/>
      <c r="DLX74" s="545"/>
      <c r="DLY74" s="545"/>
      <c r="DLZ74" s="545"/>
      <c r="DMA74" s="545"/>
      <c r="DMB74" s="545"/>
      <c r="DMC74" s="545"/>
      <c r="DMD74" s="545"/>
      <c r="DME74" s="545"/>
      <c r="DMF74" s="545"/>
      <c r="DMG74" s="545"/>
      <c r="DMH74" s="545"/>
      <c r="DMI74" s="545"/>
      <c r="DMJ74" s="545"/>
      <c r="DMK74" s="545"/>
      <c r="DML74" s="545"/>
      <c r="DMM74" s="545"/>
      <c r="DMN74" s="545"/>
      <c r="DMO74" s="545"/>
      <c r="DMP74" s="545"/>
      <c r="DMQ74" s="545"/>
      <c r="DMR74" s="545"/>
      <c r="DMS74" s="545"/>
      <c r="DMT74" s="545"/>
      <c r="DMU74" s="545"/>
      <c r="DMV74" s="545"/>
      <c r="DMW74" s="545"/>
      <c r="DMX74" s="545"/>
      <c r="DMY74" s="545"/>
      <c r="DMZ74" s="545"/>
      <c r="DNA74" s="545"/>
      <c r="DNB74" s="545"/>
      <c r="DNC74" s="545"/>
      <c r="DND74" s="545"/>
      <c r="DNE74" s="545"/>
      <c r="DNF74" s="545"/>
      <c r="DNG74" s="545"/>
      <c r="DNH74" s="545"/>
      <c r="DNI74" s="545"/>
      <c r="DNJ74" s="545"/>
      <c r="DNK74" s="545"/>
      <c r="DNL74" s="545"/>
      <c r="DNM74" s="545"/>
      <c r="DNN74" s="545"/>
      <c r="DNO74" s="545"/>
      <c r="DNP74" s="545"/>
      <c r="DNQ74" s="545"/>
      <c r="DNR74" s="545"/>
      <c r="DNS74" s="545"/>
      <c r="DNT74" s="545"/>
      <c r="DNU74" s="545"/>
      <c r="DNV74" s="545"/>
      <c r="DNW74" s="545"/>
      <c r="DNX74" s="545"/>
      <c r="DNY74" s="545"/>
      <c r="DNZ74" s="545"/>
      <c r="DOA74" s="545"/>
      <c r="DOB74" s="545"/>
      <c r="DOC74" s="545"/>
      <c r="DOD74" s="545"/>
      <c r="DOE74" s="545"/>
      <c r="DOF74" s="545"/>
      <c r="DOG74" s="545"/>
      <c r="DOH74" s="545"/>
      <c r="DOI74" s="545"/>
      <c r="DOJ74" s="545"/>
      <c r="DOK74" s="545"/>
      <c r="DOL74" s="545"/>
      <c r="DOM74" s="545"/>
      <c r="DON74" s="545"/>
      <c r="DOO74" s="545"/>
      <c r="DOP74" s="545"/>
      <c r="DOQ74" s="545"/>
      <c r="DOR74" s="545"/>
      <c r="DOS74" s="545"/>
      <c r="DOT74" s="545"/>
      <c r="DOU74" s="545"/>
      <c r="DOV74" s="545"/>
      <c r="DOW74" s="545"/>
      <c r="DOX74" s="545"/>
      <c r="DOY74" s="545"/>
      <c r="DOZ74" s="545"/>
      <c r="DPA74" s="545"/>
      <c r="DPB74" s="545"/>
      <c r="DPC74" s="545"/>
      <c r="DPD74" s="545"/>
      <c r="DPE74" s="545"/>
      <c r="DPF74" s="545"/>
      <c r="DPG74" s="545"/>
      <c r="DPH74" s="545"/>
      <c r="DPI74" s="545"/>
      <c r="DPJ74" s="545"/>
      <c r="DPK74" s="545"/>
      <c r="DPL74" s="545"/>
      <c r="DPM74" s="545"/>
      <c r="DPN74" s="545"/>
      <c r="DPO74" s="545"/>
      <c r="DPP74" s="545"/>
      <c r="DPQ74" s="545"/>
      <c r="DPR74" s="545"/>
      <c r="DPS74" s="545"/>
      <c r="DPT74" s="545"/>
      <c r="DPU74" s="545"/>
      <c r="DPV74" s="545"/>
      <c r="DPW74" s="545"/>
      <c r="DPX74" s="545"/>
      <c r="DPY74" s="545"/>
      <c r="DPZ74" s="545"/>
      <c r="DQA74" s="545"/>
      <c r="DQB74" s="545"/>
      <c r="DQC74" s="545"/>
      <c r="DQD74" s="545"/>
      <c r="DQE74" s="545"/>
      <c r="DQF74" s="545"/>
      <c r="DQG74" s="545"/>
      <c r="DQH74" s="545"/>
      <c r="DQI74" s="545"/>
      <c r="DQJ74" s="545"/>
      <c r="DQK74" s="545"/>
      <c r="DQL74" s="545"/>
      <c r="DQM74" s="545"/>
      <c r="DQN74" s="545"/>
      <c r="DQO74" s="545"/>
      <c r="DQP74" s="545"/>
      <c r="DQQ74" s="545"/>
      <c r="DQR74" s="545"/>
      <c r="DQS74" s="545"/>
      <c r="DQT74" s="545"/>
      <c r="DQU74" s="545"/>
      <c r="DQV74" s="545"/>
      <c r="DQW74" s="545"/>
      <c r="DQX74" s="545"/>
      <c r="DQY74" s="545"/>
      <c r="DQZ74" s="545"/>
      <c r="DRA74" s="545"/>
      <c r="DRB74" s="545"/>
      <c r="DRC74" s="545"/>
      <c r="DRD74" s="545"/>
      <c r="DRE74" s="545"/>
      <c r="DRF74" s="545"/>
      <c r="DRG74" s="545"/>
      <c r="DRH74" s="545"/>
      <c r="DRI74" s="545"/>
      <c r="DRJ74" s="545"/>
      <c r="DRK74" s="545"/>
      <c r="DRL74" s="545"/>
      <c r="DRM74" s="545"/>
      <c r="DRN74" s="545"/>
      <c r="DRO74" s="545"/>
      <c r="DRP74" s="545"/>
      <c r="DRQ74" s="545"/>
      <c r="DRR74" s="545"/>
      <c r="DRS74" s="545"/>
      <c r="DRT74" s="545"/>
      <c r="DRU74" s="545"/>
      <c r="DRV74" s="545"/>
      <c r="DRW74" s="545"/>
      <c r="DRX74" s="545"/>
      <c r="DRY74" s="545"/>
      <c r="DRZ74" s="545"/>
      <c r="DSA74" s="545"/>
      <c r="DSB74" s="545"/>
      <c r="DSC74" s="545"/>
      <c r="DSD74" s="545"/>
      <c r="DSE74" s="545"/>
      <c r="DSF74" s="545"/>
      <c r="DSG74" s="545"/>
      <c r="DSH74" s="545"/>
      <c r="DSI74" s="545"/>
      <c r="DSJ74" s="545"/>
      <c r="DSK74" s="545"/>
      <c r="DSL74" s="545"/>
      <c r="DSM74" s="545"/>
      <c r="DSN74" s="545"/>
      <c r="DSO74" s="545"/>
      <c r="DSP74" s="545"/>
      <c r="DSQ74" s="545"/>
      <c r="DSR74" s="545"/>
      <c r="DSS74" s="545"/>
      <c r="DST74" s="545"/>
      <c r="DSU74" s="545"/>
      <c r="DSV74" s="545"/>
      <c r="DSW74" s="545"/>
      <c r="DSX74" s="545"/>
      <c r="DSY74" s="545"/>
      <c r="DSZ74" s="545"/>
      <c r="DTA74" s="545"/>
      <c r="DTB74" s="545"/>
      <c r="DTC74" s="545"/>
      <c r="DTD74" s="545"/>
      <c r="DTE74" s="545"/>
      <c r="DTF74" s="545"/>
      <c r="DTG74" s="545"/>
      <c r="DTH74" s="545"/>
      <c r="DTI74" s="545"/>
      <c r="DTJ74" s="545"/>
      <c r="DTK74" s="545"/>
      <c r="DTL74" s="545"/>
      <c r="DTM74" s="545"/>
      <c r="DTN74" s="545"/>
      <c r="DTO74" s="545"/>
      <c r="DTP74" s="545"/>
      <c r="DTQ74" s="545"/>
      <c r="DTR74" s="545"/>
      <c r="DTS74" s="545"/>
      <c r="DTT74" s="545"/>
      <c r="DTU74" s="545"/>
      <c r="DTV74" s="545"/>
      <c r="DTW74" s="545"/>
      <c r="DTX74" s="545"/>
      <c r="DTY74" s="545"/>
      <c r="DTZ74" s="545"/>
      <c r="DUA74" s="545"/>
      <c r="DUB74" s="545"/>
      <c r="DUC74" s="545"/>
      <c r="DUD74" s="545"/>
      <c r="DUE74" s="545"/>
      <c r="DUF74" s="545"/>
      <c r="DUG74" s="545"/>
      <c r="DUH74" s="545"/>
      <c r="DUI74" s="545"/>
      <c r="DUJ74" s="545"/>
      <c r="DUK74" s="545"/>
      <c r="DUL74" s="545"/>
      <c r="DUM74" s="545"/>
      <c r="DUN74" s="545"/>
      <c r="DUO74" s="545"/>
      <c r="DUP74" s="545"/>
      <c r="DUQ74" s="545"/>
      <c r="DUR74" s="545"/>
      <c r="DUS74" s="545"/>
      <c r="DUT74" s="545"/>
      <c r="DUU74" s="545"/>
      <c r="DUV74" s="545"/>
      <c r="DUW74" s="545"/>
      <c r="DUX74" s="545"/>
      <c r="DUY74" s="545"/>
      <c r="DUZ74" s="545"/>
      <c r="DVA74" s="545"/>
      <c r="DVB74" s="545"/>
      <c r="DVC74" s="545"/>
      <c r="DVD74" s="545"/>
      <c r="DVE74" s="545"/>
      <c r="DVF74" s="545"/>
      <c r="DVG74" s="545"/>
      <c r="DVH74" s="545"/>
      <c r="DVI74" s="545"/>
      <c r="DVJ74" s="545"/>
      <c r="DVK74" s="545"/>
      <c r="DVL74" s="545"/>
      <c r="DVM74" s="545"/>
      <c r="DVN74" s="545"/>
      <c r="DVO74" s="545"/>
      <c r="DVP74" s="545"/>
      <c r="DVQ74" s="545"/>
      <c r="DVR74" s="545"/>
      <c r="DVS74" s="545"/>
      <c r="DVT74" s="545"/>
      <c r="DVU74" s="545"/>
      <c r="DVV74" s="545"/>
      <c r="DVW74" s="545"/>
      <c r="DVX74" s="545"/>
      <c r="DVY74" s="545"/>
      <c r="DVZ74" s="545"/>
      <c r="DWA74" s="545"/>
      <c r="DWB74" s="545"/>
      <c r="DWC74" s="545"/>
      <c r="DWD74" s="545"/>
      <c r="DWE74" s="545"/>
      <c r="DWF74" s="545"/>
      <c r="DWG74" s="545"/>
      <c r="DWH74" s="545"/>
      <c r="DWI74" s="545"/>
      <c r="DWJ74" s="545"/>
      <c r="DWK74" s="545"/>
      <c r="DWL74" s="545"/>
      <c r="DWM74" s="545"/>
      <c r="DWN74" s="545"/>
      <c r="DWO74" s="545"/>
      <c r="DWP74" s="545"/>
      <c r="DWQ74" s="545"/>
      <c r="DWR74" s="545"/>
      <c r="DWS74" s="545"/>
      <c r="DWT74" s="545"/>
      <c r="DWU74" s="545"/>
      <c r="DWV74" s="545"/>
      <c r="DWW74" s="545"/>
      <c r="DWX74" s="545"/>
      <c r="DWY74" s="545"/>
      <c r="DWZ74" s="545"/>
      <c r="DXA74" s="545"/>
      <c r="DXB74" s="545"/>
      <c r="DXC74" s="545"/>
      <c r="DXD74" s="545"/>
      <c r="DXE74" s="545"/>
      <c r="DXF74" s="545"/>
      <c r="DXG74" s="545"/>
      <c r="DXH74" s="545"/>
      <c r="DXI74" s="545"/>
      <c r="DXJ74" s="545"/>
      <c r="DXK74" s="545"/>
      <c r="DXL74" s="545"/>
      <c r="DXM74" s="545"/>
      <c r="DXN74" s="545"/>
      <c r="DXO74" s="545"/>
      <c r="DXP74" s="545"/>
      <c r="DXQ74" s="545"/>
      <c r="DXR74" s="545"/>
      <c r="DXS74" s="545"/>
      <c r="DXT74" s="545"/>
      <c r="DXU74" s="545"/>
      <c r="DXV74" s="545"/>
      <c r="DXW74" s="545"/>
      <c r="DXX74" s="545"/>
      <c r="DXY74" s="545"/>
      <c r="DXZ74" s="545"/>
      <c r="DYA74" s="545"/>
      <c r="DYB74" s="545"/>
      <c r="DYC74" s="545"/>
      <c r="DYD74" s="545"/>
      <c r="DYE74" s="545"/>
      <c r="DYF74" s="545"/>
      <c r="DYG74" s="545"/>
      <c r="DYH74" s="545"/>
      <c r="DYI74" s="545"/>
      <c r="DYJ74" s="545"/>
      <c r="DYK74" s="545"/>
      <c r="DYL74" s="545"/>
      <c r="DYM74" s="545"/>
      <c r="DYN74" s="545"/>
      <c r="DYO74" s="545"/>
      <c r="DYP74" s="545"/>
      <c r="DYQ74" s="545"/>
      <c r="DYR74" s="545"/>
      <c r="DYS74" s="545"/>
      <c r="DYT74" s="545"/>
      <c r="DYU74" s="545"/>
      <c r="DYV74" s="545"/>
      <c r="DYW74" s="545"/>
      <c r="DYX74" s="545"/>
      <c r="DYY74" s="545"/>
      <c r="DYZ74" s="545"/>
      <c r="DZA74" s="545"/>
      <c r="DZB74" s="545"/>
      <c r="DZC74" s="545"/>
      <c r="DZD74" s="545"/>
      <c r="DZE74" s="545"/>
      <c r="DZF74" s="545"/>
      <c r="DZG74" s="545"/>
      <c r="DZH74" s="545"/>
      <c r="DZI74" s="545"/>
      <c r="DZJ74" s="545"/>
      <c r="DZK74" s="545"/>
      <c r="DZL74" s="545"/>
      <c r="DZM74" s="545"/>
      <c r="DZN74" s="545"/>
      <c r="DZO74" s="545"/>
      <c r="DZP74" s="545"/>
      <c r="DZQ74" s="545"/>
      <c r="DZR74" s="545"/>
      <c r="DZS74" s="545"/>
      <c r="DZT74" s="545"/>
      <c r="DZU74" s="545"/>
      <c r="DZV74" s="545"/>
      <c r="DZW74" s="545"/>
      <c r="DZX74" s="545"/>
      <c r="DZY74" s="545"/>
      <c r="DZZ74" s="545"/>
      <c r="EAA74" s="545"/>
      <c r="EAB74" s="545"/>
      <c r="EAC74" s="545"/>
      <c r="EAD74" s="545"/>
      <c r="EAE74" s="545"/>
      <c r="EAF74" s="545"/>
      <c r="EAG74" s="545"/>
      <c r="EAH74" s="545"/>
      <c r="EAI74" s="545"/>
      <c r="EAJ74" s="545"/>
      <c r="EAK74" s="545"/>
      <c r="EAL74" s="545"/>
      <c r="EAM74" s="545"/>
      <c r="EAN74" s="545"/>
      <c r="EAO74" s="545"/>
      <c r="EAP74" s="545"/>
      <c r="EAQ74" s="545"/>
      <c r="EAR74" s="545"/>
      <c r="EAS74" s="545"/>
      <c r="EAT74" s="545"/>
      <c r="EAU74" s="545"/>
      <c r="EAV74" s="545"/>
      <c r="EAW74" s="545"/>
      <c r="EAX74" s="545"/>
      <c r="EAY74" s="545"/>
      <c r="EAZ74" s="545"/>
      <c r="EBA74" s="545"/>
      <c r="EBB74" s="545"/>
      <c r="EBC74" s="545"/>
      <c r="EBD74" s="545"/>
      <c r="EBE74" s="545"/>
      <c r="EBF74" s="545"/>
      <c r="EBG74" s="545"/>
      <c r="EBH74" s="545"/>
      <c r="EBI74" s="545"/>
      <c r="EBJ74" s="545"/>
      <c r="EBK74" s="545"/>
      <c r="EBL74" s="545"/>
      <c r="EBM74" s="545"/>
      <c r="EBN74" s="545"/>
      <c r="EBO74" s="545"/>
      <c r="EBP74" s="545"/>
      <c r="EBQ74" s="545"/>
      <c r="EBR74" s="545"/>
      <c r="EBS74" s="545"/>
      <c r="EBT74" s="545"/>
      <c r="EBU74" s="545"/>
      <c r="EBV74" s="545"/>
      <c r="EBW74" s="545"/>
      <c r="EBX74" s="545"/>
      <c r="EBY74" s="545"/>
      <c r="EBZ74" s="545"/>
      <c r="ECA74" s="545"/>
      <c r="ECB74" s="545"/>
      <c r="ECC74" s="545"/>
      <c r="ECD74" s="545"/>
      <c r="ECE74" s="545"/>
      <c r="ECF74" s="545"/>
      <c r="ECG74" s="545"/>
      <c r="ECH74" s="545"/>
      <c r="ECI74" s="545"/>
      <c r="ECJ74" s="545"/>
      <c r="ECK74" s="545"/>
      <c r="ECL74" s="545"/>
      <c r="ECM74" s="545"/>
      <c r="ECN74" s="545"/>
      <c r="ECO74" s="545"/>
      <c r="ECP74" s="545"/>
      <c r="ECQ74" s="545"/>
      <c r="ECR74" s="545"/>
      <c r="ECS74" s="545"/>
      <c r="ECT74" s="545"/>
      <c r="ECU74" s="545"/>
      <c r="ECV74" s="545"/>
      <c r="ECW74" s="545"/>
      <c r="ECX74" s="545"/>
      <c r="ECY74" s="545"/>
      <c r="ECZ74" s="545"/>
      <c r="EDA74" s="545"/>
      <c r="EDB74" s="545"/>
      <c r="EDC74" s="545"/>
      <c r="EDD74" s="545"/>
      <c r="EDE74" s="545"/>
      <c r="EDF74" s="545"/>
      <c r="EDG74" s="545"/>
      <c r="EDH74" s="545"/>
      <c r="EDI74" s="545"/>
      <c r="EDJ74" s="545"/>
      <c r="EDK74" s="545"/>
      <c r="EDL74" s="545"/>
      <c r="EDM74" s="545"/>
      <c r="EDN74" s="545"/>
      <c r="EDO74" s="545"/>
      <c r="EDP74" s="545"/>
      <c r="EDQ74" s="545"/>
      <c r="EDR74" s="545"/>
      <c r="EDS74" s="545"/>
      <c r="EDT74" s="545"/>
      <c r="EDU74" s="545"/>
      <c r="EDV74" s="545"/>
      <c r="EDW74" s="545"/>
      <c r="EDX74" s="545"/>
      <c r="EDY74" s="545"/>
      <c r="EDZ74" s="545"/>
      <c r="EEA74" s="545"/>
      <c r="EEB74" s="545"/>
      <c r="EEC74" s="545"/>
      <c r="EED74" s="545"/>
      <c r="EEE74" s="545"/>
      <c r="EEF74" s="545"/>
      <c r="EEG74" s="545"/>
      <c r="EEH74" s="545"/>
      <c r="EEI74" s="545"/>
      <c r="EEJ74" s="545"/>
      <c r="EEK74" s="545"/>
      <c r="EEL74" s="545"/>
      <c r="EEM74" s="545"/>
      <c r="EEN74" s="545"/>
      <c r="EEO74" s="545"/>
      <c r="EEP74" s="545"/>
      <c r="EEQ74" s="545"/>
      <c r="EER74" s="545"/>
      <c r="EES74" s="545"/>
      <c r="EET74" s="545"/>
      <c r="EEU74" s="545"/>
      <c r="EEV74" s="545"/>
      <c r="EEW74" s="545"/>
      <c r="EEX74" s="545"/>
      <c r="EEY74" s="545"/>
      <c r="EEZ74" s="545"/>
      <c r="EFA74" s="545"/>
      <c r="EFB74" s="545"/>
      <c r="EFC74" s="545"/>
      <c r="EFD74" s="545"/>
      <c r="EFE74" s="545"/>
      <c r="EFF74" s="545"/>
      <c r="EFG74" s="545"/>
      <c r="EFH74" s="545"/>
      <c r="EFI74" s="545"/>
      <c r="EFJ74" s="545"/>
      <c r="EFK74" s="545"/>
      <c r="EFL74" s="545"/>
      <c r="EFM74" s="545"/>
      <c r="EFN74" s="545"/>
      <c r="EFO74" s="545"/>
      <c r="EFP74" s="545"/>
      <c r="EFQ74" s="545"/>
      <c r="EFR74" s="545"/>
      <c r="EFS74" s="545"/>
      <c r="EFT74" s="545"/>
      <c r="EFU74" s="545"/>
      <c r="EFV74" s="545"/>
      <c r="EFW74" s="545"/>
      <c r="EFX74" s="545"/>
      <c r="EFY74" s="545"/>
      <c r="EFZ74" s="545"/>
      <c r="EGA74" s="545"/>
      <c r="EGB74" s="545"/>
      <c r="EGC74" s="545"/>
      <c r="EGD74" s="545"/>
      <c r="EGE74" s="545"/>
      <c r="EGF74" s="545"/>
      <c r="EGG74" s="545"/>
      <c r="EGH74" s="545"/>
      <c r="EGI74" s="545"/>
      <c r="EGJ74" s="545"/>
      <c r="EGK74" s="545"/>
      <c r="EGL74" s="545"/>
      <c r="EGM74" s="545"/>
      <c r="EGN74" s="545"/>
      <c r="EGO74" s="545"/>
      <c r="EGP74" s="545"/>
      <c r="EGQ74" s="545"/>
      <c r="EGR74" s="545"/>
      <c r="EGS74" s="545"/>
      <c r="EGT74" s="545"/>
      <c r="EGU74" s="545"/>
      <c r="EGV74" s="545"/>
      <c r="EGW74" s="545"/>
      <c r="EGX74" s="545"/>
      <c r="EGY74" s="545"/>
      <c r="EGZ74" s="545"/>
      <c r="EHA74" s="545"/>
      <c r="EHB74" s="545"/>
      <c r="EHC74" s="545"/>
      <c r="EHD74" s="545"/>
      <c r="EHE74" s="545"/>
      <c r="EHF74" s="545"/>
      <c r="EHG74" s="545"/>
      <c r="EHH74" s="545"/>
      <c r="EHI74" s="545"/>
      <c r="EHJ74" s="545"/>
      <c r="EHK74" s="545"/>
      <c r="EHL74" s="545"/>
      <c r="EHM74" s="545"/>
      <c r="EHN74" s="545"/>
      <c r="EHO74" s="545"/>
      <c r="EHP74" s="545"/>
      <c r="EHQ74" s="545"/>
      <c r="EHR74" s="545"/>
      <c r="EHS74" s="545"/>
      <c r="EHT74" s="545"/>
      <c r="EHU74" s="545"/>
      <c r="EHV74" s="545"/>
      <c r="EHW74" s="545"/>
      <c r="EHX74" s="545"/>
      <c r="EHY74" s="545"/>
      <c r="EHZ74" s="545"/>
      <c r="EIA74" s="545"/>
      <c r="EIB74" s="545"/>
      <c r="EIC74" s="545"/>
      <c r="EID74" s="545"/>
      <c r="EIE74" s="545"/>
      <c r="EIF74" s="545"/>
      <c r="EIG74" s="545"/>
      <c r="EIH74" s="545"/>
      <c r="EII74" s="545"/>
      <c r="EIJ74" s="545"/>
      <c r="EIK74" s="545"/>
      <c r="EIL74" s="545"/>
      <c r="EIM74" s="545"/>
      <c r="EIN74" s="545"/>
      <c r="EIO74" s="545"/>
      <c r="EIP74" s="545"/>
      <c r="EIQ74" s="545"/>
      <c r="EIR74" s="545"/>
      <c r="EIS74" s="545"/>
      <c r="EIT74" s="545"/>
      <c r="EIU74" s="545"/>
      <c r="EIV74" s="545"/>
      <c r="EIW74" s="545"/>
      <c r="EIX74" s="545"/>
      <c r="EIY74" s="545"/>
      <c r="EIZ74" s="545"/>
      <c r="EJA74" s="545"/>
      <c r="EJB74" s="545"/>
      <c r="EJC74" s="545"/>
      <c r="EJD74" s="545"/>
      <c r="EJE74" s="545"/>
      <c r="EJF74" s="545"/>
      <c r="EJG74" s="545"/>
      <c r="EJH74" s="545"/>
      <c r="EJI74" s="545"/>
      <c r="EJJ74" s="545"/>
      <c r="EJK74" s="545"/>
      <c r="EJL74" s="545"/>
      <c r="EJM74" s="545"/>
      <c r="EJN74" s="545"/>
      <c r="EJO74" s="545"/>
      <c r="EJP74" s="545"/>
      <c r="EJQ74" s="545"/>
      <c r="EJR74" s="545"/>
      <c r="EJS74" s="545"/>
      <c r="EJT74" s="545"/>
      <c r="EJU74" s="545"/>
      <c r="EJV74" s="545"/>
      <c r="EJW74" s="545"/>
      <c r="EJX74" s="545"/>
      <c r="EJY74" s="545"/>
      <c r="EJZ74" s="545"/>
      <c r="EKA74" s="545"/>
      <c r="EKB74" s="545"/>
      <c r="EKC74" s="545"/>
      <c r="EKD74" s="545"/>
      <c r="EKE74" s="545"/>
      <c r="EKF74" s="545"/>
      <c r="EKG74" s="545"/>
      <c r="EKH74" s="545"/>
      <c r="EKI74" s="545"/>
      <c r="EKJ74" s="545"/>
      <c r="EKK74" s="545"/>
      <c r="EKL74" s="545"/>
      <c r="EKM74" s="545"/>
      <c r="EKN74" s="545"/>
      <c r="EKO74" s="545"/>
      <c r="EKP74" s="545"/>
      <c r="EKQ74" s="545"/>
      <c r="EKR74" s="545"/>
      <c r="EKS74" s="545"/>
      <c r="EKT74" s="545"/>
      <c r="EKU74" s="545"/>
      <c r="EKV74" s="545"/>
      <c r="EKW74" s="545"/>
      <c r="EKX74" s="545"/>
      <c r="EKY74" s="545"/>
      <c r="EKZ74" s="545"/>
      <c r="ELA74" s="545"/>
      <c r="ELB74" s="545"/>
      <c r="ELC74" s="545"/>
      <c r="ELD74" s="545"/>
      <c r="ELE74" s="545"/>
      <c r="ELF74" s="545"/>
      <c r="ELG74" s="545"/>
      <c r="ELH74" s="545"/>
      <c r="ELI74" s="545"/>
      <c r="ELJ74" s="545"/>
      <c r="ELK74" s="545"/>
      <c r="ELL74" s="545"/>
      <c r="ELM74" s="545"/>
      <c r="ELN74" s="545"/>
      <c r="ELO74" s="545"/>
      <c r="ELP74" s="545"/>
      <c r="ELQ74" s="545"/>
      <c r="ELR74" s="545"/>
      <c r="ELS74" s="545"/>
      <c r="ELT74" s="545"/>
      <c r="ELU74" s="545"/>
      <c r="ELV74" s="545"/>
      <c r="ELW74" s="545"/>
      <c r="ELX74" s="545"/>
      <c r="ELY74" s="545"/>
      <c r="ELZ74" s="545"/>
      <c r="EMA74" s="545"/>
      <c r="EMB74" s="545"/>
      <c r="EMC74" s="545"/>
      <c r="EMD74" s="545"/>
      <c r="EME74" s="545"/>
      <c r="EMF74" s="545"/>
      <c r="EMG74" s="545"/>
      <c r="EMH74" s="545"/>
      <c r="EMI74" s="545"/>
      <c r="EMJ74" s="545"/>
      <c r="EMK74" s="545"/>
      <c r="EML74" s="545"/>
      <c r="EMM74" s="545"/>
      <c r="EMN74" s="545"/>
      <c r="EMO74" s="545"/>
      <c r="EMP74" s="545"/>
      <c r="EMQ74" s="545"/>
      <c r="EMR74" s="545"/>
      <c r="EMS74" s="545"/>
      <c r="EMT74" s="545"/>
      <c r="EMU74" s="545"/>
      <c r="EMV74" s="545"/>
      <c r="EMW74" s="545"/>
      <c r="EMX74" s="545"/>
      <c r="EMY74" s="545"/>
      <c r="EMZ74" s="545"/>
      <c r="ENA74" s="545"/>
      <c r="ENB74" s="545"/>
      <c r="ENC74" s="545"/>
      <c r="END74" s="545"/>
      <c r="ENE74" s="545"/>
      <c r="ENF74" s="545"/>
      <c r="ENG74" s="545"/>
      <c r="ENH74" s="545"/>
      <c r="ENI74" s="545"/>
      <c r="ENJ74" s="545"/>
      <c r="ENK74" s="545"/>
      <c r="ENL74" s="545"/>
      <c r="ENM74" s="545"/>
      <c r="ENN74" s="545"/>
      <c r="ENO74" s="545"/>
      <c r="ENP74" s="545"/>
      <c r="ENQ74" s="545"/>
      <c r="ENR74" s="545"/>
      <c r="ENS74" s="545"/>
      <c r="ENT74" s="545"/>
      <c r="ENU74" s="545"/>
      <c r="ENV74" s="545"/>
      <c r="ENW74" s="545"/>
      <c r="ENX74" s="545"/>
      <c r="ENY74" s="545"/>
      <c r="ENZ74" s="545"/>
      <c r="EOA74" s="545"/>
      <c r="EOB74" s="545"/>
      <c r="EOC74" s="545"/>
      <c r="EOD74" s="545"/>
      <c r="EOE74" s="545"/>
      <c r="EOF74" s="545"/>
      <c r="EOG74" s="545"/>
      <c r="EOH74" s="545"/>
      <c r="EOI74" s="545"/>
      <c r="EOJ74" s="545"/>
      <c r="EOK74" s="545"/>
      <c r="EOL74" s="545"/>
      <c r="EOM74" s="545"/>
      <c r="EON74" s="545"/>
      <c r="EOO74" s="545"/>
      <c r="EOP74" s="545"/>
      <c r="EOQ74" s="545"/>
      <c r="EOR74" s="545"/>
      <c r="EOS74" s="545"/>
      <c r="EOT74" s="545"/>
      <c r="EOU74" s="545"/>
      <c r="EOV74" s="545"/>
      <c r="EOW74" s="545"/>
      <c r="EOX74" s="545"/>
      <c r="EOY74" s="545"/>
      <c r="EOZ74" s="545"/>
      <c r="EPA74" s="545"/>
      <c r="EPB74" s="545"/>
      <c r="EPC74" s="545"/>
      <c r="EPD74" s="545"/>
      <c r="EPE74" s="545"/>
      <c r="EPF74" s="545"/>
      <c r="EPG74" s="545"/>
      <c r="EPH74" s="545"/>
      <c r="EPI74" s="545"/>
      <c r="EPJ74" s="545"/>
      <c r="EPK74" s="545"/>
      <c r="EPL74" s="545"/>
      <c r="EPM74" s="545"/>
      <c r="EPN74" s="545"/>
      <c r="EPO74" s="545"/>
      <c r="EPP74" s="545"/>
      <c r="EPQ74" s="545"/>
      <c r="EPR74" s="545"/>
      <c r="EPS74" s="545"/>
      <c r="EPT74" s="545"/>
      <c r="EPU74" s="545"/>
      <c r="EPV74" s="545"/>
      <c r="EPW74" s="545"/>
      <c r="EPX74" s="545"/>
      <c r="EPY74" s="545"/>
      <c r="EPZ74" s="545"/>
      <c r="EQA74" s="545"/>
      <c r="EQB74" s="545"/>
      <c r="EQC74" s="545"/>
      <c r="EQD74" s="545"/>
      <c r="EQE74" s="545"/>
      <c r="EQF74" s="545"/>
      <c r="EQG74" s="545"/>
      <c r="EQH74" s="545"/>
      <c r="EQI74" s="545"/>
      <c r="EQJ74" s="545"/>
      <c r="EQK74" s="545"/>
      <c r="EQL74" s="545"/>
      <c r="EQM74" s="545"/>
      <c r="EQN74" s="545"/>
      <c r="EQO74" s="545"/>
      <c r="EQP74" s="545"/>
      <c r="EQQ74" s="545"/>
      <c r="EQR74" s="545"/>
      <c r="EQS74" s="545"/>
      <c r="EQT74" s="545"/>
      <c r="EQU74" s="545"/>
      <c r="EQV74" s="545"/>
      <c r="EQW74" s="545"/>
      <c r="EQX74" s="545"/>
      <c r="EQY74" s="545"/>
      <c r="EQZ74" s="545"/>
      <c r="ERA74" s="545"/>
      <c r="ERB74" s="545"/>
      <c r="ERC74" s="545"/>
      <c r="ERD74" s="545"/>
      <c r="ERE74" s="545"/>
      <c r="ERF74" s="545"/>
      <c r="ERG74" s="545"/>
      <c r="ERH74" s="545"/>
      <c r="ERI74" s="545"/>
      <c r="ERJ74" s="545"/>
      <c r="ERK74" s="545"/>
      <c r="ERL74" s="545"/>
      <c r="ERM74" s="545"/>
      <c r="ERN74" s="545"/>
      <c r="ERO74" s="545"/>
      <c r="ERP74" s="545"/>
      <c r="ERQ74" s="545"/>
      <c r="ERR74" s="545"/>
      <c r="ERS74" s="545"/>
      <c r="ERT74" s="545"/>
      <c r="ERU74" s="545"/>
      <c r="ERV74" s="545"/>
      <c r="ERW74" s="545"/>
      <c r="ERX74" s="545"/>
      <c r="ERY74" s="545"/>
      <c r="ERZ74" s="545"/>
      <c r="ESA74" s="545"/>
      <c r="ESB74" s="545"/>
      <c r="ESC74" s="545"/>
      <c r="ESD74" s="545"/>
      <c r="ESE74" s="545"/>
      <c r="ESF74" s="545"/>
      <c r="ESG74" s="545"/>
      <c r="ESH74" s="545"/>
      <c r="ESI74" s="545"/>
      <c r="ESJ74" s="545"/>
      <c r="ESK74" s="545"/>
      <c r="ESL74" s="545"/>
      <c r="ESM74" s="545"/>
      <c r="ESN74" s="545"/>
      <c r="ESO74" s="545"/>
      <c r="ESP74" s="545"/>
      <c r="ESQ74" s="545"/>
      <c r="ESR74" s="545"/>
      <c r="ESS74" s="545"/>
      <c r="EST74" s="545"/>
      <c r="ESU74" s="545"/>
      <c r="ESV74" s="545"/>
      <c r="ESW74" s="545"/>
      <c r="ESX74" s="545"/>
      <c r="ESY74" s="545"/>
      <c r="ESZ74" s="545"/>
      <c r="ETA74" s="545"/>
      <c r="ETB74" s="545"/>
      <c r="ETC74" s="545"/>
      <c r="ETD74" s="545"/>
      <c r="ETE74" s="545"/>
      <c r="ETF74" s="545"/>
      <c r="ETG74" s="545"/>
      <c r="ETH74" s="545"/>
      <c r="ETI74" s="545"/>
      <c r="ETJ74" s="545"/>
      <c r="ETK74" s="545"/>
      <c r="ETL74" s="545"/>
      <c r="ETM74" s="545"/>
      <c r="ETN74" s="545"/>
      <c r="ETO74" s="545"/>
      <c r="ETP74" s="545"/>
      <c r="ETQ74" s="545"/>
      <c r="ETR74" s="545"/>
      <c r="ETS74" s="545"/>
      <c r="ETT74" s="545"/>
      <c r="ETU74" s="545"/>
      <c r="ETV74" s="545"/>
      <c r="ETW74" s="545"/>
      <c r="ETX74" s="545"/>
      <c r="ETY74" s="545"/>
      <c r="ETZ74" s="545"/>
      <c r="EUA74" s="545"/>
      <c r="EUB74" s="545"/>
      <c r="EUC74" s="545"/>
      <c r="EUD74" s="545"/>
      <c r="EUE74" s="545"/>
      <c r="EUF74" s="545"/>
      <c r="EUG74" s="545"/>
      <c r="EUH74" s="545"/>
      <c r="EUI74" s="545"/>
      <c r="EUJ74" s="545"/>
      <c r="EUK74" s="545"/>
      <c r="EUL74" s="545"/>
      <c r="EUM74" s="545"/>
      <c r="EUN74" s="545"/>
      <c r="EUO74" s="545"/>
      <c r="EUP74" s="545"/>
      <c r="EUQ74" s="545"/>
      <c r="EUR74" s="545"/>
      <c r="EUS74" s="545"/>
      <c r="EUT74" s="545"/>
      <c r="EUU74" s="545"/>
      <c r="EUV74" s="545"/>
      <c r="EUW74" s="545"/>
      <c r="EUX74" s="545"/>
      <c r="EUY74" s="545"/>
      <c r="EUZ74" s="545"/>
      <c r="EVA74" s="545"/>
      <c r="EVB74" s="545"/>
      <c r="EVC74" s="545"/>
      <c r="EVD74" s="545"/>
      <c r="EVE74" s="545"/>
      <c r="EVF74" s="545"/>
      <c r="EVG74" s="545"/>
      <c r="EVH74" s="545"/>
      <c r="EVI74" s="545"/>
      <c r="EVJ74" s="545"/>
      <c r="EVK74" s="545"/>
      <c r="EVL74" s="545"/>
      <c r="EVM74" s="545"/>
      <c r="EVN74" s="545"/>
      <c r="EVO74" s="545"/>
      <c r="EVP74" s="545"/>
      <c r="EVQ74" s="545"/>
      <c r="EVR74" s="545"/>
      <c r="EVS74" s="545"/>
      <c r="EVT74" s="545"/>
      <c r="EVU74" s="545"/>
      <c r="EVV74" s="545"/>
      <c r="EVW74" s="545"/>
      <c r="EVX74" s="545"/>
      <c r="EVY74" s="545"/>
      <c r="EVZ74" s="545"/>
      <c r="EWA74" s="545"/>
      <c r="EWB74" s="545"/>
      <c r="EWC74" s="545"/>
      <c r="EWD74" s="545"/>
      <c r="EWE74" s="545"/>
      <c r="EWF74" s="545"/>
      <c r="EWG74" s="545"/>
      <c r="EWH74" s="545"/>
      <c r="EWI74" s="545"/>
      <c r="EWJ74" s="545"/>
      <c r="EWK74" s="545"/>
      <c r="EWL74" s="545"/>
      <c r="EWM74" s="545"/>
      <c r="EWN74" s="545"/>
      <c r="EWO74" s="545"/>
      <c r="EWP74" s="545"/>
      <c r="EWQ74" s="545"/>
      <c r="EWR74" s="545"/>
      <c r="EWS74" s="545"/>
      <c r="EWT74" s="545"/>
      <c r="EWU74" s="545"/>
      <c r="EWV74" s="545"/>
      <c r="EWW74" s="545"/>
      <c r="EWX74" s="545"/>
      <c r="EWY74" s="545"/>
      <c r="EWZ74" s="545"/>
      <c r="EXA74" s="545"/>
      <c r="EXB74" s="545"/>
      <c r="EXC74" s="545"/>
      <c r="EXD74" s="545"/>
      <c r="EXE74" s="545"/>
      <c r="EXF74" s="545"/>
      <c r="EXG74" s="545"/>
      <c r="EXH74" s="545"/>
      <c r="EXI74" s="545"/>
      <c r="EXJ74" s="545"/>
      <c r="EXK74" s="545"/>
      <c r="EXL74" s="545"/>
      <c r="EXM74" s="545"/>
      <c r="EXN74" s="545"/>
      <c r="EXO74" s="545"/>
      <c r="EXP74" s="545"/>
      <c r="EXQ74" s="545"/>
      <c r="EXR74" s="545"/>
      <c r="EXS74" s="545"/>
      <c r="EXT74" s="545"/>
      <c r="EXU74" s="545"/>
      <c r="EXV74" s="545"/>
      <c r="EXW74" s="545"/>
      <c r="EXX74" s="545"/>
      <c r="EXY74" s="545"/>
      <c r="EXZ74" s="545"/>
      <c r="EYA74" s="545"/>
      <c r="EYB74" s="545"/>
      <c r="EYC74" s="545"/>
      <c r="EYD74" s="545"/>
      <c r="EYE74" s="545"/>
      <c r="EYF74" s="545"/>
      <c r="EYG74" s="545"/>
      <c r="EYH74" s="545"/>
      <c r="EYI74" s="545"/>
      <c r="EYJ74" s="545"/>
      <c r="EYK74" s="545"/>
      <c r="EYL74" s="545"/>
      <c r="EYM74" s="545"/>
      <c r="EYN74" s="545"/>
      <c r="EYO74" s="545"/>
      <c r="EYP74" s="545"/>
      <c r="EYQ74" s="545"/>
      <c r="EYR74" s="545"/>
      <c r="EYS74" s="545"/>
      <c r="EYT74" s="545"/>
      <c r="EYU74" s="545"/>
      <c r="EYV74" s="545"/>
      <c r="EYW74" s="545"/>
      <c r="EYX74" s="545"/>
      <c r="EYY74" s="545"/>
      <c r="EYZ74" s="545"/>
      <c r="EZA74" s="545"/>
      <c r="EZB74" s="545"/>
      <c r="EZC74" s="545"/>
      <c r="EZD74" s="545"/>
      <c r="EZE74" s="545"/>
      <c r="EZF74" s="545"/>
      <c r="EZG74" s="545"/>
      <c r="EZH74" s="545"/>
      <c r="EZI74" s="545"/>
      <c r="EZJ74" s="545"/>
      <c r="EZK74" s="545"/>
      <c r="EZL74" s="545"/>
      <c r="EZM74" s="545"/>
      <c r="EZN74" s="545"/>
      <c r="EZO74" s="545"/>
      <c r="EZP74" s="545"/>
      <c r="EZQ74" s="545"/>
      <c r="EZR74" s="545"/>
      <c r="EZS74" s="545"/>
      <c r="EZT74" s="545"/>
      <c r="EZU74" s="545"/>
      <c r="EZV74" s="545"/>
      <c r="EZW74" s="545"/>
      <c r="EZX74" s="545"/>
      <c r="EZY74" s="545"/>
      <c r="EZZ74" s="545"/>
      <c r="FAA74" s="545"/>
      <c r="FAB74" s="545"/>
      <c r="FAC74" s="545"/>
      <c r="FAD74" s="545"/>
      <c r="FAE74" s="545"/>
      <c r="FAF74" s="545"/>
      <c r="FAG74" s="545"/>
      <c r="FAH74" s="545"/>
      <c r="FAI74" s="545"/>
      <c r="FAJ74" s="545"/>
      <c r="FAK74" s="545"/>
      <c r="FAL74" s="545"/>
      <c r="FAM74" s="545"/>
      <c r="FAN74" s="545"/>
      <c r="FAO74" s="545"/>
      <c r="FAP74" s="545"/>
      <c r="FAQ74" s="545"/>
      <c r="FAR74" s="545"/>
      <c r="FAS74" s="545"/>
      <c r="FAT74" s="545"/>
      <c r="FAU74" s="545"/>
      <c r="FAV74" s="545"/>
      <c r="FAW74" s="545"/>
      <c r="FAX74" s="545"/>
      <c r="FAY74" s="545"/>
      <c r="FAZ74" s="545"/>
      <c r="FBA74" s="545"/>
      <c r="FBB74" s="545"/>
      <c r="FBC74" s="545"/>
      <c r="FBD74" s="545"/>
      <c r="FBE74" s="545"/>
      <c r="FBF74" s="545"/>
      <c r="FBG74" s="545"/>
      <c r="FBH74" s="545"/>
      <c r="FBI74" s="545"/>
      <c r="FBJ74" s="545"/>
      <c r="FBK74" s="545"/>
      <c r="FBL74" s="545"/>
      <c r="FBM74" s="545"/>
      <c r="FBN74" s="545"/>
      <c r="FBO74" s="545"/>
      <c r="FBP74" s="545"/>
      <c r="FBQ74" s="545"/>
      <c r="FBR74" s="545"/>
      <c r="FBS74" s="545"/>
      <c r="FBT74" s="545"/>
      <c r="FBU74" s="545"/>
      <c r="FBV74" s="545"/>
      <c r="FBW74" s="545"/>
      <c r="FBX74" s="545"/>
      <c r="FBY74" s="545"/>
      <c r="FBZ74" s="545"/>
      <c r="FCA74" s="545"/>
      <c r="FCB74" s="545"/>
      <c r="FCC74" s="545"/>
      <c r="FCD74" s="545"/>
      <c r="FCE74" s="545"/>
      <c r="FCF74" s="545"/>
      <c r="FCG74" s="545"/>
      <c r="FCH74" s="545"/>
      <c r="FCI74" s="545"/>
      <c r="FCJ74" s="545"/>
      <c r="FCK74" s="545"/>
      <c r="FCL74" s="545"/>
      <c r="FCM74" s="545"/>
      <c r="FCN74" s="545"/>
      <c r="FCO74" s="545"/>
      <c r="FCP74" s="545"/>
      <c r="FCQ74" s="545"/>
      <c r="FCR74" s="545"/>
      <c r="FCS74" s="545"/>
      <c r="FCT74" s="545"/>
      <c r="FCU74" s="545"/>
      <c r="FCV74" s="545"/>
      <c r="FCW74" s="545"/>
      <c r="FCX74" s="545"/>
      <c r="FCY74" s="545"/>
      <c r="FCZ74" s="545"/>
      <c r="FDA74" s="545"/>
      <c r="FDB74" s="545"/>
      <c r="FDC74" s="545"/>
      <c r="FDD74" s="545"/>
      <c r="FDE74" s="545"/>
      <c r="FDF74" s="545"/>
      <c r="FDG74" s="545"/>
      <c r="FDH74" s="545"/>
      <c r="FDI74" s="545"/>
      <c r="FDJ74" s="545"/>
      <c r="FDK74" s="545"/>
      <c r="FDL74" s="545"/>
      <c r="FDM74" s="545"/>
      <c r="FDN74" s="545"/>
      <c r="FDO74" s="545"/>
      <c r="FDP74" s="545"/>
      <c r="FDQ74" s="545"/>
      <c r="FDR74" s="545"/>
      <c r="FDS74" s="545"/>
      <c r="FDT74" s="545"/>
      <c r="FDU74" s="545"/>
      <c r="FDV74" s="545"/>
      <c r="FDW74" s="545"/>
      <c r="FDX74" s="545"/>
      <c r="FDY74" s="545"/>
      <c r="FDZ74" s="545"/>
      <c r="FEA74" s="545"/>
      <c r="FEB74" s="545"/>
      <c r="FEC74" s="545"/>
      <c r="FED74" s="545"/>
      <c r="FEE74" s="545"/>
      <c r="FEF74" s="545"/>
      <c r="FEG74" s="545"/>
      <c r="FEH74" s="545"/>
      <c r="FEI74" s="545"/>
      <c r="FEJ74" s="545"/>
      <c r="FEK74" s="545"/>
      <c r="FEL74" s="545"/>
      <c r="FEM74" s="545"/>
      <c r="FEN74" s="545"/>
      <c r="FEO74" s="545"/>
      <c r="FEP74" s="545"/>
      <c r="FEQ74" s="545"/>
      <c r="FER74" s="545"/>
      <c r="FES74" s="545"/>
      <c r="FET74" s="545"/>
      <c r="FEU74" s="545"/>
      <c r="FEV74" s="545"/>
      <c r="FEW74" s="545"/>
      <c r="FEX74" s="545"/>
      <c r="FEY74" s="545"/>
      <c r="FEZ74" s="545"/>
      <c r="FFA74" s="545"/>
      <c r="FFB74" s="545"/>
      <c r="FFC74" s="545"/>
      <c r="FFD74" s="545"/>
      <c r="FFE74" s="545"/>
      <c r="FFF74" s="545"/>
      <c r="FFG74" s="545"/>
      <c r="FFH74" s="545"/>
      <c r="FFI74" s="545"/>
      <c r="FFJ74" s="545"/>
      <c r="FFK74" s="545"/>
      <c r="FFL74" s="545"/>
      <c r="FFM74" s="545"/>
      <c r="FFN74" s="545"/>
      <c r="FFO74" s="545"/>
      <c r="FFP74" s="545"/>
      <c r="FFQ74" s="545"/>
      <c r="FFR74" s="545"/>
      <c r="FFS74" s="545"/>
      <c r="FFT74" s="545"/>
      <c r="FFU74" s="545"/>
      <c r="FFV74" s="545"/>
      <c r="FFW74" s="545"/>
      <c r="FFX74" s="545"/>
      <c r="FFY74" s="545"/>
      <c r="FFZ74" s="545"/>
      <c r="FGA74" s="545"/>
      <c r="FGB74" s="545"/>
      <c r="FGC74" s="545"/>
      <c r="FGD74" s="545"/>
      <c r="FGE74" s="545"/>
      <c r="FGF74" s="545"/>
      <c r="FGG74" s="545"/>
      <c r="FGH74" s="545"/>
      <c r="FGI74" s="545"/>
      <c r="FGJ74" s="545"/>
      <c r="FGK74" s="545"/>
      <c r="FGL74" s="545"/>
      <c r="FGM74" s="545"/>
      <c r="FGN74" s="545"/>
      <c r="FGO74" s="545"/>
      <c r="FGP74" s="545"/>
      <c r="FGQ74" s="545"/>
      <c r="FGR74" s="545"/>
      <c r="FGS74" s="545"/>
      <c r="FGT74" s="545"/>
      <c r="FGU74" s="545"/>
      <c r="FGV74" s="545"/>
      <c r="FGW74" s="545"/>
      <c r="FGX74" s="545"/>
      <c r="FGY74" s="545"/>
      <c r="FGZ74" s="545"/>
      <c r="FHA74" s="545"/>
      <c r="FHB74" s="545"/>
      <c r="FHC74" s="545"/>
      <c r="FHD74" s="545"/>
      <c r="FHE74" s="545"/>
      <c r="FHF74" s="545"/>
      <c r="FHG74" s="545"/>
      <c r="FHH74" s="545"/>
      <c r="FHI74" s="545"/>
      <c r="FHJ74" s="545"/>
      <c r="FHK74" s="545"/>
      <c r="FHL74" s="545"/>
      <c r="FHM74" s="545"/>
      <c r="FHN74" s="545"/>
      <c r="FHO74" s="545"/>
      <c r="FHP74" s="545"/>
      <c r="FHQ74" s="545"/>
      <c r="FHR74" s="545"/>
      <c r="FHS74" s="545"/>
      <c r="FHT74" s="545"/>
      <c r="FHU74" s="545"/>
      <c r="FHV74" s="545"/>
      <c r="FHW74" s="545"/>
      <c r="FHX74" s="545"/>
      <c r="FHY74" s="545"/>
      <c r="FHZ74" s="545"/>
      <c r="FIA74" s="545"/>
      <c r="FIB74" s="545"/>
      <c r="FIC74" s="545"/>
      <c r="FID74" s="545"/>
      <c r="FIE74" s="545"/>
      <c r="FIF74" s="545"/>
      <c r="FIG74" s="545"/>
      <c r="FIH74" s="545"/>
      <c r="FII74" s="545"/>
      <c r="FIJ74" s="545"/>
      <c r="FIK74" s="545"/>
      <c r="FIL74" s="545"/>
      <c r="FIM74" s="545"/>
      <c r="FIN74" s="545"/>
      <c r="FIO74" s="545"/>
      <c r="FIP74" s="545"/>
      <c r="FIQ74" s="545"/>
      <c r="FIR74" s="545"/>
      <c r="FIS74" s="545"/>
      <c r="FIT74" s="545"/>
      <c r="FIU74" s="545"/>
      <c r="FIV74" s="545"/>
      <c r="FIW74" s="545"/>
      <c r="FIX74" s="545"/>
      <c r="FIY74" s="545"/>
      <c r="FIZ74" s="545"/>
      <c r="FJA74" s="545"/>
      <c r="FJB74" s="545"/>
      <c r="FJC74" s="545"/>
      <c r="FJD74" s="545"/>
      <c r="FJE74" s="545"/>
      <c r="FJF74" s="545"/>
      <c r="FJG74" s="545"/>
      <c r="FJH74" s="545"/>
      <c r="FJI74" s="545"/>
      <c r="FJJ74" s="545"/>
      <c r="FJK74" s="545"/>
      <c r="FJL74" s="545"/>
      <c r="FJM74" s="545"/>
      <c r="FJN74" s="545"/>
      <c r="FJO74" s="545"/>
      <c r="FJP74" s="545"/>
      <c r="FJQ74" s="545"/>
      <c r="FJR74" s="545"/>
      <c r="FJS74" s="545"/>
      <c r="FJT74" s="545"/>
      <c r="FJU74" s="545"/>
      <c r="FJV74" s="545"/>
      <c r="FJW74" s="545"/>
      <c r="FJX74" s="545"/>
      <c r="FJY74" s="545"/>
      <c r="FJZ74" s="545"/>
      <c r="FKA74" s="545"/>
      <c r="FKB74" s="545"/>
      <c r="FKC74" s="545"/>
      <c r="FKD74" s="545"/>
      <c r="FKE74" s="545"/>
      <c r="FKF74" s="545"/>
      <c r="FKG74" s="545"/>
      <c r="FKH74" s="545"/>
      <c r="FKI74" s="545"/>
      <c r="FKJ74" s="545"/>
      <c r="FKK74" s="545"/>
      <c r="FKL74" s="545"/>
      <c r="FKM74" s="545"/>
      <c r="FKN74" s="545"/>
      <c r="FKO74" s="545"/>
      <c r="FKP74" s="545"/>
      <c r="FKQ74" s="545"/>
      <c r="FKR74" s="545"/>
      <c r="FKS74" s="545"/>
      <c r="FKT74" s="545"/>
      <c r="FKU74" s="545"/>
      <c r="FKV74" s="545"/>
      <c r="FKW74" s="545"/>
      <c r="FKX74" s="545"/>
      <c r="FKY74" s="545"/>
      <c r="FKZ74" s="545"/>
      <c r="FLA74" s="545"/>
      <c r="FLB74" s="545"/>
      <c r="FLC74" s="545"/>
      <c r="FLD74" s="545"/>
      <c r="FLE74" s="545"/>
      <c r="FLF74" s="545"/>
      <c r="FLG74" s="545"/>
      <c r="FLH74" s="545"/>
      <c r="FLI74" s="545"/>
      <c r="FLJ74" s="545"/>
      <c r="FLK74" s="545"/>
      <c r="FLL74" s="545"/>
      <c r="FLM74" s="545"/>
      <c r="FLN74" s="545"/>
      <c r="FLO74" s="545"/>
      <c r="FLP74" s="545"/>
      <c r="FLQ74" s="545"/>
      <c r="FLR74" s="545"/>
      <c r="FLS74" s="545"/>
      <c r="FLT74" s="545"/>
      <c r="FLU74" s="545"/>
      <c r="FLV74" s="545"/>
      <c r="FLW74" s="545"/>
      <c r="FLX74" s="545"/>
      <c r="FLY74" s="545"/>
      <c r="FLZ74" s="545"/>
      <c r="FMA74" s="545"/>
      <c r="FMB74" s="545"/>
      <c r="FMC74" s="545"/>
      <c r="FMD74" s="545"/>
      <c r="FME74" s="545"/>
      <c r="FMF74" s="545"/>
      <c r="FMG74" s="545"/>
      <c r="FMH74" s="545"/>
      <c r="FMI74" s="545"/>
      <c r="FMJ74" s="545"/>
      <c r="FMK74" s="545"/>
      <c r="FML74" s="545"/>
      <c r="FMM74" s="545"/>
      <c r="FMN74" s="545"/>
      <c r="FMO74" s="545"/>
      <c r="FMP74" s="545"/>
      <c r="FMQ74" s="545"/>
      <c r="FMR74" s="545"/>
      <c r="FMS74" s="545"/>
      <c r="FMT74" s="545"/>
      <c r="FMU74" s="545"/>
      <c r="FMV74" s="545"/>
      <c r="FMW74" s="545"/>
      <c r="FMX74" s="545"/>
      <c r="FMY74" s="545"/>
      <c r="FMZ74" s="545"/>
      <c r="FNA74" s="545"/>
      <c r="FNB74" s="545"/>
      <c r="FNC74" s="545"/>
      <c r="FND74" s="545"/>
      <c r="FNE74" s="545"/>
      <c r="FNF74" s="545"/>
      <c r="FNG74" s="545"/>
      <c r="FNH74" s="545"/>
      <c r="FNI74" s="545"/>
      <c r="FNJ74" s="545"/>
      <c r="FNK74" s="545"/>
      <c r="FNL74" s="545"/>
      <c r="FNM74" s="545"/>
      <c r="FNN74" s="545"/>
      <c r="FNO74" s="545"/>
      <c r="FNP74" s="545"/>
      <c r="FNQ74" s="545"/>
      <c r="FNR74" s="545"/>
      <c r="FNS74" s="545"/>
      <c r="FNT74" s="545"/>
      <c r="FNU74" s="545"/>
      <c r="FNV74" s="545"/>
      <c r="FNW74" s="545"/>
      <c r="FNX74" s="545"/>
      <c r="FNY74" s="545"/>
      <c r="FNZ74" s="545"/>
      <c r="FOA74" s="545"/>
      <c r="FOB74" s="545"/>
      <c r="FOC74" s="545"/>
      <c r="FOD74" s="545"/>
      <c r="FOE74" s="545"/>
      <c r="FOF74" s="545"/>
      <c r="FOG74" s="545"/>
      <c r="FOH74" s="545"/>
      <c r="FOI74" s="545"/>
      <c r="FOJ74" s="545"/>
      <c r="FOK74" s="545"/>
      <c r="FOL74" s="545"/>
      <c r="FOM74" s="545"/>
      <c r="FON74" s="545"/>
      <c r="FOO74" s="545"/>
      <c r="FOP74" s="545"/>
      <c r="FOQ74" s="545"/>
      <c r="FOR74" s="545"/>
      <c r="FOS74" s="545"/>
      <c r="FOT74" s="545"/>
      <c r="FOU74" s="545"/>
      <c r="FOV74" s="545"/>
      <c r="FOW74" s="545"/>
      <c r="FOX74" s="545"/>
      <c r="FOY74" s="545"/>
      <c r="FOZ74" s="545"/>
      <c r="FPA74" s="545"/>
      <c r="FPB74" s="545"/>
      <c r="FPC74" s="545"/>
      <c r="FPD74" s="545"/>
      <c r="FPE74" s="545"/>
      <c r="FPF74" s="545"/>
      <c r="FPG74" s="545"/>
      <c r="FPH74" s="545"/>
      <c r="FPI74" s="545"/>
      <c r="FPJ74" s="545"/>
      <c r="FPK74" s="545"/>
      <c r="FPL74" s="545"/>
      <c r="FPM74" s="545"/>
      <c r="FPN74" s="545"/>
      <c r="FPO74" s="545"/>
      <c r="FPP74" s="545"/>
      <c r="FPQ74" s="545"/>
      <c r="FPR74" s="545"/>
      <c r="FPS74" s="545"/>
      <c r="FPT74" s="545"/>
      <c r="FPU74" s="545"/>
      <c r="FPV74" s="545"/>
      <c r="FPW74" s="545"/>
      <c r="FPX74" s="545"/>
      <c r="FPY74" s="545"/>
      <c r="FPZ74" s="545"/>
      <c r="FQA74" s="545"/>
      <c r="FQB74" s="545"/>
      <c r="FQC74" s="545"/>
      <c r="FQD74" s="545"/>
      <c r="FQE74" s="545"/>
      <c r="FQF74" s="545"/>
      <c r="FQG74" s="545"/>
      <c r="FQH74" s="545"/>
      <c r="FQI74" s="545"/>
      <c r="FQJ74" s="545"/>
      <c r="FQK74" s="545"/>
      <c r="FQL74" s="545"/>
      <c r="FQM74" s="545"/>
      <c r="FQN74" s="545"/>
      <c r="FQO74" s="545"/>
      <c r="FQP74" s="545"/>
      <c r="FQQ74" s="545"/>
      <c r="FQR74" s="545"/>
      <c r="FQS74" s="545"/>
      <c r="FQT74" s="545"/>
      <c r="FQU74" s="545"/>
      <c r="FQV74" s="545"/>
      <c r="FQW74" s="545"/>
      <c r="FQX74" s="545"/>
      <c r="FQY74" s="545"/>
      <c r="FQZ74" s="545"/>
      <c r="FRA74" s="545"/>
      <c r="FRB74" s="545"/>
      <c r="FRC74" s="545"/>
      <c r="FRD74" s="545"/>
      <c r="FRE74" s="545"/>
      <c r="FRF74" s="545"/>
      <c r="FRG74" s="545"/>
      <c r="FRH74" s="545"/>
      <c r="FRI74" s="545"/>
      <c r="FRJ74" s="545"/>
      <c r="FRK74" s="545"/>
      <c r="FRL74" s="545"/>
      <c r="FRM74" s="545"/>
      <c r="FRN74" s="545"/>
      <c r="FRO74" s="545"/>
      <c r="FRP74" s="545"/>
      <c r="FRQ74" s="545"/>
      <c r="FRR74" s="545"/>
      <c r="FRS74" s="545"/>
      <c r="FRT74" s="545"/>
      <c r="FRU74" s="545"/>
      <c r="FRV74" s="545"/>
      <c r="FRW74" s="545"/>
      <c r="FRX74" s="545"/>
      <c r="FRY74" s="545"/>
      <c r="FRZ74" s="545"/>
      <c r="FSA74" s="545"/>
      <c r="FSB74" s="545"/>
      <c r="FSC74" s="545"/>
      <c r="FSD74" s="545"/>
      <c r="FSE74" s="545"/>
      <c r="FSF74" s="545"/>
      <c r="FSG74" s="545"/>
      <c r="FSH74" s="545"/>
      <c r="FSI74" s="545"/>
      <c r="FSJ74" s="545"/>
      <c r="FSK74" s="545"/>
      <c r="FSL74" s="545"/>
      <c r="FSM74" s="545"/>
      <c r="FSN74" s="545"/>
      <c r="FSO74" s="545"/>
      <c r="FSP74" s="545"/>
      <c r="FSQ74" s="545"/>
      <c r="FSR74" s="545"/>
      <c r="FSS74" s="545"/>
      <c r="FST74" s="545"/>
      <c r="FSU74" s="545"/>
      <c r="FSV74" s="545"/>
      <c r="FSW74" s="545"/>
      <c r="FSX74" s="545"/>
      <c r="FSY74" s="545"/>
      <c r="FSZ74" s="545"/>
      <c r="FTA74" s="545"/>
      <c r="FTB74" s="545"/>
      <c r="FTC74" s="545"/>
      <c r="FTD74" s="545"/>
      <c r="FTE74" s="545"/>
      <c r="FTF74" s="545"/>
      <c r="FTG74" s="545"/>
      <c r="FTH74" s="545"/>
      <c r="FTI74" s="545"/>
      <c r="FTJ74" s="545"/>
      <c r="FTK74" s="545"/>
      <c r="FTL74" s="545"/>
      <c r="FTM74" s="545"/>
      <c r="FTN74" s="545"/>
      <c r="FTO74" s="545"/>
      <c r="FTP74" s="545"/>
      <c r="FTQ74" s="545"/>
      <c r="FTR74" s="545"/>
      <c r="FTS74" s="545"/>
      <c r="FTT74" s="545"/>
      <c r="FTU74" s="545"/>
      <c r="FTV74" s="545"/>
      <c r="FTW74" s="545"/>
      <c r="FTX74" s="545"/>
      <c r="FTY74" s="545"/>
      <c r="FTZ74" s="545"/>
      <c r="FUA74" s="545"/>
      <c r="FUB74" s="545"/>
      <c r="FUC74" s="545"/>
      <c r="FUD74" s="545"/>
      <c r="FUE74" s="545"/>
      <c r="FUF74" s="545"/>
      <c r="FUG74" s="545"/>
      <c r="FUH74" s="545"/>
      <c r="FUI74" s="545"/>
      <c r="FUJ74" s="545"/>
      <c r="FUK74" s="545"/>
      <c r="FUL74" s="545"/>
      <c r="FUM74" s="545"/>
      <c r="FUN74" s="545"/>
      <c r="FUO74" s="545"/>
      <c r="FUP74" s="545"/>
      <c r="FUQ74" s="545"/>
      <c r="FUR74" s="545"/>
      <c r="FUS74" s="545"/>
      <c r="FUT74" s="545"/>
      <c r="FUU74" s="545"/>
      <c r="FUV74" s="545"/>
      <c r="FUW74" s="545"/>
      <c r="FUX74" s="545"/>
      <c r="FUY74" s="545"/>
      <c r="FUZ74" s="545"/>
      <c r="FVA74" s="545"/>
      <c r="FVB74" s="545"/>
      <c r="FVC74" s="545"/>
      <c r="FVD74" s="545"/>
      <c r="FVE74" s="545"/>
      <c r="FVF74" s="545"/>
      <c r="FVG74" s="545"/>
      <c r="FVH74" s="545"/>
      <c r="FVI74" s="545"/>
      <c r="FVJ74" s="545"/>
      <c r="FVK74" s="545"/>
      <c r="FVL74" s="545"/>
      <c r="FVM74" s="545"/>
      <c r="FVN74" s="545"/>
      <c r="FVO74" s="545"/>
      <c r="FVP74" s="545"/>
      <c r="FVQ74" s="545"/>
      <c r="FVR74" s="545"/>
      <c r="FVS74" s="545"/>
      <c r="FVT74" s="545"/>
      <c r="FVU74" s="545"/>
      <c r="FVV74" s="545"/>
      <c r="FVW74" s="545"/>
      <c r="FVX74" s="545"/>
      <c r="FVY74" s="545"/>
      <c r="FVZ74" s="545"/>
      <c r="FWA74" s="545"/>
      <c r="FWB74" s="545"/>
      <c r="FWC74" s="545"/>
      <c r="FWD74" s="545"/>
      <c r="FWE74" s="545"/>
      <c r="FWF74" s="545"/>
      <c r="FWG74" s="545"/>
      <c r="FWH74" s="545"/>
      <c r="FWI74" s="545"/>
      <c r="FWJ74" s="545"/>
      <c r="FWK74" s="545"/>
      <c r="FWL74" s="545"/>
      <c r="FWM74" s="545"/>
      <c r="FWN74" s="545"/>
      <c r="FWO74" s="545"/>
      <c r="FWP74" s="545"/>
      <c r="FWQ74" s="545"/>
      <c r="FWR74" s="545"/>
      <c r="FWS74" s="545"/>
      <c r="FWT74" s="545"/>
      <c r="FWU74" s="545"/>
      <c r="FWV74" s="545"/>
      <c r="FWW74" s="545"/>
      <c r="FWX74" s="545"/>
      <c r="FWY74" s="545"/>
      <c r="FWZ74" s="545"/>
      <c r="FXA74" s="545"/>
      <c r="FXB74" s="545"/>
      <c r="FXC74" s="545"/>
      <c r="FXD74" s="545"/>
      <c r="FXE74" s="545"/>
      <c r="FXF74" s="545"/>
      <c r="FXG74" s="545"/>
      <c r="FXH74" s="545"/>
      <c r="FXI74" s="545"/>
      <c r="FXJ74" s="545"/>
      <c r="FXK74" s="545"/>
      <c r="FXL74" s="545"/>
      <c r="FXM74" s="545"/>
      <c r="FXN74" s="545"/>
      <c r="FXO74" s="545"/>
      <c r="FXP74" s="545"/>
      <c r="FXQ74" s="545"/>
      <c r="FXR74" s="545"/>
      <c r="FXS74" s="545"/>
      <c r="FXT74" s="545"/>
      <c r="FXU74" s="545"/>
      <c r="FXV74" s="545"/>
      <c r="FXW74" s="545"/>
      <c r="FXX74" s="545"/>
      <c r="FXY74" s="545"/>
      <c r="FXZ74" s="545"/>
      <c r="FYA74" s="545"/>
      <c r="FYB74" s="545"/>
      <c r="FYC74" s="545"/>
      <c r="FYD74" s="545"/>
      <c r="FYE74" s="545"/>
      <c r="FYF74" s="545"/>
      <c r="FYG74" s="545"/>
      <c r="FYH74" s="545"/>
      <c r="FYI74" s="545"/>
      <c r="FYJ74" s="545"/>
      <c r="FYK74" s="545"/>
      <c r="FYL74" s="545"/>
      <c r="FYM74" s="545"/>
      <c r="FYN74" s="545"/>
      <c r="FYO74" s="545"/>
      <c r="FYP74" s="545"/>
      <c r="FYQ74" s="545"/>
      <c r="FYR74" s="545"/>
      <c r="FYS74" s="545"/>
      <c r="FYT74" s="545"/>
      <c r="FYU74" s="545"/>
      <c r="FYV74" s="545"/>
      <c r="FYW74" s="545"/>
      <c r="FYX74" s="545"/>
      <c r="FYY74" s="545"/>
      <c r="FYZ74" s="545"/>
      <c r="FZA74" s="545"/>
      <c r="FZB74" s="545"/>
      <c r="FZC74" s="545"/>
      <c r="FZD74" s="545"/>
      <c r="FZE74" s="545"/>
      <c r="FZF74" s="545"/>
      <c r="FZG74" s="545"/>
      <c r="FZH74" s="545"/>
      <c r="FZI74" s="545"/>
      <c r="FZJ74" s="545"/>
      <c r="FZK74" s="545"/>
      <c r="FZL74" s="545"/>
      <c r="FZM74" s="545"/>
      <c r="FZN74" s="545"/>
      <c r="FZO74" s="545"/>
      <c r="FZP74" s="545"/>
      <c r="FZQ74" s="545"/>
      <c r="FZR74" s="545"/>
      <c r="FZS74" s="545"/>
      <c r="FZT74" s="545"/>
      <c r="FZU74" s="545"/>
      <c r="FZV74" s="545"/>
      <c r="FZW74" s="545"/>
      <c r="FZX74" s="545"/>
      <c r="FZY74" s="545"/>
      <c r="FZZ74" s="545"/>
      <c r="GAA74" s="545"/>
      <c r="GAB74" s="545"/>
      <c r="GAC74" s="545"/>
      <c r="GAD74" s="545"/>
      <c r="GAE74" s="545"/>
      <c r="GAF74" s="545"/>
      <c r="GAG74" s="545"/>
      <c r="GAH74" s="545"/>
      <c r="GAI74" s="545"/>
      <c r="GAJ74" s="545"/>
      <c r="GAK74" s="545"/>
      <c r="GAL74" s="545"/>
      <c r="GAM74" s="545"/>
      <c r="GAN74" s="545"/>
      <c r="GAO74" s="545"/>
      <c r="GAP74" s="545"/>
      <c r="GAQ74" s="545"/>
      <c r="GAR74" s="545"/>
      <c r="GAS74" s="545"/>
      <c r="GAT74" s="545"/>
      <c r="GAU74" s="545"/>
      <c r="GAV74" s="545"/>
      <c r="GAW74" s="545"/>
      <c r="GAX74" s="545"/>
      <c r="GAY74" s="545"/>
      <c r="GAZ74" s="545"/>
      <c r="GBA74" s="545"/>
      <c r="GBB74" s="545"/>
      <c r="GBC74" s="545"/>
      <c r="GBD74" s="545"/>
      <c r="GBE74" s="545"/>
      <c r="GBF74" s="545"/>
      <c r="GBG74" s="545"/>
      <c r="GBH74" s="545"/>
      <c r="GBI74" s="545"/>
      <c r="GBJ74" s="545"/>
      <c r="GBK74" s="545"/>
      <c r="GBL74" s="545"/>
      <c r="GBM74" s="545"/>
      <c r="GBN74" s="545"/>
      <c r="GBO74" s="545"/>
      <c r="GBP74" s="545"/>
      <c r="GBQ74" s="545"/>
      <c r="GBR74" s="545"/>
      <c r="GBS74" s="545"/>
      <c r="GBT74" s="545"/>
      <c r="GBU74" s="545"/>
      <c r="GBV74" s="545"/>
      <c r="GBW74" s="545"/>
      <c r="GBX74" s="545"/>
      <c r="GBY74" s="545"/>
      <c r="GBZ74" s="545"/>
      <c r="GCA74" s="545"/>
      <c r="GCB74" s="545"/>
      <c r="GCC74" s="545"/>
      <c r="GCD74" s="545"/>
      <c r="GCE74" s="545"/>
      <c r="GCF74" s="545"/>
      <c r="GCG74" s="545"/>
      <c r="GCH74" s="545"/>
      <c r="GCI74" s="545"/>
      <c r="GCJ74" s="545"/>
      <c r="GCK74" s="545"/>
      <c r="GCL74" s="545"/>
      <c r="GCM74" s="545"/>
      <c r="GCN74" s="545"/>
      <c r="GCO74" s="545"/>
      <c r="GCP74" s="545"/>
      <c r="GCQ74" s="545"/>
      <c r="GCR74" s="545"/>
      <c r="GCS74" s="545"/>
      <c r="GCT74" s="545"/>
      <c r="GCU74" s="545"/>
      <c r="GCV74" s="545"/>
      <c r="GCW74" s="545"/>
      <c r="GCX74" s="545"/>
      <c r="GCY74" s="545"/>
      <c r="GCZ74" s="545"/>
      <c r="GDA74" s="545"/>
      <c r="GDB74" s="545"/>
      <c r="GDC74" s="545"/>
      <c r="GDD74" s="545"/>
      <c r="GDE74" s="545"/>
      <c r="GDF74" s="545"/>
      <c r="GDG74" s="545"/>
      <c r="GDH74" s="545"/>
      <c r="GDI74" s="545"/>
      <c r="GDJ74" s="545"/>
      <c r="GDK74" s="545"/>
      <c r="GDL74" s="545"/>
      <c r="GDM74" s="545"/>
      <c r="GDN74" s="545"/>
      <c r="GDO74" s="545"/>
      <c r="GDP74" s="545"/>
      <c r="GDQ74" s="545"/>
      <c r="GDR74" s="545"/>
      <c r="GDS74" s="545"/>
      <c r="GDT74" s="545"/>
      <c r="GDU74" s="545"/>
      <c r="GDV74" s="545"/>
      <c r="GDW74" s="545"/>
      <c r="GDX74" s="545"/>
      <c r="GDY74" s="545"/>
      <c r="GDZ74" s="545"/>
      <c r="GEA74" s="545"/>
      <c r="GEB74" s="545"/>
      <c r="GEC74" s="545"/>
      <c r="GED74" s="545"/>
      <c r="GEE74" s="545"/>
      <c r="GEF74" s="545"/>
      <c r="GEG74" s="545"/>
      <c r="GEH74" s="545"/>
      <c r="GEI74" s="545"/>
      <c r="GEJ74" s="545"/>
      <c r="GEK74" s="545"/>
      <c r="GEL74" s="545"/>
      <c r="GEM74" s="545"/>
      <c r="GEN74" s="545"/>
      <c r="GEO74" s="545"/>
      <c r="GEP74" s="545"/>
      <c r="GEQ74" s="545"/>
      <c r="GER74" s="545"/>
      <c r="GES74" s="545"/>
      <c r="GET74" s="545"/>
      <c r="GEU74" s="545"/>
      <c r="GEV74" s="545"/>
      <c r="GEW74" s="545"/>
      <c r="GEX74" s="545"/>
      <c r="GEY74" s="545"/>
      <c r="GEZ74" s="545"/>
      <c r="GFA74" s="545"/>
      <c r="GFB74" s="545"/>
      <c r="GFC74" s="545"/>
      <c r="GFD74" s="545"/>
      <c r="GFE74" s="545"/>
      <c r="GFF74" s="545"/>
      <c r="GFG74" s="545"/>
      <c r="GFH74" s="545"/>
      <c r="GFI74" s="545"/>
      <c r="GFJ74" s="545"/>
      <c r="GFK74" s="545"/>
      <c r="GFL74" s="545"/>
      <c r="GFM74" s="545"/>
      <c r="GFN74" s="545"/>
      <c r="GFO74" s="545"/>
      <c r="GFP74" s="545"/>
      <c r="GFQ74" s="545"/>
      <c r="GFR74" s="545"/>
      <c r="GFS74" s="545"/>
      <c r="GFT74" s="545"/>
      <c r="GFU74" s="545"/>
      <c r="GFV74" s="545"/>
      <c r="GFW74" s="545"/>
      <c r="GFX74" s="545"/>
      <c r="GFY74" s="545"/>
      <c r="GFZ74" s="545"/>
      <c r="GGA74" s="545"/>
      <c r="GGB74" s="545"/>
      <c r="GGC74" s="545"/>
      <c r="GGD74" s="545"/>
      <c r="GGE74" s="545"/>
      <c r="GGF74" s="545"/>
      <c r="GGG74" s="545"/>
      <c r="GGH74" s="545"/>
      <c r="GGI74" s="545"/>
      <c r="GGJ74" s="545"/>
      <c r="GGK74" s="545"/>
      <c r="GGL74" s="545"/>
      <c r="GGM74" s="545"/>
      <c r="GGN74" s="545"/>
      <c r="GGO74" s="545"/>
      <c r="GGP74" s="545"/>
      <c r="GGQ74" s="545"/>
      <c r="GGR74" s="545"/>
      <c r="GGS74" s="545"/>
      <c r="GGT74" s="545"/>
      <c r="GGU74" s="545"/>
      <c r="GGV74" s="545"/>
      <c r="GGW74" s="545"/>
      <c r="GGX74" s="545"/>
      <c r="GGY74" s="545"/>
      <c r="GGZ74" s="545"/>
      <c r="GHA74" s="545"/>
      <c r="GHB74" s="545"/>
      <c r="GHC74" s="545"/>
      <c r="GHD74" s="545"/>
      <c r="GHE74" s="545"/>
      <c r="GHF74" s="545"/>
      <c r="GHG74" s="545"/>
      <c r="GHH74" s="545"/>
      <c r="GHI74" s="545"/>
      <c r="GHJ74" s="545"/>
      <c r="GHK74" s="545"/>
      <c r="GHL74" s="545"/>
      <c r="GHM74" s="545"/>
      <c r="GHN74" s="545"/>
      <c r="GHO74" s="545"/>
      <c r="GHP74" s="545"/>
      <c r="GHQ74" s="545"/>
      <c r="GHR74" s="545"/>
      <c r="GHS74" s="545"/>
      <c r="GHT74" s="545"/>
      <c r="GHU74" s="545"/>
      <c r="GHV74" s="545"/>
      <c r="GHW74" s="545"/>
      <c r="GHX74" s="545"/>
      <c r="GHY74" s="545"/>
      <c r="GHZ74" s="545"/>
      <c r="GIA74" s="545"/>
      <c r="GIB74" s="545"/>
      <c r="GIC74" s="545"/>
      <c r="GID74" s="545"/>
      <c r="GIE74" s="545"/>
      <c r="GIF74" s="545"/>
      <c r="GIG74" s="545"/>
      <c r="GIH74" s="545"/>
      <c r="GII74" s="545"/>
      <c r="GIJ74" s="545"/>
      <c r="GIK74" s="545"/>
      <c r="GIL74" s="545"/>
      <c r="GIM74" s="545"/>
      <c r="GIN74" s="545"/>
      <c r="GIO74" s="545"/>
      <c r="GIP74" s="545"/>
      <c r="GIQ74" s="545"/>
      <c r="GIR74" s="545"/>
      <c r="GIS74" s="545"/>
      <c r="GIT74" s="545"/>
      <c r="GIU74" s="545"/>
      <c r="GIV74" s="545"/>
      <c r="GIW74" s="545"/>
      <c r="GIX74" s="545"/>
      <c r="GIY74" s="545"/>
      <c r="GIZ74" s="545"/>
      <c r="GJA74" s="545"/>
      <c r="GJB74" s="545"/>
      <c r="GJC74" s="545"/>
      <c r="GJD74" s="545"/>
      <c r="GJE74" s="545"/>
      <c r="GJF74" s="545"/>
      <c r="GJG74" s="545"/>
      <c r="GJH74" s="545"/>
      <c r="GJI74" s="545"/>
      <c r="GJJ74" s="545"/>
      <c r="GJK74" s="545"/>
      <c r="GJL74" s="545"/>
      <c r="GJM74" s="545"/>
      <c r="GJN74" s="545"/>
      <c r="GJO74" s="545"/>
      <c r="GJP74" s="545"/>
      <c r="GJQ74" s="545"/>
      <c r="GJR74" s="545"/>
      <c r="GJS74" s="545"/>
      <c r="GJT74" s="545"/>
      <c r="GJU74" s="545"/>
      <c r="GJV74" s="545"/>
      <c r="GJW74" s="545"/>
      <c r="GJX74" s="545"/>
      <c r="GJY74" s="545"/>
      <c r="GJZ74" s="545"/>
      <c r="GKA74" s="545"/>
      <c r="GKB74" s="545"/>
      <c r="GKC74" s="545"/>
      <c r="GKD74" s="545"/>
      <c r="GKE74" s="545"/>
      <c r="GKF74" s="545"/>
      <c r="GKG74" s="545"/>
      <c r="GKH74" s="545"/>
      <c r="GKI74" s="545"/>
      <c r="GKJ74" s="545"/>
      <c r="GKK74" s="545"/>
      <c r="GKL74" s="545"/>
      <c r="GKM74" s="545"/>
      <c r="GKN74" s="545"/>
      <c r="GKO74" s="545"/>
      <c r="GKP74" s="545"/>
      <c r="GKQ74" s="545"/>
      <c r="GKR74" s="545"/>
      <c r="GKS74" s="545"/>
      <c r="GKT74" s="545"/>
      <c r="GKU74" s="545"/>
      <c r="GKV74" s="545"/>
      <c r="GKW74" s="545"/>
      <c r="GKX74" s="545"/>
      <c r="GKY74" s="545"/>
      <c r="GKZ74" s="545"/>
      <c r="GLA74" s="545"/>
      <c r="GLB74" s="545"/>
      <c r="GLC74" s="545"/>
      <c r="GLD74" s="545"/>
      <c r="GLE74" s="545"/>
      <c r="GLF74" s="545"/>
      <c r="GLG74" s="545"/>
      <c r="GLH74" s="545"/>
      <c r="GLI74" s="545"/>
      <c r="GLJ74" s="545"/>
      <c r="GLK74" s="545"/>
      <c r="GLL74" s="545"/>
      <c r="GLM74" s="545"/>
      <c r="GLN74" s="545"/>
      <c r="GLO74" s="545"/>
      <c r="GLP74" s="545"/>
      <c r="GLQ74" s="545"/>
      <c r="GLR74" s="545"/>
      <c r="GLS74" s="545"/>
      <c r="GLT74" s="545"/>
      <c r="GLU74" s="545"/>
      <c r="GLV74" s="545"/>
      <c r="GLW74" s="545"/>
      <c r="GLX74" s="545"/>
      <c r="GLY74" s="545"/>
      <c r="GLZ74" s="545"/>
      <c r="GMA74" s="545"/>
      <c r="GMB74" s="545"/>
      <c r="GMC74" s="545"/>
      <c r="GMD74" s="545"/>
      <c r="GME74" s="545"/>
      <c r="GMF74" s="545"/>
      <c r="GMG74" s="545"/>
      <c r="GMH74" s="545"/>
      <c r="GMI74" s="545"/>
      <c r="GMJ74" s="545"/>
      <c r="GMK74" s="545"/>
      <c r="GML74" s="545"/>
      <c r="GMM74" s="545"/>
      <c r="GMN74" s="545"/>
      <c r="GMO74" s="545"/>
      <c r="GMP74" s="545"/>
      <c r="GMQ74" s="545"/>
      <c r="GMR74" s="545"/>
      <c r="GMS74" s="545"/>
      <c r="GMT74" s="545"/>
      <c r="GMU74" s="545"/>
      <c r="GMV74" s="545"/>
      <c r="GMW74" s="545"/>
      <c r="GMX74" s="545"/>
      <c r="GMY74" s="545"/>
      <c r="GMZ74" s="545"/>
      <c r="GNA74" s="545"/>
      <c r="GNB74" s="545"/>
      <c r="GNC74" s="545"/>
      <c r="GND74" s="545"/>
      <c r="GNE74" s="545"/>
      <c r="GNF74" s="545"/>
      <c r="GNG74" s="545"/>
      <c r="GNH74" s="545"/>
      <c r="GNI74" s="545"/>
      <c r="GNJ74" s="545"/>
      <c r="GNK74" s="545"/>
      <c r="GNL74" s="545"/>
      <c r="GNM74" s="545"/>
      <c r="GNN74" s="545"/>
      <c r="GNO74" s="545"/>
      <c r="GNP74" s="545"/>
      <c r="GNQ74" s="545"/>
      <c r="GNR74" s="545"/>
      <c r="GNS74" s="545"/>
      <c r="GNT74" s="545"/>
      <c r="GNU74" s="545"/>
      <c r="GNV74" s="545"/>
      <c r="GNW74" s="545"/>
      <c r="GNX74" s="545"/>
      <c r="GNY74" s="545"/>
      <c r="GNZ74" s="545"/>
      <c r="GOA74" s="545"/>
      <c r="GOB74" s="545"/>
      <c r="GOC74" s="545"/>
      <c r="GOD74" s="545"/>
      <c r="GOE74" s="545"/>
      <c r="GOF74" s="545"/>
      <c r="GOG74" s="545"/>
      <c r="GOH74" s="545"/>
      <c r="GOI74" s="545"/>
      <c r="GOJ74" s="545"/>
      <c r="GOK74" s="545"/>
      <c r="GOL74" s="545"/>
      <c r="GOM74" s="545"/>
      <c r="GON74" s="545"/>
      <c r="GOO74" s="545"/>
      <c r="GOP74" s="545"/>
      <c r="GOQ74" s="545"/>
      <c r="GOR74" s="545"/>
      <c r="GOS74" s="545"/>
      <c r="GOT74" s="545"/>
      <c r="GOU74" s="545"/>
      <c r="GOV74" s="545"/>
      <c r="GOW74" s="545"/>
      <c r="GOX74" s="545"/>
      <c r="GOY74" s="545"/>
      <c r="GOZ74" s="545"/>
      <c r="GPA74" s="545"/>
      <c r="GPB74" s="545"/>
      <c r="GPC74" s="545"/>
      <c r="GPD74" s="545"/>
      <c r="GPE74" s="545"/>
      <c r="GPF74" s="545"/>
      <c r="GPG74" s="545"/>
      <c r="GPH74" s="545"/>
      <c r="GPI74" s="545"/>
      <c r="GPJ74" s="545"/>
      <c r="GPK74" s="545"/>
      <c r="GPL74" s="545"/>
      <c r="GPM74" s="545"/>
      <c r="GPN74" s="545"/>
      <c r="GPO74" s="545"/>
      <c r="GPP74" s="545"/>
      <c r="GPQ74" s="545"/>
      <c r="GPR74" s="545"/>
      <c r="GPS74" s="545"/>
      <c r="GPT74" s="545"/>
      <c r="GPU74" s="545"/>
      <c r="GPV74" s="545"/>
      <c r="GPW74" s="545"/>
      <c r="GPX74" s="545"/>
      <c r="GPY74" s="545"/>
      <c r="GPZ74" s="545"/>
      <c r="GQA74" s="545"/>
      <c r="GQB74" s="545"/>
      <c r="GQC74" s="545"/>
      <c r="GQD74" s="545"/>
      <c r="GQE74" s="545"/>
      <c r="GQF74" s="545"/>
      <c r="GQG74" s="545"/>
      <c r="GQH74" s="545"/>
      <c r="GQI74" s="545"/>
      <c r="GQJ74" s="545"/>
      <c r="GQK74" s="545"/>
      <c r="GQL74" s="545"/>
      <c r="GQM74" s="545"/>
      <c r="GQN74" s="545"/>
      <c r="GQO74" s="545"/>
      <c r="GQP74" s="545"/>
      <c r="GQQ74" s="545"/>
      <c r="GQR74" s="545"/>
      <c r="GQS74" s="545"/>
      <c r="GQT74" s="545"/>
      <c r="GQU74" s="545"/>
      <c r="GQV74" s="545"/>
      <c r="GQW74" s="545"/>
      <c r="GQX74" s="545"/>
      <c r="GQY74" s="545"/>
      <c r="GQZ74" s="545"/>
      <c r="GRA74" s="545"/>
      <c r="GRB74" s="545"/>
      <c r="GRC74" s="545"/>
      <c r="GRD74" s="545"/>
      <c r="GRE74" s="545"/>
      <c r="GRF74" s="545"/>
      <c r="GRG74" s="545"/>
      <c r="GRH74" s="545"/>
      <c r="GRI74" s="545"/>
      <c r="GRJ74" s="545"/>
      <c r="GRK74" s="545"/>
      <c r="GRL74" s="545"/>
      <c r="GRM74" s="545"/>
      <c r="GRN74" s="545"/>
      <c r="GRO74" s="545"/>
      <c r="GRP74" s="545"/>
      <c r="GRQ74" s="545"/>
      <c r="GRR74" s="545"/>
      <c r="GRS74" s="545"/>
      <c r="GRT74" s="545"/>
      <c r="GRU74" s="545"/>
      <c r="GRV74" s="545"/>
      <c r="GRW74" s="545"/>
      <c r="GRX74" s="545"/>
      <c r="GRY74" s="545"/>
      <c r="GRZ74" s="545"/>
      <c r="GSA74" s="545"/>
      <c r="GSB74" s="545"/>
      <c r="GSC74" s="545"/>
      <c r="GSD74" s="545"/>
      <c r="GSE74" s="545"/>
      <c r="GSF74" s="545"/>
      <c r="GSG74" s="545"/>
      <c r="GSH74" s="545"/>
      <c r="GSI74" s="545"/>
      <c r="GSJ74" s="545"/>
      <c r="GSK74" s="545"/>
      <c r="GSL74" s="545"/>
      <c r="GSM74" s="545"/>
      <c r="GSN74" s="545"/>
      <c r="GSO74" s="545"/>
      <c r="GSP74" s="545"/>
      <c r="GSQ74" s="545"/>
      <c r="GSR74" s="545"/>
      <c r="GSS74" s="545"/>
      <c r="GST74" s="545"/>
      <c r="GSU74" s="545"/>
      <c r="GSV74" s="545"/>
      <c r="GSW74" s="545"/>
      <c r="GSX74" s="545"/>
      <c r="GSY74" s="545"/>
      <c r="GSZ74" s="545"/>
      <c r="GTA74" s="545"/>
      <c r="GTB74" s="545"/>
      <c r="GTC74" s="545"/>
      <c r="GTD74" s="545"/>
      <c r="GTE74" s="545"/>
      <c r="GTF74" s="545"/>
      <c r="GTG74" s="545"/>
      <c r="GTH74" s="545"/>
      <c r="GTI74" s="545"/>
      <c r="GTJ74" s="545"/>
      <c r="GTK74" s="545"/>
      <c r="GTL74" s="545"/>
      <c r="GTM74" s="545"/>
      <c r="GTN74" s="545"/>
      <c r="GTO74" s="545"/>
      <c r="GTP74" s="545"/>
      <c r="GTQ74" s="545"/>
      <c r="GTR74" s="545"/>
      <c r="GTS74" s="545"/>
      <c r="GTT74" s="545"/>
      <c r="GTU74" s="545"/>
      <c r="GTV74" s="545"/>
      <c r="GTW74" s="545"/>
      <c r="GTX74" s="545"/>
      <c r="GTY74" s="545"/>
      <c r="GTZ74" s="545"/>
      <c r="GUA74" s="545"/>
      <c r="GUB74" s="545"/>
      <c r="GUC74" s="545"/>
      <c r="GUD74" s="545"/>
      <c r="GUE74" s="545"/>
      <c r="GUF74" s="545"/>
      <c r="GUG74" s="545"/>
      <c r="GUH74" s="545"/>
      <c r="GUI74" s="545"/>
      <c r="GUJ74" s="545"/>
      <c r="GUK74" s="545"/>
      <c r="GUL74" s="545"/>
      <c r="GUM74" s="545"/>
      <c r="GUN74" s="545"/>
      <c r="GUO74" s="545"/>
      <c r="GUP74" s="545"/>
      <c r="GUQ74" s="545"/>
      <c r="GUR74" s="545"/>
      <c r="GUS74" s="545"/>
      <c r="GUT74" s="545"/>
      <c r="GUU74" s="545"/>
      <c r="GUV74" s="545"/>
      <c r="GUW74" s="545"/>
      <c r="GUX74" s="545"/>
      <c r="GUY74" s="545"/>
      <c r="GUZ74" s="545"/>
      <c r="GVA74" s="545"/>
      <c r="GVB74" s="545"/>
      <c r="GVC74" s="545"/>
      <c r="GVD74" s="545"/>
      <c r="GVE74" s="545"/>
      <c r="GVF74" s="545"/>
      <c r="GVG74" s="545"/>
      <c r="GVH74" s="545"/>
      <c r="GVI74" s="545"/>
      <c r="GVJ74" s="545"/>
      <c r="GVK74" s="545"/>
      <c r="GVL74" s="545"/>
      <c r="GVM74" s="545"/>
      <c r="GVN74" s="545"/>
      <c r="GVO74" s="545"/>
      <c r="GVP74" s="545"/>
      <c r="GVQ74" s="545"/>
      <c r="GVR74" s="545"/>
      <c r="GVS74" s="545"/>
      <c r="GVT74" s="545"/>
      <c r="GVU74" s="545"/>
      <c r="GVV74" s="545"/>
      <c r="GVW74" s="545"/>
      <c r="GVX74" s="545"/>
      <c r="GVY74" s="545"/>
      <c r="GVZ74" s="545"/>
      <c r="GWA74" s="545"/>
      <c r="GWB74" s="545"/>
      <c r="GWC74" s="545"/>
      <c r="GWD74" s="545"/>
      <c r="GWE74" s="545"/>
      <c r="GWF74" s="545"/>
      <c r="GWG74" s="545"/>
      <c r="GWH74" s="545"/>
      <c r="GWI74" s="545"/>
      <c r="GWJ74" s="545"/>
      <c r="GWK74" s="545"/>
      <c r="GWL74" s="545"/>
      <c r="GWM74" s="545"/>
      <c r="GWN74" s="545"/>
      <c r="GWO74" s="545"/>
      <c r="GWP74" s="545"/>
      <c r="GWQ74" s="545"/>
      <c r="GWR74" s="545"/>
      <c r="GWS74" s="545"/>
      <c r="GWT74" s="545"/>
      <c r="GWU74" s="545"/>
      <c r="GWV74" s="545"/>
      <c r="GWW74" s="545"/>
      <c r="GWX74" s="545"/>
      <c r="GWY74" s="545"/>
      <c r="GWZ74" s="545"/>
      <c r="GXA74" s="545"/>
      <c r="GXB74" s="545"/>
      <c r="GXC74" s="545"/>
      <c r="GXD74" s="545"/>
      <c r="GXE74" s="545"/>
      <c r="GXF74" s="545"/>
      <c r="GXG74" s="545"/>
      <c r="GXH74" s="545"/>
      <c r="GXI74" s="545"/>
      <c r="GXJ74" s="545"/>
      <c r="GXK74" s="545"/>
      <c r="GXL74" s="545"/>
      <c r="GXM74" s="545"/>
      <c r="GXN74" s="545"/>
      <c r="GXO74" s="545"/>
      <c r="GXP74" s="545"/>
      <c r="GXQ74" s="545"/>
      <c r="GXR74" s="545"/>
      <c r="GXS74" s="545"/>
      <c r="GXT74" s="545"/>
      <c r="GXU74" s="545"/>
      <c r="GXV74" s="545"/>
      <c r="GXW74" s="545"/>
      <c r="GXX74" s="545"/>
      <c r="GXY74" s="545"/>
      <c r="GXZ74" s="545"/>
      <c r="GYA74" s="545"/>
      <c r="GYB74" s="545"/>
      <c r="GYC74" s="545"/>
      <c r="GYD74" s="545"/>
      <c r="GYE74" s="545"/>
      <c r="GYF74" s="545"/>
      <c r="GYG74" s="545"/>
      <c r="GYH74" s="545"/>
      <c r="GYI74" s="545"/>
      <c r="GYJ74" s="545"/>
      <c r="GYK74" s="545"/>
      <c r="GYL74" s="545"/>
      <c r="GYM74" s="545"/>
      <c r="GYN74" s="545"/>
      <c r="GYO74" s="545"/>
      <c r="GYP74" s="545"/>
      <c r="GYQ74" s="545"/>
      <c r="GYR74" s="545"/>
      <c r="GYS74" s="545"/>
      <c r="GYT74" s="545"/>
      <c r="GYU74" s="545"/>
      <c r="GYV74" s="545"/>
      <c r="GYW74" s="545"/>
      <c r="GYX74" s="545"/>
      <c r="GYY74" s="545"/>
      <c r="GYZ74" s="545"/>
      <c r="GZA74" s="545"/>
      <c r="GZB74" s="545"/>
      <c r="GZC74" s="545"/>
      <c r="GZD74" s="545"/>
      <c r="GZE74" s="545"/>
      <c r="GZF74" s="545"/>
      <c r="GZG74" s="545"/>
      <c r="GZH74" s="545"/>
      <c r="GZI74" s="545"/>
      <c r="GZJ74" s="545"/>
      <c r="GZK74" s="545"/>
      <c r="GZL74" s="545"/>
      <c r="GZM74" s="545"/>
      <c r="GZN74" s="545"/>
      <c r="GZO74" s="545"/>
      <c r="GZP74" s="545"/>
      <c r="GZQ74" s="545"/>
      <c r="GZR74" s="545"/>
      <c r="GZS74" s="545"/>
      <c r="GZT74" s="545"/>
      <c r="GZU74" s="545"/>
      <c r="GZV74" s="545"/>
      <c r="GZW74" s="545"/>
      <c r="GZX74" s="545"/>
      <c r="GZY74" s="545"/>
      <c r="GZZ74" s="545"/>
      <c r="HAA74" s="545"/>
      <c r="HAB74" s="545"/>
      <c r="HAC74" s="545"/>
      <c r="HAD74" s="545"/>
      <c r="HAE74" s="545"/>
      <c r="HAF74" s="545"/>
      <c r="HAG74" s="545"/>
      <c r="HAH74" s="545"/>
      <c r="HAI74" s="545"/>
      <c r="HAJ74" s="545"/>
      <c r="HAK74" s="545"/>
      <c r="HAL74" s="545"/>
      <c r="HAM74" s="545"/>
      <c r="HAN74" s="545"/>
      <c r="HAO74" s="545"/>
      <c r="HAP74" s="545"/>
      <c r="HAQ74" s="545"/>
      <c r="HAR74" s="545"/>
      <c r="HAS74" s="545"/>
      <c r="HAT74" s="545"/>
      <c r="HAU74" s="545"/>
      <c r="HAV74" s="545"/>
      <c r="HAW74" s="545"/>
      <c r="HAX74" s="545"/>
      <c r="HAY74" s="545"/>
      <c r="HAZ74" s="545"/>
      <c r="HBA74" s="545"/>
      <c r="HBB74" s="545"/>
      <c r="HBC74" s="545"/>
      <c r="HBD74" s="545"/>
      <c r="HBE74" s="545"/>
      <c r="HBF74" s="545"/>
      <c r="HBG74" s="545"/>
      <c r="HBH74" s="545"/>
      <c r="HBI74" s="545"/>
      <c r="HBJ74" s="545"/>
      <c r="HBK74" s="545"/>
      <c r="HBL74" s="545"/>
      <c r="HBM74" s="545"/>
      <c r="HBN74" s="545"/>
      <c r="HBO74" s="545"/>
      <c r="HBP74" s="545"/>
      <c r="HBQ74" s="545"/>
      <c r="HBR74" s="545"/>
      <c r="HBS74" s="545"/>
      <c r="HBT74" s="545"/>
      <c r="HBU74" s="545"/>
      <c r="HBV74" s="545"/>
      <c r="HBW74" s="545"/>
      <c r="HBX74" s="545"/>
      <c r="HBY74" s="545"/>
      <c r="HBZ74" s="545"/>
      <c r="HCA74" s="545"/>
      <c r="HCB74" s="545"/>
      <c r="HCC74" s="545"/>
      <c r="HCD74" s="545"/>
      <c r="HCE74" s="545"/>
      <c r="HCF74" s="545"/>
      <c r="HCG74" s="545"/>
      <c r="HCH74" s="545"/>
      <c r="HCI74" s="545"/>
      <c r="HCJ74" s="545"/>
      <c r="HCK74" s="545"/>
      <c r="HCL74" s="545"/>
      <c r="HCM74" s="545"/>
      <c r="HCN74" s="545"/>
      <c r="HCO74" s="545"/>
      <c r="HCP74" s="545"/>
      <c r="HCQ74" s="545"/>
      <c r="HCR74" s="545"/>
      <c r="HCS74" s="545"/>
      <c r="HCT74" s="545"/>
      <c r="HCU74" s="545"/>
      <c r="HCV74" s="545"/>
      <c r="HCW74" s="545"/>
      <c r="HCX74" s="545"/>
      <c r="HCY74" s="545"/>
      <c r="HCZ74" s="545"/>
      <c r="HDA74" s="545"/>
      <c r="HDB74" s="545"/>
      <c r="HDC74" s="545"/>
      <c r="HDD74" s="545"/>
      <c r="HDE74" s="545"/>
      <c r="HDF74" s="545"/>
      <c r="HDG74" s="545"/>
      <c r="HDH74" s="545"/>
      <c r="HDI74" s="545"/>
      <c r="HDJ74" s="545"/>
      <c r="HDK74" s="545"/>
      <c r="HDL74" s="545"/>
      <c r="HDM74" s="545"/>
      <c r="HDN74" s="545"/>
      <c r="HDO74" s="545"/>
      <c r="HDP74" s="545"/>
      <c r="HDQ74" s="545"/>
      <c r="HDR74" s="545"/>
      <c r="HDS74" s="545"/>
      <c r="HDT74" s="545"/>
      <c r="HDU74" s="545"/>
      <c r="HDV74" s="545"/>
      <c r="HDW74" s="545"/>
      <c r="HDX74" s="545"/>
      <c r="HDY74" s="545"/>
      <c r="HDZ74" s="545"/>
      <c r="HEA74" s="545"/>
      <c r="HEB74" s="545"/>
      <c r="HEC74" s="545"/>
      <c r="HED74" s="545"/>
      <c r="HEE74" s="545"/>
      <c r="HEF74" s="545"/>
      <c r="HEG74" s="545"/>
      <c r="HEH74" s="545"/>
      <c r="HEI74" s="545"/>
      <c r="HEJ74" s="545"/>
      <c r="HEK74" s="545"/>
      <c r="HEL74" s="545"/>
      <c r="HEM74" s="545"/>
      <c r="HEN74" s="545"/>
      <c r="HEO74" s="545"/>
      <c r="HEP74" s="545"/>
      <c r="HEQ74" s="545"/>
      <c r="HER74" s="545"/>
      <c r="HES74" s="545"/>
      <c r="HET74" s="545"/>
      <c r="HEU74" s="545"/>
      <c r="HEV74" s="545"/>
      <c r="HEW74" s="545"/>
      <c r="HEX74" s="545"/>
      <c r="HEY74" s="545"/>
      <c r="HEZ74" s="545"/>
      <c r="HFA74" s="545"/>
      <c r="HFB74" s="545"/>
      <c r="HFC74" s="545"/>
      <c r="HFD74" s="545"/>
      <c r="HFE74" s="545"/>
      <c r="HFF74" s="545"/>
      <c r="HFG74" s="545"/>
      <c r="HFH74" s="545"/>
      <c r="HFI74" s="545"/>
      <c r="HFJ74" s="545"/>
      <c r="HFK74" s="545"/>
      <c r="HFL74" s="545"/>
      <c r="HFM74" s="545"/>
      <c r="HFN74" s="545"/>
      <c r="HFO74" s="545"/>
      <c r="HFP74" s="545"/>
      <c r="HFQ74" s="545"/>
      <c r="HFR74" s="545"/>
      <c r="HFS74" s="545"/>
      <c r="HFT74" s="545"/>
      <c r="HFU74" s="545"/>
      <c r="HFV74" s="545"/>
      <c r="HFW74" s="545"/>
      <c r="HFX74" s="545"/>
      <c r="HFY74" s="545"/>
      <c r="HFZ74" s="545"/>
      <c r="HGA74" s="545"/>
      <c r="HGB74" s="545"/>
      <c r="HGC74" s="545"/>
      <c r="HGD74" s="545"/>
      <c r="HGE74" s="545"/>
      <c r="HGF74" s="545"/>
      <c r="HGG74" s="545"/>
      <c r="HGH74" s="545"/>
      <c r="HGI74" s="545"/>
      <c r="HGJ74" s="545"/>
      <c r="HGK74" s="545"/>
      <c r="HGL74" s="545"/>
      <c r="HGM74" s="545"/>
      <c r="HGN74" s="545"/>
      <c r="HGO74" s="545"/>
      <c r="HGP74" s="545"/>
      <c r="HGQ74" s="545"/>
      <c r="HGR74" s="545"/>
      <c r="HGS74" s="545"/>
      <c r="HGT74" s="545"/>
      <c r="HGU74" s="545"/>
      <c r="HGV74" s="545"/>
      <c r="HGW74" s="545"/>
      <c r="HGX74" s="545"/>
      <c r="HGY74" s="545"/>
      <c r="HGZ74" s="545"/>
      <c r="HHA74" s="545"/>
      <c r="HHB74" s="545"/>
      <c r="HHC74" s="545"/>
      <c r="HHD74" s="545"/>
      <c r="HHE74" s="545"/>
      <c r="HHF74" s="545"/>
      <c r="HHG74" s="545"/>
      <c r="HHH74" s="545"/>
      <c r="HHI74" s="545"/>
      <c r="HHJ74" s="545"/>
      <c r="HHK74" s="545"/>
      <c r="HHL74" s="545"/>
      <c r="HHM74" s="545"/>
      <c r="HHN74" s="545"/>
      <c r="HHO74" s="545"/>
      <c r="HHP74" s="545"/>
      <c r="HHQ74" s="545"/>
      <c r="HHR74" s="545"/>
      <c r="HHS74" s="545"/>
      <c r="HHT74" s="545"/>
      <c r="HHU74" s="545"/>
      <c r="HHV74" s="545"/>
      <c r="HHW74" s="545"/>
      <c r="HHX74" s="545"/>
      <c r="HHY74" s="545"/>
      <c r="HHZ74" s="545"/>
      <c r="HIA74" s="545"/>
      <c r="HIB74" s="545"/>
      <c r="HIC74" s="545"/>
      <c r="HID74" s="545"/>
      <c r="HIE74" s="545"/>
      <c r="HIF74" s="545"/>
      <c r="HIG74" s="545"/>
      <c r="HIH74" s="545"/>
      <c r="HII74" s="545"/>
      <c r="HIJ74" s="545"/>
      <c r="HIK74" s="545"/>
      <c r="HIL74" s="545"/>
      <c r="HIM74" s="545"/>
      <c r="HIN74" s="545"/>
      <c r="HIO74" s="545"/>
      <c r="HIP74" s="545"/>
      <c r="HIQ74" s="545"/>
      <c r="HIR74" s="545"/>
      <c r="HIS74" s="545"/>
      <c r="HIT74" s="545"/>
      <c r="HIU74" s="545"/>
      <c r="HIV74" s="545"/>
      <c r="HIW74" s="545"/>
      <c r="HIX74" s="545"/>
      <c r="HIY74" s="545"/>
      <c r="HIZ74" s="545"/>
      <c r="HJA74" s="545"/>
      <c r="HJB74" s="545"/>
      <c r="HJC74" s="545"/>
      <c r="HJD74" s="545"/>
      <c r="HJE74" s="545"/>
      <c r="HJF74" s="545"/>
      <c r="HJG74" s="545"/>
      <c r="HJH74" s="545"/>
      <c r="HJI74" s="545"/>
      <c r="HJJ74" s="545"/>
      <c r="HJK74" s="545"/>
      <c r="HJL74" s="545"/>
      <c r="HJM74" s="545"/>
      <c r="HJN74" s="545"/>
      <c r="HJO74" s="545"/>
      <c r="HJP74" s="545"/>
      <c r="HJQ74" s="545"/>
      <c r="HJR74" s="545"/>
      <c r="HJS74" s="545"/>
      <c r="HJT74" s="545"/>
      <c r="HJU74" s="545"/>
      <c r="HJV74" s="545"/>
      <c r="HJW74" s="545"/>
      <c r="HJX74" s="545"/>
      <c r="HJY74" s="545"/>
      <c r="HJZ74" s="545"/>
      <c r="HKA74" s="545"/>
      <c r="HKB74" s="545"/>
      <c r="HKC74" s="545"/>
      <c r="HKD74" s="545"/>
      <c r="HKE74" s="545"/>
      <c r="HKF74" s="545"/>
      <c r="HKG74" s="545"/>
      <c r="HKH74" s="545"/>
      <c r="HKI74" s="545"/>
      <c r="HKJ74" s="545"/>
      <c r="HKK74" s="545"/>
      <c r="HKL74" s="545"/>
      <c r="HKM74" s="545"/>
      <c r="HKN74" s="545"/>
      <c r="HKO74" s="545"/>
      <c r="HKP74" s="545"/>
      <c r="HKQ74" s="545"/>
      <c r="HKR74" s="545"/>
      <c r="HKS74" s="545"/>
      <c r="HKT74" s="545"/>
      <c r="HKU74" s="545"/>
      <c r="HKV74" s="545"/>
      <c r="HKW74" s="545"/>
      <c r="HKX74" s="545"/>
      <c r="HKY74" s="545"/>
      <c r="HKZ74" s="545"/>
      <c r="HLA74" s="545"/>
      <c r="HLB74" s="545"/>
      <c r="HLC74" s="545"/>
      <c r="HLD74" s="545"/>
      <c r="HLE74" s="545"/>
      <c r="HLF74" s="545"/>
      <c r="HLG74" s="545"/>
      <c r="HLH74" s="545"/>
      <c r="HLI74" s="545"/>
      <c r="HLJ74" s="545"/>
      <c r="HLK74" s="545"/>
      <c r="HLL74" s="545"/>
      <c r="HLM74" s="545"/>
      <c r="HLN74" s="545"/>
      <c r="HLO74" s="545"/>
      <c r="HLP74" s="545"/>
      <c r="HLQ74" s="545"/>
      <c r="HLR74" s="545"/>
      <c r="HLS74" s="545"/>
      <c r="HLT74" s="545"/>
      <c r="HLU74" s="545"/>
      <c r="HLV74" s="545"/>
      <c r="HLW74" s="545"/>
      <c r="HLX74" s="545"/>
      <c r="HLY74" s="545"/>
      <c r="HLZ74" s="545"/>
      <c r="HMA74" s="545"/>
      <c r="HMB74" s="545"/>
      <c r="HMC74" s="545"/>
      <c r="HMD74" s="545"/>
      <c r="HME74" s="545"/>
      <c r="HMF74" s="545"/>
      <c r="HMG74" s="545"/>
      <c r="HMH74" s="545"/>
      <c r="HMI74" s="545"/>
      <c r="HMJ74" s="545"/>
      <c r="HMK74" s="545"/>
      <c r="HML74" s="545"/>
      <c r="HMM74" s="545"/>
      <c r="HMN74" s="545"/>
      <c r="HMO74" s="545"/>
      <c r="HMP74" s="545"/>
      <c r="HMQ74" s="545"/>
      <c r="HMR74" s="545"/>
      <c r="HMS74" s="545"/>
      <c r="HMT74" s="545"/>
      <c r="HMU74" s="545"/>
      <c r="HMV74" s="545"/>
      <c r="HMW74" s="545"/>
      <c r="HMX74" s="545"/>
      <c r="HMY74" s="545"/>
      <c r="HMZ74" s="545"/>
      <c r="HNA74" s="545"/>
      <c r="HNB74" s="545"/>
      <c r="HNC74" s="545"/>
      <c r="HND74" s="545"/>
      <c r="HNE74" s="545"/>
      <c r="HNF74" s="545"/>
      <c r="HNG74" s="545"/>
      <c r="HNH74" s="545"/>
      <c r="HNI74" s="545"/>
      <c r="HNJ74" s="545"/>
      <c r="HNK74" s="545"/>
      <c r="HNL74" s="545"/>
      <c r="HNM74" s="545"/>
      <c r="HNN74" s="545"/>
      <c r="HNO74" s="545"/>
      <c r="HNP74" s="545"/>
      <c r="HNQ74" s="545"/>
      <c r="HNR74" s="545"/>
      <c r="HNS74" s="545"/>
      <c r="HNT74" s="545"/>
      <c r="HNU74" s="545"/>
      <c r="HNV74" s="545"/>
      <c r="HNW74" s="545"/>
      <c r="HNX74" s="545"/>
      <c r="HNY74" s="545"/>
      <c r="HNZ74" s="545"/>
      <c r="HOA74" s="545"/>
      <c r="HOB74" s="545"/>
      <c r="HOC74" s="545"/>
      <c r="HOD74" s="545"/>
      <c r="HOE74" s="545"/>
      <c r="HOF74" s="545"/>
      <c r="HOG74" s="545"/>
      <c r="HOH74" s="545"/>
      <c r="HOI74" s="545"/>
      <c r="HOJ74" s="545"/>
      <c r="HOK74" s="545"/>
      <c r="HOL74" s="545"/>
      <c r="HOM74" s="545"/>
      <c r="HON74" s="545"/>
      <c r="HOO74" s="545"/>
      <c r="HOP74" s="545"/>
      <c r="HOQ74" s="545"/>
      <c r="HOR74" s="545"/>
      <c r="HOS74" s="545"/>
      <c r="HOT74" s="545"/>
      <c r="HOU74" s="545"/>
      <c r="HOV74" s="545"/>
      <c r="HOW74" s="545"/>
      <c r="HOX74" s="545"/>
      <c r="HOY74" s="545"/>
      <c r="HOZ74" s="545"/>
      <c r="HPA74" s="545"/>
      <c r="HPB74" s="545"/>
      <c r="HPC74" s="545"/>
      <c r="HPD74" s="545"/>
      <c r="HPE74" s="545"/>
      <c r="HPF74" s="545"/>
      <c r="HPG74" s="545"/>
      <c r="HPH74" s="545"/>
      <c r="HPI74" s="545"/>
      <c r="HPJ74" s="545"/>
      <c r="HPK74" s="545"/>
      <c r="HPL74" s="545"/>
      <c r="HPM74" s="545"/>
      <c r="HPN74" s="545"/>
      <c r="HPO74" s="545"/>
      <c r="HPP74" s="545"/>
      <c r="HPQ74" s="545"/>
      <c r="HPR74" s="545"/>
      <c r="HPS74" s="545"/>
      <c r="HPT74" s="545"/>
      <c r="HPU74" s="545"/>
      <c r="HPV74" s="545"/>
      <c r="HPW74" s="545"/>
      <c r="HPX74" s="545"/>
      <c r="HPY74" s="545"/>
      <c r="HPZ74" s="545"/>
      <c r="HQA74" s="545"/>
      <c r="HQB74" s="545"/>
      <c r="HQC74" s="545"/>
      <c r="HQD74" s="545"/>
      <c r="HQE74" s="545"/>
      <c r="HQF74" s="545"/>
      <c r="HQG74" s="545"/>
      <c r="HQH74" s="545"/>
      <c r="HQI74" s="545"/>
      <c r="HQJ74" s="545"/>
      <c r="HQK74" s="545"/>
      <c r="HQL74" s="545"/>
      <c r="HQM74" s="545"/>
      <c r="HQN74" s="545"/>
      <c r="HQO74" s="545"/>
      <c r="HQP74" s="545"/>
      <c r="HQQ74" s="545"/>
      <c r="HQR74" s="545"/>
      <c r="HQS74" s="545"/>
      <c r="HQT74" s="545"/>
      <c r="HQU74" s="545"/>
      <c r="HQV74" s="545"/>
      <c r="HQW74" s="545"/>
      <c r="HQX74" s="545"/>
      <c r="HQY74" s="545"/>
      <c r="HQZ74" s="545"/>
      <c r="HRA74" s="545"/>
      <c r="HRB74" s="545"/>
      <c r="HRC74" s="545"/>
      <c r="HRD74" s="545"/>
      <c r="HRE74" s="545"/>
      <c r="HRF74" s="545"/>
      <c r="HRG74" s="545"/>
      <c r="HRH74" s="545"/>
      <c r="HRI74" s="545"/>
      <c r="HRJ74" s="545"/>
      <c r="HRK74" s="545"/>
      <c r="HRL74" s="545"/>
      <c r="HRM74" s="545"/>
      <c r="HRN74" s="545"/>
      <c r="HRO74" s="545"/>
      <c r="HRP74" s="545"/>
      <c r="HRQ74" s="545"/>
      <c r="HRR74" s="545"/>
      <c r="HRS74" s="545"/>
      <c r="HRT74" s="545"/>
      <c r="HRU74" s="545"/>
      <c r="HRV74" s="545"/>
      <c r="HRW74" s="545"/>
      <c r="HRX74" s="545"/>
      <c r="HRY74" s="545"/>
      <c r="HRZ74" s="545"/>
      <c r="HSA74" s="545"/>
      <c r="HSB74" s="545"/>
      <c r="HSC74" s="545"/>
      <c r="HSD74" s="545"/>
      <c r="HSE74" s="545"/>
      <c r="HSF74" s="545"/>
      <c r="HSG74" s="545"/>
      <c r="HSH74" s="545"/>
      <c r="HSI74" s="545"/>
      <c r="HSJ74" s="545"/>
      <c r="HSK74" s="545"/>
      <c r="HSL74" s="545"/>
      <c r="HSM74" s="545"/>
      <c r="HSN74" s="545"/>
      <c r="HSO74" s="545"/>
      <c r="HSP74" s="545"/>
      <c r="HSQ74" s="545"/>
      <c r="HSR74" s="545"/>
      <c r="HSS74" s="545"/>
      <c r="HST74" s="545"/>
      <c r="HSU74" s="545"/>
      <c r="HSV74" s="545"/>
      <c r="HSW74" s="545"/>
      <c r="HSX74" s="545"/>
      <c r="HSY74" s="545"/>
      <c r="HSZ74" s="545"/>
      <c r="HTA74" s="545"/>
      <c r="HTB74" s="545"/>
      <c r="HTC74" s="545"/>
      <c r="HTD74" s="545"/>
      <c r="HTE74" s="545"/>
      <c r="HTF74" s="545"/>
      <c r="HTG74" s="545"/>
      <c r="HTH74" s="545"/>
      <c r="HTI74" s="545"/>
      <c r="HTJ74" s="545"/>
      <c r="HTK74" s="545"/>
      <c r="HTL74" s="545"/>
      <c r="HTM74" s="545"/>
      <c r="HTN74" s="545"/>
      <c r="HTO74" s="545"/>
      <c r="HTP74" s="545"/>
      <c r="HTQ74" s="545"/>
      <c r="HTR74" s="545"/>
      <c r="HTS74" s="545"/>
      <c r="HTT74" s="545"/>
      <c r="HTU74" s="545"/>
      <c r="HTV74" s="545"/>
      <c r="HTW74" s="545"/>
      <c r="HTX74" s="545"/>
      <c r="HTY74" s="545"/>
      <c r="HTZ74" s="545"/>
      <c r="HUA74" s="545"/>
      <c r="HUB74" s="545"/>
      <c r="HUC74" s="545"/>
      <c r="HUD74" s="545"/>
      <c r="HUE74" s="545"/>
      <c r="HUF74" s="545"/>
      <c r="HUG74" s="545"/>
      <c r="HUH74" s="545"/>
      <c r="HUI74" s="545"/>
      <c r="HUJ74" s="545"/>
      <c r="HUK74" s="545"/>
      <c r="HUL74" s="545"/>
      <c r="HUM74" s="545"/>
      <c r="HUN74" s="545"/>
      <c r="HUO74" s="545"/>
      <c r="HUP74" s="545"/>
      <c r="HUQ74" s="545"/>
      <c r="HUR74" s="545"/>
      <c r="HUS74" s="545"/>
      <c r="HUT74" s="545"/>
      <c r="HUU74" s="545"/>
      <c r="HUV74" s="545"/>
      <c r="HUW74" s="545"/>
      <c r="HUX74" s="545"/>
      <c r="HUY74" s="545"/>
      <c r="HUZ74" s="545"/>
      <c r="HVA74" s="545"/>
      <c r="HVB74" s="545"/>
      <c r="HVC74" s="545"/>
      <c r="HVD74" s="545"/>
      <c r="HVE74" s="545"/>
      <c r="HVF74" s="545"/>
      <c r="HVG74" s="545"/>
      <c r="HVH74" s="545"/>
      <c r="HVI74" s="545"/>
      <c r="HVJ74" s="545"/>
      <c r="HVK74" s="545"/>
      <c r="HVL74" s="545"/>
      <c r="HVM74" s="545"/>
      <c r="HVN74" s="545"/>
      <c r="HVO74" s="545"/>
      <c r="HVP74" s="545"/>
      <c r="HVQ74" s="545"/>
      <c r="HVR74" s="545"/>
      <c r="HVS74" s="545"/>
      <c r="HVT74" s="545"/>
      <c r="HVU74" s="545"/>
      <c r="HVV74" s="545"/>
      <c r="HVW74" s="545"/>
      <c r="HVX74" s="545"/>
      <c r="HVY74" s="545"/>
      <c r="HVZ74" s="545"/>
      <c r="HWA74" s="545"/>
      <c r="HWB74" s="545"/>
      <c r="HWC74" s="545"/>
      <c r="HWD74" s="545"/>
      <c r="HWE74" s="545"/>
      <c r="HWF74" s="545"/>
      <c r="HWG74" s="545"/>
      <c r="HWH74" s="545"/>
      <c r="HWI74" s="545"/>
      <c r="HWJ74" s="545"/>
      <c r="HWK74" s="545"/>
      <c r="HWL74" s="545"/>
      <c r="HWM74" s="545"/>
      <c r="HWN74" s="545"/>
      <c r="HWO74" s="545"/>
      <c r="HWP74" s="545"/>
      <c r="HWQ74" s="545"/>
      <c r="HWR74" s="545"/>
      <c r="HWS74" s="545"/>
      <c r="HWT74" s="545"/>
      <c r="HWU74" s="545"/>
      <c r="HWV74" s="545"/>
      <c r="HWW74" s="545"/>
      <c r="HWX74" s="545"/>
      <c r="HWY74" s="545"/>
      <c r="HWZ74" s="545"/>
      <c r="HXA74" s="545"/>
      <c r="HXB74" s="545"/>
      <c r="HXC74" s="545"/>
      <c r="HXD74" s="545"/>
      <c r="HXE74" s="545"/>
      <c r="HXF74" s="545"/>
      <c r="HXG74" s="545"/>
      <c r="HXH74" s="545"/>
      <c r="HXI74" s="545"/>
      <c r="HXJ74" s="545"/>
      <c r="HXK74" s="545"/>
      <c r="HXL74" s="545"/>
      <c r="HXM74" s="545"/>
      <c r="HXN74" s="545"/>
      <c r="HXO74" s="545"/>
      <c r="HXP74" s="545"/>
      <c r="HXQ74" s="545"/>
      <c r="HXR74" s="545"/>
      <c r="HXS74" s="545"/>
      <c r="HXT74" s="545"/>
      <c r="HXU74" s="545"/>
      <c r="HXV74" s="545"/>
      <c r="HXW74" s="545"/>
      <c r="HXX74" s="545"/>
      <c r="HXY74" s="545"/>
      <c r="HXZ74" s="545"/>
      <c r="HYA74" s="545"/>
      <c r="HYB74" s="545"/>
      <c r="HYC74" s="545"/>
      <c r="HYD74" s="545"/>
      <c r="HYE74" s="545"/>
      <c r="HYF74" s="545"/>
      <c r="HYG74" s="545"/>
      <c r="HYH74" s="545"/>
      <c r="HYI74" s="545"/>
      <c r="HYJ74" s="545"/>
      <c r="HYK74" s="545"/>
      <c r="HYL74" s="545"/>
      <c r="HYM74" s="545"/>
      <c r="HYN74" s="545"/>
      <c r="HYO74" s="545"/>
      <c r="HYP74" s="545"/>
      <c r="HYQ74" s="545"/>
      <c r="HYR74" s="545"/>
      <c r="HYS74" s="545"/>
      <c r="HYT74" s="545"/>
      <c r="HYU74" s="545"/>
      <c r="HYV74" s="545"/>
      <c r="HYW74" s="545"/>
      <c r="HYX74" s="545"/>
      <c r="HYY74" s="545"/>
      <c r="HYZ74" s="545"/>
      <c r="HZA74" s="545"/>
      <c r="HZB74" s="545"/>
      <c r="HZC74" s="545"/>
      <c r="HZD74" s="545"/>
      <c r="HZE74" s="545"/>
      <c r="HZF74" s="545"/>
      <c r="HZG74" s="545"/>
      <c r="HZH74" s="545"/>
      <c r="HZI74" s="545"/>
      <c r="HZJ74" s="545"/>
      <c r="HZK74" s="545"/>
      <c r="HZL74" s="545"/>
      <c r="HZM74" s="545"/>
      <c r="HZN74" s="545"/>
      <c r="HZO74" s="545"/>
      <c r="HZP74" s="545"/>
      <c r="HZQ74" s="545"/>
      <c r="HZR74" s="545"/>
      <c r="HZS74" s="545"/>
      <c r="HZT74" s="545"/>
      <c r="HZU74" s="545"/>
      <c r="HZV74" s="545"/>
      <c r="HZW74" s="545"/>
      <c r="HZX74" s="545"/>
      <c r="HZY74" s="545"/>
      <c r="HZZ74" s="545"/>
      <c r="IAA74" s="545"/>
      <c r="IAB74" s="545"/>
      <c r="IAC74" s="545"/>
      <c r="IAD74" s="545"/>
      <c r="IAE74" s="545"/>
      <c r="IAF74" s="545"/>
      <c r="IAG74" s="545"/>
      <c r="IAH74" s="545"/>
      <c r="IAI74" s="545"/>
      <c r="IAJ74" s="545"/>
      <c r="IAK74" s="545"/>
      <c r="IAL74" s="545"/>
      <c r="IAM74" s="545"/>
      <c r="IAN74" s="545"/>
      <c r="IAO74" s="545"/>
      <c r="IAP74" s="545"/>
      <c r="IAQ74" s="545"/>
      <c r="IAR74" s="545"/>
      <c r="IAS74" s="545"/>
      <c r="IAT74" s="545"/>
      <c r="IAU74" s="545"/>
      <c r="IAV74" s="545"/>
      <c r="IAW74" s="545"/>
      <c r="IAX74" s="545"/>
      <c r="IAY74" s="545"/>
      <c r="IAZ74" s="545"/>
      <c r="IBA74" s="545"/>
      <c r="IBB74" s="545"/>
      <c r="IBC74" s="545"/>
      <c r="IBD74" s="545"/>
      <c r="IBE74" s="545"/>
      <c r="IBF74" s="545"/>
      <c r="IBG74" s="545"/>
      <c r="IBH74" s="545"/>
      <c r="IBI74" s="545"/>
      <c r="IBJ74" s="545"/>
      <c r="IBK74" s="545"/>
      <c r="IBL74" s="545"/>
      <c r="IBM74" s="545"/>
      <c r="IBN74" s="545"/>
      <c r="IBO74" s="545"/>
      <c r="IBP74" s="545"/>
      <c r="IBQ74" s="545"/>
      <c r="IBR74" s="545"/>
      <c r="IBS74" s="545"/>
      <c r="IBT74" s="545"/>
      <c r="IBU74" s="545"/>
      <c r="IBV74" s="545"/>
      <c r="IBW74" s="545"/>
      <c r="IBX74" s="545"/>
      <c r="IBY74" s="545"/>
      <c r="IBZ74" s="545"/>
      <c r="ICA74" s="545"/>
      <c r="ICB74" s="545"/>
      <c r="ICC74" s="545"/>
      <c r="ICD74" s="545"/>
      <c r="ICE74" s="545"/>
      <c r="ICF74" s="545"/>
      <c r="ICG74" s="545"/>
      <c r="ICH74" s="545"/>
      <c r="ICI74" s="545"/>
      <c r="ICJ74" s="545"/>
      <c r="ICK74" s="545"/>
      <c r="ICL74" s="545"/>
      <c r="ICM74" s="545"/>
      <c r="ICN74" s="545"/>
      <c r="ICO74" s="545"/>
      <c r="ICP74" s="545"/>
      <c r="ICQ74" s="545"/>
      <c r="ICR74" s="545"/>
      <c r="ICS74" s="545"/>
      <c r="ICT74" s="545"/>
      <c r="ICU74" s="545"/>
      <c r="ICV74" s="545"/>
      <c r="ICW74" s="545"/>
      <c r="ICX74" s="545"/>
      <c r="ICY74" s="545"/>
      <c r="ICZ74" s="545"/>
      <c r="IDA74" s="545"/>
      <c r="IDB74" s="545"/>
      <c r="IDC74" s="545"/>
      <c r="IDD74" s="545"/>
      <c r="IDE74" s="545"/>
      <c r="IDF74" s="545"/>
      <c r="IDG74" s="545"/>
      <c r="IDH74" s="545"/>
      <c r="IDI74" s="545"/>
      <c r="IDJ74" s="545"/>
      <c r="IDK74" s="545"/>
      <c r="IDL74" s="545"/>
      <c r="IDM74" s="545"/>
      <c r="IDN74" s="545"/>
      <c r="IDO74" s="545"/>
      <c r="IDP74" s="545"/>
      <c r="IDQ74" s="545"/>
      <c r="IDR74" s="545"/>
      <c r="IDS74" s="545"/>
      <c r="IDT74" s="545"/>
      <c r="IDU74" s="545"/>
      <c r="IDV74" s="545"/>
      <c r="IDW74" s="545"/>
      <c r="IDX74" s="545"/>
      <c r="IDY74" s="545"/>
      <c r="IDZ74" s="545"/>
      <c r="IEA74" s="545"/>
      <c r="IEB74" s="545"/>
      <c r="IEC74" s="545"/>
      <c r="IED74" s="545"/>
      <c r="IEE74" s="545"/>
      <c r="IEF74" s="545"/>
      <c r="IEG74" s="545"/>
      <c r="IEH74" s="545"/>
      <c r="IEI74" s="545"/>
      <c r="IEJ74" s="545"/>
      <c r="IEK74" s="545"/>
      <c r="IEL74" s="545"/>
      <c r="IEM74" s="545"/>
      <c r="IEN74" s="545"/>
      <c r="IEO74" s="545"/>
      <c r="IEP74" s="545"/>
      <c r="IEQ74" s="545"/>
      <c r="IER74" s="545"/>
      <c r="IES74" s="545"/>
      <c r="IET74" s="545"/>
      <c r="IEU74" s="545"/>
      <c r="IEV74" s="545"/>
      <c r="IEW74" s="545"/>
      <c r="IEX74" s="545"/>
      <c r="IEY74" s="545"/>
      <c r="IEZ74" s="545"/>
      <c r="IFA74" s="545"/>
      <c r="IFB74" s="545"/>
      <c r="IFC74" s="545"/>
      <c r="IFD74" s="545"/>
      <c r="IFE74" s="545"/>
      <c r="IFF74" s="545"/>
      <c r="IFG74" s="545"/>
      <c r="IFH74" s="545"/>
      <c r="IFI74" s="545"/>
      <c r="IFJ74" s="545"/>
      <c r="IFK74" s="545"/>
      <c r="IFL74" s="545"/>
      <c r="IFM74" s="545"/>
      <c r="IFN74" s="545"/>
      <c r="IFO74" s="545"/>
      <c r="IFP74" s="545"/>
      <c r="IFQ74" s="545"/>
      <c r="IFR74" s="545"/>
      <c r="IFS74" s="545"/>
      <c r="IFT74" s="545"/>
      <c r="IFU74" s="545"/>
      <c r="IFV74" s="545"/>
      <c r="IFW74" s="545"/>
      <c r="IFX74" s="545"/>
      <c r="IFY74" s="545"/>
      <c r="IFZ74" s="545"/>
      <c r="IGA74" s="545"/>
      <c r="IGB74" s="545"/>
      <c r="IGC74" s="545"/>
      <c r="IGD74" s="545"/>
      <c r="IGE74" s="545"/>
      <c r="IGF74" s="545"/>
      <c r="IGG74" s="545"/>
      <c r="IGH74" s="545"/>
      <c r="IGI74" s="545"/>
      <c r="IGJ74" s="545"/>
      <c r="IGK74" s="545"/>
      <c r="IGL74" s="545"/>
      <c r="IGM74" s="545"/>
      <c r="IGN74" s="545"/>
      <c r="IGO74" s="545"/>
      <c r="IGP74" s="545"/>
      <c r="IGQ74" s="545"/>
      <c r="IGR74" s="545"/>
      <c r="IGS74" s="545"/>
      <c r="IGT74" s="545"/>
      <c r="IGU74" s="545"/>
      <c r="IGV74" s="545"/>
      <c r="IGW74" s="545"/>
      <c r="IGX74" s="545"/>
      <c r="IGY74" s="545"/>
      <c r="IGZ74" s="545"/>
      <c r="IHA74" s="545"/>
      <c r="IHB74" s="545"/>
      <c r="IHC74" s="545"/>
      <c r="IHD74" s="545"/>
      <c r="IHE74" s="545"/>
      <c r="IHF74" s="545"/>
      <c r="IHG74" s="545"/>
      <c r="IHH74" s="545"/>
      <c r="IHI74" s="545"/>
      <c r="IHJ74" s="545"/>
      <c r="IHK74" s="545"/>
      <c r="IHL74" s="545"/>
      <c r="IHM74" s="545"/>
      <c r="IHN74" s="545"/>
      <c r="IHO74" s="545"/>
      <c r="IHP74" s="545"/>
      <c r="IHQ74" s="545"/>
      <c r="IHR74" s="545"/>
      <c r="IHS74" s="545"/>
      <c r="IHT74" s="545"/>
      <c r="IHU74" s="545"/>
      <c r="IHV74" s="545"/>
      <c r="IHW74" s="545"/>
      <c r="IHX74" s="545"/>
      <c r="IHY74" s="545"/>
      <c r="IHZ74" s="545"/>
      <c r="IIA74" s="545"/>
      <c r="IIB74" s="545"/>
      <c r="IIC74" s="545"/>
      <c r="IID74" s="545"/>
      <c r="IIE74" s="545"/>
      <c r="IIF74" s="545"/>
      <c r="IIG74" s="545"/>
      <c r="IIH74" s="545"/>
      <c r="III74" s="545"/>
      <c r="IIJ74" s="545"/>
      <c r="IIK74" s="545"/>
      <c r="IIL74" s="545"/>
      <c r="IIM74" s="545"/>
      <c r="IIN74" s="545"/>
      <c r="IIO74" s="545"/>
      <c r="IIP74" s="545"/>
      <c r="IIQ74" s="545"/>
      <c r="IIR74" s="545"/>
      <c r="IIS74" s="545"/>
      <c r="IIT74" s="545"/>
      <c r="IIU74" s="545"/>
      <c r="IIV74" s="545"/>
      <c r="IIW74" s="545"/>
      <c r="IIX74" s="545"/>
      <c r="IIY74" s="545"/>
      <c r="IIZ74" s="545"/>
      <c r="IJA74" s="545"/>
      <c r="IJB74" s="545"/>
      <c r="IJC74" s="545"/>
      <c r="IJD74" s="545"/>
      <c r="IJE74" s="545"/>
      <c r="IJF74" s="545"/>
      <c r="IJG74" s="545"/>
      <c r="IJH74" s="545"/>
      <c r="IJI74" s="545"/>
      <c r="IJJ74" s="545"/>
      <c r="IJK74" s="545"/>
      <c r="IJL74" s="545"/>
      <c r="IJM74" s="545"/>
      <c r="IJN74" s="545"/>
      <c r="IJO74" s="545"/>
      <c r="IJP74" s="545"/>
      <c r="IJQ74" s="545"/>
      <c r="IJR74" s="545"/>
      <c r="IJS74" s="545"/>
      <c r="IJT74" s="545"/>
      <c r="IJU74" s="545"/>
      <c r="IJV74" s="545"/>
      <c r="IJW74" s="545"/>
      <c r="IJX74" s="545"/>
      <c r="IJY74" s="545"/>
      <c r="IJZ74" s="545"/>
      <c r="IKA74" s="545"/>
      <c r="IKB74" s="545"/>
      <c r="IKC74" s="545"/>
      <c r="IKD74" s="545"/>
      <c r="IKE74" s="545"/>
      <c r="IKF74" s="545"/>
      <c r="IKG74" s="545"/>
      <c r="IKH74" s="545"/>
      <c r="IKI74" s="545"/>
      <c r="IKJ74" s="545"/>
      <c r="IKK74" s="545"/>
      <c r="IKL74" s="545"/>
      <c r="IKM74" s="545"/>
      <c r="IKN74" s="545"/>
      <c r="IKO74" s="545"/>
      <c r="IKP74" s="545"/>
      <c r="IKQ74" s="545"/>
      <c r="IKR74" s="545"/>
      <c r="IKS74" s="545"/>
      <c r="IKT74" s="545"/>
      <c r="IKU74" s="545"/>
      <c r="IKV74" s="545"/>
      <c r="IKW74" s="545"/>
      <c r="IKX74" s="545"/>
      <c r="IKY74" s="545"/>
      <c r="IKZ74" s="545"/>
      <c r="ILA74" s="545"/>
      <c r="ILB74" s="545"/>
      <c r="ILC74" s="545"/>
      <c r="ILD74" s="545"/>
      <c r="ILE74" s="545"/>
      <c r="ILF74" s="545"/>
      <c r="ILG74" s="545"/>
      <c r="ILH74" s="545"/>
      <c r="ILI74" s="545"/>
      <c r="ILJ74" s="545"/>
      <c r="ILK74" s="545"/>
      <c r="ILL74" s="545"/>
      <c r="ILM74" s="545"/>
      <c r="ILN74" s="545"/>
      <c r="ILO74" s="545"/>
      <c r="ILP74" s="545"/>
      <c r="ILQ74" s="545"/>
      <c r="ILR74" s="545"/>
      <c r="ILS74" s="545"/>
      <c r="ILT74" s="545"/>
      <c r="ILU74" s="545"/>
      <c r="ILV74" s="545"/>
      <c r="ILW74" s="545"/>
      <c r="ILX74" s="545"/>
      <c r="ILY74" s="545"/>
      <c r="ILZ74" s="545"/>
      <c r="IMA74" s="545"/>
      <c r="IMB74" s="545"/>
      <c r="IMC74" s="545"/>
      <c r="IMD74" s="545"/>
      <c r="IME74" s="545"/>
      <c r="IMF74" s="545"/>
      <c r="IMG74" s="545"/>
      <c r="IMH74" s="545"/>
      <c r="IMI74" s="545"/>
      <c r="IMJ74" s="545"/>
      <c r="IMK74" s="545"/>
      <c r="IML74" s="545"/>
      <c r="IMM74" s="545"/>
      <c r="IMN74" s="545"/>
      <c r="IMO74" s="545"/>
      <c r="IMP74" s="545"/>
      <c r="IMQ74" s="545"/>
      <c r="IMR74" s="545"/>
      <c r="IMS74" s="545"/>
      <c r="IMT74" s="545"/>
      <c r="IMU74" s="545"/>
      <c r="IMV74" s="545"/>
      <c r="IMW74" s="545"/>
      <c r="IMX74" s="545"/>
      <c r="IMY74" s="545"/>
      <c r="IMZ74" s="545"/>
      <c r="INA74" s="545"/>
      <c r="INB74" s="545"/>
      <c r="INC74" s="545"/>
      <c r="IND74" s="545"/>
      <c r="INE74" s="545"/>
      <c r="INF74" s="545"/>
      <c r="ING74" s="545"/>
      <c r="INH74" s="545"/>
      <c r="INI74" s="545"/>
      <c r="INJ74" s="545"/>
      <c r="INK74" s="545"/>
      <c r="INL74" s="545"/>
      <c r="INM74" s="545"/>
      <c r="INN74" s="545"/>
      <c r="INO74" s="545"/>
      <c r="INP74" s="545"/>
      <c r="INQ74" s="545"/>
      <c r="INR74" s="545"/>
      <c r="INS74" s="545"/>
      <c r="INT74" s="545"/>
      <c r="INU74" s="545"/>
      <c r="INV74" s="545"/>
      <c r="INW74" s="545"/>
      <c r="INX74" s="545"/>
      <c r="INY74" s="545"/>
      <c r="INZ74" s="545"/>
      <c r="IOA74" s="545"/>
      <c r="IOB74" s="545"/>
      <c r="IOC74" s="545"/>
      <c r="IOD74" s="545"/>
      <c r="IOE74" s="545"/>
      <c r="IOF74" s="545"/>
      <c r="IOG74" s="545"/>
      <c r="IOH74" s="545"/>
      <c r="IOI74" s="545"/>
      <c r="IOJ74" s="545"/>
      <c r="IOK74" s="545"/>
      <c r="IOL74" s="545"/>
      <c r="IOM74" s="545"/>
      <c r="ION74" s="545"/>
      <c r="IOO74" s="545"/>
      <c r="IOP74" s="545"/>
      <c r="IOQ74" s="545"/>
      <c r="IOR74" s="545"/>
      <c r="IOS74" s="545"/>
      <c r="IOT74" s="545"/>
      <c r="IOU74" s="545"/>
      <c r="IOV74" s="545"/>
      <c r="IOW74" s="545"/>
      <c r="IOX74" s="545"/>
      <c r="IOY74" s="545"/>
      <c r="IOZ74" s="545"/>
      <c r="IPA74" s="545"/>
      <c r="IPB74" s="545"/>
      <c r="IPC74" s="545"/>
      <c r="IPD74" s="545"/>
      <c r="IPE74" s="545"/>
      <c r="IPF74" s="545"/>
      <c r="IPG74" s="545"/>
      <c r="IPH74" s="545"/>
      <c r="IPI74" s="545"/>
      <c r="IPJ74" s="545"/>
      <c r="IPK74" s="545"/>
      <c r="IPL74" s="545"/>
      <c r="IPM74" s="545"/>
      <c r="IPN74" s="545"/>
      <c r="IPO74" s="545"/>
      <c r="IPP74" s="545"/>
      <c r="IPQ74" s="545"/>
      <c r="IPR74" s="545"/>
      <c r="IPS74" s="545"/>
      <c r="IPT74" s="545"/>
      <c r="IPU74" s="545"/>
      <c r="IPV74" s="545"/>
      <c r="IPW74" s="545"/>
      <c r="IPX74" s="545"/>
      <c r="IPY74" s="545"/>
      <c r="IPZ74" s="545"/>
      <c r="IQA74" s="545"/>
      <c r="IQB74" s="545"/>
      <c r="IQC74" s="545"/>
      <c r="IQD74" s="545"/>
      <c r="IQE74" s="545"/>
      <c r="IQF74" s="545"/>
      <c r="IQG74" s="545"/>
      <c r="IQH74" s="545"/>
      <c r="IQI74" s="545"/>
      <c r="IQJ74" s="545"/>
      <c r="IQK74" s="545"/>
      <c r="IQL74" s="545"/>
      <c r="IQM74" s="545"/>
      <c r="IQN74" s="545"/>
      <c r="IQO74" s="545"/>
      <c r="IQP74" s="545"/>
      <c r="IQQ74" s="545"/>
      <c r="IQR74" s="545"/>
      <c r="IQS74" s="545"/>
      <c r="IQT74" s="545"/>
      <c r="IQU74" s="545"/>
      <c r="IQV74" s="545"/>
      <c r="IQW74" s="545"/>
      <c r="IQX74" s="545"/>
      <c r="IQY74" s="545"/>
      <c r="IQZ74" s="545"/>
      <c r="IRA74" s="545"/>
      <c r="IRB74" s="545"/>
      <c r="IRC74" s="545"/>
      <c r="IRD74" s="545"/>
      <c r="IRE74" s="545"/>
      <c r="IRF74" s="545"/>
      <c r="IRG74" s="545"/>
      <c r="IRH74" s="545"/>
      <c r="IRI74" s="545"/>
      <c r="IRJ74" s="545"/>
      <c r="IRK74" s="545"/>
      <c r="IRL74" s="545"/>
      <c r="IRM74" s="545"/>
      <c r="IRN74" s="545"/>
      <c r="IRO74" s="545"/>
      <c r="IRP74" s="545"/>
      <c r="IRQ74" s="545"/>
      <c r="IRR74" s="545"/>
      <c r="IRS74" s="545"/>
      <c r="IRT74" s="545"/>
      <c r="IRU74" s="545"/>
      <c r="IRV74" s="545"/>
      <c r="IRW74" s="545"/>
      <c r="IRX74" s="545"/>
      <c r="IRY74" s="545"/>
      <c r="IRZ74" s="545"/>
      <c r="ISA74" s="545"/>
      <c r="ISB74" s="545"/>
      <c r="ISC74" s="545"/>
      <c r="ISD74" s="545"/>
      <c r="ISE74" s="545"/>
      <c r="ISF74" s="545"/>
      <c r="ISG74" s="545"/>
      <c r="ISH74" s="545"/>
      <c r="ISI74" s="545"/>
      <c r="ISJ74" s="545"/>
      <c r="ISK74" s="545"/>
      <c r="ISL74" s="545"/>
      <c r="ISM74" s="545"/>
      <c r="ISN74" s="545"/>
      <c r="ISO74" s="545"/>
      <c r="ISP74" s="545"/>
      <c r="ISQ74" s="545"/>
      <c r="ISR74" s="545"/>
      <c r="ISS74" s="545"/>
      <c r="IST74" s="545"/>
      <c r="ISU74" s="545"/>
      <c r="ISV74" s="545"/>
      <c r="ISW74" s="545"/>
      <c r="ISX74" s="545"/>
      <c r="ISY74" s="545"/>
      <c r="ISZ74" s="545"/>
      <c r="ITA74" s="545"/>
      <c r="ITB74" s="545"/>
      <c r="ITC74" s="545"/>
      <c r="ITD74" s="545"/>
      <c r="ITE74" s="545"/>
      <c r="ITF74" s="545"/>
      <c r="ITG74" s="545"/>
      <c r="ITH74" s="545"/>
      <c r="ITI74" s="545"/>
      <c r="ITJ74" s="545"/>
      <c r="ITK74" s="545"/>
      <c r="ITL74" s="545"/>
      <c r="ITM74" s="545"/>
      <c r="ITN74" s="545"/>
      <c r="ITO74" s="545"/>
      <c r="ITP74" s="545"/>
      <c r="ITQ74" s="545"/>
      <c r="ITR74" s="545"/>
      <c r="ITS74" s="545"/>
      <c r="ITT74" s="545"/>
      <c r="ITU74" s="545"/>
      <c r="ITV74" s="545"/>
      <c r="ITW74" s="545"/>
      <c r="ITX74" s="545"/>
      <c r="ITY74" s="545"/>
      <c r="ITZ74" s="545"/>
      <c r="IUA74" s="545"/>
      <c r="IUB74" s="545"/>
      <c r="IUC74" s="545"/>
      <c r="IUD74" s="545"/>
      <c r="IUE74" s="545"/>
      <c r="IUF74" s="545"/>
      <c r="IUG74" s="545"/>
      <c r="IUH74" s="545"/>
      <c r="IUI74" s="545"/>
      <c r="IUJ74" s="545"/>
      <c r="IUK74" s="545"/>
      <c r="IUL74" s="545"/>
      <c r="IUM74" s="545"/>
      <c r="IUN74" s="545"/>
      <c r="IUO74" s="545"/>
      <c r="IUP74" s="545"/>
      <c r="IUQ74" s="545"/>
      <c r="IUR74" s="545"/>
      <c r="IUS74" s="545"/>
      <c r="IUT74" s="545"/>
      <c r="IUU74" s="545"/>
      <c r="IUV74" s="545"/>
      <c r="IUW74" s="545"/>
      <c r="IUX74" s="545"/>
      <c r="IUY74" s="545"/>
      <c r="IUZ74" s="545"/>
      <c r="IVA74" s="545"/>
      <c r="IVB74" s="545"/>
      <c r="IVC74" s="545"/>
      <c r="IVD74" s="545"/>
      <c r="IVE74" s="545"/>
      <c r="IVF74" s="545"/>
      <c r="IVG74" s="545"/>
      <c r="IVH74" s="545"/>
      <c r="IVI74" s="545"/>
      <c r="IVJ74" s="545"/>
      <c r="IVK74" s="545"/>
      <c r="IVL74" s="545"/>
      <c r="IVM74" s="545"/>
      <c r="IVN74" s="545"/>
      <c r="IVO74" s="545"/>
      <c r="IVP74" s="545"/>
      <c r="IVQ74" s="545"/>
      <c r="IVR74" s="545"/>
      <c r="IVS74" s="545"/>
      <c r="IVT74" s="545"/>
      <c r="IVU74" s="545"/>
      <c r="IVV74" s="545"/>
      <c r="IVW74" s="545"/>
      <c r="IVX74" s="545"/>
      <c r="IVY74" s="545"/>
      <c r="IVZ74" s="545"/>
      <c r="IWA74" s="545"/>
      <c r="IWB74" s="545"/>
      <c r="IWC74" s="545"/>
      <c r="IWD74" s="545"/>
      <c r="IWE74" s="545"/>
      <c r="IWF74" s="545"/>
      <c r="IWG74" s="545"/>
      <c r="IWH74" s="545"/>
      <c r="IWI74" s="545"/>
      <c r="IWJ74" s="545"/>
      <c r="IWK74" s="545"/>
      <c r="IWL74" s="545"/>
      <c r="IWM74" s="545"/>
      <c r="IWN74" s="545"/>
      <c r="IWO74" s="545"/>
      <c r="IWP74" s="545"/>
      <c r="IWQ74" s="545"/>
      <c r="IWR74" s="545"/>
      <c r="IWS74" s="545"/>
      <c r="IWT74" s="545"/>
      <c r="IWU74" s="545"/>
      <c r="IWV74" s="545"/>
      <c r="IWW74" s="545"/>
      <c r="IWX74" s="545"/>
      <c r="IWY74" s="545"/>
      <c r="IWZ74" s="545"/>
      <c r="IXA74" s="545"/>
      <c r="IXB74" s="545"/>
      <c r="IXC74" s="545"/>
      <c r="IXD74" s="545"/>
      <c r="IXE74" s="545"/>
      <c r="IXF74" s="545"/>
      <c r="IXG74" s="545"/>
      <c r="IXH74" s="545"/>
      <c r="IXI74" s="545"/>
      <c r="IXJ74" s="545"/>
      <c r="IXK74" s="545"/>
      <c r="IXL74" s="545"/>
      <c r="IXM74" s="545"/>
      <c r="IXN74" s="545"/>
      <c r="IXO74" s="545"/>
      <c r="IXP74" s="545"/>
      <c r="IXQ74" s="545"/>
      <c r="IXR74" s="545"/>
      <c r="IXS74" s="545"/>
      <c r="IXT74" s="545"/>
      <c r="IXU74" s="545"/>
      <c r="IXV74" s="545"/>
      <c r="IXW74" s="545"/>
      <c r="IXX74" s="545"/>
      <c r="IXY74" s="545"/>
      <c r="IXZ74" s="545"/>
      <c r="IYA74" s="545"/>
      <c r="IYB74" s="545"/>
      <c r="IYC74" s="545"/>
      <c r="IYD74" s="545"/>
      <c r="IYE74" s="545"/>
      <c r="IYF74" s="545"/>
      <c r="IYG74" s="545"/>
      <c r="IYH74" s="545"/>
      <c r="IYI74" s="545"/>
      <c r="IYJ74" s="545"/>
      <c r="IYK74" s="545"/>
      <c r="IYL74" s="545"/>
      <c r="IYM74" s="545"/>
      <c r="IYN74" s="545"/>
      <c r="IYO74" s="545"/>
      <c r="IYP74" s="545"/>
      <c r="IYQ74" s="545"/>
      <c r="IYR74" s="545"/>
      <c r="IYS74" s="545"/>
      <c r="IYT74" s="545"/>
      <c r="IYU74" s="545"/>
      <c r="IYV74" s="545"/>
      <c r="IYW74" s="545"/>
      <c r="IYX74" s="545"/>
      <c r="IYY74" s="545"/>
      <c r="IYZ74" s="545"/>
      <c r="IZA74" s="545"/>
      <c r="IZB74" s="545"/>
      <c r="IZC74" s="545"/>
      <c r="IZD74" s="545"/>
      <c r="IZE74" s="545"/>
      <c r="IZF74" s="545"/>
      <c r="IZG74" s="545"/>
      <c r="IZH74" s="545"/>
      <c r="IZI74" s="545"/>
      <c r="IZJ74" s="545"/>
      <c r="IZK74" s="545"/>
      <c r="IZL74" s="545"/>
      <c r="IZM74" s="545"/>
      <c r="IZN74" s="545"/>
      <c r="IZO74" s="545"/>
      <c r="IZP74" s="545"/>
      <c r="IZQ74" s="545"/>
      <c r="IZR74" s="545"/>
      <c r="IZS74" s="545"/>
      <c r="IZT74" s="545"/>
      <c r="IZU74" s="545"/>
      <c r="IZV74" s="545"/>
      <c r="IZW74" s="545"/>
      <c r="IZX74" s="545"/>
      <c r="IZY74" s="545"/>
      <c r="IZZ74" s="545"/>
      <c r="JAA74" s="545"/>
      <c r="JAB74" s="545"/>
      <c r="JAC74" s="545"/>
      <c r="JAD74" s="545"/>
      <c r="JAE74" s="545"/>
      <c r="JAF74" s="545"/>
      <c r="JAG74" s="545"/>
      <c r="JAH74" s="545"/>
      <c r="JAI74" s="545"/>
      <c r="JAJ74" s="545"/>
      <c r="JAK74" s="545"/>
      <c r="JAL74" s="545"/>
      <c r="JAM74" s="545"/>
      <c r="JAN74" s="545"/>
      <c r="JAO74" s="545"/>
      <c r="JAP74" s="545"/>
      <c r="JAQ74" s="545"/>
      <c r="JAR74" s="545"/>
      <c r="JAS74" s="545"/>
      <c r="JAT74" s="545"/>
      <c r="JAU74" s="545"/>
      <c r="JAV74" s="545"/>
      <c r="JAW74" s="545"/>
      <c r="JAX74" s="545"/>
      <c r="JAY74" s="545"/>
      <c r="JAZ74" s="545"/>
      <c r="JBA74" s="545"/>
      <c r="JBB74" s="545"/>
      <c r="JBC74" s="545"/>
      <c r="JBD74" s="545"/>
      <c r="JBE74" s="545"/>
      <c r="JBF74" s="545"/>
      <c r="JBG74" s="545"/>
      <c r="JBH74" s="545"/>
      <c r="JBI74" s="545"/>
      <c r="JBJ74" s="545"/>
      <c r="JBK74" s="545"/>
      <c r="JBL74" s="545"/>
      <c r="JBM74" s="545"/>
      <c r="JBN74" s="545"/>
      <c r="JBO74" s="545"/>
      <c r="JBP74" s="545"/>
      <c r="JBQ74" s="545"/>
      <c r="JBR74" s="545"/>
      <c r="JBS74" s="545"/>
      <c r="JBT74" s="545"/>
      <c r="JBU74" s="545"/>
      <c r="JBV74" s="545"/>
      <c r="JBW74" s="545"/>
      <c r="JBX74" s="545"/>
      <c r="JBY74" s="545"/>
      <c r="JBZ74" s="545"/>
      <c r="JCA74" s="545"/>
      <c r="JCB74" s="545"/>
      <c r="JCC74" s="545"/>
      <c r="JCD74" s="545"/>
      <c r="JCE74" s="545"/>
      <c r="JCF74" s="545"/>
      <c r="JCG74" s="545"/>
      <c r="JCH74" s="545"/>
      <c r="JCI74" s="545"/>
      <c r="JCJ74" s="545"/>
      <c r="JCK74" s="545"/>
      <c r="JCL74" s="545"/>
      <c r="JCM74" s="545"/>
      <c r="JCN74" s="545"/>
      <c r="JCO74" s="545"/>
      <c r="JCP74" s="545"/>
      <c r="JCQ74" s="545"/>
      <c r="JCR74" s="545"/>
      <c r="JCS74" s="545"/>
      <c r="JCT74" s="545"/>
      <c r="JCU74" s="545"/>
      <c r="JCV74" s="545"/>
      <c r="JCW74" s="545"/>
      <c r="JCX74" s="545"/>
      <c r="JCY74" s="545"/>
      <c r="JCZ74" s="545"/>
      <c r="JDA74" s="545"/>
      <c r="JDB74" s="545"/>
      <c r="JDC74" s="545"/>
      <c r="JDD74" s="545"/>
      <c r="JDE74" s="545"/>
      <c r="JDF74" s="545"/>
      <c r="JDG74" s="545"/>
      <c r="JDH74" s="545"/>
      <c r="JDI74" s="545"/>
      <c r="JDJ74" s="545"/>
      <c r="JDK74" s="545"/>
      <c r="JDL74" s="545"/>
      <c r="JDM74" s="545"/>
      <c r="JDN74" s="545"/>
      <c r="JDO74" s="545"/>
      <c r="JDP74" s="545"/>
      <c r="JDQ74" s="545"/>
      <c r="JDR74" s="545"/>
      <c r="JDS74" s="545"/>
      <c r="JDT74" s="545"/>
      <c r="JDU74" s="545"/>
      <c r="JDV74" s="545"/>
      <c r="JDW74" s="545"/>
      <c r="JDX74" s="545"/>
      <c r="JDY74" s="545"/>
      <c r="JDZ74" s="545"/>
      <c r="JEA74" s="545"/>
      <c r="JEB74" s="545"/>
      <c r="JEC74" s="545"/>
      <c r="JED74" s="545"/>
      <c r="JEE74" s="545"/>
      <c r="JEF74" s="545"/>
      <c r="JEG74" s="545"/>
      <c r="JEH74" s="545"/>
      <c r="JEI74" s="545"/>
      <c r="JEJ74" s="545"/>
      <c r="JEK74" s="545"/>
      <c r="JEL74" s="545"/>
      <c r="JEM74" s="545"/>
      <c r="JEN74" s="545"/>
      <c r="JEO74" s="545"/>
      <c r="JEP74" s="545"/>
      <c r="JEQ74" s="545"/>
      <c r="JER74" s="545"/>
      <c r="JES74" s="545"/>
      <c r="JET74" s="545"/>
      <c r="JEU74" s="545"/>
      <c r="JEV74" s="545"/>
      <c r="JEW74" s="545"/>
      <c r="JEX74" s="545"/>
      <c r="JEY74" s="545"/>
      <c r="JEZ74" s="545"/>
      <c r="JFA74" s="545"/>
      <c r="JFB74" s="545"/>
      <c r="JFC74" s="545"/>
      <c r="JFD74" s="545"/>
      <c r="JFE74" s="545"/>
      <c r="JFF74" s="545"/>
      <c r="JFG74" s="545"/>
      <c r="JFH74" s="545"/>
      <c r="JFI74" s="545"/>
      <c r="JFJ74" s="545"/>
      <c r="JFK74" s="545"/>
      <c r="JFL74" s="545"/>
      <c r="JFM74" s="545"/>
      <c r="JFN74" s="545"/>
      <c r="JFO74" s="545"/>
      <c r="JFP74" s="545"/>
      <c r="JFQ74" s="545"/>
      <c r="JFR74" s="545"/>
      <c r="JFS74" s="545"/>
      <c r="JFT74" s="545"/>
      <c r="JFU74" s="545"/>
      <c r="JFV74" s="545"/>
      <c r="JFW74" s="545"/>
      <c r="JFX74" s="545"/>
      <c r="JFY74" s="545"/>
      <c r="JFZ74" s="545"/>
      <c r="JGA74" s="545"/>
      <c r="JGB74" s="545"/>
      <c r="JGC74" s="545"/>
      <c r="JGD74" s="545"/>
      <c r="JGE74" s="545"/>
      <c r="JGF74" s="545"/>
      <c r="JGG74" s="545"/>
      <c r="JGH74" s="545"/>
      <c r="JGI74" s="545"/>
      <c r="JGJ74" s="545"/>
      <c r="JGK74" s="545"/>
      <c r="JGL74" s="545"/>
      <c r="JGM74" s="545"/>
      <c r="JGN74" s="545"/>
      <c r="JGO74" s="545"/>
      <c r="JGP74" s="545"/>
      <c r="JGQ74" s="545"/>
      <c r="JGR74" s="545"/>
      <c r="JGS74" s="545"/>
      <c r="JGT74" s="545"/>
      <c r="JGU74" s="545"/>
      <c r="JGV74" s="545"/>
      <c r="JGW74" s="545"/>
      <c r="JGX74" s="545"/>
      <c r="JGY74" s="545"/>
      <c r="JGZ74" s="545"/>
      <c r="JHA74" s="545"/>
      <c r="JHB74" s="545"/>
      <c r="JHC74" s="545"/>
      <c r="JHD74" s="545"/>
      <c r="JHE74" s="545"/>
      <c r="JHF74" s="545"/>
      <c r="JHG74" s="545"/>
      <c r="JHH74" s="545"/>
      <c r="JHI74" s="545"/>
      <c r="JHJ74" s="545"/>
      <c r="JHK74" s="545"/>
      <c r="JHL74" s="545"/>
      <c r="JHM74" s="545"/>
      <c r="JHN74" s="545"/>
      <c r="JHO74" s="545"/>
      <c r="JHP74" s="545"/>
      <c r="JHQ74" s="545"/>
      <c r="JHR74" s="545"/>
      <c r="JHS74" s="545"/>
      <c r="JHT74" s="545"/>
      <c r="JHU74" s="545"/>
      <c r="JHV74" s="545"/>
      <c r="JHW74" s="545"/>
      <c r="JHX74" s="545"/>
      <c r="JHY74" s="545"/>
      <c r="JHZ74" s="545"/>
      <c r="JIA74" s="545"/>
      <c r="JIB74" s="545"/>
      <c r="JIC74" s="545"/>
      <c r="JID74" s="545"/>
      <c r="JIE74" s="545"/>
      <c r="JIF74" s="545"/>
      <c r="JIG74" s="545"/>
      <c r="JIH74" s="545"/>
      <c r="JII74" s="545"/>
      <c r="JIJ74" s="545"/>
      <c r="JIK74" s="545"/>
      <c r="JIL74" s="545"/>
      <c r="JIM74" s="545"/>
      <c r="JIN74" s="545"/>
      <c r="JIO74" s="545"/>
      <c r="JIP74" s="545"/>
      <c r="JIQ74" s="545"/>
      <c r="JIR74" s="545"/>
      <c r="JIS74" s="545"/>
      <c r="JIT74" s="545"/>
      <c r="JIU74" s="545"/>
      <c r="JIV74" s="545"/>
      <c r="JIW74" s="545"/>
      <c r="JIX74" s="545"/>
      <c r="JIY74" s="545"/>
      <c r="JIZ74" s="545"/>
      <c r="JJA74" s="545"/>
      <c r="JJB74" s="545"/>
      <c r="JJC74" s="545"/>
      <c r="JJD74" s="545"/>
      <c r="JJE74" s="545"/>
      <c r="JJF74" s="545"/>
      <c r="JJG74" s="545"/>
      <c r="JJH74" s="545"/>
      <c r="JJI74" s="545"/>
      <c r="JJJ74" s="545"/>
      <c r="JJK74" s="545"/>
      <c r="JJL74" s="545"/>
      <c r="JJM74" s="545"/>
      <c r="JJN74" s="545"/>
      <c r="JJO74" s="545"/>
      <c r="JJP74" s="545"/>
      <c r="JJQ74" s="545"/>
      <c r="JJR74" s="545"/>
      <c r="JJS74" s="545"/>
      <c r="JJT74" s="545"/>
      <c r="JJU74" s="545"/>
      <c r="JJV74" s="545"/>
      <c r="JJW74" s="545"/>
      <c r="JJX74" s="545"/>
      <c r="JJY74" s="545"/>
      <c r="JJZ74" s="545"/>
      <c r="JKA74" s="545"/>
      <c r="JKB74" s="545"/>
      <c r="JKC74" s="545"/>
      <c r="JKD74" s="545"/>
      <c r="JKE74" s="545"/>
      <c r="JKF74" s="545"/>
      <c r="JKG74" s="545"/>
      <c r="JKH74" s="545"/>
      <c r="JKI74" s="545"/>
      <c r="JKJ74" s="545"/>
      <c r="JKK74" s="545"/>
      <c r="JKL74" s="545"/>
      <c r="JKM74" s="545"/>
      <c r="JKN74" s="545"/>
      <c r="JKO74" s="545"/>
      <c r="JKP74" s="545"/>
      <c r="JKQ74" s="545"/>
      <c r="JKR74" s="545"/>
      <c r="JKS74" s="545"/>
      <c r="JKT74" s="545"/>
      <c r="JKU74" s="545"/>
      <c r="JKV74" s="545"/>
      <c r="JKW74" s="545"/>
      <c r="JKX74" s="545"/>
      <c r="JKY74" s="545"/>
      <c r="JKZ74" s="545"/>
      <c r="JLA74" s="545"/>
      <c r="JLB74" s="545"/>
      <c r="JLC74" s="545"/>
      <c r="JLD74" s="545"/>
      <c r="JLE74" s="545"/>
      <c r="JLF74" s="545"/>
      <c r="JLG74" s="545"/>
      <c r="JLH74" s="545"/>
      <c r="JLI74" s="545"/>
      <c r="JLJ74" s="545"/>
      <c r="JLK74" s="545"/>
      <c r="JLL74" s="545"/>
      <c r="JLM74" s="545"/>
      <c r="JLN74" s="545"/>
      <c r="JLO74" s="545"/>
      <c r="JLP74" s="545"/>
      <c r="JLQ74" s="545"/>
      <c r="JLR74" s="545"/>
      <c r="JLS74" s="545"/>
      <c r="JLT74" s="545"/>
      <c r="JLU74" s="545"/>
      <c r="JLV74" s="545"/>
      <c r="JLW74" s="545"/>
      <c r="JLX74" s="545"/>
      <c r="JLY74" s="545"/>
      <c r="JLZ74" s="545"/>
      <c r="JMA74" s="545"/>
      <c r="JMB74" s="545"/>
      <c r="JMC74" s="545"/>
      <c r="JMD74" s="545"/>
      <c r="JME74" s="545"/>
      <c r="JMF74" s="545"/>
      <c r="JMG74" s="545"/>
      <c r="JMH74" s="545"/>
      <c r="JMI74" s="545"/>
      <c r="JMJ74" s="545"/>
      <c r="JMK74" s="545"/>
      <c r="JML74" s="545"/>
      <c r="JMM74" s="545"/>
      <c r="JMN74" s="545"/>
      <c r="JMO74" s="545"/>
      <c r="JMP74" s="545"/>
      <c r="JMQ74" s="545"/>
      <c r="JMR74" s="545"/>
      <c r="JMS74" s="545"/>
      <c r="JMT74" s="545"/>
      <c r="JMU74" s="545"/>
      <c r="JMV74" s="545"/>
      <c r="JMW74" s="545"/>
      <c r="JMX74" s="545"/>
      <c r="JMY74" s="545"/>
      <c r="JMZ74" s="545"/>
      <c r="JNA74" s="545"/>
      <c r="JNB74" s="545"/>
      <c r="JNC74" s="545"/>
      <c r="JND74" s="545"/>
      <c r="JNE74" s="545"/>
      <c r="JNF74" s="545"/>
      <c r="JNG74" s="545"/>
      <c r="JNH74" s="545"/>
      <c r="JNI74" s="545"/>
      <c r="JNJ74" s="545"/>
      <c r="JNK74" s="545"/>
      <c r="JNL74" s="545"/>
      <c r="JNM74" s="545"/>
      <c r="JNN74" s="545"/>
      <c r="JNO74" s="545"/>
      <c r="JNP74" s="545"/>
      <c r="JNQ74" s="545"/>
      <c r="JNR74" s="545"/>
      <c r="JNS74" s="545"/>
      <c r="JNT74" s="545"/>
      <c r="JNU74" s="545"/>
      <c r="JNV74" s="545"/>
      <c r="JNW74" s="545"/>
      <c r="JNX74" s="545"/>
      <c r="JNY74" s="545"/>
      <c r="JNZ74" s="545"/>
      <c r="JOA74" s="545"/>
      <c r="JOB74" s="545"/>
      <c r="JOC74" s="545"/>
      <c r="JOD74" s="545"/>
      <c r="JOE74" s="545"/>
      <c r="JOF74" s="545"/>
      <c r="JOG74" s="545"/>
      <c r="JOH74" s="545"/>
      <c r="JOI74" s="545"/>
      <c r="JOJ74" s="545"/>
      <c r="JOK74" s="545"/>
      <c r="JOL74" s="545"/>
      <c r="JOM74" s="545"/>
      <c r="JON74" s="545"/>
      <c r="JOO74" s="545"/>
      <c r="JOP74" s="545"/>
      <c r="JOQ74" s="545"/>
      <c r="JOR74" s="545"/>
      <c r="JOS74" s="545"/>
      <c r="JOT74" s="545"/>
      <c r="JOU74" s="545"/>
      <c r="JOV74" s="545"/>
      <c r="JOW74" s="545"/>
      <c r="JOX74" s="545"/>
      <c r="JOY74" s="545"/>
      <c r="JOZ74" s="545"/>
      <c r="JPA74" s="545"/>
      <c r="JPB74" s="545"/>
      <c r="JPC74" s="545"/>
      <c r="JPD74" s="545"/>
      <c r="JPE74" s="545"/>
      <c r="JPF74" s="545"/>
      <c r="JPG74" s="545"/>
      <c r="JPH74" s="545"/>
      <c r="JPI74" s="545"/>
      <c r="JPJ74" s="545"/>
      <c r="JPK74" s="545"/>
      <c r="JPL74" s="545"/>
      <c r="JPM74" s="545"/>
      <c r="JPN74" s="545"/>
      <c r="JPO74" s="545"/>
      <c r="JPP74" s="545"/>
      <c r="JPQ74" s="545"/>
      <c r="JPR74" s="545"/>
      <c r="JPS74" s="545"/>
      <c r="JPT74" s="545"/>
      <c r="JPU74" s="545"/>
      <c r="JPV74" s="545"/>
      <c r="JPW74" s="545"/>
      <c r="JPX74" s="545"/>
      <c r="JPY74" s="545"/>
      <c r="JPZ74" s="545"/>
      <c r="JQA74" s="545"/>
      <c r="JQB74" s="545"/>
      <c r="JQC74" s="545"/>
      <c r="JQD74" s="545"/>
      <c r="JQE74" s="545"/>
      <c r="JQF74" s="545"/>
      <c r="JQG74" s="545"/>
      <c r="JQH74" s="545"/>
      <c r="JQI74" s="545"/>
      <c r="JQJ74" s="545"/>
      <c r="JQK74" s="545"/>
      <c r="JQL74" s="545"/>
      <c r="JQM74" s="545"/>
      <c r="JQN74" s="545"/>
      <c r="JQO74" s="545"/>
      <c r="JQP74" s="545"/>
      <c r="JQQ74" s="545"/>
      <c r="JQR74" s="545"/>
      <c r="JQS74" s="545"/>
      <c r="JQT74" s="545"/>
      <c r="JQU74" s="545"/>
      <c r="JQV74" s="545"/>
      <c r="JQW74" s="545"/>
      <c r="JQX74" s="545"/>
      <c r="JQY74" s="545"/>
      <c r="JQZ74" s="545"/>
      <c r="JRA74" s="545"/>
      <c r="JRB74" s="545"/>
      <c r="JRC74" s="545"/>
      <c r="JRD74" s="545"/>
      <c r="JRE74" s="545"/>
      <c r="JRF74" s="545"/>
      <c r="JRG74" s="545"/>
      <c r="JRH74" s="545"/>
      <c r="JRI74" s="545"/>
      <c r="JRJ74" s="545"/>
      <c r="JRK74" s="545"/>
      <c r="JRL74" s="545"/>
      <c r="JRM74" s="545"/>
      <c r="JRN74" s="545"/>
      <c r="JRO74" s="545"/>
      <c r="JRP74" s="545"/>
      <c r="JRQ74" s="545"/>
      <c r="JRR74" s="545"/>
      <c r="JRS74" s="545"/>
      <c r="JRT74" s="545"/>
      <c r="JRU74" s="545"/>
      <c r="JRV74" s="545"/>
      <c r="JRW74" s="545"/>
      <c r="JRX74" s="545"/>
      <c r="JRY74" s="545"/>
      <c r="JRZ74" s="545"/>
      <c r="JSA74" s="545"/>
      <c r="JSB74" s="545"/>
      <c r="JSC74" s="545"/>
      <c r="JSD74" s="545"/>
      <c r="JSE74" s="545"/>
      <c r="JSF74" s="545"/>
      <c r="JSG74" s="545"/>
      <c r="JSH74" s="545"/>
      <c r="JSI74" s="545"/>
      <c r="JSJ74" s="545"/>
      <c r="JSK74" s="545"/>
      <c r="JSL74" s="545"/>
      <c r="JSM74" s="545"/>
      <c r="JSN74" s="545"/>
      <c r="JSO74" s="545"/>
      <c r="JSP74" s="545"/>
      <c r="JSQ74" s="545"/>
      <c r="JSR74" s="545"/>
      <c r="JSS74" s="545"/>
      <c r="JST74" s="545"/>
      <c r="JSU74" s="545"/>
      <c r="JSV74" s="545"/>
      <c r="JSW74" s="545"/>
      <c r="JSX74" s="545"/>
      <c r="JSY74" s="545"/>
      <c r="JSZ74" s="545"/>
      <c r="JTA74" s="545"/>
      <c r="JTB74" s="545"/>
      <c r="JTC74" s="545"/>
      <c r="JTD74" s="545"/>
      <c r="JTE74" s="545"/>
      <c r="JTF74" s="545"/>
      <c r="JTG74" s="545"/>
      <c r="JTH74" s="545"/>
      <c r="JTI74" s="545"/>
      <c r="JTJ74" s="545"/>
      <c r="JTK74" s="545"/>
      <c r="JTL74" s="545"/>
      <c r="JTM74" s="545"/>
      <c r="JTN74" s="545"/>
      <c r="JTO74" s="545"/>
      <c r="JTP74" s="545"/>
      <c r="JTQ74" s="545"/>
      <c r="JTR74" s="545"/>
      <c r="JTS74" s="545"/>
      <c r="JTT74" s="545"/>
      <c r="JTU74" s="545"/>
      <c r="JTV74" s="545"/>
      <c r="JTW74" s="545"/>
      <c r="JTX74" s="545"/>
      <c r="JTY74" s="545"/>
      <c r="JTZ74" s="545"/>
      <c r="JUA74" s="545"/>
      <c r="JUB74" s="545"/>
      <c r="JUC74" s="545"/>
      <c r="JUD74" s="545"/>
      <c r="JUE74" s="545"/>
      <c r="JUF74" s="545"/>
      <c r="JUG74" s="545"/>
      <c r="JUH74" s="545"/>
      <c r="JUI74" s="545"/>
      <c r="JUJ74" s="545"/>
      <c r="JUK74" s="545"/>
      <c r="JUL74" s="545"/>
      <c r="JUM74" s="545"/>
      <c r="JUN74" s="545"/>
      <c r="JUO74" s="545"/>
      <c r="JUP74" s="545"/>
      <c r="JUQ74" s="545"/>
      <c r="JUR74" s="545"/>
      <c r="JUS74" s="545"/>
      <c r="JUT74" s="545"/>
      <c r="JUU74" s="545"/>
      <c r="JUV74" s="545"/>
      <c r="JUW74" s="545"/>
      <c r="JUX74" s="545"/>
      <c r="JUY74" s="545"/>
      <c r="JUZ74" s="545"/>
      <c r="JVA74" s="545"/>
      <c r="JVB74" s="545"/>
      <c r="JVC74" s="545"/>
      <c r="JVD74" s="545"/>
      <c r="JVE74" s="545"/>
      <c r="JVF74" s="545"/>
      <c r="JVG74" s="545"/>
      <c r="JVH74" s="545"/>
      <c r="JVI74" s="545"/>
      <c r="JVJ74" s="545"/>
      <c r="JVK74" s="545"/>
      <c r="JVL74" s="545"/>
      <c r="JVM74" s="545"/>
      <c r="JVN74" s="545"/>
      <c r="JVO74" s="545"/>
      <c r="JVP74" s="545"/>
      <c r="JVQ74" s="545"/>
      <c r="JVR74" s="545"/>
      <c r="JVS74" s="545"/>
      <c r="JVT74" s="545"/>
      <c r="JVU74" s="545"/>
      <c r="JVV74" s="545"/>
      <c r="JVW74" s="545"/>
      <c r="JVX74" s="545"/>
      <c r="JVY74" s="545"/>
      <c r="JVZ74" s="545"/>
      <c r="JWA74" s="545"/>
      <c r="JWB74" s="545"/>
      <c r="JWC74" s="545"/>
      <c r="JWD74" s="545"/>
      <c r="JWE74" s="545"/>
      <c r="JWF74" s="545"/>
      <c r="JWG74" s="545"/>
      <c r="JWH74" s="545"/>
      <c r="JWI74" s="545"/>
      <c r="JWJ74" s="545"/>
      <c r="JWK74" s="545"/>
      <c r="JWL74" s="545"/>
      <c r="JWM74" s="545"/>
      <c r="JWN74" s="545"/>
      <c r="JWO74" s="545"/>
      <c r="JWP74" s="545"/>
      <c r="JWQ74" s="545"/>
      <c r="JWR74" s="545"/>
      <c r="JWS74" s="545"/>
      <c r="JWT74" s="545"/>
      <c r="JWU74" s="545"/>
      <c r="JWV74" s="545"/>
      <c r="JWW74" s="545"/>
      <c r="JWX74" s="545"/>
      <c r="JWY74" s="545"/>
      <c r="JWZ74" s="545"/>
      <c r="JXA74" s="545"/>
      <c r="JXB74" s="545"/>
      <c r="JXC74" s="545"/>
      <c r="JXD74" s="545"/>
      <c r="JXE74" s="545"/>
      <c r="JXF74" s="545"/>
      <c r="JXG74" s="545"/>
      <c r="JXH74" s="545"/>
      <c r="JXI74" s="545"/>
      <c r="JXJ74" s="545"/>
      <c r="JXK74" s="545"/>
      <c r="JXL74" s="545"/>
      <c r="JXM74" s="545"/>
      <c r="JXN74" s="545"/>
      <c r="JXO74" s="545"/>
      <c r="JXP74" s="545"/>
      <c r="JXQ74" s="545"/>
      <c r="JXR74" s="545"/>
      <c r="JXS74" s="545"/>
      <c r="JXT74" s="545"/>
      <c r="JXU74" s="545"/>
      <c r="JXV74" s="545"/>
      <c r="JXW74" s="545"/>
      <c r="JXX74" s="545"/>
      <c r="JXY74" s="545"/>
      <c r="JXZ74" s="545"/>
      <c r="JYA74" s="545"/>
      <c r="JYB74" s="545"/>
      <c r="JYC74" s="545"/>
      <c r="JYD74" s="545"/>
      <c r="JYE74" s="545"/>
      <c r="JYF74" s="545"/>
      <c r="JYG74" s="545"/>
      <c r="JYH74" s="545"/>
      <c r="JYI74" s="545"/>
      <c r="JYJ74" s="545"/>
      <c r="JYK74" s="545"/>
      <c r="JYL74" s="545"/>
      <c r="JYM74" s="545"/>
      <c r="JYN74" s="545"/>
      <c r="JYO74" s="545"/>
      <c r="JYP74" s="545"/>
      <c r="JYQ74" s="545"/>
      <c r="JYR74" s="545"/>
      <c r="JYS74" s="545"/>
      <c r="JYT74" s="545"/>
      <c r="JYU74" s="545"/>
      <c r="JYV74" s="545"/>
      <c r="JYW74" s="545"/>
      <c r="JYX74" s="545"/>
      <c r="JYY74" s="545"/>
      <c r="JYZ74" s="545"/>
      <c r="JZA74" s="545"/>
      <c r="JZB74" s="545"/>
      <c r="JZC74" s="545"/>
      <c r="JZD74" s="545"/>
      <c r="JZE74" s="545"/>
      <c r="JZF74" s="545"/>
      <c r="JZG74" s="545"/>
      <c r="JZH74" s="545"/>
      <c r="JZI74" s="545"/>
      <c r="JZJ74" s="545"/>
      <c r="JZK74" s="545"/>
      <c r="JZL74" s="545"/>
      <c r="JZM74" s="545"/>
      <c r="JZN74" s="545"/>
      <c r="JZO74" s="545"/>
      <c r="JZP74" s="545"/>
      <c r="JZQ74" s="545"/>
      <c r="JZR74" s="545"/>
      <c r="JZS74" s="545"/>
      <c r="JZT74" s="545"/>
      <c r="JZU74" s="545"/>
      <c r="JZV74" s="545"/>
      <c r="JZW74" s="545"/>
      <c r="JZX74" s="545"/>
      <c r="JZY74" s="545"/>
      <c r="JZZ74" s="545"/>
      <c r="KAA74" s="545"/>
      <c r="KAB74" s="545"/>
      <c r="KAC74" s="545"/>
      <c r="KAD74" s="545"/>
      <c r="KAE74" s="545"/>
      <c r="KAF74" s="545"/>
      <c r="KAG74" s="545"/>
      <c r="KAH74" s="545"/>
      <c r="KAI74" s="545"/>
      <c r="KAJ74" s="545"/>
      <c r="KAK74" s="545"/>
      <c r="KAL74" s="545"/>
      <c r="KAM74" s="545"/>
      <c r="KAN74" s="545"/>
      <c r="KAO74" s="545"/>
      <c r="KAP74" s="545"/>
      <c r="KAQ74" s="545"/>
      <c r="KAR74" s="545"/>
      <c r="KAS74" s="545"/>
      <c r="KAT74" s="545"/>
      <c r="KAU74" s="545"/>
      <c r="KAV74" s="545"/>
      <c r="KAW74" s="545"/>
      <c r="KAX74" s="545"/>
      <c r="KAY74" s="545"/>
      <c r="KAZ74" s="545"/>
      <c r="KBA74" s="545"/>
      <c r="KBB74" s="545"/>
      <c r="KBC74" s="545"/>
      <c r="KBD74" s="545"/>
      <c r="KBE74" s="545"/>
      <c r="KBF74" s="545"/>
      <c r="KBG74" s="545"/>
      <c r="KBH74" s="545"/>
      <c r="KBI74" s="545"/>
      <c r="KBJ74" s="545"/>
      <c r="KBK74" s="545"/>
      <c r="KBL74" s="545"/>
      <c r="KBM74" s="545"/>
      <c r="KBN74" s="545"/>
      <c r="KBO74" s="545"/>
      <c r="KBP74" s="545"/>
      <c r="KBQ74" s="545"/>
      <c r="KBR74" s="545"/>
      <c r="KBS74" s="545"/>
      <c r="KBT74" s="545"/>
      <c r="KBU74" s="545"/>
      <c r="KBV74" s="545"/>
      <c r="KBW74" s="545"/>
      <c r="KBX74" s="545"/>
      <c r="KBY74" s="545"/>
      <c r="KBZ74" s="545"/>
      <c r="KCA74" s="545"/>
      <c r="KCB74" s="545"/>
      <c r="KCC74" s="545"/>
      <c r="KCD74" s="545"/>
      <c r="KCE74" s="545"/>
      <c r="KCF74" s="545"/>
      <c r="KCG74" s="545"/>
      <c r="KCH74" s="545"/>
      <c r="KCI74" s="545"/>
      <c r="KCJ74" s="545"/>
      <c r="KCK74" s="545"/>
      <c r="KCL74" s="545"/>
      <c r="KCM74" s="545"/>
      <c r="KCN74" s="545"/>
      <c r="KCO74" s="545"/>
      <c r="KCP74" s="545"/>
      <c r="KCQ74" s="545"/>
      <c r="KCR74" s="545"/>
      <c r="KCS74" s="545"/>
      <c r="KCT74" s="545"/>
      <c r="KCU74" s="545"/>
      <c r="KCV74" s="545"/>
      <c r="KCW74" s="545"/>
      <c r="KCX74" s="545"/>
      <c r="KCY74" s="545"/>
      <c r="KCZ74" s="545"/>
      <c r="KDA74" s="545"/>
      <c r="KDB74" s="545"/>
      <c r="KDC74" s="545"/>
      <c r="KDD74" s="545"/>
      <c r="KDE74" s="545"/>
      <c r="KDF74" s="545"/>
      <c r="KDG74" s="545"/>
      <c r="KDH74" s="545"/>
      <c r="KDI74" s="545"/>
      <c r="KDJ74" s="545"/>
      <c r="KDK74" s="545"/>
      <c r="KDL74" s="545"/>
      <c r="KDM74" s="545"/>
      <c r="KDN74" s="545"/>
      <c r="KDO74" s="545"/>
      <c r="KDP74" s="545"/>
      <c r="KDQ74" s="545"/>
      <c r="KDR74" s="545"/>
      <c r="KDS74" s="545"/>
      <c r="KDT74" s="545"/>
      <c r="KDU74" s="545"/>
      <c r="KDV74" s="545"/>
      <c r="KDW74" s="545"/>
      <c r="KDX74" s="545"/>
      <c r="KDY74" s="545"/>
      <c r="KDZ74" s="545"/>
      <c r="KEA74" s="545"/>
      <c r="KEB74" s="545"/>
      <c r="KEC74" s="545"/>
      <c r="KED74" s="545"/>
      <c r="KEE74" s="545"/>
      <c r="KEF74" s="545"/>
      <c r="KEG74" s="545"/>
      <c r="KEH74" s="545"/>
      <c r="KEI74" s="545"/>
      <c r="KEJ74" s="545"/>
      <c r="KEK74" s="545"/>
      <c r="KEL74" s="545"/>
      <c r="KEM74" s="545"/>
      <c r="KEN74" s="545"/>
      <c r="KEO74" s="545"/>
      <c r="KEP74" s="545"/>
      <c r="KEQ74" s="545"/>
      <c r="KER74" s="545"/>
      <c r="KES74" s="545"/>
      <c r="KET74" s="545"/>
      <c r="KEU74" s="545"/>
      <c r="KEV74" s="545"/>
      <c r="KEW74" s="545"/>
      <c r="KEX74" s="545"/>
      <c r="KEY74" s="545"/>
      <c r="KEZ74" s="545"/>
      <c r="KFA74" s="545"/>
      <c r="KFB74" s="545"/>
      <c r="KFC74" s="545"/>
      <c r="KFD74" s="545"/>
      <c r="KFE74" s="545"/>
      <c r="KFF74" s="545"/>
      <c r="KFG74" s="545"/>
      <c r="KFH74" s="545"/>
      <c r="KFI74" s="545"/>
      <c r="KFJ74" s="545"/>
      <c r="KFK74" s="545"/>
      <c r="KFL74" s="545"/>
      <c r="KFM74" s="545"/>
      <c r="KFN74" s="545"/>
      <c r="KFO74" s="545"/>
      <c r="KFP74" s="545"/>
      <c r="KFQ74" s="545"/>
      <c r="KFR74" s="545"/>
      <c r="KFS74" s="545"/>
      <c r="KFT74" s="545"/>
      <c r="KFU74" s="545"/>
      <c r="KFV74" s="545"/>
      <c r="KFW74" s="545"/>
      <c r="KFX74" s="545"/>
      <c r="KFY74" s="545"/>
      <c r="KFZ74" s="545"/>
      <c r="KGA74" s="545"/>
      <c r="KGB74" s="545"/>
      <c r="KGC74" s="545"/>
      <c r="KGD74" s="545"/>
      <c r="KGE74" s="545"/>
      <c r="KGF74" s="545"/>
      <c r="KGG74" s="545"/>
      <c r="KGH74" s="545"/>
      <c r="KGI74" s="545"/>
      <c r="KGJ74" s="545"/>
      <c r="KGK74" s="545"/>
      <c r="KGL74" s="545"/>
      <c r="KGM74" s="545"/>
      <c r="KGN74" s="545"/>
      <c r="KGO74" s="545"/>
      <c r="KGP74" s="545"/>
      <c r="KGQ74" s="545"/>
      <c r="KGR74" s="545"/>
      <c r="KGS74" s="545"/>
      <c r="KGT74" s="545"/>
      <c r="KGU74" s="545"/>
      <c r="KGV74" s="545"/>
      <c r="KGW74" s="545"/>
      <c r="KGX74" s="545"/>
      <c r="KGY74" s="545"/>
      <c r="KGZ74" s="545"/>
      <c r="KHA74" s="545"/>
      <c r="KHB74" s="545"/>
      <c r="KHC74" s="545"/>
      <c r="KHD74" s="545"/>
      <c r="KHE74" s="545"/>
      <c r="KHF74" s="545"/>
      <c r="KHG74" s="545"/>
      <c r="KHH74" s="545"/>
      <c r="KHI74" s="545"/>
      <c r="KHJ74" s="545"/>
      <c r="KHK74" s="545"/>
      <c r="KHL74" s="545"/>
      <c r="KHM74" s="545"/>
      <c r="KHN74" s="545"/>
      <c r="KHO74" s="545"/>
      <c r="KHP74" s="545"/>
      <c r="KHQ74" s="545"/>
      <c r="KHR74" s="545"/>
      <c r="KHS74" s="545"/>
      <c r="KHT74" s="545"/>
      <c r="KHU74" s="545"/>
      <c r="KHV74" s="545"/>
      <c r="KHW74" s="545"/>
      <c r="KHX74" s="545"/>
      <c r="KHY74" s="545"/>
      <c r="KHZ74" s="545"/>
      <c r="KIA74" s="545"/>
      <c r="KIB74" s="545"/>
      <c r="KIC74" s="545"/>
      <c r="KID74" s="545"/>
      <c r="KIE74" s="545"/>
      <c r="KIF74" s="545"/>
      <c r="KIG74" s="545"/>
      <c r="KIH74" s="545"/>
      <c r="KII74" s="545"/>
      <c r="KIJ74" s="545"/>
      <c r="KIK74" s="545"/>
      <c r="KIL74" s="545"/>
      <c r="KIM74" s="545"/>
      <c r="KIN74" s="545"/>
      <c r="KIO74" s="545"/>
      <c r="KIP74" s="545"/>
      <c r="KIQ74" s="545"/>
      <c r="KIR74" s="545"/>
      <c r="KIS74" s="545"/>
      <c r="KIT74" s="545"/>
      <c r="KIU74" s="545"/>
      <c r="KIV74" s="545"/>
      <c r="KIW74" s="545"/>
      <c r="KIX74" s="545"/>
      <c r="KIY74" s="545"/>
      <c r="KIZ74" s="545"/>
      <c r="KJA74" s="545"/>
      <c r="KJB74" s="545"/>
      <c r="KJC74" s="545"/>
      <c r="KJD74" s="545"/>
      <c r="KJE74" s="545"/>
      <c r="KJF74" s="545"/>
      <c r="KJG74" s="545"/>
      <c r="KJH74" s="545"/>
      <c r="KJI74" s="545"/>
      <c r="KJJ74" s="545"/>
      <c r="KJK74" s="545"/>
      <c r="KJL74" s="545"/>
      <c r="KJM74" s="545"/>
      <c r="KJN74" s="545"/>
      <c r="KJO74" s="545"/>
      <c r="KJP74" s="545"/>
      <c r="KJQ74" s="545"/>
      <c r="KJR74" s="545"/>
      <c r="KJS74" s="545"/>
      <c r="KJT74" s="545"/>
      <c r="KJU74" s="545"/>
      <c r="KJV74" s="545"/>
      <c r="KJW74" s="545"/>
      <c r="KJX74" s="545"/>
      <c r="KJY74" s="545"/>
      <c r="KJZ74" s="545"/>
      <c r="KKA74" s="545"/>
      <c r="KKB74" s="545"/>
      <c r="KKC74" s="545"/>
      <c r="KKD74" s="545"/>
      <c r="KKE74" s="545"/>
      <c r="KKF74" s="545"/>
      <c r="KKG74" s="545"/>
      <c r="KKH74" s="545"/>
      <c r="KKI74" s="545"/>
      <c r="KKJ74" s="545"/>
      <c r="KKK74" s="545"/>
      <c r="KKL74" s="545"/>
      <c r="KKM74" s="545"/>
      <c r="KKN74" s="545"/>
      <c r="KKO74" s="545"/>
      <c r="KKP74" s="545"/>
      <c r="KKQ74" s="545"/>
      <c r="KKR74" s="545"/>
      <c r="KKS74" s="545"/>
      <c r="KKT74" s="545"/>
      <c r="KKU74" s="545"/>
      <c r="KKV74" s="545"/>
      <c r="KKW74" s="545"/>
      <c r="KKX74" s="545"/>
      <c r="KKY74" s="545"/>
      <c r="KKZ74" s="545"/>
      <c r="KLA74" s="545"/>
      <c r="KLB74" s="545"/>
      <c r="KLC74" s="545"/>
      <c r="KLD74" s="545"/>
      <c r="KLE74" s="545"/>
      <c r="KLF74" s="545"/>
      <c r="KLG74" s="545"/>
      <c r="KLH74" s="545"/>
      <c r="KLI74" s="545"/>
      <c r="KLJ74" s="545"/>
      <c r="KLK74" s="545"/>
      <c r="KLL74" s="545"/>
      <c r="KLM74" s="545"/>
      <c r="KLN74" s="545"/>
      <c r="KLO74" s="545"/>
      <c r="KLP74" s="545"/>
      <c r="KLQ74" s="545"/>
      <c r="KLR74" s="545"/>
      <c r="KLS74" s="545"/>
      <c r="KLT74" s="545"/>
      <c r="KLU74" s="545"/>
      <c r="KLV74" s="545"/>
      <c r="KLW74" s="545"/>
      <c r="KLX74" s="545"/>
      <c r="KLY74" s="545"/>
      <c r="KLZ74" s="545"/>
      <c r="KMA74" s="545"/>
      <c r="KMB74" s="545"/>
      <c r="KMC74" s="545"/>
      <c r="KMD74" s="545"/>
      <c r="KME74" s="545"/>
      <c r="KMF74" s="545"/>
      <c r="KMG74" s="545"/>
      <c r="KMH74" s="545"/>
      <c r="KMI74" s="545"/>
      <c r="KMJ74" s="545"/>
      <c r="KMK74" s="545"/>
      <c r="KML74" s="545"/>
      <c r="KMM74" s="545"/>
      <c r="KMN74" s="545"/>
      <c r="KMO74" s="545"/>
      <c r="KMP74" s="545"/>
      <c r="KMQ74" s="545"/>
      <c r="KMR74" s="545"/>
      <c r="KMS74" s="545"/>
      <c r="KMT74" s="545"/>
      <c r="KMU74" s="545"/>
      <c r="KMV74" s="545"/>
      <c r="KMW74" s="545"/>
      <c r="KMX74" s="545"/>
      <c r="KMY74" s="545"/>
      <c r="KMZ74" s="545"/>
      <c r="KNA74" s="545"/>
      <c r="KNB74" s="545"/>
      <c r="KNC74" s="545"/>
      <c r="KND74" s="545"/>
      <c r="KNE74" s="545"/>
      <c r="KNF74" s="545"/>
      <c r="KNG74" s="545"/>
      <c r="KNH74" s="545"/>
      <c r="KNI74" s="545"/>
      <c r="KNJ74" s="545"/>
      <c r="KNK74" s="545"/>
      <c r="KNL74" s="545"/>
      <c r="KNM74" s="545"/>
      <c r="KNN74" s="545"/>
      <c r="KNO74" s="545"/>
      <c r="KNP74" s="545"/>
      <c r="KNQ74" s="545"/>
      <c r="KNR74" s="545"/>
      <c r="KNS74" s="545"/>
      <c r="KNT74" s="545"/>
      <c r="KNU74" s="545"/>
      <c r="KNV74" s="545"/>
      <c r="KNW74" s="545"/>
      <c r="KNX74" s="545"/>
      <c r="KNY74" s="545"/>
      <c r="KNZ74" s="545"/>
      <c r="KOA74" s="545"/>
      <c r="KOB74" s="545"/>
      <c r="KOC74" s="545"/>
      <c r="KOD74" s="545"/>
      <c r="KOE74" s="545"/>
      <c r="KOF74" s="545"/>
      <c r="KOG74" s="545"/>
      <c r="KOH74" s="545"/>
      <c r="KOI74" s="545"/>
      <c r="KOJ74" s="545"/>
      <c r="KOK74" s="545"/>
      <c r="KOL74" s="545"/>
      <c r="KOM74" s="545"/>
      <c r="KON74" s="545"/>
      <c r="KOO74" s="545"/>
      <c r="KOP74" s="545"/>
      <c r="KOQ74" s="545"/>
      <c r="KOR74" s="545"/>
      <c r="KOS74" s="545"/>
      <c r="KOT74" s="545"/>
      <c r="KOU74" s="545"/>
      <c r="KOV74" s="545"/>
      <c r="KOW74" s="545"/>
      <c r="KOX74" s="545"/>
      <c r="KOY74" s="545"/>
      <c r="KOZ74" s="545"/>
      <c r="KPA74" s="545"/>
      <c r="KPB74" s="545"/>
      <c r="KPC74" s="545"/>
      <c r="KPD74" s="545"/>
      <c r="KPE74" s="545"/>
      <c r="KPF74" s="545"/>
      <c r="KPG74" s="545"/>
      <c r="KPH74" s="545"/>
      <c r="KPI74" s="545"/>
      <c r="KPJ74" s="545"/>
      <c r="KPK74" s="545"/>
      <c r="KPL74" s="545"/>
      <c r="KPM74" s="545"/>
      <c r="KPN74" s="545"/>
      <c r="KPO74" s="545"/>
      <c r="KPP74" s="545"/>
      <c r="KPQ74" s="545"/>
      <c r="KPR74" s="545"/>
      <c r="KPS74" s="545"/>
      <c r="KPT74" s="545"/>
      <c r="KPU74" s="545"/>
      <c r="KPV74" s="545"/>
      <c r="KPW74" s="545"/>
      <c r="KPX74" s="545"/>
      <c r="KPY74" s="545"/>
      <c r="KPZ74" s="545"/>
      <c r="KQA74" s="545"/>
      <c r="KQB74" s="545"/>
      <c r="KQC74" s="545"/>
      <c r="KQD74" s="545"/>
      <c r="KQE74" s="545"/>
      <c r="KQF74" s="545"/>
      <c r="KQG74" s="545"/>
      <c r="KQH74" s="545"/>
      <c r="KQI74" s="545"/>
      <c r="KQJ74" s="545"/>
      <c r="KQK74" s="545"/>
      <c r="KQL74" s="545"/>
      <c r="KQM74" s="545"/>
      <c r="KQN74" s="545"/>
      <c r="KQO74" s="545"/>
      <c r="KQP74" s="545"/>
      <c r="KQQ74" s="545"/>
      <c r="KQR74" s="545"/>
      <c r="KQS74" s="545"/>
      <c r="KQT74" s="545"/>
      <c r="KQU74" s="545"/>
      <c r="KQV74" s="545"/>
      <c r="KQW74" s="545"/>
      <c r="KQX74" s="545"/>
      <c r="KQY74" s="545"/>
      <c r="KQZ74" s="545"/>
      <c r="KRA74" s="545"/>
      <c r="KRB74" s="545"/>
      <c r="KRC74" s="545"/>
      <c r="KRD74" s="545"/>
      <c r="KRE74" s="545"/>
      <c r="KRF74" s="545"/>
      <c r="KRG74" s="545"/>
      <c r="KRH74" s="545"/>
      <c r="KRI74" s="545"/>
      <c r="KRJ74" s="545"/>
      <c r="KRK74" s="545"/>
      <c r="KRL74" s="545"/>
      <c r="KRM74" s="545"/>
      <c r="KRN74" s="545"/>
      <c r="KRO74" s="545"/>
      <c r="KRP74" s="545"/>
      <c r="KRQ74" s="545"/>
      <c r="KRR74" s="545"/>
      <c r="KRS74" s="545"/>
      <c r="KRT74" s="545"/>
      <c r="KRU74" s="545"/>
      <c r="KRV74" s="545"/>
      <c r="KRW74" s="545"/>
      <c r="KRX74" s="545"/>
      <c r="KRY74" s="545"/>
      <c r="KRZ74" s="545"/>
      <c r="KSA74" s="545"/>
      <c r="KSB74" s="545"/>
      <c r="KSC74" s="545"/>
      <c r="KSD74" s="545"/>
      <c r="KSE74" s="545"/>
      <c r="KSF74" s="545"/>
      <c r="KSG74" s="545"/>
      <c r="KSH74" s="545"/>
      <c r="KSI74" s="545"/>
      <c r="KSJ74" s="545"/>
      <c r="KSK74" s="545"/>
      <c r="KSL74" s="545"/>
      <c r="KSM74" s="545"/>
      <c r="KSN74" s="545"/>
      <c r="KSO74" s="545"/>
      <c r="KSP74" s="545"/>
      <c r="KSQ74" s="545"/>
      <c r="KSR74" s="545"/>
      <c r="KSS74" s="545"/>
      <c r="KST74" s="545"/>
      <c r="KSU74" s="545"/>
      <c r="KSV74" s="545"/>
      <c r="KSW74" s="545"/>
      <c r="KSX74" s="545"/>
      <c r="KSY74" s="545"/>
      <c r="KSZ74" s="545"/>
      <c r="KTA74" s="545"/>
      <c r="KTB74" s="545"/>
      <c r="KTC74" s="545"/>
      <c r="KTD74" s="545"/>
      <c r="KTE74" s="545"/>
      <c r="KTF74" s="545"/>
      <c r="KTG74" s="545"/>
      <c r="KTH74" s="545"/>
      <c r="KTI74" s="545"/>
      <c r="KTJ74" s="545"/>
      <c r="KTK74" s="545"/>
      <c r="KTL74" s="545"/>
      <c r="KTM74" s="545"/>
      <c r="KTN74" s="545"/>
      <c r="KTO74" s="545"/>
      <c r="KTP74" s="545"/>
      <c r="KTQ74" s="545"/>
      <c r="KTR74" s="545"/>
      <c r="KTS74" s="545"/>
      <c r="KTT74" s="545"/>
      <c r="KTU74" s="545"/>
      <c r="KTV74" s="545"/>
      <c r="KTW74" s="545"/>
      <c r="KTX74" s="545"/>
      <c r="KTY74" s="545"/>
      <c r="KTZ74" s="545"/>
      <c r="KUA74" s="545"/>
      <c r="KUB74" s="545"/>
      <c r="KUC74" s="545"/>
      <c r="KUD74" s="545"/>
      <c r="KUE74" s="545"/>
      <c r="KUF74" s="545"/>
      <c r="KUG74" s="545"/>
      <c r="KUH74" s="545"/>
      <c r="KUI74" s="545"/>
      <c r="KUJ74" s="545"/>
      <c r="KUK74" s="545"/>
      <c r="KUL74" s="545"/>
      <c r="KUM74" s="545"/>
      <c r="KUN74" s="545"/>
      <c r="KUO74" s="545"/>
      <c r="KUP74" s="545"/>
      <c r="KUQ74" s="545"/>
      <c r="KUR74" s="545"/>
      <c r="KUS74" s="545"/>
      <c r="KUT74" s="545"/>
      <c r="KUU74" s="545"/>
      <c r="KUV74" s="545"/>
      <c r="KUW74" s="545"/>
      <c r="KUX74" s="545"/>
      <c r="KUY74" s="545"/>
      <c r="KUZ74" s="545"/>
      <c r="KVA74" s="545"/>
      <c r="KVB74" s="545"/>
      <c r="KVC74" s="545"/>
      <c r="KVD74" s="545"/>
      <c r="KVE74" s="545"/>
      <c r="KVF74" s="545"/>
      <c r="KVG74" s="545"/>
      <c r="KVH74" s="545"/>
      <c r="KVI74" s="545"/>
      <c r="KVJ74" s="545"/>
      <c r="KVK74" s="545"/>
      <c r="KVL74" s="545"/>
      <c r="KVM74" s="545"/>
      <c r="KVN74" s="545"/>
      <c r="KVO74" s="545"/>
      <c r="KVP74" s="545"/>
      <c r="KVQ74" s="545"/>
      <c r="KVR74" s="545"/>
      <c r="KVS74" s="545"/>
      <c r="KVT74" s="545"/>
      <c r="KVU74" s="545"/>
      <c r="KVV74" s="545"/>
      <c r="KVW74" s="545"/>
      <c r="KVX74" s="545"/>
      <c r="KVY74" s="545"/>
      <c r="KVZ74" s="545"/>
      <c r="KWA74" s="545"/>
      <c r="KWB74" s="545"/>
      <c r="KWC74" s="545"/>
      <c r="KWD74" s="545"/>
      <c r="KWE74" s="545"/>
      <c r="KWF74" s="545"/>
      <c r="KWG74" s="545"/>
      <c r="KWH74" s="545"/>
      <c r="KWI74" s="545"/>
      <c r="KWJ74" s="545"/>
      <c r="KWK74" s="545"/>
      <c r="KWL74" s="545"/>
      <c r="KWM74" s="545"/>
      <c r="KWN74" s="545"/>
      <c r="KWO74" s="545"/>
      <c r="KWP74" s="545"/>
      <c r="KWQ74" s="545"/>
      <c r="KWR74" s="545"/>
      <c r="KWS74" s="545"/>
      <c r="KWT74" s="545"/>
      <c r="KWU74" s="545"/>
      <c r="KWV74" s="545"/>
      <c r="KWW74" s="545"/>
      <c r="KWX74" s="545"/>
      <c r="KWY74" s="545"/>
      <c r="KWZ74" s="545"/>
      <c r="KXA74" s="545"/>
      <c r="KXB74" s="545"/>
      <c r="KXC74" s="545"/>
      <c r="KXD74" s="545"/>
      <c r="KXE74" s="545"/>
      <c r="KXF74" s="545"/>
      <c r="KXG74" s="545"/>
      <c r="KXH74" s="545"/>
      <c r="KXI74" s="545"/>
      <c r="KXJ74" s="545"/>
      <c r="KXK74" s="545"/>
      <c r="KXL74" s="545"/>
      <c r="KXM74" s="545"/>
      <c r="KXN74" s="545"/>
      <c r="KXO74" s="545"/>
      <c r="KXP74" s="545"/>
      <c r="KXQ74" s="545"/>
      <c r="KXR74" s="545"/>
      <c r="KXS74" s="545"/>
      <c r="KXT74" s="545"/>
      <c r="KXU74" s="545"/>
      <c r="KXV74" s="545"/>
      <c r="KXW74" s="545"/>
      <c r="KXX74" s="545"/>
      <c r="KXY74" s="545"/>
      <c r="KXZ74" s="545"/>
      <c r="KYA74" s="545"/>
      <c r="KYB74" s="545"/>
      <c r="KYC74" s="545"/>
      <c r="KYD74" s="545"/>
      <c r="KYE74" s="545"/>
      <c r="KYF74" s="545"/>
      <c r="KYG74" s="545"/>
      <c r="KYH74" s="545"/>
      <c r="KYI74" s="545"/>
      <c r="KYJ74" s="545"/>
      <c r="KYK74" s="545"/>
      <c r="KYL74" s="545"/>
      <c r="KYM74" s="545"/>
      <c r="KYN74" s="545"/>
      <c r="KYO74" s="545"/>
      <c r="KYP74" s="545"/>
      <c r="KYQ74" s="545"/>
      <c r="KYR74" s="545"/>
      <c r="KYS74" s="545"/>
      <c r="KYT74" s="545"/>
      <c r="KYU74" s="545"/>
      <c r="KYV74" s="545"/>
      <c r="KYW74" s="545"/>
      <c r="KYX74" s="545"/>
      <c r="KYY74" s="545"/>
      <c r="KYZ74" s="545"/>
      <c r="KZA74" s="545"/>
      <c r="KZB74" s="545"/>
      <c r="KZC74" s="545"/>
      <c r="KZD74" s="545"/>
      <c r="KZE74" s="545"/>
      <c r="KZF74" s="545"/>
      <c r="KZG74" s="545"/>
      <c r="KZH74" s="545"/>
      <c r="KZI74" s="545"/>
      <c r="KZJ74" s="545"/>
      <c r="KZK74" s="545"/>
      <c r="KZL74" s="545"/>
      <c r="KZM74" s="545"/>
      <c r="KZN74" s="545"/>
      <c r="KZO74" s="545"/>
      <c r="KZP74" s="545"/>
      <c r="KZQ74" s="545"/>
      <c r="KZR74" s="545"/>
      <c r="KZS74" s="545"/>
      <c r="KZT74" s="545"/>
      <c r="KZU74" s="545"/>
      <c r="KZV74" s="545"/>
      <c r="KZW74" s="545"/>
      <c r="KZX74" s="545"/>
      <c r="KZY74" s="545"/>
      <c r="KZZ74" s="545"/>
      <c r="LAA74" s="545"/>
      <c r="LAB74" s="545"/>
      <c r="LAC74" s="545"/>
      <c r="LAD74" s="545"/>
      <c r="LAE74" s="545"/>
      <c r="LAF74" s="545"/>
      <c r="LAG74" s="545"/>
      <c r="LAH74" s="545"/>
      <c r="LAI74" s="545"/>
      <c r="LAJ74" s="545"/>
      <c r="LAK74" s="545"/>
      <c r="LAL74" s="545"/>
      <c r="LAM74" s="545"/>
      <c r="LAN74" s="545"/>
      <c r="LAO74" s="545"/>
      <c r="LAP74" s="545"/>
      <c r="LAQ74" s="545"/>
      <c r="LAR74" s="545"/>
      <c r="LAS74" s="545"/>
      <c r="LAT74" s="545"/>
      <c r="LAU74" s="545"/>
      <c r="LAV74" s="545"/>
      <c r="LAW74" s="545"/>
      <c r="LAX74" s="545"/>
      <c r="LAY74" s="545"/>
      <c r="LAZ74" s="545"/>
      <c r="LBA74" s="545"/>
      <c r="LBB74" s="545"/>
      <c r="LBC74" s="545"/>
      <c r="LBD74" s="545"/>
      <c r="LBE74" s="545"/>
      <c r="LBF74" s="545"/>
      <c r="LBG74" s="545"/>
      <c r="LBH74" s="545"/>
      <c r="LBI74" s="545"/>
      <c r="LBJ74" s="545"/>
      <c r="LBK74" s="545"/>
      <c r="LBL74" s="545"/>
      <c r="LBM74" s="545"/>
      <c r="LBN74" s="545"/>
      <c r="LBO74" s="545"/>
      <c r="LBP74" s="545"/>
      <c r="LBQ74" s="545"/>
      <c r="LBR74" s="545"/>
      <c r="LBS74" s="545"/>
      <c r="LBT74" s="545"/>
      <c r="LBU74" s="545"/>
      <c r="LBV74" s="545"/>
      <c r="LBW74" s="545"/>
      <c r="LBX74" s="545"/>
      <c r="LBY74" s="545"/>
      <c r="LBZ74" s="545"/>
      <c r="LCA74" s="545"/>
      <c r="LCB74" s="545"/>
      <c r="LCC74" s="545"/>
      <c r="LCD74" s="545"/>
      <c r="LCE74" s="545"/>
      <c r="LCF74" s="545"/>
      <c r="LCG74" s="545"/>
      <c r="LCH74" s="545"/>
      <c r="LCI74" s="545"/>
      <c r="LCJ74" s="545"/>
      <c r="LCK74" s="545"/>
      <c r="LCL74" s="545"/>
      <c r="LCM74" s="545"/>
      <c r="LCN74" s="545"/>
      <c r="LCO74" s="545"/>
      <c r="LCP74" s="545"/>
      <c r="LCQ74" s="545"/>
      <c r="LCR74" s="545"/>
      <c r="LCS74" s="545"/>
      <c r="LCT74" s="545"/>
      <c r="LCU74" s="545"/>
      <c r="LCV74" s="545"/>
      <c r="LCW74" s="545"/>
      <c r="LCX74" s="545"/>
      <c r="LCY74" s="545"/>
      <c r="LCZ74" s="545"/>
      <c r="LDA74" s="545"/>
      <c r="LDB74" s="545"/>
      <c r="LDC74" s="545"/>
      <c r="LDD74" s="545"/>
      <c r="LDE74" s="545"/>
      <c r="LDF74" s="545"/>
      <c r="LDG74" s="545"/>
      <c r="LDH74" s="545"/>
      <c r="LDI74" s="545"/>
      <c r="LDJ74" s="545"/>
      <c r="LDK74" s="545"/>
      <c r="LDL74" s="545"/>
      <c r="LDM74" s="545"/>
      <c r="LDN74" s="545"/>
      <c r="LDO74" s="545"/>
      <c r="LDP74" s="545"/>
      <c r="LDQ74" s="545"/>
      <c r="LDR74" s="545"/>
      <c r="LDS74" s="545"/>
      <c r="LDT74" s="545"/>
      <c r="LDU74" s="545"/>
      <c r="LDV74" s="545"/>
      <c r="LDW74" s="545"/>
      <c r="LDX74" s="545"/>
      <c r="LDY74" s="545"/>
      <c r="LDZ74" s="545"/>
      <c r="LEA74" s="545"/>
      <c r="LEB74" s="545"/>
      <c r="LEC74" s="545"/>
      <c r="LED74" s="545"/>
      <c r="LEE74" s="545"/>
      <c r="LEF74" s="545"/>
      <c r="LEG74" s="545"/>
      <c r="LEH74" s="545"/>
      <c r="LEI74" s="545"/>
      <c r="LEJ74" s="545"/>
      <c r="LEK74" s="545"/>
      <c r="LEL74" s="545"/>
      <c r="LEM74" s="545"/>
      <c r="LEN74" s="545"/>
      <c r="LEO74" s="545"/>
      <c r="LEP74" s="545"/>
      <c r="LEQ74" s="545"/>
      <c r="LER74" s="545"/>
      <c r="LES74" s="545"/>
      <c r="LET74" s="545"/>
      <c r="LEU74" s="545"/>
      <c r="LEV74" s="545"/>
      <c r="LEW74" s="545"/>
      <c r="LEX74" s="545"/>
      <c r="LEY74" s="545"/>
      <c r="LEZ74" s="545"/>
      <c r="LFA74" s="545"/>
      <c r="LFB74" s="545"/>
      <c r="LFC74" s="545"/>
      <c r="LFD74" s="545"/>
      <c r="LFE74" s="545"/>
      <c r="LFF74" s="545"/>
      <c r="LFG74" s="545"/>
      <c r="LFH74" s="545"/>
      <c r="LFI74" s="545"/>
      <c r="LFJ74" s="545"/>
      <c r="LFK74" s="545"/>
      <c r="LFL74" s="545"/>
      <c r="LFM74" s="545"/>
      <c r="LFN74" s="545"/>
      <c r="LFO74" s="545"/>
      <c r="LFP74" s="545"/>
      <c r="LFQ74" s="545"/>
      <c r="LFR74" s="545"/>
      <c r="LFS74" s="545"/>
      <c r="LFT74" s="545"/>
      <c r="LFU74" s="545"/>
      <c r="LFV74" s="545"/>
      <c r="LFW74" s="545"/>
      <c r="LFX74" s="545"/>
      <c r="LFY74" s="545"/>
      <c r="LFZ74" s="545"/>
      <c r="LGA74" s="545"/>
      <c r="LGB74" s="545"/>
      <c r="LGC74" s="545"/>
      <c r="LGD74" s="545"/>
      <c r="LGE74" s="545"/>
      <c r="LGF74" s="545"/>
      <c r="LGG74" s="545"/>
      <c r="LGH74" s="545"/>
      <c r="LGI74" s="545"/>
      <c r="LGJ74" s="545"/>
      <c r="LGK74" s="545"/>
      <c r="LGL74" s="545"/>
      <c r="LGM74" s="545"/>
      <c r="LGN74" s="545"/>
      <c r="LGO74" s="545"/>
      <c r="LGP74" s="545"/>
      <c r="LGQ74" s="545"/>
      <c r="LGR74" s="545"/>
      <c r="LGS74" s="545"/>
      <c r="LGT74" s="545"/>
      <c r="LGU74" s="545"/>
      <c r="LGV74" s="545"/>
      <c r="LGW74" s="545"/>
      <c r="LGX74" s="545"/>
      <c r="LGY74" s="545"/>
      <c r="LGZ74" s="545"/>
      <c r="LHA74" s="545"/>
      <c r="LHB74" s="545"/>
      <c r="LHC74" s="545"/>
      <c r="LHD74" s="545"/>
      <c r="LHE74" s="545"/>
      <c r="LHF74" s="545"/>
      <c r="LHG74" s="545"/>
      <c r="LHH74" s="545"/>
      <c r="LHI74" s="545"/>
      <c r="LHJ74" s="545"/>
      <c r="LHK74" s="545"/>
      <c r="LHL74" s="545"/>
      <c r="LHM74" s="545"/>
      <c r="LHN74" s="545"/>
      <c r="LHO74" s="545"/>
      <c r="LHP74" s="545"/>
      <c r="LHQ74" s="545"/>
      <c r="LHR74" s="545"/>
      <c r="LHS74" s="545"/>
      <c r="LHT74" s="545"/>
      <c r="LHU74" s="545"/>
      <c r="LHV74" s="545"/>
      <c r="LHW74" s="545"/>
      <c r="LHX74" s="545"/>
      <c r="LHY74" s="545"/>
      <c r="LHZ74" s="545"/>
      <c r="LIA74" s="545"/>
      <c r="LIB74" s="545"/>
      <c r="LIC74" s="545"/>
      <c r="LID74" s="545"/>
      <c r="LIE74" s="545"/>
      <c r="LIF74" s="545"/>
      <c r="LIG74" s="545"/>
      <c r="LIH74" s="545"/>
      <c r="LII74" s="545"/>
      <c r="LIJ74" s="545"/>
      <c r="LIK74" s="545"/>
      <c r="LIL74" s="545"/>
      <c r="LIM74" s="545"/>
      <c r="LIN74" s="545"/>
      <c r="LIO74" s="545"/>
      <c r="LIP74" s="545"/>
      <c r="LIQ74" s="545"/>
      <c r="LIR74" s="545"/>
      <c r="LIS74" s="545"/>
      <c r="LIT74" s="545"/>
      <c r="LIU74" s="545"/>
      <c r="LIV74" s="545"/>
      <c r="LIW74" s="545"/>
      <c r="LIX74" s="545"/>
      <c r="LIY74" s="545"/>
      <c r="LIZ74" s="545"/>
      <c r="LJA74" s="545"/>
      <c r="LJB74" s="545"/>
      <c r="LJC74" s="545"/>
      <c r="LJD74" s="545"/>
      <c r="LJE74" s="545"/>
      <c r="LJF74" s="545"/>
      <c r="LJG74" s="545"/>
      <c r="LJH74" s="545"/>
      <c r="LJI74" s="545"/>
      <c r="LJJ74" s="545"/>
      <c r="LJK74" s="545"/>
      <c r="LJL74" s="545"/>
      <c r="LJM74" s="545"/>
      <c r="LJN74" s="545"/>
      <c r="LJO74" s="545"/>
      <c r="LJP74" s="545"/>
      <c r="LJQ74" s="545"/>
      <c r="LJR74" s="545"/>
      <c r="LJS74" s="545"/>
      <c r="LJT74" s="545"/>
      <c r="LJU74" s="545"/>
      <c r="LJV74" s="545"/>
      <c r="LJW74" s="545"/>
      <c r="LJX74" s="545"/>
      <c r="LJY74" s="545"/>
      <c r="LJZ74" s="545"/>
      <c r="LKA74" s="545"/>
      <c r="LKB74" s="545"/>
      <c r="LKC74" s="545"/>
      <c r="LKD74" s="545"/>
      <c r="LKE74" s="545"/>
      <c r="LKF74" s="545"/>
      <c r="LKG74" s="545"/>
      <c r="LKH74" s="545"/>
      <c r="LKI74" s="545"/>
      <c r="LKJ74" s="545"/>
      <c r="LKK74" s="545"/>
      <c r="LKL74" s="545"/>
      <c r="LKM74" s="545"/>
      <c r="LKN74" s="545"/>
      <c r="LKO74" s="545"/>
      <c r="LKP74" s="545"/>
      <c r="LKQ74" s="545"/>
      <c r="LKR74" s="545"/>
      <c r="LKS74" s="545"/>
      <c r="LKT74" s="545"/>
      <c r="LKU74" s="545"/>
      <c r="LKV74" s="545"/>
      <c r="LKW74" s="545"/>
      <c r="LKX74" s="545"/>
      <c r="LKY74" s="545"/>
      <c r="LKZ74" s="545"/>
      <c r="LLA74" s="545"/>
      <c r="LLB74" s="545"/>
      <c r="LLC74" s="545"/>
      <c r="LLD74" s="545"/>
      <c r="LLE74" s="545"/>
      <c r="LLF74" s="545"/>
      <c r="LLG74" s="545"/>
      <c r="LLH74" s="545"/>
      <c r="LLI74" s="545"/>
      <c r="LLJ74" s="545"/>
      <c r="LLK74" s="545"/>
      <c r="LLL74" s="545"/>
      <c r="LLM74" s="545"/>
      <c r="LLN74" s="545"/>
      <c r="LLO74" s="545"/>
      <c r="LLP74" s="545"/>
      <c r="LLQ74" s="545"/>
      <c r="LLR74" s="545"/>
      <c r="LLS74" s="545"/>
      <c r="LLT74" s="545"/>
      <c r="LLU74" s="545"/>
      <c r="LLV74" s="545"/>
      <c r="LLW74" s="545"/>
      <c r="LLX74" s="545"/>
      <c r="LLY74" s="545"/>
      <c r="LLZ74" s="545"/>
      <c r="LMA74" s="545"/>
      <c r="LMB74" s="545"/>
      <c r="LMC74" s="545"/>
      <c r="LMD74" s="545"/>
      <c r="LME74" s="545"/>
      <c r="LMF74" s="545"/>
      <c r="LMG74" s="545"/>
      <c r="LMH74" s="545"/>
      <c r="LMI74" s="545"/>
      <c r="LMJ74" s="545"/>
      <c r="LMK74" s="545"/>
      <c r="LML74" s="545"/>
      <c r="LMM74" s="545"/>
      <c r="LMN74" s="545"/>
      <c r="LMO74" s="545"/>
      <c r="LMP74" s="545"/>
      <c r="LMQ74" s="545"/>
      <c r="LMR74" s="545"/>
      <c r="LMS74" s="545"/>
      <c r="LMT74" s="545"/>
      <c r="LMU74" s="545"/>
      <c r="LMV74" s="545"/>
      <c r="LMW74" s="545"/>
      <c r="LMX74" s="545"/>
      <c r="LMY74" s="545"/>
      <c r="LMZ74" s="545"/>
      <c r="LNA74" s="545"/>
      <c r="LNB74" s="545"/>
      <c r="LNC74" s="545"/>
      <c r="LND74" s="545"/>
      <c r="LNE74" s="545"/>
      <c r="LNF74" s="545"/>
      <c r="LNG74" s="545"/>
      <c r="LNH74" s="545"/>
      <c r="LNI74" s="545"/>
      <c r="LNJ74" s="545"/>
      <c r="LNK74" s="545"/>
      <c r="LNL74" s="545"/>
      <c r="LNM74" s="545"/>
      <c r="LNN74" s="545"/>
      <c r="LNO74" s="545"/>
      <c r="LNP74" s="545"/>
      <c r="LNQ74" s="545"/>
      <c r="LNR74" s="545"/>
      <c r="LNS74" s="545"/>
      <c r="LNT74" s="545"/>
      <c r="LNU74" s="545"/>
      <c r="LNV74" s="545"/>
      <c r="LNW74" s="545"/>
      <c r="LNX74" s="545"/>
      <c r="LNY74" s="545"/>
      <c r="LNZ74" s="545"/>
      <c r="LOA74" s="545"/>
      <c r="LOB74" s="545"/>
      <c r="LOC74" s="545"/>
      <c r="LOD74" s="545"/>
      <c r="LOE74" s="545"/>
      <c r="LOF74" s="545"/>
      <c r="LOG74" s="545"/>
      <c r="LOH74" s="545"/>
      <c r="LOI74" s="545"/>
      <c r="LOJ74" s="545"/>
      <c r="LOK74" s="545"/>
      <c r="LOL74" s="545"/>
      <c r="LOM74" s="545"/>
      <c r="LON74" s="545"/>
      <c r="LOO74" s="545"/>
      <c r="LOP74" s="545"/>
      <c r="LOQ74" s="545"/>
      <c r="LOR74" s="545"/>
      <c r="LOS74" s="545"/>
      <c r="LOT74" s="545"/>
      <c r="LOU74" s="545"/>
      <c r="LOV74" s="545"/>
      <c r="LOW74" s="545"/>
      <c r="LOX74" s="545"/>
      <c r="LOY74" s="545"/>
      <c r="LOZ74" s="545"/>
      <c r="LPA74" s="545"/>
      <c r="LPB74" s="545"/>
      <c r="LPC74" s="545"/>
      <c r="LPD74" s="545"/>
      <c r="LPE74" s="545"/>
      <c r="LPF74" s="545"/>
      <c r="LPG74" s="545"/>
      <c r="LPH74" s="545"/>
      <c r="LPI74" s="545"/>
      <c r="LPJ74" s="545"/>
      <c r="LPK74" s="545"/>
      <c r="LPL74" s="545"/>
      <c r="LPM74" s="545"/>
      <c r="LPN74" s="545"/>
      <c r="LPO74" s="545"/>
      <c r="LPP74" s="545"/>
      <c r="LPQ74" s="545"/>
      <c r="LPR74" s="545"/>
      <c r="LPS74" s="545"/>
      <c r="LPT74" s="545"/>
      <c r="LPU74" s="545"/>
      <c r="LPV74" s="545"/>
      <c r="LPW74" s="545"/>
      <c r="LPX74" s="545"/>
      <c r="LPY74" s="545"/>
      <c r="LPZ74" s="545"/>
      <c r="LQA74" s="545"/>
      <c r="LQB74" s="545"/>
      <c r="LQC74" s="545"/>
      <c r="LQD74" s="545"/>
      <c r="LQE74" s="545"/>
      <c r="LQF74" s="545"/>
      <c r="LQG74" s="545"/>
      <c r="LQH74" s="545"/>
      <c r="LQI74" s="545"/>
      <c r="LQJ74" s="545"/>
      <c r="LQK74" s="545"/>
      <c r="LQL74" s="545"/>
      <c r="LQM74" s="545"/>
      <c r="LQN74" s="545"/>
      <c r="LQO74" s="545"/>
      <c r="LQP74" s="545"/>
      <c r="LQQ74" s="545"/>
      <c r="LQR74" s="545"/>
      <c r="LQS74" s="545"/>
      <c r="LQT74" s="545"/>
      <c r="LQU74" s="545"/>
      <c r="LQV74" s="545"/>
      <c r="LQW74" s="545"/>
      <c r="LQX74" s="545"/>
      <c r="LQY74" s="545"/>
      <c r="LQZ74" s="545"/>
      <c r="LRA74" s="545"/>
      <c r="LRB74" s="545"/>
      <c r="LRC74" s="545"/>
      <c r="LRD74" s="545"/>
      <c r="LRE74" s="545"/>
      <c r="LRF74" s="545"/>
      <c r="LRG74" s="545"/>
      <c r="LRH74" s="545"/>
      <c r="LRI74" s="545"/>
      <c r="LRJ74" s="545"/>
      <c r="LRK74" s="545"/>
      <c r="LRL74" s="545"/>
      <c r="LRM74" s="545"/>
      <c r="LRN74" s="545"/>
      <c r="LRO74" s="545"/>
      <c r="LRP74" s="545"/>
      <c r="LRQ74" s="545"/>
      <c r="LRR74" s="545"/>
      <c r="LRS74" s="545"/>
      <c r="LRT74" s="545"/>
      <c r="LRU74" s="545"/>
      <c r="LRV74" s="545"/>
      <c r="LRW74" s="545"/>
      <c r="LRX74" s="545"/>
      <c r="LRY74" s="545"/>
      <c r="LRZ74" s="545"/>
      <c r="LSA74" s="545"/>
      <c r="LSB74" s="545"/>
      <c r="LSC74" s="545"/>
      <c r="LSD74" s="545"/>
      <c r="LSE74" s="545"/>
      <c r="LSF74" s="545"/>
      <c r="LSG74" s="545"/>
      <c r="LSH74" s="545"/>
      <c r="LSI74" s="545"/>
      <c r="LSJ74" s="545"/>
      <c r="LSK74" s="545"/>
      <c r="LSL74" s="545"/>
      <c r="LSM74" s="545"/>
      <c r="LSN74" s="545"/>
      <c r="LSO74" s="545"/>
      <c r="LSP74" s="545"/>
      <c r="LSQ74" s="545"/>
      <c r="LSR74" s="545"/>
      <c r="LSS74" s="545"/>
      <c r="LST74" s="545"/>
      <c r="LSU74" s="545"/>
      <c r="LSV74" s="545"/>
      <c r="LSW74" s="545"/>
      <c r="LSX74" s="545"/>
      <c r="LSY74" s="545"/>
      <c r="LSZ74" s="545"/>
      <c r="LTA74" s="545"/>
      <c r="LTB74" s="545"/>
      <c r="LTC74" s="545"/>
      <c r="LTD74" s="545"/>
      <c r="LTE74" s="545"/>
      <c r="LTF74" s="545"/>
      <c r="LTG74" s="545"/>
      <c r="LTH74" s="545"/>
      <c r="LTI74" s="545"/>
      <c r="LTJ74" s="545"/>
      <c r="LTK74" s="545"/>
      <c r="LTL74" s="545"/>
      <c r="LTM74" s="545"/>
      <c r="LTN74" s="545"/>
      <c r="LTO74" s="545"/>
      <c r="LTP74" s="545"/>
      <c r="LTQ74" s="545"/>
      <c r="LTR74" s="545"/>
      <c r="LTS74" s="545"/>
      <c r="LTT74" s="545"/>
      <c r="LTU74" s="545"/>
      <c r="LTV74" s="545"/>
      <c r="LTW74" s="545"/>
      <c r="LTX74" s="545"/>
      <c r="LTY74" s="545"/>
      <c r="LTZ74" s="545"/>
      <c r="LUA74" s="545"/>
      <c r="LUB74" s="545"/>
      <c r="LUC74" s="545"/>
      <c r="LUD74" s="545"/>
      <c r="LUE74" s="545"/>
      <c r="LUF74" s="545"/>
      <c r="LUG74" s="545"/>
      <c r="LUH74" s="545"/>
      <c r="LUI74" s="545"/>
      <c r="LUJ74" s="545"/>
      <c r="LUK74" s="545"/>
      <c r="LUL74" s="545"/>
      <c r="LUM74" s="545"/>
      <c r="LUN74" s="545"/>
      <c r="LUO74" s="545"/>
      <c r="LUP74" s="545"/>
      <c r="LUQ74" s="545"/>
      <c r="LUR74" s="545"/>
      <c r="LUS74" s="545"/>
      <c r="LUT74" s="545"/>
      <c r="LUU74" s="545"/>
      <c r="LUV74" s="545"/>
      <c r="LUW74" s="545"/>
      <c r="LUX74" s="545"/>
      <c r="LUY74" s="545"/>
      <c r="LUZ74" s="545"/>
      <c r="LVA74" s="545"/>
      <c r="LVB74" s="545"/>
      <c r="LVC74" s="545"/>
      <c r="LVD74" s="545"/>
      <c r="LVE74" s="545"/>
      <c r="LVF74" s="545"/>
      <c r="LVG74" s="545"/>
      <c r="LVH74" s="545"/>
      <c r="LVI74" s="545"/>
      <c r="LVJ74" s="545"/>
      <c r="LVK74" s="545"/>
      <c r="LVL74" s="545"/>
      <c r="LVM74" s="545"/>
      <c r="LVN74" s="545"/>
      <c r="LVO74" s="545"/>
      <c r="LVP74" s="545"/>
      <c r="LVQ74" s="545"/>
      <c r="LVR74" s="545"/>
      <c r="LVS74" s="545"/>
      <c r="LVT74" s="545"/>
      <c r="LVU74" s="545"/>
      <c r="LVV74" s="545"/>
      <c r="LVW74" s="545"/>
      <c r="LVX74" s="545"/>
      <c r="LVY74" s="545"/>
      <c r="LVZ74" s="545"/>
      <c r="LWA74" s="545"/>
      <c r="LWB74" s="545"/>
      <c r="LWC74" s="545"/>
      <c r="LWD74" s="545"/>
      <c r="LWE74" s="545"/>
      <c r="LWF74" s="545"/>
      <c r="LWG74" s="545"/>
      <c r="LWH74" s="545"/>
      <c r="LWI74" s="545"/>
      <c r="LWJ74" s="545"/>
      <c r="LWK74" s="545"/>
      <c r="LWL74" s="545"/>
      <c r="LWM74" s="545"/>
      <c r="LWN74" s="545"/>
      <c r="LWO74" s="545"/>
      <c r="LWP74" s="545"/>
      <c r="LWQ74" s="545"/>
      <c r="LWR74" s="545"/>
      <c r="LWS74" s="545"/>
      <c r="LWT74" s="545"/>
      <c r="LWU74" s="545"/>
      <c r="LWV74" s="545"/>
      <c r="LWW74" s="545"/>
      <c r="LWX74" s="545"/>
      <c r="LWY74" s="545"/>
      <c r="LWZ74" s="545"/>
      <c r="LXA74" s="545"/>
      <c r="LXB74" s="545"/>
      <c r="LXC74" s="545"/>
      <c r="LXD74" s="545"/>
      <c r="LXE74" s="545"/>
      <c r="LXF74" s="545"/>
      <c r="LXG74" s="545"/>
      <c r="LXH74" s="545"/>
      <c r="LXI74" s="545"/>
      <c r="LXJ74" s="545"/>
      <c r="LXK74" s="545"/>
      <c r="LXL74" s="545"/>
      <c r="LXM74" s="545"/>
      <c r="LXN74" s="545"/>
      <c r="LXO74" s="545"/>
      <c r="LXP74" s="545"/>
      <c r="LXQ74" s="545"/>
      <c r="LXR74" s="545"/>
      <c r="LXS74" s="545"/>
      <c r="LXT74" s="545"/>
      <c r="LXU74" s="545"/>
      <c r="LXV74" s="545"/>
      <c r="LXW74" s="545"/>
      <c r="LXX74" s="545"/>
      <c r="LXY74" s="545"/>
      <c r="LXZ74" s="545"/>
      <c r="LYA74" s="545"/>
      <c r="LYB74" s="545"/>
      <c r="LYC74" s="545"/>
      <c r="LYD74" s="545"/>
      <c r="LYE74" s="545"/>
      <c r="LYF74" s="545"/>
      <c r="LYG74" s="545"/>
      <c r="LYH74" s="545"/>
      <c r="LYI74" s="545"/>
      <c r="LYJ74" s="545"/>
      <c r="LYK74" s="545"/>
      <c r="LYL74" s="545"/>
      <c r="LYM74" s="545"/>
      <c r="LYN74" s="545"/>
      <c r="LYO74" s="545"/>
      <c r="LYP74" s="545"/>
      <c r="LYQ74" s="545"/>
      <c r="LYR74" s="545"/>
      <c r="LYS74" s="545"/>
      <c r="LYT74" s="545"/>
      <c r="LYU74" s="545"/>
      <c r="LYV74" s="545"/>
      <c r="LYW74" s="545"/>
      <c r="LYX74" s="545"/>
      <c r="LYY74" s="545"/>
      <c r="LYZ74" s="545"/>
      <c r="LZA74" s="545"/>
      <c r="LZB74" s="545"/>
      <c r="LZC74" s="545"/>
      <c r="LZD74" s="545"/>
      <c r="LZE74" s="545"/>
      <c r="LZF74" s="545"/>
      <c r="LZG74" s="545"/>
      <c r="LZH74" s="545"/>
      <c r="LZI74" s="545"/>
      <c r="LZJ74" s="545"/>
      <c r="LZK74" s="545"/>
      <c r="LZL74" s="545"/>
      <c r="LZM74" s="545"/>
      <c r="LZN74" s="545"/>
      <c r="LZO74" s="545"/>
      <c r="LZP74" s="545"/>
      <c r="LZQ74" s="545"/>
      <c r="LZR74" s="545"/>
      <c r="LZS74" s="545"/>
      <c r="LZT74" s="545"/>
      <c r="LZU74" s="545"/>
      <c r="LZV74" s="545"/>
      <c r="LZW74" s="545"/>
      <c r="LZX74" s="545"/>
      <c r="LZY74" s="545"/>
      <c r="LZZ74" s="545"/>
      <c r="MAA74" s="545"/>
      <c r="MAB74" s="545"/>
      <c r="MAC74" s="545"/>
      <c r="MAD74" s="545"/>
      <c r="MAE74" s="545"/>
      <c r="MAF74" s="545"/>
      <c r="MAG74" s="545"/>
      <c r="MAH74" s="545"/>
      <c r="MAI74" s="545"/>
      <c r="MAJ74" s="545"/>
      <c r="MAK74" s="545"/>
      <c r="MAL74" s="545"/>
      <c r="MAM74" s="545"/>
      <c r="MAN74" s="545"/>
      <c r="MAO74" s="545"/>
      <c r="MAP74" s="545"/>
      <c r="MAQ74" s="545"/>
      <c r="MAR74" s="545"/>
      <c r="MAS74" s="545"/>
      <c r="MAT74" s="545"/>
      <c r="MAU74" s="545"/>
      <c r="MAV74" s="545"/>
      <c r="MAW74" s="545"/>
      <c r="MAX74" s="545"/>
      <c r="MAY74" s="545"/>
      <c r="MAZ74" s="545"/>
      <c r="MBA74" s="545"/>
      <c r="MBB74" s="545"/>
      <c r="MBC74" s="545"/>
      <c r="MBD74" s="545"/>
      <c r="MBE74" s="545"/>
      <c r="MBF74" s="545"/>
      <c r="MBG74" s="545"/>
      <c r="MBH74" s="545"/>
      <c r="MBI74" s="545"/>
      <c r="MBJ74" s="545"/>
      <c r="MBK74" s="545"/>
      <c r="MBL74" s="545"/>
      <c r="MBM74" s="545"/>
      <c r="MBN74" s="545"/>
      <c r="MBO74" s="545"/>
      <c r="MBP74" s="545"/>
      <c r="MBQ74" s="545"/>
      <c r="MBR74" s="545"/>
      <c r="MBS74" s="545"/>
      <c r="MBT74" s="545"/>
      <c r="MBU74" s="545"/>
      <c r="MBV74" s="545"/>
      <c r="MBW74" s="545"/>
      <c r="MBX74" s="545"/>
      <c r="MBY74" s="545"/>
      <c r="MBZ74" s="545"/>
      <c r="MCA74" s="545"/>
      <c r="MCB74" s="545"/>
      <c r="MCC74" s="545"/>
      <c r="MCD74" s="545"/>
      <c r="MCE74" s="545"/>
      <c r="MCF74" s="545"/>
      <c r="MCG74" s="545"/>
      <c r="MCH74" s="545"/>
      <c r="MCI74" s="545"/>
      <c r="MCJ74" s="545"/>
      <c r="MCK74" s="545"/>
      <c r="MCL74" s="545"/>
      <c r="MCM74" s="545"/>
      <c r="MCN74" s="545"/>
      <c r="MCO74" s="545"/>
      <c r="MCP74" s="545"/>
      <c r="MCQ74" s="545"/>
      <c r="MCR74" s="545"/>
      <c r="MCS74" s="545"/>
      <c r="MCT74" s="545"/>
      <c r="MCU74" s="545"/>
      <c r="MCV74" s="545"/>
      <c r="MCW74" s="545"/>
      <c r="MCX74" s="545"/>
      <c r="MCY74" s="545"/>
      <c r="MCZ74" s="545"/>
      <c r="MDA74" s="545"/>
      <c r="MDB74" s="545"/>
      <c r="MDC74" s="545"/>
      <c r="MDD74" s="545"/>
      <c r="MDE74" s="545"/>
      <c r="MDF74" s="545"/>
      <c r="MDG74" s="545"/>
      <c r="MDH74" s="545"/>
      <c r="MDI74" s="545"/>
      <c r="MDJ74" s="545"/>
      <c r="MDK74" s="545"/>
      <c r="MDL74" s="545"/>
      <c r="MDM74" s="545"/>
      <c r="MDN74" s="545"/>
      <c r="MDO74" s="545"/>
      <c r="MDP74" s="545"/>
      <c r="MDQ74" s="545"/>
      <c r="MDR74" s="545"/>
      <c r="MDS74" s="545"/>
      <c r="MDT74" s="545"/>
      <c r="MDU74" s="545"/>
      <c r="MDV74" s="545"/>
      <c r="MDW74" s="545"/>
      <c r="MDX74" s="545"/>
      <c r="MDY74" s="545"/>
      <c r="MDZ74" s="545"/>
      <c r="MEA74" s="545"/>
      <c r="MEB74" s="545"/>
      <c r="MEC74" s="545"/>
      <c r="MED74" s="545"/>
      <c r="MEE74" s="545"/>
      <c r="MEF74" s="545"/>
      <c r="MEG74" s="545"/>
      <c r="MEH74" s="545"/>
      <c r="MEI74" s="545"/>
      <c r="MEJ74" s="545"/>
      <c r="MEK74" s="545"/>
      <c r="MEL74" s="545"/>
      <c r="MEM74" s="545"/>
      <c r="MEN74" s="545"/>
      <c r="MEO74" s="545"/>
      <c r="MEP74" s="545"/>
      <c r="MEQ74" s="545"/>
      <c r="MER74" s="545"/>
      <c r="MES74" s="545"/>
      <c r="MET74" s="545"/>
      <c r="MEU74" s="545"/>
      <c r="MEV74" s="545"/>
      <c r="MEW74" s="545"/>
      <c r="MEX74" s="545"/>
      <c r="MEY74" s="545"/>
      <c r="MEZ74" s="545"/>
      <c r="MFA74" s="545"/>
      <c r="MFB74" s="545"/>
      <c r="MFC74" s="545"/>
      <c r="MFD74" s="545"/>
      <c r="MFE74" s="545"/>
      <c r="MFF74" s="545"/>
      <c r="MFG74" s="545"/>
      <c r="MFH74" s="545"/>
      <c r="MFI74" s="545"/>
      <c r="MFJ74" s="545"/>
      <c r="MFK74" s="545"/>
      <c r="MFL74" s="545"/>
      <c r="MFM74" s="545"/>
      <c r="MFN74" s="545"/>
      <c r="MFO74" s="545"/>
      <c r="MFP74" s="545"/>
      <c r="MFQ74" s="545"/>
      <c r="MFR74" s="545"/>
      <c r="MFS74" s="545"/>
      <c r="MFT74" s="545"/>
      <c r="MFU74" s="545"/>
      <c r="MFV74" s="545"/>
      <c r="MFW74" s="545"/>
      <c r="MFX74" s="545"/>
      <c r="MFY74" s="545"/>
      <c r="MFZ74" s="545"/>
      <c r="MGA74" s="545"/>
      <c r="MGB74" s="545"/>
      <c r="MGC74" s="545"/>
      <c r="MGD74" s="545"/>
      <c r="MGE74" s="545"/>
      <c r="MGF74" s="545"/>
      <c r="MGG74" s="545"/>
      <c r="MGH74" s="545"/>
      <c r="MGI74" s="545"/>
      <c r="MGJ74" s="545"/>
      <c r="MGK74" s="545"/>
      <c r="MGL74" s="545"/>
      <c r="MGM74" s="545"/>
      <c r="MGN74" s="545"/>
      <c r="MGO74" s="545"/>
      <c r="MGP74" s="545"/>
      <c r="MGQ74" s="545"/>
      <c r="MGR74" s="545"/>
      <c r="MGS74" s="545"/>
      <c r="MGT74" s="545"/>
      <c r="MGU74" s="545"/>
      <c r="MGV74" s="545"/>
      <c r="MGW74" s="545"/>
      <c r="MGX74" s="545"/>
      <c r="MGY74" s="545"/>
      <c r="MGZ74" s="545"/>
      <c r="MHA74" s="545"/>
      <c r="MHB74" s="545"/>
      <c r="MHC74" s="545"/>
      <c r="MHD74" s="545"/>
      <c r="MHE74" s="545"/>
      <c r="MHF74" s="545"/>
      <c r="MHG74" s="545"/>
      <c r="MHH74" s="545"/>
      <c r="MHI74" s="545"/>
      <c r="MHJ74" s="545"/>
      <c r="MHK74" s="545"/>
      <c r="MHL74" s="545"/>
      <c r="MHM74" s="545"/>
      <c r="MHN74" s="545"/>
      <c r="MHO74" s="545"/>
      <c r="MHP74" s="545"/>
      <c r="MHQ74" s="545"/>
      <c r="MHR74" s="545"/>
      <c r="MHS74" s="545"/>
      <c r="MHT74" s="545"/>
      <c r="MHU74" s="545"/>
      <c r="MHV74" s="545"/>
      <c r="MHW74" s="545"/>
      <c r="MHX74" s="545"/>
      <c r="MHY74" s="545"/>
      <c r="MHZ74" s="545"/>
      <c r="MIA74" s="545"/>
      <c r="MIB74" s="545"/>
      <c r="MIC74" s="545"/>
      <c r="MID74" s="545"/>
      <c r="MIE74" s="545"/>
      <c r="MIF74" s="545"/>
      <c r="MIG74" s="545"/>
      <c r="MIH74" s="545"/>
      <c r="MII74" s="545"/>
      <c r="MIJ74" s="545"/>
      <c r="MIK74" s="545"/>
      <c r="MIL74" s="545"/>
      <c r="MIM74" s="545"/>
      <c r="MIN74" s="545"/>
      <c r="MIO74" s="545"/>
      <c r="MIP74" s="545"/>
      <c r="MIQ74" s="545"/>
      <c r="MIR74" s="545"/>
      <c r="MIS74" s="545"/>
      <c r="MIT74" s="545"/>
      <c r="MIU74" s="545"/>
      <c r="MIV74" s="545"/>
      <c r="MIW74" s="545"/>
      <c r="MIX74" s="545"/>
      <c r="MIY74" s="545"/>
      <c r="MIZ74" s="545"/>
      <c r="MJA74" s="545"/>
      <c r="MJB74" s="545"/>
      <c r="MJC74" s="545"/>
      <c r="MJD74" s="545"/>
      <c r="MJE74" s="545"/>
      <c r="MJF74" s="545"/>
      <c r="MJG74" s="545"/>
      <c r="MJH74" s="545"/>
      <c r="MJI74" s="545"/>
      <c r="MJJ74" s="545"/>
      <c r="MJK74" s="545"/>
      <c r="MJL74" s="545"/>
      <c r="MJM74" s="545"/>
      <c r="MJN74" s="545"/>
      <c r="MJO74" s="545"/>
      <c r="MJP74" s="545"/>
      <c r="MJQ74" s="545"/>
      <c r="MJR74" s="545"/>
      <c r="MJS74" s="545"/>
      <c r="MJT74" s="545"/>
      <c r="MJU74" s="545"/>
      <c r="MJV74" s="545"/>
      <c r="MJW74" s="545"/>
      <c r="MJX74" s="545"/>
      <c r="MJY74" s="545"/>
      <c r="MJZ74" s="545"/>
      <c r="MKA74" s="545"/>
      <c r="MKB74" s="545"/>
      <c r="MKC74" s="545"/>
      <c r="MKD74" s="545"/>
      <c r="MKE74" s="545"/>
      <c r="MKF74" s="545"/>
      <c r="MKG74" s="545"/>
      <c r="MKH74" s="545"/>
      <c r="MKI74" s="545"/>
      <c r="MKJ74" s="545"/>
      <c r="MKK74" s="545"/>
      <c r="MKL74" s="545"/>
      <c r="MKM74" s="545"/>
      <c r="MKN74" s="545"/>
      <c r="MKO74" s="545"/>
      <c r="MKP74" s="545"/>
      <c r="MKQ74" s="545"/>
      <c r="MKR74" s="545"/>
      <c r="MKS74" s="545"/>
      <c r="MKT74" s="545"/>
      <c r="MKU74" s="545"/>
      <c r="MKV74" s="545"/>
      <c r="MKW74" s="545"/>
      <c r="MKX74" s="545"/>
      <c r="MKY74" s="545"/>
      <c r="MKZ74" s="545"/>
      <c r="MLA74" s="545"/>
      <c r="MLB74" s="545"/>
      <c r="MLC74" s="545"/>
      <c r="MLD74" s="545"/>
      <c r="MLE74" s="545"/>
      <c r="MLF74" s="545"/>
      <c r="MLG74" s="545"/>
      <c r="MLH74" s="545"/>
      <c r="MLI74" s="545"/>
      <c r="MLJ74" s="545"/>
      <c r="MLK74" s="545"/>
      <c r="MLL74" s="545"/>
      <c r="MLM74" s="545"/>
      <c r="MLN74" s="545"/>
      <c r="MLO74" s="545"/>
      <c r="MLP74" s="545"/>
      <c r="MLQ74" s="545"/>
      <c r="MLR74" s="545"/>
      <c r="MLS74" s="545"/>
      <c r="MLT74" s="545"/>
      <c r="MLU74" s="545"/>
      <c r="MLV74" s="545"/>
      <c r="MLW74" s="545"/>
      <c r="MLX74" s="545"/>
      <c r="MLY74" s="545"/>
      <c r="MLZ74" s="545"/>
      <c r="MMA74" s="545"/>
      <c r="MMB74" s="545"/>
      <c r="MMC74" s="545"/>
      <c r="MMD74" s="545"/>
      <c r="MME74" s="545"/>
      <c r="MMF74" s="545"/>
      <c r="MMG74" s="545"/>
      <c r="MMH74" s="545"/>
      <c r="MMI74" s="545"/>
      <c r="MMJ74" s="545"/>
      <c r="MMK74" s="545"/>
      <c r="MML74" s="545"/>
      <c r="MMM74" s="545"/>
      <c r="MMN74" s="545"/>
      <c r="MMO74" s="545"/>
      <c r="MMP74" s="545"/>
      <c r="MMQ74" s="545"/>
      <c r="MMR74" s="545"/>
      <c r="MMS74" s="545"/>
      <c r="MMT74" s="545"/>
      <c r="MMU74" s="545"/>
      <c r="MMV74" s="545"/>
      <c r="MMW74" s="545"/>
      <c r="MMX74" s="545"/>
      <c r="MMY74" s="545"/>
      <c r="MMZ74" s="545"/>
      <c r="MNA74" s="545"/>
      <c r="MNB74" s="545"/>
      <c r="MNC74" s="545"/>
      <c r="MND74" s="545"/>
      <c r="MNE74" s="545"/>
      <c r="MNF74" s="545"/>
      <c r="MNG74" s="545"/>
      <c r="MNH74" s="545"/>
      <c r="MNI74" s="545"/>
      <c r="MNJ74" s="545"/>
      <c r="MNK74" s="545"/>
      <c r="MNL74" s="545"/>
      <c r="MNM74" s="545"/>
      <c r="MNN74" s="545"/>
      <c r="MNO74" s="545"/>
      <c r="MNP74" s="545"/>
      <c r="MNQ74" s="545"/>
      <c r="MNR74" s="545"/>
      <c r="MNS74" s="545"/>
      <c r="MNT74" s="545"/>
      <c r="MNU74" s="545"/>
      <c r="MNV74" s="545"/>
      <c r="MNW74" s="545"/>
      <c r="MNX74" s="545"/>
      <c r="MNY74" s="545"/>
      <c r="MNZ74" s="545"/>
      <c r="MOA74" s="545"/>
      <c r="MOB74" s="545"/>
      <c r="MOC74" s="545"/>
      <c r="MOD74" s="545"/>
      <c r="MOE74" s="545"/>
      <c r="MOF74" s="545"/>
      <c r="MOG74" s="545"/>
      <c r="MOH74" s="545"/>
      <c r="MOI74" s="545"/>
      <c r="MOJ74" s="545"/>
      <c r="MOK74" s="545"/>
      <c r="MOL74" s="545"/>
      <c r="MOM74" s="545"/>
      <c r="MON74" s="545"/>
      <c r="MOO74" s="545"/>
      <c r="MOP74" s="545"/>
      <c r="MOQ74" s="545"/>
      <c r="MOR74" s="545"/>
      <c r="MOS74" s="545"/>
      <c r="MOT74" s="545"/>
      <c r="MOU74" s="545"/>
      <c r="MOV74" s="545"/>
      <c r="MOW74" s="545"/>
      <c r="MOX74" s="545"/>
      <c r="MOY74" s="545"/>
      <c r="MOZ74" s="545"/>
      <c r="MPA74" s="545"/>
      <c r="MPB74" s="545"/>
      <c r="MPC74" s="545"/>
      <c r="MPD74" s="545"/>
      <c r="MPE74" s="545"/>
      <c r="MPF74" s="545"/>
      <c r="MPG74" s="545"/>
      <c r="MPH74" s="545"/>
      <c r="MPI74" s="545"/>
      <c r="MPJ74" s="545"/>
      <c r="MPK74" s="545"/>
      <c r="MPL74" s="545"/>
      <c r="MPM74" s="545"/>
      <c r="MPN74" s="545"/>
      <c r="MPO74" s="545"/>
      <c r="MPP74" s="545"/>
      <c r="MPQ74" s="545"/>
      <c r="MPR74" s="545"/>
      <c r="MPS74" s="545"/>
      <c r="MPT74" s="545"/>
      <c r="MPU74" s="545"/>
      <c r="MPV74" s="545"/>
      <c r="MPW74" s="545"/>
      <c r="MPX74" s="545"/>
      <c r="MPY74" s="545"/>
      <c r="MPZ74" s="545"/>
      <c r="MQA74" s="545"/>
      <c r="MQB74" s="545"/>
      <c r="MQC74" s="545"/>
      <c r="MQD74" s="545"/>
      <c r="MQE74" s="545"/>
      <c r="MQF74" s="545"/>
      <c r="MQG74" s="545"/>
      <c r="MQH74" s="545"/>
      <c r="MQI74" s="545"/>
      <c r="MQJ74" s="545"/>
      <c r="MQK74" s="545"/>
      <c r="MQL74" s="545"/>
      <c r="MQM74" s="545"/>
      <c r="MQN74" s="545"/>
      <c r="MQO74" s="545"/>
      <c r="MQP74" s="545"/>
      <c r="MQQ74" s="545"/>
      <c r="MQR74" s="545"/>
      <c r="MQS74" s="545"/>
      <c r="MQT74" s="545"/>
      <c r="MQU74" s="545"/>
      <c r="MQV74" s="545"/>
      <c r="MQW74" s="545"/>
      <c r="MQX74" s="545"/>
      <c r="MQY74" s="545"/>
      <c r="MQZ74" s="545"/>
      <c r="MRA74" s="545"/>
      <c r="MRB74" s="545"/>
      <c r="MRC74" s="545"/>
      <c r="MRD74" s="545"/>
      <c r="MRE74" s="545"/>
      <c r="MRF74" s="545"/>
      <c r="MRG74" s="545"/>
      <c r="MRH74" s="545"/>
      <c r="MRI74" s="545"/>
      <c r="MRJ74" s="545"/>
      <c r="MRK74" s="545"/>
      <c r="MRL74" s="545"/>
      <c r="MRM74" s="545"/>
      <c r="MRN74" s="545"/>
      <c r="MRO74" s="545"/>
      <c r="MRP74" s="545"/>
      <c r="MRQ74" s="545"/>
      <c r="MRR74" s="545"/>
      <c r="MRS74" s="545"/>
      <c r="MRT74" s="545"/>
      <c r="MRU74" s="545"/>
      <c r="MRV74" s="545"/>
      <c r="MRW74" s="545"/>
      <c r="MRX74" s="545"/>
      <c r="MRY74" s="545"/>
      <c r="MRZ74" s="545"/>
      <c r="MSA74" s="545"/>
      <c r="MSB74" s="545"/>
      <c r="MSC74" s="545"/>
      <c r="MSD74" s="545"/>
      <c r="MSE74" s="545"/>
      <c r="MSF74" s="545"/>
      <c r="MSG74" s="545"/>
      <c r="MSH74" s="545"/>
      <c r="MSI74" s="545"/>
      <c r="MSJ74" s="545"/>
      <c r="MSK74" s="545"/>
      <c r="MSL74" s="545"/>
      <c r="MSM74" s="545"/>
      <c r="MSN74" s="545"/>
      <c r="MSO74" s="545"/>
      <c r="MSP74" s="545"/>
      <c r="MSQ74" s="545"/>
      <c r="MSR74" s="545"/>
      <c r="MSS74" s="545"/>
      <c r="MST74" s="545"/>
      <c r="MSU74" s="545"/>
      <c r="MSV74" s="545"/>
      <c r="MSW74" s="545"/>
      <c r="MSX74" s="545"/>
      <c r="MSY74" s="545"/>
      <c r="MSZ74" s="545"/>
      <c r="MTA74" s="545"/>
      <c r="MTB74" s="545"/>
      <c r="MTC74" s="545"/>
      <c r="MTD74" s="545"/>
      <c r="MTE74" s="545"/>
      <c r="MTF74" s="545"/>
      <c r="MTG74" s="545"/>
      <c r="MTH74" s="545"/>
      <c r="MTI74" s="545"/>
      <c r="MTJ74" s="545"/>
      <c r="MTK74" s="545"/>
      <c r="MTL74" s="545"/>
      <c r="MTM74" s="545"/>
      <c r="MTN74" s="545"/>
      <c r="MTO74" s="545"/>
      <c r="MTP74" s="545"/>
      <c r="MTQ74" s="545"/>
      <c r="MTR74" s="545"/>
      <c r="MTS74" s="545"/>
      <c r="MTT74" s="545"/>
      <c r="MTU74" s="545"/>
      <c r="MTV74" s="545"/>
      <c r="MTW74" s="545"/>
      <c r="MTX74" s="545"/>
      <c r="MTY74" s="545"/>
      <c r="MTZ74" s="545"/>
      <c r="MUA74" s="545"/>
      <c r="MUB74" s="545"/>
      <c r="MUC74" s="545"/>
      <c r="MUD74" s="545"/>
      <c r="MUE74" s="545"/>
      <c r="MUF74" s="545"/>
      <c r="MUG74" s="545"/>
      <c r="MUH74" s="545"/>
      <c r="MUI74" s="545"/>
      <c r="MUJ74" s="545"/>
      <c r="MUK74" s="545"/>
      <c r="MUL74" s="545"/>
      <c r="MUM74" s="545"/>
      <c r="MUN74" s="545"/>
      <c r="MUO74" s="545"/>
      <c r="MUP74" s="545"/>
      <c r="MUQ74" s="545"/>
      <c r="MUR74" s="545"/>
      <c r="MUS74" s="545"/>
      <c r="MUT74" s="545"/>
      <c r="MUU74" s="545"/>
      <c r="MUV74" s="545"/>
      <c r="MUW74" s="545"/>
      <c r="MUX74" s="545"/>
      <c r="MUY74" s="545"/>
      <c r="MUZ74" s="545"/>
      <c r="MVA74" s="545"/>
      <c r="MVB74" s="545"/>
      <c r="MVC74" s="545"/>
      <c r="MVD74" s="545"/>
      <c r="MVE74" s="545"/>
      <c r="MVF74" s="545"/>
      <c r="MVG74" s="545"/>
      <c r="MVH74" s="545"/>
      <c r="MVI74" s="545"/>
      <c r="MVJ74" s="545"/>
      <c r="MVK74" s="545"/>
      <c r="MVL74" s="545"/>
      <c r="MVM74" s="545"/>
      <c r="MVN74" s="545"/>
      <c r="MVO74" s="545"/>
      <c r="MVP74" s="545"/>
      <c r="MVQ74" s="545"/>
      <c r="MVR74" s="545"/>
      <c r="MVS74" s="545"/>
      <c r="MVT74" s="545"/>
      <c r="MVU74" s="545"/>
      <c r="MVV74" s="545"/>
      <c r="MVW74" s="545"/>
      <c r="MVX74" s="545"/>
      <c r="MVY74" s="545"/>
      <c r="MVZ74" s="545"/>
      <c r="MWA74" s="545"/>
      <c r="MWB74" s="545"/>
      <c r="MWC74" s="545"/>
      <c r="MWD74" s="545"/>
      <c r="MWE74" s="545"/>
      <c r="MWF74" s="545"/>
      <c r="MWG74" s="545"/>
      <c r="MWH74" s="545"/>
      <c r="MWI74" s="545"/>
      <c r="MWJ74" s="545"/>
      <c r="MWK74" s="545"/>
      <c r="MWL74" s="545"/>
      <c r="MWM74" s="545"/>
      <c r="MWN74" s="545"/>
      <c r="MWO74" s="545"/>
      <c r="MWP74" s="545"/>
      <c r="MWQ74" s="545"/>
      <c r="MWR74" s="545"/>
      <c r="MWS74" s="545"/>
      <c r="MWT74" s="545"/>
      <c r="MWU74" s="545"/>
      <c r="MWV74" s="545"/>
      <c r="MWW74" s="545"/>
      <c r="MWX74" s="545"/>
      <c r="MWY74" s="545"/>
      <c r="MWZ74" s="545"/>
      <c r="MXA74" s="545"/>
      <c r="MXB74" s="545"/>
      <c r="MXC74" s="545"/>
      <c r="MXD74" s="545"/>
      <c r="MXE74" s="545"/>
      <c r="MXF74" s="545"/>
      <c r="MXG74" s="545"/>
      <c r="MXH74" s="545"/>
      <c r="MXI74" s="545"/>
      <c r="MXJ74" s="545"/>
      <c r="MXK74" s="545"/>
      <c r="MXL74" s="545"/>
      <c r="MXM74" s="545"/>
      <c r="MXN74" s="545"/>
      <c r="MXO74" s="545"/>
      <c r="MXP74" s="545"/>
      <c r="MXQ74" s="545"/>
      <c r="MXR74" s="545"/>
      <c r="MXS74" s="545"/>
      <c r="MXT74" s="545"/>
      <c r="MXU74" s="545"/>
      <c r="MXV74" s="545"/>
      <c r="MXW74" s="545"/>
      <c r="MXX74" s="545"/>
      <c r="MXY74" s="545"/>
      <c r="MXZ74" s="545"/>
      <c r="MYA74" s="545"/>
      <c r="MYB74" s="545"/>
      <c r="MYC74" s="545"/>
      <c r="MYD74" s="545"/>
      <c r="MYE74" s="545"/>
      <c r="MYF74" s="545"/>
      <c r="MYG74" s="545"/>
      <c r="MYH74" s="545"/>
      <c r="MYI74" s="545"/>
      <c r="MYJ74" s="545"/>
      <c r="MYK74" s="545"/>
      <c r="MYL74" s="545"/>
      <c r="MYM74" s="545"/>
      <c r="MYN74" s="545"/>
      <c r="MYO74" s="545"/>
      <c r="MYP74" s="545"/>
      <c r="MYQ74" s="545"/>
      <c r="MYR74" s="545"/>
      <c r="MYS74" s="545"/>
      <c r="MYT74" s="545"/>
      <c r="MYU74" s="545"/>
      <c r="MYV74" s="545"/>
      <c r="MYW74" s="545"/>
      <c r="MYX74" s="545"/>
      <c r="MYY74" s="545"/>
      <c r="MYZ74" s="545"/>
      <c r="MZA74" s="545"/>
      <c r="MZB74" s="545"/>
      <c r="MZC74" s="545"/>
      <c r="MZD74" s="545"/>
      <c r="MZE74" s="545"/>
      <c r="MZF74" s="545"/>
      <c r="MZG74" s="545"/>
      <c r="MZH74" s="545"/>
      <c r="MZI74" s="545"/>
      <c r="MZJ74" s="545"/>
      <c r="MZK74" s="545"/>
      <c r="MZL74" s="545"/>
      <c r="MZM74" s="545"/>
      <c r="MZN74" s="545"/>
      <c r="MZO74" s="545"/>
      <c r="MZP74" s="545"/>
      <c r="MZQ74" s="545"/>
      <c r="MZR74" s="545"/>
      <c r="MZS74" s="545"/>
      <c r="MZT74" s="545"/>
      <c r="MZU74" s="545"/>
      <c r="MZV74" s="545"/>
      <c r="MZW74" s="545"/>
      <c r="MZX74" s="545"/>
      <c r="MZY74" s="545"/>
      <c r="MZZ74" s="545"/>
      <c r="NAA74" s="545"/>
      <c r="NAB74" s="545"/>
      <c r="NAC74" s="545"/>
      <c r="NAD74" s="545"/>
      <c r="NAE74" s="545"/>
      <c r="NAF74" s="545"/>
      <c r="NAG74" s="545"/>
      <c r="NAH74" s="545"/>
      <c r="NAI74" s="545"/>
      <c r="NAJ74" s="545"/>
      <c r="NAK74" s="545"/>
      <c r="NAL74" s="545"/>
      <c r="NAM74" s="545"/>
      <c r="NAN74" s="545"/>
      <c r="NAO74" s="545"/>
      <c r="NAP74" s="545"/>
      <c r="NAQ74" s="545"/>
      <c r="NAR74" s="545"/>
      <c r="NAS74" s="545"/>
      <c r="NAT74" s="545"/>
      <c r="NAU74" s="545"/>
      <c r="NAV74" s="545"/>
      <c r="NAW74" s="545"/>
      <c r="NAX74" s="545"/>
      <c r="NAY74" s="545"/>
      <c r="NAZ74" s="545"/>
      <c r="NBA74" s="545"/>
      <c r="NBB74" s="545"/>
      <c r="NBC74" s="545"/>
      <c r="NBD74" s="545"/>
      <c r="NBE74" s="545"/>
      <c r="NBF74" s="545"/>
      <c r="NBG74" s="545"/>
      <c r="NBH74" s="545"/>
      <c r="NBI74" s="545"/>
      <c r="NBJ74" s="545"/>
      <c r="NBK74" s="545"/>
      <c r="NBL74" s="545"/>
      <c r="NBM74" s="545"/>
      <c r="NBN74" s="545"/>
      <c r="NBO74" s="545"/>
      <c r="NBP74" s="545"/>
      <c r="NBQ74" s="545"/>
      <c r="NBR74" s="545"/>
      <c r="NBS74" s="545"/>
      <c r="NBT74" s="545"/>
      <c r="NBU74" s="545"/>
      <c r="NBV74" s="545"/>
      <c r="NBW74" s="545"/>
      <c r="NBX74" s="545"/>
      <c r="NBY74" s="545"/>
      <c r="NBZ74" s="545"/>
      <c r="NCA74" s="545"/>
      <c r="NCB74" s="545"/>
      <c r="NCC74" s="545"/>
      <c r="NCD74" s="545"/>
      <c r="NCE74" s="545"/>
      <c r="NCF74" s="545"/>
      <c r="NCG74" s="545"/>
      <c r="NCH74" s="545"/>
      <c r="NCI74" s="545"/>
      <c r="NCJ74" s="545"/>
      <c r="NCK74" s="545"/>
      <c r="NCL74" s="545"/>
      <c r="NCM74" s="545"/>
      <c r="NCN74" s="545"/>
      <c r="NCO74" s="545"/>
      <c r="NCP74" s="545"/>
      <c r="NCQ74" s="545"/>
      <c r="NCR74" s="545"/>
      <c r="NCS74" s="545"/>
      <c r="NCT74" s="545"/>
      <c r="NCU74" s="545"/>
      <c r="NCV74" s="545"/>
      <c r="NCW74" s="545"/>
      <c r="NCX74" s="545"/>
      <c r="NCY74" s="545"/>
      <c r="NCZ74" s="545"/>
      <c r="NDA74" s="545"/>
      <c r="NDB74" s="545"/>
      <c r="NDC74" s="545"/>
      <c r="NDD74" s="545"/>
      <c r="NDE74" s="545"/>
      <c r="NDF74" s="545"/>
      <c r="NDG74" s="545"/>
      <c r="NDH74" s="545"/>
      <c r="NDI74" s="545"/>
      <c r="NDJ74" s="545"/>
      <c r="NDK74" s="545"/>
      <c r="NDL74" s="545"/>
      <c r="NDM74" s="545"/>
      <c r="NDN74" s="545"/>
      <c r="NDO74" s="545"/>
      <c r="NDP74" s="545"/>
      <c r="NDQ74" s="545"/>
      <c r="NDR74" s="545"/>
      <c r="NDS74" s="545"/>
      <c r="NDT74" s="545"/>
      <c r="NDU74" s="545"/>
      <c r="NDV74" s="545"/>
      <c r="NDW74" s="545"/>
      <c r="NDX74" s="545"/>
      <c r="NDY74" s="545"/>
      <c r="NDZ74" s="545"/>
      <c r="NEA74" s="545"/>
      <c r="NEB74" s="545"/>
      <c r="NEC74" s="545"/>
      <c r="NED74" s="545"/>
      <c r="NEE74" s="545"/>
      <c r="NEF74" s="545"/>
      <c r="NEG74" s="545"/>
      <c r="NEH74" s="545"/>
      <c r="NEI74" s="545"/>
      <c r="NEJ74" s="545"/>
      <c r="NEK74" s="545"/>
      <c r="NEL74" s="545"/>
      <c r="NEM74" s="545"/>
      <c r="NEN74" s="545"/>
      <c r="NEO74" s="545"/>
      <c r="NEP74" s="545"/>
      <c r="NEQ74" s="545"/>
      <c r="NER74" s="545"/>
      <c r="NES74" s="545"/>
      <c r="NET74" s="545"/>
      <c r="NEU74" s="545"/>
      <c r="NEV74" s="545"/>
      <c r="NEW74" s="545"/>
      <c r="NEX74" s="545"/>
      <c r="NEY74" s="545"/>
      <c r="NEZ74" s="545"/>
      <c r="NFA74" s="545"/>
      <c r="NFB74" s="545"/>
      <c r="NFC74" s="545"/>
      <c r="NFD74" s="545"/>
      <c r="NFE74" s="545"/>
      <c r="NFF74" s="545"/>
      <c r="NFG74" s="545"/>
      <c r="NFH74" s="545"/>
      <c r="NFI74" s="545"/>
      <c r="NFJ74" s="545"/>
      <c r="NFK74" s="545"/>
      <c r="NFL74" s="545"/>
      <c r="NFM74" s="545"/>
      <c r="NFN74" s="545"/>
      <c r="NFO74" s="545"/>
      <c r="NFP74" s="545"/>
      <c r="NFQ74" s="545"/>
      <c r="NFR74" s="545"/>
      <c r="NFS74" s="545"/>
      <c r="NFT74" s="545"/>
      <c r="NFU74" s="545"/>
      <c r="NFV74" s="545"/>
      <c r="NFW74" s="545"/>
      <c r="NFX74" s="545"/>
      <c r="NFY74" s="545"/>
      <c r="NFZ74" s="545"/>
      <c r="NGA74" s="545"/>
      <c r="NGB74" s="545"/>
      <c r="NGC74" s="545"/>
      <c r="NGD74" s="545"/>
      <c r="NGE74" s="545"/>
      <c r="NGF74" s="545"/>
      <c r="NGG74" s="545"/>
      <c r="NGH74" s="545"/>
      <c r="NGI74" s="545"/>
      <c r="NGJ74" s="545"/>
      <c r="NGK74" s="545"/>
      <c r="NGL74" s="545"/>
      <c r="NGM74" s="545"/>
      <c r="NGN74" s="545"/>
      <c r="NGO74" s="545"/>
      <c r="NGP74" s="545"/>
      <c r="NGQ74" s="545"/>
      <c r="NGR74" s="545"/>
      <c r="NGS74" s="545"/>
      <c r="NGT74" s="545"/>
      <c r="NGU74" s="545"/>
      <c r="NGV74" s="545"/>
      <c r="NGW74" s="545"/>
      <c r="NGX74" s="545"/>
      <c r="NGY74" s="545"/>
      <c r="NGZ74" s="545"/>
      <c r="NHA74" s="545"/>
      <c r="NHB74" s="545"/>
      <c r="NHC74" s="545"/>
      <c r="NHD74" s="545"/>
      <c r="NHE74" s="545"/>
      <c r="NHF74" s="545"/>
      <c r="NHG74" s="545"/>
      <c r="NHH74" s="545"/>
      <c r="NHI74" s="545"/>
      <c r="NHJ74" s="545"/>
      <c r="NHK74" s="545"/>
      <c r="NHL74" s="545"/>
      <c r="NHM74" s="545"/>
      <c r="NHN74" s="545"/>
      <c r="NHO74" s="545"/>
      <c r="NHP74" s="545"/>
      <c r="NHQ74" s="545"/>
      <c r="NHR74" s="545"/>
      <c r="NHS74" s="545"/>
      <c r="NHT74" s="545"/>
      <c r="NHU74" s="545"/>
      <c r="NHV74" s="545"/>
      <c r="NHW74" s="545"/>
      <c r="NHX74" s="545"/>
      <c r="NHY74" s="545"/>
      <c r="NHZ74" s="545"/>
      <c r="NIA74" s="545"/>
      <c r="NIB74" s="545"/>
      <c r="NIC74" s="545"/>
      <c r="NID74" s="545"/>
      <c r="NIE74" s="545"/>
      <c r="NIF74" s="545"/>
      <c r="NIG74" s="545"/>
      <c r="NIH74" s="545"/>
      <c r="NII74" s="545"/>
      <c r="NIJ74" s="545"/>
      <c r="NIK74" s="545"/>
      <c r="NIL74" s="545"/>
      <c r="NIM74" s="545"/>
      <c r="NIN74" s="545"/>
      <c r="NIO74" s="545"/>
      <c r="NIP74" s="545"/>
      <c r="NIQ74" s="545"/>
      <c r="NIR74" s="545"/>
      <c r="NIS74" s="545"/>
      <c r="NIT74" s="545"/>
      <c r="NIU74" s="545"/>
      <c r="NIV74" s="545"/>
      <c r="NIW74" s="545"/>
      <c r="NIX74" s="545"/>
      <c r="NIY74" s="545"/>
      <c r="NIZ74" s="545"/>
      <c r="NJA74" s="545"/>
      <c r="NJB74" s="545"/>
      <c r="NJC74" s="545"/>
      <c r="NJD74" s="545"/>
      <c r="NJE74" s="545"/>
      <c r="NJF74" s="545"/>
      <c r="NJG74" s="545"/>
      <c r="NJH74" s="545"/>
      <c r="NJI74" s="545"/>
      <c r="NJJ74" s="545"/>
      <c r="NJK74" s="545"/>
      <c r="NJL74" s="545"/>
      <c r="NJM74" s="545"/>
      <c r="NJN74" s="545"/>
      <c r="NJO74" s="545"/>
      <c r="NJP74" s="545"/>
      <c r="NJQ74" s="545"/>
      <c r="NJR74" s="545"/>
      <c r="NJS74" s="545"/>
      <c r="NJT74" s="545"/>
      <c r="NJU74" s="545"/>
      <c r="NJV74" s="545"/>
      <c r="NJW74" s="545"/>
      <c r="NJX74" s="545"/>
      <c r="NJY74" s="545"/>
      <c r="NJZ74" s="545"/>
      <c r="NKA74" s="545"/>
      <c r="NKB74" s="545"/>
      <c r="NKC74" s="545"/>
      <c r="NKD74" s="545"/>
      <c r="NKE74" s="545"/>
      <c r="NKF74" s="545"/>
      <c r="NKG74" s="545"/>
      <c r="NKH74" s="545"/>
      <c r="NKI74" s="545"/>
      <c r="NKJ74" s="545"/>
      <c r="NKK74" s="545"/>
      <c r="NKL74" s="545"/>
      <c r="NKM74" s="545"/>
      <c r="NKN74" s="545"/>
      <c r="NKO74" s="545"/>
      <c r="NKP74" s="545"/>
      <c r="NKQ74" s="545"/>
      <c r="NKR74" s="545"/>
      <c r="NKS74" s="545"/>
      <c r="NKT74" s="545"/>
      <c r="NKU74" s="545"/>
      <c r="NKV74" s="545"/>
      <c r="NKW74" s="545"/>
      <c r="NKX74" s="545"/>
      <c r="NKY74" s="545"/>
      <c r="NKZ74" s="545"/>
      <c r="NLA74" s="545"/>
      <c r="NLB74" s="545"/>
      <c r="NLC74" s="545"/>
      <c r="NLD74" s="545"/>
      <c r="NLE74" s="545"/>
      <c r="NLF74" s="545"/>
      <c r="NLG74" s="545"/>
      <c r="NLH74" s="545"/>
      <c r="NLI74" s="545"/>
      <c r="NLJ74" s="545"/>
      <c r="NLK74" s="545"/>
      <c r="NLL74" s="545"/>
      <c r="NLM74" s="545"/>
      <c r="NLN74" s="545"/>
      <c r="NLO74" s="545"/>
      <c r="NLP74" s="545"/>
      <c r="NLQ74" s="545"/>
      <c r="NLR74" s="545"/>
      <c r="NLS74" s="545"/>
      <c r="NLT74" s="545"/>
      <c r="NLU74" s="545"/>
      <c r="NLV74" s="545"/>
      <c r="NLW74" s="545"/>
      <c r="NLX74" s="545"/>
      <c r="NLY74" s="545"/>
      <c r="NLZ74" s="545"/>
      <c r="NMA74" s="545"/>
      <c r="NMB74" s="545"/>
      <c r="NMC74" s="545"/>
      <c r="NMD74" s="545"/>
      <c r="NME74" s="545"/>
      <c r="NMF74" s="545"/>
      <c r="NMG74" s="545"/>
      <c r="NMH74" s="545"/>
      <c r="NMI74" s="545"/>
      <c r="NMJ74" s="545"/>
      <c r="NMK74" s="545"/>
      <c r="NML74" s="545"/>
      <c r="NMM74" s="545"/>
      <c r="NMN74" s="545"/>
      <c r="NMO74" s="545"/>
      <c r="NMP74" s="545"/>
      <c r="NMQ74" s="545"/>
      <c r="NMR74" s="545"/>
      <c r="NMS74" s="545"/>
      <c r="NMT74" s="545"/>
      <c r="NMU74" s="545"/>
      <c r="NMV74" s="545"/>
      <c r="NMW74" s="545"/>
      <c r="NMX74" s="545"/>
      <c r="NMY74" s="545"/>
      <c r="NMZ74" s="545"/>
      <c r="NNA74" s="545"/>
      <c r="NNB74" s="545"/>
      <c r="NNC74" s="545"/>
      <c r="NND74" s="545"/>
      <c r="NNE74" s="545"/>
      <c r="NNF74" s="545"/>
      <c r="NNG74" s="545"/>
      <c r="NNH74" s="545"/>
      <c r="NNI74" s="545"/>
      <c r="NNJ74" s="545"/>
      <c r="NNK74" s="545"/>
      <c r="NNL74" s="545"/>
      <c r="NNM74" s="545"/>
      <c r="NNN74" s="545"/>
      <c r="NNO74" s="545"/>
      <c r="NNP74" s="545"/>
      <c r="NNQ74" s="545"/>
      <c r="NNR74" s="545"/>
      <c r="NNS74" s="545"/>
      <c r="NNT74" s="545"/>
      <c r="NNU74" s="545"/>
      <c r="NNV74" s="545"/>
      <c r="NNW74" s="545"/>
      <c r="NNX74" s="545"/>
      <c r="NNY74" s="545"/>
      <c r="NNZ74" s="545"/>
      <c r="NOA74" s="545"/>
      <c r="NOB74" s="545"/>
      <c r="NOC74" s="545"/>
      <c r="NOD74" s="545"/>
      <c r="NOE74" s="545"/>
      <c r="NOF74" s="545"/>
      <c r="NOG74" s="545"/>
      <c r="NOH74" s="545"/>
      <c r="NOI74" s="545"/>
      <c r="NOJ74" s="545"/>
      <c r="NOK74" s="545"/>
      <c r="NOL74" s="545"/>
      <c r="NOM74" s="545"/>
      <c r="NON74" s="545"/>
      <c r="NOO74" s="545"/>
      <c r="NOP74" s="545"/>
      <c r="NOQ74" s="545"/>
      <c r="NOR74" s="545"/>
      <c r="NOS74" s="545"/>
      <c r="NOT74" s="545"/>
      <c r="NOU74" s="545"/>
      <c r="NOV74" s="545"/>
      <c r="NOW74" s="545"/>
      <c r="NOX74" s="545"/>
      <c r="NOY74" s="545"/>
      <c r="NOZ74" s="545"/>
      <c r="NPA74" s="545"/>
      <c r="NPB74" s="545"/>
      <c r="NPC74" s="545"/>
      <c r="NPD74" s="545"/>
      <c r="NPE74" s="545"/>
      <c r="NPF74" s="545"/>
      <c r="NPG74" s="545"/>
      <c r="NPH74" s="545"/>
      <c r="NPI74" s="545"/>
      <c r="NPJ74" s="545"/>
      <c r="NPK74" s="545"/>
      <c r="NPL74" s="545"/>
      <c r="NPM74" s="545"/>
      <c r="NPN74" s="545"/>
      <c r="NPO74" s="545"/>
      <c r="NPP74" s="545"/>
      <c r="NPQ74" s="545"/>
      <c r="NPR74" s="545"/>
      <c r="NPS74" s="545"/>
      <c r="NPT74" s="545"/>
      <c r="NPU74" s="545"/>
      <c r="NPV74" s="545"/>
      <c r="NPW74" s="545"/>
      <c r="NPX74" s="545"/>
      <c r="NPY74" s="545"/>
      <c r="NPZ74" s="545"/>
      <c r="NQA74" s="545"/>
      <c r="NQB74" s="545"/>
      <c r="NQC74" s="545"/>
      <c r="NQD74" s="545"/>
      <c r="NQE74" s="545"/>
      <c r="NQF74" s="545"/>
      <c r="NQG74" s="545"/>
      <c r="NQH74" s="545"/>
      <c r="NQI74" s="545"/>
      <c r="NQJ74" s="545"/>
      <c r="NQK74" s="545"/>
      <c r="NQL74" s="545"/>
      <c r="NQM74" s="545"/>
      <c r="NQN74" s="545"/>
      <c r="NQO74" s="545"/>
      <c r="NQP74" s="545"/>
      <c r="NQQ74" s="545"/>
      <c r="NQR74" s="545"/>
      <c r="NQS74" s="545"/>
      <c r="NQT74" s="545"/>
      <c r="NQU74" s="545"/>
      <c r="NQV74" s="545"/>
      <c r="NQW74" s="545"/>
      <c r="NQX74" s="545"/>
      <c r="NQY74" s="545"/>
      <c r="NQZ74" s="545"/>
      <c r="NRA74" s="545"/>
      <c r="NRB74" s="545"/>
      <c r="NRC74" s="545"/>
      <c r="NRD74" s="545"/>
      <c r="NRE74" s="545"/>
      <c r="NRF74" s="545"/>
      <c r="NRG74" s="545"/>
      <c r="NRH74" s="545"/>
      <c r="NRI74" s="545"/>
      <c r="NRJ74" s="545"/>
      <c r="NRK74" s="545"/>
      <c r="NRL74" s="545"/>
      <c r="NRM74" s="545"/>
      <c r="NRN74" s="545"/>
      <c r="NRO74" s="545"/>
      <c r="NRP74" s="545"/>
      <c r="NRQ74" s="545"/>
      <c r="NRR74" s="545"/>
      <c r="NRS74" s="545"/>
      <c r="NRT74" s="545"/>
      <c r="NRU74" s="545"/>
      <c r="NRV74" s="545"/>
      <c r="NRW74" s="545"/>
      <c r="NRX74" s="545"/>
      <c r="NRY74" s="545"/>
      <c r="NRZ74" s="545"/>
      <c r="NSA74" s="545"/>
      <c r="NSB74" s="545"/>
      <c r="NSC74" s="545"/>
      <c r="NSD74" s="545"/>
      <c r="NSE74" s="545"/>
      <c r="NSF74" s="545"/>
      <c r="NSG74" s="545"/>
      <c r="NSH74" s="545"/>
      <c r="NSI74" s="545"/>
      <c r="NSJ74" s="545"/>
      <c r="NSK74" s="545"/>
      <c r="NSL74" s="545"/>
      <c r="NSM74" s="545"/>
      <c r="NSN74" s="545"/>
      <c r="NSO74" s="545"/>
      <c r="NSP74" s="545"/>
      <c r="NSQ74" s="545"/>
      <c r="NSR74" s="545"/>
      <c r="NSS74" s="545"/>
      <c r="NST74" s="545"/>
      <c r="NSU74" s="545"/>
      <c r="NSV74" s="545"/>
      <c r="NSW74" s="545"/>
      <c r="NSX74" s="545"/>
      <c r="NSY74" s="545"/>
      <c r="NSZ74" s="545"/>
      <c r="NTA74" s="545"/>
      <c r="NTB74" s="545"/>
      <c r="NTC74" s="545"/>
      <c r="NTD74" s="545"/>
      <c r="NTE74" s="545"/>
      <c r="NTF74" s="545"/>
      <c r="NTG74" s="545"/>
      <c r="NTH74" s="545"/>
      <c r="NTI74" s="545"/>
      <c r="NTJ74" s="545"/>
      <c r="NTK74" s="545"/>
      <c r="NTL74" s="545"/>
      <c r="NTM74" s="545"/>
      <c r="NTN74" s="545"/>
      <c r="NTO74" s="545"/>
      <c r="NTP74" s="545"/>
      <c r="NTQ74" s="545"/>
      <c r="NTR74" s="545"/>
      <c r="NTS74" s="545"/>
      <c r="NTT74" s="545"/>
      <c r="NTU74" s="545"/>
      <c r="NTV74" s="545"/>
      <c r="NTW74" s="545"/>
      <c r="NTX74" s="545"/>
      <c r="NTY74" s="545"/>
      <c r="NTZ74" s="545"/>
      <c r="NUA74" s="545"/>
      <c r="NUB74" s="545"/>
      <c r="NUC74" s="545"/>
      <c r="NUD74" s="545"/>
      <c r="NUE74" s="545"/>
      <c r="NUF74" s="545"/>
      <c r="NUG74" s="545"/>
      <c r="NUH74" s="545"/>
      <c r="NUI74" s="545"/>
      <c r="NUJ74" s="545"/>
      <c r="NUK74" s="545"/>
      <c r="NUL74" s="545"/>
      <c r="NUM74" s="545"/>
      <c r="NUN74" s="545"/>
      <c r="NUO74" s="545"/>
      <c r="NUP74" s="545"/>
      <c r="NUQ74" s="545"/>
      <c r="NUR74" s="545"/>
      <c r="NUS74" s="545"/>
      <c r="NUT74" s="545"/>
      <c r="NUU74" s="545"/>
      <c r="NUV74" s="545"/>
      <c r="NUW74" s="545"/>
      <c r="NUX74" s="545"/>
      <c r="NUY74" s="545"/>
      <c r="NUZ74" s="545"/>
      <c r="NVA74" s="545"/>
      <c r="NVB74" s="545"/>
      <c r="NVC74" s="545"/>
      <c r="NVD74" s="545"/>
      <c r="NVE74" s="545"/>
      <c r="NVF74" s="545"/>
      <c r="NVG74" s="545"/>
      <c r="NVH74" s="545"/>
      <c r="NVI74" s="545"/>
      <c r="NVJ74" s="545"/>
      <c r="NVK74" s="545"/>
      <c r="NVL74" s="545"/>
      <c r="NVM74" s="545"/>
      <c r="NVN74" s="545"/>
      <c r="NVO74" s="545"/>
      <c r="NVP74" s="545"/>
      <c r="NVQ74" s="545"/>
      <c r="NVR74" s="545"/>
      <c r="NVS74" s="545"/>
      <c r="NVT74" s="545"/>
      <c r="NVU74" s="545"/>
      <c r="NVV74" s="545"/>
      <c r="NVW74" s="545"/>
      <c r="NVX74" s="545"/>
      <c r="NVY74" s="545"/>
      <c r="NVZ74" s="545"/>
      <c r="NWA74" s="545"/>
      <c r="NWB74" s="545"/>
      <c r="NWC74" s="545"/>
      <c r="NWD74" s="545"/>
      <c r="NWE74" s="545"/>
      <c r="NWF74" s="545"/>
      <c r="NWG74" s="545"/>
      <c r="NWH74" s="545"/>
      <c r="NWI74" s="545"/>
      <c r="NWJ74" s="545"/>
      <c r="NWK74" s="545"/>
      <c r="NWL74" s="545"/>
      <c r="NWM74" s="545"/>
      <c r="NWN74" s="545"/>
      <c r="NWO74" s="545"/>
      <c r="NWP74" s="545"/>
      <c r="NWQ74" s="545"/>
      <c r="NWR74" s="545"/>
      <c r="NWS74" s="545"/>
      <c r="NWT74" s="545"/>
      <c r="NWU74" s="545"/>
      <c r="NWV74" s="545"/>
      <c r="NWW74" s="545"/>
      <c r="NWX74" s="545"/>
      <c r="NWY74" s="545"/>
      <c r="NWZ74" s="545"/>
      <c r="NXA74" s="545"/>
      <c r="NXB74" s="545"/>
      <c r="NXC74" s="545"/>
      <c r="NXD74" s="545"/>
      <c r="NXE74" s="545"/>
      <c r="NXF74" s="545"/>
      <c r="NXG74" s="545"/>
      <c r="NXH74" s="545"/>
      <c r="NXI74" s="545"/>
      <c r="NXJ74" s="545"/>
      <c r="NXK74" s="545"/>
      <c r="NXL74" s="545"/>
      <c r="NXM74" s="545"/>
      <c r="NXN74" s="545"/>
      <c r="NXO74" s="545"/>
      <c r="NXP74" s="545"/>
      <c r="NXQ74" s="545"/>
      <c r="NXR74" s="545"/>
      <c r="NXS74" s="545"/>
      <c r="NXT74" s="545"/>
      <c r="NXU74" s="545"/>
      <c r="NXV74" s="545"/>
      <c r="NXW74" s="545"/>
      <c r="NXX74" s="545"/>
      <c r="NXY74" s="545"/>
      <c r="NXZ74" s="545"/>
      <c r="NYA74" s="545"/>
      <c r="NYB74" s="545"/>
      <c r="NYC74" s="545"/>
      <c r="NYD74" s="545"/>
      <c r="NYE74" s="545"/>
      <c r="NYF74" s="545"/>
      <c r="NYG74" s="545"/>
      <c r="NYH74" s="545"/>
      <c r="NYI74" s="545"/>
      <c r="NYJ74" s="545"/>
      <c r="NYK74" s="545"/>
      <c r="NYL74" s="545"/>
      <c r="NYM74" s="545"/>
      <c r="NYN74" s="545"/>
      <c r="NYO74" s="545"/>
      <c r="NYP74" s="545"/>
      <c r="NYQ74" s="545"/>
      <c r="NYR74" s="545"/>
      <c r="NYS74" s="545"/>
      <c r="NYT74" s="545"/>
      <c r="NYU74" s="545"/>
      <c r="NYV74" s="545"/>
      <c r="NYW74" s="545"/>
      <c r="NYX74" s="545"/>
      <c r="NYY74" s="545"/>
      <c r="NYZ74" s="545"/>
      <c r="NZA74" s="545"/>
      <c r="NZB74" s="545"/>
      <c r="NZC74" s="545"/>
      <c r="NZD74" s="545"/>
      <c r="NZE74" s="545"/>
      <c r="NZF74" s="545"/>
      <c r="NZG74" s="545"/>
      <c r="NZH74" s="545"/>
      <c r="NZI74" s="545"/>
      <c r="NZJ74" s="545"/>
      <c r="NZK74" s="545"/>
      <c r="NZL74" s="545"/>
      <c r="NZM74" s="545"/>
      <c r="NZN74" s="545"/>
      <c r="NZO74" s="545"/>
      <c r="NZP74" s="545"/>
      <c r="NZQ74" s="545"/>
      <c r="NZR74" s="545"/>
      <c r="NZS74" s="545"/>
      <c r="NZT74" s="545"/>
      <c r="NZU74" s="545"/>
      <c r="NZV74" s="545"/>
      <c r="NZW74" s="545"/>
      <c r="NZX74" s="545"/>
      <c r="NZY74" s="545"/>
      <c r="NZZ74" s="545"/>
      <c r="OAA74" s="545"/>
      <c r="OAB74" s="545"/>
      <c r="OAC74" s="545"/>
      <c r="OAD74" s="545"/>
      <c r="OAE74" s="545"/>
      <c r="OAF74" s="545"/>
      <c r="OAG74" s="545"/>
      <c r="OAH74" s="545"/>
      <c r="OAI74" s="545"/>
      <c r="OAJ74" s="545"/>
      <c r="OAK74" s="545"/>
      <c r="OAL74" s="545"/>
      <c r="OAM74" s="545"/>
      <c r="OAN74" s="545"/>
      <c r="OAO74" s="545"/>
      <c r="OAP74" s="545"/>
      <c r="OAQ74" s="545"/>
      <c r="OAR74" s="545"/>
      <c r="OAS74" s="545"/>
      <c r="OAT74" s="545"/>
      <c r="OAU74" s="545"/>
      <c r="OAV74" s="545"/>
      <c r="OAW74" s="545"/>
      <c r="OAX74" s="545"/>
      <c r="OAY74" s="545"/>
      <c r="OAZ74" s="545"/>
      <c r="OBA74" s="545"/>
      <c r="OBB74" s="545"/>
      <c r="OBC74" s="545"/>
      <c r="OBD74" s="545"/>
      <c r="OBE74" s="545"/>
      <c r="OBF74" s="545"/>
      <c r="OBG74" s="545"/>
      <c r="OBH74" s="545"/>
      <c r="OBI74" s="545"/>
      <c r="OBJ74" s="545"/>
      <c r="OBK74" s="545"/>
      <c r="OBL74" s="545"/>
      <c r="OBM74" s="545"/>
      <c r="OBN74" s="545"/>
      <c r="OBO74" s="545"/>
      <c r="OBP74" s="545"/>
      <c r="OBQ74" s="545"/>
      <c r="OBR74" s="545"/>
      <c r="OBS74" s="545"/>
      <c r="OBT74" s="545"/>
      <c r="OBU74" s="545"/>
      <c r="OBV74" s="545"/>
      <c r="OBW74" s="545"/>
      <c r="OBX74" s="545"/>
      <c r="OBY74" s="545"/>
      <c r="OBZ74" s="545"/>
      <c r="OCA74" s="545"/>
      <c r="OCB74" s="545"/>
      <c r="OCC74" s="545"/>
      <c r="OCD74" s="545"/>
      <c r="OCE74" s="545"/>
      <c r="OCF74" s="545"/>
      <c r="OCG74" s="545"/>
      <c r="OCH74" s="545"/>
      <c r="OCI74" s="545"/>
      <c r="OCJ74" s="545"/>
      <c r="OCK74" s="545"/>
      <c r="OCL74" s="545"/>
      <c r="OCM74" s="545"/>
      <c r="OCN74" s="545"/>
      <c r="OCO74" s="545"/>
      <c r="OCP74" s="545"/>
      <c r="OCQ74" s="545"/>
      <c r="OCR74" s="545"/>
      <c r="OCS74" s="545"/>
      <c r="OCT74" s="545"/>
      <c r="OCU74" s="545"/>
      <c r="OCV74" s="545"/>
      <c r="OCW74" s="545"/>
      <c r="OCX74" s="545"/>
      <c r="OCY74" s="545"/>
      <c r="OCZ74" s="545"/>
      <c r="ODA74" s="545"/>
      <c r="ODB74" s="545"/>
      <c r="ODC74" s="545"/>
      <c r="ODD74" s="545"/>
      <c r="ODE74" s="545"/>
      <c r="ODF74" s="545"/>
      <c r="ODG74" s="545"/>
      <c r="ODH74" s="545"/>
      <c r="ODI74" s="545"/>
      <c r="ODJ74" s="545"/>
      <c r="ODK74" s="545"/>
      <c r="ODL74" s="545"/>
      <c r="ODM74" s="545"/>
      <c r="ODN74" s="545"/>
      <c r="ODO74" s="545"/>
      <c r="ODP74" s="545"/>
      <c r="ODQ74" s="545"/>
      <c r="ODR74" s="545"/>
      <c r="ODS74" s="545"/>
      <c r="ODT74" s="545"/>
      <c r="ODU74" s="545"/>
      <c r="ODV74" s="545"/>
      <c r="ODW74" s="545"/>
      <c r="ODX74" s="545"/>
      <c r="ODY74" s="545"/>
      <c r="ODZ74" s="545"/>
      <c r="OEA74" s="545"/>
      <c r="OEB74" s="545"/>
      <c r="OEC74" s="545"/>
      <c r="OED74" s="545"/>
      <c r="OEE74" s="545"/>
      <c r="OEF74" s="545"/>
      <c r="OEG74" s="545"/>
      <c r="OEH74" s="545"/>
      <c r="OEI74" s="545"/>
      <c r="OEJ74" s="545"/>
      <c r="OEK74" s="545"/>
      <c r="OEL74" s="545"/>
      <c r="OEM74" s="545"/>
      <c r="OEN74" s="545"/>
      <c r="OEO74" s="545"/>
      <c r="OEP74" s="545"/>
      <c r="OEQ74" s="545"/>
      <c r="OER74" s="545"/>
      <c r="OES74" s="545"/>
      <c r="OET74" s="545"/>
      <c r="OEU74" s="545"/>
      <c r="OEV74" s="545"/>
      <c r="OEW74" s="545"/>
      <c r="OEX74" s="545"/>
      <c r="OEY74" s="545"/>
      <c r="OEZ74" s="545"/>
      <c r="OFA74" s="545"/>
      <c r="OFB74" s="545"/>
      <c r="OFC74" s="545"/>
      <c r="OFD74" s="545"/>
      <c r="OFE74" s="545"/>
      <c r="OFF74" s="545"/>
      <c r="OFG74" s="545"/>
      <c r="OFH74" s="545"/>
      <c r="OFI74" s="545"/>
      <c r="OFJ74" s="545"/>
      <c r="OFK74" s="545"/>
      <c r="OFL74" s="545"/>
      <c r="OFM74" s="545"/>
      <c r="OFN74" s="545"/>
      <c r="OFO74" s="545"/>
      <c r="OFP74" s="545"/>
      <c r="OFQ74" s="545"/>
      <c r="OFR74" s="545"/>
      <c r="OFS74" s="545"/>
      <c r="OFT74" s="545"/>
      <c r="OFU74" s="545"/>
      <c r="OFV74" s="545"/>
      <c r="OFW74" s="545"/>
      <c r="OFX74" s="545"/>
      <c r="OFY74" s="545"/>
      <c r="OFZ74" s="545"/>
      <c r="OGA74" s="545"/>
      <c r="OGB74" s="545"/>
      <c r="OGC74" s="545"/>
      <c r="OGD74" s="545"/>
      <c r="OGE74" s="545"/>
      <c r="OGF74" s="545"/>
      <c r="OGG74" s="545"/>
      <c r="OGH74" s="545"/>
      <c r="OGI74" s="545"/>
      <c r="OGJ74" s="545"/>
      <c r="OGK74" s="545"/>
      <c r="OGL74" s="545"/>
      <c r="OGM74" s="545"/>
      <c r="OGN74" s="545"/>
      <c r="OGO74" s="545"/>
      <c r="OGP74" s="545"/>
      <c r="OGQ74" s="545"/>
      <c r="OGR74" s="545"/>
      <c r="OGS74" s="545"/>
      <c r="OGT74" s="545"/>
      <c r="OGU74" s="545"/>
      <c r="OGV74" s="545"/>
      <c r="OGW74" s="545"/>
      <c r="OGX74" s="545"/>
      <c r="OGY74" s="545"/>
      <c r="OGZ74" s="545"/>
      <c r="OHA74" s="545"/>
      <c r="OHB74" s="545"/>
      <c r="OHC74" s="545"/>
      <c r="OHD74" s="545"/>
      <c r="OHE74" s="545"/>
      <c r="OHF74" s="545"/>
      <c r="OHG74" s="545"/>
      <c r="OHH74" s="545"/>
      <c r="OHI74" s="545"/>
      <c r="OHJ74" s="545"/>
      <c r="OHK74" s="545"/>
      <c r="OHL74" s="545"/>
      <c r="OHM74" s="545"/>
      <c r="OHN74" s="545"/>
      <c r="OHO74" s="545"/>
      <c r="OHP74" s="545"/>
      <c r="OHQ74" s="545"/>
      <c r="OHR74" s="545"/>
      <c r="OHS74" s="545"/>
      <c r="OHT74" s="545"/>
      <c r="OHU74" s="545"/>
      <c r="OHV74" s="545"/>
      <c r="OHW74" s="545"/>
      <c r="OHX74" s="545"/>
      <c r="OHY74" s="545"/>
      <c r="OHZ74" s="545"/>
      <c r="OIA74" s="545"/>
      <c r="OIB74" s="545"/>
      <c r="OIC74" s="545"/>
      <c r="OID74" s="545"/>
      <c r="OIE74" s="545"/>
      <c r="OIF74" s="545"/>
      <c r="OIG74" s="545"/>
      <c r="OIH74" s="545"/>
      <c r="OII74" s="545"/>
      <c r="OIJ74" s="545"/>
      <c r="OIK74" s="545"/>
      <c r="OIL74" s="545"/>
      <c r="OIM74" s="545"/>
      <c r="OIN74" s="545"/>
      <c r="OIO74" s="545"/>
      <c r="OIP74" s="545"/>
      <c r="OIQ74" s="545"/>
      <c r="OIR74" s="545"/>
      <c r="OIS74" s="545"/>
      <c r="OIT74" s="545"/>
      <c r="OIU74" s="545"/>
      <c r="OIV74" s="545"/>
      <c r="OIW74" s="545"/>
      <c r="OIX74" s="545"/>
      <c r="OIY74" s="545"/>
      <c r="OIZ74" s="545"/>
      <c r="OJA74" s="545"/>
      <c r="OJB74" s="545"/>
      <c r="OJC74" s="545"/>
      <c r="OJD74" s="545"/>
      <c r="OJE74" s="545"/>
      <c r="OJF74" s="545"/>
      <c r="OJG74" s="545"/>
      <c r="OJH74" s="545"/>
      <c r="OJI74" s="545"/>
      <c r="OJJ74" s="545"/>
      <c r="OJK74" s="545"/>
      <c r="OJL74" s="545"/>
      <c r="OJM74" s="545"/>
      <c r="OJN74" s="545"/>
      <c r="OJO74" s="545"/>
      <c r="OJP74" s="545"/>
      <c r="OJQ74" s="545"/>
      <c r="OJR74" s="545"/>
      <c r="OJS74" s="545"/>
      <c r="OJT74" s="545"/>
      <c r="OJU74" s="545"/>
      <c r="OJV74" s="545"/>
      <c r="OJW74" s="545"/>
      <c r="OJX74" s="545"/>
      <c r="OJY74" s="545"/>
      <c r="OJZ74" s="545"/>
      <c r="OKA74" s="545"/>
      <c r="OKB74" s="545"/>
      <c r="OKC74" s="545"/>
      <c r="OKD74" s="545"/>
      <c r="OKE74" s="545"/>
      <c r="OKF74" s="545"/>
      <c r="OKG74" s="545"/>
      <c r="OKH74" s="545"/>
      <c r="OKI74" s="545"/>
      <c r="OKJ74" s="545"/>
      <c r="OKK74" s="545"/>
      <c r="OKL74" s="545"/>
      <c r="OKM74" s="545"/>
      <c r="OKN74" s="545"/>
      <c r="OKO74" s="545"/>
      <c r="OKP74" s="545"/>
      <c r="OKQ74" s="545"/>
      <c r="OKR74" s="545"/>
      <c r="OKS74" s="545"/>
      <c r="OKT74" s="545"/>
      <c r="OKU74" s="545"/>
      <c r="OKV74" s="545"/>
      <c r="OKW74" s="545"/>
      <c r="OKX74" s="545"/>
      <c r="OKY74" s="545"/>
      <c r="OKZ74" s="545"/>
      <c r="OLA74" s="545"/>
      <c r="OLB74" s="545"/>
      <c r="OLC74" s="545"/>
      <c r="OLD74" s="545"/>
      <c r="OLE74" s="545"/>
      <c r="OLF74" s="545"/>
      <c r="OLG74" s="545"/>
      <c r="OLH74" s="545"/>
      <c r="OLI74" s="545"/>
      <c r="OLJ74" s="545"/>
      <c r="OLK74" s="545"/>
      <c r="OLL74" s="545"/>
      <c r="OLM74" s="545"/>
      <c r="OLN74" s="545"/>
      <c r="OLO74" s="545"/>
      <c r="OLP74" s="545"/>
      <c r="OLQ74" s="545"/>
      <c r="OLR74" s="545"/>
      <c r="OLS74" s="545"/>
      <c r="OLT74" s="545"/>
      <c r="OLU74" s="545"/>
      <c r="OLV74" s="545"/>
      <c r="OLW74" s="545"/>
      <c r="OLX74" s="545"/>
      <c r="OLY74" s="545"/>
      <c r="OLZ74" s="545"/>
      <c r="OMA74" s="545"/>
      <c r="OMB74" s="545"/>
      <c r="OMC74" s="545"/>
      <c r="OMD74" s="545"/>
      <c r="OME74" s="545"/>
      <c r="OMF74" s="545"/>
      <c r="OMG74" s="545"/>
      <c r="OMH74" s="545"/>
      <c r="OMI74" s="545"/>
      <c r="OMJ74" s="545"/>
      <c r="OMK74" s="545"/>
      <c r="OML74" s="545"/>
      <c r="OMM74" s="545"/>
      <c r="OMN74" s="545"/>
      <c r="OMO74" s="545"/>
      <c r="OMP74" s="545"/>
      <c r="OMQ74" s="545"/>
      <c r="OMR74" s="545"/>
      <c r="OMS74" s="545"/>
      <c r="OMT74" s="545"/>
      <c r="OMU74" s="545"/>
      <c r="OMV74" s="545"/>
      <c r="OMW74" s="545"/>
      <c r="OMX74" s="545"/>
      <c r="OMY74" s="545"/>
      <c r="OMZ74" s="545"/>
      <c r="ONA74" s="545"/>
      <c r="ONB74" s="545"/>
      <c r="ONC74" s="545"/>
      <c r="OND74" s="545"/>
      <c r="ONE74" s="545"/>
      <c r="ONF74" s="545"/>
      <c r="ONG74" s="545"/>
      <c r="ONH74" s="545"/>
      <c r="ONI74" s="545"/>
      <c r="ONJ74" s="545"/>
      <c r="ONK74" s="545"/>
      <c r="ONL74" s="545"/>
      <c r="ONM74" s="545"/>
      <c r="ONN74" s="545"/>
      <c r="ONO74" s="545"/>
      <c r="ONP74" s="545"/>
      <c r="ONQ74" s="545"/>
      <c r="ONR74" s="545"/>
      <c r="ONS74" s="545"/>
      <c r="ONT74" s="545"/>
      <c r="ONU74" s="545"/>
      <c r="ONV74" s="545"/>
      <c r="ONW74" s="545"/>
      <c r="ONX74" s="545"/>
      <c r="ONY74" s="545"/>
      <c r="ONZ74" s="545"/>
      <c r="OOA74" s="545"/>
      <c r="OOB74" s="545"/>
      <c r="OOC74" s="545"/>
      <c r="OOD74" s="545"/>
      <c r="OOE74" s="545"/>
      <c r="OOF74" s="545"/>
      <c r="OOG74" s="545"/>
      <c r="OOH74" s="545"/>
      <c r="OOI74" s="545"/>
      <c r="OOJ74" s="545"/>
      <c r="OOK74" s="545"/>
      <c r="OOL74" s="545"/>
      <c r="OOM74" s="545"/>
      <c r="OON74" s="545"/>
      <c r="OOO74" s="545"/>
      <c r="OOP74" s="545"/>
      <c r="OOQ74" s="545"/>
      <c r="OOR74" s="545"/>
      <c r="OOS74" s="545"/>
      <c r="OOT74" s="545"/>
      <c r="OOU74" s="545"/>
      <c r="OOV74" s="545"/>
      <c r="OOW74" s="545"/>
      <c r="OOX74" s="545"/>
      <c r="OOY74" s="545"/>
      <c r="OOZ74" s="545"/>
      <c r="OPA74" s="545"/>
      <c r="OPB74" s="545"/>
      <c r="OPC74" s="545"/>
      <c r="OPD74" s="545"/>
      <c r="OPE74" s="545"/>
      <c r="OPF74" s="545"/>
      <c r="OPG74" s="545"/>
      <c r="OPH74" s="545"/>
      <c r="OPI74" s="545"/>
      <c r="OPJ74" s="545"/>
      <c r="OPK74" s="545"/>
      <c r="OPL74" s="545"/>
      <c r="OPM74" s="545"/>
      <c r="OPN74" s="545"/>
      <c r="OPO74" s="545"/>
      <c r="OPP74" s="545"/>
      <c r="OPQ74" s="545"/>
      <c r="OPR74" s="545"/>
      <c r="OPS74" s="545"/>
      <c r="OPT74" s="545"/>
      <c r="OPU74" s="545"/>
      <c r="OPV74" s="545"/>
      <c r="OPW74" s="545"/>
      <c r="OPX74" s="545"/>
      <c r="OPY74" s="545"/>
      <c r="OPZ74" s="545"/>
      <c r="OQA74" s="545"/>
      <c r="OQB74" s="545"/>
      <c r="OQC74" s="545"/>
      <c r="OQD74" s="545"/>
      <c r="OQE74" s="545"/>
      <c r="OQF74" s="545"/>
      <c r="OQG74" s="545"/>
      <c r="OQH74" s="545"/>
      <c r="OQI74" s="545"/>
      <c r="OQJ74" s="545"/>
      <c r="OQK74" s="545"/>
      <c r="OQL74" s="545"/>
      <c r="OQM74" s="545"/>
      <c r="OQN74" s="545"/>
      <c r="OQO74" s="545"/>
      <c r="OQP74" s="545"/>
      <c r="OQQ74" s="545"/>
      <c r="OQR74" s="545"/>
      <c r="OQS74" s="545"/>
      <c r="OQT74" s="545"/>
      <c r="OQU74" s="545"/>
      <c r="OQV74" s="545"/>
      <c r="OQW74" s="545"/>
      <c r="OQX74" s="545"/>
      <c r="OQY74" s="545"/>
      <c r="OQZ74" s="545"/>
      <c r="ORA74" s="545"/>
      <c r="ORB74" s="545"/>
      <c r="ORC74" s="545"/>
      <c r="ORD74" s="545"/>
      <c r="ORE74" s="545"/>
      <c r="ORF74" s="545"/>
      <c r="ORG74" s="545"/>
      <c r="ORH74" s="545"/>
      <c r="ORI74" s="545"/>
      <c r="ORJ74" s="545"/>
      <c r="ORK74" s="545"/>
      <c r="ORL74" s="545"/>
      <c r="ORM74" s="545"/>
      <c r="ORN74" s="545"/>
      <c r="ORO74" s="545"/>
      <c r="ORP74" s="545"/>
      <c r="ORQ74" s="545"/>
      <c r="ORR74" s="545"/>
      <c r="ORS74" s="545"/>
      <c r="ORT74" s="545"/>
      <c r="ORU74" s="545"/>
      <c r="ORV74" s="545"/>
      <c r="ORW74" s="545"/>
      <c r="ORX74" s="545"/>
      <c r="ORY74" s="545"/>
      <c r="ORZ74" s="545"/>
      <c r="OSA74" s="545"/>
      <c r="OSB74" s="545"/>
      <c r="OSC74" s="545"/>
      <c r="OSD74" s="545"/>
      <c r="OSE74" s="545"/>
      <c r="OSF74" s="545"/>
      <c r="OSG74" s="545"/>
      <c r="OSH74" s="545"/>
      <c r="OSI74" s="545"/>
      <c r="OSJ74" s="545"/>
      <c r="OSK74" s="545"/>
      <c r="OSL74" s="545"/>
      <c r="OSM74" s="545"/>
      <c r="OSN74" s="545"/>
      <c r="OSO74" s="545"/>
      <c r="OSP74" s="545"/>
      <c r="OSQ74" s="545"/>
      <c r="OSR74" s="545"/>
      <c r="OSS74" s="545"/>
      <c r="OST74" s="545"/>
      <c r="OSU74" s="545"/>
      <c r="OSV74" s="545"/>
      <c r="OSW74" s="545"/>
      <c r="OSX74" s="545"/>
      <c r="OSY74" s="545"/>
      <c r="OSZ74" s="545"/>
      <c r="OTA74" s="545"/>
      <c r="OTB74" s="545"/>
      <c r="OTC74" s="545"/>
      <c r="OTD74" s="545"/>
      <c r="OTE74" s="545"/>
      <c r="OTF74" s="545"/>
      <c r="OTG74" s="545"/>
      <c r="OTH74" s="545"/>
      <c r="OTI74" s="545"/>
      <c r="OTJ74" s="545"/>
      <c r="OTK74" s="545"/>
      <c r="OTL74" s="545"/>
      <c r="OTM74" s="545"/>
      <c r="OTN74" s="545"/>
      <c r="OTO74" s="545"/>
      <c r="OTP74" s="545"/>
      <c r="OTQ74" s="545"/>
      <c r="OTR74" s="545"/>
      <c r="OTS74" s="545"/>
      <c r="OTT74" s="545"/>
      <c r="OTU74" s="545"/>
      <c r="OTV74" s="545"/>
      <c r="OTW74" s="545"/>
      <c r="OTX74" s="545"/>
      <c r="OTY74" s="545"/>
      <c r="OTZ74" s="545"/>
      <c r="OUA74" s="545"/>
      <c r="OUB74" s="545"/>
      <c r="OUC74" s="545"/>
      <c r="OUD74" s="545"/>
      <c r="OUE74" s="545"/>
      <c r="OUF74" s="545"/>
      <c r="OUG74" s="545"/>
      <c r="OUH74" s="545"/>
      <c r="OUI74" s="545"/>
      <c r="OUJ74" s="545"/>
      <c r="OUK74" s="545"/>
      <c r="OUL74" s="545"/>
      <c r="OUM74" s="545"/>
      <c r="OUN74" s="545"/>
      <c r="OUO74" s="545"/>
      <c r="OUP74" s="545"/>
      <c r="OUQ74" s="545"/>
      <c r="OUR74" s="545"/>
      <c r="OUS74" s="545"/>
      <c r="OUT74" s="545"/>
      <c r="OUU74" s="545"/>
      <c r="OUV74" s="545"/>
      <c r="OUW74" s="545"/>
      <c r="OUX74" s="545"/>
      <c r="OUY74" s="545"/>
      <c r="OUZ74" s="545"/>
      <c r="OVA74" s="545"/>
      <c r="OVB74" s="545"/>
      <c r="OVC74" s="545"/>
      <c r="OVD74" s="545"/>
      <c r="OVE74" s="545"/>
      <c r="OVF74" s="545"/>
      <c r="OVG74" s="545"/>
      <c r="OVH74" s="545"/>
      <c r="OVI74" s="545"/>
      <c r="OVJ74" s="545"/>
      <c r="OVK74" s="545"/>
      <c r="OVL74" s="545"/>
      <c r="OVM74" s="545"/>
      <c r="OVN74" s="545"/>
      <c r="OVO74" s="545"/>
      <c r="OVP74" s="545"/>
      <c r="OVQ74" s="545"/>
      <c r="OVR74" s="545"/>
      <c r="OVS74" s="545"/>
      <c r="OVT74" s="545"/>
      <c r="OVU74" s="545"/>
      <c r="OVV74" s="545"/>
      <c r="OVW74" s="545"/>
      <c r="OVX74" s="545"/>
      <c r="OVY74" s="545"/>
      <c r="OVZ74" s="545"/>
      <c r="OWA74" s="545"/>
      <c r="OWB74" s="545"/>
      <c r="OWC74" s="545"/>
      <c r="OWD74" s="545"/>
      <c r="OWE74" s="545"/>
      <c r="OWF74" s="545"/>
      <c r="OWG74" s="545"/>
      <c r="OWH74" s="545"/>
      <c r="OWI74" s="545"/>
      <c r="OWJ74" s="545"/>
      <c r="OWK74" s="545"/>
      <c r="OWL74" s="545"/>
      <c r="OWM74" s="545"/>
      <c r="OWN74" s="545"/>
      <c r="OWO74" s="545"/>
      <c r="OWP74" s="545"/>
      <c r="OWQ74" s="545"/>
      <c r="OWR74" s="545"/>
      <c r="OWS74" s="545"/>
      <c r="OWT74" s="545"/>
      <c r="OWU74" s="545"/>
      <c r="OWV74" s="545"/>
      <c r="OWW74" s="545"/>
      <c r="OWX74" s="545"/>
      <c r="OWY74" s="545"/>
      <c r="OWZ74" s="545"/>
      <c r="OXA74" s="545"/>
      <c r="OXB74" s="545"/>
      <c r="OXC74" s="545"/>
      <c r="OXD74" s="545"/>
      <c r="OXE74" s="545"/>
      <c r="OXF74" s="545"/>
      <c r="OXG74" s="545"/>
      <c r="OXH74" s="545"/>
      <c r="OXI74" s="545"/>
      <c r="OXJ74" s="545"/>
      <c r="OXK74" s="545"/>
      <c r="OXL74" s="545"/>
      <c r="OXM74" s="545"/>
      <c r="OXN74" s="545"/>
      <c r="OXO74" s="545"/>
      <c r="OXP74" s="545"/>
      <c r="OXQ74" s="545"/>
      <c r="OXR74" s="545"/>
      <c r="OXS74" s="545"/>
      <c r="OXT74" s="545"/>
      <c r="OXU74" s="545"/>
      <c r="OXV74" s="545"/>
      <c r="OXW74" s="545"/>
      <c r="OXX74" s="545"/>
      <c r="OXY74" s="545"/>
      <c r="OXZ74" s="545"/>
      <c r="OYA74" s="545"/>
      <c r="OYB74" s="545"/>
      <c r="OYC74" s="545"/>
      <c r="OYD74" s="545"/>
      <c r="OYE74" s="545"/>
      <c r="OYF74" s="545"/>
      <c r="OYG74" s="545"/>
      <c r="OYH74" s="545"/>
      <c r="OYI74" s="545"/>
      <c r="OYJ74" s="545"/>
      <c r="OYK74" s="545"/>
      <c r="OYL74" s="545"/>
      <c r="OYM74" s="545"/>
      <c r="OYN74" s="545"/>
      <c r="OYO74" s="545"/>
      <c r="OYP74" s="545"/>
      <c r="OYQ74" s="545"/>
      <c r="OYR74" s="545"/>
      <c r="OYS74" s="545"/>
      <c r="OYT74" s="545"/>
      <c r="OYU74" s="545"/>
      <c r="OYV74" s="545"/>
      <c r="OYW74" s="545"/>
      <c r="OYX74" s="545"/>
      <c r="OYY74" s="545"/>
      <c r="OYZ74" s="545"/>
      <c r="OZA74" s="545"/>
      <c r="OZB74" s="545"/>
      <c r="OZC74" s="545"/>
      <c r="OZD74" s="545"/>
      <c r="OZE74" s="545"/>
      <c r="OZF74" s="545"/>
      <c r="OZG74" s="545"/>
      <c r="OZH74" s="545"/>
      <c r="OZI74" s="545"/>
      <c r="OZJ74" s="545"/>
      <c r="OZK74" s="545"/>
      <c r="OZL74" s="545"/>
      <c r="OZM74" s="545"/>
      <c r="OZN74" s="545"/>
      <c r="OZO74" s="545"/>
      <c r="OZP74" s="545"/>
      <c r="OZQ74" s="545"/>
      <c r="OZR74" s="545"/>
      <c r="OZS74" s="545"/>
      <c r="OZT74" s="545"/>
      <c r="OZU74" s="545"/>
      <c r="OZV74" s="545"/>
      <c r="OZW74" s="545"/>
      <c r="OZX74" s="545"/>
      <c r="OZY74" s="545"/>
      <c r="OZZ74" s="545"/>
      <c r="PAA74" s="545"/>
      <c r="PAB74" s="545"/>
      <c r="PAC74" s="545"/>
      <c r="PAD74" s="545"/>
      <c r="PAE74" s="545"/>
      <c r="PAF74" s="545"/>
      <c r="PAG74" s="545"/>
      <c r="PAH74" s="545"/>
      <c r="PAI74" s="545"/>
      <c r="PAJ74" s="545"/>
      <c r="PAK74" s="545"/>
      <c r="PAL74" s="545"/>
      <c r="PAM74" s="545"/>
      <c r="PAN74" s="545"/>
      <c r="PAO74" s="545"/>
      <c r="PAP74" s="545"/>
      <c r="PAQ74" s="545"/>
      <c r="PAR74" s="545"/>
      <c r="PAS74" s="545"/>
      <c r="PAT74" s="545"/>
      <c r="PAU74" s="545"/>
      <c r="PAV74" s="545"/>
      <c r="PAW74" s="545"/>
      <c r="PAX74" s="545"/>
      <c r="PAY74" s="545"/>
      <c r="PAZ74" s="545"/>
      <c r="PBA74" s="545"/>
      <c r="PBB74" s="545"/>
      <c r="PBC74" s="545"/>
      <c r="PBD74" s="545"/>
      <c r="PBE74" s="545"/>
      <c r="PBF74" s="545"/>
      <c r="PBG74" s="545"/>
      <c r="PBH74" s="545"/>
      <c r="PBI74" s="545"/>
      <c r="PBJ74" s="545"/>
      <c r="PBK74" s="545"/>
      <c r="PBL74" s="545"/>
      <c r="PBM74" s="545"/>
      <c r="PBN74" s="545"/>
      <c r="PBO74" s="545"/>
      <c r="PBP74" s="545"/>
      <c r="PBQ74" s="545"/>
      <c r="PBR74" s="545"/>
      <c r="PBS74" s="545"/>
      <c r="PBT74" s="545"/>
      <c r="PBU74" s="545"/>
      <c r="PBV74" s="545"/>
      <c r="PBW74" s="545"/>
      <c r="PBX74" s="545"/>
      <c r="PBY74" s="545"/>
      <c r="PBZ74" s="545"/>
      <c r="PCA74" s="545"/>
      <c r="PCB74" s="545"/>
      <c r="PCC74" s="545"/>
      <c r="PCD74" s="545"/>
      <c r="PCE74" s="545"/>
      <c r="PCF74" s="545"/>
      <c r="PCG74" s="545"/>
      <c r="PCH74" s="545"/>
      <c r="PCI74" s="545"/>
      <c r="PCJ74" s="545"/>
      <c r="PCK74" s="545"/>
      <c r="PCL74" s="545"/>
      <c r="PCM74" s="545"/>
      <c r="PCN74" s="545"/>
      <c r="PCO74" s="545"/>
      <c r="PCP74" s="545"/>
      <c r="PCQ74" s="545"/>
      <c r="PCR74" s="545"/>
      <c r="PCS74" s="545"/>
      <c r="PCT74" s="545"/>
      <c r="PCU74" s="545"/>
      <c r="PCV74" s="545"/>
      <c r="PCW74" s="545"/>
      <c r="PCX74" s="545"/>
      <c r="PCY74" s="545"/>
      <c r="PCZ74" s="545"/>
      <c r="PDA74" s="545"/>
      <c r="PDB74" s="545"/>
      <c r="PDC74" s="545"/>
      <c r="PDD74" s="545"/>
      <c r="PDE74" s="545"/>
      <c r="PDF74" s="545"/>
      <c r="PDG74" s="545"/>
      <c r="PDH74" s="545"/>
      <c r="PDI74" s="545"/>
      <c r="PDJ74" s="545"/>
      <c r="PDK74" s="545"/>
      <c r="PDL74" s="545"/>
      <c r="PDM74" s="545"/>
      <c r="PDN74" s="545"/>
      <c r="PDO74" s="545"/>
      <c r="PDP74" s="545"/>
      <c r="PDQ74" s="545"/>
      <c r="PDR74" s="545"/>
      <c r="PDS74" s="545"/>
      <c r="PDT74" s="545"/>
      <c r="PDU74" s="545"/>
      <c r="PDV74" s="545"/>
      <c r="PDW74" s="545"/>
      <c r="PDX74" s="545"/>
      <c r="PDY74" s="545"/>
      <c r="PDZ74" s="545"/>
      <c r="PEA74" s="545"/>
      <c r="PEB74" s="545"/>
      <c r="PEC74" s="545"/>
      <c r="PED74" s="545"/>
      <c r="PEE74" s="545"/>
      <c r="PEF74" s="545"/>
      <c r="PEG74" s="545"/>
      <c r="PEH74" s="545"/>
      <c r="PEI74" s="545"/>
      <c r="PEJ74" s="545"/>
      <c r="PEK74" s="545"/>
      <c r="PEL74" s="545"/>
      <c r="PEM74" s="545"/>
      <c r="PEN74" s="545"/>
      <c r="PEO74" s="545"/>
      <c r="PEP74" s="545"/>
      <c r="PEQ74" s="545"/>
      <c r="PER74" s="545"/>
      <c r="PES74" s="545"/>
      <c r="PET74" s="545"/>
      <c r="PEU74" s="545"/>
      <c r="PEV74" s="545"/>
      <c r="PEW74" s="545"/>
      <c r="PEX74" s="545"/>
      <c r="PEY74" s="545"/>
      <c r="PEZ74" s="545"/>
      <c r="PFA74" s="545"/>
      <c r="PFB74" s="545"/>
      <c r="PFC74" s="545"/>
      <c r="PFD74" s="545"/>
      <c r="PFE74" s="545"/>
      <c r="PFF74" s="545"/>
      <c r="PFG74" s="545"/>
      <c r="PFH74" s="545"/>
      <c r="PFI74" s="545"/>
      <c r="PFJ74" s="545"/>
      <c r="PFK74" s="545"/>
      <c r="PFL74" s="545"/>
      <c r="PFM74" s="545"/>
      <c r="PFN74" s="545"/>
      <c r="PFO74" s="545"/>
      <c r="PFP74" s="545"/>
      <c r="PFQ74" s="545"/>
      <c r="PFR74" s="545"/>
      <c r="PFS74" s="545"/>
      <c r="PFT74" s="545"/>
      <c r="PFU74" s="545"/>
      <c r="PFV74" s="545"/>
      <c r="PFW74" s="545"/>
      <c r="PFX74" s="545"/>
      <c r="PFY74" s="545"/>
      <c r="PFZ74" s="545"/>
      <c r="PGA74" s="545"/>
      <c r="PGB74" s="545"/>
      <c r="PGC74" s="545"/>
      <c r="PGD74" s="545"/>
      <c r="PGE74" s="545"/>
      <c r="PGF74" s="545"/>
      <c r="PGG74" s="545"/>
      <c r="PGH74" s="545"/>
      <c r="PGI74" s="545"/>
      <c r="PGJ74" s="545"/>
      <c r="PGK74" s="545"/>
      <c r="PGL74" s="545"/>
      <c r="PGM74" s="545"/>
      <c r="PGN74" s="545"/>
      <c r="PGO74" s="545"/>
      <c r="PGP74" s="545"/>
      <c r="PGQ74" s="545"/>
      <c r="PGR74" s="545"/>
      <c r="PGS74" s="545"/>
      <c r="PGT74" s="545"/>
      <c r="PGU74" s="545"/>
      <c r="PGV74" s="545"/>
      <c r="PGW74" s="545"/>
      <c r="PGX74" s="545"/>
      <c r="PGY74" s="545"/>
      <c r="PGZ74" s="545"/>
      <c r="PHA74" s="545"/>
      <c r="PHB74" s="545"/>
      <c r="PHC74" s="545"/>
      <c r="PHD74" s="545"/>
      <c r="PHE74" s="545"/>
      <c r="PHF74" s="545"/>
      <c r="PHG74" s="545"/>
      <c r="PHH74" s="545"/>
      <c r="PHI74" s="545"/>
      <c r="PHJ74" s="545"/>
      <c r="PHK74" s="545"/>
      <c r="PHL74" s="545"/>
      <c r="PHM74" s="545"/>
      <c r="PHN74" s="545"/>
      <c r="PHO74" s="545"/>
      <c r="PHP74" s="545"/>
      <c r="PHQ74" s="545"/>
      <c r="PHR74" s="545"/>
      <c r="PHS74" s="545"/>
      <c r="PHT74" s="545"/>
      <c r="PHU74" s="545"/>
      <c r="PHV74" s="545"/>
      <c r="PHW74" s="545"/>
      <c r="PHX74" s="545"/>
      <c r="PHY74" s="545"/>
      <c r="PHZ74" s="545"/>
      <c r="PIA74" s="545"/>
      <c r="PIB74" s="545"/>
      <c r="PIC74" s="545"/>
      <c r="PID74" s="545"/>
      <c r="PIE74" s="545"/>
      <c r="PIF74" s="545"/>
      <c r="PIG74" s="545"/>
      <c r="PIH74" s="545"/>
      <c r="PII74" s="545"/>
      <c r="PIJ74" s="545"/>
      <c r="PIK74" s="545"/>
      <c r="PIL74" s="545"/>
      <c r="PIM74" s="545"/>
      <c r="PIN74" s="545"/>
      <c r="PIO74" s="545"/>
      <c r="PIP74" s="545"/>
      <c r="PIQ74" s="545"/>
      <c r="PIR74" s="545"/>
      <c r="PIS74" s="545"/>
      <c r="PIT74" s="545"/>
      <c r="PIU74" s="545"/>
      <c r="PIV74" s="545"/>
      <c r="PIW74" s="545"/>
      <c r="PIX74" s="545"/>
      <c r="PIY74" s="545"/>
      <c r="PIZ74" s="545"/>
      <c r="PJA74" s="545"/>
      <c r="PJB74" s="545"/>
      <c r="PJC74" s="545"/>
      <c r="PJD74" s="545"/>
      <c r="PJE74" s="545"/>
      <c r="PJF74" s="545"/>
      <c r="PJG74" s="545"/>
      <c r="PJH74" s="545"/>
      <c r="PJI74" s="545"/>
      <c r="PJJ74" s="545"/>
      <c r="PJK74" s="545"/>
      <c r="PJL74" s="545"/>
      <c r="PJM74" s="545"/>
      <c r="PJN74" s="545"/>
      <c r="PJO74" s="545"/>
      <c r="PJP74" s="545"/>
      <c r="PJQ74" s="545"/>
      <c r="PJR74" s="545"/>
      <c r="PJS74" s="545"/>
      <c r="PJT74" s="545"/>
      <c r="PJU74" s="545"/>
      <c r="PJV74" s="545"/>
      <c r="PJW74" s="545"/>
      <c r="PJX74" s="545"/>
      <c r="PJY74" s="545"/>
      <c r="PJZ74" s="545"/>
      <c r="PKA74" s="545"/>
      <c r="PKB74" s="545"/>
      <c r="PKC74" s="545"/>
      <c r="PKD74" s="545"/>
      <c r="PKE74" s="545"/>
      <c r="PKF74" s="545"/>
      <c r="PKG74" s="545"/>
      <c r="PKH74" s="545"/>
      <c r="PKI74" s="545"/>
      <c r="PKJ74" s="545"/>
      <c r="PKK74" s="545"/>
      <c r="PKL74" s="545"/>
      <c r="PKM74" s="545"/>
      <c r="PKN74" s="545"/>
      <c r="PKO74" s="545"/>
      <c r="PKP74" s="545"/>
      <c r="PKQ74" s="545"/>
      <c r="PKR74" s="545"/>
      <c r="PKS74" s="545"/>
      <c r="PKT74" s="545"/>
      <c r="PKU74" s="545"/>
      <c r="PKV74" s="545"/>
      <c r="PKW74" s="545"/>
      <c r="PKX74" s="545"/>
      <c r="PKY74" s="545"/>
      <c r="PKZ74" s="545"/>
      <c r="PLA74" s="545"/>
      <c r="PLB74" s="545"/>
      <c r="PLC74" s="545"/>
      <c r="PLD74" s="545"/>
      <c r="PLE74" s="545"/>
      <c r="PLF74" s="545"/>
      <c r="PLG74" s="545"/>
      <c r="PLH74" s="545"/>
      <c r="PLI74" s="545"/>
      <c r="PLJ74" s="545"/>
      <c r="PLK74" s="545"/>
      <c r="PLL74" s="545"/>
      <c r="PLM74" s="545"/>
      <c r="PLN74" s="545"/>
      <c r="PLO74" s="545"/>
      <c r="PLP74" s="545"/>
      <c r="PLQ74" s="545"/>
      <c r="PLR74" s="545"/>
      <c r="PLS74" s="545"/>
      <c r="PLT74" s="545"/>
      <c r="PLU74" s="545"/>
      <c r="PLV74" s="545"/>
      <c r="PLW74" s="545"/>
      <c r="PLX74" s="545"/>
      <c r="PLY74" s="545"/>
      <c r="PLZ74" s="545"/>
      <c r="PMA74" s="545"/>
      <c r="PMB74" s="545"/>
      <c r="PMC74" s="545"/>
      <c r="PMD74" s="545"/>
      <c r="PME74" s="545"/>
      <c r="PMF74" s="545"/>
      <c r="PMG74" s="545"/>
      <c r="PMH74" s="545"/>
      <c r="PMI74" s="545"/>
      <c r="PMJ74" s="545"/>
      <c r="PMK74" s="545"/>
      <c r="PML74" s="545"/>
      <c r="PMM74" s="545"/>
      <c r="PMN74" s="545"/>
      <c r="PMO74" s="545"/>
      <c r="PMP74" s="545"/>
      <c r="PMQ74" s="545"/>
      <c r="PMR74" s="545"/>
      <c r="PMS74" s="545"/>
      <c r="PMT74" s="545"/>
      <c r="PMU74" s="545"/>
      <c r="PMV74" s="545"/>
      <c r="PMW74" s="545"/>
      <c r="PMX74" s="545"/>
      <c r="PMY74" s="545"/>
      <c r="PMZ74" s="545"/>
      <c r="PNA74" s="545"/>
      <c r="PNB74" s="545"/>
      <c r="PNC74" s="545"/>
      <c r="PND74" s="545"/>
      <c r="PNE74" s="545"/>
      <c r="PNF74" s="545"/>
      <c r="PNG74" s="545"/>
      <c r="PNH74" s="545"/>
      <c r="PNI74" s="545"/>
      <c r="PNJ74" s="545"/>
      <c r="PNK74" s="545"/>
      <c r="PNL74" s="545"/>
      <c r="PNM74" s="545"/>
      <c r="PNN74" s="545"/>
      <c r="PNO74" s="545"/>
      <c r="PNP74" s="545"/>
      <c r="PNQ74" s="545"/>
      <c r="PNR74" s="545"/>
      <c r="PNS74" s="545"/>
      <c r="PNT74" s="545"/>
      <c r="PNU74" s="545"/>
      <c r="PNV74" s="545"/>
      <c r="PNW74" s="545"/>
      <c r="PNX74" s="545"/>
      <c r="PNY74" s="545"/>
      <c r="PNZ74" s="545"/>
      <c r="POA74" s="545"/>
      <c r="POB74" s="545"/>
      <c r="POC74" s="545"/>
      <c r="POD74" s="545"/>
      <c r="POE74" s="545"/>
      <c r="POF74" s="545"/>
      <c r="POG74" s="545"/>
      <c r="POH74" s="545"/>
      <c r="POI74" s="545"/>
      <c r="POJ74" s="545"/>
      <c r="POK74" s="545"/>
      <c r="POL74" s="545"/>
      <c r="POM74" s="545"/>
      <c r="PON74" s="545"/>
      <c r="POO74" s="545"/>
      <c r="POP74" s="545"/>
      <c r="POQ74" s="545"/>
      <c r="POR74" s="545"/>
      <c r="POS74" s="545"/>
      <c r="POT74" s="545"/>
      <c r="POU74" s="545"/>
      <c r="POV74" s="545"/>
      <c r="POW74" s="545"/>
      <c r="POX74" s="545"/>
      <c r="POY74" s="545"/>
      <c r="POZ74" s="545"/>
      <c r="PPA74" s="545"/>
      <c r="PPB74" s="545"/>
      <c r="PPC74" s="545"/>
      <c r="PPD74" s="545"/>
      <c r="PPE74" s="545"/>
      <c r="PPF74" s="545"/>
      <c r="PPG74" s="545"/>
      <c r="PPH74" s="545"/>
      <c r="PPI74" s="545"/>
      <c r="PPJ74" s="545"/>
      <c r="PPK74" s="545"/>
      <c r="PPL74" s="545"/>
      <c r="PPM74" s="545"/>
      <c r="PPN74" s="545"/>
      <c r="PPO74" s="545"/>
      <c r="PPP74" s="545"/>
      <c r="PPQ74" s="545"/>
      <c r="PPR74" s="545"/>
      <c r="PPS74" s="545"/>
      <c r="PPT74" s="545"/>
      <c r="PPU74" s="545"/>
      <c r="PPV74" s="545"/>
      <c r="PPW74" s="545"/>
      <c r="PPX74" s="545"/>
      <c r="PPY74" s="545"/>
      <c r="PPZ74" s="545"/>
      <c r="PQA74" s="545"/>
      <c r="PQB74" s="545"/>
      <c r="PQC74" s="545"/>
      <c r="PQD74" s="545"/>
      <c r="PQE74" s="545"/>
      <c r="PQF74" s="545"/>
      <c r="PQG74" s="545"/>
      <c r="PQH74" s="545"/>
      <c r="PQI74" s="545"/>
      <c r="PQJ74" s="545"/>
      <c r="PQK74" s="545"/>
      <c r="PQL74" s="545"/>
      <c r="PQM74" s="545"/>
      <c r="PQN74" s="545"/>
      <c r="PQO74" s="545"/>
      <c r="PQP74" s="545"/>
      <c r="PQQ74" s="545"/>
      <c r="PQR74" s="545"/>
      <c r="PQS74" s="545"/>
      <c r="PQT74" s="545"/>
      <c r="PQU74" s="545"/>
      <c r="PQV74" s="545"/>
      <c r="PQW74" s="545"/>
      <c r="PQX74" s="545"/>
      <c r="PQY74" s="545"/>
      <c r="PQZ74" s="545"/>
      <c r="PRA74" s="545"/>
      <c r="PRB74" s="545"/>
      <c r="PRC74" s="545"/>
      <c r="PRD74" s="545"/>
      <c r="PRE74" s="545"/>
      <c r="PRF74" s="545"/>
      <c r="PRG74" s="545"/>
      <c r="PRH74" s="545"/>
      <c r="PRI74" s="545"/>
      <c r="PRJ74" s="545"/>
      <c r="PRK74" s="545"/>
      <c r="PRL74" s="545"/>
      <c r="PRM74" s="545"/>
      <c r="PRN74" s="545"/>
      <c r="PRO74" s="545"/>
      <c r="PRP74" s="545"/>
      <c r="PRQ74" s="545"/>
      <c r="PRR74" s="545"/>
      <c r="PRS74" s="545"/>
      <c r="PRT74" s="545"/>
      <c r="PRU74" s="545"/>
      <c r="PRV74" s="545"/>
      <c r="PRW74" s="545"/>
      <c r="PRX74" s="545"/>
      <c r="PRY74" s="545"/>
      <c r="PRZ74" s="545"/>
      <c r="PSA74" s="545"/>
      <c r="PSB74" s="545"/>
      <c r="PSC74" s="545"/>
      <c r="PSD74" s="545"/>
      <c r="PSE74" s="545"/>
      <c r="PSF74" s="545"/>
      <c r="PSG74" s="545"/>
      <c r="PSH74" s="545"/>
      <c r="PSI74" s="545"/>
      <c r="PSJ74" s="545"/>
      <c r="PSK74" s="545"/>
      <c r="PSL74" s="545"/>
      <c r="PSM74" s="545"/>
      <c r="PSN74" s="545"/>
      <c r="PSO74" s="545"/>
      <c r="PSP74" s="545"/>
      <c r="PSQ74" s="545"/>
      <c r="PSR74" s="545"/>
      <c r="PSS74" s="545"/>
      <c r="PST74" s="545"/>
      <c r="PSU74" s="545"/>
      <c r="PSV74" s="545"/>
      <c r="PSW74" s="545"/>
      <c r="PSX74" s="545"/>
      <c r="PSY74" s="545"/>
      <c r="PSZ74" s="545"/>
      <c r="PTA74" s="545"/>
      <c r="PTB74" s="545"/>
      <c r="PTC74" s="545"/>
      <c r="PTD74" s="545"/>
      <c r="PTE74" s="545"/>
      <c r="PTF74" s="545"/>
      <c r="PTG74" s="545"/>
      <c r="PTH74" s="545"/>
      <c r="PTI74" s="545"/>
      <c r="PTJ74" s="545"/>
      <c r="PTK74" s="545"/>
      <c r="PTL74" s="545"/>
      <c r="PTM74" s="545"/>
      <c r="PTN74" s="545"/>
      <c r="PTO74" s="545"/>
      <c r="PTP74" s="545"/>
      <c r="PTQ74" s="545"/>
      <c r="PTR74" s="545"/>
      <c r="PTS74" s="545"/>
      <c r="PTT74" s="545"/>
      <c r="PTU74" s="545"/>
      <c r="PTV74" s="545"/>
      <c r="PTW74" s="545"/>
      <c r="PTX74" s="545"/>
      <c r="PTY74" s="545"/>
      <c r="PTZ74" s="545"/>
      <c r="PUA74" s="545"/>
      <c r="PUB74" s="545"/>
      <c r="PUC74" s="545"/>
      <c r="PUD74" s="545"/>
      <c r="PUE74" s="545"/>
      <c r="PUF74" s="545"/>
      <c r="PUG74" s="545"/>
      <c r="PUH74" s="545"/>
      <c r="PUI74" s="545"/>
      <c r="PUJ74" s="545"/>
      <c r="PUK74" s="545"/>
      <c r="PUL74" s="545"/>
      <c r="PUM74" s="545"/>
      <c r="PUN74" s="545"/>
      <c r="PUO74" s="545"/>
      <c r="PUP74" s="545"/>
      <c r="PUQ74" s="545"/>
      <c r="PUR74" s="545"/>
      <c r="PUS74" s="545"/>
      <c r="PUT74" s="545"/>
      <c r="PUU74" s="545"/>
      <c r="PUV74" s="545"/>
      <c r="PUW74" s="545"/>
      <c r="PUX74" s="545"/>
      <c r="PUY74" s="545"/>
      <c r="PUZ74" s="545"/>
      <c r="PVA74" s="545"/>
      <c r="PVB74" s="545"/>
      <c r="PVC74" s="545"/>
      <c r="PVD74" s="545"/>
      <c r="PVE74" s="545"/>
      <c r="PVF74" s="545"/>
      <c r="PVG74" s="545"/>
      <c r="PVH74" s="545"/>
      <c r="PVI74" s="545"/>
      <c r="PVJ74" s="545"/>
      <c r="PVK74" s="545"/>
      <c r="PVL74" s="545"/>
      <c r="PVM74" s="545"/>
      <c r="PVN74" s="545"/>
      <c r="PVO74" s="545"/>
      <c r="PVP74" s="545"/>
      <c r="PVQ74" s="545"/>
      <c r="PVR74" s="545"/>
      <c r="PVS74" s="545"/>
      <c r="PVT74" s="545"/>
      <c r="PVU74" s="545"/>
      <c r="PVV74" s="545"/>
      <c r="PVW74" s="545"/>
      <c r="PVX74" s="545"/>
      <c r="PVY74" s="545"/>
      <c r="PVZ74" s="545"/>
      <c r="PWA74" s="545"/>
      <c r="PWB74" s="545"/>
      <c r="PWC74" s="545"/>
      <c r="PWD74" s="545"/>
      <c r="PWE74" s="545"/>
      <c r="PWF74" s="545"/>
      <c r="PWG74" s="545"/>
      <c r="PWH74" s="545"/>
      <c r="PWI74" s="545"/>
      <c r="PWJ74" s="545"/>
      <c r="PWK74" s="545"/>
      <c r="PWL74" s="545"/>
      <c r="PWM74" s="545"/>
      <c r="PWN74" s="545"/>
      <c r="PWO74" s="545"/>
      <c r="PWP74" s="545"/>
      <c r="PWQ74" s="545"/>
      <c r="PWR74" s="545"/>
      <c r="PWS74" s="545"/>
      <c r="PWT74" s="545"/>
      <c r="PWU74" s="545"/>
      <c r="PWV74" s="545"/>
      <c r="PWW74" s="545"/>
      <c r="PWX74" s="545"/>
      <c r="PWY74" s="545"/>
      <c r="PWZ74" s="545"/>
      <c r="PXA74" s="545"/>
      <c r="PXB74" s="545"/>
      <c r="PXC74" s="545"/>
      <c r="PXD74" s="545"/>
      <c r="PXE74" s="545"/>
      <c r="PXF74" s="545"/>
      <c r="PXG74" s="545"/>
      <c r="PXH74" s="545"/>
      <c r="PXI74" s="545"/>
      <c r="PXJ74" s="545"/>
      <c r="PXK74" s="545"/>
      <c r="PXL74" s="545"/>
      <c r="PXM74" s="545"/>
      <c r="PXN74" s="545"/>
      <c r="PXO74" s="545"/>
      <c r="PXP74" s="545"/>
      <c r="PXQ74" s="545"/>
      <c r="PXR74" s="545"/>
      <c r="PXS74" s="545"/>
      <c r="PXT74" s="545"/>
      <c r="PXU74" s="545"/>
      <c r="PXV74" s="545"/>
      <c r="PXW74" s="545"/>
      <c r="PXX74" s="545"/>
      <c r="PXY74" s="545"/>
      <c r="PXZ74" s="545"/>
      <c r="PYA74" s="545"/>
      <c r="PYB74" s="545"/>
      <c r="PYC74" s="545"/>
      <c r="PYD74" s="545"/>
      <c r="PYE74" s="545"/>
      <c r="PYF74" s="545"/>
      <c r="PYG74" s="545"/>
      <c r="PYH74" s="545"/>
      <c r="PYI74" s="545"/>
      <c r="PYJ74" s="545"/>
      <c r="PYK74" s="545"/>
      <c r="PYL74" s="545"/>
      <c r="PYM74" s="545"/>
      <c r="PYN74" s="545"/>
      <c r="PYO74" s="545"/>
      <c r="PYP74" s="545"/>
      <c r="PYQ74" s="545"/>
      <c r="PYR74" s="545"/>
      <c r="PYS74" s="545"/>
      <c r="PYT74" s="545"/>
      <c r="PYU74" s="545"/>
      <c r="PYV74" s="545"/>
      <c r="PYW74" s="545"/>
      <c r="PYX74" s="545"/>
      <c r="PYY74" s="545"/>
      <c r="PYZ74" s="545"/>
      <c r="PZA74" s="545"/>
      <c r="PZB74" s="545"/>
      <c r="PZC74" s="545"/>
      <c r="PZD74" s="545"/>
      <c r="PZE74" s="545"/>
      <c r="PZF74" s="545"/>
      <c r="PZG74" s="545"/>
      <c r="PZH74" s="545"/>
      <c r="PZI74" s="545"/>
      <c r="PZJ74" s="545"/>
      <c r="PZK74" s="545"/>
      <c r="PZL74" s="545"/>
      <c r="PZM74" s="545"/>
      <c r="PZN74" s="545"/>
      <c r="PZO74" s="545"/>
      <c r="PZP74" s="545"/>
      <c r="PZQ74" s="545"/>
      <c r="PZR74" s="545"/>
      <c r="PZS74" s="545"/>
      <c r="PZT74" s="545"/>
      <c r="PZU74" s="545"/>
      <c r="PZV74" s="545"/>
      <c r="PZW74" s="545"/>
      <c r="PZX74" s="545"/>
      <c r="PZY74" s="545"/>
      <c r="PZZ74" s="545"/>
      <c r="QAA74" s="545"/>
      <c r="QAB74" s="545"/>
      <c r="QAC74" s="545"/>
      <c r="QAD74" s="545"/>
      <c r="QAE74" s="545"/>
      <c r="QAF74" s="545"/>
      <c r="QAG74" s="545"/>
      <c r="QAH74" s="545"/>
      <c r="QAI74" s="545"/>
      <c r="QAJ74" s="545"/>
      <c r="QAK74" s="545"/>
      <c r="QAL74" s="545"/>
      <c r="QAM74" s="545"/>
      <c r="QAN74" s="545"/>
      <c r="QAO74" s="545"/>
      <c r="QAP74" s="545"/>
      <c r="QAQ74" s="545"/>
      <c r="QAR74" s="545"/>
      <c r="QAS74" s="545"/>
      <c r="QAT74" s="545"/>
      <c r="QAU74" s="545"/>
      <c r="QAV74" s="545"/>
      <c r="QAW74" s="545"/>
      <c r="QAX74" s="545"/>
      <c r="QAY74" s="545"/>
      <c r="QAZ74" s="545"/>
      <c r="QBA74" s="545"/>
      <c r="QBB74" s="545"/>
      <c r="QBC74" s="545"/>
      <c r="QBD74" s="545"/>
      <c r="QBE74" s="545"/>
      <c r="QBF74" s="545"/>
      <c r="QBG74" s="545"/>
      <c r="QBH74" s="545"/>
      <c r="QBI74" s="545"/>
      <c r="QBJ74" s="545"/>
      <c r="QBK74" s="545"/>
      <c r="QBL74" s="545"/>
      <c r="QBM74" s="545"/>
      <c r="QBN74" s="545"/>
      <c r="QBO74" s="545"/>
      <c r="QBP74" s="545"/>
      <c r="QBQ74" s="545"/>
      <c r="QBR74" s="545"/>
      <c r="QBS74" s="545"/>
      <c r="QBT74" s="545"/>
      <c r="QBU74" s="545"/>
      <c r="QBV74" s="545"/>
      <c r="QBW74" s="545"/>
      <c r="QBX74" s="545"/>
      <c r="QBY74" s="545"/>
      <c r="QBZ74" s="545"/>
      <c r="QCA74" s="545"/>
      <c r="QCB74" s="545"/>
      <c r="QCC74" s="545"/>
      <c r="QCD74" s="545"/>
      <c r="QCE74" s="545"/>
      <c r="QCF74" s="545"/>
      <c r="QCG74" s="545"/>
      <c r="QCH74" s="545"/>
      <c r="QCI74" s="545"/>
      <c r="QCJ74" s="545"/>
      <c r="QCK74" s="545"/>
      <c r="QCL74" s="545"/>
      <c r="QCM74" s="545"/>
      <c r="QCN74" s="545"/>
      <c r="QCO74" s="545"/>
      <c r="QCP74" s="545"/>
      <c r="QCQ74" s="545"/>
      <c r="QCR74" s="545"/>
      <c r="QCS74" s="545"/>
      <c r="QCT74" s="545"/>
      <c r="QCU74" s="545"/>
      <c r="QCV74" s="545"/>
      <c r="QCW74" s="545"/>
      <c r="QCX74" s="545"/>
      <c r="QCY74" s="545"/>
      <c r="QCZ74" s="545"/>
      <c r="QDA74" s="545"/>
      <c r="QDB74" s="545"/>
      <c r="QDC74" s="545"/>
      <c r="QDD74" s="545"/>
      <c r="QDE74" s="545"/>
      <c r="QDF74" s="545"/>
      <c r="QDG74" s="545"/>
      <c r="QDH74" s="545"/>
      <c r="QDI74" s="545"/>
      <c r="QDJ74" s="545"/>
      <c r="QDK74" s="545"/>
      <c r="QDL74" s="545"/>
      <c r="QDM74" s="545"/>
      <c r="QDN74" s="545"/>
      <c r="QDO74" s="545"/>
      <c r="QDP74" s="545"/>
      <c r="QDQ74" s="545"/>
      <c r="QDR74" s="545"/>
      <c r="QDS74" s="545"/>
      <c r="QDT74" s="545"/>
      <c r="QDU74" s="545"/>
      <c r="QDV74" s="545"/>
      <c r="QDW74" s="545"/>
      <c r="QDX74" s="545"/>
      <c r="QDY74" s="545"/>
      <c r="QDZ74" s="545"/>
      <c r="QEA74" s="545"/>
      <c r="QEB74" s="545"/>
      <c r="QEC74" s="545"/>
      <c r="QED74" s="545"/>
      <c r="QEE74" s="545"/>
      <c r="QEF74" s="545"/>
      <c r="QEG74" s="545"/>
      <c r="QEH74" s="545"/>
      <c r="QEI74" s="545"/>
      <c r="QEJ74" s="545"/>
      <c r="QEK74" s="545"/>
      <c r="QEL74" s="545"/>
      <c r="QEM74" s="545"/>
      <c r="QEN74" s="545"/>
      <c r="QEO74" s="545"/>
      <c r="QEP74" s="545"/>
      <c r="QEQ74" s="545"/>
      <c r="QER74" s="545"/>
      <c r="QES74" s="545"/>
      <c r="QET74" s="545"/>
      <c r="QEU74" s="545"/>
      <c r="QEV74" s="545"/>
      <c r="QEW74" s="545"/>
      <c r="QEX74" s="545"/>
      <c r="QEY74" s="545"/>
      <c r="QEZ74" s="545"/>
      <c r="QFA74" s="545"/>
      <c r="QFB74" s="545"/>
      <c r="QFC74" s="545"/>
      <c r="QFD74" s="545"/>
      <c r="QFE74" s="545"/>
      <c r="QFF74" s="545"/>
      <c r="QFG74" s="545"/>
      <c r="QFH74" s="545"/>
      <c r="QFI74" s="545"/>
      <c r="QFJ74" s="545"/>
      <c r="QFK74" s="545"/>
      <c r="QFL74" s="545"/>
      <c r="QFM74" s="545"/>
      <c r="QFN74" s="545"/>
      <c r="QFO74" s="545"/>
      <c r="QFP74" s="545"/>
      <c r="QFQ74" s="545"/>
      <c r="QFR74" s="545"/>
      <c r="QFS74" s="545"/>
      <c r="QFT74" s="545"/>
      <c r="QFU74" s="545"/>
      <c r="QFV74" s="545"/>
      <c r="QFW74" s="545"/>
      <c r="QFX74" s="545"/>
      <c r="QFY74" s="545"/>
      <c r="QFZ74" s="545"/>
      <c r="QGA74" s="545"/>
      <c r="QGB74" s="545"/>
      <c r="QGC74" s="545"/>
      <c r="QGD74" s="545"/>
      <c r="QGE74" s="545"/>
      <c r="QGF74" s="545"/>
      <c r="QGG74" s="545"/>
      <c r="QGH74" s="545"/>
      <c r="QGI74" s="545"/>
      <c r="QGJ74" s="545"/>
      <c r="QGK74" s="545"/>
      <c r="QGL74" s="545"/>
      <c r="QGM74" s="545"/>
      <c r="QGN74" s="545"/>
      <c r="QGO74" s="545"/>
      <c r="QGP74" s="545"/>
      <c r="QGQ74" s="545"/>
      <c r="QGR74" s="545"/>
      <c r="QGS74" s="545"/>
      <c r="QGT74" s="545"/>
      <c r="QGU74" s="545"/>
      <c r="QGV74" s="545"/>
      <c r="QGW74" s="545"/>
      <c r="QGX74" s="545"/>
      <c r="QGY74" s="545"/>
      <c r="QGZ74" s="545"/>
      <c r="QHA74" s="545"/>
      <c r="QHB74" s="545"/>
      <c r="QHC74" s="545"/>
      <c r="QHD74" s="545"/>
      <c r="QHE74" s="545"/>
      <c r="QHF74" s="545"/>
      <c r="QHG74" s="545"/>
      <c r="QHH74" s="545"/>
      <c r="QHI74" s="545"/>
      <c r="QHJ74" s="545"/>
      <c r="QHK74" s="545"/>
      <c r="QHL74" s="545"/>
      <c r="QHM74" s="545"/>
      <c r="QHN74" s="545"/>
      <c r="QHO74" s="545"/>
      <c r="QHP74" s="545"/>
      <c r="QHQ74" s="545"/>
      <c r="QHR74" s="545"/>
      <c r="QHS74" s="545"/>
      <c r="QHT74" s="545"/>
      <c r="QHU74" s="545"/>
      <c r="QHV74" s="545"/>
      <c r="QHW74" s="545"/>
      <c r="QHX74" s="545"/>
      <c r="QHY74" s="545"/>
      <c r="QHZ74" s="545"/>
      <c r="QIA74" s="545"/>
      <c r="QIB74" s="545"/>
      <c r="QIC74" s="545"/>
      <c r="QID74" s="545"/>
      <c r="QIE74" s="545"/>
      <c r="QIF74" s="545"/>
      <c r="QIG74" s="545"/>
      <c r="QIH74" s="545"/>
      <c r="QII74" s="545"/>
      <c r="QIJ74" s="545"/>
      <c r="QIK74" s="545"/>
      <c r="QIL74" s="545"/>
      <c r="QIM74" s="545"/>
      <c r="QIN74" s="545"/>
      <c r="QIO74" s="545"/>
      <c r="QIP74" s="545"/>
      <c r="QIQ74" s="545"/>
      <c r="QIR74" s="545"/>
      <c r="QIS74" s="545"/>
      <c r="QIT74" s="545"/>
      <c r="QIU74" s="545"/>
      <c r="QIV74" s="545"/>
      <c r="QIW74" s="545"/>
      <c r="QIX74" s="545"/>
      <c r="QIY74" s="545"/>
      <c r="QIZ74" s="545"/>
      <c r="QJA74" s="545"/>
      <c r="QJB74" s="545"/>
      <c r="QJC74" s="545"/>
      <c r="QJD74" s="545"/>
      <c r="QJE74" s="545"/>
      <c r="QJF74" s="545"/>
      <c r="QJG74" s="545"/>
      <c r="QJH74" s="545"/>
      <c r="QJI74" s="545"/>
      <c r="QJJ74" s="545"/>
      <c r="QJK74" s="545"/>
      <c r="QJL74" s="545"/>
      <c r="QJM74" s="545"/>
      <c r="QJN74" s="545"/>
      <c r="QJO74" s="545"/>
      <c r="QJP74" s="545"/>
      <c r="QJQ74" s="545"/>
      <c r="QJR74" s="545"/>
      <c r="QJS74" s="545"/>
      <c r="QJT74" s="545"/>
      <c r="QJU74" s="545"/>
      <c r="QJV74" s="545"/>
      <c r="QJW74" s="545"/>
      <c r="QJX74" s="545"/>
      <c r="QJY74" s="545"/>
      <c r="QJZ74" s="545"/>
      <c r="QKA74" s="545"/>
      <c r="QKB74" s="545"/>
      <c r="QKC74" s="545"/>
      <c r="QKD74" s="545"/>
      <c r="QKE74" s="545"/>
      <c r="QKF74" s="545"/>
      <c r="QKG74" s="545"/>
      <c r="QKH74" s="545"/>
      <c r="QKI74" s="545"/>
      <c r="QKJ74" s="545"/>
      <c r="QKK74" s="545"/>
      <c r="QKL74" s="545"/>
      <c r="QKM74" s="545"/>
      <c r="QKN74" s="545"/>
      <c r="QKO74" s="545"/>
      <c r="QKP74" s="545"/>
      <c r="QKQ74" s="545"/>
      <c r="QKR74" s="545"/>
      <c r="QKS74" s="545"/>
      <c r="QKT74" s="545"/>
      <c r="QKU74" s="545"/>
      <c r="QKV74" s="545"/>
      <c r="QKW74" s="545"/>
      <c r="QKX74" s="545"/>
      <c r="QKY74" s="545"/>
      <c r="QKZ74" s="545"/>
      <c r="QLA74" s="545"/>
      <c r="QLB74" s="545"/>
      <c r="QLC74" s="545"/>
      <c r="QLD74" s="545"/>
      <c r="QLE74" s="545"/>
      <c r="QLF74" s="545"/>
      <c r="QLG74" s="545"/>
      <c r="QLH74" s="545"/>
      <c r="QLI74" s="545"/>
      <c r="QLJ74" s="545"/>
      <c r="QLK74" s="545"/>
      <c r="QLL74" s="545"/>
      <c r="QLM74" s="545"/>
      <c r="QLN74" s="545"/>
      <c r="QLO74" s="545"/>
      <c r="QLP74" s="545"/>
      <c r="QLQ74" s="545"/>
      <c r="QLR74" s="545"/>
      <c r="QLS74" s="545"/>
      <c r="QLT74" s="545"/>
      <c r="QLU74" s="545"/>
      <c r="QLV74" s="545"/>
      <c r="QLW74" s="545"/>
      <c r="QLX74" s="545"/>
      <c r="QLY74" s="545"/>
      <c r="QLZ74" s="545"/>
      <c r="QMA74" s="545"/>
      <c r="QMB74" s="545"/>
      <c r="QMC74" s="545"/>
      <c r="QMD74" s="545"/>
      <c r="QME74" s="545"/>
      <c r="QMF74" s="545"/>
      <c r="QMG74" s="545"/>
      <c r="QMH74" s="545"/>
      <c r="QMI74" s="545"/>
      <c r="QMJ74" s="545"/>
      <c r="QMK74" s="545"/>
      <c r="QML74" s="545"/>
      <c r="QMM74" s="545"/>
      <c r="QMN74" s="545"/>
      <c r="QMO74" s="545"/>
      <c r="QMP74" s="545"/>
      <c r="QMQ74" s="545"/>
      <c r="QMR74" s="545"/>
      <c r="QMS74" s="545"/>
      <c r="QMT74" s="545"/>
      <c r="QMU74" s="545"/>
      <c r="QMV74" s="545"/>
      <c r="QMW74" s="545"/>
      <c r="QMX74" s="545"/>
      <c r="QMY74" s="545"/>
      <c r="QMZ74" s="545"/>
      <c r="QNA74" s="545"/>
      <c r="QNB74" s="545"/>
      <c r="QNC74" s="545"/>
      <c r="QND74" s="545"/>
      <c r="QNE74" s="545"/>
      <c r="QNF74" s="545"/>
      <c r="QNG74" s="545"/>
      <c r="QNH74" s="545"/>
      <c r="QNI74" s="545"/>
      <c r="QNJ74" s="545"/>
      <c r="QNK74" s="545"/>
      <c r="QNL74" s="545"/>
      <c r="QNM74" s="545"/>
      <c r="QNN74" s="545"/>
      <c r="QNO74" s="545"/>
      <c r="QNP74" s="545"/>
      <c r="QNQ74" s="545"/>
      <c r="QNR74" s="545"/>
      <c r="QNS74" s="545"/>
      <c r="QNT74" s="545"/>
      <c r="QNU74" s="545"/>
      <c r="QNV74" s="545"/>
      <c r="QNW74" s="545"/>
      <c r="QNX74" s="545"/>
      <c r="QNY74" s="545"/>
      <c r="QNZ74" s="545"/>
      <c r="QOA74" s="545"/>
      <c r="QOB74" s="545"/>
      <c r="QOC74" s="545"/>
      <c r="QOD74" s="545"/>
      <c r="QOE74" s="545"/>
      <c r="QOF74" s="545"/>
      <c r="QOG74" s="545"/>
      <c r="QOH74" s="545"/>
      <c r="QOI74" s="545"/>
      <c r="QOJ74" s="545"/>
      <c r="QOK74" s="545"/>
      <c r="QOL74" s="545"/>
      <c r="QOM74" s="545"/>
      <c r="QON74" s="545"/>
      <c r="QOO74" s="545"/>
      <c r="QOP74" s="545"/>
      <c r="QOQ74" s="545"/>
      <c r="QOR74" s="545"/>
      <c r="QOS74" s="545"/>
      <c r="QOT74" s="545"/>
      <c r="QOU74" s="545"/>
      <c r="QOV74" s="545"/>
      <c r="QOW74" s="545"/>
      <c r="QOX74" s="545"/>
      <c r="QOY74" s="545"/>
      <c r="QOZ74" s="545"/>
      <c r="QPA74" s="545"/>
      <c r="QPB74" s="545"/>
      <c r="QPC74" s="545"/>
      <c r="QPD74" s="545"/>
      <c r="QPE74" s="545"/>
      <c r="QPF74" s="545"/>
      <c r="QPG74" s="545"/>
      <c r="QPH74" s="545"/>
      <c r="QPI74" s="545"/>
      <c r="QPJ74" s="545"/>
      <c r="QPK74" s="545"/>
      <c r="QPL74" s="545"/>
      <c r="QPM74" s="545"/>
      <c r="QPN74" s="545"/>
      <c r="QPO74" s="545"/>
      <c r="QPP74" s="545"/>
      <c r="QPQ74" s="545"/>
      <c r="QPR74" s="545"/>
      <c r="QPS74" s="545"/>
      <c r="QPT74" s="545"/>
      <c r="QPU74" s="545"/>
      <c r="QPV74" s="545"/>
      <c r="QPW74" s="545"/>
      <c r="QPX74" s="545"/>
      <c r="QPY74" s="545"/>
      <c r="QPZ74" s="545"/>
      <c r="QQA74" s="545"/>
      <c r="QQB74" s="545"/>
      <c r="QQC74" s="545"/>
      <c r="QQD74" s="545"/>
      <c r="QQE74" s="545"/>
      <c r="QQF74" s="545"/>
      <c r="QQG74" s="545"/>
      <c r="QQH74" s="545"/>
      <c r="QQI74" s="545"/>
      <c r="QQJ74" s="545"/>
      <c r="QQK74" s="545"/>
      <c r="QQL74" s="545"/>
      <c r="QQM74" s="545"/>
      <c r="QQN74" s="545"/>
      <c r="QQO74" s="545"/>
      <c r="QQP74" s="545"/>
      <c r="QQQ74" s="545"/>
      <c r="QQR74" s="545"/>
      <c r="QQS74" s="545"/>
      <c r="QQT74" s="545"/>
      <c r="QQU74" s="545"/>
      <c r="QQV74" s="545"/>
      <c r="QQW74" s="545"/>
      <c r="QQX74" s="545"/>
      <c r="QQY74" s="545"/>
      <c r="QQZ74" s="545"/>
      <c r="QRA74" s="545"/>
      <c r="QRB74" s="545"/>
      <c r="QRC74" s="545"/>
      <c r="QRD74" s="545"/>
      <c r="QRE74" s="545"/>
      <c r="QRF74" s="545"/>
      <c r="QRG74" s="545"/>
      <c r="QRH74" s="545"/>
      <c r="QRI74" s="545"/>
      <c r="QRJ74" s="545"/>
      <c r="QRK74" s="545"/>
      <c r="QRL74" s="545"/>
      <c r="QRM74" s="545"/>
      <c r="QRN74" s="545"/>
      <c r="QRO74" s="545"/>
      <c r="QRP74" s="545"/>
      <c r="QRQ74" s="545"/>
      <c r="QRR74" s="545"/>
      <c r="QRS74" s="545"/>
      <c r="QRT74" s="545"/>
      <c r="QRU74" s="545"/>
      <c r="QRV74" s="545"/>
      <c r="QRW74" s="545"/>
      <c r="QRX74" s="545"/>
      <c r="QRY74" s="545"/>
      <c r="QRZ74" s="545"/>
      <c r="QSA74" s="545"/>
      <c r="QSB74" s="545"/>
      <c r="QSC74" s="545"/>
      <c r="QSD74" s="545"/>
      <c r="QSE74" s="545"/>
      <c r="QSF74" s="545"/>
      <c r="QSG74" s="545"/>
      <c r="QSH74" s="545"/>
      <c r="QSI74" s="545"/>
      <c r="QSJ74" s="545"/>
      <c r="QSK74" s="545"/>
      <c r="QSL74" s="545"/>
      <c r="QSM74" s="545"/>
      <c r="QSN74" s="545"/>
      <c r="QSO74" s="545"/>
      <c r="QSP74" s="545"/>
      <c r="QSQ74" s="545"/>
      <c r="QSR74" s="545"/>
      <c r="QSS74" s="545"/>
      <c r="QST74" s="545"/>
      <c r="QSU74" s="545"/>
      <c r="QSV74" s="545"/>
      <c r="QSW74" s="545"/>
      <c r="QSX74" s="545"/>
      <c r="QSY74" s="545"/>
      <c r="QSZ74" s="545"/>
      <c r="QTA74" s="545"/>
      <c r="QTB74" s="545"/>
      <c r="QTC74" s="545"/>
      <c r="QTD74" s="545"/>
      <c r="QTE74" s="545"/>
      <c r="QTF74" s="545"/>
      <c r="QTG74" s="545"/>
      <c r="QTH74" s="545"/>
      <c r="QTI74" s="545"/>
      <c r="QTJ74" s="545"/>
      <c r="QTK74" s="545"/>
      <c r="QTL74" s="545"/>
      <c r="QTM74" s="545"/>
      <c r="QTN74" s="545"/>
      <c r="QTO74" s="545"/>
      <c r="QTP74" s="545"/>
      <c r="QTQ74" s="545"/>
      <c r="QTR74" s="545"/>
      <c r="QTS74" s="545"/>
      <c r="QTT74" s="545"/>
      <c r="QTU74" s="545"/>
      <c r="QTV74" s="545"/>
      <c r="QTW74" s="545"/>
      <c r="QTX74" s="545"/>
      <c r="QTY74" s="545"/>
      <c r="QTZ74" s="545"/>
      <c r="QUA74" s="545"/>
      <c r="QUB74" s="545"/>
      <c r="QUC74" s="545"/>
      <c r="QUD74" s="545"/>
      <c r="QUE74" s="545"/>
      <c r="QUF74" s="545"/>
      <c r="QUG74" s="545"/>
      <c r="QUH74" s="545"/>
      <c r="QUI74" s="545"/>
      <c r="QUJ74" s="545"/>
      <c r="QUK74" s="545"/>
      <c r="QUL74" s="545"/>
      <c r="QUM74" s="545"/>
      <c r="QUN74" s="545"/>
      <c r="QUO74" s="545"/>
      <c r="QUP74" s="545"/>
      <c r="QUQ74" s="545"/>
      <c r="QUR74" s="545"/>
      <c r="QUS74" s="545"/>
      <c r="QUT74" s="545"/>
      <c r="QUU74" s="545"/>
      <c r="QUV74" s="545"/>
      <c r="QUW74" s="545"/>
      <c r="QUX74" s="545"/>
      <c r="QUY74" s="545"/>
      <c r="QUZ74" s="545"/>
      <c r="QVA74" s="545"/>
      <c r="QVB74" s="545"/>
      <c r="QVC74" s="545"/>
      <c r="QVD74" s="545"/>
      <c r="QVE74" s="545"/>
      <c r="QVF74" s="545"/>
      <c r="QVG74" s="545"/>
      <c r="QVH74" s="545"/>
      <c r="QVI74" s="545"/>
      <c r="QVJ74" s="545"/>
      <c r="QVK74" s="545"/>
      <c r="QVL74" s="545"/>
      <c r="QVM74" s="545"/>
      <c r="QVN74" s="545"/>
      <c r="QVO74" s="545"/>
      <c r="QVP74" s="545"/>
      <c r="QVQ74" s="545"/>
      <c r="QVR74" s="545"/>
      <c r="QVS74" s="545"/>
      <c r="QVT74" s="545"/>
      <c r="QVU74" s="545"/>
      <c r="QVV74" s="545"/>
      <c r="QVW74" s="545"/>
      <c r="QVX74" s="545"/>
      <c r="QVY74" s="545"/>
      <c r="QVZ74" s="545"/>
      <c r="QWA74" s="545"/>
      <c r="QWB74" s="545"/>
      <c r="QWC74" s="545"/>
      <c r="QWD74" s="545"/>
      <c r="QWE74" s="545"/>
      <c r="QWF74" s="545"/>
      <c r="QWG74" s="545"/>
      <c r="QWH74" s="545"/>
      <c r="QWI74" s="545"/>
      <c r="QWJ74" s="545"/>
      <c r="QWK74" s="545"/>
      <c r="QWL74" s="545"/>
      <c r="QWM74" s="545"/>
      <c r="QWN74" s="545"/>
      <c r="QWO74" s="545"/>
      <c r="QWP74" s="545"/>
      <c r="QWQ74" s="545"/>
      <c r="QWR74" s="545"/>
      <c r="QWS74" s="545"/>
      <c r="QWT74" s="545"/>
      <c r="QWU74" s="545"/>
      <c r="QWV74" s="545"/>
      <c r="QWW74" s="545"/>
      <c r="QWX74" s="545"/>
      <c r="QWY74" s="545"/>
      <c r="QWZ74" s="545"/>
      <c r="QXA74" s="545"/>
      <c r="QXB74" s="545"/>
      <c r="QXC74" s="545"/>
      <c r="QXD74" s="545"/>
      <c r="QXE74" s="545"/>
      <c r="QXF74" s="545"/>
      <c r="QXG74" s="545"/>
      <c r="QXH74" s="545"/>
      <c r="QXI74" s="545"/>
      <c r="QXJ74" s="545"/>
      <c r="QXK74" s="545"/>
      <c r="QXL74" s="545"/>
      <c r="QXM74" s="545"/>
      <c r="QXN74" s="545"/>
      <c r="QXO74" s="545"/>
      <c r="QXP74" s="545"/>
      <c r="QXQ74" s="545"/>
      <c r="QXR74" s="545"/>
      <c r="QXS74" s="545"/>
      <c r="QXT74" s="545"/>
      <c r="QXU74" s="545"/>
      <c r="QXV74" s="545"/>
      <c r="QXW74" s="545"/>
      <c r="QXX74" s="545"/>
      <c r="QXY74" s="545"/>
      <c r="QXZ74" s="545"/>
      <c r="QYA74" s="545"/>
      <c r="QYB74" s="545"/>
      <c r="QYC74" s="545"/>
      <c r="QYD74" s="545"/>
      <c r="QYE74" s="545"/>
      <c r="QYF74" s="545"/>
      <c r="QYG74" s="545"/>
      <c r="QYH74" s="545"/>
      <c r="QYI74" s="545"/>
      <c r="QYJ74" s="545"/>
      <c r="QYK74" s="545"/>
      <c r="QYL74" s="545"/>
      <c r="QYM74" s="545"/>
      <c r="QYN74" s="545"/>
      <c r="QYO74" s="545"/>
      <c r="QYP74" s="545"/>
      <c r="QYQ74" s="545"/>
      <c r="QYR74" s="545"/>
      <c r="QYS74" s="545"/>
      <c r="QYT74" s="545"/>
      <c r="QYU74" s="545"/>
      <c r="QYV74" s="545"/>
      <c r="QYW74" s="545"/>
      <c r="QYX74" s="545"/>
      <c r="QYY74" s="545"/>
      <c r="QYZ74" s="545"/>
      <c r="QZA74" s="545"/>
      <c r="QZB74" s="545"/>
      <c r="QZC74" s="545"/>
      <c r="QZD74" s="545"/>
      <c r="QZE74" s="545"/>
      <c r="QZF74" s="545"/>
      <c r="QZG74" s="545"/>
      <c r="QZH74" s="545"/>
      <c r="QZI74" s="545"/>
      <c r="QZJ74" s="545"/>
      <c r="QZK74" s="545"/>
      <c r="QZL74" s="545"/>
      <c r="QZM74" s="545"/>
      <c r="QZN74" s="545"/>
      <c r="QZO74" s="545"/>
      <c r="QZP74" s="545"/>
      <c r="QZQ74" s="545"/>
      <c r="QZR74" s="545"/>
      <c r="QZS74" s="545"/>
      <c r="QZT74" s="545"/>
      <c r="QZU74" s="545"/>
      <c r="QZV74" s="545"/>
      <c r="QZW74" s="545"/>
      <c r="QZX74" s="545"/>
      <c r="QZY74" s="545"/>
      <c r="QZZ74" s="545"/>
      <c r="RAA74" s="545"/>
      <c r="RAB74" s="545"/>
      <c r="RAC74" s="545"/>
      <c r="RAD74" s="545"/>
      <c r="RAE74" s="545"/>
      <c r="RAF74" s="545"/>
      <c r="RAG74" s="545"/>
      <c r="RAH74" s="545"/>
      <c r="RAI74" s="545"/>
      <c r="RAJ74" s="545"/>
      <c r="RAK74" s="545"/>
      <c r="RAL74" s="545"/>
      <c r="RAM74" s="545"/>
      <c r="RAN74" s="545"/>
      <c r="RAO74" s="545"/>
      <c r="RAP74" s="545"/>
      <c r="RAQ74" s="545"/>
      <c r="RAR74" s="545"/>
      <c r="RAS74" s="545"/>
      <c r="RAT74" s="545"/>
      <c r="RAU74" s="545"/>
      <c r="RAV74" s="545"/>
      <c r="RAW74" s="545"/>
      <c r="RAX74" s="545"/>
      <c r="RAY74" s="545"/>
      <c r="RAZ74" s="545"/>
      <c r="RBA74" s="545"/>
      <c r="RBB74" s="545"/>
      <c r="RBC74" s="545"/>
      <c r="RBD74" s="545"/>
      <c r="RBE74" s="545"/>
      <c r="RBF74" s="545"/>
      <c r="RBG74" s="545"/>
      <c r="RBH74" s="545"/>
      <c r="RBI74" s="545"/>
      <c r="RBJ74" s="545"/>
      <c r="RBK74" s="545"/>
      <c r="RBL74" s="545"/>
      <c r="RBM74" s="545"/>
      <c r="RBN74" s="545"/>
      <c r="RBO74" s="545"/>
      <c r="RBP74" s="545"/>
      <c r="RBQ74" s="545"/>
      <c r="RBR74" s="545"/>
      <c r="RBS74" s="545"/>
      <c r="RBT74" s="545"/>
      <c r="RBU74" s="545"/>
      <c r="RBV74" s="545"/>
      <c r="RBW74" s="545"/>
      <c r="RBX74" s="545"/>
      <c r="RBY74" s="545"/>
      <c r="RBZ74" s="545"/>
      <c r="RCA74" s="545"/>
      <c r="RCB74" s="545"/>
      <c r="RCC74" s="545"/>
      <c r="RCD74" s="545"/>
      <c r="RCE74" s="545"/>
      <c r="RCF74" s="545"/>
      <c r="RCG74" s="545"/>
      <c r="RCH74" s="545"/>
      <c r="RCI74" s="545"/>
      <c r="RCJ74" s="545"/>
      <c r="RCK74" s="545"/>
      <c r="RCL74" s="545"/>
      <c r="RCM74" s="545"/>
      <c r="RCN74" s="545"/>
      <c r="RCO74" s="545"/>
      <c r="RCP74" s="545"/>
      <c r="RCQ74" s="545"/>
      <c r="RCR74" s="545"/>
      <c r="RCS74" s="545"/>
      <c r="RCT74" s="545"/>
      <c r="RCU74" s="545"/>
      <c r="RCV74" s="545"/>
      <c r="RCW74" s="545"/>
      <c r="RCX74" s="545"/>
      <c r="RCY74" s="545"/>
      <c r="RCZ74" s="545"/>
      <c r="RDA74" s="545"/>
      <c r="RDB74" s="545"/>
      <c r="RDC74" s="545"/>
      <c r="RDD74" s="545"/>
      <c r="RDE74" s="545"/>
      <c r="RDF74" s="545"/>
      <c r="RDG74" s="545"/>
      <c r="RDH74" s="545"/>
      <c r="RDI74" s="545"/>
      <c r="RDJ74" s="545"/>
      <c r="RDK74" s="545"/>
      <c r="RDL74" s="545"/>
      <c r="RDM74" s="545"/>
      <c r="RDN74" s="545"/>
      <c r="RDO74" s="545"/>
      <c r="RDP74" s="545"/>
      <c r="RDQ74" s="545"/>
      <c r="RDR74" s="545"/>
      <c r="RDS74" s="545"/>
      <c r="RDT74" s="545"/>
      <c r="RDU74" s="545"/>
      <c r="RDV74" s="545"/>
      <c r="RDW74" s="545"/>
      <c r="RDX74" s="545"/>
      <c r="RDY74" s="545"/>
      <c r="RDZ74" s="545"/>
      <c r="REA74" s="545"/>
      <c r="REB74" s="545"/>
      <c r="REC74" s="545"/>
      <c r="RED74" s="545"/>
      <c r="REE74" s="545"/>
      <c r="REF74" s="545"/>
      <c r="REG74" s="545"/>
      <c r="REH74" s="545"/>
      <c r="REI74" s="545"/>
      <c r="REJ74" s="545"/>
      <c r="REK74" s="545"/>
      <c r="REL74" s="545"/>
      <c r="REM74" s="545"/>
      <c r="REN74" s="545"/>
      <c r="REO74" s="545"/>
      <c r="REP74" s="545"/>
      <c r="REQ74" s="545"/>
      <c r="RER74" s="545"/>
      <c r="RES74" s="545"/>
      <c r="RET74" s="545"/>
      <c r="REU74" s="545"/>
      <c r="REV74" s="545"/>
      <c r="REW74" s="545"/>
      <c r="REX74" s="545"/>
      <c r="REY74" s="545"/>
      <c r="REZ74" s="545"/>
      <c r="RFA74" s="545"/>
      <c r="RFB74" s="545"/>
      <c r="RFC74" s="545"/>
      <c r="RFD74" s="545"/>
      <c r="RFE74" s="545"/>
      <c r="RFF74" s="545"/>
      <c r="RFG74" s="545"/>
      <c r="RFH74" s="545"/>
      <c r="RFI74" s="545"/>
      <c r="RFJ74" s="545"/>
      <c r="RFK74" s="545"/>
      <c r="RFL74" s="545"/>
      <c r="RFM74" s="545"/>
      <c r="RFN74" s="545"/>
      <c r="RFO74" s="545"/>
      <c r="RFP74" s="545"/>
      <c r="RFQ74" s="545"/>
      <c r="RFR74" s="545"/>
      <c r="RFS74" s="545"/>
      <c r="RFT74" s="545"/>
      <c r="RFU74" s="545"/>
      <c r="RFV74" s="545"/>
      <c r="RFW74" s="545"/>
      <c r="RFX74" s="545"/>
      <c r="RFY74" s="545"/>
      <c r="RFZ74" s="545"/>
      <c r="RGA74" s="545"/>
      <c r="RGB74" s="545"/>
      <c r="RGC74" s="545"/>
      <c r="RGD74" s="545"/>
      <c r="RGE74" s="545"/>
      <c r="RGF74" s="545"/>
      <c r="RGG74" s="545"/>
      <c r="RGH74" s="545"/>
      <c r="RGI74" s="545"/>
      <c r="RGJ74" s="545"/>
      <c r="RGK74" s="545"/>
      <c r="RGL74" s="545"/>
      <c r="RGM74" s="545"/>
      <c r="RGN74" s="545"/>
      <c r="RGO74" s="545"/>
      <c r="RGP74" s="545"/>
      <c r="RGQ74" s="545"/>
      <c r="RGR74" s="545"/>
      <c r="RGS74" s="545"/>
      <c r="RGT74" s="545"/>
      <c r="RGU74" s="545"/>
      <c r="RGV74" s="545"/>
      <c r="RGW74" s="545"/>
      <c r="RGX74" s="545"/>
      <c r="RGY74" s="545"/>
      <c r="RGZ74" s="545"/>
      <c r="RHA74" s="545"/>
      <c r="RHB74" s="545"/>
      <c r="RHC74" s="545"/>
      <c r="RHD74" s="545"/>
      <c r="RHE74" s="545"/>
      <c r="RHF74" s="545"/>
      <c r="RHG74" s="545"/>
      <c r="RHH74" s="545"/>
      <c r="RHI74" s="545"/>
      <c r="RHJ74" s="545"/>
      <c r="RHK74" s="545"/>
      <c r="RHL74" s="545"/>
      <c r="RHM74" s="545"/>
      <c r="RHN74" s="545"/>
      <c r="RHO74" s="545"/>
      <c r="RHP74" s="545"/>
      <c r="RHQ74" s="545"/>
      <c r="RHR74" s="545"/>
      <c r="RHS74" s="545"/>
      <c r="RHT74" s="545"/>
      <c r="RHU74" s="545"/>
      <c r="RHV74" s="545"/>
      <c r="RHW74" s="545"/>
      <c r="RHX74" s="545"/>
      <c r="RHY74" s="545"/>
      <c r="RHZ74" s="545"/>
      <c r="RIA74" s="545"/>
      <c r="RIB74" s="545"/>
      <c r="RIC74" s="545"/>
      <c r="RID74" s="545"/>
      <c r="RIE74" s="545"/>
      <c r="RIF74" s="545"/>
      <c r="RIG74" s="545"/>
      <c r="RIH74" s="545"/>
      <c r="RII74" s="545"/>
      <c r="RIJ74" s="545"/>
      <c r="RIK74" s="545"/>
      <c r="RIL74" s="545"/>
      <c r="RIM74" s="545"/>
      <c r="RIN74" s="545"/>
      <c r="RIO74" s="545"/>
      <c r="RIP74" s="545"/>
      <c r="RIQ74" s="545"/>
      <c r="RIR74" s="545"/>
      <c r="RIS74" s="545"/>
      <c r="RIT74" s="545"/>
      <c r="RIU74" s="545"/>
      <c r="RIV74" s="545"/>
      <c r="RIW74" s="545"/>
      <c r="RIX74" s="545"/>
      <c r="RIY74" s="545"/>
      <c r="RIZ74" s="545"/>
      <c r="RJA74" s="545"/>
      <c r="RJB74" s="545"/>
      <c r="RJC74" s="545"/>
      <c r="RJD74" s="545"/>
      <c r="RJE74" s="545"/>
      <c r="RJF74" s="545"/>
      <c r="RJG74" s="545"/>
      <c r="RJH74" s="545"/>
      <c r="RJI74" s="545"/>
      <c r="RJJ74" s="545"/>
      <c r="RJK74" s="545"/>
      <c r="RJL74" s="545"/>
      <c r="RJM74" s="545"/>
      <c r="RJN74" s="545"/>
      <c r="RJO74" s="545"/>
      <c r="RJP74" s="545"/>
      <c r="RJQ74" s="545"/>
      <c r="RJR74" s="545"/>
      <c r="RJS74" s="545"/>
      <c r="RJT74" s="545"/>
      <c r="RJU74" s="545"/>
      <c r="RJV74" s="545"/>
      <c r="RJW74" s="545"/>
      <c r="RJX74" s="545"/>
      <c r="RJY74" s="545"/>
      <c r="RJZ74" s="545"/>
      <c r="RKA74" s="545"/>
      <c r="RKB74" s="545"/>
      <c r="RKC74" s="545"/>
      <c r="RKD74" s="545"/>
      <c r="RKE74" s="545"/>
      <c r="RKF74" s="545"/>
      <c r="RKG74" s="545"/>
      <c r="RKH74" s="545"/>
      <c r="RKI74" s="545"/>
      <c r="RKJ74" s="545"/>
      <c r="RKK74" s="545"/>
      <c r="RKL74" s="545"/>
      <c r="RKM74" s="545"/>
      <c r="RKN74" s="545"/>
      <c r="RKO74" s="545"/>
      <c r="RKP74" s="545"/>
      <c r="RKQ74" s="545"/>
      <c r="RKR74" s="545"/>
      <c r="RKS74" s="545"/>
      <c r="RKT74" s="545"/>
      <c r="RKU74" s="545"/>
      <c r="RKV74" s="545"/>
      <c r="RKW74" s="545"/>
      <c r="RKX74" s="545"/>
      <c r="RKY74" s="545"/>
      <c r="RKZ74" s="545"/>
      <c r="RLA74" s="545"/>
      <c r="RLB74" s="545"/>
      <c r="RLC74" s="545"/>
      <c r="RLD74" s="545"/>
      <c r="RLE74" s="545"/>
      <c r="RLF74" s="545"/>
      <c r="RLG74" s="545"/>
      <c r="RLH74" s="545"/>
      <c r="RLI74" s="545"/>
      <c r="RLJ74" s="545"/>
      <c r="RLK74" s="545"/>
      <c r="RLL74" s="545"/>
      <c r="RLM74" s="545"/>
      <c r="RLN74" s="545"/>
      <c r="RLO74" s="545"/>
      <c r="RLP74" s="545"/>
      <c r="RLQ74" s="545"/>
      <c r="RLR74" s="545"/>
      <c r="RLS74" s="545"/>
      <c r="RLT74" s="545"/>
      <c r="RLU74" s="545"/>
      <c r="RLV74" s="545"/>
      <c r="RLW74" s="545"/>
      <c r="RLX74" s="545"/>
      <c r="RLY74" s="545"/>
      <c r="RLZ74" s="545"/>
      <c r="RMA74" s="545"/>
      <c r="RMB74" s="545"/>
      <c r="RMC74" s="545"/>
      <c r="RMD74" s="545"/>
      <c r="RME74" s="545"/>
      <c r="RMF74" s="545"/>
      <c r="RMG74" s="545"/>
      <c r="RMH74" s="545"/>
      <c r="RMI74" s="545"/>
      <c r="RMJ74" s="545"/>
      <c r="RMK74" s="545"/>
      <c r="RML74" s="545"/>
      <c r="RMM74" s="545"/>
      <c r="RMN74" s="545"/>
      <c r="RMO74" s="545"/>
      <c r="RMP74" s="545"/>
      <c r="RMQ74" s="545"/>
      <c r="RMR74" s="545"/>
      <c r="RMS74" s="545"/>
      <c r="RMT74" s="545"/>
      <c r="RMU74" s="545"/>
      <c r="RMV74" s="545"/>
      <c r="RMW74" s="545"/>
      <c r="RMX74" s="545"/>
      <c r="RMY74" s="545"/>
      <c r="RMZ74" s="545"/>
      <c r="RNA74" s="545"/>
      <c r="RNB74" s="545"/>
      <c r="RNC74" s="545"/>
      <c r="RND74" s="545"/>
      <c r="RNE74" s="545"/>
      <c r="RNF74" s="545"/>
      <c r="RNG74" s="545"/>
      <c r="RNH74" s="545"/>
      <c r="RNI74" s="545"/>
      <c r="RNJ74" s="545"/>
      <c r="RNK74" s="545"/>
      <c r="RNL74" s="545"/>
      <c r="RNM74" s="545"/>
      <c r="RNN74" s="545"/>
      <c r="RNO74" s="545"/>
      <c r="RNP74" s="545"/>
      <c r="RNQ74" s="545"/>
      <c r="RNR74" s="545"/>
      <c r="RNS74" s="545"/>
      <c r="RNT74" s="545"/>
      <c r="RNU74" s="545"/>
      <c r="RNV74" s="545"/>
      <c r="RNW74" s="545"/>
      <c r="RNX74" s="545"/>
      <c r="RNY74" s="545"/>
      <c r="RNZ74" s="545"/>
      <c r="ROA74" s="545"/>
      <c r="ROB74" s="545"/>
      <c r="ROC74" s="545"/>
      <c r="ROD74" s="545"/>
      <c r="ROE74" s="545"/>
      <c r="ROF74" s="545"/>
      <c r="ROG74" s="545"/>
      <c r="ROH74" s="545"/>
      <c r="ROI74" s="545"/>
      <c r="ROJ74" s="545"/>
      <c r="ROK74" s="545"/>
      <c r="ROL74" s="545"/>
      <c r="ROM74" s="545"/>
      <c r="RON74" s="545"/>
      <c r="ROO74" s="545"/>
      <c r="ROP74" s="545"/>
      <c r="ROQ74" s="545"/>
      <c r="ROR74" s="545"/>
      <c r="ROS74" s="545"/>
      <c r="ROT74" s="545"/>
      <c r="ROU74" s="545"/>
      <c r="ROV74" s="545"/>
      <c r="ROW74" s="545"/>
      <c r="ROX74" s="545"/>
      <c r="ROY74" s="545"/>
      <c r="ROZ74" s="545"/>
      <c r="RPA74" s="545"/>
      <c r="RPB74" s="545"/>
      <c r="RPC74" s="545"/>
      <c r="RPD74" s="545"/>
      <c r="RPE74" s="545"/>
      <c r="RPF74" s="545"/>
      <c r="RPG74" s="545"/>
      <c r="RPH74" s="545"/>
      <c r="RPI74" s="545"/>
      <c r="RPJ74" s="545"/>
      <c r="RPK74" s="545"/>
      <c r="RPL74" s="545"/>
      <c r="RPM74" s="545"/>
      <c r="RPN74" s="545"/>
      <c r="RPO74" s="545"/>
      <c r="RPP74" s="545"/>
      <c r="RPQ74" s="545"/>
      <c r="RPR74" s="545"/>
      <c r="RPS74" s="545"/>
      <c r="RPT74" s="545"/>
      <c r="RPU74" s="545"/>
      <c r="RPV74" s="545"/>
      <c r="RPW74" s="545"/>
      <c r="RPX74" s="545"/>
      <c r="RPY74" s="545"/>
      <c r="RPZ74" s="545"/>
      <c r="RQA74" s="545"/>
      <c r="RQB74" s="545"/>
      <c r="RQC74" s="545"/>
      <c r="RQD74" s="545"/>
      <c r="RQE74" s="545"/>
      <c r="RQF74" s="545"/>
      <c r="RQG74" s="545"/>
      <c r="RQH74" s="545"/>
      <c r="RQI74" s="545"/>
      <c r="RQJ74" s="545"/>
      <c r="RQK74" s="545"/>
      <c r="RQL74" s="545"/>
      <c r="RQM74" s="545"/>
      <c r="RQN74" s="545"/>
      <c r="RQO74" s="545"/>
      <c r="RQP74" s="545"/>
      <c r="RQQ74" s="545"/>
      <c r="RQR74" s="545"/>
      <c r="RQS74" s="545"/>
      <c r="RQT74" s="545"/>
      <c r="RQU74" s="545"/>
      <c r="RQV74" s="545"/>
      <c r="RQW74" s="545"/>
      <c r="RQX74" s="545"/>
      <c r="RQY74" s="545"/>
      <c r="RQZ74" s="545"/>
      <c r="RRA74" s="545"/>
      <c r="RRB74" s="545"/>
      <c r="RRC74" s="545"/>
      <c r="RRD74" s="545"/>
      <c r="RRE74" s="545"/>
      <c r="RRF74" s="545"/>
      <c r="RRG74" s="545"/>
      <c r="RRH74" s="545"/>
      <c r="RRI74" s="545"/>
      <c r="RRJ74" s="545"/>
      <c r="RRK74" s="545"/>
      <c r="RRL74" s="545"/>
      <c r="RRM74" s="545"/>
      <c r="RRN74" s="545"/>
      <c r="RRO74" s="545"/>
      <c r="RRP74" s="545"/>
      <c r="RRQ74" s="545"/>
      <c r="RRR74" s="545"/>
      <c r="RRS74" s="545"/>
      <c r="RRT74" s="545"/>
      <c r="RRU74" s="545"/>
      <c r="RRV74" s="545"/>
      <c r="RRW74" s="545"/>
      <c r="RRX74" s="545"/>
      <c r="RRY74" s="545"/>
      <c r="RRZ74" s="545"/>
      <c r="RSA74" s="545"/>
      <c r="RSB74" s="545"/>
      <c r="RSC74" s="545"/>
      <c r="RSD74" s="545"/>
      <c r="RSE74" s="545"/>
      <c r="RSF74" s="545"/>
      <c r="RSG74" s="545"/>
      <c r="RSH74" s="545"/>
      <c r="RSI74" s="545"/>
      <c r="RSJ74" s="545"/>
      <c r="RSK74" s="545"/>
      <c r="RSL74" s="545"/>
      <c r="RSM74" s="545"/>
      <c r="RSN74" s="545"/>
      <c r="RSO74" s="545"/>
      <c r="RSP74" s="545"/>
      <c r="RSQ74" s="545"/>
      <c r="RSR74" s="545"/>
      <c r="RSS74" s="545"/>
      <c r="RST74" s="545"/>
      <c r="RSU74" s="545"/>
      <c r="RSV74" s="545"/>
      <c r="RSW74" s="545"/>
      <c r="RSX74" s="545"/>
      <c r="RSY74" s="545"/>
      <c r="RSZ74" s="545"/>
      <c r="RTA74" s="545"/>
      <c r="RTB74" s="545"/>
      <c r="RTC74" s="545"/>
      <c r="RTD74" s="545"/>
      <c r="RTE74" s="545"/>
      <c r="RTF74" s="545"/>
      <c r="RTG74" s="545"/>
      <c r="RTH74" s="545"/>
      <c r="RTI74" s="545"/>
      <c r="RTJ74" s="545"/>
      <c r="RTK74" s="545"/>
      <c r="RTL74" s="545"/>
      <c r="RTM74" s="545"/>
      <c r="RTN74" s="545"/>
      <c r="RTO74" s="545"/>
      <c r="RTP74" s="545"/>
      <c r="RTQ74" s="545"/>
      <c r="RTR74" s="545"/>
      <c r="RTS74" s="545"/>
      <c r="RTT74" s="545"/>
      <c r="RTU74" s="545"/>
      <c r="RTV74" s="545"/>
      <c r="RTW74" s="545"/>
      <c r="RTX74" s="545"/>
      <c r="RTY74" s="545"/>
      <c r="RTZ74" s="545"/>
      <c r="RUA74" s="545"/>
      <c r="RUB74" s="545"/>
      <c r="RUC74" s="545"/>
      <c r="RUD74" s="545"/>
      <c r="RUE74" s="545"/>
      <c r="RUF74" s="545"/>
      <c r="RUG74" s="545"/>
      <c r="RUH74" s="545"/>
      <c r="RUI74" s="545"/>
      <c r="RUJ74" s="545"/>
      <c r="RUK74" s="545"/>
      <c r="RUL74" s="545"/>
      <c r="RUM74" s="545"/>
      <c r="RUN74" s="545"/>
      <c r="RUO74" s="545"/>
      <c r="RUP74" s="545"/>
      <c r="RUQ74" s="545"/>
      <c r="RUR74" s="545"/>
      <c r="RUS74" s="545"/>
      <c r="RUT74" s="545"/>
      <c r="RUU74" s="545"/>
      <c r="RUV74" s="545"/>
      <c r="RUW74" s="545"/>
      <c r="RUX74" s="545"/>
      <c r="RUY74" s="545"/>
      <c r="RUZ74" s="545"/>
      <c r="RVA74" s="545"/>
      <c r="RVB74" s="545"/>
      <c r="RVC74" s="545"/>
      <c r="RVD74" s="545"/>
      <c r="RVE74" s="545"/>
      <c r="RVF74" s="545"/>
      <c r="RVG74" s="545"/>
      <c r="RVH74" s="545"/>
      <c r="RVI74" s="545"/>
      <c r="RVJ74" s="545"/>
      <c r="RVK74" s="545"/>
      <c r="RVL74" s="545"/>
      <c r="RVM74" s="545"/>
      <c r="RVN74" s="545"/>
      <c r="RVO74" s="545"/>
      <c r="RVP74" s="545"/>
      <c r="RVQ74" s="545"/>
      <c r="RVR74" s="545"/>
      <c r="RVS74" s="545"/>
      <c r="RVT74" s="545"/>
      <c r="RVU74" s="545"/>
      <c r="RVV74" s="545"/>
      <c r="RVW74" s="545"/>
      <c r="RVX74" s="545"/>
      <c r="RVY74" s="545"/>
      <c r="RVZ74" s="545"/>
      <c r="RWA74" s="545"/>
      <c r="RWB74" s="545"/>
      <c r="RWC74" s="545"/>
      <c r="RWD74" s="545"/>
      <c r="RWE74" s="545"/>
      <c r="RWF74" s="545"/>
      <c r="RWG74" s="545"/>
      <c r="RWH74" s="545"/>
      <c r="RWI74" s="545"/>
      <c r="RWJ74" s="545"/>
      <c r="RWK74" s="545"/>
      <c r="RWL74" s="545"/>
      <c r="RWM74" s="545"/>
      <c r="RWN74" s="545"/>
      <c r="RWO74" s="545"/>
      <c r="RWP74" s="545"/>
      <c r="RWQ74" s="545"/>
      <c r="RWR74" s="545"/>
      <c r="RWS74" s="545"/>
      <c r="RWT74" s="545"/>
      <c r="RWU74" s="545"/>
      <c r="RWV74" s="545"/>
      <c r="RWW74" s="545"/>
      <c r="RWX74" s="545"/>
      <c r="RWY74" s="545"/>
      <c r="RWZ74" s="545"/>
      <c r="RXA74" s="545"/>
      <c r="RXB74" s="545"/>
      <c r="RXC74" s="545"/>
      <c r="RXD74" s="545"/>
      <c r="RXE74" s="545"/>
      <c r="RXF74" s="545"/>
      <c r="RXG74" s="545"/>
      <c r="RXH74" s="545"/>
      <c r="RXI74" s="545"/>
      <c r="RXJ74" s="545"/>
      <c r="RXK74" s="545"/>
      <c r="RXL74" s="545"/>
      <c r="RXM74" s="545"/>
      <c r="RXN74" s="545"/>
      <c r="RXO74" s="545"/>
      <c r="RXP74" s="545"/>
      <c r="RXQ74" s="545"/>
      <c r="RXR74" s="545"/>
      <c r="RXS74" s="545"/>
      <c r="RXT74" s="545"/>
      <c r="RXU74" s="545"/>
      <c r="RXV74" s="545"/>
      <c r="RXW74" s="545"/>
      <c r="RXX74" s="545"/>
      <c r="RXY74" s="545"/>
      <c r="RXZ74" s="545"/>
      <c r="RYA74" s="545"/>
      <c r="RYB74" s="545"/>
      <c r="RYC74" s="545"/>
      <c r="RYD74" s="545"/>
      <c r="RYE74" s="545"/>
      <c r="RYF74" s="545"/>
      <c r="RYG74" s="545"/>
      <c r="RYH74" s="545"/>
      <c r="RYI74" s="545"/>
      <c r="RYJ74" s="545"/>
      <c r="RYK74" s="545"/>
      <c r="RYL74" s="545"/>
      <c r="RYM74" s="545"/>
      <c r="RYN74" s="545"/>
      <c r="RYO74" s="545"/>
      <c r="RYP74" s="545"/>
      <c r="RYQ74" s="545"/>
      <c r="RYR74" s="545"/>
      <c r="RYS74" s="545"/>
      <c r="RYT74" s="545"/>
      <c r="RYU74" s="545"/>
      <c r="RYV74" s="545"/>
      <c r="RYW74" s="545"/>
      <c r="RYX74" s="545"/>
      <c r="RYY74" s="545"/>
      <c r="RYZ74" s="545"/>
      <c r="RZA74" s="545"/>
      <c r="RZB74" s="545"/>
      <c r="RZC74" s="545"/>
      <c r="RZD74" s="545"/>
      <c r="RZE74" s="545"/>
      <c r="RZF74" s="545"/>
      <c r="RZG74" s="545"/>
      <c r="RZH74" s="545"/>
      <c r="RZI74" s="545"/>
      <c r="RZJ74" s="545"/>
      <c r="RZK74" s="545"/>
      <c r="RZL74" s="545"/>
      <c r="RZM74" s="545"/>
      <c r="RZN74" s="545"/>
      <c r="RZO74" s="545"/>
      <c r="RZP74" s="545"/>
      <c r="RZQ74" s="545"/>
      <c r="RZR74" s="545"/>
      <c r="RZS74" s="545"/>
      <c r="RZT74" s="545"/>
      <c r="RZU74" s="545"/>
      <c r="RZV74" s="545"/>
      <c r="RZW74" s="545"/>
      <c r="RZX74" s="545"/>
      <c r="RZY74" s="545"/>
      <c r="RZZ74" s="545"/>
      <c r="SAA74" s="545"/>
      <c r="SAB74" s="545"/>
      <c r="SAC74" s="545"/>
      <c r="SAD74" s="545"/>
      <c r="SAE74" s="545"/>
      <c r="SAF74" s="545"/>
      <c r="SAG74" s="545"/>
      <c r="SAH74" s="545"/>
      <c r="SAI74" s="545"/>
      <c r="SAJ74" s="545"/>
      <c r="SAK74" s="545"/>
      <c r="SAL74" s="545"/>
      <c r="SAM74" s="545"/>
      <c r="SAN74" s="545"/>
      <c r="SAO74" s="545"/>
      <c r="SAP74" s="545"/>
      <c r="SAQ74" s="545"/>
      <c r="SAR74" s="545"/>
      <c r="SAS74" s="545"/>
      <c r="SAT74" s="545"/>
      <c r="SAU74" s="545"/>
      <c r="SAV74" s="545"/>
      <c r="SAW74" s="545"/>
      <c r="SAX74" s="545"/>
      <c r="SAY74" s="545"/>
      <c r="SAZ74" s="545"/>
      <c r="SBA74" s="545"/>
      <c r="SBB74" s="545"/>
      <c r="SBC74" s="545"/>
      <c r="SBD74" s="545"/>
      <c r="SBE74" s="545"/>
      <c r="SBF74" s="545"/>
      <c r="SBG74" s="545"/>
      <c r="SBH74" s="545"/>
      <c r="SBI74" s="545"/>
      <c r="SBJ74" s="545"/>
      <c r="SBK74" s="545"/>
      <c r="SBL74" s="545"/>
      <c r="SBM74" s="545"/>
      <c r="SBN74" s="545"/>
      <c r="SBO74" s="545"/>
      <c r="SBP74" s="545"/>
      <c r="SBQ74" s="545"/>
      <c r="SBR74" s="545"/>
      <c r="SBS74" s="545"/>
      <c r="SBT74" s="545"/>
      <c r="SBU74" s="545"/>
      <c r="SBV74" s="545"/>
      <c r="SBW74" s="545"/>
      <c r="SBX74" s="545"/>
      <c r="SBY74" s="545"/>
      <c r="SBZ74" s="545"/>
      <c r="SCA74" s="545"/>
      <c r="SCB74" s="545"/>
      <c r="SCC74" s="545"/>
      <c r="SCD74" s="545"/>
      <c r="SCE74" s="545"/>
      <c r="SCF74" s="545"/>
      <c r="SCG74" s="545"/>
      <c r="SCH74" s="545"/>
      <c r="SCI74" s="545"/>
      <c r="SCJ74" s="545"/>
      <c r="SCK74" s="545"/>
      <c r="SCL74" s="545"/>
      <c r="SCM74" s="545"/>
      <c r="SCN74" s="545"/>
      <c r="SCO74" s="545"/>
      <c r="SCP74" s="545"/>
      <c r="SCQ74" s="545"/>
      <c r="SCR74" s="545"/>
      <c r="SCS74" s="545"/>
      <c r="SCT74" s="545"/>
      <c r="SCU74" s="545"/>
      <c r="SCV74" s="545"/>
      <c r="SCW74" s="545"/>
      <c r="SCX74" s="545"/>
      <c r="SCY74" s="545"/>
      <c r="SCZ74" s="545"/>
      <c r="SDA74" s="545"/>
      <c r="SDB74" s="545"/>
      <c r="SDC74" s="545"/>
      <c r="SDD74" s="545"/>
      <c r="SDE74" s="545"/>
      <c r="SDF74" s="545"/>
      <c r="SDG74" s="545"/>
      <c r="SDH74" s="545"/>
      <c r="SDI74" s="545"/>
      <c r="SDJ74" s="545"/>
      <c r="SDK74" s="545"/>
      <c r="SDL74" s="545"/>
      <c r="SDM74" s="545"/>
      <c r="SDN74" s="545"/>
      <c r="SDO74" s="545"/>
      <c r="SDP74" s="545"/>
      <c r="SDQ74" s="545"/>
      <c r="SDR74" s="545"/>
      <c r="SDS74" s="545"/>
      <c r="SDT74" s="545"/>
      <c r="SDU74" s="545"/>
      <c r="SDV74" s="545"/>
      <c r="SDW74" s="545"/>
      <c r="SDX74" s="545"/>
      <c r="SDY74" s="545"/>
      <c r="SDZ74" s="545"/>
      <c r="SEA74" s="545"/>
      <c r="SEB74" s="545"/>
      <c r="SEC74" s="545"/>
      <c r="SED74" s="545"/>
      <c r="SEE74" s="545"/>
      <c r="SEF74" s="545"/>
      <c r="SEG74" s="545"/>
      <c r="SEH74" s="545"/>
      <c r="SEI74" s="545"/>
      <c r="SEJ74" s="545"/>
      <c r="SEK74" s="545"/>
      <c r="SEL74" s="545"/>
      <c r="SEM74" s="545"/>
      <c r="SEN74" s="545"/>
      <c r="SEO74" s="545"/>
      <c r="SEP74" s="545"/>
      <c r="SEQ74" s="545"/>
      <c r="SER74" s="545"/>
      <c r="SES74" s="545"/>
      <c r="SET74" s="545"/>
      <c r="SEU74" s="545"/>
      <c r="SEV74" s="545"/>
      <c r="SEW74" s="545"/>
      <c r="SEX74" s="545"/>
      <c r="SEY74" s="545"/>
      <c r="SEZ74" s="545"/>
      <c r="SFA74" s="545"/>
      <c r="SFB74" s="545"/>
      <c r="SFC74" s="545"/>
      <c r="SFD74" s="545"/>
      <c r="SFE74" s="545"/>
      <c r="SFF74" s="545"/>
      <c r="SFG74" s="545"/>
      <c r="SFH74" s="545"/>
      <c r="SFI74" s="545"/>
      <c r="SFJ74" s="545"/>
      <c r="SFK74" s="545"/>
      <c r="SFL74" s="545"/>
      <c r="SFM74" s="545"/>
      <c r="SFN74" s="545"/>
      <c r="SFO74" s="545"/>
      <c r="SFP74" s="545"/>
      <c r="SFQ74" s="545"/>
      <c r="SFR74" s="545"/>
      <c r="SFS74" s="545"/>
      <c r="SFT74" s="545"/>
      <c r="SFU74" s="545"/>
      <c r="SFV74" s="545"/>
      <c r="SFW74" s="545"/>
      <c r="SFX74" s="545"/>
      <c r="SFY74" s="545"/>
      <c r="SFZ74" s="545"/>
      <c r="SGA74" s="545"/>
      <c r="SGB74" s="545"/>
      <c r="SGC74" s="545"/>
      <c r="SGD74" s="545"/>
      <c r="SGE74" s="545"/>
      <c r="SGF74" s="545"/>
      <c r="SGG74" s="545"/>
      <c r="SGH74" s="545"/>
      <c r="SGI74" s="545"/>
      <c r="SGJ74" s="545"/>
      <c r="SGK74" s="545"/>
      <c r="SGL74" s="545"/>
      <c r="SGM74" s="545"/>
      <c r="SGN74" s="545"/>
      <c r="SGO74" s="545"/>
      <c r="SGP74" s="545"/>
      <c r="SGQ74" s="545"/>
      <c r="SGR74" s="545"/>
      <c r="SGS74" s="545"/>
      <c r="SGT74" s="545"/>
      <c r="SGU74" s="545"/>
      <c r="SGV74" s="545"/>
      <c r="SGW74" s="545"/>
      <c r="SGX74" s="545"/>
      <c r="SGY74" s="545"/>
      <c r="SGZ74" s="545"/>
      <c r="SHA74" s="545"/>
      <c r="SHB74" s="545"/>
      <c r="SHC74" s="545"/>
      <c r="SHD74" s="545"/>
      <c r="SHE74" s="545"/>
      <c r="SHF74" s="545"/>
      <c r="SHG74" s="545"/>
      <c r="SHH74" s="545"/>
      <c r="SHI74" s="545"/>
      <c r="SHJ74" s="545"/>
      <c r="SHK74" s="545"/>
      <c r="SHL74" s="545"/>
      <c r="SHM74" s="545"/>
      <c r="SHN74" s="545"/>
      <c r="SHO74" s="545"/>
      <c r="SHP74" s="545"/>
      <c r="SHQ74" s="545"/>
      <c r="SHR74" s="545"/>
      <c r="SHS74" s="545"/>
      <c r="SHT74" s="545"/>
      <c r="SHU74" s="545"/>
      <c r="SHV74" s="545"/>
      <c r="SHW74" s="545"/>
      <c r="SHX74" s="545"/>
      <c r="SHY74" s="545"/>
      <c r="SHZ74" s="545"/>
      <c r="SIA74" s="545"/>
      <c r="SIB74" s="545"/>
      <c r="SIC74" s="545"/>
      <c r="SID74" s="545"/>
      <c r="SIE74" s="545"/>
      <c r="SIF74" s="545"/>
      <c r="SIG74" s="545"/>
      <c r="SIH74" s="545"/>
      <c r="SII74" s="545"/>
      <c r="SIJ74" s="545"/>
      <c r="SIK74" s="545"/>
      <c r="SIL74" s="545"/>
      <c r="SIM74" s="545"/>
      <c r="SIN74" s="545"/>
      <c r="SIO74" s="545"/>
      <c r="SIP74" s="545"/>
      <c r="SIQ74" s="545"/>
      <c r="SIR74" s="545"/>
      <c r="SIS74" s="545"/>
      <c r="SIT74" s="545"/>
      <c r="SIU74" s="545"/>
      <c r="SIV74" s="545"/>
      <c r="SIW74" s="545"/>
      <c r="SIX74" s="545"/>
      <c r="SIY74" s="545"/>
      <c r="SIZ74" s="545"/>
      <c r="SJA74" s="545"/>
      <c r="SJB74" s="545"/>
      <c r="SJC74" s="545"/>
      <c r="SJD74" s="545"/>
      <c r="SJE74" s="545"/>
      <c r="SJF74" s="545"/>
      <c r="SJG74" s="545"/>
      <c r="SJH74" s="545"/>
      <c r="SJI74" s="545"/>
      <c r="SJJ74" s="545"/>
      <c r="SJK74" s="545"/>
      <c r="SJL74" s="545"/>
      <c r="SJM74" s="545"/>
      <c r="SJN74" s="545"/>
      <c r="SJO74" s="545"/>
      <c r="SJP74" s="545"/>
      <c r="SJQ74" s="545"/>
      <c r="SJR74" s="545"/>
      <c r="SJS74" s="545"/>
      <c r="SJT74" s="545"/>
      <c r="SJU74" s="545"/>
      <c r="SJV74" s="545"/>
      <c r="SJW74" s="545"/>
      <c r="SJX74" s="545"/>
      <c r="SJY74" s="545"/>
      <c r="SJZ74" s="545"/>
      <c r="SKA74" s="545"/>
      <c r="SKB74" s="545"/>
      <c r="SKC74" s="545"/>
      <c r="SKD74" s="545"/>
      <c r="SKE74" s="545"/>
      <c r="SKF74" s="545"/>
      <c r="SKG74" s="545"/>
      <c r="SKH74" s="545"/>
      <c r="SKI74" s="545"/>
      <c r="SKJ74" s="545"/>
      <c r="SKK74" s="545"/>
      <c r="SKL74" s="545"/>
      <c r="SKM74" s="545"/>
      <c r="SKN74" s="545"/>
      <c r="SKO74" s="545"/>
      <c r="SKP74" s="545"/>
      <c r="SKQ74" s="545"/>
      <c r="SKR74" s="545"/>
      <c r="SKS74" s="545"/>
      <c r="SKT74" s="545"/>
      <c r="SKU74" s="545"/>
      <c r="SKV74" s="545"/>
      <c r="SKW74" s="545"/>
      <c r="SKX74" s="545"/>
      <c r="SKY74" s="545"/>
      <c r="SKZ74" s="545"/>
      <c r="SLA74" s="545"/>
      <c r="SLB74" s="545"/>
      <c r="SLC74" s="545"/>
      <c r="SLD74" s="545"/>
      <c r="SLE74" s="545"/>
      <c r="SLF74" s="545"/>
      <c r="SLG74" s="545"/>
      <c r="SLH74" s="545"/>
      <c r="SLI74" s="545"/>
      <c r="SLJ74" s="545"/>
      <c r="SLK74" s="545"/>
      <c r="SLL74" s="545"/>
      <c r="SLM74" s="545"/>
      <c r="SLN74" s="545"/>
      <c r="SLO74" s="545"/>
      <c r="SLP74" s="545"/>
      <c r="SLQ74" s="545"/>
      <c r="SLR74" s="545"/>
      <c r="SLS74" s="545"/>
      <c r="SLT74" s="545"/>
      <c r="SLU74" s="545"/>
      <c r="SLV74" s="545"/>
      <c r="SLW74" s="545"/>
      <c r="SLX74" s="545"/>
      <c r="SLY74" s="545"/>
      <c r="SLZ74" s="545"/>
      <c r="SMA74" s="545"/>
      <c r="SMB74" s="545"/>
      <c r="SMC74" s="545"/>
      <c r="SMD74" s="545"/>
      <c r="SME74" s="545"/>
      <c r="SMF74" s="545"/>
      <c r="SMG74" s="545"/>
      <c r="SMH74" s="545"/>
      <c r="SMI74" s="545"/>
      <c r="SMJ74" s="545"/>
      <c r="SMK74" s="545"/>
      <c r="SML74" s="545"/>
      <c r="SMM74" s="545"/>
      <c r="SMN74" s="545"/>
      <c r="SMO74" s="545"/>
      <c r="SMP74" s="545"/>
      <c r="SMQ74" s="545"/>
      <c r="SMR74" s="545"/>
      <c r="SMS74" s="545"/>
      <c r="SMT74" s="545"/>
      <c r="SMU74" s="545"/>
      <c r="SMV74" s="545"/>
      <c r="SMW74" s="545"/>
      <c r="SMX74" s="545"/>
      <c r="SMY74" s="545"/>
      <c r="SMZ74" s="545"/>
      <c r="SNA74" s="545"/>
      <c r="SNB74" s="545"/>
      <c r="SNC74" s="545"/>
      <c r="SND74" s="545"/>
      <c r="SNE74" s="545"/>
      <c r="SNF74" s="545"/>
      <c r="SNG74" s="545"/>
      <c r="SNH74" s="545"/>
      <c r="SNI74" s="545"/>
      <c r="SNJ74" s="545"/>
      <c r="SNK74" s="545"/>
      <c r="SNL74" s="545"/>
      <c r="SNM74" s="545"/>
      <c r="SNN74" s="545"/>
      <c r="SNO74" s="545"/>
      <c r="SNP74" s="545"/>
      <c r="SNQ74" s="545"/>
      <c r="SNR74" s="545"/>
      <c r="SNS74" s="545"/>
      <c r="SNT74" s="545"/>
      <c r="SNU74" s="545"/>
      <c r="SNV74" s="545"/>
      <c r="SNW74" s="545"/>
      <c r="SNX74" s="545"/>
      <c r="SNY74" s="545"/>
      <c r="SNZ74" s="545"/>
      <c r="SOA74" s="545"/>
      <c r="SOB74" s="545"/>
      <c r="SOC74" s="545"/>
      <c r="SOD74" s="545"/>
      <c r="SOE74" s="545"/>
      <c r="SOF74" s="545"/>
      <c r="SOG74" s="545"/>
      <c r="SOH74" s="545"/>
      <c r="SOI74" s="545"/>
      <c r="SOJ74" s="545"/>
      <c r="SOK74" s="545"/>
      <c r="SOL74" s="545"/>
      <c r="SOM74" s="545"/>
      <c r="SON74" s="545"/>
      <c r="SOO74" s="545"/>
      <c r="SOP74" s="545"/>
      <c r="SOQ74" s="545"/>
      <c r="SOR74" s="545"/>
      <c r="SOS74" s="545"/>
      <c r="SOT74" s="545"/>
      <c r="SOU74" s="545"/>
      <c r="SOV74" s="545"/>
      <c r="SOW74" s="545"/>
      <c r="SOX74" s="545"/>
      <c r="SOY74" s="545"/>
      <c r="SOZ74" s="545"/>
      <c r="SPA74" s="545"/>
      <c r="SPB74" s="545"/>
      <c r="SPC74" s="545"/>
      <c r="SPD74" s="545"/>
      <c r="SPE74" s="545"/>
      <c r="SPF74" s="545"/>
      <c r="SPG74" s="545"/>
      <c r="SPH74" s="545"/>
      <c r="SPI74" s="545"/>
      <c r="SPJ74" s="545"/>
      <c r="SPK74" s="545"/>
      <c r="SPL74" s="545"/>
      <c r="SPM74" s="545"/>
      <c r="SPN74" s="545"/>
      <c r="SPO74" s="545"/>
      <c r="SPP74" s="545"/>
      <c r="SPQ74" s="545"/>
      <c r="SPR74" s="545"/>
      <c r="SPS74" s="545"/>
      <c r="SPT74" s="545"/>
      <c r="SPU74" s="545"/>
      <c r="SPV74" s="545"/>
      <c r="SPW74" s="545"/>
      <c r="SPX74" s="545"/>
      <c r="SPY74" s="545"/>
      <c r="SPZ74" s="545"/>
      <c r="SQA74" s="545"/>
      <c r="SQB74" s="545"/>
      <c r="SQC74" s="545"/>
      <c r="SQD74" s="545"/>
      <c r="SQE74" s="545"/>
      <c r="SQF74" s="545"/>
      <c r="SQG74" s="545"/>
      <c r="SQH74" s="545"/>
      <c r="SQI74" s="545"/>
      <c r="SQJ74" s="545"/>
      <c r="SQK74" s="545"/>
      <c r="SQL74" s="545"/>
      <c r="SQM74" s="545"/>
      <c r="SQN74" s="545"/>
      <c r="SQO74" s="545"/>
      <c r="SQP74" s="545"/>
      <c r="SQQ74" s="545"/>
      <c r="SQR74" s="545"/>
      <c r="SQS74" s="545"/>
      <c r="SQT74" s="545"/>
      <c r="SQU74" s="545"/>
      <c r="SQV74" s="545"/>
      <c r="SQW74" s="545"/>
      <c r="SQX74" s="545"/>
      <c r="SQY74" s="545"/>
      <c r="SQZ74" s="545"/>
      <c r="SRA74" s="545"/>
      <c r="SRB74" s="545"/>
      <c r="SRC74" s="545"/>
      <c r="SRD74" s="545"/>
      <c r="SRE74" s="545"/>
      <c r="SRF74" s="545"/>
      <c r="SRG74" s="545"/>
      <c r="SRH74" s="545"/>
      <c r="SRI74" s="545"/>
      <c r="SRJ74" s="545"/>
      <c r="SRK74" s="545"/>
      <c r="SRL74" s="545"/>
      <c r="SRM74" s="545"/>
      <c r="SRN74" s="545"/>
      <c r="SRO74" s="545"/>
      <c r="SRP74" s="545"/>
      <c r="SRQ74" s="545"/>
      <c r="SRR74" s="545"/>
      <c r="SRS74" s="545"/>
      <c r="SRT74" s="545"/>
      <c r="SRU74" s="545"/>
      <c r="SRV74" s="545"/>
      <c r="SRW74" s="545"/>
      <c r="SRX74" s="545"/>
      <c r="SRY74" s="545"/>
      <c r="SRZ74" s="545"/>
      <c r="SSA74" s="545"/>
      <c r="SSB74" s="545"/>
      <c r="SSC74" s="545"/>
      <c r="SSD74" s="545"/>
      <c r="SSE74" s="545"/>
      <c r="SSF74" s="545"/>
      <c r="SSG74" s="545"/>
      <c r="SSH74" s="545"/>
      <c r="SSI74" s="545"/>
      <c r="SSJ74" s="545"/>
      <c r="SSK74" s="545"/>
      <c r="SSL74" s="545"/>
      <c r="SSM74" s="545"/>
      <c r="SSN74" s="545"/>
      <c r="SSO74" s="545"/>
      <c r="SSP74" s="545"/>
      <c r="SSQ74" s="545"/>
      <c r="SSR74" s="545"/>
      <c r="SSS74" s="545"/>
      <c r="SST74" s="545"/>
      <c r="SSU74" s="545"/>
      <c r="SSV74" s="545"/>
      <c r="SSW74" s="545"/>
      <c r="SSX74" s="545"/>
      <c r="SSY74" s="545"/>
      <c r="SSZ74" s="545"/>
      <c r="STA74" s="545"/>
      <c r="STB74" s="545"/>
      <c r="STC74" s="545"/>
      <c r="STD74" s="545"/>
      <c r="STE74" s="545"/>
      <c r="STF74" s="545"/>
      <c r="STG74" s="545"/>
      <c r="STH74" s="545"/>
      <c r="STI74" s="545"/>
      <c r="STJ74" s="545"/>
      <c r="STK74" s="545"/>
      <c r="STL74" s="545"/>
      <c r="STM74" s="545"/>
      <c r="STN74" s="545"/>
      <c r="STO74" s="545"/>
      <c r="STP74" s="545"/>
      <c r="STQ74" s="545"/>
      <c r="STR74" s="545"/>
      <c r="STS74" s="545"/>
      <c r="STT74" s="545"/>
      <c r="STU74" s="545"/>
      <c r="STV74" s="545"/>
      <c r="STW74" s="545"/>
      <c r="STX74" s="545"/>
      <c r="STY74" s="545"/>
      <c r="STZ74" s="545"/>
      <c r="SUA74" s="545"/>
      <c r="SUB74" s="545"/>
      <c r="SUC74" s="545"/>
      <c r="SUD74" s="545"/>
      <c r="SUE74" s="545"/>
      <c r="SUF74" s="545"/>
      <c r="SUG74" s="545"/>
      <c r="SUH74" s="545"/>
      <c r="SUI74" s="545"/>
      <c r="SUJ74" s="545"/>
      <c r="SUK74" s="545"/>
      <c r="SUL74" s="545"/>
      <c r="SUM74" s="545"/>
      <c r="SUN74" s="545"/>
      <c r="SUO74" s="545"/>
      <c r="SUP74" s="545"/>
      <c r="SUQ74" s="545"/>
      <c r="SUR74" s="545"/>
      <c r="SUS74" s="545"/>
      <c r="SUT74" s="545"/>
      <c r="SUU74" s="545"/>
      <c r="SUV74" s="545"/>
      <c r="SUW74" s="545"/>
      <c r="SUX74" s="545"/>
      <c r="SUY74" s="545"/>
      <c r="SUZ74" s="545"/>
      <c r="SVA74" s="545"/>
      <c r="SVB74" s="545"/>
      <c r="SVC74" s="545"/>
      <c r="SVD74" s="545"/>
      <c r="SVE74" s="545"/>
      <c r="SVF74" s="545"/>
      <c r="SVG74" s="545"/>
      <c r="SVH74" s="545"/>
      <c r="SVI74" s="545"/>
      <c r="SVJ74" s="545"/>
      <c r="SVK74" s="545"/>
      <c r="SVL74" s="545"/>
      <c r="SVM74" s="545"/>
      <c r="SVN74" s="545"/>
      <c r="SVO74" s="545"/>
      <c r="SVP74" s="545"/>
      <c r="SVQ74" s="545"/>
      <c r="SVR74" s="545"/>
      <c r="SVS74" s="545"/>
      <c r="SVT74" s="545"/>
      <c r="SVU74" s="545"/>
      <c r="SVV74" s="545"/>
      <c r="SVW74" s="545"/>
      <c r="SVX74" s="545"/>
      <c r="SVY74" s="545"/>
      <c r="SVZ74" s="545"/>
      <c r="SWA74" s="545"/>
      <c r="SWB74" s="545"/>
      <c r="SWC74" s="545"/>
      <c r="SWD74" s="545"/>
      <c r="SWE74" s="545"/>
      <c r="SWF74" s="545"/>
      <c r="SWG74" s="545"/>
      <c r="SWH74" s="545"/>
      <c r="SWI74" s="545"/>
      <c r="SWJ74" s="545"/>
      <c r="SWK74" s="545"/>
      <c r="SWL74" s="545"/>
      <c r="SWM74" s="545"/>
      <c r="SWN74" s="545"/>
      <c r="SWO74" s="545"/>
      <c r="SWP74" s="545"/>
      <c r="SWQ74" s="545"/>
      <c r="SWR74" s="545"/>
      <c r="SWS74" s="545"/>
      <c r="SWT74" s="545"/>
      <c r="SWU74" s="545"/>
      <c r="SWV74" s="545"/>
      <c r="SWW74" s="545"/>
      <c r="SWX74" s="545"/>
      <c r="SWY74" s="545"/>
      <c r="SWZ74" s="545"/>
      <c r="SXA74" s="545"/>
      <c r="SXB74" s="545"/>
      <c r="SXC74" s="545"/>
      <c r="SXD74" s="545"/>
      <c r="SXE74" s="545"/>
      <c r="SXF74" s="545"/>
      <c r="SXG74" s="545"/>
      <c r="SXH74" s="545"/>
      <c r="SXI74" s="545"/>
      <c r="SXJ74" s="545"/>
      <c r="SXK74" s="545"/>
      <c r="SXL74" s="545"/>
      <c r="SXM74" s="545"/>
      <c r="SXN74" s="545"/>
      <c r="SXO74" s="545"/>
      <c r="SXP74" s="545"/>
      <c r="SXQ74" s="545"/>
      <c r="SXR74" s="545"/>
      <c r="SXS74" s="545"/>
      <c r="SXT74" s="545"/>
      <c r="SXU74" s="545"/>
      <c r="SXV74" s="545"/>
      <c r="SXW74" s="545"/>
      <c r="SXX74" s="545"/>
      <c r="SXY74" s="545"/>
      <c r="SXZ74" s="545"/>
      <c r="SYA74" s="545"/>
      <c r="SYB74" s="545"/>
      <c r="SYC74" s="545"/>
      <c r="SYD74" s="545"/>
      <c r="SYE74" s="545"/>
      <c r="SYF74" s="545"/>
      <c r="SYG74" s="545"/>
      <c r="SYH74" s="545"/>
      <c r="SYI74" s="545"/>
      <c r="SYJ74" s="545"/>
      <c r="SYK74" s="545"/>
      <c r="SYL74" s="545"/>
      <c r="SYM74" s="545"/>
      <c r="SYN74" s="545"/>
      <c r="SYO74" s="545"/>
      <c r="SYP74" s="545"/>
      <c r="SYQ74" s="545"/>
      <c r="SYR74" s="545"/>
      <c r="SYS74" s="545"/>
      <c r="SYT74" s="545"/>
      <c r="SYU74" s="545"/>
      <c r="SYV74" s="545"/>
      <c r="SYW74" s="545"/>
      <c r="SYX74" s="545"/>
      <c r="SYY74" s="545"/>
      <c r="SYZ74" s="545"/>
      <c r="SZA74" s="545"/>
      <c r="SZB74" s="545"/>
      <c r="SZC74" s="545"/>
      <c r="SZD74" s="545"/>
      <c r="SZE74" s="545"/>
      <c r="SZF74" s="545"/>
      <c r="SZG74" s="545"/>
      <c r="SZH74" s="545"/>
      <c r="SZI74" s="545"/>
      <c r="SZJ74" s="545"/>
      <c r="SZK74" s="545"/>
      <c r="SZL74" s="545"/>
      <c r="SZM74" s="545"/>
      <c r="SZN74" s="545"/>
      <c r="SZO74" s="545"/>
      <c r="SZP74" s="545"/>
      <c r="SZQ74" s="545"/>
      <c r="SZR74" s="545"/>
      <c r="SZS74" s="545"/>
      <c r="SZT74" s="545"/>
      <c r="SZU74" s="545"/>
      <c r="SZV74" s="545"/>
      <c r="SZW74" s="545"/>
      <c r="SZX74" s="545"/>
      <c r="SZY74" s="545"/>
      <c r="SZZ74" s="545"/>
      <c r="TAA74" s="545"/>
      <c r="TAB74" s="545"/>
      <c r="TAC74" s="545"/>
      <c r="TAD74" s="545"/>
      <c r="TAE74" s="545"/>
      <c r="TAF74" s="545"/>
      <c r="TAG74" s="545"/>
      <c r="TAH74" s="545"/>
      <c r="TAI74" s="545"/>
      <c r="TAJ74" s="545"/>
      <c r="TAK74" s="545"/>
      <c r="TAL74" s="545"/>
      <c r="TAM74" s="545"/>
      <c r="TAN74" s="545"/>
      <c r="TAO74" s="545"/>
      <c r="TAP74" s="545"/>
      <c r="TAQ74" s="545"/>
      <c r="TAR74" s="545"/>
      <c r="TAS74" s="545"/>
      <c r="TAT74" s="545"/>
      <c r="TAU74" s="545"/>
      <c r="TAV74" s="545"/>
      <c r="TAW74" s="545"/>
      <c r="TAX74" s="545"/>
      <c r="TAY74" s="545"/>
      <c r="TAZ74" s="545"/>
      <c r="TBA74" s="545"/>
      <c r="TBB74" s="545"/>
      <c r="TBC74" s="545"/>
      <c r="TBD74" s="545"/>
      <c r="TBE74" s="545"/>
      <c r="TBF74" s="545"/>
      <c r="TBG74" s="545"/>
      <c r="TBH74" s="545"/>
      <c r="TBI74" s="545"/>
      <c r="TBJ74" s="545"/>
      <c r="TBK74" s="545"/>
      <c r="TBL74" s="545"/>
      <c r="TBM74" s="545"/>
      <c r="TBN74" s="545"/>
      <c r="TBO74" s="545"/>
      <c r="TBP74" s="545"/>
      <c r="TBQ74" s="545"/>
      <c r="TBR74" s="545"/>
      <c r="TBS74" s="545"/>
      <c r="TBT74" s="545"/>
      <c r="TBU74" s="545"/>
      <c r="TBV74" s="545"/>
      <c r="TBW74" s="545"/>
      <c r="TBX74" s="545"/>
      <c r="TBY74" s="545"/>
      <c r="TBZ74" s="545"/>
      <c r="TCA74" s="545"/>
      <c r="TCB74" s="545"/>
      <c r="TCC74" s="545"/>
      <c r="TCD74" s="545"/>
      <c r="TCE74" s="545"/>
      <c r="TCF74" s="545"/>
      <c r="TCG74" s="545"/>
      <c r="TCH74" s="545"/>
      <c r="TCI74" s="545"/>
      <c r="TCJ74" s="545"/>
      <c r="TCK74" s="545"/>
      <c r="TCL74" s="545"/>
      <c r="TCM74" s="545"/>
      <c r="TCN74" s="545"/>
      <c r="TCO74" s="545"/>
      <c r="TCP74" s="545"/>
      <c r="TCQ74" s="545"/>
      <c r="TCR74" s="545"/>
      <c r="TCS74" s="545"/>
      <c r="TCT74" s="545"/>
      <c r="TCU74" s="545"/>
      <c r="TCV74" s="545"/>
      <c r="TCW74" s="545"/>
      <c r="TCX74" s="545"/>
      <c r="TCY74" s="545"/>
      <c r="TCZ74" s="545"/>
      <c r="TDA74" s="545"/>
      <c r="TDB74" s="545"/>
      <c r="TDC74" s="545"/>
      <c r="TDD74" s="545"/>
      <c r="TDE74" s="545"/>
      <c r="TDF74" s="545"/>
      <c r="TDG74" s="545"/>
      <c r="TDH74" s="545"/>
      <c r="TDI74" s="545"/>
      <c r="TDJ74" s="545"/>
      <c r="TDK74" s="545"/>
      <c r="TDL74" s="545"/>
      <c r="TDM74" s="545"/>
      <c r="TDN74" s="545"/>
      <c r="TDO74" s="545"/>
      <c r="TDP74" s="545"/>
      <c r="TDQ74" s="545"/>
      <c r="TDR74" s="545"/>
      <c r="TDS74" s="545"/>
      <c r="TDT74" s="545"/>
      <c r="TDU74" s="545"/>
      <c r="TDV74" s="545"/>
      <c r="TDW74" s="545"/>
      <c r="TDX74" s="545"/>
      <c r="TDY74" s="545"/>
      <c r="TDZ74" s="545"/>
      <c r="TEA74" s="545"/>
      <c r="TEB74" s="545"/>
      <c r="TEC74" s="545"/>
      <c r="TED74" s="545"/>
      <c r="TEE74" s="545"/>
      <c r="TEF74" s="545"/>
      <c r="TEG74" s="545"/>
      <c r="TEH74" s="545"/>
      <c r="TEI74" s="545"/>
      <c r="TEJ74" s="545"/>
      <c r="TEK74" s="545"/>
      <c r="TEL74" s="545"/>
      <c r="TEM74" s="545"/>
      <c r="TEN74" s="545"/>
      <c r="TEO74" s="545"/>
      <c r="TEP74" s="545"/>
      <c r="TEQ74" s="545"/>
      <c r="TER74" s="545"/>
      <c r="TES74" s="545"/>
      <c r="TET74" s="545"/>
      <c r="TEU74" s="545"/>
      <c r="TEV74" s="545"/>
      <c r="TEW74" s="545"/>
      <c r="TEX74" s="545"/>
      <c r="TEY74" s="545"/>
      <c r="TEZ74" s="545"/>
      <c r="TFA74" s="545"/>
      <c r="TFB74" s="545"/>
      <c r="TFC74" s="545"/>
      <c r="TFD74" s="545"/>
      <c r="TFE74" s="545"/>
      <c r="TFF74" s="545"/>
      <c r="TFG74" s="545"/>
      <c r="TFH74" s="545"/>
      <c r="TFI74" s="545"/>
      <c r="TFJ74" s="545"/>
      <c r="TFK74" s="545"/>
      <c r="TFL74" s="545"/>
      <c r="TFM74" s="545"/>
      <c r="TFN74" s="545"/>
      <c r="TFO74" s="545"/>
      <c r="TFP74" s="545"/>
      <c r="TFQ74" s="545"/>
      <c r="TFR74" s="545"/>
      <c r="TFS74" s="545"/>
      <c r="TFT74" s="545"/>
      <c r="TFU74" s="545"/>
      <c r="TFV74" s="545"/>
      <c r="TFW74" s="545"/>
      <c r="TFX74" s="545"/>
      <c r="TFY74" s="545"/>
      <c r="TFZ74" s="545"/>
      <c r="TGA74" s="545"/>
      <c r="TGB74" s="545"/>
      <c r="TGC74" s="545"/>
      <c r="TGD74" s="545"/>
      <c r="TGE74" s="545"/>
      <c r="TGF74" s="545"/>
      <c r="TGG74" s="545"/>
      <c r="TGH74" s="545"/>
      <c r="TGI74" s="545"/>
      <c r="TGJ74" s="545"/>
      <c r="TGK74" s="545"/>
      <c r="TGL74" s="545"/>
      <c r="TGM74" s="545"/>
      <c r="TGN74" s="545"/>
      <c r="TGO74" s="545"/>
      <c r="TGP74" s="545"/>
      <c r="TGQ74" s="545"/>
      <c r="TGR74" s="545"/>
      <c r="TGS74" s="545"/>
      <c r="TGT74" s="545"/>
      <c r="TGU74" s="545"/>
      <c r="TGV74" s="545"/>
      <c r="TGW74" s="545"/>
      <c r="TGX74" s="545"/>
      <c r="TGY74" s="545"/>
      <c r="TGZ74" s="545"/>
      <c r="THA74" s="545"/>
      <c r="THB74" s="545"/>
      <c r="THC74" s="545"/>
      <c r="THD74" s="545"/>
      <c r="THE74" s="545"/>
      <c r="THF74" s="545"/>
      <c r="THG74" s="545"/>
      <c r="THH74" s="545"/>
      <c r="THI74" s="545"/>
      <c r="THJ74" s="545"/>
      <c r="THK74" s="545"/>
      <c r="THL74" s="545"/>
      <c r="THM74" s="545"/>
      <c r="THN74" s="545"/>
      <c r="THO74" s="545"/>
      <c r="THP74" s="545"/>
      <c r="THQ74" s="545"/>
      <c r="THR74" s="545"/>
      <c r="THS74" s="545"/>
      <c r="THT74" s="545"/>
      <c r="THU74" s="545"/>
      <c r="THV74" s="545"/>
      <c r="THW74" s="545"/>
      <c r="THX74" s="545"/>
      <c r="THY74" s="545"/>
      <c r="THZ74" s="545"/>
      <c r="TIA74" s="545"/>
      <c r="TIB74" s="545"/>
      <c r="TIC74" s="545"/>
      <c r="TID74" s="545"/>
      <c r="TIE74" s="545"/>
      <c r="TIF74" s="545"/>
      <c r="TIG74" s="545"/>
      <c r="TIH74" s="545"/>
      <c r="TII74" s="545"/>
      <c r="TIJ74" s="545"/>
      <c r="TIK74" s="545"/>
      <c r="TIL74" s="545"/>
      <c r="TIM74" s="545"/>
      <c r="TIN74" s="545"/>
      <c r="TIO74" s="545"/>
      <c r="TIP74" s="545"/>
      <c r="TIQ74" s="545"/>
      <c r="TIR74" s="545"/>
      <c r="TIS74" s="545"/>
      <c r="TIT74" s="545"/>
      <c r="TIU74" s="545"/>
      <c r="TIV74" s="545"/>
      <c r="TIW74" s="545"/>
      <c r="TIX74" s="545"/>
      <c r="TIY74" s="545"/>
      <c r="TIZ74" s="545"/>
      <c r="TJA74" s="545"/>
      <c r="TJB74" s="545"/>
      <c r="TJC74" s="545"/>
      <c r="TJD74" s="545"/>
      <c r="TJE74" s="545"/>
      <c r="TJF74" s="545"/>
      <c r="TJG74" s="545"/>
      <c r="TJH74" s="545"/>
      <c r="TJI74" s="545"/>
      <c r="TJJ74" s="545"/>
      <c r="TJK74" s="545"/>
      <c r="TJL74" s="545"/>
      <c r="TJM74" s="545"/>
      <c r="TJN74" s="545"/>
      <c r="TJO74" s="545"/>
      <c r="TJP74" s="545"/>
      <c r="TJQ74" s="545"/>
      <c r="TJR74" s="545"/>
      <c r="TJS74" s="545"/>
      <c r="TJT74" s="545"/>
      <c r="TJU74" s="545"/>
      <c r="TJV74" s="545"/>
      <c r="TJW74" s="545"/>
      <c r="TJX74" s="545"/>
      <c r="TJY74" s="545"/>
      <c r="TJZ74" s="545"/>
      <c r="TKA74" s="545"/>
      <c r="TKB74" s="545"/>
      <c r="TKC74" s="545"/>
      <c r="TKD74" s="545"/>
      <c r="TKE74" s="545"/>
      <c r="TKF74" s="545"/>
      <c r="TKG74" s="545"/>
      <c r="TKH74" s="545"/>
      <c r="TKI74" s="545"/>
      <c r="TKJ74" s="545"/>
      <c r="TKK74" s="545"/>
      <c r="TKL74" s="545"/>
      <c r="TKM74" s="545"/>
      <c r="TKN74" s="545"/>
      <c r="TKO74" s="545"/>
      <c r="TKP74" s="545"/>
      <c r="TKQ74" s="545"/>
      <c r="TKR74" s="545"/>
      <c r="TKS74" s="545"/>
      <c r="TKT74" s="545"/>
      <c r="TKU74" s="545"/>
      <c r="TKV74" s="545"/>
      <c r="TKW74" s="545"/>
      <c r="TKX74" s="545"/>
      <c r="TKY74" s="545"/>
      <c r="TKZ74" s="545"/>
      <c r="TLA74" s="545"/>
      <c r="TLB74" s="545"/>
      <c r="TLC74" s="545"/>
      <c r="TLD74" s="545"/>
      <c r="TLE74" s="545"/>
      <c r="TLF74" s="545"/>
      <c r="TLG74" s="545"/>
      <c r="TLH74" s="545"/>
      <c r="TLI74" s="545"/>
      <c r="TLJ74" s="545"/>
      <c r="TLK74" s="545"/>
      <c r="TLL74" s="545"/>
      <c r="TLM74" s="545"/>
      <c r="TLN74" s="545"/>
      <c r="TLO74" s="545"/>
      <c r="TLP74" s="545"/>
      <c r="TLQ74" s="545"/>
      <c r="TLR74" s="545"/>
      <c r="TLS74" s="545"/>
      <c r="TLT74" s="545"/>
      <c r="TLU74" s="545"/>
      <c r="TLV74" s="545"/>
      <c r="TLW74" s="545"/>
      <c r="TLX74" s="545"/>
      <c r="TLY74" s="545"/>
      <c r="TLZ74" s="545"/>
      <c r="TMA74" s="545"/>
      <c r="TMB74" s="545"/>
      <c r="TMC74" s="545"/>
      <c r="TMD74" s="545"/>
      <c r="TME74" s="545"/>
      <c r="TMF74" s="545"/>
      <c r="TMG74" s="545"/>
      <c r="TMH74" s="545"/>
      <c r="TMI74" s="545"/>
      <c r="TMJ74" s="545"/>
      <c r="TMK74" s="545"/>
      <c r="TML74" s="545"/>
      <c r="TMM74" s="545"/>
      <c r="TMN74" s="545"/>
      <c r="TMO74" s="545"/>
      <c r="TMP74" s="545"/>
      <c r="TMQ74" s="545"/>
      <c r="TMR74" s="545"/>
      <c r="TMS74" s="545"/>
      <c r="TMT74" s="545"/>
      <c r="TMU74" s="545"/>
      <c r="TMV74" s="545"/>
      <c r="TMW74" s="545"/>
      <c r="TMX74" s="545"/>
      <c r="TMY74" s="545"/>
      <c r="TMZ74" s="545"/>
      <c r="TNA74" s="545"/>
      <c r="TNB74" s="545"/>
      <c r="TNC74" s="545"/>
      <c r="TND74" s="545"/>
      <c r="TNE74" s="545"/>
      <c r="TNF74" s="545"/>
      <c r="TNG74" s="545"/>
      <c r="TNH74" s="545"/>
      <c r="TNI74" s="545"/>
      <c r="TNJ74" s="545"/>
      <c r="TNK74" s="545"/>
      <c r="TNL74" s="545"/>
      <c r="TNM74" s="545"/>
      <c r="TNN74" s="545"/>
      <c r="TNO74" s="545"/>
      <c r="TNP74" s="545"/>
      <c r="TNQ74" s="545"/>
      <c r="TNR74" s="545"/>
      <c r="TNS74" s="545"/>
      <c r="TNT74" s="545"/>
      <c r="TNU74" s="545"/>
      <c r="TNV74" s="545"/>
      <c r="TNW74" s="545"/>
      <c r="TNX74" s="545"/>
      <c r="TNY74" s="545"/>
      <c r="TNZ74" s="545"/>
      <c r="TOA74" s="545"/>
      <c r="TOB74" s="545"/>
      <c r="TOC74" s="545"/>
      <c r="TOD74" s="545"/>
      <c r="TOE74" s="545"/>
      <c r="TOF74" s="545"/>
      <c r="TOG74" s="545"/>
      <c r="TOH74" s="545"/>
      <c r="TOI74" s="545"/>
      <c r="TOJ74" s="545"/>
      <c r="TOK74" s="545"/>
      <c r="TOL74" s="545"/>
      <c r="TOM74" s="545"/>
      <c r="TON74" s="545"/>
      <c r="TOO74" s="545"/>
      <c r="TOP74" s="545"/>
      <c r="TOQ74" s="545"/>
      <c r="TOR74" s="545"/>
      <c r="TOS74" s="545"/>
      <c r="TOT74" s="545"/>
      <c r="TOU74" s="545"/>
      <c r="TOV74" s="545"/>
      <c r="TOW74" s="545"/>
      <c r="TOX74" s="545"/>
      <c r="TOY74" s="545"/>
      <c r="TOZ74" s="545"/>
      <c r="TPA74" s="545"/>
      <c r="TPB74" s="545"/>
      <c r="TPC74" s="545"/>
      <c r="TPD74" s="545"/>
      <c r="TPE74" s="545"/>
      <c r="TPF74" s="545"/>
      <c r="TPG74" s="545"/>
      <c r="TPH74" s="545"/>
      <c r="TPI74" s="545"/>
      <c r="TPJ74" s="545"/>
      <c r="TPK74" s="545"/>
      <c r="TPL74" s="545"/>
      <c r="TPM74" s="545"/>
      <c r="TPN74" s="545"/>
      <c r="TPO74" s="545"/>
      <c r="TPP74" s="545"/>
      <c r="TPQ74" s="545"/>
      <c r="TPR74" s="545"/>
      <c r="TPS74" s="545"/>
      <c r="TPT74" s="545"/>
      <c r="TPU74" s="545"/>
      <c r="TPV74" s="545"/>
      <c r="TPW74" s="545"/>
      <c r="TPX74" s="545"/>
      <c r="TPY74" s="545"/>
      <c r="TPZ74" s="545"/>
      <c r="TQA74" s="545"/>
      <c r="TQB74" s="545"/>
      <c r="TQC74" s="545"/>
      <c r="TQD74" s="545"/>
      <c r="TQE74" s="545"/>
      <c r="TQF74" s="545"/>
      <c r="TQG74" s="545"/>
      <c r="TQH74" s="545"/>
      <c r="TQI74" s="545"/>
      <c r="TQJ74" s="545"/>
      <c r="TQK74" s="545"/>
      <c r="TQL74" s="545"/>
      <c r="TQM74" s="545"/>
      <c r="TQN74" s="545"/>
      <c r="TQO74" s="545"/>
      <c r="TQP74" s="545"/>
      <c r="TQQ74" s="545"/>
      <c r="TQR74" s="545"/>
      <c r="TQS74" s="545"/>
      <c r="TQT74" s="545"/>
      <c r="TQU74" s="545"/>
      <c r="TQV74" s="545"/>
      <c r="TQW74" s="545"/>
      <c r="TQX74" s="545"/>
      <c r="TQY74" s="545"/>
      <c r="TQZ74" s="545"/>
      <c r="TRA74" s="545"/>
      <c r="TRB74" s="545"/>
      <c r="TRC74" s="545"/>
      <c r="TRD74" s="545"/>
      <c r="TRE74" s="545"/>
      <c r="TRF74" s="545"/>
      <c r="TRG74" s="545"/>
      <c r="TRH74" s="545"/>
      <c r="TRI74" s="545"/>
      <c r="TRJ74" s="545"/>
      <c r="TRK74" s="545"/>
      <c r="TRL74" s="545"/>
      <c r="TRM74" s="545"/>
      <c r="TRN74" s="545"/>
      <c r="TRO74" s="545"/>
      <c r="TRP74" s="545"/>
      <c r="TRQ74" s="545"/>
      <c r="TRR74" s="545"/>
      <c r="TRS74" s="545"/>
      <c r="TRT74" s="545"/>
      <c r="TRU74" s="545"/>
      <c r="TRV74" s="545"/>
      <c r="TRW74" s="545"/>
      <c r="TRX74" s="545"/>
      <c r="TRY74" s="545"/>
      <c r="TRZ74" s="545"/>
      <c r="TSA74" s="545"/>
      <c r="TSB74" s="545"/>
      <c r="TSC74" s="545"/>
      <c r="TSD74" s="545"/>
      <c r="TSE74" s="545"/>
      <c r="TSF74" s="545"/>
      <c r="TSG74" s="545"/>
      <c r="TSH74" s="545"/>
      <c r="TSI74" s="545"/>
      <c r="TSJ74" s="545"/>
      <c r="TSK74" s="545"/>
      <c r="TSL74" s="545"/>
      <c r="TSM74" s="545"/>
      <c r="TSN74" s="545"/>
      <c r="TSO74" s="545"/>
      <c r="TSP74" s="545"/>
      <c r="TSQ74" s="545"/>
      <c r="TSR74" s="545"/>
      <c r="TSS74" s="545"/>
      <c r="TST74" s="545"/>
      <c r="TSU74" s="545"/>
      <c r="TSV74" s="545"/>
      <c r="TSW74" s="545"/>
      <c r="TSX74" s="545"/>
      <c r="TSY74" s="545"/>
      <c r="TSZ74" s="545"/>
      <c r="TTA74" s="545"/>
      <c r="TTB74" s="545"/>
      <c r="TTC74" s="545"/>
      <c r="TTD74" s="545"/>
      <c r="TTE74" s="545"/>
      <c r="TTF74" s="545"/>
      <c r="TTG74" s="545"/>
      <c r="TTH74" s="545"/>
      <c r="TTI74" s="545"/>
      <c r="TTJ74" s="545"/>
      <c r="TTK74" s="545"/>
      <c r="TTL74" s="545"/>
      <c r="TTM74" s="545"/>
      <c r="TTN74" s="545"/>
      <c r="TTO74" s="545"/>
      <c r="TTP74" s="545"/>
      <c r="TTQ74" s="545"/>
      <c r="TTR74" s="545"/>
      <c r="TTS74" s="545"/>
      <c r="TTT74" s="545"/>
      <c r="TTU74" s="545"/>
      <c r="TTV74" s="545"/>
      <c r="TTW74" s="545"/>
      <c r="TTX74" s="545"/>
      <c r="TTY74" s="545"/>
      <c r="TTZ74" s="545"/>
      <c r="TUA74" s="545"/>
      <c r="TUB74" s="545"/>
      <c r="TUC74" s="545"/>
      <c r="TUD74" s="545"/>
      <c r="TUE74" s="545"/>
      <c r="TUF74" s="545"/>
      <c r="TUG74" s="545"/>
      <c r="TUH74" s="545"/>
      <c r="TUI74" s="545"/>
      <c r="TUJ74" s="545"/>
      <c r="TUK74" s="545"/>
      <c r="TUL74" s="545"/>
      <c r="TUM74" s="545"/>
      <c r="TUN74" s="545"/>
      <c r="TUO74" s="545"/>
      <c r="TUP74" s="545"/>
      <c r="TUQ74" s="545"/>
      <c r="TUR74" s="545"/>
      <c r="TUS74" s="545"/>
      <c r="TUT74" s="545"/>
      <c r="TUU74" s="545"/>
      <c r="TUV74" s="545"/>
      <c r="TUW74" s="545"/>
      <c r="TUX74" s="545"/>
      <c r="TUY74" s="545"/>
      <c r="TUZ74" s="545"/>
      <c r="TVA74" s="545"/>
      <c r="TVB74" s="545"/>
      <c r="TVC74" s="545"/>
      <c r="TVD74" s="545"/>
      <c r="TVE74" s="545"/>
      <c r="TVF74" s="545"/>
      <c r="TVG74" s="545"/>
      <c r="TVH74" s="545"/>
      <c r="TVI74" s="545"/>
      <c r="TVJ74" s="545"/>
      <c r="TVK74" s="545"/>
      <c r="TVL74" s="545"/>
      <c r="TVM74" s="545"/>
      <c r="TVN74" s="545"/>
      <c r="TVO74" s="545"/>
      <c r="TVP74" s="545"/>
      <c r="TVQ74" s="545"/>
      <c r="TVR74" s="545"/>
      <c r="TVS74" s="545"/>
      <c r="TVT74" s="545"/>
      <c r="TVU74" s="545"/>
      <c r="TVV74" s="545"/>
      <c r="TVW74" s="545"/>
      <c r="TVX74" s="545"/>
      <c r="TVY74" s="545"/>
      <c r="TVZ74" s="545"/>
      <c r="TWA74" s="545"/>
      <c r="TWB74" s="545"/>
      <c r="TWC74" s="545"/>
      <c r="TWD74" s="545"/>
      <c r="TWE74" s="545"/>
      <c r="TWF74" s="545"/>
      <c r="TWG74" s="545"/>
      <c r="TWH74" s="545"/>
      <c r="TWI74" s="545"/>
      <c r="TWJ74" s="545"/>
      <c r="TWK74" s="545"/>
      <c r="TWL74" s="545"/>
      <c r="TWM74" s="545"/>
      <c r="TWN74" s="545"/>
      <c r="TWO74" s="545"/>
      <c r="TWP74" s="545"/>
      <c r="TWQ74" s="545"/>
      <c r="TWR74" s="545"/>
      <c r="TWS74" s="545"/>
      <c r="TWT74" s="545"/>
      <c r="TWU74" s="545"/>
      <c r="TWV74" s="545"/>
      <c r="TWW74" s="545"/>
      <c r="TWX74" s="545"/>
      <c r="TWY74" s="545"/>
      <c r="TWZ74" s="545"/>
      <c r="TXA74" s="545"/>
      <c r="TXB74" s="545"/>
      <c r="TXC74" s="545"/>
      <c r="TXD74" s="545"/>
      <c r="TXE74" s="545"/>
      <c r="TXF74" s="545"/>
      <c r="TXG74" s="545"/>
      <c r="TXH74" s="545"/>
      <c r="TXI74" s="545"/>
      <c r="TXJ74" s="545"/>
      <c r="TXK74" s="545"/>
      <c r="TXL74" s="545"/>
      <c r="TXM74" s="545"/>
      <c r="TXN74" s="545"/>
      <c r="TXO74" s="545"/>
      <c r="TXP74" s="545"/>
      <c r="TXQ74" s="545"/>
      <c r="TXR74" s="545"/>
      <c r="TXS74" s="545"/>
      <c r="TXT74" s="545"/>
      <c r="TXU74" s="545"/>
      <c r="TXV74" s="545"/>
      <c r="TXW74" s="545"/>
      <c r="TXX74" s="545"/>
      <c r="TXY74" s="545"/>
      <c r="TXZ74" s="545"/>
      <c r="TYA74" s="545"/>
      <c r="TYB74" s="545"/>
      <c r="TYC74" s="545"/>
      <c r="TYD74" s="545"/>
      <c r="TYE74" s="545"/>
      <c r="TYF74" s="545"/>
      <c r="TYG74" s="545"/>
      <c r="TYH74" s="545"/>
      <c r="TYI74" s="545"/>
      <c r="TYJ74" s="545"/>
      <c r="TYK74" s="545"/>
      <c r="TYL74" s="545"/>
      <c r="TYM74" s="545"/>
      <c r="TYN74" s="545"/>
      <c r="TYO74" s="545"/>
      <c r="TYP74" s="545"/>
      <c r="TYQ74" s="545"/>
      <c r="TYR74" s="545"/>
      <c r="TYS74" s="545"/>
      <c r="TYT74" s="545"/>
      <c r="TYU74" s="545"/>
      <c r="TYV74" s="545"/>
      <c r="TYW74" s="545"/>
      <c r="TYX74" s="545"/>
      <c r="TYY74" s="545"/>
      <c r="TYZ74" s="545"/>
      <c r="TZA74" s="545"/>
      <c r="TZB74" s="545"/>
      <c r="TZC74" s="545"/>
      <c r="TZD74" s="545"/>
      <c r="TZE74" s="545"/>
      <c r="TZF74" s="545"/>
      <c r="TZG74" s="545"/>
      <c r="TZH74" s="545"/>
      <c r="TZI74" s="545"/>
      <c r="TZJ74" s="545"/>
      <c r="TZK74" s="545"/>
      <c r="TZL74" s="545"/>
      <c r="TZM74" s="545"/>
      <c r="TZN74" s="545"/>
      <c r="TZO74" s="545"/>
      <c r="TZP74" s="545"/>
      <c r="TZQ74" s="545"/>
      <c r="TZR74" s="545"/>
      <c r="TZS74" s="545"/>
      <c r="TZT74" s="545"/>
      <c r="TZU74" s="545"/>
      <c r="TZV74" s="545"/>
      <c r="TZW74" s="545"/>
      <c r="TZX74" s="545"/>
      <c r="TZY74" s="545"/>
      <c r="TZZ74" s="545"/>
      <c r="UAA74" s="545"/>
      <c r="UAB74" s="545"/>
      <c r="UAC74" s="545"/>
      <c r="UAD74" s="545"/>
      <c r="UAE74" s="545"/>
      <c r="UAF74" s="545"/>
      <c r="UAG74" s="545"/>
      <c r="UAH74" s="545"/>
      <c r="UAI74" s="545"/>
      <c r="UAJ74" s="545"/>
      <c r="UAK74" s="545"/>
      <c r="UAL74" s="545"/>
      <c r="UAM74" s="545"/>
      <c r="UAN74" s="545"/>
      <c r="UAO74" s="545"/>
      <c r="UAP74" s="545"/>
      <c r="UAQ74" s="545"/>
      <c r="UAR74" s="545"/>
      <c r="UAS74" s="545"/>
      <c r="UAT74" s="545"/>
      <c r="UAU74" s="545"/>
      <c r="UAV74" s="545"/>
      <c r="UAW74" s="545"/>
      <c r="UAX74" s="545"/>
      <c r="UAY74" s="545"/>
      <c r="UAZ74" s="545"/>
      <c r="UBA74" s="545"/>
      <c r="UBB74" s="545"/>
      <c r="UBC74" s="545"/>
      <c r="UBD74" s="545"/>
      <c r="UBE74" s="545"/>
      <c r="UBF74" s="545"/>
      <c r="UBG74" s="545"/>
      <c r="UBH74" s="545"/>
      <c r="UBI74" s="545"/>
      <c r="UBJ74" s="545"/>
      <c r="UBK74" s="545"/>
      <c r="UBL74" s="545"/>
      <c r="UBM74" s="545"/>
      <c r="UBN74" s="545"/>
      <c r="UBO74" s="545"/>
      <c r="UBP74" s="545"/>
      <c r="UBQ74" s="545"/>
      <c r="UBR74" s="545"/>
      <c r="UBS74" s="545"/>
      <c r="UBT74" s="545"/>
      <c r="UBU74" s="545"/>
      <c r="UBV74" s="545"/>
      <c r="UBW74" s="545"/>
      <c r="UBX74" s="545"/>
      <c r="UBY74" s="545"/>
      <c r="UBZ74" s="545"/>
      <c r="UCA74" s="545"/>
      <c r="UCB74" s="545"/>
      <c r="UCC74" s="545"/>
      <c r="UCD74" s="545"/>
      <c r="UCE74" s="545"/>
      <c r="UCF74" s="545"/>
      <c r="UCG74" s="545"/>
      <c r="UCH74" s="545"/>
      <c r="UCI74" s="545"/>
      <c r="UCJ74" s="545"/>
      <c r="UCK74" s="545"/>
      <c r="UCL74" s="545"/>
      <c r="UCM74" s="545"/>
      <c r="UCN74" s="545"/>
      <c r="UCO74" s="545"/>
      <c r="UCP74" s="545"/>
      <c r="UCQ74" s="545"/>
      <c r="UCR74" s="545"/>
      <c r="UCS74" s="545"/>
      <c r="UCT74" s="545"/>
      <c r="UCU74" s="545"/>
      <c r="UCV74" s="545"/>
      <c r="UCW74" s="545"/>
      <c r="UCX74" s="545"/>
      <c r="UCY74" s="545"/>
      <c r="UCZ74" s="545"/>
      <c r="UDA74" s="545"/>
      <c r="UDB74" s="545"/>
      <c r="UDC74" s="545"/>
      <c r="UDD74" s="545"/>
      <c r="UDE74" s="545"/>
      <c r="UDF74" s="545"/>
      <c r="UDG74" s="545"/>
      <c r="UDH74" s="545"/>
      <c r="UDI74" s="545"/>
      <c r="UDJ74" s="545"/>
      <c r="UDK74" s="545"/>
      <c r="UDL74" s="545"/>
      <c r="UDM74" s="545"/>
      <c r="UDN74" s="545"/>
      <c r="UDO74" s="545"/>
      <c r="UDP74" s="545"/>
      <c r="UDQ74" s="545"/>
      <c r="UDR74" s="545"/>
      <c r="UDS74" s="545"/>
      <c r="UDT74" s="545"/>
      <c r="UDU74" s="545"/>
      <c r="UDV74" s="545"/>
      <c r="UDW74" s="545"/>
      <c r="UDX74" s="545"/>
      <c r="UDY74" s="545"/>
      <c r="UDZ74" s="545"/>
      <c r="UEA74" s="545"/>
      <c r="UEB74" s="545"/>
      <c r="UEC74" s="545"/>
      <c r="UED74" s="545"/>
      <c r="UEE74" s="545"/>
      <c r="UEF74" s="545"/>
      <c r="UEG74" s="545"/>
      <c r="UEH74" s="545"/>
      <c r="UEI74" s="545"/>
      <c r="UEJ74" s="545"/>
      <c r="UEK74" s="545"/>
      <c r="UEL74" s="545"/>
      <c r="UEM74" s="545"/>
      <c r="UEN74" s="545"/>
      <c r="UEO74" s="545"/>
      <c r="UEP74" s="545"/>
      <c r="UEQ74" s="545"/>
      <c r="UER74" s="545"/>
      <c r="UES74" s="545"/>
      <c r="UET74" s="545"/>
      <c r="UEU74" s="545"/>
      <c r="UEV74" s="545"/>
      <c r="UEW74" s="545"/>
      <c r="UEX74" s="545"/>
      <c r="UEY74" s="545"/>
      <c r="UEZ74" s="545"/>
      <c r="UFA74" s="545"/>
      <c r="UFB74" s="545"/>
      <c r="UFC74" s="545"/>
      <c r="UFD74" s="545"/>
      <c r="UFE74" s="545"/>
      <c r="UFF74" s="545"/>
      <c r="UFG74" s="545"/>
      <c r="UFH74" s="545"/>
      <c r="UFI74" s="545"/>
      <c r="UFJ74" s="545"/>
      <c r="UFK74" s="545"/>
      <c r="UFL74" s="545"/>
      <c r="UFM74" s="545"/>
      <c r="UFN74" s="545"/>
      <c r="UFO74" s="545"/>
      <c r="UFP74" s="545"/>
      <c r="UFQ74" s="545"/>
      <c r="UFR74" s="545"/>
      <c r="UFS74" s="545"/>
      <c r="UFT74" s="545"/>
      <c r="UFU74" s="545"/>
      <c r="UFV74" s="545"/>
      <c r="UFW74" s="545"/>
      <c r="UFX74" s="545"/>
      <c r="UFY74" s="545"/>
      <c r="UFZ74" s="545"/>
      <c r="UGA74" s="545"/>
      <c r="UGB74" s="545"/>
      <c r="UGC74" s="545"/>
      <c r="UGD74" s="545"/>
      <c r="UGE74" s="545"/>
      <c r="UGF74" s="545"/>
      <c r="UGG74" s="545"/>
      <c r="UGH74" s="545"/>
      <c r="UGI74" s="545"/>
      <c r="UGJ74" s="545"/>
      <c r="UGK74" s="545"/>
      <c r="UGL74" s="545"/>
      <c r="UGM74" s="545"/>
      <c r="UGN74" s="545"/>
      <c r="UGO74" s="545"/>
      <c r="UGP74" s="545"/>
      <c r="UGQ74" s="545"/>
      <c r="UGR74" s="545"/>
      <c r="UGS74" s="545"/>
      <c r="UGT74" s="545"/>
      <c r="UGU74" s="545"/>
      <c r="UGV74" s="545"/>
      <c r="UGW74" s="545"/>
      <c r="UGX74" s="545"/>
      <c r="UGY74" s="545"/>
      <c r="UGZ74" s="545"/>
      <c r="UHA74" s="545"/>
      <c r="UHB74" s="545"/>
      <c r="UHC74" s="545"/>
      <c r="UHD74" s="545"/>
      <c r="UHE74" s="545"/>
      <c r="UHF74" s="545"/>
      <c r="UHG74" s="545"/>
      <c r="UHH74" s="545"/>
      <c r="UHI74" s="545"/>
      <c r="UHJ74" s="545"/>
      <c r="UHK74" s="545"/>
      <c r="UHL74" s="545"/>
      <c r="UHM74" s="545"/>
      <c r="UHN74" s="545"/>
      <c r="UHO74" s="545"/>
      <c r="UHP74" s="545"/>
      <c r="UHQ74" s="545"/>
      <c r="UHR74" s="545"/>
      <c r="UHS74" s="545"/>
      <c r="UHT74" s="545"/>
      <c r="UHU74" s="545"/>
      <c r="UHV74" s="545"/>
      <c r="UHW74" s="545"/>
      <c r="UHX74" s="545"/>
      <c r="UHY74" s="545"/>
      <c r="UHZ74" s="545"/>
      <c r="UIA74" s="545"/>
      <c r="UIB74" s="545"/>
      <c r="UIC74" s="545"/>
      <c r="UID74" s="545"/>
      <c r="UIE74" s="545"/>
      <c r="UIF74" s="545"/>
      <c r="UIG74" s="545"/>
      <c r="UIH74" s="545"/>
      <c r="UII74" s="545"/>
      <c r="UIJ74" s="545"/>
      <c r="UIK74" s="545"/>
      <c r="UIL74" s="545"/>
      <c r="UIM74" s="545"/>
      <c r="UIN74" s="545"/>
      <c r="UIO74" s="545"/>
      <c r="UIP74" s="545"/>
      <c r="UIQ74" s="545"/>
      <c r="UIR74" s="545"/>
      <c r="UIS74" s="545"/>
      <c r="UIT74" s="545"/>
      <c r="UIU74" s="545"/>
      <c r="UIV74" s="545"/>
      <c r="UIW74" s="545"/>
      <c r="UIX74" s="545"/>
      <c r="UIY74" s="545"/>
      <c r="UIZ74" s="545"/>
      <c r="UJA74" s="545"/>
      <c r="UJB74" s="545"/>
      <c r="UJC74" s="545"/>
      <c r="UJD74" s="545"/>
      <c r="UJE74" s="545"/>
      <c r="UJF74" s="545"/>
      <c r="UJG74" s="545"/>
      <c r="UJH74" s="545"/>
      <c r="UJI74" s="545"/>
      <c r="UJJ74" s="545"/>
      <c r="UJK74" s="545"/>
      <c r="UJL74" s="545"/>
      <c r="UJM74" s="545"/>
      <c r="UJN74" s="545"/>
      <c r="UJO74" s="545"/>
      <c r="UJP74" s="545"/>
      <c r="UJQ74" s="545"/>
      <c r="UJR74" s="545"/>
      <c r="UJS74" s="545"/>
      <c r="UJT74" s="545"/>
      <c r="UJU74" s="545"/>
      <c r="UJV74" s="545"/>
      <c r="UJW74" s="545"/>
      <c r="UJX74" s="545"/>
      <c r="UJY74" s="545"/>
      <c r="UJZ74" s="545"/>
      <c r="UKA74" s="545"/>
      <c r="UKB74" s="545"/>
      <c r="UKC74" s="545"/>
      <c r="UKD74" s="545"/>
      <c r="UKE74" s="545"/>
      <c r="UKF74" s="545"/>
      <c r="UKG74" s="545"/>
      <c r="UKH74" s="545"/>
      <c r="UKI74" s="545"/>
      <c r="UKJ74" s="545"/>
      <c r="UKK74" s="545"/>
      <c r="UKL74" s="545"/>
      <c r="UKM74" s="545"/>
      <c r="UKN74" s="545"/>
      <c r="UKO74" s="545"/>
      <c r="UKP74" s="545"/>
      <c r="UKQ74" s="545"/>
      <c r="UKR74" s="545"/>
      <c r="UKS74" s="545"/>
      <c r="UKT74" s="545"/>
      <c r="UKU74" s="545"/>
      <c r="UKV74" s="545"/>
      <c r="UKW74" s="545"/>
      <c r="UKX74" s="545"/>
      <c r="UKY74" s="545"/>
      <c r="UKZ74" s="545"/>
      <c r="ULA74" s="545"/>
      <c r="ULB74" s="545"/>
      <c r="ULC74" s="545"/>
      <c r="ULD74" s="545"/>
      <c r="ULE74" s="545"/>
      <c r="ULF74" s="545"/>
      <c r="ULG74" s="545"/>
      <c r="ULH74" s="545"/>
      <c r="ULI74" s="545"/>
      <c r="ULJ74" s="545"/>
      <c r="ULK74" s="545"/>
      <c r="ULL74" s="545"/>
      <c r="ULM74" s="545"/>
      <c r="ULN74" s="545"/>
      <c r="ULO74" s="545"/>
      <c r="ULP74" s="545"/>
      <c r="ULQ74" s="545"/>
      <c r="ULR74" s="545"/>
      <c r="ULS74" s="545"/>
      <c r="ULT74" s="545"/>
      <c r="ULU74" s="545"/>
      <c r="ULV74" s="545"/>
      <c r="ULW74" s="545"/>
      <c r="ULX74" s="545"/>
      <c r="ULY74" s="545"/>
      <c r="ULZ74" s="545"/>
      <c r="UMA74" s="545"/>
      <c r="UMB74" s="545"/>
      <c r="UMC74" s="545"/>
      <c r="UMD74" s="545"/>
      <c r="UME74" s="545"/>
      <c r="UMF74" s="545"/>
      <c r="UMG74" s="545"/>
      <c r="UMH74" s="545"/>
      <c r="UMI74" s="545"/>
      <c r="UMJ74" s="545"/>
      <c r="UMK74" s="545"/>
      <c r="UML74" s="545"/>
      <c r="UMM74" s="545"/>
      <c r="UMN74" s="545"/>
      <c r="UMO74" s="545"/>
      <c r="UMP74" s="545"/>
      <c r="UMQ74" s="545"/>
      <c r="UMR74" s="545"/>
      <c r="UMS74" s="545"/>
      <c r="UMT74" s="545"/>
      <c r="UMU74" s="545"/>
      <c r="UMV74" s="545"/>
      <c r="UMW74" s="545"/>
      <c r="UMX74" s="545"/>
      <c r="UMY74" s="545"/>
      <c r="UMZ74" s="545"/>
      <c r="UNA74" s="545"/>
      <c r="UNB74" s="545"/>
      <c r="UNC74" s="545"/>
      <c r="UND74" s="545"/>
      <c r="UNE74" s="545"/>
      <c r="UNF74" s="545"/>
      <c r="UNG74" s="545"/>
      <c r="UNH74" s="545"/>
      <c r="UNI74" s="545"/>
      <c r="UNJ74" s="545"/>
      <c r="UNK74" s="545"/>
      <c r="UNL74" s="545"/>
      <c r="UNM74" s="545"/>
      <c r="UNN74" s="545"/>
      <c r="UNO74" s="545"/>
      <c r="UNP74" s="545"/>
      <c r="UNQ74" s="545"/>
      <c r="UNR74" s="545"/>
      <c r="UNS74" s="545"/>
      <c r="UNT74" s="545"/>
      <c r="UNU74" s="545"/>
      <c r="UNV74" s="545"/>
      <c r="UNW74" s="545"/>
      <c r="UNX74" s="545"/>
      <c r="UNY74" s="545"/>
      <c r="UNZ74" s="545"/>
      <c r="UOA74" s="545"/>
      <c r="UOB74" s="545"/>
      <c r="UOC74" s="545"/>
      <c r="UOD74" s="545"/>
      <c r="UOE74" s="545"/>
      <c r="UOF74" s="545"/>
      <c r="UOG74" s="545"/>
      <c r="UOH74" s="545"/>
      <c r="UOI74" s="545"/>
      <c r="UOJ74" s="545"/>
      <c r="UOK74" s="545"/>
      <c r="UOL74" s="545"/>
      <c r="UOM74" s="545"/>
      <c r="UON74" s="545"/>
      <c r="UOO74" s="545"/>
      <c r="UOP74" s="545"/>
      <c r="UOQ74" s="545"/>
      <c r="UOR74" s="545"/>
      <c r="UOS74" s="545"/>
      <c r="UOT74" s="545"/>
      <c r="UOU74" s="545"/>
      <c r="UOV74" s="545"/>
      <c r="UOW74" s="545"/>
      <c r="UOX74" s="545"/>
      <c r="UOY74" s="545"/>
      <c r="UOZ74" s="545"/>
      <c r="UPA74" s="545"/>
      <c r="UPB74" s="545"/>
      <c r="UPC74" s="545"/>
      <c r="UPD74" s="545"/>
      <c r="UPE74" s="545"/>
      <c r="UPF74" s="545"/>
      <c r="UPG74" s="545"/>
      <c r="UPH74" s="545"/>
      <c r="UPI74" s="545"/>
      <c r="UPJ74" s="545"/>
      <c r="UPK74" s="545"/>
      <c r="UPL74" s="545"/>
      <c r="UPM74" s="545"/>
      <c r="UPN74" s="545"/>
      <c r="UPO74" s="545"/>
      <c r="UPP74" s="545"/>
      <c r="UPQ74" s="545"/>
      <c r="UPR74" s="545"/>
      <c r="UPS74" s="545"/>
      <c r="UPT74" s="545"/>
      <c r="UPU74" s="545"/>
      <c r="UPV74" s="545"/>
      <c r="UPW74" s="545"/>
      <c r="UPX74" s="545"/>
      <c r="UPY74" s="545"/>
      <c r="UPZ74" s="545"/>
      <c r="UQA74" s="545"/>
      <c r="UQB74" s="545"/>
      <c r="UQC74" s="545"/>
      <c r="UQD74" s="545"/>
      <c r="UQE74" s="545"/>
      <c r="UQF74" s="545"/>
      <c r="UQG74" s="545"/>
      <c r="UQH74" s="545"/>
      <c r="UQI74" s="545"/>
      <c r="UQJ74" s="545"/>
      <c r="UQK74" s="545"/>
      <c r="UQL74" s="545"/>
      <c r="UQM74" s="545"/>
      <c r="UQN74" s="545"/>
      <c r="UQO74" s="545"/>
      <c r="UQP74" s="545"/>
      <c r="UQQ74" s="545"/>
      <c r="UQR74" s="545"/>
      <c r="UQS74" s="545"/>
      <c r="UQT74" s="545"/>
      <c r="UQU74" s="545"/>
      <c r="UQV74" s="545"/>
      <c r="UQW74" s="545"/>
      <c r="UQX74" s="545"/>
      <c r="UQY74" s="545"/>
      <c r="UQZ74" s="545"/>
      <c r="URA74" s="545"/>
      <c r="URB74" s="545"/>
      <c r="URC74" s="545"/>
      <c r="URD74" s="545"/>
      <c r="URE74" s="545"/>
      <c r="URF74" s="545"/>
      <c r="URG74" s="545"/>
      <c r="URH74" s="545"/>
      <c r="URI74" s="545"/>
      <c r="URJ74" s="545"/>
      <c r="URK74" s="545"/>
      <c r="URL74" s="545"/>
      <c r="URM74" s="545"/>
      <c r="URN74" s="545"/>
      <c r="URO74" s="545"/>
      <c r="URP74" s="545"/>
      <c r="URQ74" s="545"/>
      <c r="URR74" s="545"/>
      <c r="URS74" s="545"/>
      <c r="URT74" s="545"/>
      <c r="URU74" s="545"/>
      <c r="URV74" s="545"/>
      <c r="URW74" s="545"/>
      <c r="URX74" s="545"/>
      <c r="URY74" s="545"/>
      <c r="URZ74" s="545"/>
      <c r="USA74" s="545"/>
      <c r="USB74" s="545"/>
      <c r="USC74" s="545"/>
      <c r="USD74" s="545"/>
      <c r="USE74" s="545"/>
      <c r="USF74" s="545"/>
      <c r="USG74" s="545"/>
      <c r="USH74" s="545"/>
      <c r="USI74" s="545"/>
      <c r="USJ74" s="545"/>
      <c r="USK74" s="545"/>
      <c r="USL74" s="545"/>
      <c r="USM74" s="545"/>
      <c r="USN74" s="545"/>
      <c r="USO74" s="545"/>
      <c r="USP74" s="545"/>
      <c r="USQ74" s="545"/>
      <c r="USR74" s="545"/>
      <c r="USS74" s="545"/>
      <c r="UST74" s="545"/>
      <c r="USU74" s="545"/>
      <c r="USV74" s="545"/>
      <c r="USW74" s="545"/>
      <c r="USX74" s="545"/>
      <c r="USY74" s="545"/>
      <c r="USZ74" s="545"/>
      <c r="UTA74" s="545"/>
      <c r="UTB74" s="545"/>
      <c r="UTC74" s="545"/>
      <c r="UTD74" s="545"/>
      <c r="UTE74" s="545"/>
      <c r="UTF74" s="545"/>
      <c r="UTG74" s="545"/>
      <c r="UTH74" s="545"/>
      <c r="UTI74" s="545"/>
      <c r="UTJ74" s="545"/>
      <c r="UTK74" s="545"/>
      <c r="UTL74" s="545"/>
      <c r="UTM74" s="545"/>
      <c r="UTN74" s="545"/>
      <c r="UTO74" s="545"/>
      <c r="UTP74" s="545"/>
      <c r="UTQ74" s="545"/>
      <c r="UTR74" s="545"/>
      <c r="UTS74" s="545"/>
      <c r="UTT74" s="545"/>
      <c r="UTU74" s="545"/>
      <c r="UTV74" s="545"/>
      <c r="UTW74" s="545"/>
      <c r="UTX74" s="545"/>
      <c r="UTY74" s="545"/>
      <c r="UTZ74" s="545"/>
      <c r="UUA74" s="545"/>
      <c r="UUB74" s="545"/>
      <c r="UUC74" s="545"/>
      <c r="UUD74" s="545"/>
      <c r="UUE74" s="545"/>
      <c r="UUF74" s="545"/>
      <c r="UUG74" s="545"/>
      <c r="UUH74" s="545"/>
      <c r="UUI74" s="545"/>
      <c r="UUJ74" s="545"/>
      <c r="UUK74" s="545"/>
      <c r="UUL74" s="545"/>
      <c r="UUM74" s="545"/>
      <c r="UUN74" s="545"/>
      <c r="UUO74" s="545"/>
      <c r="UUP74" s="545"/>
      <c r="UUQ74" s="545"/>
      <c r="UUR74" s="545"/>
      <c r="UUS74" s="545"/>
      <c r="UUT74" s="545"/>
      <c r="UUU74" s="545"/>
      <c r="UUV74" s="545"/>
      <c r="UUW74" s="545"/>
      <c r="UUX74" s="545"/>
      <c r="UUY74" s="545"/>
      <c r="UUZ74" s="545"/>
      <c r="UVA74" s="545"/>
      <c r="UVB74" s="545"/>
      <c r="UVC74" s="545"/>
      <c r="UVD74" s="545"/>
      <c r="UVE74" s="545"/>
      <c r="UVF74" s="545"/>
      <c r="UVG74" s="545"/>
      <c r="UVH74" s="545"/>
      <c r="UVI74" s="545"/>
      <c r="UVJ74" s="545"/>
      <c r="UVK74" s="545"/>
      <c r="UVL74" s="545"/>
      <c r="UVM74" s="545"/>
      <c r="UVN74" s="545"/>
      <c r="UVO74" s="545"/>
      <c r="UVP74" s="545"/>
      <c r="UVQ74" s="545"/>
      <c r="UVR74" s="545"/>
      <c r="UVS74" s="545"/>
      <c r="UVT74" s="545"/>
      <c r="UVU74" s="545"/>
      <c r="UVV74" s="545"/>
      <c r="UVW74" s="545"/>
      <c r="UVX74" s="545"/>
      <c r="UVY74" s="545"/>
      <c r="UVZ74" s="545"/>
      <c r="UWA74" s="545"/>
      <c r="UWB74" s="545"/>
      <c r="UWC74" s="545"/>
      <c r="UWD74" s="545"/>
      <c r="UWE74" s="545"/>
      <c r="UWF74" s="545"/>
      <c r="UWG74" s="545"/>
      <c r="UWH74" s="545"/>
      <c r="UWI74" s="545"/>
      <c r="UWJ74" s="545"/>
      <c r="UWK74" s="545"/>
      <c r="UWL74" s="545"/>
      <c r="UWM74" s="545"/>
      <c r="UWN74" s="545"/>
      <c r="UWO74" s="545"/>
      <c r="UWP74" s="545"/>
      <c r="UWQ74" s="545"/>
      <c r="UWR74" s="545"/>
      <c r="UWS74" s="545"/>
      <c r="UWT74" s="545"/>
      <c r="UWU74" s="545"/>
      <c r="UWV74" s="545"/>
      <c r="UWW74" s="545"/>
      <c r="UWX74" s="545"/>
      <c r="UWY74" s="545"/>
      <c r="UWZ74" s="545"/>
      <c r="UXA74" s="545"/>
      <c r="UXB74" s="545"/>
      <c r="UXC74" s="545"/>
      <c r="UXD74" s="545"/>
      <c r="UXE74" s="545"/>
      <c r="UXF74" s="545"/>
      <c r="UXG74" s="545"/>
      <c r="UXH74" s="545"/>
      <c r="UXI74" s="545"/>
      <c r="UXJ74" s="545"/>
      <c r="UXK74" s="545"/>
      <c r="UXL74" s="545"/>
      <c r="UXM74" s="545"/>
      <c r="UXN74" s="545"/>
      <c r="UXO74" s="545"/>
      <c r="UXP74" s="545"/>
      <c r="UXQ74" s="545"/>
      <c r="UXR74" s="545"/>
      <c r="UXS74" s="545"/>
      <c r="UXT74" s="545"/>
      <c r="UXU74" s="545"/>
      <c r="UXV74" s="545"/>
      <c r="UXW74" s="545"/>
      <c r="UXX74" s="545"/>
      <c r="UXY74" s="545"/>
      <c r="UXZ74" s="545"/>
      <c r="UYA74" s="545"/>
      <c r="UYB74" s="545"/>
      <c r="UYC74" s="545"/>
      <c r="UYD74" s="545"/>
      <c r="UYE74" s="545"/>
      <c r="UYF74" s="545"/>
      <c r="UYG74" s="545"/>
      <c r="UYH74" s="545"/>
      <c r="UYI74" s="545"/>
      <c r="UYJ74" s="545"/>
      <c r="UYK74" s="545"/>
      <c r="UYL74" s="545"/>
      <c r="UYM74" s="545"/>
      <c r="UYN74" s="545"/>
      <c r="UYO74" s="545"/>
      <c r="UYP74" s="545"/>
      <c r="UYQ74" s="545"/>
      <c r="UYR74" s="545"/>
      <c r="UYS74" s="545"/>
      <c r="UYT74" s="545"/>
      <c r="UYU74" s="545"/>
      <c r="UYV74" s="545"/>
      <c r="UYW74" s="545"/>
      <c r="UYX74" s="545"/>
      <c r="UYY74" s="545"/>
      <c r="UYZ74" s="545"/>
      <c r="UZA74" s="545"/>
      <c r="UZB74" s="545"/>
      <c r="UZC74" s="545"/>
      <c r="UZD74" s="545"/>
      <c r="UZE74" s="545"/>
      <c r="UZF74" s="545"/>
      <c r="UZG74" s="545"/>
      <c r="UZH74" s="545"/>
      <c r="UZI74" s="545"/>
      <c r="UZJ74" s="545"/>
      <c r="UZK74" s="545"/>
      <c r="UZL74" s="545"/>
      <c r="UZM74" s="545"/>
      <c r="UZN74" s="545"/>
      <c r="UZO74" s="545"/>
      <c r="UZP74" s="545"/>
      <c r="UZQ74" s="545"/>
      <c r="UZR74" s="545"/>
      <c r="UZS74" s="545"/>
      <c r="UZT74" s="545"/>
      <c r="UZU74" s="545"/>
      <c r="UZV74" s="545"/>
      <c r="UZW74" s="545"/>
      <c r="UZX74" s="545"/>
      <c r="UZY74" s="545"/>
      <c r="UZZ74" s="545"/>
      <c r="VAA74" s="545"/>
      <c r="VAB74" s="545"/>
      <c r="VAC74" s="545"/>
      <c r="VAD74" s="545"/>
      <c r="VAE74" s="545"/>
      <c r="VAF74" s="545"/>
      <c r="VAG74" s="545"/>
      <c r="VAH74" s="545"/>
      <c r="VAI74" s="545"/>
      <c r="VAJ74" s="545"/>
      <c r="VAK74" s="545"/>
      <c r="VAL74" s="545"/>
      <c r="VAM74" s="545"/>
      <c r="VAN74" s="545"/>
      <c r="VAO74" s="545"/>
      <c r="VAP74" s="545"/>
      <c r="VAQ74" s="545"/>
      <c r="VAR74" s="545"/>
      <c r="VAS74" s="545"/>
      <c r="VAT74" s="545"/>
      <c r="VAU74" s="545"/>
      <c r="VAV74" s="545"/>
      <c r="VAW74" s="545"/>
      <c r="VAX74" s="545"/>
      <c r="VAY74" s="545"/>
      <c r="VAZ74" s="545"/>
      <c r="VBA74" s="545"/>
      <c r="VBB74" s="545"/>
      <c r="VBC74" s="545"/>
      <c r="VBD74" s="545"/>
      <c r="VBE74" s="545"/>
      <c r="VBF74" s="545"/>
      <c r="VBG74" s="545"/>
      <c r="VBH74" s="545"/>
      <c r="VBI74" s="545"/>
      <c r="VBJ74" s="545"/>
      <c r="VBK74" s="545"/>
      <c r="VBL74" s="545"/>
      <c r="VBM74" s="545"/>
      <c r="VBN74" s="545"/>
      <c r="VBO74" s="545"/>
      <c r="VBP74" s="545"/>
      <c r="VBQ74" s="545"/>
      <c r="VBR74" s="545"/>
      <c r="VBS74" s="545"/>
      <c r="VBT74" s="545"/>
      <c r="VBU74" s="545"/>
      <c r="VBV74" s="545"/>
      <c r="VBW74" s="545"/>
      <c r="VBX74" s="545"/>
      <c r="VBY74" s="545"/>
      <c r="VBZ74" s="545"/>
      <c r="VCA74" s="545"/>
      <c r="VCB74" s="545"/>
      <c r="VCC74" s="545"/>
      <c r="VCD74" s="545"/>
      <c r="VCE74" s="545"/>
      <c r="VCF74" s="545"/>
      <c r="VCG74" s="545"/>
      <c r="VCH74" s="545"/>
      <c r="VCI74" s="545"/>
      <c r="VCJ74" s="545"/>
      <c r="VCK74" s="545"/>
      <c r="VCL74" s="545"/>
      <c r="VCM74" s="545"/>
      <c r="VCN74" s="545"/>
      <c r="VCO74" s="545"/>
      <c r="VCP74" s="545"/>
      <c r="VCQ74" s="545"/>
      <c r="VCR74" s="545"/>
      <c r="VCS74" s="545"/>
      <c r="VCT74" s="545"/>
      <c r="VCU74" s="545"/>
      <c r="VCV74" s="545"/>
      <c r="VCW74" s="545"/>
      <c r="VCX74" s="545"/>
      <c r="VCY74" s="545"/>
      <c r="VCZ74" s="545"/>
      <c r="VDA74" s="545"/>
      <c r="VDB74" s="545"/>
      <c r="VDC74" s="545"/>
      <c r="VDD74" s="545"/>
      <c r="VDE74" s="545"/>
      <c r="VDF74" s="545"/>
      <c r="VDG74" s="545"/>
      <c r="VDH74" s="545"/>
      <c r="VDI74" s="545"/>
      <c r="VDJ74" s="545"/>
      <c r="VDK74" s="545"/>
      <c r="VDL74" s="545"/>
      <c r="VDM74" s="545"/>
      <c r="VDN74" s="545"/>
      <c r="VDO74" s="545"/>
      <c r="VDP74" s="545"/>
      <c r="VDQ74" s="545"/>
      <c r="VDR74" s="545"/>
      <c r="VDS74" s="545"/>
      <c r="VDT74" s="545"/>
      <c r="VDU74" s="545"/>
      <c r="VDV74" s="545"/>
      <c r="VDW74" s="545"/>
      <c r="VDX74" s="545"/>
      <c r="VDY74" s="545"/>
      <c r="VDZ74" s="545"/>
      <c r="VEA74" s="545"/>
      <c r="VEB74" s="545"/>
      <c r="VEC74" s="545"/>
      <c r="VED74" s="545"/>
      <c r="VEE74" s="545"/>
      <c r="VEF74" s="545"/>
      <c r="VEG74" s="545"/>
      <c r="VEH74" s="545"/>
      <c r="VEI74" s="545"/>
      <c r="VEJ74" s="545"/>
      <c r="VEK74" s="545"/>
      <c r="VEL74" s="545"/>
      <c r="VEM74" s="545"/>
      <c r="VEN74" s="545"/>
      <c r="VEO74" s="545"/>
      <c r="VEP74" s="545"/>
      <c r="VEQ74" s="545"/>
      <c r="VER74" s="545"/>
      <c r="VES74" s="545"/>
      <c r="VET74" s="545"/>
      <c r="VEU74" s="545"/>
      <c r="VEV74" s="545"/>
      <c r="VEW74" s="545"/>
      <c r="VEX74" s="545"/>
      <c r="VEY74" s="545"/>
      <c r="VEZ74" s="545"/>
      <c r="VFA74" s="545"/>
      <c r="VFB74" s="545"/>
      <c r="VFC74" s="545"/>
      <c r="VFD74" s="545"/>
      <c r="VFE74" s="545"/>
      <c r="VFF74" s="545"/>
      <c r="VFG74" s="545"/>
      <c r="VFH74" s="545"/>
      <c r="VFI74" s="545"/>
      <c r="VFJ74" s="545"/>
      <c r="VFK74" s="545"/>
      <c r="VFL74" s="545"/>
      <c r="VFM74" s="545"/>
      <c r="VFN74" s="545"/>
      <c r="VFO74" s="545"/>
      <c r="VFP74" s="545"/>
      <c r="VFQ74" s="545"/>
      <c r="VFR74" s="545"/>
      <c r="VFS74" s="545"/>
      <c r="VFT74" s="545"/>
      <c r="VFU74" s="545"/>
      <c r="VFV74" s="545"/>
      <c r="VFW74" s="545"/>
      <c r="VFX74" s="545"/>
      <c r="VFY74" s="545"/>
      <c r="VFZ74" s="545"/>
      <c r="VGA74" s="545"/>
      <c r="VGB74" s="545"/>
      <c r="VGC74" s="545"/>
      <c r="VGD74" s="545"/>
      <c r="VGE74" s="545"/>
      <c r="VGF74" s="545"/>
      <c r="VGG74" s="545"/>
      <c r="VGH74" s="545"/>
      <c r="VGI74" s="545"/>
      <c r="VGJ74" s="545"/>
      <c r="VGK74" s="545"/>
      <c r="VGL74" s="545"/>
      <c r="VGM74" s="545"/>
      <c r="VGN74" s="545"/>
      <c r="VGO74" s="545"/>
      <c r="VGP74" s="545"/>
      <c r="VGQ74" s="545"/>
      <c r="VGR74" s="545"/>
      <c r="VGS74" s="545"/>
      <c r="VGT74" s="545"/>
      <c r="VGU74" s="545"/>
      <c r="VGV74" s="545"/>
      <c r="VGW74" s="545"/>
      <c r="VGX74" s="545"/>
      <c r="VGY74" s="545"/>
      <c r="VGZ74" s="545"/>
      <c r="VHA74" s="545"/>
      <c r="VHB74" s="545"/>
      <c r="VHC74" s="545"/>
      <c r="VHD74" s="545"/>
      <c r="VHE74" s="545"/>
      <c r="VHF74" s="545"/>
      <c r="VHG74" s="545"/>
      <c r="VHH74" s="545"/>
      <c r="VHI74" s="545"/>
      <c r="VHJ74" s="545"/>
      <c r="VHK74" s="545"/>
      <c r="VHL74" s="545"/>
      <c r="VHM74" s="545"/>
      <c r="VHN74" s="545"/>
      <c r="VHO74" s="545"/>
      <c r="VHP74" s="545"/>
      <c r="VHQ74" s="545"/>
      <c r="VHR74" s="545"/>
      <c r="VHS74" s="545"/>
      <c r="VHT74" s="545"/>
      <c r="VHU74" s="545"/>
      <c r="VHV74" s="545"/>
      <c r="VHW74" s="545"/>
      <c r="VHX74" s="545"/>
      <c r="VHY74" s="545"/>
      <c r="VHZ74" s="545"/>
      <c r="VIA74" s="545"/>
      <c r="VIB74" s="545"/>
      <c r="VIC74" s="545"/>
      <c r="VID74" s="545"/>
      <c r="VIE74" s="545"/>
      <c r="VIF74" s="545"/>
      <c r="VIG74" s="545"/>
      <c r="VIH74" s="545"/>
      <c r="VII74" s="545"/>
      <c r="VIJ74" s="545"/>
      <c r="VIK74" s="545"/>
      <c r="VIL74" s="545"/>
      <c r="VIM74" s="545"/>
      <c r="VIN74" s="545"/>
      <c r="VIO74" s="545"/>
      <c r="VIP74" s="545"/>
      <c r="VIQ74" s="545"/>
      <c r="VIR74" s="545"/>
      <c r="VIS74" s="545"/>
      <c r="VIT74" s="545"/>
      <c r="VIU74" s="545"/>
      <c r="VIV74" s="545"/>
      <c r="VIW74" s="545"/>
      <c r="VIX74" s="545"/>
      <c r="VIY74" s="545"/>
      <c r="VIZ74" s="545"/>
      <c r="VJA74" s="545"/>
      <c r="VJB74" s="545"/>
      <c r="VJC74" s="545"/>
      <c r="VJD74" s="545"/>
      <c r="VJE74" s="545"/>
      <c r="VJF74" s="545"/>
      <c r="VJG74" s="545"/>
      <c r="VJH74" s="545"/>
      <c r="VJI74" s="545"/>
      <c r="VJJ74" s="545"/>
      <c r="VJK74" s="545"/>
      <c r="VJL74" s="545"/>
      <c r="VJM74" s="545"/>
      <c r="VJN74" s="545"/>
      <c r="VJO74" s="545"/>
      <c r="VJP74" s="545"/>
      <c r="VJQ74" s="545"/>
      <c r="VJR74" s="545"/>
      <c r="VJS74" s="545"/>
      <c r="VJT74" s="545"/>
      <c r="VJU74" s="545"/>
      <c r="VJV74" s="545"/>
      <c r="VJW74" s="545"/>
      <c r="VJX74" s="545"/>
      <c r="VJY74" s="545"/>
      <c r="VJZ74" s="545"/>
      <c r="VKA74" s="545"/>
      <c r="VKB74" s="545"/>
      <c r="VKC74" s="545"/>
      <c r="VKD74" s="545"/>
      <c r="VKE74" s="545"/>
      <c r="VKF74" s="545"/>
      <c r="VKG74" s="545"/>
      <c r="VKH74" s="545"/>
      <c r="VKI74" s="545"/>
      <c r="VKJ74" s="545"/>
      <c r="VKK74" s="545"/>
      <c r="VKL74" s="545"/>
      <c r="VKM74" s="545"/>
      <c r="VKN74" s="545"/>
      <c r="VKO74" s="545"/>
      <c r="VKP74" s="545"/>
      <c r="VKQ74" s="545"/>
      <c r="VKR74" s="545"/>
      <c r="VKS74" s="545"/>
      <c r="VKT74" s="545"/>
      <c r="VKU74" s="545"/>
      <c r="VKV74" s="545"/>
      <c r="VKW74" s="545"/>
      <c r="VKX74" s="545"/>
      <c r="VKY74" s="545"/>
      <c r="VKZ74" s="545"/>
      <c r="VLA74" s="545"/>
      <c r="VLB74" s="545"/>
      <c r="VLC74" s="545"/>
      <c r="VLD74" s="545"/>
      <c r="VLE74" s="545"/>
      <c r="VLF74" s="545"/>
      <c r="VLG74" s="545"/>
      <c r="VLH74" s="545"/>
      <c r="VLI74" s="545"/>
      <c r="VLJ74" s="545"/>
      <c r="VLK74" s="545"/>
      <c r="VLL74" s="545"/>
      <c r="VLM74" s="545"/>
      <c r="VLN74" s="545"/>
      <c r="VLO74" s="545"/>
      <c r="VLP74" s="545"/>
      <c r="VLQ74" s="545"/>
      <c r="VLR74" s="545"/>
      <c r="VLS74" s="545"/>
      <c r="VLT74" s="545"/>
      <c r="VLU74" s="545"/>
      <c r="VLV74" s="545"/>
      <c r="VLW74" s="545"/>
      <c r="VLX74" s="545"/>
      <c r="VLY74" s="545"/>
      <c r="VLZ74" s="545"/>
      <c r="VMA74" s="545"/>
      <c r="VMB74" s="545"/>
      <c r="VMC74" s="545"/>
      <c r="VMD74" s="545"/>
      <c r="VME74" s="545"/>
      <c r="VMF74" s="545"/>
      <c r="VMG74" s="545"/>
      <c r="VMH74" s="545"/>
      <c r="VMI74" s="545"/>
      <c r="VMJ74" s="545"/>
      <c r="VMK74" s="545"/>
      <c r="VML74" s="545"/>
      <c r="VMM74" s="545"/>
      <c r="VMN74" s="545"/>
      <c r="VMO74" s="545"/>
      <c r="VMP74" s="545"/>
      <c r="VMQ74" s="545"/>
      <c r="VMR74" s="545"/>
      <c r="VMS74" s="545"/>
      <c r="VMT74" s="545"/>
      <c r="VMU74" s="545"/>
      <c r="VMV74" s="545"/>
      <c r="VMW74" s="545"/>
      <c r="VMX74" s="545"/>
      <c r="VMY74" s="545"/>
      <c r="VMZ74" s="545"/>
      <c r="VNA74" s="545"/>
      <c r="VNB74" s="545"/>
      <c r="VNC74" s="545"/>
      <c r="VND74" s="545"/>
      <c r="VNE74" s="545"/>
      <c r="VNF74" s="545"/>
      <c r="VNG74" s="545"/>
      <c r="VNH74" s="545"/>
      <c r="VNI74" s="545"/>
      <c r="VNJ74" s="545"/>
      <c r="VNK74" s="545"/>
      <c r="VNL74" s="545"/>
      <c r="VNM74" s="545"/>
      <c r="VNN74" s="545"/>
      <c r="VNO74" s="545"/>
      <c r="VNP74" s="545"/>
      <c r="VNQ74" s="545"/>
      <c r="VNR74" s="545"/>
      <c r="VNS74" s="545"/>
      <c r="VNT74" s="545"/>
      <c r="VNU74" s="545"/>
      <c r="VNV74" s="545"/>
      <c r="VNW74" s="545"/>
      <c r="VNX74" s="545"/>
      <c r="VNY74" s="545"/>
      <c r="VNZ74" s="545"/>
      <c r="VOA74" s="545"/>
      <c r="VOB74" s="545"/>
      <c r="VOC74" s="545"/>
      <c r="VOD74" s="545"/>
      <c r="VOE74" s="545"/>
      <c r="VOF74" s="545"/>
      <c r="VOG74" s="545"/>
      <c r="VOH74" s="545"/>
      <c r="VOI74" s="545"/>
      <c r="VOJ74" s="545"/>
      <c r="VOK74" s="545"/>
      <c r="VOL74" s="545"/>
      <c r="VOM74" s="545"/>
      <c r="VON74" s="545"/>
      <c r="VOO74" s="545"/>
      <c r="VOP74" s="545"/>
      <c r="VOQ74" s="545"/>
      <c r="VOR74" s="545"/>
      <c r="VOS74" s="545"/>
      <c r="VOT74" s="545"/>
      <c r="VOU74" s="545"/>
      <c r="VOV74" s="545"/>
      <c r="VOW74" s="545"/>
      <c r="VOX74" s="545"/>
      <c r="VOY74" s="545"/>
      <c r="VOZ74" s="545"/>
      <c r="VPA74" s="545"/>
      <c r="VPB74" s="545"/>
      <c r="VPC74" s="545"/>
      <c r="VPD74" s="545"/>
      <c r="VPE74" s="545"/>
      <c r="VPF74" s="545"/>
      <c r="VPG74" s="545"/>
      <c r="VPH74" s="545"/>
      <c r="VPI74" s="545"/>
      <c r="VPJ74" s="545"/>
      <c r="VPK74" s="545"/>
      <c r="VPL74" s="545"/>
      <c r="VPM74" s="545"/>
      <c r="VPN74" s="545"/>
      <c r="VPO74" s="545"/>
      <c r="VPP74" s="545"/>
      <c r="VPQ74" s="545"/>
      <c r="VPR74" s="545"/>
      <c r="VPS74" s="545"/>
      <c r="VPT74" s="545"/>
      <c r="VPU74" s="545"/>
      <c r="VPV74" s="545"/>
      <c r="VPW74" s="545"/>
      <c r="VPX74" s="545"/>
      <c r="VPY74" s="545"/>
      <c r="VPZ74" s="545"/>
      <c r="VQA74" s="545"/>
      <c r="VQB74" s="545"/>
      <c r="VQC74" s="545"/>
      <c r="VQD74" s="545"/>
      <c r="VQE74" s="545"/>
      <c r="VQF74" s="545"/>
      <c r="VQG74" s="545"/>
      <c r="VQH74" s="545"/>
      <c r="VQI74" s="545"/>
      <c r="VQJ74" s="545"/>
      <c r="VQK74" s="545"/>
      <c r="VQL74" s="545"/>
      <c r="VQM74" s="545"/>
      <c r="VQN74" s="545"/>
      <c r="VQO74" s="545"/>
      <c r="VQP74" s="545"/>
      <c r="VQQ74" s="545"/>
      <c r="VQR74" s="545"/>
      <c r="VQS74" s="545"/>
      <c r="VQT74" s="545"/>
      <c r="VQU74" s="545"/>
      <c r="VQV74" s="545"/>
      <c r="VQW74" s="545"/>
      <c r="VQX74" s="545"/>
      <c r="VQY74" s="545"/>
      <c r="VQZ74" s="545"/>
      <c r="VRA74" s="545"/>
      <c r="VRB74" s="545"/>
      <c r="VRC74" s="545"/>
      <c r="VRD74" s="545"/>
      <c r="VRE74" s="545"/>
      <c r="VRF74" s="545"/>
      <c r="VRG74" s="545"/>
      <c r="VRH74" s="545"/>
      <c r="VRI74" s="545"/>
      <c r="VRJ74" s="545"/>
      <c r="VRK74" s="545"/>
      <c r="VRL74" s="545"/>
      <c r="VRM74" s="545"/>
      <c r="VRN74" s="545"/>
      <c r="VRO74" s="545"/>
      <c r="VRP74" s="545"/>
      <c r="VRQ74" s="545"/>
      <c r="VRR74" s="545"/>
      <c r="VRS74" s="545"/>
      <c r="VRT74" s="545"/>
      <c r="VRU74" s="545"/>
      <c r="VRV74" s="545"/>
      <c r="VRW74" s="545"/>
      <c r="VRX74" s="545"/>
      <c r="VRY74" s="545"/>
      <c r="VRZ74" s="545"/>
      <c r="VSA74" s="545"/>
      <c r="VSB74" s="545"/>
      <c r="VSC74" s="545"/>
      <c r="VSD74" s="545"/>
      <c r="VSE74" s="545"/>
      <c r="VSF74" s="545"/>
      <c r="VSG74" s="545"/>
      <c r="VSH74" s="545"/>
      <c r="VSI74" s="545"/>
      <c r="VSJ74" s="545"/>
      <c r="VSK74" s="545"/>
      <c r="VSL74" s="545"/>
      <c r="VSM74" s="545"/>
      <c r="VSN74" s="545"/>
      <c r="VSO74" s="545"/>
      <c r="VSP74" s="545"/>
      <c r="VSQ74" s="545"/>
      <c r="VSR74" s="545"/>
      <c r="VSS74" s="545"/>
      <c r="VST74" s="545"/>
      <c r="VSU74" s="545"/>
      <c r="VSV74" s="545"/>
      <c r="VSW74" s="545"/>
      <c r="VSX74" s="545"/>
      <c r="VSY74" s="545"/>
      <c r="VSZ74" s="545"/>
      <c r="VTA74" s="545"/>
      <c r="VTB74" s="545"/>
      <c r="VTC74" s="545"/>
      <c r="VTD74" s="545"/>
      <c r="VTE74" s="545"/>
      <c r="VTF74" s="545"/>
      <c r="VTG74" s="545"/>
      <c r="VTH74" s="545"/>
      <c r="VTI74" s="545"/>
      <c r="VTJ74" s="545"/>
      <c r="VTK74" s="545"/>
      <c r="VTL74" s="545"/>
      <c r="VTM74" s="545"/>
      <c r="VTN74" s="545"/>
      <c r="VTO74" s="545"/>
      <c r="VTP74" s="545"/>
      <c r="VTQ74" s="545"/>
      <c r="VTR74" s="545"/>
      <c r="VTS74" s="545"/>
      <c r="VTT74" s="545"/>
      <c r="VTU74" s="545"/>
      <c r="VTV74" s="545"/>
      <c r="VTW74" s="545"/>
      <c r="VTX74" s="545"/>
      <c r="VTY74" s="545"/>
      <c r="VTZ74" s="545"/>
      <c r="VUA74" s="545"/>
      <c r="VUB74" s="545"/>
      <c r="VUC74" s="545"/>
      <c r="VUD74" s="545"/>
      <c r="VUE74" s="545"/>
      <c r="VUF74" s="545"/>
      <c r="VUG74" s="545"/>
      <c r="VUH74" s="545"/>
      <c r="VUI74" s="545"/>
      <c r="VUJ74" s="545"/>
      <c r="VUK74" s="545"/>
      <c r="VUL74" s="545"/>
      <c r="VUM74" s="545"/>
      <c r="VUN74" s="545"/>
      <c r="VUO74" s="545"/>
      <c r="VUP74" s="545"/>
      <c r="VUQ74" s="545"/>
      <c r="VUR74" s="545"/>
      <c r="VUS74" s="545"/>
      <c r="VUT74" s="545"/>
      <c r="VUU74" s="545"/>
      <c r="VUV74" s="545"/>
      <c r="VUW74" s="545"/>
      <c r="VUX74" s="545"/>
      <c r="VUY74" s="545"/>
      <c r="VUZ74" s="545"/>
      <c r="VVA74" s="545"/>
      <c r="VVB74" s="545"/>
      <c r="VVC74" s="545"/>
      <c r="VVD74" s="545"/>
      <c r="VVE74" s="545"/>
      <c r="VVF74" s="545"/>
      <c r="VVG74" s="545"/>
      <c r="VVH74" s="545"/>
      <c r="VVI74" s="545"/>
      <c r="VVJ74" s="545"/>
      <c r="VVK74" s="545"/>
      <c r="VVL74" s="545"/>
      <c r="VVM74" s="545"/>
      <c r="VVN74" s="545"/>
      <c r="VVO74" s="545"/>
      <c r="VVP74" s="545"/>
      <c r="VVQ74" s="545"/>
      <c r="VVR74" s="545"/>
      <c r="VVS74" s="545"/>
      <c r="VVT74" s="545"/>
      <c r="VVU74" s="545"/>
      <c r="VVV74" s="545"/>
      <c r="VVW74" s="545"/>
      <c r="VVX74" s="545"/>
      <c r="VVY74" s="545"/>
      <c r="VVZ74" s="545"/>
      <c r="VWA74" s="545"/>
      <c r="VWB74" s="545"/>
      <c r="VWC74" s="545"/>
      <c r="VWD74" s="545"/>
      <c r="VWE74" s="545"/>
      <c r="VWF74" s="545"/>
      <c r="VWG74" s="545"/>
      <c r="VWH74" s="545"/>
      <c r="VWI74" s="545"/>
      <c r="VWJ74" s="545"/>
      <c r="VWK74" s="545"/>
      <c r="VWL74" s="545"/>
      <c r="VWM74" s="545"/>
      <c r="VWN74" s="545"/>
      <c r="VWO74" s="545"/>
      <c r="VWP74" s="545"/>
      <c r="VWQ74" s="545"/>
      <c r="VWR74" s="545"/>
      <c r="VWS74" s="545"/>
      <c r="VWT74" s="545"/>
      <c r="VWU74" s="545"/>
      <c r="VWV74" s="545"/>
      <c r="VWW74" s="545"/>
      <c r="VWX74" s="545"/>
      <c r="VWY74" s="545"/>
      <c r="VWZ74" s="545"/>
      <c r="VXA74" s="545"/>
      <c r="VXB74" s="545"/>
      <c r="VXC74" s="545"/>
      <c r="VXD74" s="545"/>
      <c r="VXE74" s="545"/>
      <c r="VXF74" s="545"/>
      <c r="VXG74" s="545"/>
      <c r="VXH74" s="545"/>
      <c r="VXI74" s="545"/>
      <c r="VXJ74" s="545"/>
      <c r="VXK74" s="545"/>
      <c r="VXL74" s="545"/>
      <c r="VXM74" s="545"/>
      <c r="VXN74" s="545"/>
      <c r="VXO74" s="545"/>
      <c r="VXP74" s="545"/>
      <c r="VXQ74" s="545"/>
      <c r="VXR74" s="545"/>
      <c r="VXS74" s="545"/>
      <c r="VXT74" s="545"/>
      <c r="VXU74" s="545"/>
      <c r="VXV74" s="545"/>
      <c r="VXW74" s="545"/>
      <c r="VXX74" s="545"/>
      <c r="VXY74" s="545"/>
      <c r="VXZ74" s="545"/>
      <c r="VYA74" s="545"/>
      <c r="VYB74" s="545"/>
      <c r="VYC74" s="545"/>
      <c r="VYD74" s="545"/>
      <c r="VYE74" s="545"/>
      <c r="VYF74" s="545"/>
      <c r="VYG74" s="545"/>
      <c r="VYH74" s="545"/>
      <c r="VYI74" s="545"/>
      <c r="VYJ74" s="545"/>
      <c r="VYK74" s="545"/>
      <c r="VYL74" s="545"/>
      <c r="VYM74" s="545"/>
      <c r="VYN74" s="545"/>
      <c r="VYO74" s="545"/>
      <c r="VYP74" s="545"/>
      <c r="VYQ74" s="545"/>
      <c r="VYR74" s="545"/>
      <c r="VYS74" s="545"/>
      <c r="VYT74" s="545"/>
      <c r="VYU74" s="545"/>
      <c r="VYV74" s="545"/>
      <c r="VYW74" s="545"/>
      <c r="VYX74" s="545"/>
      <c r="VYY74" s="545"/>
      <c r="VYZ74" s="545"/>
      <c r="VZA74" s="545"/>
      <c r="VZB74" s="545"/>
      <c r="VZC74" s="545"/>
      <c r="VZD74" s="545"/>
      <c r="VZE74" s="545"/>
      <c r="VZF74" s="545"/>
      <c r="VZG74" s="545"/>
      <c r="VZH74" s="545"/>
      <c r="VZI74" s="545"/>
      <c r="VZJ74" s="545"/>
      <c r="VZK74" s="545"/>
      <c r="VZL74" s="545"/>
      <c r="VZM74" s="545"/>
      <c r="VZN74" s="545"/>
      <c r="VZO74" s="545"/>
      <c r="VZP74" s="545"/>
      <c r="VZQ74" s="545"/>
      <c r="VZR74" s="545"/>
      <c r="VZS74" s="545"/>
      <c r="VZT74" s="545"/>
      <c r="VZU74" s="545"/>
      <c r="VZV74" s="545"/>
      <c r="VZW74" s="545"/>
      <c r="VZX74" s="545"/>
      <c r="VZY74" s="545"/>
      <c r="VZZ74" s="545"/>
      <c r="WAA74" s="545"/>
      <c r="WAB74" s="545"/>
      <c r="WAC74" s="545"/>
      <c r="WAD74" s="545"/>
      <c r="WAE74" s="545"/>
      <c r="WAF74" s="545"/>
      <c r="WAG74" s="545"/>
      <c r="WAH74" s="545"/>
      <c r="WAI74" s="545"/>
      <c r="WAJ74" s="545"/>
      <c r="WAK74" s="545"/>
      <c r="WAL74" s="545"/>
      <c r="WAM74" s="545"/>
      <c r="WAN74" s="545"/>
      <c r="WAO74" s="545"/>
      <c r="WAP74" s="545"/>
      <c r="WAQ74" s="545"/>
      <c r="WAR74" s="545"/>
      <c r="WAS74" s="545"/>
      <c r="WAT74" s="545"/>
      <c r="WAU74" s="545"/>
      <c r="WAV74" s="545"/>
      <c r="WAW74" s="545"/>
      <c r="WAX74" s="545"/>
      <c r="WAY74" s="545"/>
      <c r="WAZ74" s="545"/>
      <c r="WBA74" s="545"/>
      <c r="WBB74" s="545"/>
      <c r="WBC74" s="545"/>
      <c r="WBD74" s="545"/>
      <c r="WBE74" s="545"/>
      <c r="WBF74" s="545"/>
      <c r="WBG74" s="545"/>
      <c r="WBH74" s="545"/>
      <c r="WBI74" s="545"/>
      <c r="WBJ74" s="545"/>
      <c r="WBK74" s="545"/>
      <c r="WBL74" s="545"/>
      <c r="WBM74" s="545"/>
      <c r="WBN74" s="545"/>
      <c r="WBO74" s="545"/>
      <c r="WBP74" s="545"/>
      <c r="WBQ74" s="545"/>
      <c r="WBR74" s="545"/>
      <c r="WBS74" s="545"/>
      <c r="WBT74" s="545"/>
      <c r="WBU74" s="545"/>
      <c r="WBV74" s="545"/>
      <c r="WBW74" s="545"/>
      <c r="WBX74" s="545"/>
      <c r="WBY74" s="545"/>
      <c r="WBZ74" s="545"/>
      <c r="WCA74" s="545"/>
      <c r="WCB74" s="545"/>
      <c r="WCC74" s="545"/>
      <c r="WCD74" s="545"/>
      <c r="WCE74" s="545"/>
      <c r="WCF74" s="545"/>
      <c r="WCG74" s="545"/>
      <c r="WCH74" s="545"/>
      <c r="WCI74" s="545"/>
      <c r="WCJ74" s="545"/>
      <c r="WCK74" s="545"/>
      <c r="WCL74" s="545"/>
      <c r="WCM74" s="545"/>
      <c r="WCN74" s="545"/>
      <c r="WCO74" s="545"/>
      <c r="WCP74" s="545"/>
      <c r="WCQ74" s="545"/>
      <c r="WCR74" s="545"/>
      <c r="WCS74" s="545"/>
      <c r="WCT74" s="545"/>
      <c r="WCU74" s="545"/>
      <c r="WCV74" s="545"/>
      <c r="WCW74" s="545"/>
      <c r="WCX74" s="545"/>
      <c r="WCY74" s="545"/>
      <c r="WCZ74" s="545"/>
      <c r="WDA74" s="545"/>
      <c r="WDB74" s="545"/>
      <c r="WDC74" s="545"/>
      <c r="WDD74" s="545"/>
      <c r="WDE74" s="545"/>
      <c r="WDF74" s="545"/>
      <c r="WDG74" s="545"/>
      <c r="WDH74" s="545"/>
      <c r="WDI74" s="545"/>
      <c r="WDJ74" s="545"/>
      <c r="WDK74" s="545"/>
      <c r="WDL74" s="545"/>
      <c r="WDM74" s="545"/>
      <c r="WDN74" s="545"/>
      <c r="WDO74" s="545"/>
      <c r="WDP74" s="545"/>
      <c r="WDQ74" s="545"/>
      <c r="WDR74" s="545"/>
      <c r="WDS74" s="545"/>
      <c r="WDT74" s="545"/>
      <c r="WDU74" s="545"/>
      <c r="WDV74" s="545"/>
      <c r="WDW74" s="545"/>
      <c r="WDX74" s="545"/>
      <c r="WDY74" s="545"/>
      <c r="WDZ74" s="545"/>
      <c r="WEA74" s="545"/>
      <c r="WEB74" s="545"/>
      <c r="WEC74" s="545"/>
      <c r="WED74" s="545"/>
      <c r="WEE74" s="545"/>
      <c r="WEF74" s="545"/>
      <c r="WEG74" s="545"/>
      <c r="WEH74" s="545"/>
      <c r="WEI74" s="545"/>
      <c r="WEJ74" s="545"/>
      <c r="WEK74" s="545"/>
      <c r="WEL74" s="545"/>
      <c r="WEM74" s="545"/>
      <c r="WEN74" s="545"/>
      <c r="WEO74" s="545"/>
      <c r="WEP74" s="545"/>
      <c r="WEQ74" s="545"/>
      <c r="WER74" s="545"/>
      <c r="WES74" s="545"/>
      <c r="WET74" s="545"/>
      <c r="WEU74" s="545"/>
      <c r="WEV74" s="545"/>
      <c r="WEW74" s="545"/>
      <c r="WEX74" s="545"/>
      <c r="WEY74" s="545"/>
      <c r="WEZ74" s="545"/>
      <c r="WFA74" s="545"/>
      <c r="WFB74" s="545"/>
      <c r="WFC74" s="545"/>
      <c r="WFD74" s="545"/>
      <c r="WFE74" s="545"/>
      <c r="WFF74" s="545"/>
      <c r="WFG74" s="545"/>
      <c r="WFH74" s="545"/>
      <c r="WFI74" s="545"/>
      <c r="WFJ74" s="545"/>
      <c r="WFK74" s="545"/>
      <c r="WFL74" s="545"/>
      <c r="WFM74" s="545"/>
      <c r="WFN74" s="545"/>
      <c r="WFO74" s="545"/>
      <c r="WFP74" s="545"/>
      <c r="WFQ74" s="545"/>
      <c r="WFR74" s="545"/>
      <c r="WFS74" s="545"/>
      <c r="WFT74" s="545"/>
      <c r="WFU74" s="545"/>
      <c r="WFV74" s="545"/>
      <c r="WFW74" s="545"/>
      <c r="WFX74" s="545"/>
      <c r="WFY74" s="545"/>
      <c r="WFZ74" s="545"/>
      <c r="WGA74" s="545"/>
      <c r="WGB74" s="545"/>
      <c r="WGC74" s="545"/>
      <c r="WGD74" s="545"/>
      <c r="WGE74" s="545"/>
      <c r="WGF74" s="545"/>
      <c r="WGG74" s="545"/>
      <c r="WGH74" s="545"/>
      <c r="WGI74" s="545"/>
      <c r="WGJ74" s="545"/>
      <c r="WGK74" s="545"/>
      <c r="WGL74" s="545"/>
      <c r="WGM74" s="545"/>
      <c r="WGN74" s="545"/>
      <c r="WGO74" s="545"/>
      <c r="WGP74" s="545"/>
      <c r="WGQ74" s="545"/>
      <c r="WGR74" s="545"/>
      <c r="WGS74" s="545"/>
      <c r="WGT74" s="545"/>
      <c r="WGU74" s="545"/>
      <c r="WGV74" s="545"/>
      <c r="WGW74" s="545"/>
      <c r="WGX74" s="545"/>
      <c r="WGY74" s="545"/>
      <c r="WGZ74" s="545"/>
      <c r="WHA74" s="545"/>
      <c r="WHB74" s="545"/>
      <c r="WHC74" s="545"/>
      <c r="WHD74" s="545"/>
      <c r="WHE74" s="545"/>
      <c r="WHF74" s="545"/>
      <c r="WHG74" s="545"/>
      <c r="WHH74" s="545"/>
      <c r="WHI74" s="545"/>
      <c r="WHJ74" s="545"/>
      <c r="WHK74" s="545"/>
      <c r="WHL74" s="545"/>
      <c r="WHM74" s="545"/>
      <c r="WHN74" s="545"/>
      <c r="WHO74" s="545"/>
      <c r="WHP74" s="545"/>
      <c r="WHQ74" s="545"/>
      <c r="WHR74" s="545"/>
      <c r="WHS74" s="545"/>
      <c r="WHT74" s="545"/>
      <c r="WHU74" s="545"/>
      <c r="WHV74" s="545"/>
      <c r="WHW74" s="545"/>
      <c r="WHX74" s="545"/>
      <c r="WHY74" s="545"/>
      <c r="WHZ74" s="545"/>
      <c r="WIA74" s="545"/>
      <c r="WIB74" s="545"/>
      <c r="WIC74" s="545"/>
      <c r="WID74" s="545"/>
      <c r="WIE74" s="545"/>
      <c r="WIF74" s="545"/>
      <c r="WIG74" s="545"/>
      <c r="WIH74" s="545"/>
      <c r="WII74" s="545"/>
      <c r="WIJ74" s="545"/>
      <c r="WIK74" s="545"/>
      <c r="WIL74" s="545"/>
      <c r="WIM74" s="545"/>
      <c r="WIN74" s="545"/>
      <c r="WIO74" s="545"/>
      <c r="WIP74" s="545"/>
      <c r="WIQ74" s="545"/>
      <c r="WIR74" s="545"/>
      <c r="WIS74" s="545"/>
      <c r="WIT74" s="545"/>
      <c r="WIU74" s="545"/>
      <c r="WIV74" s="545"/>
      <c r="WIW74" s="545"/>
      <c r="WIX74" s="545"/>
      <c r="WIY74" s="545"/>
      <c r="WIZ74" s="545"/>
      <c r="WJA74" s="545"/>
      <c r="WJB74" s="545"/>
      <c r="WJC74" s="545"/>
      <c r="WJD74" s="545"/>
      <c r="WJE74" s="545"/>
      <c r="WJF74" s="545"/>
      <c r="WJG74" s="545"/>
      <c r="WJH74" s="545"/>
      <c r="WJI74" s="545"/>
      <c r="WJJ74" s="545"/>
      <c r="WJK74" s="545"/>
      <c r="WJL74" s="545"/>
      <c r="WJM74" s="545"/>
      <c r="WJN74" s="545"/>
      <c r="WJO74" s="545"/>
      <c r="WJP74" s="545"/>
      <c r="WJQ74" s="545"/>
      <c r="WJR74" s="545"/>
      <c r="WJS74" s="545"/>
      <c r="WJT74" s="545"/>
      <c r="WJU74" s="545"/>
      <c r="WJV74" s="545"/>
      <c r="WJW74" s="545"/>
      <c r="WJX74" s="545"/>
      <c r="WJY74" s="545"/>
      <c r="WJZ74" s="545"/>
      <c r="WKA74" s="545"/>
      <c r="WKB74" s="545"/>
      <c r="WKC74" s="545"/>
      <c r="WKD74" s="545"/>
      <c r="WKE74" s="545"/>
      <c r="WKF74" s="545"/>
      <c r="WKG74" s="545"/>
      <c r="WKH74" s="545"/>
      <c r="WKI74" s="545"/>
      <c r="WKJ74" s="545"/>
      <c r="WKK74" s="545"/>
      <c r="WKL74" s="545"/>
      <c r="WKM74" s="545"/>
      <c r="WKN74" s="545"/>
      <c r="WKO74" s="545"/>
      <c r="WKP74" s="545"/>
      <c r="WKQ74" s="545"/>
      <c r="WKR74" s="545"/>
      <c r="WKS74" s="545"/>
      <c r="WKT74" s="545"/>
      <c r="WKU74" s="545"/>
      <c r="WKV74" s="545"/>
      <c r="WKW74" s="545"/>
      <c r="WKX74" s="545"/>
      <c r="WKY74" s="545"/>
      <c r="WKZ74" s="545"/>
      <c r="WLA74" s="545"/>
      <c r="WLB74" s="545"/>
      <c r="WLC74" s="545"/>
      <c r="WLD74" s="545"/>
      <c r="WLE74" s="545"/>
      <c r="WLF74" s="545"/>
      <c r="WLG74" s="545"/>
      <c r="WLH74" s="545"/>
      <c r="WLI74" s="545"/>
      <c r="WLJ74" s="545"/>
      <c r="WLK74" s="545"/>
      <c r="WLL74" s="545"/>
      <c r="WLM74" s="545"/>
      <c r="WLN74" s="545"/>
      <c r="WLO74" s="545"/>
      <c r="WLP74" s="545"/>
      <c r="WLQ74" s="545"/>
      <c r="WLR74" s="545"/>
      <c r="WLS74" s="545"/>
      <c r="WLT74" s="545"/>
      <c r="WLU74" s="545"/>
      <c r="WLV74" s="545"/>
      <c r="WLW74" s="545"/>
      <c r="WLX74" s="545"/>
      <c r="WLY74" s="545"/>
      <c r="WLZ74" s="545"/>
      <c r="WMA74" s="545"/>
      <c r="WMB74" s="545"/>
      <c r="WMC74" s="545"/>
      <c r="WMD74" s="545"/>
      <c r="WME74" s="545"/>
      <c r="WMF74" s="545"/>
      <c r="WMG74" s="545"/>
      <c r="WMH74" s="545"/>
      <c r="WMI74" s="545"/>
      <c r="WMJ74" s="545"/>
      <c r="WMK74" s="545"/>
      <c r="WML74" s="545"/>
      <c r="WMM74" s="545"/>
      <c r="WMN74" s="545"/>
      <c r="WMO74" s="545"/>
      <c r="WMP74" s="545"/>
      <c r="WMQ74" s="545"/>
      <c r="WMR74" s="545"/>
      <c r="WMS74" s="545"/>
      <c r="WMT74" s="545"/>
      <c r="WMU74" s="545"/>
      <c r="WMV74" s="545"/>
      <c r="WMW74" s="545"/>
      <c r="WMX74" s="545"/>
      <c r="WMY74" s="545"/>
      <c r="WMZ74" s="545"/>
      <c r="WNA74" s="545"/>
      <c r="WNB74" s="545"/>
      <c r="WNC74" s="545"/>
      <c r="WND74" s="545"/>
      <c r="WNE74" s="545"/>
      <c r="WNF74" s="545"/>
      <c r="WNG74" s="545"/>
      <c r="WNH74" s="545"/>
      <c r="WNI74" s="545"/>
      <c r="WNJ74" s="545"/>
      <c r="WNK74" s="545"/>
      <c r="WNL74" s="545"/>
      <c r="WNM74" s="545"/>
      <c r="WNN74" s="545"/>
      <c r="WNO74" s="545"/>
      <c r="WNP74" s="545"/>
      <c r="WNQ74" s="545"/>
      <c r="WNR74" s="545"/>
      <c r="WNS74" s="545"/>
      <c r="WNT74" s="545"/>
      <c r="WNU74" s="545"/>
      <c r="WNV74" s="545"/>
      <c r="WNW74" s="545"/>
      <c r="WNX74" s="545"/>
      <c r="WNY74" s="545"/>
      <c r="WNZ74" s="545"/>
      <c r="WOA74" s="545"/>
      <c r="WOB74" s="545"/>
      <c r="WOC74" s="545"/>
      <c r="WOD74" s="545"/>
      <c r="WOE74" s="545"/>
      <c r="WOF74" s="545"/>
      <c r="WOG74" s="545"/>
      <c r="WOH74" s="545"/>
      <c r="WOI74" s="545"/>
      <c r="WOJ74" s="545"/>
      <c r="WOK74" s="545"/>
      <c r="WOL74" s="545"/>
      <c r="WOM74" s="545"/>
      <c r="WON74" s="545"/>
      <c r="WOO74" s="545"/>
      <c r="WOP74" s="545"/>
      <c r="WOQ74" s="545"/>
      <c r="WOR74" s="545"/>
      <c r="WOS74" s="545"/>
      <c r="WOT74" s="545"/>
      <c r="WOU74" s="545"/>
      <c r="WOV74" s="545"/>
      <c r="WOW74" s="545"/>
      <c r="WOX74" s="545"/>
      <c r="WOY74" s="545"/>
      <c r="WOZ74" s="545"/>
      <c r="WPA74" s="545"/>
      <c r="WPB74" s="545"/>
      <c r="WPC74" s="545"/>
      <c r="WPD74" s="545"/>
      <c r="WPE74" s="545"/>
      <c r="WPF74" s="545"/>
      <c r="WPG74" s="545"/>
      <c r="WPH74" s="545"/>
      <c r="WPI74" s="545"/>
      <c r="WPJ74" s="545"/>
      <c r="WPK74" s="545"/>
      <c r="WPL74" s="545"/>
      <c r="WPM74" s="545"/>
      <c r="WPN74" s="545"/>
      <c r="WPO74" s="545"/>
      <c r="WPP74" s="545"/>
      <c r="WPQ74" s="545"/>
      <c r="WPR74" s="545"/>
      <c r="WPS74" s="545"/>
      <c r="WPT74" s="545"/>
      <c r="WPU74" s="545"/>
      <c r="WPV74" s="545"/>
      <c r="WPW74" s="545"/>
      <c r="WPX74" s="545"/>
      <c r="WPY74" s="545"/>
      <c r="WPZ74" s="545"/>
      <c r="WQA74" s="545"/>
      <c r="WQB74" s="545"/>
      <c r="WQC74" s="545"/>
      <c r="WQD74" s="545"/>
      <c r="WQE74" s="545"/>
      <c r="WQF74" s="545"/>
      <c r="WQG74" s="545"/>
      <c r="WQH74" s="545"/>
      <c r="WQI74" s="545"/>
      <c r="WQJ74" s="545"/>
      <c r="WQK74" s="545"/>
      <c r="WQL74" s="545"/>
      <c r="WQM74" s="545"/>
      <c r="WQN74" s="545"/>
      <c r="WQO74" s="545"/>
      <c r="WQP74" s="545"/>
      <c r="WQQ74" s="545"/>
      <c r="WQR74" s="545"/>
      <c r="WQS74" s="545"/>
      <c r="WQT74" s="545"/>
      <c r="WQU74" s="545"/>
      <c r="WQV74" s="545"/>
      <c r="WQW74" s="545"/>
      <c r="WQX74" s="545"/>
      <c r="WQY74" s="545"/>
      <c r="WQZ74" s="545"/>
      <c r="WRA74" s="545"/>
      <c r="WRB74" s="545"/>
      <c r="WRC74" s="545"/>
      <c r="WRD74" s="545"/>
      <c r="WRE74" s="545"/>
      <c r="WRF74" s="545"/>
      <c r="WRG74" s="545"/>
      <c r="WRH74" s="545"/>
      <c r="WRI74" s="545"/>
      <c r="WRJ74" s="545"/>
      <c r="WRK74" s="545"/>
      <c r="WRL74" s="545"/>
      <c r="WRM74" s="545"/>
      <c r="WRN74" s="545"/>
      <c r="WRO74" s="545"/>
      <c r="WRP74" s="545"/>
      <c r="WRQ74" s="545"/>
      <c r="WRR74" s="545"/>
      <c r="WRS74" s="545"/>
      <c r="WRT74" s="545"/>
      <c r="WRU74" s="545"/>
      <c r="WRV74" s="545"/>
      <c r="WRW74" s="545"/>
      <c r="WRX74" s="545"/>
      <c r="WRY74" s="545"/>
      <c r="WRZ74" s="545"/>
      <c r="WSA74" s="545"/>
      <c r="WSB74" s="545"/>
      <c r="WSC74" s="545"/>
      <c r="WSD74" s="545"/>
      <c r="WSE74" s="545"/>
      <c r="WSF74" s="545"/>
      <c r="WSG74" s="545"/>
      <c r="WSH74" s="545"/>
      <c r="WSI74" s="545"/>
      <c r="WSJ74" s="545"/>
      <c r="WSK74" s="545"/>
      <c r="WSL74" s="545"/>
      <c r="WSM74" s="545"/>
      <c r="WSN74" s="545"/>
      <c r="WSO74" s="545"/>
      <c r="WSP74" s="545"/>
      <c r="WSQ74" s="545"/>
      <c r="WSR74" s="545"/>
      <c r="WSS74" s="545"/>
      <c r="WST74" s="545"/>
      <c r="WSU74" s="545"/>
      <c r="WSV74" s="545"/>
      <c r="WSW74" s="545"/>
      <c r="WSX74" s="545"/>
      <c r="WSY74" s="545"/>
      <c r="WSZ74" s="545"/>
      <c r="WTA74" s="545"/>
      <c r="WTB74" s="545"/>
      <c r="WTC74" s="545"/>
      <c r="WTD74" s="545"/>
      <c r="WTE74" s="545"/>
      <c r="WTF74" s="545"/>
      <c r="WTG74" s="545"/>
      <c r="WTH74" s="545"/>
      <c r="WTI74" s="545"/>
      <c r="WTJ74" s="545"/>
      <c r="WTK74" s="545"/>
      <c r="WTL74" s="545"/>
      <c r="WTM74" s="545"/>
      <c r="WTN74" s="545"/>
      <c r="WTO74" s="545"/>
      <c r="WTP74" s="545"/>
      <c r="WTQ74" s="545"/>
      <c r="WTR74" s="545"/>
      <c r="WTS74" s="545"/>
      <c r="WTT74" s="545"/>
      <c r="WTU74" s="545"/>
      <c r="WTV74" s="545"/>
      <c r="WTW74" s="545"/>
      <c r="WTX74" s="545"/>
      <c r="WTY74" s="545"/>
      <c r="WTZ74" s="545"/>
      <c r="WUA74" s="545"/>
      <c r="WUB74" s="545"/>
      <c r="WUC74" s="545"/>
      <c r="WUD74" s="545"/>
      <c r="WUE74" s="545"/>
      <c r="WUF74" s="545"/>
      <c r="WUG74" s="545"/>
      <c r="WUH74" s="545"/>
      <c r="WUI74" s="545"/>
      <c r="WUJ74" s="545"/>
      <c r="WUK74" s="545"/>
      <c r="WUL74" s="545"/>
      <c r="WUM74" s="545"/>
      <c r="WUN74" s="545"/>
      <c r="WUO74" s="545"/>
      <c r="WUP74" s="545"/>
      <c r="WUQ74" s="545"/>
      <c r="WUR74" s="545"/>
      <c r="WUS74" s="545"/>
      <c r="WUT74" s="545"/>
      <c r="WUU74" s="545"/>
      <c r="WUV74" s="545"/>
      <c r="WUW74" s="545"/>
      <c r="WUX74" s="545"/>
      <c r="WUY74" s="545"/>
      <c r="WUZ74" s="545"/>
      <c r="WVA74" s="545"/>
      <c r="WVB74" s="545"/>
      <c r="WVC74" s="545"/>
      <c r="WVD74" s="545"/>
      <c r="WVE74" s="545"/>
      <c r="WVF74" s="545"/>
      <c r="WVG74" s="545"/>
      <c r="WVH74" s="545"/>
      <c r="WVI74" s="545"/>
      <c r="WVJ74" s="545"/>
      <c r="WVK74" s="545"/>
      <c r="WVL74" s="545"/>
      <c r="WVM74" s="545"/>
      <c r="WVN74" s="545"/>
      <c r="WVO74" s="545"/>
      <c r="WVP74" s="545"/>
      <c r="WVQ74" s="545"/>
      <c r="WVR74" s="545"/>
      <c r="WVS74" s="545"/>
      <c r="WVT74" s="545"/>
      <c r="WVU74" s="545"/>
      <c r="WVV74" s="545"/>
      <c r="WVW74" s="545"/>
      <c r="WVX74" s="545"/>
      <c r="WVY74" s="545"/>
      <c r="WVZ74" s="545"/>
      <c r="WWA74" s="545"/>
      <c r="WWB74" s="545"/>
      <c r="WWC74" s="545"/>
      <c r="WWD74" s="545"/>
      <c r="WWE74" s="545"/>
      <c r="WWF74" s="545"/>
      <c r="WWG74" s="545"/>
      <c r="WWH74" s="545"/>
      <c r="WWI74" s="545"/>
      <c r="WWJ74" s="545"/>
      <c r="WWK74" s="545"/>
      <c r="WWL74" s="545"/>
      <c r="WWM74" s="545"/>
      <c r="WWN74" s="545"/>
      <c r="WWO74" s="545"/>
      <c r="WWP74" s="545"/>
      <c r="WWQ74" s="545"/>
      <c r="WWR74" s="545"/>
      <c r="WWS74" s="545"/>
      <c r="WWT74" s="545"/>
      <c r="WWU74" s="545"/>
      <c r="WWV74" s="545"/>
      <c r="WWW74" s="545"/>
      <c r="WWX74" s="545"/>
      <c r="WWY74" s="545"/>
      <c r="WWZ74" s="545"/>
      <c r="WXA74" s="545"/>
      <c r="WXB74" s="545"/>
      <c r="WXC74" s="545"/>
      <c r="WXD74" s="545"/>
      <c r="WXE74" s="545"/>
      <c r="WXF74" s="545"/>
      <c r="WXG74" s="545"/>
      <c r="WXH74" s="545"/>
      <c r="WXI74" s="545"/>
      <c r="WXJ74" s="545"/>
      <c r="WXK74" s="545"/>
      <c r="WXL74" s="545"/>
      <c r="WXM74" s="545"/>
      <c r="WXN74" s="545"/>
      <c r="WXO74" s="545"/>
      <c r="WXP74" s="545"/>
      <c r="WXQ74" s="545"/>
      <c r="WXR74" s="545"/>
      <c r="WXS74" s="545"/>
      <c r="WXT74" s="545"/>
      <c r="WXU74" s="545"/>
      <c r="WXV74" s="545"/>
      <c r="WXW74" s="545"/>
      <c r="WXX74" s="545"/>
      <c r="WXY74" s="545"/>
      <c r="WXZ74" s="545"/>
      <c r="WYA74" s="545"/>
      <c r="WYB74" s="545"/>
      <c r="WYC74" s="545"/>
      <c r="WYD74" s="545"/>
      <c r="WYE74" s="545"/>
      <c r="WYF74" s="545"/>
      <c r="WYG74" s="545"/>
      <c r="WYH74" s="545"/>
      <c r="WYI74" s="545"/>
      <c r="WYJ74" s="545"/>
      <c r="WYK74" s="545"/>
      <c r="WYL74" s="545"/>
      <c r="WYM74" s="545"/>
      <c r="WYN74" s="545"/>
      <c r="WYO74" s="545"/>
      <c r="WYP74" s="545"/>
      <c r="WYQ74" s="545"/>
      <c r="WYR74" s="545"/>
      <c r="WYS74" s="545"/>
      <c r="WYT74" s="545"/>
      <c r="WYU74" s="545"/>
      <c r="WYV74" s="545"/>
      <c r="WYW74" s="545"/>
      <c r="WYX74" s="545"/>
      <c r="WYY74" s="545"/>
      <c r="WYZ74" s="545"/>
      <c r="WZA74" s="545"/>
      <c r="WZB74" s="545"/>
      <c r="WZC74" s="545"/>
      <c r="WZD74" s="545"/>
      <c r="WZE74" s="545"/>
      <c r="WZF74" s="545"/>
      <c r="WZG74" s="545"/>
      <c r="WZH74" s="545"/>
      <c r="WZI74" s="545"/>
      <c r="WZJ74" s="545"/>
      <c r="WZK74" s="545"/>
      <c r="WZL74" s="545"/>
      <c r="WZM74" s="545"/>
      <c r="WZN74" s="545"/>
      <c r="WZO74" s="545"/>
      <c r="WZP74" s="545"/>
      <c r="WZQ74" s="545"/>
      <c r="WZR74" s="545"/>
      <c r="WZS74" s="545"/>
      <c r="WZT74" s="545"/>
      <c r="WZU74" s="545"/>
      <c r="WZV74" s="545"/>
      <c r="WZW74" s="545"/>
      <c r="WZX74" s="545"/>
      <c r="WZY74" s="545"/>
      <c r="WZZ74" s="545"/>
      <c r="XAA74" s="545"/>
      <c r="XAB74" s="545"/>
      <c r="XAC74" s="545"/>
      <c r="XAD74" s="545"/>
      <c r="XAE74" s="545"/>
      <c r="XAF74" s="545"/>
      <c r="XAG74" s="545"/>
      <c r="XAH74" s="545"/>
      <c r="XAI74" s="545"/>
      <c r="XAJ74" s="545"/>
      <c r="XAK74" s="545"/>
      <c r="XAL74" s="545"/>
      <c r="XAM74" s="545"/>
      <c r="XAN74" s="545"/>
      <c r="XAO74" s="545"/>
      <c r="XAP74" s="545"/>
      <c r="XAQ74" s="545"/>
      <c r="XAR74" s="545"/>
      <c r="XAS74" s="545"/>
      <c r="XAT74" s="545"/>
      <c r="XAU74" s="545"/>
      <c r="XAV74" s="545"/>
      <c r="XAW74" s="545"/>
      <c r="XAX74" s="545"/>
      <c r="XAY74" s="545"/>
      <c r="XAZ74" s="545"/>
      <c r="XBA74" s="545"/>
      <c r="XBB74" s="545"/>
      <c r="XBC74" s="545"/>
      <c r="XBD74" s="545"/>
      <c r="XBE74" s="545"/>
      <c r="XBF74" s="545"/>
      <c r="XBG74" s="545"/>
      <c r="XBH74" s="545"/>
      <c r="XBI74" s="545"/>
      <c r="XBJ74" s="545"/>
      <c r="XBK74" s="545"/>
      <c r="XBL74" s="545"/>
      <c r="XBM74" s="545"/>
      <c r="XBN74" s="545"/>
      <c r="XBO74" s="545"/>
      <c r="XBP74" s="545"/>
      <c r="XBQ74" s="545"/>
      <c r="XBR74" s="545"/>
      <c r="XBS74" s="545"/>
      <c r="XBT74" s="545"/>
      <c r="XBU74" s="545"/>
      <c r="XBV74" s="545"/>
      <c r="XBW74" s="545"/>
      <c r="XBX74" s="545"/>
      <c r="XBY74" s="545"/>
      <c r="XBZ74" s="545"/>
      <c r="XCA74" s="545"/>
      <c r="XCB74" s="545"/>
      <c r="XCC74" s="545"/>
      <c r="XCD74" s="545"/>
      <c r="XCE74" s="545"/>
      <c r="XCF74" s="545"/>
      <c r="XCG74" s="545"/>
      <c r="XCH74" s="545"/>
      <c r="XCI74" s="545"/>
      <c r="XCJ74" s="545"/>
      <c r="XCK74" s="545"/>
      <c r="XCL74" s="545"/>
      <c r="XCM74" s="545"/>
      <c r="XCN74" s="545"/>
      <c r="XCO74" s="545"/>
      <c r="XCP74" s="545"/>
      <c r="XCQ74" s="545"/>
      <c r="XCR74" s="545"/>
      <c r="XCS74" s="545"/>
      <c r="XCT74" s="545"/>
      <c r="XCU74" s="545"/>
      <c r="XCV74" s="545"/>
      <c r="XCW74" s="545"/>
      <c r="XCX74" s="545"/>
      <c r="XCY74" s="545"/>
      <c r="XCZ74" s="545"/>
      <c r="XDA74" s="545"/>
      <c r="XDB74" s="545"/>
      <c r="XDC74" s="545"/>
      <c r="XDD74" s="545"/>
      <c r="XDE74" s="545"/>
      <c r="XDF74" s="545"/>
      <c r="XDG74" s="545"/>
      <c r="XDH74" s="545"/>
      <c r="XDI74" s="545"/>
      <c r="XDJ74" s="545"/>
      <c r="XDK74" s="545"/>
      <c r="XDL74" s="545"/>
      <c r="XDM74" s="545"/>
      <c r="XDN74" s="545"/>
      <c r="XDO74" s="545"/>
      <c r="XDP74" s="545"/>
      <c r="XDQ74" s="545"/>
      <c r="XDR74" s="545"/>
      <c r="XDS74" s="545"/>
      <c r="XDT74" s="545"/>
      <c r="XDU74" s="545"/>
      <c r="XDV74" s="545"/>
      <c r="XDW74" s="545"/>
      <c r="XDX74" s="545"/>
      <c r="XDY74" s="545"/>
      <c r="XDZ74" s="545"/>
      <c r="XEA74" s="545"/>
      <c r="XEB74" s="545"/>
      <c r="XEC74" s="545"/>
      <c r="XED74" s="545"/>
      <c r="XEE74" s="545"/>
      <c r="XEF74" s="545"/>
      <c r="XEG74" s="545"/>
      <c r="XEH74" s="545"/>
      <c r="XEI74" s="545"/>
      <c r="XEJ74" s="545"/>
      <c r="XEK74" s="545"/>
      <c r="XEL74" s="545"/>
      <c r="XEM74" s="545"/>
      <c r="XEN74" s="545"/>
      <c r="XEO74" s="545"/>
      <c r="XEP74" s="545"/>
    </row>
    <row r="75" spans="1:16370" s="147" customFormat="1" x14ac:dyDescent="0.2">
      <c r="A75" s="45"/>
      <c r="B75" s="184"/>
      <c r="C75" s="269"/>
      <c r="D75" s="81"/>
      <c r="E75" s="47"/>
      <c r="F75" s="442"/>
      <c r="G75" s="47"/>
      <c r="H75" s="110"/>
      <c r="I75" s="107"/>
      <c r="J75" s="107"/>
      <c r="K75" s="107"/>
      <c r="L75" s="88"/>
      <c r="M75" s="60"/>
      <c r="N75" s="175"/>
      <c r="O75" s="175"/>
      <c r="P75" s="565"/>
      <c r="Q75" s="342">
        <f>1</f>
        <v>1</v>
      </c>
      <c r="R75" s="141"/>
      <c r="T75" s="149"/>
      <c r="U75" s="148"/>
      <c r="X75" s="581"/>
      <c r="Y75" s="581" t="str">
        <f t="shared" si="6"/>
        <v/>
      </c>
      <c r="Z75" s="141" t="str">
        <f t="shared" si="7"/>
        <v/>
      </c>
    </row>
    <row r="76" spans="1:16370" s="147" customFormat="1" ht="204" customHeight="1" x14ac:dyDescent="0.2">
      <c r="A76" s="45">
        <f>A72+1</f>
        <v>20</v>
      </c>
      <c r="B76" s="186" t="s">
        <v>312</v>
      </c>
      <c r="C76" s="146" t="s">
        <v>312</v>
      </c>
      <c r="D76" s="166" t="s">
        <v>1819</v>
      </c>
      <c r="E76" s="152">
        <f>LEN(D76)</f>
        <v>290</v>
      </c>
      <c r="F76" s="166" t="s">
        <v>313</v>
      </c>
      <c r="G76" s="152">
        <f>LEN(F76)</f>
        <v>359</v>
      </c>
      <c r="H76" s="161" t="s">
        <v>37</v>
      </c>
      <c r="I76" s="152" t="s">
        <v>24</v>
      </c>
      <c r="J76" s="152" t="s">
        <v>24</v>
      </c>
      <c r="K76" s="152" t="s">
        <v>38</v>
      </c>
      <c r="L76" s="176" t="s">
        <v>314</v>
      </c>
      <c r="M76" s="222" t="s">
        <v>24</v>
      </c>
      <c r="N76" s="176" t="s">
        <v>315</v>
      </c>
      <c r="O76" s="60"/>
      <c r="P76" s="10"/>
      <c r="Q76" s="273">
        <f>1</f>
        <v>1</v>
      </c>
      <c r="R76" s="141"/>
      <c r="T76" s="424" t="s">
        <v>33</v>
      </c>
      <c r="U76" s="148"/>
      <c r="X76" s="580">
        <v>22.126214981079102</v>
      </c>
      <c r="Y76" s="580">
        <f t="shared" si="6"/>
        <v>22.126214981079102</v>
      </c>
      <c r="Z76" s="141">
        <f t="shared" si="7"/>
        <v>22.126214981079102</v>
      </c>
    </row>
    <row r="77" spans="1:16370" s="147" customFormat="1" x14ac:dyDescent="0.2">
      <c r="A77" s="45"/>
      <c r="B77" s="184"/>
      <c r="C77" s="101"/>
      <c r="D77" s="182"/>
      <c r="E77" s="47"/>
      <c r="F77" s="47"/>
      <c r="G77" s="47"/>
      <c r="H77" s="102"/>
      <c r="I77" s="47"/>
      <c r="J77" s="47"/>
      <c r="K77" s="47"/>
      <c r="L77" s="92"/>
      <c r="M77" s="60"/>
      <c r="N77" s="92"/>
      <c r="O77" s="92"/>
      <c r="P77" s="10"/>
      <c r="Q77" s="342">
        <f>1</f>
        <v>1</v>
      </c>
      <c r="R77" s="141"/>
      <c r="T77" s="149"/>
      <c r="U77" s="148"/>
      <c r="X77" s="581"/>
      <c r="Y77" s="581" t="str">
        <f t="shared" si="6"/>
        <v/>
      </c>
      <c r="Z77" s="141" t="str">
        <f t="shared" si="7"/>
        <v/>
      </c>
    </row>
    <row r="78" spans="1:16370" s="147" customFormat="1" ht="408" customHeight="1" x14ac:dyDescent="0.2">
      <c r="A78" s="45">
        <f>A76+1</f>
        <v>21</v>
      </c>
      <c r="B78" s="186" t="s">
        <v>316</v>
      </c>
      <c r="C78" s="146" t="s">
        <v>316</v>
      </c>
      <c r="D78" s="166" t="s">
        <v>317</v>
      </c>
      <c r="E78" s="152">
        <f>LEN(D78)</f>
        <v>1218</v>
      </c>
      <c r="F78" s="435" t="s">
        <v>318</v>
      </c>
      <c r="G78" s="152">
        <f>LEN(F78)</f>
        <v>1329</v>
      </c>
      <c r="H78" s="161" t="s">
        <v>37</v>
      </c>
      <c r="I78" s="152" t="s">
        <v>24</v>
      </c>
      <c r="J78" s="152" t="s">
        <v>24</v>
      </c>
      <c r="K78" s="152" t="s">
        <v>319</v>
      </c>
      <c r="L78" s="143" t="s">
        <v>320</v>
      </c>
      <c r="M78" s="222" t="s">
        <v>24</v>
      </c>
      <c r="N78" s="150" t="s">
        <v>321</v>
      </c>
      <c r="O78" s="52"/>
      <c r="P78" s="10"/>
      <c r="Q78" s="273">
        <f>1</f>
        <v>1</v>
      </c>
      <c r="R78" s="141"/>
      <c r="T78" s="424" t="s">
        <v>33</v>
      </c>
      <c r="U78" s="148"/>
      <c r="X78" s="580">
        <v>18.710653305053711</v>
      </c>
      <c r="Y78" s="580">
        <f t="shared" ref="Y78:Y109" si="8">IF(X78="","",X78*Q78)</f>
        <v>18.710653305053711</v>
      </c>
      <c r="Z78" s="141">
        <f t="shared" ref="Z78:Z109" si="9">IF(T78="yes",Y78,"")</f>
        <v>18.710653305053711</v>
      </c>
    </row>
    <row r="79" spans="1:16370" s="235" customFormat="1" ht="182" customHeight="1" x14ac:dyDescent="0.2">
      <c r="A79" s="45"/>
      <c r="B79" s="237" t="s">
        <v>322</v>
      </c>
      <c r="C79" s="247" t="s">
        <v>322</v>
      </c>
      <c r="D79" s="151" t="s">
        <v>279</v>
      </c>
      <c r="E79" s="144">
        <f>LEN(D79)</f>
        <v>143</v>
      </c>
      <c r="F79" s="406" t="s">
        <v>280</v>
      </c>
      <c r="G79" s="152">
        <f>LEN(F79)</f>
        <v>175</v>
      </c>
      <c r="H79" s="146" t="s">
        <v>37</v>
      </c>
      <c r="I79" s="144" t="s">
        <v>24</v>
      </c>
      <c r="J79" s="144" t="s">
        <v>24</v>
      </c>
      <c r="K79" s="144" t="s">
        <v>38</v>
      </c>
      <c r="L79" s="143" t="s">
        <v>323</v>
      </c>
      <c r="M79" s="222" t="s">
        <v>24</v>
      </c>
      <c r="N79" s="150" t="s">
        <v>324</v>
      </c>
      <c r="O79" s="52"/>
      <c r="P79" s="51"/>
      <c r="Q79" s="382">
        <f>1</f>
        <v>1</v>
      </c>
      <c r="R79" s="142"/>
      <c r="T79" s="428" t="s">
        <v>33</v>
      </c>
      <c r="U79" s="229"/>
      <c r="X79" s="584">
        <v>8</v>
      </c>
      <c r="Y79" s="584">
        <f t="shared" si="8"/>
        <v>8</v>
      </c>
      <c r="Z79" s="142">
        <f t="shared" si="9"/>
        <v>8</v>
      </c>
    </row>
    <row r="80" spans="1:16370" s="235" customFormat="1" ht="182" customHeight="1" x14ac:dyDescent="0.2">
      <c r="A80" s="45"/>
      <c r="B80" s="237" t="s">
        <v>325</v>
      </c>
      <c r="C80" s="247" t="s">
        <v>325</v>
      </c>
      <c r="D80" s="151" t="s">
        <v>284</v>
      </c>
      <c r="E80" s="144">
        <f>LEN(D80)</f>
        <v>170</v>
      </c>
      <c r="F80" s="406" t="s">
        <v>285</v>
      </c>
      <c r="G80" s="152">
        <f>LEN(F80)</f>
        <v>194</v>
      </c>
      <c r="H80" s="146" t="s">
        <v>37</v>
      </c>
      <c r="I80" s="144" t="s">
        <v>24</v>
      </c>
      <c r="J80" s="144" t="s">
        <v>24</v>
      </c>
      <c r="K80" s="144" t="s">
        <v>38</v>
      </c>
      <c r="L80" s="143" t="s">
        <v>323</v>
      </c>
      <c r="M80" s="222" t="s">
        <v>24</v>
      </c>
      <c r="N80" s="150" t="s">
        <v>326</v>
      </c>
      <c r="O80" s="52"/>
      <c r="P80" s="51"/>
      <c r="Q80" s="382">
        <f>1</f>
        <v>1</v>
      </c>
      <c r="R80" s="142"/>
      <c r="T80" s="428" t="s">
        <v>33</v>
      </c>
      <c r="U80" s="229"/>
      <c r="X80" s="584">
        <v>8</v>
      </c>
      <c r="Y80" s="584">
        <f t="shared" si="8"/>
        <v>8</v>
      </c>
      <c r="Z80" s="142">
        <f t="shared" si="9"/>
        <v>8</v>
      </c>
    </row>
    <row r="81" spans="1:26" s="147" customFormat="1" ht="182" customHeight="1" x14ac:dyDescent="0.2">
      <c r="A81" s="45"/>
      <c r="B81" s="237" t="s">
        <v>327</v>
      </c>
      <c r="C81" s="247" t="s">
        <v>327</v>
      </c>
      <c r="D81" s="151" t="s">
        <v>288</v>
      </c>
      <c r="E81" s="144">
        <f>LEN(D81)</f>
        <v>176</v>
      </c>
      <c r="F81" s="406" t="s">
        <v>289</v>
      </c>
      <c r="G81" s="152">
        <f>LEN(F81)</f>
        <v>194</v>
      </c>
      <c r="H81" s="146" t="s">
        <v>37</v>
      </c>
      <c r="I81" s="144" t="s">
        <v>24</v>
      </c>
      <c r="J81" s="144" t="s">
        <v>24</v>
      </c>
      <c r="K81" s="144" t="s">
        <v>38</v>
      </c>
      <c r="L81" s="143" t="s">
        <v>323</v>
      </c>
      <c r="M81" s="222" t="s">
        <v>24</v>
      </c>
      <c r="N81" s="150" t="s">
        <v>328</v>
      </c>
      <c r="O81" s="52"/>
      <c r="P81" s="51"/>
      <c r="Q81" s="273">
        <f>1</f>
        <v>1</v>
      </c>
      <c r="R81" s="141"/>
      <c r="T81" s="424" t="s">
        <v>33</v>
      </c>
      <c r="U81" s="148"/>
      <c r="X81" s="580">
        <v>8</v>
      </c>
      <c r="Y81" s="580">
        <f t="shared" si="8"/>
        <v>8</v>
      </c>
      <c r="Z81" s="141">
        <f t="shared" si="9"/>
        <v>8</v>
      </c>
    </row>
    <row r="82" spans="1:26" s="147" customFormat="1" x14ac:dyDescent="0.2">
      <c r="A82" s="100"/>
      <c r="B82" s="264"/>
      <c r="C82" s="269"/>
      <c r="D82" s="270"/>
      <c r="E82" s="107"/>
      <c r="G82" s="107"/>
      <c r="H82" s="101"/>
      <c r="I82" s="107"/>
      <c r="J82" s="107"/>
      <c r="K82" s="107"/>
      <c r="L82" s="88"/>
      <c r="M82" s="60"/>
      <c r="N82" s="175"/>
      <c r="O82" s="175"/>
      <c r="P82" s="51"/>
      <c r="Q82" s="342">
        <f>1</f>
        <v>1</v>
      </c>
      <c r="R82" s="141"/>
      <c r="T82" s="149"/>
      <c r="U82" s="148"/>
      <c r="X82" s="581"/>
      <c r="Y82" s="581" t="str">
        <f t="shared" si="8"/>
        <v/>
      </c>
      <c r="Z82" s="141" t="str">
        <f t="shared" si="9"/>
        <v/>
      </c>
    </row>
    <row r="83" spans="1:26" s="147" customFormat="1" ht="136" customHeight="1" x14ac:dyDescent="0.2">
      <c r="A83" s="14">
        <v>19</v>
      </c>
      <c r="B83" s="238" t="s">
        <v>329</v>
      </c>
      <c r="C83" s="17" t="s">
        <v>329</v>
      </c>
      <c r="D83" s="22" t="s">
        <v>330</v>
      </c>
      <c r="E83" s="20">
        <f>LEN(D83)</f>
        <v>232</v>
      </c>
      <c r="F83" s="443" t="s">
        <v>331</v>
      </c>
      <c r="G83" s="20">
        <f>LEN(F83)</f>
        <v>271</v>
      </c>
      <c r="H83" s="20" t="s">
        <v>121</v>
      </c>
      <c r="I83" s="20" t="s">
        <v>24</v>
      </c>
      <c r="J83" s="20" t="s">
        <v>24</v>
      </c>
      <c r="K83" s="20" t="s">
        <v>27</v>
      </c>
      <c r="L83" s="30" t="s">
        <v>332</v>
      </c>
      <c r="M83" s="82" t="s">
        <v>24</v>
      </c>
      <c r="N83" s="31" t="s">
        <v>333</v>
      </c>
      <c r="O83" s="31"/>
      <c r="P83" s="619" t="s">
        <v>296</v>
      </c>
      <c r="Q83" s="342">
        <f>1</f>
        <v>1</v>
      </c>
      <c r="R83" s="141"/>
      <c r="T83" s="149" t="s">
        <v>23</v>
      </c>
      <c r="U83" s="148"/>
      <c r="X83" s="581">
        <v>23.200380325317379</v>
      </c>
      <c r="Y83" s="581">
        <f t="shared" si="8"/>
        <v>23.200380325317379</v>
      </c>
      <c r="Z83" s="141" t="str">
        <f t="shared" si="9"/>
        <v/>
      </c>
    </row>
    <row r="84" spans="1:26" s="147" customFormat="1" ht="119" customHeight="1" x14ac:dyDescent="0.2">
      <c r="A84" s="14" t="e">
        <f>#REF!+1</f>
        <v>#REF!</v>
      </c>
      <c r="B84" s="238" t="s">
        <v>334</v>
      </c>
      <c r="C84" s="246" t="s">
        <v>334</v>
      </c>
      <c r="D84" s="22" t="s">
        <v>298</v>
      </c>
      <c r="E84" s="20">
        <f>LEN(D84)</f>
        <v>249</v>
      </c>
      <c r="F84" s="444" t="s">
        <v>299</v>
      </c>
      <c r="G84" s="20">
        <f>LEN(F84)</f>
        <v>297</v>
      </c>
      <c r="H84" s="32" t="s">
        <v>37</v>
      </c>
      <c r="I84" s="16" t="s">
        <v>24</v>
      </c>
      <c r="J84" s="16" t="s">
        <v>24</v>
      </c>
      <c r="K84" s="16" t="s">
        <v>38</v>
      </c>
      <c r="L84" s="33" t="s">
        <v>335</v>
      </c>
      <c r="M84" s="82" t="s">
        <v>24</v>
      </c>
      <c r="N84" s="33" t="s">
        <v>336</v>
      </c>
      <c r="O84" s="33"/>
      <c r="P84" s="609"/>
      <c r="Q84" s="342">
        <f>1</f>
        <v>1</v>
      </c>
      <c r="R84" s="141"/>
      <c r="T84" s="149" t="s">
        <v>23</v>
      </c>
      <c r="U84" s="148"/>
      <c r="X84" s="581">
        <v>1.9277389049530029</v>
      </c>
      <c r="Y84" s="581">
        <f t="shared" si="8"/>
        <v>1.9277389049530029</v>
      </c>
      <c r="Z84" s="141" t="str">
        <f t="shared" si="9"/>
        <v/>
      </c>
    </row>
    <row r="85" spans="1:26" s="147" customFormat="1" ht="170" customHeight="1" x14ac:dyDescent="0.2">
      <c r="A85" s="58">
        <v>18</v>
      </c>
      <c r="B85" s="369" t="s">
        <v>337</v>
      </c>
      <c r="C85" s="370" t="s">
        <v>337</v>
      </c>
      <c r="D85" s="57" t="s">
        <v>303</v>
      </c>
      <c r="E85" s="16">
        <f>LEN(D85)</f>
        <v>181</v>
      </c>
      <c r="F85" s="444" t="s">
        <v>304</v>
      </c>
      <c r="G85" s="20">
        <f>LEN(F85)</f>
        <v>193</v>
      </c>
      <c r="H85" s="17" t="s">
        <v>37</v>
      </c>
      <c r="I85" s="16" t="s">
        <v>24</v>
      </c>
      <c r="J85" s="16" t="s">
        <v>24</v>
      </c>
      <c r="K85" s="16" t="s">
        <v>38</v>
      </c>
      <c r="L85" s="33" t="s">
        <v>338</v>
      </c>
      <c r="M85" s="82" t="s">
        <v>24</v>
      </c>
      <c r="N85" s="357" t="s">
        <v>339</v>
      </c>
      <c r="O85" s="358"/>
      <c r="P85" s="51"/>
      <c r="Q85" s="342">
        <f>1</f>
        <v>1</v>
      </c>
      <c r="R85" s="141"/>
      <c r="T85" s="149" t="s">
        <v>23</v>
      </c>
      <c r="U85" s="148"/>
      <c r="X85" s="581">
        <v>4.7874016761779794</v>
      </c>
      <c r="Y85" s="581">
        <f t="shared" si="8"/>
        <v>4.7874016761779794</v>
      </c>
      <c r="Z85" s="141" t="str">
        <f t="shared" si="9"/>
        <v/>
      </c>
    </row>
    <row r="86" spans="1:26" s="147" customFormat="1" x14ac:dyDescent="0.2">
      <c r="A86" s="45"/>
      <c r="B86" s="184"/>
      <c r="C86" s="269"/>
      <c r="D86" s="81"/>
      <c r="E86" s="47"/>
      <c r="F86" s="107"/>
      <c r="G86" s="47"/>
      <c r="H86" s="110"/>
      <c r="I86" s="107"/>
      <c r="J86" s="107"/>
      <c r="K86" s="107"/>
      <c r="L86" s="88"/>
      <c r="M86" s="60"/>
      <c r="N86" s="88"/>
      <c r="O86" s="88"/>
      <c r="P86" s="565"/>
      <c r="Q86" s="342">
        <f>1</f>
        <v>1</v>
      </c>
      <c r="R86" s="141"/>
      <c r="T86" s="149"/>
      <c r="U86" s="148"/>
      <c r="X86" s="581"/>
      <c r="Y86" s="581" t="str">
        <f t="shared" si="8"/>
        <v/>
      </c>
      <c r="Z86" s="141" t="str">
        <f t="shared" si="9"/>
        <v/>
      </c>
    </row>
    <row r="87" spans="1:26" s="147" customFormat="1" ht="204" customHeight="1" x14ac:dyDescent="0.2">
      <c r="A87" s="45" t="e">
        <f>#REF!+1</f>
        <v>#REF!</v>
      </c>
      <c r="B87" s="186" t="s">
        <v>340</v>
      </c>
      <c r="C87" s="146" t="s">
        <v>340</v>
      </c>
      <c r="D87" s="166" t="s">
        <v>1820</v>
      </c>
      <c r="E87" s="152">
        <f>LEN(D87)</f>
        <v>290</v>
      </c>
      <c r="F87" s="166" t="s">
        <v>341</v>
      </c>
      <c r="G87" s="152">
        <f>LEN(F87)</f>
        <v>358</v>
      </c>
      <c r="H87" s="161" t="s">
        <v>37</v>
      </c>
      <c r="I87" s="152" t="s">
        <v>24</v>
      </c>
      <c r="J87" s="152" t="s">
        <v>24</v>
      </c>
      <c r="K87" s="152" t="s">
        <v>38</v>
      </c>
      <c r="L87" s="176" t="s">
        <v>342</v>
      </c>
      <c r="M87" s="222" t="s">
        <v>24</v>
      </c>
      <c r="N87" s="176" t="s">
        <v>343</v>
      </c>
      <c r="O87" s="60"/>
      <c r="P87" s="10"/>
      <c r="Q87" s="273">
        <f>1</f>
        <v>1</v>
      </c>
      <c r="R87" s="141"/>
      <c r="T87" s="424" t="s">
        <v>33</v>
      </c>
      <c r="U87" s="148"/>
      <c r="X87" s="580">
        <v>17.26140213012695</v>
      </c>
      <c r="Y87" s="580">
        <f t="shared" si="8"/>
        <v>17.26140213012695</v>
      </c>
      <c r="Z87" s="141">
        <f t="shared" si="9"/>
        <v>17.26140213012695</v>
      </c>
    </row>
    <row r="88" spans="1:26" s="147" customFormat="1" x14ac:dyDescent="0.2">
      <c r="A88" s="45"/>
      <c r="B88" s="184"/>
      <c r="C88" s="101"/>
      <c r="D88" s="182"/>
      <c r="E88" s="47"/>
      <c r="F88" s="47"/>
      <c r="G88" s="47"/>
      <c r="H88" s="102"/>
      <c r="I88" s="47"/>
      <c r="J88" s="47"/>
      <c r="K88" s="47"/>
      <c r="L88" s="92"/>
      <c r="M88" s="60"/>
      <c r="N88" s="92"/>
      <c r="O88" s="92"/>
      <c r="P88" s="10"/>
      <c r="Q88" s="342">
        <f>1</f>
        <v>1</v>
      </c>
      <c r="R88" s="141"/>
      <c r="T88" s="149"/>
      <c r="U88" s="148"/>
      <c r="X88" s="581"/>
      <c r="Y88" s="581" t="str">
        <f t="shared" si="8"/>
        <v/>
      </c>
      <c r="Z88" s="141" t="str">
        <f t="shared" si="9"/>
        <v/>
      </c>
    </row>
    <row r="89" spans="1:26" s="147" customFormat="1" ht="409.5" customHeight="1" x14ac:dyDescent="0.2">
      <c r="A89" s="45" t="e">
        <f>A87+1</f>
        <v>#REF!</v>
      </c>
      <c r="B89" s="186" t="s">
        <v>344</v>
      </c>
      <c r="C89" s="146" t="s">
        <v>344</v>
      </c>
      <c r="D89" s="166" t="s">
        <v>345</v>
      </c>
      <c r="E89" s="152">
        <f>LEN(D89)</f>
        <v>1225</v>
      </c>
      <c r="F89" s="435" t="s">
        <v>346</v>
      </c>
      <c r="G89" s="152">
        <f>LEN(F89)</f>
        <v>1331</v>
      </c>
      <c r="H89" s="161" t="s">
        <v>37</v>
      </c>
      <c r="I89" s="152" t="s">
        <v>24</v>
      </c>
      <c r="J89" s="152" t="s">
        <v>24</v>
      </c>
      <c r="K89" s="152" t="s">
        <v>347</v>
      </c>
      <c r="L89" s="143" t="s">
        <v>348</v>
      </c>
      <c r="M89" s="222" t="s">
        <v>24</v>
      </c>
      <c r="N89" s="150" t="s">
        <v>349</v>
      </c>
      <c r="O89" s="52"/>
      <c r="P89" s="10"/>
      <c r="Q89" s="273">
        <f>1</f>
        <v>1</v>
      </c>
      <c r="R89" s="141"/>
      <c r="T89" s="424" t="s">
        <v>33</v>
      </c>
      <c r="U89" s="148"/>
      <c r="X89" s="580">
        <v>14.47539234161377</v>
      </c>
      <c r="Y89" s="580">
        <f t="shared" si="8"/>
        <v>14.47539234161377</v>
      </c>
      <c r="Z89" s="141">
        <f t="shared" si="9"/>
        <v>14.47539234161377</v>
      </c>
    </row>
    <row r="90" spans="1:26" s="235" customFormat="1" ht="182" customHeight="1" x14ac:dyDescent="0.2">
      <c r="A90" s="336"/>
      <c r="B90" s="237" t="s">
        <v>350</v>
      </c>
      <c r="C90" s="247" t="s">
        <v>350</v>
      </c>
      <c r="D90" s="151" t="s">
        <v>279</v>
      </c>
      <c r="E90" s="144">
        <f>LEN(D90)</f>
        <v>143</v>
      </c>
      <c r="F90" s="406" t="s">
        <v>280</v>
      </c>
      <c r="G90" s="152">
        <f>LEN(F90)</f>
        <v>175</v>
      </c>
      <c r="H90" s="146" t="s">
        <v>37</v>
      </c>
      <c r="I90" s="144" t="s">
        <v>24</v>
      </c>
      <c r="J90" s="144" t="s">
        <v>24</v>
      </c>
      <c r="K90" s="144" t="s">
        <v>38</v>
      </c>
      <c r="L90" s="143" t="s">
        <v>351</v>
      </c>
      <c r="M90" s="222" t="s">
        <v>24</v>
      </c>
      <c r="N90" s="150" t="s">
        <v>352</v>
      </c>
      <c r="O90" s="52"/>
      <c r="P90" s="51"/>
      <c r="Q90" s="382">
        <f>1</f>
        <v>1</v>
      </c>
      <c r="R90" s="142"/>
      <c r="T90" s="428" t="s">
        <v>33</v>
      </c>
      <c r="U90" s="229"/>
      <c r="X90" s="584">
        <v>8</v>
      </c>
      <c r="Y90" s="584">
        <f t="shared" si="8"/>
        <v>8</v>
      </c>
      <c r="Z90" s="142">
        <f t="shared" si="9"/>
        <v>8</v>
      </c>
    </row>
    <row r="91" spans="1:26" s="235" customFormat="1" ht="182" customHeight="1" x14ac:dyDescent="0.2">
      <c r="A91" s="336"/>
      <c r="B91" s="237" t="s">
        <v>353</v>
      </c>
      <c r="C91" s="247" t="s">
        <v>353</v>
      </c>
      <c r="D91" s="151" t="s">
        <v>284</v>
      </c>
      <c r="E91" s="144">
        <f>LEN(D91)</f>
        <v>170</v>
      </c>
      <c r="F91" s="406" t="s">
        <v>285</v>
      </c>
      <c r="G91" s="152">
        <f>LEN(F91)</f>
        <v>194</v>
      </c>
      <c r="H91" s="146" t="s">
        <v>37</v>
      </c>
      <c r="I91" s="144" t="s">
        <v>24</v>
      </c>
      <c r="J91" s="144" t="s">
        <v>24</v>
      </c>
      <c r="K91" s="144" t="s">
        <v>38</v>
      </c>
      <c r="L91" s="143" t="s">
        <v>351</v>
      </c>
      <c r="M91" s="222" t="s">
        <v>24</v>
      </c>
      <c r="N91" s="150" t="s">
        <v>354</v>
      </c>
      <c r="O91" s="52"/>
      <c r="P91" s="51"/>
      <c r="Q91" s="382">
        <f>1</f>
        <v>1</v>
      </c>
      <c r="R91" s="142"/>
      <c r="T91" s="428" t="s">
        <v>33</v>
      </c>
      <c r="U91" s="229"/>
      <c r="X91" s="584">
        <v>8</v>
      </c>
      <c r="Y91" s="584">
        <f t="shared" si="8"/>
        <v>8</v>
      </c>
      <c r="Z91" s="142">
        <f t="shared" si="9"/>
        <v>8</v>
      </c>
    </row>
    <row r="92" spans="1:26" s="147" customFormat="1" ht="182" customHeight="1" x14ac:dyDescent="0.2">
      <c r="A92" s="336"/>
      <c r="B92" s="237" t="s">
        <v>355</v>
      </c>
      <c r="C92" s="247" t="s">
        <v>355</v>
      </c>
      <c r="D92" s="151" t="s">
        <v>288</v>
      </c>
      <c r="E92" s="144">
        <f>LEN(D92)</f>
        <v>176</v>
      </c>
      <c r="F92" s="406" t="s">
        <v>289</v>
      </c>
      <c r="G92" s="152">
        <f>LEN(F92)</f>
        <v>194</v>
      </c>
      <c r="H92" s="146" t="s">
        <v>37</v>
      </c>
      <c r="I92" s="144" t="s">
        <v>24</v>
      </c>
      <c r="J92" s="144" t="s">
        <v>24</v>
      </c>
      <c r="K92" s="144" t="s">
        <v>38</v>
      </c>
      <c r="L92" s="143" t="s">
        <v>351</v>
      </c>
      <c r="M92" s="222" t="s">
        <v>24</v>
      </c>
      <c r="N92" s="150" t="s">
        <v>356</v>
      </c>
      <c r="O92" s="52"/>
      <c r="P92" s="51"/>
      <c r="Q92" s="273">
        <f>1</f>
        <v>1</v>
      </c>
      <c r="R92" s="141"/>
      <c r="T92" s="424" t="s">
        <v>33</v>
      </c>
      <c r="U92" s="148"/>
      <c r="X92" s="580">
        <v>8</v>
      </c>
      <c r="Y92" s="580">
        <f t="shared" si="8"/>
        <v>8</v>
      </c>
      <c r="Z92" s="141">
        <f t="shared" si="9"/>
        <v>8</v>
      </c>
    </row>
    <row r="93" spans="1:26" s="147" customFormat="1" x14ac:dyDescent="0.2">
      <c r="A93" s="100"/>
      <c r="B93" s="264"/>
      <c r="C93" s="269"/>
      <c r="D93" s="270"/>
      <c r="E93" s="107"/>
      <c r="G93" s="107"/>
      <c r="H93" s="101"/>
      <c r="I93" s="107"/>
      <c r="J93" s="107"/>
      <c r="K93" s="107"/>
      <c r="L93" s="88"/>
      <c r="M93" s="60"/>
      <c r="N93" s="175"/>
      <c r="O93" s="175"/>
      <c r="P93" s="51"/>
      <c r="Q93" s="342">
        <f>1</f>
        <v>1</v>
      </c>
      <c r="R93" s="141"/>
      <c r="T93" s="149"/>
      <c r="U93" s="148"/>
      <c r="X93" s="581"/>
      <c r="Y93" s="581" t="str">
        <f t="shared" si="8"/>
        <v/>
      </c>
      <c r="Z93" s="141" t="str">
        <f t="shared" si="9"/>
        <v/>
      </c>
    </row>
    <row r="94" spans="1:26" s="147" customFormat="1" ht="136" customHeight="1" x14ac:dyDescent="0.2">
      <c r="A94" s="14" t="e">
        <f>A89+1</f>
        <v>#REF!</v>
      </c>
      <c r="B94" s="238" t="s">
        <v>357</v>
      </c>
      <c r="C94" s="17" t="s">
        <v>357</v>
      </c>
      <c r="D94" s="22" t="s">
        <v>358</v>
      </c>
      <c r="E94" s="20">
        <f>LEN(D94)</f>
        <v>236</v>
      </c>
      <c r="F94" s="443" t="s">
        <v>359</v>
      </c>
      <c r="G94" s="20">
        <f>LEN(F94)</f>
        <v>272</v>
      </c>
      <c r="H94" s="35" t="s">
        <v>121</v>
      </c>
      <c r="I94" s="20" t="s">
        <v>24</v>
      </c>
      <c r="J94" s="20" t="s">
        <v>24</v>
      </c>
      <c r="K94" s="20" t="s">
        <v>27</v>
      </c>
      <c r="L94" s="371" t="s">
        <v>360</v>
      </c>
      <c r="M94" s="82" t="s">
        <v>24</v>
      </c>
      <c r="N94" s="372" t="s">
        <v>361</v>
      </c>
      <c r="O94" s="31"/>
      <c r="P94" s="619" t="s">
        <v>296</v>
      </c>
      <c r="Q94" s="342">
        <f>1</f>
        <v>1</v>
      </c>
      <c r="R94" s="141"/>
      <c r="T94" s="149" t="s">
        <v>23</v>
      </c>
      <c r="U94" s="148"/>
      <c r="X94" s="581">
        <v>24.40109825134277</v>
      </c>
      <c r="Y94" s="581">
        <f t="shared" si="8"/>
        <v>24.40109825134277</v>
      </c>
      <c r="Z94" s="141" t="str">
        <f t="shared" si="9"/>
        <v/>
      </c>
    </row>
    <row r="95" spans="1:26" s="147" customFormat="1" ht="119" customHeight="1" x14ac:dyDescent="0.2">
      <c r="A95" s="14" t="e">
        <f>A94+1</f>
        <v>#REF!</v>
      </c>
      <c r="B95" s="238" t="s">
        <v>362</v>
      </c>
      <c r="C95" s="246" t="s">
        <v>362</v>
      </c>
      <c r="D95" s="22" t="s">
        <v>298</v>
      </c>
      <c r="E95" s="20">
        <f>LEN(D95)</f>
        <v>249</v>
      </c>
      <c r="F95" s="444" t="s">
        <v>299</v>
      </c>
      <c r="G95" s="20">
        <f>LEN(F95)</f>
        <v>297</v>
      </c>
      <c r="H95" s="32" t="s">
        <v>37</v>
      </c>
      <c r="I95" s="16" t="s">
        <v>24</v>
      </c>
      <c r="J95" s="16" t="s">
        <v>24</v>
      </c>
      <c r="K95" s="16" t="s">
        <v>38</v>
      </c>
      <c r="L95" s="33" t="s">
        <v>363</v>
      </c>
      <c r="M95" s="82" t="s">
        <v>24</v>
      </c>
      <c r="N95" s="33" t="s">
        <v>364</v>
      </c>
      <c r="O95" s="33"/>
      <c r="P95" s="609"/>
      <c r="Q95" s="342">
        <f>1</f>
        <v>1</v>
      </c>
      <c r="R95" s="141"/>
      <c r="T95" s="149" t="s">
        <v>23</v>
      </c>
      <c r="U95" s="148"/>
      <c r="X95" s="581">
        <v>2.4700000000000002</v>
      </c>
      <c r="Y95" s="581">
        <f t="shared" si="8"/>
        <v>2.4700000000000002</v>
      </c>
      <c r="Z95" s="141" t="str">
        <f t="shared" si="9"/>
        <v/>
      </c>
    </row>
    <row r="96" spans="1:26" s="147" customFormat="1" x14ac:dyDescent="0.2">
      <c r="A96" s="45"/>
      <c r="B96" s="184"/>
      <c r="C96" s="269"/>
      <c r="D96" s="81"/>
      <c r="E96" s="47"/>
      <c r="F96" s="107"/>
      <c r="G96" s="47"/>
      <c r="H96" s="110"/>
      <c r="I96" s="107"/>
      <c r="J96" s="107"/>
      <c r="K96" s="107"/>
      <c r="L96" s="88"/>
      <c r="M96" s="60"/>
      <c r="N96" s="88"/>
      <c r="O96" s="88"/>
      <c r="P96" s="565"/>
      <c r="Q96" s="342">
        <f>1</f>
        <v>1</v>
      </c>
      <c r="R96" s="141"/>
      <c r="T96" s="149"/>
      <c r="U96" s="148"/>
      <c r="X96" s="581"/>
      <c r="Y96" s="581" t="str">
        <f t="shared" si="8"/>
        <v/>
      </c>
      <c r="Z96" s="141" t="str">
        <f t="shared" si="9"/>
        <v/>
      </c>
    </row>
    <row r="97" spans="1:26" s="147" customFormat="1" ht="204" customHeight="1" x14ac:dyDescent="0.2">
      <c r="A97" s="45" t="e">
        <f>#REF!+1</f>
        <v>#REF!</v>
      </c>
      <c r="B97" s="186" t="s">
        <v>365</v>
      </c>
      <c r="C97" s="146" t="s">
        <v>365</v>
      </c>
      <c r="D97" s="195" t="s">
        <v>1821</v>
      </c>
      <c r="E97" s="152">
        <f>LEN(D97)</f>
        <v>291</v>
      </c>
      <c r="F97" s="166" t="s">
        <v>366</v>
      </c>
      <c r="G97" s="152">
        <f>LEN(F97)</f>
        <v>360</v>
      </c>
      <c r="H97" s="161" t="s">
        <v>37</v>
      </c>
      <c r="I97" s="152" t="s">
        <v>24</v>
      </c>
      <c r="J97" s="152" t="s">
        <v>24</v>
      </c>
      <c r="K97" s="152" t="s">
        <v>38</v>
      </c>
      <c r="L97" s="176" t="s">
        <v>367</v>
      </c>
      <c r="M97" s="222" t="s">
        <v>24</v>
      </c>
      <c r="N97" s="176" t="s">
        <v>368</v>
      </c>
      <c r="O97" s="60"/>
      <c r="P97" s="10"/>
      <c r="Q97" s="273">
        <f>1</f>
        <v>1</v>
      </c>
      <c r="R97" s="141"/>
      <c r="T97" s="424" t="s">
        <v>33</v>
      </c>
      <c r="U97" s="148"/>
      <c r="X97" s="580">
        <v>15.87650299072266</v>
      </c>
      <c r="Y97" s="580">
        <f t="shared" si="8"/>
        <v>15.87650299072266</v>
      </c>
      <c r="Z97" s="141">
        <f t="shared" si="9"/>
        <v>15.87650299072266</v>
      </c>
    </row>
    <row r="98" spans="1:26" s="147" customFormat="1" x14ac:dyDescent="0.2">
      <c r="A98" s="45"/>
      <c r="B98" s="184"/>
      <c r="C98" s="101"/>
      <c r="D98" s="268"/>
      <c r="E98" s="47"/>
      <c r="F98" s="47"/>
      <c r="G98" s="47"/>
      <c r="H98" s="102"/>
      <c r="I98" s="47"/>
      <c r="J98" s="47"/>
      <c r="K98" s="47"/>
      <c r="L98" s="60"/>
      <c r="M98" s="60"/>
      <c r="N98" s="60"/>
      <c r="O98" s="60"/>
      <c r="P98" s="10"/>
      <c r="Q98" s="342">
        <f>1</f>
        <v>1</v>
      </c>
      <c r="R98" s="141"/>
      <c r="T98" s="149"/>
      <c r="U98" s="148"/>
      <c r="X98" s="581"/>
      <c r="Y98" s="581" t="str">
        <f t="shared" si="8"/>
        <v/>
      </c>
      <c r="Z98" s="141" t="str">
        <f t="shared" si="9"/>
        <v/>
      </c>
    </row>
    <row r="99" spans="1:26" s="147" customFormat="1" ht="409" customHeight="1" x14ac:dyDescent="0.2">
      <c r="A99" s="45" t="e">
        <f>#REF!+1</f>
        <v>#REF!</v>
      </c>
      <c r="B99" s="186" t="s">
        <v>369</v>
      </c>
      <c r="C99" s="373" t="s">
        <v>370</v>
      </c>
      <c r="D99" s="374" t="s">
        <v>371</v>
      </c>
      <c r="E99" s="152">
        <f>LEN(D99)</f>
        <v>1440</v>
      </c>
      <c r="F99" s="445" t="s">
        <v>372</v>
      </c>
      <c r="G99" s="152">
        <f>LEN(F99)</f>
        <v>1790</v>
      </c>
      <c r="H99" s="161" t="s">
        <v>255</v>
      </c>
      <c r="I99" s="152" t="s">
        <v>24</v>
      </c>
      <c r="J99" s="152" t="s">
        <v>24</v>
      </c>
      <c r="K99" s="353" t="s">
        <v>373</v>
      </c>
      <c r="L99" s="176" t="s">
        <v>374</v>
      </c>
      <c r="M99" s="222" t="s">
        <v>375</v>
      </c>
      <c r="N99" s="176" t="s">
        <v>376</v>
      </c>
      <c r="O99" s="91"/>
      <c r="P99" s="10"/>
      <c r="Q99" s="273">
        <f>1</f>
        <v>1</v>
      </c>
      <c r="R99" s="141"/>
      <c r="T99" s="424" t="s">
        <v>33</v>
      </c>
      <c r="U99" s="148"/>
      <c r="X99" s="580">
        <v>37.853630065917969</v>
      </c>
      <c r="Y99" s="580">
        <f t="shared" si="8"/>
        <v>37.853630065917969</v>
      </c>
      <c r="Z99" s="141">
        <f t="shared" si="9"/>
        <v>37.853630065917969</v>
      </c>
    </row>
    <row r="100" spans="1:26" s="147" customFormat="1" ht="136" customHeight="1" x14ac:dyDescent="0.2">
      <c r="A100" s="26">
        <v>28</v>
      </c>
      <c r="B100" s="242" t="s">
        <v>377</v>
      </c>
      <c r="C100" s="246" t="s">
        <v>377</v>
      </c>
      <c r="D100" s="36" t="s">
        <v>378</v>
      </c>
      <c r="E100" s="24">
        <f>LEN(D100)</f>
        <v>331</v>
      </c>
      <c r="F100" s="36" t="s">
        <v>379</v>
      </c>
      <c r="G100" s="24">
        <f>LEN(F100)</f>
        <v>396</v>
      </c>
      <c r="H100" s="35" t="s">
        <v>26</v>
      </c>
      <c r="I100" s="20" t="s">
        <v>24</v>
      </c>
      <c r="J100" s="20" t="s">
        <v>24</v>
      </c>
      <c r="K100" s="20" t="s">
        <v>27</v>
      </c>
      <c r="L100" s="28" t="s">
        <v>380</v>
      </c>
      <c r="M100" s="82" t="s">
        <v>24</v>
      </c>
      <c r="N100" s="28" t="s">
        <v>381</v>
      </c>
      <c r="O100" s="22"/>
      <c r="P100" s="10"/>
      <c r="Q100" s="342">
        <f>1</f>
        <v>1</v>
      </c>
      <c r="R100" s="141"/>
      <c r="T100" s="149" t="s">
        <v>23</v>
      </c>
      <c r="U100" s="148"/>
      <c r="X100" s="581"/>
      <c r="Y100" s="581" t="str">
        <f t="shared" si="8"/>
        <v/>
      </c>
      <c r="Z100" s="141" t="str">
        <f t="shared" si="9"/>
        <v/>
      </c>
    </row>
    <row r="101" spans="1:26" s="147" customFormat="1" ht="17" customHeight="1" thickBot="1" x14ac:dyDescent="0.25">
      <c r="A101" s="45"/>
      <c r="B101" s="184"/>
      <c r="C101" s="101"/>
      <c r="D101" s="81"/>
      <c r="E101" s="47"/>
      <c r="F101" s="81"/>
      <c r="G101" s="47"/>
      <c r="H101" s="102"/>
      <c r="I101" s="47"/>
      <c r="J101" s="47"/>
      <c r="K101" s="47"/>
      <c r="L101" s="60"/>
      <c r="M101" s="60"/>
      <c r="N101" s="60"/>
      <c r="O101" s="92"/>
      <c r="P101" s="51"/>
      <c r="Q101" s="342">
        <f>1</f>
        <v>1</v>
      </c>
      <c r="R101" s="141"/>
      <c r="T101" s="149"/>
      <c r="U101" s="148"/>
      <c r="X101" s="581"/>
      <c r="Y101" s="581" t="str">
        <f t="shared" si="8"/>
        <v/>
      </c>
      <c r="Z101" s="141" t="str">
        <f t="shared" si="9"/>
        <v/>
      </c>
    </row>
    <row r="102" spans="1:26" s="415" customFormat="1" ht="17" customHeight="1" thickBot="1" x14ac:dyDescent="0.25">
      <c r="A102" s="604" t="s">
        <v>382</v>
      </c>
      <c r="B102" s="605"/>
      <c r="C102" s="605"/>
      <c r="D102" s="605"/>
      <c r="E102" s="605"/>
      <c r="F102" s="605"/>
      <c r="G102" s="605"/>
      <c r="H102" s="605"/>
      <c r="I102" s="605"/>
      <c r="J102" s="605"/>
      <c r="K102" s="605"/>
      <c r="L102" s="605"/>
      <c r="M102" s="605"/>
      <c r="N102" s="605"/>
      <c r="O102" s="605"/>
      <c r="P102" s="606"/>
      <c r="Q102" s="273"/>
      <c r="R102" s="426"/>
      <c r="T102" s="424"/>
      <c r="U102" s="427"/>
      <c r="X102" s="580"/>
      <c r="Y102" s="580" t="str">
        <f t="shared" si="8"/>
        <v/>
      </c>
      <c r="Z102" s="426" t="str">
        <f t="shared" si="9"/>
        <v/>
      </c>
    </row>
    <row r="103" spans="1:26" s="147" customFormat="1" ht="153" customHeight="1" x14ac:dyDescent="0.2">
      <c r="A103" s="100">
        <f>A100+1</f>
        <v>29</v>
      </c>
      <c r="B103" s="194" t="s">
        <v>383</v>
      </c>
      <c r="C103" s="146" t="s">
        <v>383</v>
      </c>
      <c r="D103" s="170" t="s">
        <v>384</v>
      </c>
      <c r="E103" s="144">
        <f>LEN(D103)</f>
        <v>222</v>
      </c>
      <c r="F103" s="170" t="s">
        <v>1814</v>
      </c>
      <c r="G103" s="144">
        <f>LEN(F103)</f>
        <v>308</v>
      </c>
      <c r="H103" s="154" t="s">
        <v>37</v>
      </c>
      <c r="I103" s="144" t="s">
        <v>24</v>
      </c>
      <c r="J103" s="144" t="s">
        <v>385</v>
      </c>
      <c r="K103" s="152" t="s">
        <v>38</v>
      </c>
      <c r="L103" s="169" t="s">
        <v>386</v>
      </c>
      <c r="M103" s="222" t="s">
        <v>24</v>
      </c>
      <c r="N103" s="150" t="s">
        <v>387</v>
      </c>
      <c r="O103" s="175"/>
      <c r="P103" s="193"/>
      <c r="Q103" s="342">
        <f>'Additional information'!$D$17</f>
        <v>0.75</v>
      </c>
      <c r="R103" s="141"/>
      <c r="T103" s="424" t="s">
        <v>33</v>
      </c>
      <c r="U103" s="148"/>
      <c r="X103" s="580">
        <v>7.3040728569030762</v>
      </c>
      <c r="Y103" s="580">
        <f t="shared" si="8"/>
        <v>5.4780546426773071</v>
      </c>
      <c r="Z103" s="141">
        <f t="shared" si="9"/>
        <v>5.4780546426773071</v>
      </c>
    </row>
    <row r="104" spans="1:26" s="147" customFormat="1" x14ac:dyDescent="0.2">
      <c r="A104" s="100"/>
      <c r="B104" s="108"/>
      <c r="C104" s="101"/>
      <c r="D104" s="109"/>
      <c r="E104" s="107"/>
      <c r="F104" s="109"/>
      <c r="G104" s="107"/>
      <c r="H104" s="110"/>
      <c r="I104" s="107"/>
      <c r="J104" s="107"/>
      <c r="K104" s="47"/>
      <c r="L104" s="92"/>
      <c r="M104" s="81"/>
      <c r="N104" s="175"/>
      <c r="O104" s="175"/>
      <c r="P104" s="193"/>
      <c r="Q104" s="342">
        <f>'Additional information'!$D$17</f>
        <v>0.75</v>
      </c>
      <c r="R104" s="141"/>
      <c r="T104" s="149"/>
      <c r="U104" s="148"/>
      <c r="X104" s="581"/>
      <c r="Y104" s="581" t="str">
        <f t="shared" si="8"/>
        <v/>
      </c>
      <c r="Z104" s="141" t="str">
        <f t="shared" si="9"/>
        <v/>
      </c>
    </row>
    <row r="105" spans="1:26" s="244" customFormat="1" ht="85" customHeight="1" x14ac:dyDescent="0.2">
      <c r="A105" s="323"/>
      <c r="B105" s="168" t="s">
        <v>388</v>
      </c>
      <c r="C105" s="152" t="s">
        <v>388</v>
      </c>
      <c r="D105" s="166" t="s">
        <v>389</v>
      </c>
      <c r="E105" s="152">
        <f>LEN(D105)</f>
        <v>237</v>
      </c>
      <c r="F105" s="208" t="s">
        <v>390</v>
      </c>
      <c r="G105" s="152">
        <f>LEN(F105)</f>
        <v>250</v>
      </c>
      <c r="H105" s="153" t="s">
        <v>121</v>
      </c>
      <c r="I105" s="152" t="s">
        <v>24</v>
      </c>
      <c r="J105" s="152" t="s">
        <v>24</v>
      </c>
      <c r="K105" s="152" t="s">
        <v>27</v>
      </c>
      <c r="L105" s="176" t="s">
        <v>391</v>
      </c>
      <c r="M105" s="222" t="s">
        <v>24</v>
      </c>
      <c r="N105" s="150" t="s">
        <v>392</v>
      </c>
      <c r="O105" s="192"/>
      <c r="P105" s="191"/>
      <c r="Q105" s="342">
        <f>'Additional information'!$D$17</f>
        <v>0.75</v>
      </c>
      <c r="R105" s="141"/>
      <c r="T105" s="424" t="s">
        <v>33</v>
      </c>
      <c r="U105" s="148"/>
      <c r="X105" s="580">
        <v>23.93990516662598</v>
      </c>
      <c r="Y105" s="580">
        <f t="shared" si="8"/>
        <v>17.954928874969486</v>
      </c>
      <c r="Z105" s="141">
        <f t="shared" si="9"/>
        <v>17.954928874969486</v>
      </c>
    </row>
    <row r="106" spans="1:26" s="244" customFormat="1" ht="187" customHeight="1" x14ac:dyDescent="0.2">
      <c r="A106" s="323"/>
      <c r="B106" s="168" t="s">
        <v>393</v>
      </c>
      <c r="C106" s="152" t="s">
        <v>393</v>
      </c>
      <c r="D106" s="166" t="s">
        <v>1823</v>
      </c>
      <c r="E106" s="152">
        <f>LEN(D106)</f>
        <v>130</v>
      </c>
      <c r="F106" s="166" t="s">
        <v>1822</v>
      </c>
      <c r="G106" s="152">
        <f>LEN(F106)</f>
        <v>131</v>
      </c>
      <c r="H106" s="153" t="s">
        <v>37</v>
      </c>
      <c r="I106" s="152" t="s">
        <v>24</v>
      </c>
      <c r="J106" s="152" t="s">
        <v>24</v>
      </c>
      <c r="K106" s="152" t="s">
        <v>38</v>
      </c>
      <c r="L106" s="176" t="s">
        <v>394</v>
      </c>
      <c r="M106" s="222" t="s">
        <v>24</v>
      </c>
      <c r="N106" s="150" t="s">
        <v>395</v>
      </c>
      <c r="O106" s="175"/>
      <c r="P106" s="189"/>
      <c r="Q106" s="342">
        <f>'Additional information'!$D$17</f>
        <v>0.75</v>
      </c>
      <c r="R106" s="141"/>
      <c r="T106" s="424" t="s">
        <v>33</v>
      </c>
      <c r="U106" s="148"/>
      <c r="X106" s="580">
        <v>2.2494626045227051</v>
      </c>
      <c r="Y106" s="580">
        <f t="shared" si="8"/>
        <v>1.6870969533920288</v>
      </c>
      <c r="Z106" s="141">
        <f t="shared" si="9"/>
        <v>1.6870969533920288</v>
      </c>
    </row>
    <row r="107" spans="1:26" s="244" customFormat="1" x14ac:dyDescent="0.2">
      <c r="A107" s="125"/>
      <c r="B107" s="267"/>
      <c r="C107" s="107"/>
      <c r="D107" s="109"/>
      <c r="E107" s="107"/>
      <c r="F107" s="109"/>
      <c r="G107" s="107"/>
      <c r="H107" s="101"/>
      <c r="I107" s="107"/>
      <c r="J107" s="107"/>
      <c r="K107" s="107"/>
      <c r="L107" s="92"/>
      <c r="M107" s="81"/>
      <c r="N107" s="245"/>
      <c r="O107" s="190"/>
      <c r="P107" s="189"/>
      <c r="Q107" s="342">
        <f>'Additional information'!$D$17</f>
        <v>0.75</v>
      </c>
      <c r="R107" s="141"/>
      <c r="T107" s="149"/>
      <c r="U107" s="148"/>
      <c r="X107" s="581"/>
      <c r="Y107" s="581" t="str">
        <f t="shared" si="8"/>
        <v/>
      </c>
      <c r="Z107" s="141" t="str">
        <f t="shared" si="9"/>
        <v/>
      </c>
    </row>
    <row r="108" spans="1:26" s="147" customFormat="1" ht="119" customHeight="1" x14ac:dyDescent="0.2">
      <c r="A108" s="100">
        <f>A103+1</f>
        <v>30</v>
      </c>
      <c r="B108" s="237" t="s">
        <v>396</v>
      </c>
      <c r="C108" s="146" t="s">
        <v>396</v>
      </c>
      <c r="D108" s="170" t="s">
        <v>1824</v>
      </c>
      <c r="E108" s="144">
        <f>LEN(D108)</f>
        <v>1430</v>
      </c>
      <c r="F108" s="208" t="s">
        <v>1825</v>
      </c>
      <c r="G108" s="144">
        <f>LEN(F108)</f>
        <v>1599</v>
      </c>
      <c r="H108" s="154" t="s">
        <v>37</v>
      </c>
      <c r="I108" s="144" t="s">
        <v>24</v>
      </c>
      <c r="J108" s="144" t="s">
        <v>24</v>
      </c>
      <c r="K108" s="146" t="s">
        <v>397</v>
      </c>
      <c r="L108" s="169" t="s">
        <v>398</v>
      </c>
      <c r="M108" s="384" t="s">
        <v>399</v>
      </c>
      <c r="N108" s="380" t="s">
        <v>400</v>
      </c>
      <c r="O108" s="187"/>
      <c r="P108" s="51"/>
      <c r="Q108" s="342">
        <f>'Additional information'!$D$17</f>
        <v>0.75</v>
      </c>
      <c r="R108" s="141"/>
      <c r="T108" s="424" t="s">
        <v>33</v>
      </c>
      <c r="U108" s="148"/>
      <c r="X108" s="580">
        <v>23.440116882324219</v>
      </c>
      <c r="Y108" s="580">
        <f t="shared" si="8"/>
        <v>17.580087661743164</v>
      </c>
      <c r="Z108" s="141">
        <f t="shared" si="9"/>
        <v>17.580087661743164</v>
      </c>
    </row>
    <row r="109" spans="1:26" s="147" customFormat="1" ht="102" customHeight="1" x14ac:dyDescent="0.2">
      <c r="A109" s="100"/>
      <c r="B109" s="237" t="s">
        <v>401</v>
      </c>
      <c r="C109" s="146" t="s">
        <v>401</v>
      </c>
      <c r="D109" s="170" t="s">
        <v>1824</v>
      </c>
      <c r="E109" s="144">
        <f>LEN(D109)</f>
        <v>1430</v>
      </c>
      <c r="F109" s="170" t="s">
        <v>1825</v>
      </c>
      <c r="G109" s="144">
        <f>LEN(F109)</f>
        <v>1599</v>
      </c>
      <c r="H109" s="154" t="s">
        <v>37</v>
      </c>
      <c r="I109" s="144" t="s">
        <v>24</v>
      </c>
      <c r="J109" s="144" t="s">
        <v>24</v>
      </c>
      <c r="K109" s="146" t="s">
        <v>38</v>
      </c>
      <c r="L109" s="169" t="s">
        <v>402</v>
      </c>
      <c r="M109" s="222" t="s">
        <v>24</v>
      </c>
      <c r="N109" s="188" t="s">
        <v>403</v>
      </c>
      <c r="O109" s="187"/>
      <c r="P109" s="51"/>
      <c r="Q109" s="342">
        <f>'Additional information'!$D$17</f>
        <v>0.75</v>
      </c>
      <c r="R109" s="141"/>
      <c r="T109" s="424" t="s">
        <v>33</v>
      </c>
      <c r="U109" s="148"/>
      <c r="X109" s="580">
        <v>7.7659573554992676</v>
      </c>
      <c r="Y109" s="580">
        <f t="shared" si="8"/>
        <v>5.8244680166244507</v>
      </c>
      <c r="Z109" s="141">
        <f t="shared" si="9"/>
        <v>5.8244680166244507</v>
      </c>
    </row>
    <row r="110" spans="1:26" s="147" customFormat="1" x14ac:dyDescent="0.2">
      <c r="A110" s="100"/>
      <c r="B110" s="264"/>
      <c r="C110" s="101"/>
      <c r="D110" s="109"/>
      <c r="E110" s="107"/>
      <c r="F110" s="107"/>
      <c r="G110" s="107"/>
      <c r="H110" s="110"/>
      <c r="I110" s="107"/>
      <c r="J110" s="107"/>
      <c r="K110" s="101"/>
      <c r="L110" s="92"/>
      <c r="M110" s="81"/>
      <c r="N110" s="316"/>
      <c r="O110" s="187"/>
      <c r="P110" s="51"/>
      <c r="Q110" s="342">
        <f>'Additional information'!$D$17</f>
        <v>0.75</v>
      </c>
      <c r="R110" s="141"/>
      <c r="T110" s="149"/>
      <c r="U110" s="148"/>
      <c r="X110" s="581"/>
      <c r="Y110" s="581" t="str">
        <f t="shared" ref="Y110:Y141" si="10">IF(X110="","",X110*Q110)</f>
        <v/>
      </c>
      <c r="Z110" s="141" t="str">
        <f t="shared" ref="Z110:Z141" si="11">IF(T110="yes",Y110,"")</f>
        <v/>
      </c>
    </row>
    <row r="111" spans="1:26" s="147" customFormat="1" ht="221" customHeight="1" x14ac:dyDescent="0.2">
      <c r="A111" s="45">
        <f>A108+1</f>
        <v>31</v>
      </c>
      <c r="B111" s="168" t="s">
        <v>404</v>
      </c>
      <c r="C111" s="152" t="s">
        <v>404</v>
      </c>
      <c r="D111" s="166" t="s">
        <v>405</v>
      </c>
      <c r="E111" s="152">
        <f>LEN(D111)</f>
        <v>331</v>
      </c>
      <c r="F111" s="435" t="s">
        <v>406</v>
      </c>
      <c r="G111" s="152">
        <f>LEN(F111)</f>
        <v>389</v>
      </c>
      <c r="H111" s="153" t="s">
        <v>82</v>
      </c>
      <c r="I111" s="152" t="s">
        <v>24</v>
      </c>
      <c r="J111" s="152" t="s">
        <v>24</v>
      </c>
      <c r="K111" s="152" t="s">
        <v>83</v>
      </c>
      <c r="L111" s="176" t="s">
        <v>407</v>
      </c>
      <c r="M111" s="222" t="s">
        <v>24</v>
      </c>
      <c r="N111" s="188" t="s">
        <v>408</v>
      </c>
      <c r="O111" s="70"/>
      <c r="P111" s="10"/>
      <c r="Q111" s="342">
        <f>'Additional information'!$D$17</f>
        <v>0.75</v>
      </c>
      <c r="R111" s="141"/>
      <c r="T111" s="424" t="s">
        <v>33</v>
      </c>
      <c r="U111" s="148"/>
      <c r="X111" s="580">
        <v>16.481756210327148</v>
      </c>
      <c r="Y111" s="580">
        <f t="shared" si="10"/>
        <v>12.361317157745361</v>
      </c>
      <c r="Z111" s="141">
        <f t="shared" si="11"/>
        <v>12.361317157745361</v>
      </c>
    </row>
    <row r="112" spans="1:26" s="147" customFormat="1" ht="14" customHeight="1" x14ac:dyDescent="0.2">
      <c r="A112" s="45"/>
      <c r="B112" s="184"/>
      <c r="C112" s="183"/>
      <c r="D112" s="182"/>
      <c r="E112" s="47"/>
      <c r="F112" s="47"/>
      <c r="G112" s="47"/>
      <c r="H112" s="102"/>
      <c r="I112" s="47"/>
      <c r="J112" s="47"/>
      <c r="K112" s="47"/>
      <c r="L112" s="180"/>
      <c r="M112" s="81"/>
      <c r="N112" s="266"/>
      <c r="O112" s="180"/>
      <c r="P112" s="10"/>
      <c r="Q112" s="342">
        <f>'Additional information'!$D$17</f>
        <v>0.75</v>
      </c>
      <c r="R112" s="141"/>
      <c r="T112" s="149"/>
      <c r="U112" s="148"/>
      <c r="X112" s="581"/>
      <c r="Y112" s="581" t="str">
        <f t="shared" si="10"/>
        <v/>
      </c>
      <c r="Z112" s="141" t="str">
        <f t="shared" si="11"/>
        <v/>
      </c>
    </row>
    <row r="113" spans="1:26" s="147" customFormat="1" ht="255" customHeight="1" x14ac:dyDescent="0.2">
      <c r="A113" s="14">
        <f>A111+1</f>
        <v>32</v>
      </c>
      <c r="B113" s="38" t="s">
        <v>409</v>
      </c>
      <c r="C113" s="20" t="s">
        <v>410</v>
      </c>
      <c r="D113" s="37" t="s">
        <v>411</v>
      </c>
      <c r="E113" s="20">
        <f>LEN(D113)</f>
        <v>326</v>
      </c>
      <c r="F113" s="443" t="s">
        <v>412</v>
      </c>
      <c r="G113" s="20">
        <f>LEN(F113)</f>
        <v>430</v>
      </c>
      <c r="H113" s="17" t="s">
        <v>413</v>
      </c>
      <c r="I113" s="16" t="s">
        <v>24</v>
      </c>
      <c r="J113" s="16" t="s">
        <v>24</v>
      </c>
      <c r="K113" s="16" t="s">
        <v>414</v>
      </c>
      <c r="L113" s="126" t="s">
        <v>415</v>
      </c>
      <c r="M113" s="82" t="s">
        <v>416</v>
      </c>
      <c r="N113" s="124" t="s">
        <v>417</v>
      </c>
      <c r="O113" s="63"/>
      <c r="P113" s="10"/>
      <c r="Q113" s="342">
        <f>'Additional information'!$D$17</f>
        <v>0.75</v>
      </c>
      <c r="R113" s="141"/>
      <c r="T113" s="149" t="s">
        <v>23</v>
      </c>
      <c r="U113" s="148"/>
      <c r="X113" s="581">
        <v>18.511110305786129</v>
      </c>
      <c r="Y113" s="581">
        <f t="shared" si="10"/>
        <v>13.883332729339596</v>
      </c>
      <c r="Z113" s="141" t="str">
        <f t="shared" si="11"/>
        <v/>
      </c>
    </row>
    <row r="114" spans="1:26" s="147" customFormat="1" x14ac:dyDescent="0.2">
      <c r="A114" s="45"/>
      <c r="B114" s="184"/>
      <c r="C114" s="183"/>
      <c r="D114" s="182"/>
      <c r="E114" s="47"/>
      <c r="F114" s="47"/>
      <c r="G114" s="47"/>
      <c r="H114" s="102"/>
      <c r="I114" s="47"/>
      <c r="J114" s="47"/>
      <c r="K114" s="47"/>
      <c r="L114" s="180"/>
      <c r="M114" s="81"/>
      <c r="N114" s="181"/>
      <c r="O114" s="180"/>
      <c r="P114" s="10"/>
      <c r="Q114" s="342">
        <f>'Additional information'!$D$17</f>
        <v>0.75</v>
      </c>
      <c r="R114" s="141"/>
      <c r="T114" s="149"/>
      <c r="U114" s="148"/>
      <c r="X114" s="581"/>
      <c r="Y114" s="581" t="str">
        <f t="shared" si="10"/>
        <v/>
      </c>
      <c r="Z114" s="141" t="str">
        <f t="shared" si="11"/>
        <v/>
      </c>
    </row>
    <row r="115" spans="1:26" s="147" customFormat="1" ht="204" customHeight="1" x14ac:dyDescent="0.2">
      <c r="A115" s="45">
        <f>A113+1</f>
        <v>33</v>
      </c>
      <c r="B115" s="186" t="s">
        <v>418</v>
      </c>
      <c r="C115" s="185" t="s">
        <v>418</v>
      </c>
      <c r="D115" s="166" t="s">
        <v>1828</v>
      </c>
      <c r="E115" s="152">
        <f>LEN(D115)</f>
        <v>252</v>
      </c>
      <c r="F115" s="435" t="s">
        <v>1815</v>
      </c>
      <c r="G115" s="152">
        <f>LEN(F115)</f>
        <v>326</v>
      </c>
      <c r="H115" s="161" t="s">
        <v>37</v>
      </c>
      <c r="I115" s="152" t="s">
        <v>24</v>
      </c>
      <c r="J115" s="152" t="s">
        <v>24</v>
      </c>
      <c r="K115" s="152" t="s">
        <v>38</v>
      </c>
      <c r="L115" s="176" t="s">
        <v>419</v>
      </c>
      <c r="M115" s="222" t="s">
        <v>24</v>
      </c>
      <c r="N115" s="176" t="s">
        <v>420</v>
      </c>
      <c r="O115" s="60"/>
      <c r="P115" s="10"/>
      <c r="Q115" s="342">
        <f>'Additional information'!$D$17</f>
        <v>0.75</v>
      </c>
      <c r="R115" s="141"/>
      <c r="T115" s="424" t="s">
        <v>33</v>
      </c>
      <c r="U115" s="148"/>
      <c r="X115" s="580">
        <v>20.308681488037109</v>
      </c>
      <c r="Y115" s="580">
        <f t="shared" si="10"/>
        <v>15.231511116027832</v>
      </c>
      <c r="Z115" s="141">
        <f t="shared" si="11"/>
        <v>15.231511116027832</v>
      </c>
    </row>
    <row r="116" spans="1:26" s="147" customFormat="1" x14ac:dyDescent="0.2">
      <c r="A116" s="45"/>
      <c r="B116" s="184"/>
      <c r="C116" s="183"/>
      <c r="D116" s="182"/>
      <c r="E116" s="47"/>
      <c r="F116" s="182"/>
      <c r="G116" s="47"/>
      <c r="H116" s="102"/>
      <c r="I116" s="47"/>
      <c r="J116" s="47"/>
      <c r="K116" s="47"/>
      <c r="L116" s="180"/>
      <c r="M116" s="81"/>
      <c r="N116" s="181"/>
      <c r="O116" s="180"/>
      <c r="P116" s="10"/>
      <c r="Q116" s="342">
        <f>'Additional information'!$D$17</f>
        <v>0.75</v>
      </c>
      <c r="R116" s="141"/>
      <c r="T116" s="149"/>
      <c r="U116" s="148"/>
      <c r="X116" s="581"/>
      <c r="Y116" s="581" t="str">
        <f t="shared" si="10"/>
        <v/>
      </c>
      <c r="Z116" s="141" t="str">
        <f t="shared" si="11"/>
        <v/>
      </c>
    </row>
    <row r="117" spans="1:26" s="147" customFormat="1" ht="204" customHeight="1" x14ac:dyDescent="0.2">
      <c r="A117" s="45">
        <f>A115+1</f>
        <v>34</v>
      </c>
      <c r="B117" s="168" t="s">
        <v>421</v>
      </c>
      <c r="C117" s="152" t="s">
        <v>421</v>
      </c>
      <c r="D117" s="166" t="s">
        <v>1827</v>
      </c>
      <c r="E117" s="152">
        <f>LEN(D117)</f>
        <v>251</v>
      </c>
      <c r="F117" s="435" t="s">
        <v>1826</v>
      </c>
      <c r="G117" s="152">
        <f>LEN(F117)</f>
        <v>324</v>
      </c>
      <c r="H117" s="161" t="s">
        <v>37</v>
      </c>
      <c r="I117" s="152" t="s">
        <v>24</v>
      </c>
      <c r="J117" s="152" t="s">
        <v>24</v>
      </c>
      <c r="K117" s="152" t="s">
        <v>38</v>
      </c>
      <c r="L117" s="151" t="s">
        <v>422</v>
      </c>
      <c r="M117" s="222" t="s">
        <v>24</v>
      </c>
      <c r="N117" s="179" t="s">
        <v>423</v>
      </c>
      <c r="O117" s="178"/>
      <c r="P117" s="127"/>
      <c r="Q117" s="342">
        <f>'Additional information'!$D$17</f>
        <v>0.75</v>
      </c>
      <c r="R117" s="141"/>
      <c r="T117" s="424" t="s">
        <v>33</v>
      </c>
      <c r="U117" s="148"/>
      <c r="X117" s="580">
        <v>15.448612213134769</v>
      </c>
      <c r="Y117" s="580">
        <f t="shared" si="10"/>
        <v>11.586459159851078</v>
      </c>
      <c r="Z117" s="141">
        <f t="shared" si="11"/>
        <v>11.586459159851078</v>
      </c>
    </row>
    <row r="118" spans="1:26" s="147" customFormat="1" ht="102" customHeight="1" x14ac:dyDescent="0.2">
      <c r="A118" s="14">
        <f>A117+1</f>
        <v>35</v>
      </c>
      <c r="B118" s="53" t="s">
        <v>424</v>
      </c>
      <c r="C118" s="54" t="s">
        <v>424</v>
      </c>
      <c r="D118" s="19" t="s">
        <v>425</v>
      </c>
      <c r="E118" s="20">
        <f>LEN(D118)</f>
        <v>238</v>
      </c>
      <c r="F118" s="19" t="s">
        <v>1816</v>
      </c>
      <c r="G118" s="20">
        <f>LEN(F118)</f>
        <v>312</v>
      </c>
      <c r="H118" s="55" t="s">
        <v>121</v>
      </c>
      <c r="I118" s="20" t="s">
        <v>24</v>
      </c>
      <c r="J118" s="20" t="s">
        <v>24</v>
      </c>
      <c r="K118" s="20" t="s">
        <v>27</v>
      </c>
      <c r="L118" s="22" t="s">
        <v>426</v>
      </c>
      <c r="M118" s="82" t="s">
        <v>24</v>
      </c>
      <c r="N118" s="56" t="s">
        <v>427</v>
      </c>
      <c r="O118" s="68"/>
      <c r="P118" s="620" t="s">
        <v>428</v>
      </c>
      <c r="Q118" s="342">
        <f>'Additional information'!$D$17</f>
        <v>0.75</v>
      </c>
      <c r="R118" s="141"/>
      <c r="T118" s="149" t="s">
        <v>23</v>
      </c>
      <c r="U118" s="148"/>
      <c r="X118" s="581">
        <v>30.343915939331051</v>
      </c>
      <c r="Y118" s="581">
        <f t="shared" si="10"/>
        <v>22.757936954498287</v>
      </c>
      <c r="Z118" s="141" t="str">
        <f t="shared" si="11"/>
        <v/>
      </c>
    </row>
    <row r="119" spans="1:26" s="147" customFormat="1" ht="221" customHeight="1" x14ac:dyDescent="0.2">
      <c r="A119" s="14">
        <f>A118+1</f>
        <v>36</v>
      </c>
      <c r="B119" s="53" t="s">
        <v>429</v>
      </c>
      <c r="C119" s="54" t="s">
        <v>429</v>
      </c>
      <c r="D119" s="59" t="s">
        <v>430</v>
      </c>
      <c r="E119" s="20">
        <f>LEN(D119)</f>
        <v>175</v>
      </c>
      <c r="F119" s="59" t="s">
        <v>431</v>
      </c>
      <c r="G119" s="20">
        <f>LEN(F119)</f>
        <v>190</v>
      </c>
      <c r="H119" s="55" t="s">
        <v>82</v>
      </c>
      <c r="I119" s="20" t="s">
        <v>24</v>
      </c>
      <c r="J119" s="20" t="s">
        <v>24</v>
      </c>
      <c r="K119" s="20" t="s">
        <v>432</v>
      </c>
      <c r="L119" s="22" t="s">
        <v>433</v>
      </c>
      <c r="M119" s="82" t="s">
        <v>24</v>
      </c>
      <c r="N119" s="56" t="s">
        <v>434</v>
      </c>
      <c r="O119" s="68"/>
      <c r="P119" s="608"/>
      <c r="Q119" s="342">
        <f>'Additional information'!$D$17</f>
        <v>0.75</v>
      </c>
      <c r="R119" s="141"/>
      <c r="T119" s="149" t="s">
        <v>23</v>
      </c>
      <c r="U119" s="148"/>
      <c r="X119" s="581">
        <v>5.4708995819091797</v>
      </c>
      <c r="Y119" s="581">
        <f t="shared" si="10"/>
        <v>4.1031746864318848</v>
      </c>
      <c r="Z119" s="141" t="str">
        <f t="shared" si="11"/>
        <v/>
      </c>
    </row>
    <row r="120" spans="1:26" s="147" customFormat="1" ht="68" customHeight="1" x14ac:dyDescent="0.2">
      <c r="A120" s="14">
        <f>A119+1</f>
        <v>37</v>
      </c>
      <c r="B120" s="53" t="s">
        <v>435</v>
      </c>
      <c r="C120" s="54" t="s">
        <v>435</v>
      </c>
      <c r="D120" s="59" t="s">
        <v>436</v>
      </c>
      <c r="E120" s="20">
        <f>LEN(D120)</f>
        <v>123</v>
      </c>
      <c r="F120" s="59" t="s">
        <v>437</v>
      </c>
      <c r="G120" s="20">
        <f>LEN(F120)</f>
        <v>166</v>
      </c>
      <c r="H120" s="55" t="s">
        <v>121</v>
      </c>
      <c r="I120" s="20" t="s">
        <v>24</v>
      </c>
      <c r="J120" s="20" t="s">
        <v>24</v>
      </c>
      <c r="K120" s="20" t="s">
        <v>27</v>
      </c>
      <c r="L120" s="22" t="s">
        <v>438</v>
      </c>
      <c r="M120" s="82" t="s">
        <v>24</v>
      </c>
      <c r="N120" s="56" t="s">
        <v>439</v>
      </c>
      <c r="O120" s="68"/>
      <c r="P120" s="608"/>
      <c r="Q120" s="342">
        <f>'Additional information'!$D$17</f>
        <v>0.75</v>
      </c>
      <c r="R120" s="141"/>
      <c r="T120" s="149" t="s">
        <v>23</v>
      </c>
      <c r="U120" s="148"/>
      <c r="X120" s="581">
        <v>7.9054727554321289</v>
      </c>
      <c r="Y120" s="581">
        <f t="shared" si="10"/>
        <v>5.9291045665740967</v>
      </c>
      <c r="Z120" s="141" t="str">
        <f t="shared" si="11"/>
        <v/>
      </c>
    </row>
    <row r="121" spans="1:26" s="147" customFormat="1" ht="102" customHeight="1" x14ac:dyDescent="0.2">
      <c r="A121" s="14">
        <f>A120+1</f>
        <v>38</v>
      </c>
      <c r="B121" s="53" t="s">
        <v>440</v>
      </c>
      <c r="C121" s="54" t="s">
        <v>440</v>
      </c>
      <c r="D121" s="57" t="s">
        <v>441</v>
      </c>
      <c r="E121" s="20">
        <f>LEN(D121)</f>
        <v>218</v>
      </c>
      <c r="F121" s="57" t="s">
        <v>442</v>
      </c>
      <c r="G121" s="20">
        <f>LEN(F121)</f>
        <v>278</v>
      </c>
      <c r="H121" s="55" t="s">
        <v>121</v>
      </c>
      <c r="I121" s="20" t="s">
        <v>24</v>
      </c>
      <c r="J121" s="20" t="s">
        <v>24</v>
      </c>
      <c r="K121" s="20" t="s">
        <v>27</v>
      </c>
      <c r="L121" s="22" t="s">
        <v>443</v>
      </c>
      <c r="M121" s="82" t="s">
        <v>24</v>
      </c>
      <c r="N121" s="56" t="s">
        <v>444</v>
      </c>
      <c r="O121" s="68"/>
      <c r="P121" s="609"/>
      <c r="Q121" s="342">
        <f>'Additional information'!$D$17</f>
        <v>0.75</v>
      </c>
      <c r="R121" s="141"/>
      <c r="T121" s="149" t="s">
        <v>23</v>
      </c>
      <c r="U121" s="148"/>
      <c r="X121" s="581">
        <v>16.435977935791019</v>
      </c>
      <c r="Y121" s="581">
        <f t="shared" si="10"/>
        <v>12.326983451843265</v>
      </c>
      <c r="Z121" s="141" t="str">
        <f t="shared" si="11"/>
        <v/>
      </c>
    </row>
    <row r="122" spans="1:26" s="147" customFormat="1" x14ac:dyDescent="0.2">
      <c r="A122" s="45"/>
      <c r="B122" s="243"/>
      <c r="C122" s="101"/>
      <c r="D122" s="81"/>
      <c r="E122" s="47"/>
      <c r="F122" s="47"/>
      <c r="G122" s="47"/>
      <c r="H122" s="102"/>
      <c r="I122" s="47"/>
      <c r="J122" s="47"/>
      <c r="K122" s="47"/>
      <c r="L122" s="86"/>
      <c r="M122" s="86"/>
      <c r="N122" s="86"/>
      <c r="O122" s="86"/>
      <c r="P122" s="10"/>
      <c r="Q122" s="342">
        <f>'Additional information'!$D$17</f>
        <v>0.75</v>
      </c>
      <c r="R122" s="141"/>
      <c r="T122" s="149"/>
      <c r="U122" s="148"/>
      <c r="X122" s="581"/>
      <c r="Y122" s="581" t="str">
        <f t="shared" si="10"/>
        <v/>
      </c>
      <c r="Z122" s="141" t="str">
        <f t="shared" si="11"/>
        <v/>
      </c>
    </row>
    <row r="123" spans="1:26" s="147" customFormat="1" ht="153" customHeight="1" x14ac:dyDescent="0.2">
      <c r="A123" s="45">
        <f>A121+1</f>
        <v>39</v>
      </c>
      <c r="B123" s="168" t="s">
        <v>445</v>
      </c>
      <c r="C123" s="146" t="s">
        <v>445</v>
      </c>
      <c r="D123" s="167" t="s">
        <v>446</v>
      </c>
      <c r="E123" s="152">
        <f>LEN(D123)</f>
        <v>161</v>
      </c>
      <c r="F123" s="435" t="s">
        <v>1817</v>
      </c>
      <c r="G123" s="152">
        <f>LEN(F123)</f>
        <v>198</v>
      </c>
      <c r="H123" s="161" t="s">
        <v>37</v>
      </c>
      <c r="I123" s="152" t="s">
        <v>24</v>
      </c>
      <c r="J123" s="152" t="s">
        <v>24</v>
      </c>
      <c r="K123" s="152" t="s">
        <v>38</v>
      </c>
      <c r="L123" s="151" t="s">
        <v>447</v>
      </c>
      <c r="M123" s="222" t="s">
        <v>24</v>
      </c>
      <c r="N123" s="151" t="s">
        <v>448</v>
      </c>
      <c r="O123" s="61"/>
      <c r="P123" s="10"/>
      <c r="Q123" s="342">
        <f>'Additional information'!$D$17</f>
        <v>0.75</v>
      </c>
      <c r="R123" s="141"/>
      <c r="T123" s="424" t="s">
        <v>33</v>
      </c>
      <c r="U123" s="148"/>
      <c r="X123" s="580">
        <v>11.37532997131348</v>
      </c>
      <c r="Y123" s="580">
        <f t="shared" si="10"/>
        <v>8.531497478485111</v>
      </c>
      <c r="Z123" s="141">
        <f t="shared" si="11"/>
        <v>8.531497478485111</v>
      </c>
    </row>
    <row r="124" spans="1:26" s="147" customFormat="1" ht="409.5" customHeight="1" x14ac:dyDescent="0.2">
      <c r="A124" s="114">
        <f>A123+1</f>
        <v>40</v>
      </c>
      <c r="B124" s="239" t="s">
        <v>449</v>
      </c>
      <c r="C124" s="153" t="s">
        <v>450</v>
      </c>
      <c r="D124" s="396" t="s">
        <v>451</v>
      </c>
      <c r="E124" s="135">
        <f>LEN(D124)</f>
        <v>777</v>
      </c>
      <c r="F124" s="435" t="s">
        <v>1818</v>
      </c>
      <c r="G124" s="135">
        <f>LEN(F124)</f>
        <v>938</v>
      </c>
      <c r="H124" s="146" t="s">
        <v>413</v>
      </c>
      <c r="I124" s="135" t="s">
        <v>24</v>
      </c>
      <c r="J124" s="135" t="s">
        <v>24</v>
      </c>
      <c r="K124" s="135" t="s">
        <v>452</v>
      </c>
      <c r="L124" s="394" t="s">
        <v>453</v>
      </c>
      <c r="M124" s="222" t="s">
        <v>454</v>
      </c>
      <c r="N124" s="167" t="s">
        <v>455</v>
      </c>
      <c r="O124" s="61"/>
      <c r="P124" s="10"/>
      <c r="Q124" s="342">
        <f>'Additional information'!$D$17</f>
        <v>0.75</v>
      </c>
      <c r="R124" s="141"/>
      <c r="T124" s="424" t="s">
        <v>33</v>
      </c>
      <c r="U124" s="148"/>
      <c r="X124" s="580">
        <v>25.844999313354489</v>
      </c>
      <c r="Y124" s="580">
        <f t="shared" si="10"/>
        <v>19.383749485015866</v>
      </c>
      <c r="Z124" s="141">
        <f t="shared" si="11"/>
        <v>19.383749485015866</v>
      </c>
    </row>
    <row r="125" spans="1:26" s="147" customFormat="1" x14ac:dyDescent="0.2">
      <c r="A125" s="45"/>
      <c r="B125" s="243"/>
      <c r="C125" s="101"/>
      <c r="D125" s="81"/>
      <c r="E125" s="47"/>
      <c r="F125" s="47"/>
      <c r="G125" s="47"/>
      <c r="H125" s="102"/>
      <c r="I125" s="47"/>
      <c r="J125" s="47"/>
      <c r="K125" s="47"/>
      <c r="L125" s="86"/>
      <c r="M125" s="86"/>
      <c r="N125" s="86"/>
      <c r="O125" s="86"/>
      <c r="P125" s="10"/>
      <c r="Q125" s="342">
        <f>'Additional information'!$D$17</f>
        <v>0.75</v>
      </c>
      <c r="R125" s="141"/>
      <c r="T125" s="149"/>
      <c r="U125" s="148"/>
      <c r="X125" s="581"/>
      <c r="Y125" s="581" t="str">
        <f t="shared" si="10"/>
        <v/>
      </c>
      <c r="Z125" s="141" t="str">
        <f t="shared" si="11"/>
        <v/>
      </c>
    </row>
    <row r="126" spans="1:26" s="147" customFormat="1" ht="221" customHeight="1" x14ac:dyDescent="0.2">
      <c r="A126" s="111">
        <f>A124+1</f>
        <v>41</v>
      </c>
      <c r="B126" s="238" t="s">
        <v>456</v>
      </c>
      <c r="C126" s="246" t="s">
        <v>456</v>
      </c>
      <c r="D126" s="22" t="s">
        <v>457</v>
      </c>
      <c r="E126" s="20">
        <f>LEN(D126)</f>
        <v>296</v>
      </c>
      <c r="F126" s="22" t="s">
        <v>458</v>
      </c>
      <c r="G126" s="20">
        <f>LEN(F126)</f>
        <v>375</v>
      </c>
      <c r="H126" s="21" t="s">
        <v>37</v>
      </c>
      <c r="I126" s="20" t="s">
        <v>24</v>
      </c>
      <c r="J126" s="395" t="s">
        <v>459</v>
      </c>
      <c r="K126" s="20" t="s">
        <v>38</v>
      </c>
      <c r="L126" s="22" t="s">
        <v>460</v>
      </c>
      <c r="M126" s="82" t="s">
        <v>24</v>
      </c>
      <c r="N126" s="22" t="s">
        <v>461</v>
      </c>
      <c r="O126" s="30"/>
      <c r="P126" s="10"/>
      <c r="Q126" s="342">
        <f>'Additional information'!$D$17</f>
        <v>0.75</v>
      </c>
      <c r="R126" s="141"/>
      <c r="T126" s="149" t="s">
        <v>23</v>
      </c>
      <c r="U126" s="148"/>
      <c r="X126" s="581">
        <v>12.186037063598629</v>
      </c>
      <c r="Y126" s="581">
        <f t="shared" si="10"/>
        <v>9.1395277976989711</v>
      </c>
      <c r="Z126" s="141" t="str">
        <f t="shared" si="11"/>
        <v/>
      </c>
    </row>
    <row r="127" spans="1:26" s="147" customFormat="1" ht="17" customHeight="1" thickBot="1" x14ac:dyDescent="0.25">
      <c r="A127" s="114"/>
      <c r="B127" s="265"/>
      <c r="C127" s="115"/>
      <c r="D127" s="90"/>
      <c r="E127" s="104"/>
      <c r="F127" s="104"/>
      <c r="G127" s="104"/>
      <c r="H127" s="115"/>
      <c r="I127" s="104"/>
      <c r="J127" s="104"/>
      <c r="K127" s="104"/>
      <c r="L127" s="96"/>
      <c r="M127" s="86"/>
      <c r="N127" s="90"/>
      <c r="O127" s="96"/>
      <c r="P127" s="73"/>
      <c r="Q127" s="342">
        <f>'Additional information'!$D$17</f>
        <v>0.75</v>
      </c>
      <c r="R127" s="141"/>
      <c r="T127" s="149"/>
      <c r="U127" s="148"/>
      <c r="X127" s="581"/>
      <c r="Y127" s="581" t="str">
        <f t="shared" si="10"/>
        <v/>
      </c>
      <c r="Z127" s="141" t="str">
        <f t="shared" si="11"/>
        <v/>
      </c>
    </row>
    <row r="128" spans="1:26" s="415" customFormat="1" ht="17" customHeight="1" thickBot="1" x14ac:dyDescent="0.25">
      <c r="A128" s="604" t="s">
        <v>462</v>
      </c>
      <c r="B128" s="605"/>
      <c r="C128" s="605"/>
      <c r="D128" s="605"/>
      <c r="E128" s="605"/>
      <c r="F128" s="605"/>
      <c r="G128" s="605"/>
      <c r="H128" s="605"/>
      <c r="I128" s="605"/>
      <c r="J128" s="605"/>
      <c r="K128" s="605"/>
      <c r="L128" s="605"/>
      <c r="M128" s="605"/>
      <c r="N128" s="605"/>
      <c r="O128" s="605"/>
      <c r="P128" s="606"/>
      <c r="Q128" s="273"/>
      <c r="R128" s="426"/>
      <c r="T128" s="424"/>
      <c r="U128" s="427"/>
      <c r="X128" s="580"/>
      <c r="Y128" s="580" t="str">
        <f t="shared" si="10"/>
        <v/>
      </c>
      <c r="Z128" s="426" t="str">
        <f t="shared" si="11"/>
        <v/>
      </c>
    </row>
    <row r="129" spans="1:26" s="147" customFormat="1" ht="238" customHeight="1" x14ac:dyDescent="0.2">
      <c r="A129" s="45"/>
      <c r="B129" s="186" t="s">
        <v>463</v>
      </c>
      <c r="C129" s="185" t="s">
        <v>463</v>
      </c>
      <c r="D129" s="624" t="s">
        <v>464</v>
      </c>
      <c r="E129" s="144">
        <f>LEN(D129)</f>
        <v>1498</v>
      </c>
      <c r="F129" s="446" t="s">
        <v>465</v>
      </c>
      <c r="G129" s="144">
        <f>LEN(F129)</f>
        <v>1668</v>
      </c>
      <c r="H129" s="154" t="s">
        <v>37</v>
      </c>
      <c r="I129" s="152" t="s">
        <v>24</v>
      </c>
      <c r="J129" s="146" t="s">
        <v>466</v>
      </c>
      <c r="K129" s="144" t="s">
        <v>38</v>
      </c>
      <c r="L129" s="151" t="s">
        <v>467</v>
      </c>
      <c r="M129" s="384" t="s">
        <v>468</v>
      </c>
      <c r="N129" s="151" t="s">
        <v>469</v>
      </c>
      <c r="O129" s="86"/>
      <c r="P129" s="10"/>
      <c r="Q129" s="342">
        <f>'Additional information'!$D$17</f>
        <v>0.75</v>
      </c>
      <c r="R129" s="141"/>
      <c r="T129" s="424" t="s">
        <v>33</v>
      </c>
      <c r="U129" s="148"/>
      <c r="X129" s="580">
        <v>17.612014770507809</v>
      </c>
      <c r="Y129" s="580">
        <f t="shared" si="10"/>
        <v>13.209011077880856</v>
      </c>
      <c r="Z129" s="141">
        <f t="shared" si="11"/>
        <v>13.209011077880856</v>
      </c>
    </row>
    <row r="130" spans="1:26" s="147" customFormat="1" x14ac:dyDescent="0.2">
      <c r="A130" s="45"/>
      <c r="B130" s="184"/>
      <c r="C130" s="101"/>
      <c r="D130" s="546"/>
      <c r="E130" s="107"/>
      <c r="F130" s="546"/>
      <c r="G130" s="107"/>
      <c r="H130" s="48"/>
      <c r="I130" s="47"/>
      <c r="J130" s="113"/>
      <c r="K130" s="47"/>
      <c r="L130" s="86"/>
      <c r="M130" s="86"/>
      <c r="N130" s="88"/>
      <c r="O130" s="88"/>
      <c r="P130" s="10"/>
      <c r="Q130" s="342">
        <f>'Additional information'!$D$17</f>
        <v>0.75</v>
      </c>
      <c r="R130" s="149"/>
      <c r="S130" s="148"/>
      <c r="V130" s="155"/>
      <c r="W130" s="200"/>
      <c r="X130" s="581"/>
      <c r="Y130" s="581" t="str">
        <f t="shared" si="10"/>
        <v/>
      </c>
      <c r="Z130" s="141" t="str">
        <f t="shared" si="11"/>
        <v/>
      </c>
    </row>
    <row r="131" spans="1:26" s="147" customFormat="1" ht="222" customHeight="1" x14ac:dyDescent="0.2">
      <c r="A131" s="100">
        <f>A124+1</f>
        <v>41</v>
      </c>
      <c r="B131" s="397" t="s">
        <v>470</v>
      </c>
      <c r="C131" s="146" t="s">
        <v>470</v>
      </c>
      <c r="D131" s="145" t="s">
        <v>471</v>
      </c>
      <c r="E131" s="144">
        <f>LEN(D131)</f>
        <v>167</v>
      </c>
      <c r="F131" s="435" t="s">
        <v>472</v>
      </c>
      <c r="G131" s="144">
        <f>LEN(F131)</f>
        <v>211</v>
      </c>
      <c r="H131" s="154" t="s">
        <v>37</v>
      </c>
      <c r="I131" s="144" t="s">
        <v>24</v>
      </c>
      <c r="J131" s="146" t="s">
        <v>24</v>
      </c>
      <c r="K131" s="144" t="s">
        <v>38</v>
      </c>
      <c r="L131" s="143" t="s">
        <v>473</v>
      </c>
      <c r="M131" s="222" t="s">
        <v>24</v>
      </c>
      <c r="N131" s="143" t="s">
        <v>474</v>
      </c>
      <c r="O131" s="88"/>
      <c r="P131" s="51"/>
      <c r="Q131" s="342">
        <f>'Additional information'!$D$17</f>
        <v>0.75</v>
      </c>
      <c r="R131" s="141"/>
      <c r="T131" s="424" t="s">
        <v>33</v>
      </c>
      <c r="U131" s="148"/>
      <c r="X131" s="580">
        <v>10.457156181335449</v>
      </c>
      <c r="Y131" s="580">
        <f t="shared" si="10"/>
        <v>7.8428671360015869</v>
      </c>
      <c r="Z131" s="141">
        <f t="shared" si="11"/>
        <v>7.8428671360015869</v>
      </c>
    </row>
    <row r="132" spans="1:26" s="147" customFormat="1" ht="323" customHeight="1" x14ac:dyDescent="0.2">
      <c r="A132" s="45">
        <f>A131+1</f>
        <v>42</v>
      </c>
      <c r="B132" s="186" t="s">
        <v>475</v>
      </c>
      <c r="C132" s="146" t="s">
        <v>476</v>
      </c>
      <c r="D132" s="396" t="s">
        <v>477</v>
      </c>
      <c r="E132" s="144">
        <f>LEN(D132)</f>
        <v>684</v>
      </c>
      <c r="F132" s="435" t="s">
        <v>478</v>
      </c>
      <c r="G132" s="144">
        <f>LEN(F132)</f>
        <v>863</v>
      </c>
      <c r="H132" s="146" t="s">
        <v>413</v>
      </c>
      <c r="I132" s="152" t="s">
        <v>24</v>
      </c>
      <c r="J132" s="177" t="s">
        <v>24</v>
      </c>
      <c r="K132" s="152" t="s">
        <v>414</v>
      </c>
      <c r="L132" s="151" t="s">
        <v>479</v>
      </c>
      <c r="M132" s="222" t="s">
        <v>480</v>
      </c>
      <c r="N132" s="151" t="s">
        <v>481</v>
      </c>
      <c r="O132" s="86"/>
      <c r="P132" s="10"/>
      <c r="Q132" s="342">
        <f>'Additional information'!$D$17</f>
        <v>0.75</v>
      </c>
      <c r="R132" s="141"/>
      <c r="T132" s="424" t="s">
        <v>33</v>
      </c>
      <c r="U132" s="148"/>
      <c r="X132" s="580">
        <v>20.769962310791019</v>
      </c>
      <c r="Y132" s="580">
        <f t="shared" si="10"/>
        <v>15.577471733093265</v>
      </c>
      <c r="Z132" s="141">
        <f t="shared" si="11"/>
        <v>15.577471733093265</v>
      </c>
    </row>
    <row r="133" spans="1:26" s="147" customFormat="1" x14ac:dyDescent="0.2">
      <c r="A133" s="45"/>
      <c r="B133" s="184"/>
      <c r="C133" s="101"/>
      <c r="D133" s="546"/>
      <c r="E133" s="107"/>
      <c r="F133" s="435"/>
      <c r="G133" s="107"/>
      <c r="H133" s="48"/>
      <c r="I133" s="47"/>
      <c r="J133" s="112"/>
      <c r="K133" s="47"/>
      <c r="L133" s="86"/>
      <c r="M133" s="86"/>
      <c r="N133" s="88"/>
      <c r="O133" s="88"/>
      <c r="P133" s="10"/>
      <c r="Q133" s="342">
        <f>'Additional information'!$D$17</f>
        <v>0.75</v>
      </c>
      <c r="R133" s="141"/>
      <c r="T133" s="149"/>
      <c r="U133" s="148"/>
      <c r="X133" s="581"/>
      <c r="Y133" s="581" t="str">
        <f t="shared" si="10"/>
        <v/>
      </c>
      <c r="Z133" s="141" t="str">
        <f t="shared" si="11"/>
        <v/>
      </c>
    </row>
    <row r="134" spans="1:26" s="147" customFormat="1" ht="261" customHeight="1" x14ac:dyDescent="0.2">
      <c r="A134" s="45">
        <f>A132+1</f>
        <v>43</v>
      </c>
      <c r="B134" s="186" t="s">
        <v>482</v>
      </c>
      <c r="C134" s="146" t="s">
        <v>482</v>
      </c>
      <c r="D134" s="167" t="s">
        <v>1829</v>
      </c>
      <c r="E134" s="152">
        <f>LEN(D134)</f>
        <v>336</v>
      </c>
      <c r="F134" s="435" t="s">
        <v>483</v>
      </c>
      <c r="G134" s="152">
        <f>LEN(F134)</f>
        <v>394</v>
      </c>
      <c r="H134" s="161" t="s">
        <v>37</v>
      </c>
      <c r="I134" s="152" t="s">
        <v>24</v>
      </c>
      <c r="J134" s="152" t="s">
        <v>24</v>
      </c>
      <c r="K134" s="152" t="s">
        <v>38</v>
      </c>
      <c r="L134" s="176" t="s">
        <v>484</v>
      </c>
      <c r="M134" s="222" t="s">
        <v>24</v>
      </c>
      <c r="N134" s="150" t="s">
        <v>485</v>
      </c>
      <c r="O134" s="175"/>
      <c r="P134" s="10"/>
      <c r="Q134" s="342">
        <f>'Additional information'!$D$17</f>
        <v>0.75</v>
      </c>
      <c r="R134" s="141"/>
      <c r="T134" s="424" t="s">
        <v>33</v>
      </c>
      <c r="U134" s="148"/>
      <c r="X134" s="580">
        <v>23.569721221923832</v>
      </c>
      <c r="Y134" s="580">
        <f t="shared" si="10"/>
        <v>17.677290916442875</v>
      </c>
      <c r="Z134" s="141">
        <f t="shared" si="11"/>
        <v>17.677290916442875</v>
      </c>
    </row>
    <row r="135" spans="1:26" s="147" customFormat="1" ht="17" customHeight="1" thickBot="1" x14ac:dyDescent="0.25">
      <c r="A135" s="45"/>
      <c r="B135" s="184"/>
      <c r="C135" s="101"/>
      <c r="D135" s="546"/>
      <c r="E135" s="107"/>
      <c r="F135" s="546"/>
      <c r="G135" s="107"/>
      <c r="H135" s="48"/>
      <c r="I135" s="47"/>
      <c r="J135" s="112"/>
      <c r="K135" s="47"/>
      <c r="L135" s="86"/>
      <c r="M135" s="86"/>
      <c r="N135" s="88"/>
      <c r="O135" s="88"/>
      <c r="P135" s="10"/>
      <c r="Q135" s="342">
        <f>'Additional information'!$D$17</f>
        <v>0.75</v>
      </c>
      <c r="R135" s="141"/>
      <c r="T135" s="149"/>
      <c r="U135" s="148"/>
      <c r="X135" s="581"/>
      <c r="Y135" s="581" t="str">
        <f t="shared" si="10"/>
        <v/>
      </c>
      <c r="Z135" s="141" t="str">
        <f t="shared" si="11"/>
        <v/>
      </c>
    </row>
    <row r="136" spans="1:26" s="415" customFormat="1" ht="17" customHeight="1" thickBot="1" x14ac:dyDescent="0.25">
      <c r="A136" s="604" t="s">
        <v>486</v>
      </c>
      <c r="B136" s="605"/>
      <c r="C136" s="605"/>
      <c r="D136" s="605"/>
      <c r="E136" s="605"/>
      <c r="F136" s="605"/>
      <c r="G136" s="605"/>
      <c r="H136" s="605"/>
      <c r="I136" s="605"/>
      <c r="J136" s="605"/>
      <c r="K136" s="605"/>
      <c r="L136" s="605"/>
      <c r="M136" s="605"/>
      <c r="N136" s="605"/>
      <c r="O136" s="605"/>
      <c r="P136" s="606"/>
      <c r="Q136" s="273"/>
      <c r="R136" s="426"/>
      <c r="T136" s="424"/>
      <c r="U136" s="427"/>
      <c r="X136" s="580"/>
      <c r="Y136" s="580" t="str">
        <f t="shared" si="10"/>
        <v/>
      </c>
      <c r="Z136" s="426" t="str">
        <f t="shared" si="11"/>
        <v/>
      </c>
    </row>
    <row r="137" spans="1:26" s="147" customFormat="1" ht="136" customHeight="1" x14ac:dyDescent="0.2">
      <c r="A137" s="100">
        <f>A134+1</f>
        <v>44</v>
      </c>
      <c r="B137" s="399" t="s">
        <v>487</v>
      </c>
      <c r="C137" s="547" t="s">
        <v>487</v>
      </c>
      <c r="D137" s="548" t="s">
        <v>488</v>
      </c>
      <c r="E137" s="144">
        <f>LEN(D137)</f>
        <v>173</v>
      </c>
      <c r="F137" s="447" t="s">
        <v>489</v>
      </c>
      <c r="G137" s="144">
        <f>LEN(F137)</f>
        <v>215</v>
      </c>
      <c r="H137" s="144" t="s">
        <v>37</v>
      </c>
      <c r="I137" s="144" t="s">
        <v>24</v>
      </c>
      <c r="J137" s="144" t="s">
        <v>490</v>
      </c>
      <c r="K137" s="144" t="s">
        <v>38</v>
      </c>
      <c r="L137" s="143" t="s">
        <v>491</v>
      </c>
      <c r="M137" s="222" t="s">
        <v>24</v>
      </c>
      <c r="N137" s="150" t="s">
        <v>492</v>
      </c>
      <c r="O137" s="175"/>
      <c r="P137" s="9"/>
      <c r="Q137" s="273">
        <f>'Additional information'!$D$18</f>
        <v>0.2</v>
      </c>
      <c r="R137" s="141"/>
      <c r="T137" s="424" t="s">
        <v>33</v>
      </c>
      <c r="U137" s="148"/>
      <c r="X137" s="580">
        <v>4.5019583702087402</v>
      </c>
      <c r="Y137" s="580">
        <f t="shared" si="10"/>
        <v>0.90039167404174814</v>
      </c>
      <c r="Z137" s="141">
        <f t="shared" si="11"/>
        <v>0.90039167404174814</v>
      </c>
    </row>
    <row r="138" spans="1:26" s="147" customFormat="1" x14ac:dyDescent="0.2">
      <c r="A138" s="45"/>
      <c r="B138" s="184"/>
      <c r="C138" s="101"/>
      <c r="D138" s="546"/>
      <c r="E138" s="107"/>
      <c r="F138" s="448"/>
      <c r="G138" s="107"/>
      <c r="H138" s="48"/>
      <c r="I138" s="47"/>
      <c r="J138" s="113"/>
      <c r="K138" s="47"/>
      <c r="L138" s="86"/>
      <c r="M138" s="86"/>
      <c r="N138" s="88"/>
      <c r="O138" s="88"/>
      <c r="P138" s="10"/>
      <c r="Q138" s="342">
        <f>'Additional information'!$D$18</f>
        <v>0.2</v>
      </c>
      <c r="R138" s="141"/>
      <c r="T138" s="149"/>
      <c r="U138" s="148"/>
      <c r="X138" s="581"/>
      <c r="Y138" s="581" t="str">
        <f t="shared" si="10"/>
        <v/>
      </c>
      <c r="Z138" s="141" t="str">
        <f t="shared" si="11"/>
        <v/>
      </c>
    </row>
    <row r="139" spans="1:26" s="147" customFormat="1" ht="323" customHeight="1" x14ac:dyDescent="0.2">
      <c r="A139" s="100">
        <f>A137+1</f>
        <v>45</v>
      </c>
      <c r="B139" s="237" t="s">
        <v>493</v>
      </c>
      <c r="C139" s="146" t="s">
        <v>493</v>
      </c>
      <c r="D139" s="145" t="s">
        <v>494</v>
      </c>
      <c r="E139" s="144">
        <f>LEN(D139)</f>
        <v>579</v>
      </c>
      <c r="F139" s="198" t="s">
        <v>495</v>
      </c>
      <c r="G139" s="144">
        <f>LEN(F139)</f>
        <v>640</v>
      </c>
      <c r="H139" s="144" t="s">
        <v>37</v>
      </c>
      <c r="I139" s="144" t="s">
        <v>24</v>
      </c>
      <c r="J139" s="144" t="s">
        <v>24</v>
      </c>
      <c r="K139" s="146" t="s">
        <v>496</v>
      </c>
      <c r="L139" s="143" t="s">
        <v>497</v>
      </c>
      <c r="M139" s="222" t="s">
        <v>24</v>
      </c>
      <c r="N139" s="150" t="s">
        <v>498</v>
      </c>
      <c r="O139" s="175"/>
      <c r="P139" s="51"/>
      <c r="Q139" s="273">
        <f>'Additional information'!$D$18</f>
        <v>0.2</v>
      </c>
      <c r="R139" s="141"/>
      <c r="T139" s="424" t="s">
        <v>33</v>
      </c>
      <c r="U139" s="148"/>
      <c r="X139" s="580">
        <v>17.402484893798832</v>
      </c>
      <c r="Y139" s="580">
        <f t="shared" si="10"/>
        <v>3.4804969787597666</v>
      </c>
      <c r="Z139" s="141">
        <f t="shared" si="11"/>
        <v>3.4804969787597666</v>
      </c>
    </row>
    <row r="140" spans="1:26" s="147" customFormat="1" x14ac:dyDescent="0.2">
      <c r="A140" s="100"/>
      <c r="B140" s="264"/>
      <c r="C140" s="101"/>
      <c r="D140" s="173"/>
      <c r="E140" s="107"/>
      <c r="F140" s="106"/>
      <c r="G140" s="107"/>
      <c r="H140" s="107"/>
      <c r="I140" s="107"/>
      <c r="J140" s="107"/>
      <c r="K140" s="101"/>
      <c r="L140" s="88"/>
      <c r="M140" s="86"/>
      <c r="N140" s="175"/>
      <c r="O140" s="175"/>
      <c r="P140" s="51"/>
      <c r="Q140" s="342">
        <f>'Additional information'!$D$18</f>
        <v>0.2</v>
      </c>
      <c r="R140" s="141"/>
      <c r="T140" s="149"/>
      <c r="U140" s="148"/>
      <c r="X140" s="581"/>
      <c r="Y140" s="581" t="str">
        <f t="shared" si="10"/>
        <v/>
      </c>
      <c r="Z140" s="141" t="str">
        <f t="shared" si="11"/>
        <v/>
      </c>
    </row>
    <row r="141" spans="1:26" s="147" customFormat="1" ht="68" customHeight="1" x14ac:dyDescent="0.2">
      <c r="A141" s="45">
        <f>A139+1</f>
        <v>46</v>
      </c>
      <c r="B141" s="186" t="s">
        <v>499</v>
      </c>
      <c r="C141" s="146" t="s">
        <v>499</v>
      </c>
      <c r="D141" s="167" t="s">
        <v>500</v>
      </c>
      <c r="E141" s="152">
        <f>LEN(D141)</f>
        <v>152</v>
      </c>
      <c r="F141" s="198" t="s">
        <v>501</v>
      </c>
      <c r="G141" s="152">
        <f>LEN(F141)</f>
        <v>176</v>
      </c>
      <c r="H141" s="161" t="s">
        <v>121</v>
      </c>
      <c r="I141" s="152" t="s">
        <v>24</v>
      </c>
      <c r="J141" s="152" t="s">
        <v>24</v>
      </c>
      <c r="K141" s="152" t="s">
        <v>502</v>
      </c>
      <c r="L141" s="151" t="s">
        <v>503</v>
      </c>
      <c r="M141" s="222" t="s">
        <v>24</v>
      </c>
      <c r="N141" s="151" t="s">
        <v>504</v>
      </c>
      <c r="O141" s="88"/>
      <c r="P141" s="10"/>
      <c r="Q141" s="273">
        <f>'Additional information'!$D$18</f>
        <v>0.2</v>
      </c>
      <c r="R141" s="141"/>
      <c r="T141" s="424" t="s">
        <v>33</v>
      </c>
      <c r="U141" s="148"/>
      <c r="X141" s="580">
        <v>16.332881927490231</v>
      </c>
      <c r="Y141" s="580">
        <f t="shared" si="10"/>
        <v>3.2665763854980465</v>
      </c>
      <c r="Z141" s="141">
        <f t="shared" si="11"/>
        <v>3.2665763854980465</v>
      </c>
    </row>
    <row r="142" spans="1:26" s="147" customFormat="1" ht="68" customHeight="1" x14ac:dyDescent="0.2">
      <c r="A142" s="45">
        <f>A141+1</f>
        <v>47</v>
      </c>
      <c r="B142" s="186" t="s">
        <v>505</v>
      </c>
      <c r="C142" s="146" t="s">
        <v>505</v>
      </c>
      <c r="D142" s="166" t="s">
        <v>506</v>
      </c>
      <c r="E142" s="152">
        <f>LEN(D142)</f>
        <v>128</v>
      </c>
      <c r="F142" s="198" t="s">
        <v>507</v>
      </c>
      <c r="G142" s="152">
        <f>LEN(F142)</f>
        <v>152</v>
      </c>
      <c r="H142" s="161" t="s">
        <v>121</v>
      </c>
      <c r="I142" s="152" t="s">
        <v>24</v>
      </c>
      <c r="J142" s="152" t="s">
        <v>24</v>
      </c>
      <c r="K142" s="152" t="s">
        <v>502</v>
      </c>
      <c r="L142" s="151" t="s">
        <v>508</v>
      </c>
      <c r="M142" s="222" t="s">
        <v>24</v>
      </c>
      <c r="N142" s="151" t="s">
        <v>509</v>
      </c>
      <c r="O142" s="88"/>
      <c r="P142" s="10"/>
      <c r="Q142" s="273">
        <f>'Additional information'!$D$18</f>
        <v>0.2</v>
      </c>
      <c r="R142" s="141"/>
      <c r="T142" s="424" t="s">
        <v>33</v>
      </c>
      <c r="U142" s="148"/>
      <c r="X142" s="580">
        <v>7.4144525527954102</v>
      </c>
      <c r="Y142" s="580">
        <f t="shared" ref="Y142:Y173" si="12">IF(X142="","",X142*Q142)</f>
        <v>1.4828905105590822</v>
      </c>
      <c r="Z142" s="141">
        <f t="shared" ref="Z142:Z173" si="13">IF(T142="yes",Y142,"")</f>
        <v>1.4828905105590822</v>
      </c>
    </row>
    <row r="143" spans="1:26" s="147" customFormat="1" ht="400" customHeight="1" x14ac:dyDescent="0.2">
      <c r="A143" s="45">
        <v>44</v>
      </c>
      <c r="B143" s="186" t="s">
        <v>510</v>
      </c>
      <c r="C143" s="146" t="s">
        <v>511</v>
      </c>
      <c r="D143" s="396" t="s">
        <v>512</v>
      </c>
      <c r="E143" s="152">
        <f>LEN(D143)</f>
        <v>787</v>
      </c>
      <c r="F143" s="435" t="s">
        <v>513</v>
      </c>
      <c r="G143" s="152">
        <f>LEN(F143)</f>
        <v>934</v>
      </c>
      <c r="H143" s="146" t="s">
        <v>413</v>
      </c>
      <c r="I143" s="152" t="s">
        <v>24</v>
      </c>
      <c r="J143" s="152" t="s">
        <v>24</v>
      </c>
      <c r="K143" s="152" t="s">
        <v>514</v>
      </c>
      <c r="L143" s="151" t="s">
        <v>515</v>
      </c>
      <c r="M143" s="222" t="s">
        <v>516</v>
      </c>
      <c r="N143" s="150" t="s">
        <v>517</v>
      </c>
      <c r="O143" s="29"/>
      <c r="P143" s="10"/>
      <c r="Q143" s="273">
        <f>'Additional information'!$D$18</f>
        <v>0.2</v>
      </c>
      <c r="R143" s="141"/>
      <c r="T143" s="424" t="s">
        <v>33</v>
      </c>
      <c r="U143" s="148"/>
      <c r="X143" s="580">
        <v>17.791135787963871</v>
      </c>
      <c r="Y143" s="580">
        <f t="shared" si="12"/>
        <v>3.5582271575927744</v>
      </c>
      <c r="Z143" s="141">
        <f t="shared" si="13"/>
        <v>3.5582271575927744</v>
      </c>
    </row>
    <row r="144" spans="1:26" s="147" customFormat="1" ht="238" customHeight="1" x14ac:dyDescent="0.2">
      <c r="A144" s="14">
        <v>45</v>
      </c>
      <c r="B144" s="238" t="s">
        <v>518</v>
      </c>
      <c r="C144" s="17" t="s">
        <v>519</v>
      </c>
      <c r="D144" s="22" t="s">
        <v>520</v>
      </c>
      <c r="E144" s="20">
        <f>LEN(D144)</f>
        <v>285</v>
      </c>
      <c r="F144" s="449" t="s">
        <v>521</v>
      </c>
      <c r="G144" s="20">
        <f>LEN(F144)</f>
        <v>337</v>
      </c>
      <c r="H144" s="375" t="s">
        <v>413</v>
      </c>
      <c r="I144" s="20" t="s">
        <v>24</v>
      </c>
      <c r="J144" s="20" t="s">
        <v>24</v>
      </c>
      <c r="K144" s="20" t="s">
        <v>522</v>
      </c>
      <c r="L144" s="30" t="s">
        <v>523</v>
      </c>
      <c r="M144" s="82" t="s">
        <v>524</v>
      </c>
      <c r="N144" s="124" t="s">
        <v>525</v>
      </c>
      <c r="O144" s="63"/>
      <c r="P144" s="10"/>
      <c r="Q144" s="342">
        <f>'Additional information'!$D$18</f>
        <v>0.2</v>
      </c>
      <c r="R144" s="141"/>
      <c r="T144" s="149" t="s">
        <v>23</v>
      </c>
      <c r="U144" s="148"/>
      <c r="X144" s="581">
        <v>18.08681678771973</v>
      </c>
      <c r="Y144" s="581">
        <f t="shared" si="12"/>
        <v>3.6173633575439461</v>
      </c>
      <c r="Z144" s="141" t="str">
        <f t="shared" si="13"/>
        <v/>
      </c>
    </row>
    <row r="145" spans="1:26" s="147" customFormat="1" x14ac:dyDescent="0.2">
      <c r="A145" s="45"/>
      <c r="B145" s="184"/>
      <c r="C145" s="101"/>
      <c r="D145" s="81"/>
      <c r="E145" s="47"/>
      <c r="G145" s="47"/>
      <c r="H145" s="102"/>
      <c r="I145" s="47"/>
      <c r="J145" s="47"/>
      <c r="K145" s="47"/>
      <c r="L145" s="86"/>
      <c r="M145" s="86"/>
      <c r="N145" s="86"/>
      <c r="O145" s="88"/>
      <c r="P145" s="10"/>
      <c r="Q145" s="342">
        <f>'Additional information'!$D$18</f>
        <v>0.2</v>
      </c>
      <c r="R145" s="141"/>
      <c r="T145" s="149"/>
      <c r="U145" s="148"/>
      <c r="X145" s="581"/>
      <c r="Y145" s="581" t="str">
        <f t="shared" si="12"/>
        <v/>
      </c>
      <c r="Z145" s="141" t="str">
        <f t="shared" si="13"/>
        <v/>
      </c>
    </row>
    <row r="146" spans="1:26" s="147" customFormat="1" ht="153" customHeight="1" x14ac:dyDescent="0.2">
      <c r="A146" s="45">
        <f>A144+1</f>
        <v>46</v>
      </c>
      <c r="B146" s="186" t="s">
        <v>526</v>
      </c>
      <c r="C146" s="146" t="s">
        <v>526</v>
      </c>
      <c r="D146" s="167" t="s">
        <v>527</v>
      </c>
      <c r="E146" s="152">
        <f>LEN(D146)</f>
        <v>167</v>
      </c>
      <c r="F146" s="435" t="s">
        <v>528</v>
      </c>
      <c r="G146" s="152">
        <f>LEN(F146)</f>
        <v>187</v>
      </c>
      <c r="H146" s="161" t="s">
        <v>37</v>
      </c>
      <c r="I146" s="152" t="s">
        <v>24</v>
      </c>
      <c r="J146" s="152" t="s">
        <v>24</v>
      </c>
      <c r="K146" s="152" t="s">
        <v>38</v>
      </c>
      <c r="L146" s="151" t="s">
        <v>529</v>
      </c>
      <c r="M146" s="222" t="s">
        <v>24</v>
      </c>
      <c r="N146" s="151" t="s">
        <v>530</v>
      </c>
      <c r="O146" s="43"/>
      <c r="P146" s="10"/>
      <c r="Q146" s="273">
        <f>'Additional information'!$D$18</f>
        <v>0.2</v>
      </c>
      <c r="R146" s="141"/>
      <c r="T146" s="424" t="s">
        <v>33</v>
      </c>
      <c r="U146" s="148"/>
      <c r="X146" s="580">
        <v>10.37455940246582</v>
      </c>
      <c r="Y146" s="580">
        <f t="shared" si="12"/>
        <v>2.0749118804931643</v>
      </c>
      <c r="Z146" s="141">
        <f t="shared" si="13"/>
        <v>2.0749118804931643</v>
      </c>
    </row>
    <row r="147" spans="1:26" s="147" customFormat="1" ht="372" customHeight="1" x14ac:dyDescent="0.2">
      <c r="A147" s="114">
        <f>A146+1</f>
        <v>47</v>
      </c>
      <c r="B147" s="239" t="s">
        <v>531</v>
      </c>
      <c r="C147" s="137" t="s">
        <v>532</v>
      </c>
      <c r="D147" s="167" t="s">
        <v>533</v>
      </c>
      <c r="E147" s="152">
        <f>LEN(D147)</f>
        <v>662</v>
      </c>
      <c r="F147" s="435" t="s">
        <v>534</v>
      </c>
      <c r="G147" s="152">
        <f>LEN(F147)</f>
        <v>762</v>
      </c>
      <c r="H147" s="146" t="s">
        <v>413</v>
      </c>
      <c r="I147" s="152" t="s">
        <v>24</v>
      </c>
      <c r="J147" s="152" t="s">
        <v>24</v>
      </c>
      <c r="K147" s="152" t="s">
        <v>535</v>
      </c>
      <c r="L147" s="398" t="s">
        <v>536</v>
      </c>
      <c r="M147" s="222" t="s">
        <v>537</v>
      </c>
      <c r="N147" s="167" t="s">
        <v>538</v>
      </c>
      <c r="O147" s="61"/>
      <c r="P147" s="10"/>
      <c r="Q147" s="273">
        <f>'Additional information'!$D$18</f>
        <v>0.2</v>
      </c>
      <c r="R147" s="141"/>
      <c r="T147" s="424" t="s">
        <v>33</v>
      </c>
      <c r="U147" s="148"/>
      <c r="X147" s="580">
        <v>19.616762161254879</v>
      </c>
      <c r="Y147" s="580">
        <f t="shared" si="12"/>
        <v>3.9233524322509759</v>
      </c>
      <c r="Z147" s="141">
        <f t="shared" si="13"/>
        <v>3.9233524322509759</v>
      </c>
    </row>
    <row r="148" spans="1:26" s="147" customFormat="1" ht="17" customHeight="1" thickBot="1" x14ac:dyDescent="0.25">
      <c r="A148" s="45"/>
      <c r="B148" s="184"/>
      <c r="C148" s="101"/>
      <c r="D148" s="81"/>
      <c r="E148" s="47"/>
      <c r="F148" s="47"/>
      <c r="G148" s="47"/>
      <c r="H148" s="102"/>
      <c r="I148" s="47"/>
      <c r="J148" s="47"/>
      <c r="K148" s="47"/>
      <c r="L148" s="86"/>
      <c r="M148" s="86"/>
      <c r="N148" s="86"/>
      <c r="O148" s="88"/>
      <c r="P148" s="51"/>
      <c r="Q148" s="342">
        <f>'Additional information'!$D$18</f>
        <v>0.2</v>
      </c>
      <c r="R148" s="141"/>
      <c r="T148" s="149"/>
      <c r="U148" s="148"/>
      <c r="X148" s="581"/>
      <c r="Y148" s="581" t="str">
        <f t="shared" si="12"/>
        <v/>
      </c>
      <c r="Z148" s="141" t="str">
        <f t="shared" si="13"/>
        <v/>
      </c>
    </row>
    <row r="149" spans="1:26" s="415" customFormat="1" ht="17" customHeight="1" thickBot="1" x14ac:dyDescent="0.25">
      <c r="A149" s="604" t="s">
        <v>539</v>
      </c>
      <c r="B149" s="605"/>
      <c r="C149" s="605"/>
      <c r="D149" s="605"/>
      <c r="E149" s="605"/>
      <c r="F149" s="605"/>
      <c r="G149" s="605"/>
      <c r="H149" s="605"/>
      <c r="I149" s="605"/>
      <c r="J149" s="605"/>
      <c r="K149" s="605"/>
      <c r="L149" s="605"/>
      <c r="M149" s="605"/>
      <c r="N149" s="605"/>
      <c r="O149" s="605"/>
      <c r="P149" s="606"/>
      <c r="Q149" s="273"/>
      <c r="R149" s="426"/>
      <c r="T149" s="424"/>
      <c r="U149" s="427"/>
      <c r="X149" s="580"/>
      <c r="Y149" s="580" t="str">
        <f t="shared" si="12"/>
        <v/>
      </c>
      <c r="Z149" s="426" t="str">
        <f t="shared" si="13"/>
        <v/>
      </c>
    </row>
    <row r="150" spans="1:26" s="147" customFormat="1" ht="323" customHeight="1" x14ac:dyDescent="0.2">
      <c r="A150" s="100">
        <f>A147+1</f>
        <v>48</v>
      </c>
      <c r="B150" s="237" t="s">
        <v>540</v>
      </c>
      <c r="C150" s="146" t="s">
        <v>540</v>
      </c>
      <c r="D150" s="170" t="s">
        <v>541</v>
      </c>
      <c r="E150" s="144">
        <f>LEN(D150)</f>
        <v>503</v>
      </c>
      <c r="F150" s="435" t="s">
        <v>542</v>
      </c>
      <c r="G150" s="144">
        <f>LEN(F150)</f>
        <v>563</v>
      </c>
      <c r="H150" s="154" t="s">
        <v>37</v>
      </c>
      <c r="I150" s="144" t="s">
        <v>24</v>
      </c>
      <c r="J150" s="144" t="s">
        <v>543</v>
      </c>
      <c r="K150" s="146" t="s">
        <v>544</v>
      </c>
      <c r="L150" s="143" t="s">
        <v>545</v>
      </c>
      <c r="M150" s="222" t="s">
        <v>24</v>
      </c>
      <c r="N150" s="143" t="s">
        <v>546</v>
      </c>
      <c r="O150" s="88"/>
      <c r="P150" s="9"/>
      <c r="Q150" s="273">
        <f>'Additional information'!$D$18</f>
        <v>0.2</v>
      </c>
      <c r="R150" s="141"/>
      <c r="T150" s="424" t="s">
        <v>33</v>
      </c>
      <c r="U150" s="148"/>
      <c r="X150" s="580">
        <v>12.992362976074221</v>
      </c>
      <c r="Y150" s="580">
        <f t="shared" si="12"/>
        <v>2.5984725952148442</v>
      </c>
      <c r="Z150" s="141">
        <f t="shared" si="13"/>
        <v>2.5984725952148442</v>
      </c>
    </row>
    <row r="151" spans="1:26" s="147" customFormat="1" x14ac:dyDescent="0.2">
      <c r="A151" s="100"/>
      <c r="B151" s="264"/>
      <c r="C151" s="101"/>
      <c r="D151" s="109"/>
      <c r="E151" s="107"/>
      <c r="F151" s="107"/>
      <c r="G151" s="107"/>
      <c r="H151" s="110"/>
      <c r="I151" s="107"/>
      <c r="J151" s="107"/>
      <c r="K151" s="101"/>
      <c r="L151" s="88"/>
      <c r="M151" s="86"/>
      <c r="N151" s="88"/>
      <c r="O151" s="88"/>
      <c r="P151" s="51"/>
      <c r="Q151" s="342">
        <f>'Additional information'!$D$18</f>
        <v>0.2</v>
      </c>
      <c r="R151" s="141"/>
      <c r="T151" s="149"/>
      <c r="U151" s="148"/>
      <c r="X151" s="581"/>
      <c r="Y151" s="581" t="str">
        <f t="shared" si="12"/>
        <v/>
      </c>
      <c r="Z151" s="141" t="str">
        <f t="shared" si="13"/>
        <v/>
      </c>
    </row>
    <row r="152" spans="1:26" s="147" customFormat="1" ht="153" customHeight="1" x14ac:dyDescent="0.2">
      <c r="A152" s="45">
        <f>A150+1</f>
        <v>49</v>
      </c>
      <c r="B152" s="168" t="s">
        <v>547</v>
      </c>
      <c r="C152" s="146" t="s">
        <v>547</v>
      </c>
      <c r="D152" s="167" t="s">
        <v>548</v>
      </c>
      <c r="E152" s="152">
        <f>LEN(D152)</f>
        <v>166</v>
      </c>
      <c r="F152" s="435" t="s">
        <v>549</v>
      </c>
      <c r="G152" s="152">
        <f>LEN(F152)</f>
        <v>198</v>
      </c>
      <c r="H152" s="161" t="s">
        <v>37</v>
      </c>
      <c r="I152" s="152" t="s">
        <v>24</v>
      </c>
      <c r="J152" s="152" t="s">
        <v>24</v>
      </c>
      <c r="K152" s="152" t="s">
        <v>38</v>
      </c>
      <c r="L152" s="151" t="s">
        <v>550</v>
      </c>
      <c r="M152" s="222" t="s">
        <v>24</v>
      </c>
      <c r="N152" s="151" t="s">
        <v>551</v>
      </c>
      <c r="O152" s="86"/>
      <c r="P152" s="10"/>
      <c r="Q152" s="273">
        <f>'Additional information'!$D$18</f>
        <v>0.2</v>
      </c>
      <c r="R152" s="141"/>
      <c r="T152" s="424" t="s">
        <v>33</v>
      </c>
      <c r="U152" s="148"/>
      <c r="X152" s="580">
        <v>8.6295709609985352</v>
      </c>
      <c r="Y152" s="580">
        <f t="shared" si="12"/>
        <v>1.7259141921997072</v>
      </c>
      <c r="Z152" s="141">
        <f t="shared" si="13"/>
        <v>1.7259141921997072</v>
      </c>
    </row>
    <row r="153" spans="1:26" s="147" customFormat="1" ht="323" customHeight="1" x14ac:dyDescent="0.2">
      <c r="A153" s="45">
        <f>A152+1</f>
        <v>50</v>
      </c>
      <c r="B153" s="186" t="s">
        <v>552</v>
      </c>
      <c r="C153" s="146" t="s">
        <v>553</v>
      </c>
      <c r="D153" s="396" t="s">
        <v>554</v>
      </c>
      <c r="E153" s="152">
        <f>LEN(D153)</f>
        <v>751</v>
      </c>
      <c r="F153" s="435" t="s">
        <v>555</v>
      </c>
      <c r="G153" s="152">
        <f>LEN(F153)</f>
        <v>893</v>
      </c>
      <c r="H153" s="146" t="s">
        <v>413</v>
      </c>
      <c r="I153" s="152" t="s">
        <v>24</v>
      </c>
      <c r="J153" s="152" t="s">
        <v>24</v>
      </c>
      <c r="K153" s="152" t="s">
        <v>556</v>
      </c>
      <c r="L153" s="151" t="s">
        <v>557</v>
      </c>
      <c r="M153" s="222" t="s">
        <v>558</v>
      </c>
      <c r="N153" s="151" t="s">
        <v>559</v>
      </c>
      <c r="O153" s="86"/>
      <c r="P153" s="10"/>
      <c r="Q153" s="273">
        <f>'Additional information'!$D$18</f>
        <v>0.2</v>
      </c>
      <c r="R153" s="141"/>
      <c r="T153" s="424" t="s">
        <v>33</v>
      </c>
      <c r="U153" s="148"/>
      <c r="X153" s="580">
        <v>18.256172180175781</v>
      </c>
      <c r="Y153" s="580">
        <f t="shared" si="12"/>
        <v>3.6512344360351565</v>
      </c>
      <c r="Z153" s="141">
        <f t="shared" si="13"/>
        <v>3.6512344360351565</v>
      </c>
    </row>
    <row r="154" spans="1:26" s="147" customFormat="1" x14ac:dyDescent="0.2">
      <c r="A154" s="45"/>
      <c r="B154" s="184"/>
      <c r="C154" s="101"/>
      <c r="D154" s="129"/>
      <c r="E154" s="47"/>
      <c r="F154" s="47"/>
      <c r="G154" s="47"/>
      <c r="H154" s="48"/>
      <c r="I154" s="47"/>
      <c r="J154" s="47"/>
      <c r="K154" s="47"/>
      <c r="L154" s="86"/>
      <c r="M154" s="86"/>
      <c r="N154" s="86"/>
      <c r="O154" s="86"/>
      <c r="P154" s="10"/>
      <c r="Q154" s="342">
        <f>'Additional information'!$D$18</f>
        <v>0.2</v>
      </c>
      <c r="R154" s="141"/>
      <c r="T154" s="149"/>
      <c r="U154" s="148"/>
      <c r="X154" s="581"/>
      <c r="Y154" s="581" t="str">
        <f t="shared" si="12"/>
        <v/>
      </c>
      <c r="Z154" s="141" t="str">
        <f t="shared" si="13"/>
        <v/>
      </c>
    </row>
    <row r="155" spans="1:26" s="147" customFormat="1" ht="221" customHeight="1" x14ac:dyDescent="0.2">
      <c r="A155" s="45">
        <f>A153+1</f>
        <v>51</v>
      </c>
      <c r="B155" s="186" t="s">
        <v>560</v>
      </c>
      <c r="C155" s="146" t="s">
        <v>560</v>
      </c>
      <c r="D155" s="167" t="s">
        <v>1830</v>
      </c>
      <c r="E155" s="152">
        <f>LEN(D155)</f>
        <v>334</v>
      </c>
      <c r="F155" s="435" t="s">
        <v>561</v>
      </c>
      <c r="G155" s="152">
        <f>LEN(F155)</f>
        <v>383</v>
      </c>
      <c r="H155" s="161" t="s">
        <v>37</v>
      </c>
      <c r="I155" s="152" t="s">
        <v>24</v>
      </c>
      <c r="J155" s="152" t="s">
        <v>24</v>
      </c>
      <c r="K155" s="152" t="s">
        <v>38</v>
      </c>
      <c r="L155" s="176" t="s">
        <v>562</v>
      </c>
      <c r="M155" s="222" t="s">
        <v>24</v>
      </c>
      <c r="N155" s="176" t="s">
        <v>563</v>
      </c>
      <c r="O155" s="60"/>
      <c r="P155" s="10"/>
      <c r="Q155" s="273">
        <f>'Additional information'!$D$18</f>
        <v>0.2</v>
      </c>
      <c r="R155" s="141"/>
      <c r="T155" s="424" t="s">
        <v>33</v>
      </c>
      <c r="U155" s="148"/>
      <c r="X155" s="580">
        <v>15.45627975463867</v>
      </c>
      <c r="Y155" s="580">
        <f t="shared" si="12"/>
        <v>3.0912559509277342</v>
      </c>
      <c r="Z155" s="141">
        <f t="shared" si="13"/>
        <v>3.0912559509277342</v>
      </c>
    </row>
    <row r="156" spans="1:26" s="147" customFormat="1" ht="17" customHeight="1" thickBot="1" x14ac:dyDescent="0.25">
      <c r="A156" s="45"/>
      <c r="B156" s="184"/>
      <c r="C156" s="101"/>
      <c r="D156" s="81"/>
      <c r="E156" s="47"/>
      <c r="F156" s="47"/>
      <c r="G156" s="47"/>
      <c r="H156" s="102"/>
      <c r="I156" s="47"/>
      <c r="J156" s="47"/>
      <c r="K156" s="47"/>
      <c r="L156" s="60"/>
      <c r="M156" s="86"/>
      <c r="N156" s="60"/>
      <c r="O156" s="60"/>
      <c r="P156" s="10"/>
      <c r="Q156" s="342">
        <f>'Additional information'!$D$18</f>
        <v>0.2</v>
      </c>
      <c r="R156" s="141"/>
      <c r="T156" s="149"/>
      <c r="U156" s="148"/>
      <c r="X156" s="581"/>
      <c r="Y156" s="581" t="str">
        <f t="shared" si="12"/>
        <v/>
      </c>
      <c r="Z156" s="141" t="str">
        <f t="shared" si="13"/>
        <v/>
      </c>
    </row>
    <row r="157" spans="1:26" s="415" customFormat="1" ht="17" customHeight="1" thickBot="1" x14ac:dyDescent="0.25">
      <c r="A157" s="604" t="s">
        <v>564</v>
      </c>
      <c r="B157" s="605"/>
      <c r="C157" s="605"/>
      <c r="D157" s="605"/>
      <c r="E157" s="605"/>
      <c r="F157" s="605"/>
      <c r="G157" s="605"/>
      <c r="H157" s="605"/>
      <c r="I157" s="605"/>
      <c r="J157" s="605"/>
      <c r="K157" s="605"/>
      <c r="L157" s="605"/>
      <c r="M157" s="605"/>
      <c r="N157" s="605"/>
      <c r="O157" s="605"/>
      <c r="P157" s="606"/>
      <c r="Q157" s="273"/>
      <c r="R157" s="426"/>
      <c r="T157" s="424"/>
      <c r="U157" s="427"/>
      <c r="X157" s="580"/>
      <c r="Y157" s="580" t="str">
        <f t="shared" si="12"/>
        <v/>
      </c>
      <c r="Z157" s="426" t="str">
        <f t="shared" si="13"/>
        <v/>
      </c>
    </row>
    <row r="158" spans="1:26" s="147" customFormat="1" ht="120" customHeight="1" x14ac:dyDescent="0.2">
      <c r="A158" s="100">
        <f>A155+1</f>
        <v>52</v>
      </c>
      <c r="B158" s="237" t="s">
        <v>565</v>
      </c>
      <c r="C158" s="146" t="s">
        <v>565</v>
      </c>
      <c r="D158" s="400" t="s">
        <v>566</v>
      </c>
      <c r="E158" s="144">
        <f>LEN(D158)</f>
        <v>206</v>
      </c>
      <c r="F158" s="549" t="s">
        <v>567</v>
      </c>
      <c r="G158" s="144">
        <f>LEN(F158)</f>
        <v>254</v>
      </c>
      <c r="H158" s="144" t="s">
        <v>37</v>
      </c>
      <c r="I158" s="144" t="s">
        <v>24</v>
      </c>
      <c r="J158" s="144" t="s">
        <v>568</v>
      </c>
      <c r="K158" s="152" t="s">
        <v>38</v>
      </c>
      <c r="L158" s="143" t="s">
        <v>569</v>
      </c>
      <c r="M158" s="222" t="s">
        <v>24</v>
      </c>
      <c r="N158" s="150" t="s">
        <v>570</v>
      </c>
      <c r="O158" s="175"/>
      <c r="P158" s="9"/>
      <c r="Q158" s="273">
        <f>'Additional information'!$D$19</f>
        <v>0.05</v>
      </c>
      <c r="R158" s="141"/>
      <c r="T158" s="424" t="s">
        <v>33</v>
      </c>
      <c r="U158" s="148"/>
      <c r="X158" s="580">
        <v>2.4801323413848881</v>
      </c>
      <c r="Y158" s="580">
        <f t="shared" si="12"/>
        <v>0.12400661706924442</v>
      </c>
      <c r="Z158" s="141">
        <f t="shared" si="13"/>
        <v>0.12400661706924442</v>
      </c>
    </row>
    <row r="159" spans="1:26" s="147" customFormat="1" x14ac:dyDescent="0.2">
      <c r="A159" s="45"/>
      <c r="B159" s="184"/>
      <c r="C159" s="101"/>
      <c r="D159" s="81"/>
      <c r="E159" s="47"/>
      <c r="F159" s="81"/>
      <c r="G159" s="47"/>
      <c r="H159" s="102"/>
      <c r="I159" s="47"/>
      <c r="J159" s="47"/>
      <c r="K159" s="47"/>
      <c r="L159" s="60"/>
      <c r="M159" s="93"/>
      <c r="N159" s="60"/>
      <c r="O159" s="60"/>
      <c r="P159" s="10"/>
      <c r="Q159" s="342">
        <f>'Additional information'!$D$19</f>
        <v>0.05</v>
      </c>
      <c r="R159" s="141"/>
      <c r="T159" s="149"/>
      <c r="U159" s="148"/>
      <c r="X159" s="581"/>
      <c r="Y159" s="581" t="str">
        <f t="shared" si="12"/>
        <v/>
      </c>
      <c r="Z159" s="141" t="str">
        <f t="shared" si="13"/>
        <v/>
      </c>
    </row>
    <row r="160" spans="1:26" s="147" customFormat="1" ht="170" customHeight="1" x14ac:dyDescent="0.2">
      <c r="A160" s="100">
        <f>A158+1</f>
        <v>53</v>
      </c>
      <c r="B160" s="237" t="s">
        <v>571</v>
      </c>
      <c r="C160" s="401" t="s">
        <v>572</v>
      </c>
      <c r="D160" s="396" t="s">
        <v>573</v>
      </c>
      <c r="E160" s="144">
        <f>LEN(D160)</f>
        <v>282</v>
      </c>
      <c r="F160" s="208" t="s">
        <v>574</v>
      </c>
      <c r="G160" s="144">
        <f>LEN(F160)</f>
        <v>285</v>
      </c>
      <c r="H160" s="146" t="s">
        <v>255</v>
      </c>
      <c r="I160" s="144" t="s">
        <v>24</v>
      </c>
      <c r="J160" s="144" t="s">
        <v>24</v>
      </c>
      <c r="K160" s="144" t="s">
        <v>575</v>
      </c>
      <c r="L160" s="143" t="s">
        <v>576</v>
      </c>
      <c r="M160" s="222" t="s">
        <v>577</v>
      </c>
      <c r="N160" s="143" t="s">
        <v>578</v>
      </c>
      <c r="O160" s="88"/>
      <c r="P160" s="51"/>
      <c r="Q160" s="273">
        <f>'Additional information'!$D$19</f>
        <v>0.05</v>
      </c>
      <c r="R160" s="141"/>
      <c r="T160" s="424" t="s">
        <v>33</v>
      </c>
      <c r="U160" s="148"/>
      <c r="X160" s="580">
        <v>12.71689510345459</v>
      </c>
      <c r="Y160" s="580">
        <f t="shared" si="12"/>
        <v>0.63584475517272954</v>
      </c>
      <c r="Z160" s="141">
        <f t="shared" si="13"/>
        <v>0.63584475517272954</v>
      </c>
    </row>
    <row r="161" spans="1:26" s="147" customFormat="1" x14ac:dyDescent="0.2">
      <c r="A161" s="100"/>
      <c r="B161" s="264"/>
      <c r="C161" s="101"/>
      <c r="D161" s="550"/>
      <c r="E161" s="107"/>
      <c r="F161" s="550"/>
      <c r="G161" s="107"/>
      <c r="H161" s="101"/>
      <c r="I161" s="107"/>
      <c r="J161" s="107"/>
      <c r="K161" s="107"/>
      <c r="L161" s="88"/>
      <c r="M161" s="93"/>
      <c r="N161" s="88"/>
      <c r="O161" s="88"/>
      <c r="P161" s="51"/>
      <c r="Q161" s="342">
        <f>'Additional information'!$D$19</f>
        <v>0.05</v>
      </c>
      <c r="R161" s="141"/>
      <c r="T161" s="149"/>
      <c r="U161" s="148"/>
      <c r="X161" s="581"/>
      <c r="Y161" s="581" t="str">
        <f t="shared" si="12"/>
        <v/>
      </c>
      <c r="Z161" s="141" t="str">
        <f t="shared" si="13"/>
        <v/>
      </c>
    </row>
    <row r="162" spans="1:26" ht="221" customHeight="1" x14ac:dyDescent="0.2">
      <c r="A162" s="100">
        <f>A160+1</f>
        <v>54</v>
      </c>
      <c r="B162" s="402" t="s">
        <v>579</v>
      </c>
      <c r="C162" s="403" t="s">
        <v>579</v>
      </c>
      <c r="D162" s="396" t="s">
        <v>580</v>
      </c>
      <c r="E162" s="144">
        <f>LEN(D162)</f>
        <v>302</v>
      </c>
      <c r="F162" s="208" t="s">
        <v>581</v>
      </c>
      <c r="G162" s="144">
        <f>LEN(F162)</f>
        <v>388</v>
      </c>
      <c r="H162" s="403" t="s">
        <v>37</v>
      </c>
      <c r="I162" s="403" t="s">
        <v>24</v>
      </c>
      <c r="J162" s="403" t="s">
        <v>24</v>
      </c>
      <c r="K162" s="403" t="s">
        <v>38</v>
      </c>
      <c r="L162" s="404" t="s">
        <v>582</v>
      </c>
      <c r="M162" s="222" t="s">
        <v>24</v>
      </c>
      <c r="N162" s="404" t="s">
        <v>583</v>
      </c>
      <c r="O162" s="93"/>
      <c r="P162" s="10"/>
      <c r="Q162" s="273">
        <f>'Additional information'!$D$19</f>
        <v>0.05</v>
      </c>
      <c r="R162" s="141"/>
      <c r="T162" s="424" t="s">
        <v>33</v>
      </c>
      <c r="X162" s="580">
        <v>10.51750373840332</v>
      </c>
      <c r="Y162" s="580">
        <f t="shared" si="12"/>
        <v>0.52587518692016599</v>
      </c>
      <c r="Z162" s="141">
        <f t="shared" si="13"/>
        <v>0.52587518692016599</v>
      </c>
    </row>
    <row r="163" spans="1:26" x14ac:dyDescent="0.2">
      <c r="A163" s="100"/>
      <c r="B163" s="174"/>
      <c r="C163" s="172"/>
      <c r="D163" s="173"/>
      <c r="E163" s="107"/>
      <c r="F163" s="173"/>
      <c r="G163" s="107"/>
      <c r="H163" s="172"/>
      <c r="I163" s="172"/>
      <c r="J163" s="172"/>
      <c r="K163" s="172"/>
      <c r="L163" s="93"/>
      <c r="M163" s="93"/>
      <c r="N163" s="171"/>
      <c r="O163" s="93"/>
      <c r="P163" s="10"/>
      <c r="Q163" s="342">
        <f>'Additional information'!$D$19</f>
        <v>0.05</v>
      </c>
      <c r="R163" s="141"/>
      <c r="T163" s="149"/>
      <c r="X163" s="581"/>
      <c r="Y163" s="581" t="str">
        <f t="shared" si="12"/>
        <v/>
      </c>
      <c r="Z163" s="141" t="str">
        <f t="shared" si="13"/>
        <v/>
      </c>
    </row>
    <row r="164" spans="1:26" s="147" customFormat="1" ht="153" customHeight="1" x14ac:dyDescent="0.2">
      <c r="A164" s="100">
        <f>A162+1</f>
        <v>55</v>
      </c>
      <c r="B164" s="237" t="s">
        <v>584</v>
      </c>
      <c r="C164" s="146" t="s">
        <v>584</v>
      </c>
      <c r="D164" s="396" t="s">
        <v>585</v>
      </c>
      <c r="E164" s="144">
        <f>LEN(D164)</f>
        <v>169</v>
      </c>
      <c r="F164" s="208" t="s">
        <v>586</v>
      </c>
      <c r="G164" s="144">
        <f>LEN(F164)</f>
        <v>207</v>
      </c>
      <c r="H164" s="154" t="s">
        <v>37</v>
      </c>
      <c r="I164" s="144" t="s">
        <v>24</v>
      </c>
      <c r="J164" s="144" t="s">
        <v>24</v>
      </c>
      <c r="K164" s="144" t="s">
        <v>38</v>
      </c>
      <c r="L164" s="143" t="s">
        <v>587</v>
      </c>
      <c r="M164" s="222" t="s">
        <v>24</v>
      </c>
      <c r="N164" s="151" t="s">
        <v>588</v>
      </c>
      <c r="O164" s="43"/>
      <c r="P164" s="10"/>
      <c r="Q164" s="273">
        <f>'Additional information'!$D$19</f>
        <v>0.05</v>
      </c>
      <c r="R164" s="141"/>
      <c r="T164" s="424" t="s">
        <v>33</v>
      </c>
      <c r="U164" s="148"/>
      <c r="X164" s="580">
        <v>6.4824962615966797</v>
      </c>
      <c r="Y164" s="580">
        <f t="shared" si="12"/>
        <v>0.32412481307983398</v>
      </c>
      <c r="Z164" s="141">
        <f t="shared" si="13"/>
        <v>0.32412481307983398</v>
      </c>
    </row>
    <row r="165" spans="1:26" s="147" customFormat="1" ht="356" customHeight="1" x14ac:dyDescent="0.2">
      <c r="A165" s="45">
        <f>A164+1</f>
        <v>56</v>
      </c>
      <c r="B165" s="237" t="s">
        <v>589</v>
      </c>
      <c r="C165" s="146" t="s">
        <v>590</v>
      </c>
      <c r="D165" s="396" t="s">
        <v>591</v>
      </c>
      <c r="E165" s="152">
        <f>LEN(D165)</f>
        <v>762</v>
      </c>
      <c r="F165" s="435" t="s">
        <v>592</v>
      </c>
      <c r="G165" s="152">
        <f>LEN(F165)</f>
        <v>945</v>
      </c>
      <c r="H165" s="146" t="s">
        <v>413</v>
      </c>
      <c r="I165" s="152" t="s">
        <v>24</v>
      </c>
      <c r="J165" s="152" t="s">
        <v>24</v>
      </c>
      <c r="K165" s="152" t="s">
        <v>556</v>
      </c>
      <c r="L165" s="405" t="s">
        <v>593</v>
      </c>
      <c r="M165" s="222" t="s">
        <v>594</v>
      </c>
      <c r="N165" s="151" t="s">
        <v>595</v>
      </c>
      <c r="O165" s="61"/>
      <c r="P165" s="10"/>
      <c r="Q165" s="273">
        <f>'Additional information'!$D$19</f>
        <v>0.05</v>
      </c>
      <c r="R165" s="141"/>
      <c r="T165" s="424" t="s">
        <v>33</v>
      </c>
      <c r="U165" s="148"/>
      <c r="X165" s="580">
        <v>23.642156600952148</v>
      </c>
      <c r="Y165" s="580">
        <f t="shared" si="12"/>
        <v>1.1821078300476076</v>
      </c>
      <c r="Z165" s="141">
        <f t="shared" si="13"/>
        <v>1.1821078300476076</v>
      </c>
    </row>
    <row r="166" spans="1:26" s="147" customFormat="1" ht="255" customHeight="1" x14ac:dyDescent="0.2">
      <c r="A166" s="14">
        <f>A165+1</f>
        <v>57</v>
      </c>
      <c r="B166" s="238" t="s">
        <v>596</v>
      </c>
      <c r="C166" s="21" t="s">
        <v>597</v>
      </c>
      <c r="D166" s="376" t="s">
        <v>598</v>
      </c>
      <c r="E166" s="20">
        <f>LEN(D166)</f>
        <v>334</v>
      </c>
      <c r="F166" s="443" t="s">
        <v>599</v>
      </c>
      <c r="G166" s="20">
        <f>LEN(F166)</f>
        <v>432</v>
      </c>
      <c r="H166" s="21" t="s">
        <v>600</v>
      </c>
      <c r="I166" s="20" t="s">
        <v>24</v>
      </c>
      <c r="J166" s="20" t="s">
        <v>601</v>
      </c>
      <c r="K166" s="20" t="s">
        <v>602</v>
      </c>
      <c r="L166" s="30" t="s">
        <v>603</v>
      </c>
      <c r="M166" s="82" t="s">
        <v>604</v>
      </c>
      <c r="N166" s="30" t="s">
        <v>605</v>
      </c>
      <c r="O166" s="30"/>
      <c r="P166" s="383"/>
      <c r="Q166" s="342">
        <f>'Additional information'!$D$19</f>
        <v>0.05</v>
      </c>
      <c r="R166" s="141"/>
      <c r="T166" s="149" t="s">
        <v>23</v>
      </c>
      <c r="U166" s="148"/>
      <c r="X166" s="581">
        <v>19.20000076293945</v>
      </c>
      <c r="Y166" s="581">
        <f t="shared" si="12"/>
        <v>0.96000003814697255</v>
      </c>
      <c r="Z166" s="141" t="str">
        <f t="shared" si="13"/>
        <v/>
      </c>
    </row>
    <row r="167" spans="1:26" s="147" customFormat="1" ht="17" customHeight="1" thickBot="1" x14ac:dyDescent="0.25">
      <c r="A167" s="100"/>
      <c r="B167" s="264"/>
      <c r="C167" s="101"/>
      <c r="D167" s="173"/>
      <c r="E167" s="107"/>
      <c r="F167" s="107"/>
      <c r="G167" s="107"/>
      <c r="H167" s="110"/>
      <c r="I167" s="107"/>
      <c r="J167" s="107"/>
      <c r="K167" s="107"/>
      <c r="L167" s="88"/>
      <c r="M167" s="93"/>
      <c r="N167" s="88"/>
      <c r="O167" s="88"/>
      <c r="P167" s="51"/>
      <c r="Q167" s="342">
        <f>'Additional information'!$D$19</f>
        <v>0.05</v>
      </c>
      <c r="R167" s="141"/>
      <c r="T167" s="149"/>
      <c r="U167" s="148"/>
      <c r="X167" s="581"/>
      <c r="Y167" s="581" t="str">
        <f t="shared" si="12"/>
        <v/>
      </c>
      <c r="Z167" s="141" t="str">
        <f t="shared" si="13"/>
        <v/>
      </c>
    </row>
    <row r="168" spans="1:26" s="415" customFormat="1" ht="17" customHeight="1" thickBot="1" x14ac:dyDescent="0.25">
      <c r="A168" s="604" t="s">
        <v>606</v>
      </c>
      <c r="B168" s="605"/>
      <c r="C168" s="605"/>
      <c r="D168" s="605"/>
      <c r="E168" s="605"/>
      <c r="F168" s="605"/>
      <c r="G168" s="605"/>
      <c r="H168" s="605"/>
      <c r="I168" s="605"/>
      <c r="J168" s="605"/>
      <c r="K168" s="605"/>
      <c r="L168" s="605"/>
      <c r="M168" s="605"/>
      <c r="N168" s="605"/>
      <c r="O168" s="605"/>
      <c r="P168" s="606"/>
      <c r="Q168" s="273"/>
      <c r="R168" s="426"/>
      <c r="T168" s="424"/>
      <c r="U168" s="427"/>
      <c r="X168" s="580"/>
      <c r="Y168" s="580" t="str">
        <f t="shared" si="12"/>
        <v/>
      </c>
      <c r="Z168" s="426" t="str">
        <f t="shared" si="13"/>
        <v/>
      </c>
    </row>
    <row r="169" spans="1:26" s="147" customFormat="1" ht="221" customHeight="1" x14ac:dyDescent="0.2">
      <c r="A169" s="100">
        <f>A166+1</f>
        <v>58</v>
      </c>
      <c r="B169" s="237" t="s">
        <v>607</v>
      </c>
      <c r="C169" s="146" t="s">
        <v>607</v>
      </c>
      <c r="D169" s="406" t="s">
        <v>608</v>
      </c>
      <c r="E169" s="144">
        <f>LEN(D169)</f>
        <v>302</v>
      </c>
      <c r="F169" s="435" t="s">
        <v>609</v>
      </c>
      <c r="G169" s="144">
        <f>LEN(F169)</f>
        <v>369</v>
      </c>
      <c r="H169" s="154" t="s">
        <v>82</v>
      </c>
      <c r="I169" s="144" t="s">
        <v>24</v>
      </c>
      <c r="J169" s="144" t="s">
        <v>24</v>
      </c>
      <c r="K169" s="144" t="s">
        <v>432</v>
      </c>
      <c r="L169" s="169" t="s">
        <v>610</v>
      </c>
      <c r="M169" s="222" t="s">
        <v>24</v>
      </c>
      <c r="N169" s="407" t="s">
        <v>611</v>
      </c>
      <c r="O169" s="94"/>
      <c r="P169" s="9"/>
      <c r="Q169" s="273">
        <f>'Additional information'!$D$19</f>
        <v>0.05</v>
      </c>
      <c r="R169" s="141"/>
      <c r="T169" s="424" t="s">
        <v>33</v>
      </c>
      <c r="U169" s="148"/>
      <c r="X169" s="580">
        <v>9.2754945755004883</v>
      </c>
      <c r="Y169" s="580">
        <f t="shared" si="12"/>
        <v>0.46377472877502446</v>
      </c>
      <c r="Z169" s="141">
        <f t="shared" si="13"/>
        <v>0.46377472877502446</v>
      </c>
    </row>
    <row r="170" spans="1:26" s="147" customFormat="1" x14ac:dyDescent="0.2">
      <c r="A170" s="100"/>
      <c r="B170" s="264"/>
      <c r="C170" s="101"/>
      <c r="D170" s="109"/>
      <c r="E170" s="107"/>
      <c r="F170" s="109"/>
      <c r="G170" s="107"/>
      <c r="H170" s="110"/>
      <c r="I170" s="107"/>
      <c r="J170" s="107"/>
      <c r="K170" s="107"/>
      <c r="L170" s="92"/>
      <c r="M170" s="81"/>
      <c r="N170" s="89"/>
      <c r="O170" s="89"/>
      <c r="P170" s="51"/>
      <c r="Q170" s="342">
        <f>'Additional information'!$D$19</f>
        <v>0.05</v>
      </c>
      <c r="R170" s="141"/>
      <c r="T170" s="149"/>
      <c r="U170" s="148"/>
      <c r="X170" s="581"/>
      <c r="Y170" s="581" t="str">
        <f t="shared" si="12"/>
        <v/>
      </c>
      <c r="Z170" s="141" t="str">
        <f t="shared" si="13"/>
        <v/>
      </c>
    </row>
    <row r="171" spans="1:26" s="147" customFormat="1" ht="153" customHeight="1" x14ac:dyDescent="0.2">
      <c r="A171" s="45">
        <f>A169+1</f>
        <v>59</v>
      </c>
      <c r="B171" s="168" t="s">
        <v>612</v>
      </c>
      <c r="C171" s="152" t="s">
        <v>612</v>
      </c>
      <c r="D171" s="396" t="s">
        <v>613</v>
      </c>
      <c r="E171" s="152">
        <f>LEN(D171)</f>
        <v>179</v>
      </c>
      <c r="F171" s="435" t="s">
        <v>614</v>
      </c>
      <c r="G171" s="152">
        <f>LEN(F171)</f>
        <v>216</v>
      </c>
      <c r="H171" s="161" t="s">
        <v>37</v>
      </c>
      <c r="I171" s="152" t="s">
        <v>24</v>
      </c>
      <c r="J171" s="152" t="s">
        <v>24</v>
      </c>
      <c r="K171" s="152" t="s">
        <v>38</v>
      </c>
      <c r="L171" s="151" t="s">
        <v>615</v>
      </c>
      <c r="M171" s="222" t="s">
        <v>24</v>
      </c>
      <c r="N171" s="408" t="s">
        <v>616</v>
      </c>
      <c r="O171" s="95"/>
      <c r="P171" s="10"/>
      <c r="Q171" s="273">
        <f>'Additional information'!$D$19</f>
        <v>0.05</v>
      </c>
      <c r="R171" s="141"/>
      <c r="T171" s="424" t="s">
        <v>33</v>
      </c>
      <c r="U171" s="148"/>
      <c r="X171" s="580">
        <v>6.4158415794372559</v>
      </c>
      <c r="Y171" s="580">
        <f t="shared" si="12"/>
        <v>0.32079207897186279</v>
      </c>
      <c r="Z171" s="141">
        <f t="shared" si="13"/>
        <v>0.32079207897186279</v>
      </c>
    </row>
    <row r="172" spans="1:26" s="147" customFormat="1" ht="323" customHeight="1" x14ac:dyDescent="0.2">
      <c r="A172" s="45">
        <f>A171+1</f>
        <v>60</v>
      </c>
      <c r="B172" s="186" t="s">
        <v>617</v>
      </c>
      <c r="C172" s="146" t="s">
        <v>618</v>
      </c>
      <c r="D172" s="396" t="s">
        <v>619</v>
      </c>
      <c r="E172" s="152">
        <f>LEN(D172)</f>
        <v>666</v>
      </c>
      <c r="F172" s="435" t="s">
        <v>620</v>
      </c>
      <c r="G172" s="152">
        <f>LEN(F172)</f>
        <v>848</v>
      </c>
      <c r="H172" s="146" t="s">
        <v>413</v>
      </c>
      <c r="I172" s="152" t="s">
        <v>24</v>
      </c>
      <c r="J172" s="152" t="s">
        <v>24</v>
      </c>
      <c r="K172" s="152" t="s">
        <v>414</v>
      </c>
      <c r="L172" s="151" t="s">
        <v>621</v>
      </c>
      <c r="M172" s="222" t="s">
        <v>622</v>
      </c>
      <c r="N172" s="394" t="s">
        <v>623</v>
      </c>
      <c r="O172" s="96"/>
      <c r="P172" s="10"/>
      <c r="Q172" s="273">
        <f>'Additional information'!$D$19</f>
        <v>0.05</v>
      </c>
      <c r="R172" s="141"/>
      <c r="T172" s="424" t="s">
        <v>33</v>
      </c>
      <c r="U172" s="148"/>
      <c r="X172" s="580">
        <v>20.53435134887695</v>
      </c>
      <c r="Y172" s="580">
        <f t="shared" si="12"/>
        <v>1.0267175674438476</v>
      </c>
      <c r="Z172" s="141">
        <f t="shared" si="13"/>
        <v>1.0267175674438476</v>
      </c>
    </row>
    <row r="173" spans="1:26" s="147" customFormat="1" x14ac:dyDescent="0.2">
      <c r="A173" s="114"/>
      <c r="B173" s="265"/>
      <c r="C173" s="48"/>
      <c r="D173" s="551"/>
      <c r="E173" s="104"/>
      <c r="F173" s="104"/>
      <c r="G173" s="104"/>
      <c r="H173" s="115"/>
      <c r="I173" s="104"/>
      <c r="J173" s="104"/>
      <c r="K173" s="104"/>
      <c r="L173" s="96"/>
      <c r="M173" s="81"/>
      <c r="N173" s="96"/>
      <c r="O173" s="96"/>
      <c r="P173" s="25"/>
      <c r="Q173" s="342">
        <f>'Additional information'!$D$19</f>
        <v>0.05</v>
      </c>
      <c r="R173" s="141"/>
      <c r="T173" s="149"/>
      <c r="U173" s="148"/>
      <c r="X173" s="581"/>
      <c r="Y173" s="581" t="str">
        <f t="shared" si="12"/>
        <v/>
      </c>
      <c r="Z173" s="141" t="str">
        <f t="shared" si="13"/>
        <v/>
      </c>
    </row>
    <row r="174" spans="1:26" s="147" customFormat="1" ht="221" customHeight="1" x14ac:dyDescent="0.2">
      <c r="A174" s="114">
        <f>A172+1</f>
        <v>61</v>
      </c>
      <c r="B174" s="239" t="s">
        <v>624</v>
      </c>
      <c r="C174" s="153" t="s">
        <v>624</v>
      </c>
      <c r="D174" s="409" t="s">
        <v>1831</v>
      </c>
      <c r="E174" s="135">
        <f>LEN(D174)</f>
        <v>350</v>
      </c>
      <c r="F174" s="438" t="s">
        <v>625</v>
      </c>
      <c r="G174" s="135">
        <f>LEN(F174)</f>
        <v>408</v>
      </c>
      <c r="H174" s="393" t="s">
        <v>37</v>
      </c>
      <c r="I174" s="135" t="s">
        <v>24</v>
      </c>
      <c r="J174" s="135" t="s">
        <v>24</v>
      </c>
      <c r="K174" s="135" t="s">
        <v>38</v>
      </c>
      <c r="L174" s="394" t="s">
        <v>626</v>
      </c>
      <c r="M174" s="222" t="s">
        <v>24</v>
      </c>
      <c r="N174" s="394" t="s">
        <v>627</v>
      </c>
      <c r="O174" s="96"/>
      <c r="P174" s="10"/>
      <c r="Q174" s="273">
        <f>'Additional information'!$D$19</f>
        <v>0.05</v>
      </c>
      <c r="R174" s="141"/>
      <c r="T174" s="424" t="s">
        <v>33</v>
      </c>
      <c r="U174" s="148"/>
      <c r="X174" s="580">
        <v>8.3069305419921875</v>
      </c>
      <c r="Y174" s="580">
        <f t="shared" ref="Y174:Y205" si="14">IF(X174="","",X174*Q174)</f>
        <v>0.4153465270996094</v>
      </c>
      <c r="Z174" s="141">
        <f t="shared" ref="Z174:Z205" si="15">IF(T174="yes",Y174,"")</f>
        <v>0.4153465270996094</v>
      </c>
    </row>
    <row r="175" spans="1:26" s="147" customFormat="1" ht="17" customHeight="1" thickBot="1" x14ac:dyDescent="0.25">
      <c r="A175" s="114"/>
      <c r="B175" s="265"/>
      <c r="C175" s="116"/>
      <c r="D175" s="551"/>
      <c r="E175" s="104"/>
      <c r="F175" s="104"/>
      <c r="G175" s="104"/>
      <c r="H175" s="115"/>
      <c r="I175" s="104"/>
      <c r="J175" s="104"/>
      <c r="K175" s="104"/>
      <c r="L175" s="96"/>
      <c r="M175" s="96"/>
      <c r="N175" s="96"/>
      <c r="O175" s="96"/>
      <c r="P175" s="73"/>
      <c r="Q175" s="342">
        <f>'Additional information'!$D$19</f>
        <v>0.05</v>
      </c>
      <c r="R175" s="141"/>
      <c r="T175" s="149"/>
      <c r="U175" s="148"/>
      <c r="X175" s="581"/>
      <c r="Y175" s="581" t="str">
        <f t="shared" si="14"/>
        <v/>
      </c>
      <c r="Z175" s="141" t="str">
        <f t="shared" si="15"/>
        <v/>
      </c>
    </row>
    <row r="176" spans="1:26" s="415" customFormat="1" ht="17" customHeight="1" thickBot="1" x14ac:dyDescent="0.25">
      <c r="A176" s="604" t="s">
        <v>628</v>
      </c>
      <c r="B176" s="605"/>
      <c r="C176" s="605"/>
      <c r="D176" s="605"/>
      <c r="E176" s="605"/>
      <c r="F176" s="605"/>
      <c r="G176" s="605"/>
      <c r="H176" s="605"/>
      <c r="I176" s="605"/>
      <c r="J176" s="605"/>
      <c r="K176" s="605"/>
      <c r="L176" s="605"/>
      <c r="M176" s="605"/>
      <c r="N176" s="605"/>
      <c r="O176" s="605"/>
      <c r="P176" s="606"/>
      <c r="Q176" s="273"/>
      <c r="R176" s="426"/>
      <c r="T176" s="424"/>
      <c r="U176" s="427"/>
      <c r="X176" s="580"/>
      <c r="Y176" s="580" t="str">
        <f t="shared" si="14"/>
        <v/>
      </c>
      <c r="Z176" s="426" t="str">
        <f t="shared" si="15"/>
        <v/>
      </c>
    </row>
    <row r="177" spans="1:26" s="147" customFormat="1" ht="153" customHeight="1" x14ac:dyDescent="0.2">
      <c r="A177" s="100">
        <f>A174+1</f>
        <v>62</v>
      </c>
      <c r="B177" s="237" t="s">
        <v>629</v>
      </c>
      <c r="C177" s="247" t="s">
        <v>629</v>
      </c>
      <c r="D177" s="145" t="s">
        <v>630</v>
      </c>
      <c r="E177" s="144">
        <f t="shared" ref="E177:E220" si="16">LEN(D177)</f>
        <v>335</v>
      </c>
      <c r="F177" s="145" t="s">
        <v>631</v>
      </c>
      <c r="G177" s="144">
        <f t="shared" ref="G177:G220" si="17">LEN(F177)</f>
        <v>441</v>
      </c>
      <c r="H177" s="154" t="s">
        <v>37</v>
      </c>
      <c r="I177" s="144" t="s">
        <v>24</v>
      </c>
      <c r="J177" s="144" t="s">
        <v>24</v>
      </c>
      <c r="K177" s="144" t="s">
        <v>38</v>
      </c>
      <c r="L177" s="143" t="s">
        <v>632</v>
      </c>
      <c r="M177" s="222" t="s">
        <v>24</v>
      </c>
      <c r="N177" s="143" t="s">
        <v>633</v>
      </c>
      <c r="O177" s="88"/>
      <c r="P177" s="377" t="s">
        <v>634</v>
      </c>
      <c r="Q177" s="273">
        <v>1</v>
      </c>
      <c r="R177" s="141"/>
      <c r="T177" s="424" t="s">
        <v>33</v>
      </c>
      <c r="U177" s="148"/>
      <c r="X177" s="580">
        <v>8.0881662368774414</v>
      </c>
      <c r="Y177" s="580">
        <f t="shared" si="14"/>
        <v>8.0881662368774414</v>
      </c>
      <c r="Z177" s="141">
        <f t="shared" si="15"/>
        <v>8.0881662368774414</v>
      </c>
    </row>
    <row r="178" spans="1:26" s="147" customFormat="1" ht="170" customHeight="1" x14ac:dyDescent="0.2">
      <c r="A178" s="45">
        <f t="shared" ref="A178:A192" si="18">A177+1</f>
        <v>63</v>
      </c>
      <c r="B178" s="186" t="s">
        <v>635</v>
      </c>
      <c r="C178" s="146" t="s">
        <v>635</v>
      </c>
      <c r="D178" s="166" t="s">
        <v>636</v>
      </c>
      <c r="E178" s="152">
        <f t="shared" si="16"/>
        <v>236</v>
      </c>
      <c r="F178" s="438" t="s">
        <v>637</v>
      </c>
      <c r="G178" s="152">
        <f t="shared" si="17"/>
        <v>258</v>
      </c>
      <c r="H178" s="161" t="s">
        <v>37</v>
      </c>
      <c r="I178" s="152" t="s">
        <v>24</v>
      </c>
      <c r="J178" s="152" t="s">
        <v>24</v>
      </c>
      <c r="K178" s="152" t="s">
        <v>38</v>
      </c>
      <c r="L178" s="151" t="s">
        <v>638</v>
      </c>
      <c r="M178" s="222" t="s">
        <v>24</v>
      </c>
      <c r="N178" s="163" t="s">
        <v>639</v>
      </c>
      <c r="O178" s="97"/>
      <c r="P178" s="10"/>
      <c r="Q178" s="273">
        <v>1</v>
      </c>
      <c r="R178" s="141"/>
      <c r="T178" s="424" t="s">
        <v>33</v>
      </c>
      <c r="U178" s="148"/>
      <c r="X178" s="580">
        <v>20.224567413330082</v>
      </c>
      <c r="Y178" s="580">
        <f t="shared" si="14"/>
        <v>20.224567413330082</v>
      </c>
      <c r="Z178" s="141">
        <f t="shared" si="15"/>
        <v>20.224567413330082</v>
      </c>
    </row>
    <row r="179" spans="1:26" s="147" customFormat="1" ht="170" customHeight="1" x14ac:dyDescent="0.2">
      <c r="A179" s="45">
        <f t="shared" si="18"/>
        <v>64</v>
      </c>
      <c r="B179" s="186" t="s">
        <v>640</v>
      </c>
      <c r="C179" s="146" t="s">
        <v>640</v>
      </c>
      <c r="D179" s="166" t="s">
        <v>641</v>
      </c>
      <c r="E179" s="152">
        <f t="shared" si="16"/>
        <v>234</v>
      </c>
      <c r="F179" s="438" t="s">
        <v>642</v>
      </c>
      <c r="G179" s="152">
        <f t="shared" si="17"/>
        <v>253</v>
      </c>
      <c r="H179" s="161" t="s">
        <v>37</v>
      </c>
      <c r="I179" s="152" t="s">
        <v>24</v>
      </c>
      <c r="J179" s="152" t="s">
        <v>24</v>
      </c>
      <c r="K179" s="152" t="s">
        <v>38</v>
      </c>
      <c r="L179" s="151" t="s">
        <v>643</v>
      </c>
      <c r="M179" s="222" t="s">
        <v>24</v>
      </c>
      <c r="N179" s="163" t="s">
        <v>644</v>
      </c>
      <c r="O179" s="97"/>
      <c r="P179" s="10"/>
      <c r="Q179" s="273">
        <v>1</v>
      </c>
      <c r="R179" s="141"/>
      <c r="T179" s="424" t="s">
        <v>33</v>
      </c>
      <c r="U179" s="148"/>
      <c r="X179" s="580">
        <v>14.02606105804443</v>
      </c>
      <c r="Y179" s="580">
        <f t="shared" si="14"/>
        <v>14.02606105804443</v>
      </c>
      <c r="Z179" s="141">
        <f t="shared" si="15"/>
        <v>14.02606105804443</v>
      </c>
    </row>
    <row r="180" spans="1:26" s="147" customFormat="1" ht="153" customHeight="1" x14ac:dyDescent="0.2">
      <c r="A180" s="45">
        <f t="shared" si="18"/>
        <v>65</v>
      </c>
      <c r="B180" s="186" t="s">
        <v>645</v>
      </c>
      <c r="C180" s="146" t="s">
        <v>645</v>
      </c>
      <c r="D180" s="166" t="s">
        <v>646</v>
      </c>
      <c r="E180" s="152">
        <f t="shared" si="16"/>
        <v>217</v>
      </c>
      <c r="F180" s="438" t="s">
        <v>647</v>
      </c>
      <c r="G180" s="152">
        <f t="shared" si="17"/>
        <v>234</v>
      </c>
      <c r="H180" s="161" t="s">
        <v>37</v>
      </c>
      <c r="I180" s="152" t="s">
        <v>24</v>
      </c>
      <c r="J180" s="152" t="s">
        <v>24</v>
      </c>
      <c r="K180" s="152" t="s">
        <v>38</v>
      </c>
      <c r="L180" s="151" t="s">
        <v>648</v>
      </c>
      <c r="M180" s="222" t="s">
        <v>24</v>
      </c>
      <c r="N180" s="163" t="s">
        <v>649</v>
      </c>
      <c r="O180" s="97"/>
      <c r="P180" s="10"/>
      <c r="Q180" s="273">
        <v>1</v>
      </c>
      <c r="R180" s="141"/>
      <c r="T180" s="424" t="s">
        <v>33</v>
      </c>
      <c r="U180" s="148"/>
      <c r="X180" s="580">
        <v>11.558505058288571</v>
      </c>
      <c r="Y180" s="580">
        <f t="shared" si="14"/>
        <v>11.558505058288571</v>
      </c>
      <c r="Z180" s="141">
        <f t="shared" si="15"/>
        <v>11.558505058288571</v>
      </c>
    </row>
    <row r="181" spans="1:26" s="147" customFormat="1" ht="153" customHeight="1" x14ac:dyDescent="0.2">
      <c r="A181" s="45">
        <f t="shared" si="18"/>
        <v>66</v>
      </c>
      <c r="B181" s="186" t="s">
        <v>650</v>
      </c>
      <c r="C181" s="146" t="s">
        <v>650</v>
      </c>
      <c r="D181" s="166" t="s">
        <v>651</v>
      </c>
      <c r="E181" s="152">
        <f t="shared" si="16"/>
        <v>218</v>
      </c>
      <c r="F181" s="438" t="s">
        <v>652</v>
      </c>
      <c r="G181" s="152">
        <f t="shared" si="17"/>
        <v>221</v>
      </c>
      <c r="H181" s="161" t="s">
        <v>37</v>
      </c>
      <c r="I181" s="152" t="s">
        <v>24</v>
      </c>
      <c r="J181" s="152" t="s">
        <v>24</v>
      </c>
      <c r="K181" s="152" t="s">
        <v>38</v>
      </c>
      <c r="L181" s="151" t="s">
        <v>653</v>
      </c>
      <c r="M181" s="222" t="s">
        <v>24</v>
      </c>
      <c r="N181" s="151" t="s">
        <v>654</v>
      </c>
      <c r="O181" s="86"/>
      <c r="P181" s="10"/>
      <c r="Q181" s="273">
        <v>1</v>
      </c>
      <c r="R181" s="141"/>
      <c r="T181" s="424" t="s">
        <v>33</v>
      </c>
      <c r="U181" s="148"/>
      <c r="X181" s="580">
        <v>11.379257202148439</v>
      </c>
      <c r="Y181" s="580">
        <f t="shared" si="14"/>
        <v>11.379257202148439</v>
      </c>
      <c r="Z181" s="141">
        <f t="shared" si="15"/>
        <v>11.379257202148439</v>
      </c>
    </row>
    <row r="182" spans="1:26" s="147" customFormat="1" ht="170" customHeight="1" x14ac:dyDescent="0.2">
      <c r="A182" s="45">
        <f t="shared" si="18"/>
        <v>67</v>
      </c>
      <c r="B182" s="186" t="s">
        <v>655</v>
      </c>
      <c r="C182" s="146" t="s">
        <v>655</v>
      </c>
      <c r="D182" s="166" t="s">
        <v>656</v>
      </c>
      <c r="E182" s="152">
        <f t="shared" si="16"/>
        <v>224</v>
      </c>
      <c r="F182" s="438" t="s">
        <v>657</v>
      </c>
      <c r="G182" s="152">
        <f t="shared" si="17"/>
        <v>293</v>
      </c>
      <c r="H182" s="161" t="s">
        <v>37</v>
      </c>
      <c r="I182" s="152" t="s">
        <v>24</v>
      </c>
      <c r="J182" s="152" t="s">
        <v>24</v>
      </c>
      <c r="K182" s="152" t="s">
        <v>38</v>
      </c>
      <c r="L182" s="151" t="s">
        <v>658</v>
      </c>
      <c r="M182" s="222" t="s">
        <v>24</v>
      </c>
      <c r="N182" s="151" t="s">
        <v>659</v>
      </c>
      <c r="O182" s="86"/>
      <c r="P182" s="10"/>
      <c r="Q182" s="273">
        <v>1</v>
      </c>
      <c r="R182" s="141"/>
      <c r="T182" s="424" t="s">
        <v>33</v>
      </c>
      <c r="U182" s="148"/>
      <c r="X182" s="580">
        <v>10.443217277526861</v>
      </c>
      <c r="Y182" s="580">
        <f t="shared" si="14"/>
        <v>10.443217277526861</v>
      </c>
      <c r="Z182" s="141">
        <f t="shared" si="15"/>
        <v>10.443217277526861</v>
      </c>
    </row>
    <row r="183" spans="1:26" s="147" customFormat="1" ht="170" customHeight="1" x14ac:dyDescent="0.2">
      <c r="A183" s="45">
        <f t="shared" si="18"/>
        <v>68</v>
      </c>
      <c r="B183" s="186" t="s">
        <v>660</v>
      </c>
      <c r="C183" s="185" t="s">
        <v>660</v>
      </c>
      <c r="D183" s="165" t="s">
        <v>661</v>
      </c>
      <c r="E183" s="152">
        <f t="shared" si="16"/>
        <v>182</v>
      </c>
      <c r="F183" s="406" t="s">
        <v>662</v>
      </c>
      <c r="G183" s="152">
        <f t="shared" si="17"/>
        <v>263</v>
      </c>
      <c r="H183" s="161" t="s">
        <v>37</v>
      </c>
      <c r="I183" s="152" t="s">
        <v>24</v>
      </c>
      <c r="J183" s="152" t="s">
        <v>24</v>
      </c>
      <c r="K183" s="152" t="s">
        <v>38</v>
      </c>
      <c r="L183" s="151" t="s">
        <v>663</v>
      </c>
      <c r="M183" s="222" t="s">
        <v>24</v>
      </c>
      <c r="N183" s="163" t="s">
        <v>664</v>
      </c>
      <c r="O183" s="97"/>
      <c r="P183" s="10"/>
      <c r="Q183" s="273">
        <v>1</v>
      </c>
      <c r="R183" s="141"/>
      <c r="T183" s="424" t="s">
        <v>33</v>
      </c>
      <c r="U183" s="148"/>
      <c r="X183" s="580">
        <v>10.732010841369631</v>
      </c>
      <c r="Y183" s="580">
        <f t="shared" si="14"/>
        <v>10.732010841369631</v>
      </c>
      <c r="Z183" s="141">
        <f t="shared" si="15"/>
        <v>10.732010841369631</v>
      </c>
    </row>
    <row r="184" spans="1:26" s="338" customFormat="1" ht="153" customHeight="1" x14ac:dyDescent="0.2">
      <c r="A184" s="45">
        <f t="shared" si="18"/>
        <v>69</v>
      </c>
      <c r="B184" s="186" t="s">
        <v>665</v>
      </c>
      <c r="C184" s="185" t="s">
        <v>665</v>
      </c>
      <c r="D184" s="164" t="s">
        <v>666</v>
      </c>
      <c r="E184" s="152">
        <f t="shared" si="16"/>
        <v>214</v>
      </c>
      <c r="F184" s="435" t="s">
        <v>667</v>
      </c>
      <c r="G184" s="152">
        <f t="shared" si="17"/>
        <v>279</v>
      </c>
      <c r="H184" s="161" t="s">
        <v>37</v>
      </c>
      <c r="I184" s="152" t="s">
        <v>24</v>
      </c>
      <c r="J184" s="152" t="s">
        <v>24</v>
      </c>
      <c r="K184" s="152" t="s">
        <v>38</v>
      </c>
      <c r="L184" s="151" t="s">
        <v>668</v>
      </c>
      <c r="M184" s="222" t="s">
        <v>24</v>
      </c>
      <c r="N184" s="151" t="s">
        <v>669</v>
      </c>
      <c r="O184" s="86"/>
      <c r="P184" s="10"/>
      <c r="Q184" s="273">
        <v>1</v>
      </c>
      <c r="R184" s="141"/>
      <c r="T184" s="424" t="s">
        <v>33</v>
      </c>
      <c r="U184" s="148"/>
      <c r="X184" s="580">
        <v>11.58613967895508</v>
      </c>
      <c r="Y184" s="580">
        <f t="shared" si="14"/>
        <v>11.58613967895508</v>
      </c>
      <c r="Z184" s="141">
        <f t="shared" si="15"/>
        <v>11.58613967895508</v>
      </c>
    </row>
    <row r="185" spans="1:26" s="147" customFormat="1" ht="153" customHeight="1" x14ac:dyDescent="0.2">
      <c r="A185" s="45">
        <f t="shared" si="18"/>
        <v>70</v>
      </c>
      <c r="B185" s="186" t="s">
        <v>670</v>
      </c>
      <c r="C185" s="146" t="s">
        <v>670</v>
      </c>
      <c r="D185" s="165" t="s">
        <v>671</v>
      </c>
      <c r="E185" s="152">
        <f t="shared" si="16"/>
        <v>184</v>
      </c>
      <c r="F185" s="406" t="s">
        <v>672</v>
      </c>
      <c r="G185" s="152">
        <f t="shared" si="17"/>
        <v>228</v>
      </c>
      <c r="H185" s="161" t="s">
        <v>37</v>
      </c>
      <c r="I185" s="152" t="s">
        <v>24</v>
      </c>
      <c r="J185" s="152" t="s">
        <v>24</v>
      </c>
      <c r="K185" s="152" t="s">
        <v>38</v>
      </c>
      <c r="L185" s="151" t="s">
        <v>673</v>
      </c>
      <c r="M185" s="222" t="s">
        <v>24</v>
      </c>
      <c r="N185" s="163" t="s">
        <v>674</v>
      </c>
      <c r="O185" s="97"/>
      <c r="P185" s="10"/>
      <c r="Q185" s="273">
        <v>1</v>
      </c>
      <c r="R185" s="141"/>
      <c r="T185" s="424" t="s">
        <v>33</v>
      </c>
      <c r="U185" s="148"/>
      <c r="X185" s="580">
        <v>9.7552013397216797</v>
      </c>
      <c r="Y185" s="580">
        <f t="shared" si="14"/>
        <v>9.7552013397216797</v>
      </c>
      <c r="Z185" s="141">
        <f t="shared" si="15"/>
        <v>9.7552013397216797</v>
      </c>
    </row>
    <row r="186" spans="1:26" s="147" customFormat="1" ht="153" customHeight="1" x14ac:dyDescent="0.2">
      <c r="A186" s="45">
        <f t="shared" si="18"/>
        <v>71</v>
      </c>
      <c r="B186" s="186" t="s">
        <v>675</v>
      </c>
      <c r="C186" s="185" t="s">
        <v>675</v>
      </c>
      <c r="D186" s="164" t="s">
        <v>666</v>
      </c>
      <c r="E186" s="152">
        <f t="shared" si="16"/>
        <v>214</v>
      </c>
      <c r="F186" s="435" t="s">
        <v>667</v>
      </c>
      <c r="G186" s="152">
        <f t="shared" si="17"/>
        <v>279</v>
      </c>
      <c r="H186" s="161" t="s">
        <v>37</v>
      </c>
      <c r="I186" s="152" t="s">
        <v>24</v>
      </c>
      <c r="J186" s="152" t="s">
        <v>24</v>
      </c>
      <c r="K186" s="152" t="s">
        <v>38</v>
      </c>
      <c r="L186" s="151" t="s">
        <v>676</v>
      </c>
      <c r="M186" s="222" t="s">
        <v>24</v>
      </c>
      <c r="N186" s="151" t="s">
        <v>677</v>
      </c>
      <c r="O186" s="86"/>
      <c r="P186" s="10"/>
      <c r="Q186" s="273">
        <v>1</v>
      </c>
      <c r="R186" s="141"/>
      <c r="T186" s="424" t="s">
        <v>33</v>
      </c>
      <c r="U186" s="148"/>
      <c r="X186" s="580">
        <v>7.9447951316833496</v>
      </c>
      <c r="Y186" s="580">
        <f t="shared" si="14"/>
        <v>7.9447951316833496</v>
      </c>
      <c r="Z186" s="141">
        <f t="shared" si="15"/>
        <v>7.9447951316833496</v>
      </c>
    </row>
    <row r="187" spans="1:26" s="147" customFormat="1" ht="170" customHeight="1" x14ac:dyDescent="0.2">
      <c r="A187" s="45">
        <f t="shared" si="18"/>
        <v>72</v>
      </c>
      <c r="B187" s="186" t="s">
        <v>678</v>
      </c>
      <c r="C187" s="146" t="s">
        <v>678</v>
      </c>
      <c r="D187" s="165" t="s">
        <v>679</v>
      </c>
      <c r="E187" s="152">
        <f t="shared" si="16"/>
        <v>212</v>
      </c>
      <c r="F187" s="406" t="s">
        <v>680</v>
      </c>
      <c r="G187" s="152">
        <f t="shared" si="17"/>
        <v>245</v>
      </c>
      <c r="H187" s="161" t="s">
        <v>37</v>
      </c>
      <c r="I187" s="152" t="s">
        <v>24</v>
      </c>
      <c r="J187" s="152" t="s">
        <v>24</v>
      </c>
      <c r="K187" s="152" t="s">
        <v>38</v>
      </c>
      <c r="L187" s="151" t="s">
        <v>681</v>
      </c>
      <c r="M187" s="222" t="s">
        <v>24</v>
      </c>
      <c r="N187" s="163" t="s">
        <v>682</v>
      </c>
      <c r="O187" s="42"/>
      <c r="P187" s="10"/>
      <c r="Q187" s="273">
        <v>1</v>
      </c>
      <c r="R187" s="141"/>
      <c r="T187" s="424" t="s">
        <v>33</v>
      </c>
      <c r="U187" s="148"/>
      <c r="X187" s="580">
        <v>7.9312248229980469</v>
      </c>
      <c r="Y187" s="580">
        <f t="shared" si="14"/>
        <v>7.9312248229980469</v>
      </c>
      <c r="Z187" s="141">
        <f t="shared" si="15"/>
        <v>7.9312248229980469</v>
      </c>
    </row>
    <row r="188" spans="1:26" s="147" customFormat="1" ht="153" customHeight="1" x14ac:dyDescent="0.2">
      <c r="A188" s="45">
        <f t="shared" si="18"/>
        <v>73</v>
      </c>
      <c r="B188" s="186" t="s">
        <v>683</v>
      </c>
      <c r="C188" s="185" t="s">
        <v>683</v>
      </c>
      <c r="D188" s="164" t="s">
        <v>666</v>
      </c>
      <c r="E188" s="152">
        <f t="shared" si="16"/>
        <v>214</v>
      </c>
      <c r="F188" s="435" t="s">
        <v>667</v>
      </c>
      <c r="G188" s="152">
        <f t="shared" si="17"/>
        <v>279</v>
      </c>
      <c r="H188" s="161" t="s">
        <v>37</v>
      </c>
      <c r="I188" s="152" t="s">
        <v>24</v>
      </c>
      <c r="J188" s="152" t="s">
        <v>24</v>
      </c>
      <c r="K188" s="152" t="s">
        <v>38</v>
      </c>
      <c r="L188" s="151" t="s">
        <v>684</v>
      </c>
      <c r="M188" s="222" t="s">
        <v>24</v>
      </c>
      <c r="N188" s="163" t="s">
        <v>685</v>
      </c>
      <c r="O188" s="42"/>
      <c r="P188" s="10"/>
      <c r="Q188" s="273">
        <v>1</v>
      </c>
      <c r="R188" s="141"/>
      <c r="T188" s="424" t="s">
        <v>33</v>
      </c>
      <c r="U188" s="148"/>
      <c r="X188" s="580">
        <v>5.3390059471130371</v>
      </c>
      <c r="Y188" s="580">
        <f t="shared" si="14"/>
        <v>5.3390059471130371</v>
      </c>
      <c r="Z188" s="141">
        <f t="shared" si="15"/>
        <v>5.3390059471130371</v>
      </c>
    </row>
    <row r="189" spans="1:26" s="147" customFormat="1" ht="153" customHeight="1" x14ac:dyDescent="0.2">
      <c r="A189" s="14">
        <f t="shared" si="18"/>
        <v>74</v>
      </c>
      <c r="B189" s="238" t="s">
        <v>686</v>
      </c>
      <c r="C189" s="17" t="s">
        <v>686</v>
      </c>
      <c r="D189" s="37" t="s">
        <v>687</v>
      </c>
      <c r="E189" s="20">
        <f t="shared" si="16"/>
        <v>142</v>
      </c>
      <c r="F189" s="443" t="s">
        <v>688</v>
      </c>
      <c r="G189" s="20">
        <f t="shared" si="17"/>
        <v>208</v>
      </c>
      <c r="H189" s="35" t="s">
        <v>37</v>
      </c>
      <c r="I189" s="20" t="s">
        <v>24</v>
      </c>
      <c r="J189" s="20" t="s">
        <v>24</v>
      </c>
      <c r="K189" s="20" t="s">
        <v>38</v>
      </c>
      <c r="L189" s="30" t="s">
        <v>689</v>
      </c>
      <c r="M189" s="82" t="s">
        <v>24</v>
      </c>
      <c r="N189" s="344"/>
      <c r="O189" s="345"/>
      <c r="P189" s="123" t="s">
        <v>690</v>
      </c>
      <c r="Q189" s="342">
        <v>1</v>
      </c>
      <c r="R189" s="141"/>
      <c r="T189" s="149" t="s">
        <v>23</v>
      </c>
      <c r="U189" s="148"/>
      <c r="X189" s="581">
        <v>3.816555500030518</v>
      </c>
      <c r="Y189" s="581">
        <f t="shared" si="14"/>
        <v>3.816555500030518</v>
      </c>
      <c r="Z189" s="141" t="str">
        <f t="shared" si="15"/>
        <v/>
      </c>
    </row>
    <row r="190" spans="1:26" s="147" customFormat="1" ht="221" customHeight="1" x14ac:dyDescent="0.2">
      <c r="A190" s="14">
        <f t="shared" si="18"/>
        <v>75</v>
      </c>
      <c r="B190" s="346" t="s">
        <v>691</v>
      </c>
      <c r="C190" s="17" t="s">
        <v>692</v>
      </c>
      <c r="D190" s="22" t="s">
        <v>693</v>
      </c>
      <c r="E190" s="20">
        <f t="shared" si="16"/>
        <v>406</v>
      </c>
      <c r="F190" s="22" t="s">
        <v>694</v>
      </c>
      <c r="G190" s="20">
        <f t="shared" si="17"/>
        <v>479</v>
      </c>
      <c r="H190" s="35" t="s">
        <v>37</v>
      </c>
      <c r="I190" s="20" t="s">
        <v>24</v>
      </c>
      <c r="J190" s="20" t="s">
        <v>24</v>
      </c>
      <c r="K190" s="20" t="s">
        <v>38</v>
      </c>
      <c r="L190" s="30" t="s">
        <v>695</v>
      </c>
      <c r="M190" s="82" t="s">
        <v>24</v>
      </c>
      <c r="N190" s="41"/>
      <c r="O190" s="41"/>
      <c r="P190" s="10"/>
      <c r="Q190" s="342">
        <v>1</v>
      </c>
      <c r="R190" s="141"/>
      <c r="T190" s="149" t="s">
        <v>23</v>
      </c>
      <c r="U190" s="148"/>
      <c r="X190" s="581">
        <v>16.827030181884769</v>
      </c>
      <c r="Y190" s="581">
        <f t="shared" si="14"/>
        <v>16.827030181884769</v>
      </c>
      <c r="Z190" s="141" t="str">
        <f t="shared" si="15"/>
        <v/>
      </c>
    </row>
    <row r="191" spans="1:26" s="147" customFormat="1" ht="204" customHeight="1" x14ac:dyDescent="0.2">
      <c r="A191" s="14">
        <f t="shared" si="18"/>
        <v>76</v>
      </c>
      <c r="B191" s="346" t="s">
        <v>696</v>
      </c>
      <c r="C191" s="17" t="s">
        <v>697</v>
      </c>
      <c r="D191" s="22" t="s">
        <v>698</v>
      </c>
      <c r="E191" s="20">
        <f t="shared" si="16"/>
        <v>344</v>
      </c>
      <c r="F191" s="22" t="s">
        <v>699</v>
      </c>
      <c r="G191" s="20">
        <f t="shared" si="17"/>
        <v>428</v>
      </c>
      <c r="H191" s="35" t="s">
        <v>37</v>
      </c>
      <c r="I191" s="20" t="s">
        <v>24</v>
      </c>
      <c r="J191" s="20" t="s">
        <v>24</v>
      </c>
      <c r="K191" s="20" t="s">
        <v>38</v>
      </c>
      <c r="L191" s="30" t="s">
        <v>695</v>
      </c>
      <c r="M191" s="82" t="s">
        <v>24</v>
      </c>
      <c r="N191" s="41"/>
      <c r="O191" s="41"/>
      <c r="P191" s="10"/>
      <c r="Q191" s="342">
        <v>1</v>
      </c>
      <c r="R191" s="141"/>
      <c r="T191" s="149" t="s">
        <v>23</v>
      </c>
      <c r="U191" s="148"/>
      <c r="X191" s="581">
        <v>12.211404800415041</v>
      </c>
      <c r="Y191" s="581">
        <f t="shared" si="14"/>
        <v>12.211404800415041</v>
      </c>
      <c r="Z191" s="141" t="str">
        <f t="shared" si="15"/>
        <v/>
      </c>
    </row>
    <row r="192" spans="1:26" s="147" customFormat="1" ht="221" customHeight="1" x14ac:dyDescent="0.2">
      <c r="A192" s="14">
        <f t="shared" si="18"/>
        <v>77</v>
      </c>
      <c r="B192" s="346" t="s">
        <v>700</v>
      </c>
      <c r="C192" s="17" t="s">
        <v>700</v>
      </c>
      <c r="D192" s="22" t="s">
        <v>701</v>
      </c>
      <c r="E192" s="20">
        <f t="shared" si="16"/>
        <v>378</v>
      </c>
      <c r="F192" s="22" t="s">
        <v>702</v>
      </c>
      <c r="G192" s="20">
        <f t="shared" si="17"/>
        <v>462</v>
      </c>
      <c r="H192" s="35" t="s">
        <v>37</v>
      </c>
      <c r="I192" s="20" t="s">
        <v>24</v>
      </c>
      <c r="J192" s="20" t="s">
        <v>24</v>
      </c>
      <c r="K192" s="20" t="s">
        <v>38</v>
      </c>
      <c r="L192" s="30" t="s">
        <v>695</v>
      </c>
      <c r="M192" s="82" t="s">
        <v>24</v>
      </c>
      <c r="N192" s="41"/>
      <c r="O192" s="41"/>
      <c r="P192" s="10"/>
      <c r="Q192" s="342">
        <v>1</v>
      </c>
      <c r="R192" s="141"/>
      <c r="T192" s="149" t="s">
        <v>23</v>
      </c>
      <c r="U192" s="148"/>
      <c r="X192" s="581">
        <v>10.39294910430908</v>
      </c>
      <c r="Y192" s="581">
        <f t="shared" si="14"/>
        <v>10.39294910430908</v>
      </c>
      <c r="Z192" s="141" t="str">
        <f t="shared" si="15"/>
        <v/>
      </c>
    </row>
    <row r="193" spans="1:26" s="147" customFormat="1" ht="221" customHeight="1" x14ac:dyDescent="0.2">
      <c r="A193" s="14" t="e">
        <f>#REF!+1</f>
        <v>#REF!</v>
      </c>
      <c r="B193" s="346" t="s">
        <v>703</v>
      </c>
      <c r="C193" s="17" t="s">
        <v>703</v>
      </c>
      <c r="D193" s="22" t="s">
        <v>704</v>
      </c>
      <c r="E193" s="20">
        <f t="shared" si="16"/>
        <v>384</v>
      </c>
      <c r="F193" s="22" t="s">
        <v>705</v>
      </c>
      <c r="G193" s="20">
        <f t="shared" si="17"/>
        <v>475</v>
      </c>
      <c r="H193" s="35" t="s">
        <v>37</v>
      </c>
      <c r="I193" s="20" t="s">
        <v>24</v>
      </c>
      <c r="J193" s="20" t="s">
        <v>24</v>
      </c>
      <c r="K193" s="20" t="s">
        <v>38</v>
      </c>
      <c r="L193" s="30" t="s">
        <v>695</v>
      </c>
      <c r="M193" s="82" t="s">
        <v>24</v>
      </c>
      <c r="N193" s="41"/>
      <c r="O193" s="41"/>
      <c r="P193" s="10"/>
      <c r="Q193" s="342">
        <v>1</v>
      </c>
      <c r="R193" s="141"/>
      <c r="T193" s="149" t="s">
        <v>23</v>
      </c>
      <c r="U193" s="148"/>
      <c r="X193" s="581">
        <v>11.45889282226562</v>
      </c>
      <c r="Y193" s="581">
        <f t="shared" si="14"/>
        <v>11.45889282226562</v>
      </c>
      <c r="Z193" s="141" t="str">
        <f t="shared" si="15"/>
        <v/>
      </c>
    </row>
    <row r="194" spans="1:26" s="147" customFormat="1" ht="221" customHeight="1" x14ac:dyDescent="0.2">
      <c r="A194" s="14" t="e">
        <f>A193+1</f>
        <v>#REF!</v>
      </c>
      <c r="B194" s="346" t="s">
        <v>706</v>
      </c>
      <c r="C194" s="17" t="s">
        <v>706</v>
      </c>
      <c r="D194" s="22" t="s">
        <v>707</v>
      </c>
      <c r="E194" s="20">
        <f t="shared" si="16"/>
        <v>371</v>
      </c>
      <c r="F194" s="22" t="s">
        <v>708</v>
      </c>
      <c r="G194" s="20">
        <f t="shared" si="17"/>
        <v>469</v>
      </c>
      <c r="H194" s="35" t="s">
        <v>37</v>
      </c>
      <c r="I194" s="20" t="s">
        <v>24</v>
      </c>
      <c r="J194" s="20" t="s">
        <v>24</v>
      </c>
      <c r="K194" s="20" t="s">
        <v>38</v>
      </c>
      <c r="L194" s="30" t="s">
        <v>695</v>
      </c>
      <c r="M194" s="82" t="s">
        <v>24</v>
      </c>
      <c r="N194" s="41"/>
      <c r="O194" s="41"/>
      <c r="P194" s="10"/>
      <c r="Q194" s="342">
        <v>1</v>
      </c>
      <c r="R194" s="141"/>
      <c r="T194" s="149" t="s">
        <v>23</v>
      </c>
      <c r="U194" s="148"/>
      <c r="X194" s="581">
        <v>10.84387874603271</v>
      </c>
      <c r="Y194" s="581">
        <f t="shared" si="14"/>
        <v>10.84387874603271</v>
      </c>
      <c r="Z194" s="141" t="str">
        <f t="shared" si="15"/>
        <v/>
      </c>
    </row>
    <row r="195" spans="1:26" s="147" customFormat="1" ht="204" customHeight="1" x14ac:dyDescent="0.2">
      <c r="A195" s="14" t="e">
        <f>A194+1</f>
        <v>#REF!</v>
      </c>
      <c r="B195" s="346" t="s">
        <v>709</v>
      </c>
      <c r="C195" s="17" t="s">
        <v>709</v>
      </c>
      <c r="D195" s="22" t="s">
        <v>710</v>
      </c>
      <c r="E195" s="20">
        <f t="shared" si="16"/>
        <v>345</v>
      </c>
      <c r="F195" s="22" t="s">
        <v>711</v>
      </c>
      <c r="G195" s="20">
        <f t="shared" si="17"/>
        <v>427</v>
      </c>
      <c r="H195" s="35" t="s">
        <v>37</v>
      </c>
      <c r="I195" s="20" t="s">
        <v>24</v>
      </c>
      <c r="J195" s="20" t="s">
        <v>24</v>
      </c>
      <c r="K195" s="20" t="s">
        <v>38</v>
      </c>
      <c r="L195" s="30" t="s">
        <v>695</v>
      </c>
      <c r="M195" s="82" t="s">
        <v>24</v>
      </c>
      <c r="N195" s="41"/>
      <c r="O195" s="41"/>
      <c r="P195" s="10"/>
      <c r="Q195" s="342">
        <v>1</v>
      </c>
      <c r="R195" s="141"/>
      <c r="T195" s="149" t="s">
        <v>23</v>
      </c>
      <c r="U195" s="148"/>
      <c r="X195" s="581">
        <v>8.2318143844604492</v>
      </c>
      <c r="Y195" s="581">
        <f t="shared" si="14"/>
        <v>8.2318143844604492</v>
      </c>
      <c r="Z195" s="141" t="str">
        <f t="shared" si="15"/>
        <v/>
      </c>
    </row>
    <row r="196" spans="1:26" s="147" customFormat="1" ht="221" customHeight="1" x14ac:dyDescent="0.2">
      <c r="A196" s="14" t="e">
        <f>#REF!+1</f>
        <v>#REF!</v>
      </c>
      <c r="B196" s="346" t="s">
        <v>712</v>
      </c>
      <c r="C196" s="17" t="s">
        <v>712</v>
      </c>
      <c r="D196" s="22" t="s">
        <v>713</v>
      </c>
      <c r="E196" s="20">
        <f t="shared" si="16"/>
        <v>425</v>
      </c>
      <c r="F196" s="22" t="s">
        <v>714</v>
      </c>
      <c r="G196" s="20">
        <f t="shared" si="17"/>
        <v>502</v>
      </c>
      <c r="H196" s="35" t="s">
        <v>37</v>
      </c>
      <c r="I196" s="20" t="s">
        <v>24</v>
      </c>
      <c r="J196" s="20" t="s">
        <v>24</v>
      </c>
      <c r="K196" s="20" t="s">
        <v>38</v>
      </c>
      <c r="L196" s="30" t="s">
        <v>695</v>
      </c>
      <c r="M196" s="82" t="s">
        <v>24</v>
      </c>
      <c r="N196" s="41"/>
      <c r="O196" s="41"/>
      <c r="P196" s="10"/>
      <c r="Q196" s="342">
        <v>1</v>
      </c>
      <c r="R196" s="141"/>
      <c r="T196" s="149" t="s">
        <v>23</v>
      </c>
      <c r="U196" s="148"/>
      <c r="X196" s="581">
        <v>11.934056282043461</v>
      </c>
      <c r="Y196" s="581">
        <f t="shared" si="14"/>
        <v>11.934056282043461</v>
      </c>
      <c r="Z196" s="141" t="str">
        <f t="shared" si="15"/>
        <v/>
      </c>
    </row>
    <row r="197" spans="1:26" s="147" customFormat="1" ht="221" customHeight="1" x14ac:dyDescent="0.2">
      <c r="A197" s="14" t="e">
        <f>#REF!+1</f>
        <v>#REF!</v>
      </c>
      <c r="B197" s="346" t="s">
        <v>715</v>
      </c>
      <c r="C197" s="17" t="s">
        <v>715</v>
      </c>
      <c r="D197" s="22" t="s">
        <v>716</v>
      </c>
      <c r="E197" s="20">
        <f t="shared" si="16"/>
        <v>374</v>
      </c>
      <c r="F197" s="22" t="s">
        <v>717</v>
      </c>
      <c r="G197" s="20">
        <f t="shared" si="17"/>
        <v>464</v>
      </c>
      <c r="H197" s="35" t="s">
        <v>37</v>
      </c>
      <c r="I197" s="20" t="s">
        <v>24</v>
      </c>
      <c r="J197" s="20" t="s">
        <v>24</v>
      </c>
      <c r="K197" s="20" t="s">
        <v>38</v>
      </c>
      <c r="L197" s="30" t="s">
        <v>695</v>
      </c>
      <c r="M197" s="82" t="s">
        <v>24</v>
      </c>
      <c r="N197" s="347"/>
      <c r="O197" s="348"/>
      <c r="P197" s="10"/>
      <c r="Q197" s="342">
        <v>1</v>
      </c>
      <c r="R197" s="141"/>
      <c r="T197" s="149" t="s">
        <v>23</v>
      </c>
      <c r="U197" s="148"/>
      <c r="X197" s="581">
        <v>12.7567195892334</v>
      </c>
      <c r="Y197" s="581">
        <f t="shared" si="14"/>
        <v>12.7567195892334</v>
      </c>
      <c r="Z197" s="141" t="str">
        <f t="shared" si="15"/>
        <v/>
      </c>
    </row>
    <row r="198" spans="1:26" s="147" customFormat="1" ht="221" customHeight="1" x14ac:dyDescent="0.2">
      <c r="A198" s="14" t="e">
        <f>A197+1</f>
        <v>#REF!</v>
      </c>
      <c r="B198" s="346" t="s">
        <v>718</v>
      </c>
      <c r="C198" s="17" t="s">
        <v>718</v>
      </c>
      <c r="D198" s="22" t="s">
        <v>719</v>
      </c>
      <c r="E198" s="20">
        <f t="shared" si="16"/>
        <v>379</v>
      </c>
      <c r="F198" s="22" t="s">
        <v>720</v>
      </c>
      <c r="G198" s="20">
        <f t="shared" si="17"/>
        <v>478</v>
      </c>
      <c r="H198" s="35" t="s">
        <v>37</v>
      </c>
      <c r="I198" s="20" t="s">
        <v>24</v>
      </c>
      <c r="J198" s="20" t="s">
        <v>24</v>
      </c>
      <c r="K198" s="20" t="s">
        <v>38</v>
      </c>
      <c r="L198" s="30" t="s">
        <v>695</v>
      </c>
      <c r="M198" s="82" t="s">
        <v>24</v>
      </c>
      <c r="N198" s="349"/>
      <c r="O198" s="350"/>
      <c r="P198" s="10"/>
      <c r="Q198" s="342">
        <v>1</v>
      </c>
      <c r="R198" s="141"/>
      <c r="T198" s="149" t="s">
        <v>23</v>
      </c>
      <c r="U198" s="148"/>
      <c r="X198" s="581">
        <v>7.8922214508056641</v>
      </c>
      <c r="Y198" s="581">
        <f t="shared" si="14"/>
        <v>7.8922214508056641</v>
      </c>
      <c r="Z198" s="141" t="str">
        <f t="shared" si="15"/>
        <v/>
      </c>
    </row>
    <row r="199" spans="1:26" s="147" customFormat="1" ht="204" customHeight="1" x14ac:dyDescent="0.2">
      <c r="A199" s="14" t="e">
        <f>A198+1</f>
        <v>#REF!</v>
      </c>
      <c r="B199" s="346" t="s">
        <v>721</v>
      </c>
      <c r="C199" s="17" t="s">
        <v>721</v>
      </c>
      <c r="D199" s="22" t="s">
        <v>722</v>
      </c>
      <c r="E199" s="20">
        <f t="shared" si="16"/>
        <v>398</v>
      </c>
      <c r="F199" s="22" t="s">
        <v>723</v>
      </c>
      <c r="G199" s="20">
        <f t="shared" si="17"/>
        <v>489</v>
      </c>
      <c r="H199" s="35" t="s">
        <v>37</v>
      </c>
      <c r="I199" s="20" t="s">
        <v>24</v>
      </c>
      <c r="J199" s="20" t="s">
        <v>24</v>
      </c>
      <c r="K199" s="20" t="s">
        <v>38</v>
      </c>
      <c r="L199" s="30" t="s">
        <v>695</v>
      </c>
      <c r="M199" s="82" t="s">
        <v>24</v>
      </c>
      <c r="N199" s="349"/>
      <c r="O199" s="350"/>
      <c r="P199" s="10"/>
      <c r="Q199" s="342">
        <v>1</v>
      </c>
      <c r="R199" s="141"/>
      <c r="T199" s="149" t="s">
        <v>23</v>
      </c>
      <c r="U199" s="148"/>
      <c r="X199" s="581">
        <v>9.5187292098999023</v>
      </c>
      <c r="Y199" s="581">
        <f t="shared" si="14"/>
        <v>9.5187292098999023</v>
      </c>
      <c r="Z199" s="141" t="str">
        <f t="shared" si="15"/>
        <v/>
      </c>
    </row>
    <row r="200" spans="1:26" s="147" customFormat="1" ht="204" customHeight="1" x14ac:dyDescent="0.2">
      <c r="A200" s="14" t="e">
        <f>#REF!+1</f>
        <v>#REF!</v>
      </c>
      <c r="B200" s="346" t="s">
        <v>724</v>
      </c>
      <c r="C200" s="17" t="s">
        <v>724</v>
      </c>
      <c r="D200" s="22" t="s">
        <v>725</v>
      </c>
      <c r="E200" s="20">
        <f t="shared" si="16"/>
        <v>334</v>
      </c>
      <c r="F200" s="22" t="s">
        <v>726</v>
      </c>
      <c r="G200" s="20">
        <f t="shared" si="17"/>
        <v>414</v>
      </c>
      <c r="H200" s="35" t="s">
        <v>37</v>
      </c>
      <c r="I200" s="20" t="s">
        <v>24</v>
      </c>
      <c r="J200" s="20" t="s">
        <v>24</v>
      </c>
      <c r="K200" s="20" t="s">
        <v>38</v>
      </c>
      <c r="L200" s="30" t="s">
        <v>695</v>
      </c>
      <c r="M200" s="82" t="s">
        <v>24</v>
      </c>
      <c r="N200" s="349"/>
      <c r="O200" s="350"/>
      <c r="P200" s="10"/>
      <c r="Q200" s="342">
        <v>1</v>
      </c>
      <c r="R200" s="141"/>
      <c r="T200" s="149" t="s">
        <v>23</v>
      </c>
      <c r="U200" s="148"/>
      <c r="X200" s="581">
        <v>9.1058073043823242</v>
      </c>
      <c r="Y200" s="581">
        <f t="shared" si="14"/>
        <v>9.1058073043823242</v>
      </c>
      <c r="Z200" s="141" t="str">
        <f t="shared" si="15"/>
        <v/>
      </c>
    </row>
    <row r="201" spans="1:26" s="147" customFormat="1" ht="221" customHeight="1" x14ac:dyDescent="0.2">
      <c r="A201" s="14" t="e">
        <f>A200+1</f>
        <v>#REF!</v>
      </c>
      <c r="B201" s="346" t="s">
        <v>727</v>
      </c>
      <c r="C201" s="17" t="s">
        <v>727</v>
      </c>
      <c r="D201" s="22" t="s">
        <v>728</v>
      </c>
      <c r="E201" s="20">
        <f t="shared" si="16"/>
        <v>401</v>
      </c>
      <c r="F201" s="22" t="s">
        <v>729</v>
      </c>
      <c r="G201" s="20">
        <f t="shared" si="17"/>
        <v>503</v>
      </c>
      <c r="H201" s="35" t="s">
        <v>37</v>
      </c>
      <c r="I201" s="20" t="s">
        <v>24</v>
      </c>
      <c r="J201" s="20" t="s">
        <v>24</v>
      </c>
      <c r="K201" s="20" t="s">
        <v>38</v>
      </c>
      <c r="L201" s="30" t="s">
        <v>695</v>
      </c>
      <c r="M201" s="82" t="s">
        <v>24</v>
      </c>
      <c r="N201" s="349"/>
      <c r="O201" s="350"/>
      <c r="P201" s="10"/>
      <c r="Q201" s="342">
        <v>1</v>
      </c>
      <c r="R201" s="141"/>
      <c r="T201" s="149" t="s">
        <v>23</v>
      </c>
      <c r="U201" s="148"/>
      <c r="X201" s="581">
        <v>11.21794319152832</v>
      </c>
      <c r="Y201" s="581">
        <f t="shared" si="14"/>
        <v>11.21794319152832</v>
      </c>
      <c r="Z201" s="141" t="str">
        <f t="shared" si="15"/>
        <v/>
      </c>
    </row>
    <row r="202" spans="1:26" s="147" customFormat="1" ht="204" customHeight="1" x14ac:dyDescent="0.2">
      <c r="A202" s="14" t="e">
        <f>#REF!+1</f>
        <v>#REF!</v>
      </c>
      <c r="B202" s="346" t="s">
        <v>730</v>
      </c>
      <c r="C202" s="17" t="s">
        <v>730</v>
      </c>
      <c r="D202" s="22" t="s">
        <v>731</v>
      </c>
      <c r="E202" s="20">
        <f t="shared" si="16"/>
        <v>335</v>
      </c>
      <c r="F202" s="22" t="s">
        <v>732</v>
      </c>
      <c r="G202" s="20">
        <f t="shared" si="17"/>
        <v>405</v>
      </c>
      <c r="H202" s="35" t="s">
        <v>37</v>
      </c>
      <c r="I202" s="20" t="s">
        <v>24</v>
      </c>
      <c r="J202" s="20" t="s">
        <v>24</v>
      </c>
      <c r="K202" s="20" t="s">
        <v>38</v>
      </c>
      <c r="L202" s="30" t="s">
        <v>695</v>
      </c>
      <c r="M202" s="82" t="s">
        <v>24</v>
      </c>
      <c r="N202" s="349"/>
      <c r="O202" s="350"/>
      <c r="P202" s="10"/>
      <c r="Q202" s="342">
        <v>1</v>
      </c>
      <c r="R202" s="141"/>
      <c r="T202" s="149" t="s">
        <v>23</v>
      </c>
      <c r="U202" s="148"/>
      <c r="X202" s="581">
        <v>9.0649547576904297</v>
      </c>
      <c r="Y202" s="581">
        <f t="shared" si="14"/>
        <v>9.0649547576904297</v>
      </c>
      <c r="Z202" s="141" t="str">
        <f t="shared" si="15"/>
        <v/>
      </c>
    </row>
    <row r="203" spans="1:26" s="147" customFormat="1" ht="409.5" customHeight="1" x14ac:dyDescent="0.2">
      <c r="A203" s="45" t="e">
        <f t="shared" ref="A203:A213" si="19">A202+1</f>
        <v>#REF!</v>
      </c>
      <c r="B203" s="186" t="s">
        <v>733</v>
      </c>
      <c r="C203" s="146" t="s">
        <v>734</v>
      </c>
      <c r="D203" s="552" t="s">
        <v>735</v>
      </c>
      <c r="E203" s="152">
        <f t="shared" si="16"/>
        <v>1361</v>
      </c>
      <c r="F203" s="435" t="s">
        <v>736</v>
      </c>
      <c r="G203" s="152">
        <f t="shared" si="17"/>
        <v>1608</v>
      </c>
      <c r="H203" s="161" t="s">
        <v>255</v>
      </c>
      <c r="I203" s="152" t="s">
        <v>24</v>
      </c>
      <c r="J203" s="152" t="s">
        <v>24</v>
      </c>
      <c r="K203" s="152" t="s">
        <v>737</v>
      </c>
      <c r="L203" s="151" t="s">
        <v>738</v>
      </c>
      <c r="M203" s="222" t="s">
        <v>739</v>
      </c>
      <c r="N203" s="151" t="s">
        <v>740</v>
      </c>
      <c r="O203" s="86"/>
      <c r="P203" s="160"/>
      <c r="Q203" s="273">
        <v>1</v>
      </c>
      <c r="R203" s="141"/>
      <c r="T203" s="424" t="s">
        <v>33</v>
      </c>
      <c r="U203" s="148"/>
      <c r="X203" s="580">
        <v>52.174358367919922</v>
      </c>
      <c r="Y203" s="580">
        <f t="shared" si="14"/>
        <v>52.174358367919922</v>
      </c>
      <c r="Z203" s="141">
        <f t="shared" si="15"/>
        <v>52.174358367919922</v>
      </c>
    </row>
    <row r="204" spans="1:26" s="147" customFormat="1" ht="170" customHeight="1" x14ac:dyDescent="0.2">
      <c r="A204" s="337" t="e">
        <f t="shared" si="19"/>
        <v>#REF!</v>
      </c>
      <c r="B204" s="239" t="s">
        <v>741</v>
      </c>
      <c r="C204" s="185" t="s">
        <v>741</v>
      </c>
      <c r="D204" s="159" t="s">
        <v>742</v>
      </c>
      <c r="E204" s="135">
        <f t="shared" si="16"/>
        <v>327</v>
      </c>
      <c r="F204" s="208" t="s">
        <v>743</v>
      </c>
      <c r="G204" s="135">
        <f t="shared" si="17"/>
        <v>489</v>
      </c>
      <c r="H204" s="158" t="s">
        <v>37</v>
      </c>
      <c r="I204" s="136" t="s">
        <v>24</v>
      </c>
      <c r="J204" s="136" t="s">
        <v>24</v>
      </c>
      <c r="K204" s="136" t="s">
        <v>38</v>
      </c>
      <c r="L204" s="157" t="s">
        <v>744</v>
      </c>
      <c r="M204" s="222" t="s">
        <v>24</v>
      </c>
      <c r="N204" s="157" t="s">
        <v>745</v>
      </c>
      <c r="O204" s="44"/>
      <c r="P204" s="156"/>
      <c r="Q204" s="273">
        <v>1</v>
      </c>
      <c r="R204" s="141"/>
      <c r="T204" s="424" t="s">
        <v>33</v>
      </c>
      <c r="U204" s="148"/>
      <c r="X204" s="580">
        <v>1.2871023416519169</v>
      </c>
      <c r="Y204" s="580">
        <f t="shared" si="14"/>
        <v>1.2871023416519169</v>
      </c>
      <c r="Z204" s="141">
        <f t="shared" si="15"/>
        <v>1.2871023416519169</v>
      </c>
    </row>
    <row r="205" spans="1:26" s="147" customFormat="1" ht="85" customHeight="1" x14ac:dyDescent="0.2">
      <c r="A205" s="14" t="e">
        <f t="shared" si="19"/>
        <v>#REF!</v>
      </c>
      <c r="B205" s="238" t="s">
        <v>746</v>
      </c>
      <c r="C205" s="246" t="s">
        <v>746</v>
      </c>
      <c r="D205" s="563" t="s">
        <v>747</v>
      </c>
      <c r="E205" s="20">
        <f t="shared" si="16"/>
        <v>179</v>
      </c>
      <c r="F205" s="553" t="s">
        <v>748</v>
      </c>
      <c r="G205" s="20">
        <f t="shared" si="17"/>
        <v>219</v>
      </c>
      <c r="H205" s="35" t="s">
        <v>37</v>
      </c>
      <c r="I205" s="20" t="s">
        <v>24</v>
      </c>
      <c r="J205" s="20" t="s">
        <v>24</v>
      </c>
      <c r="K205" s="20" t="s">
        <v>38</v>
      </c>
      <c r="L205" s="30" t="s">
        <v>749</v>
      </c>
      <c r="M205" s="82" t="s">
        <v>24</v>
      </c>
      <c r="N205" s="30" t="s">
        <v>750</v>
      </c>
      <c r="O205" s="30"/>
      <c r="P205" s="128"/>
      <c r="Q205" s="342">
        <v>1</v>
      </c>
      <c r="R205" s="141"/>
      <c r="T205" s="149" t="s">
        <v>23</v>
      </c>
      <c r="U205" s="148"/>
      <c r="X205" s="581">
        <v>5.6449732780456543</v>
      </c>
      <c r="Y205" s="581">
        <f t="shared" si="14"/>
        <v>5.6449732780456543</v>
      </c>
      <c r="Z205" s="141" t="str">
        <f t="shared" si="15"/>
        <v/>
      </c>
    </row>
    <row r="206" spans="1:26" s="147" customFormat="1" ht="119" customHeight="1" x14ac:dyDescent="0.2">
      <c r="A206" s="14" t="e">
        <f t="shared" si="19"/>
        <v>#REF!</v>
      </c>
      <c r="B206" s="238" t="s">
        <v>751</v>
      </c>
      <c r="C206" s="246" t="s">
        <v>751</v>
      </c>
      <c r="D206" s="553" t="s">
        <v>752</v>
      </c>
      <c r="E206" s="20">
        <f t="shared" si="16"/>
        <v>292</v>
      </c>
      <c r="F206" s="562" t="s">
        <v>753</v>
      </c>
      <c r="G206" s="20">
        <f t="shared" si="17"/>
        <v>419</v>
      </c>
      <c r="H206" s="35" t="s">
        <v>121</v>
      </c>
      <c r="I206" s="20" t="s">
        <v>24</v>
      </c>
      <c r="J206" s="20" t="s">
        <v>24</v>
      </c>
      <c r="K206" s="20" t="s">
        <v>27</v>
      </c>
      <c r="L206" s="30" t="s">
        <v>754</v>
      </c>
      <c r="M206" s="82" t="s">
        <v>24</v>
      </c>
      <c r="N206" s="30" t="s">
        <v>755</v>
      </c>
      <c r="O206" s="30"/>
      <c r="P206" s="127"/>
      <c r="Q206" s="342">
        <v>1</v>
      </c>
      <c r="R206" s="141"/>
      <c r="T206" s="149" t="s">
        <v>23</v>
      </c>
      <c r="U206" s="148"/>
      <c r="X206" s="581">
        <v>26.998960494995121</v>
      </c>
      <c r="Y206" s="581">
        <f t="shared" ref="Y206:Y237" si="20">IF(X206="","",X206*Q206)</f>
        <v>26.998960494995121</v>
      </c>
      <c r="Z206" s="141" t="str">
        <f t="shared" ref="Z206:Z237" si="21">IF(T206="yes",Y206,"")</f>
        <v/>
      </c>
    </row>
    <row r="207" spans="1:26" s="147" customFormat="1" ht="119" customHeight="1" x14ac:dyDescent="0.2">
      <c r="A207" s="14" t="e">
        <f t="shared" si="19"/>
        <v>#REF!</v>
      </c>
      <c r="B207" s="238" t="s">
        <v>756</v>
      </c>
      <c r="C207" s="246" t="s">
        <v>756</v>
      </c>
      <c r="D207" s="553" t="s">
        <v>757</v>
      </c>
      <c r="E207" s="20">
        <f t="shared" si="16"/>
        <v>267</v>
      </c>
      <c r="F207" s="553" t="s">
        <v>758</v>
      </c>
      <c r="G207" s="20">
        <f t="shared" si="17"/>
        <v>395</v>
      </c>
      <c r="H207" s="35" t="s">
        <v>121</v>
      </c>
      <c r="I207" s="20" t="s">
        <v>24</v>
      </c>
      <c r="J207" s="20" t="s">
        <v>24</v>
      </c>
      <c r="K207" s="20" t="s">
        <v>27</v>
      </c>
      <c r="L207" s="30" t="s">
        <v>759</v>
      </c>
      <c r="M207" s="82" t="s">
        <v>24</v>
      </c>
      <c r="N207" s="30" t="s">
        <v>760</v>
      </c>
      <c r="O207" s="30"/>
      <c r="P207" s="127"/>
      <c r="Q207" s="342">
        <v>1</v>
      </c>
      <c r="R207" s="141"/>
      <c r="T207" s="149" t="s">
        <v>23</v>
      </c>
      <c r="U207" s="148"/>
      <c r="X207" s="581">
        <v>18.273832321166989</v>
      </c>
      <c r="Y207" s="581">
        <f t="shared" si="20"/>
        <v>18.273832321166989</v>
      </c>
      <c r="Z207" s="141" t="str">
        <f t="shared" si="21"/>
        <v/>
      </c>
    </row>
    <row r="208" spans="1:26" s="147" customFormat="1" ht="102" customHeight="1" x14ac:dyDescent="0.2">
      <c r="A208" s="14" t="e">
        <f t="shared" si="19"/>
        <v>#REF!</v>
      </c>
      <c r="B208" s="238" t="s">
        <v>761</v>
      </c>
      <c r="C208" s="246" t="s">
        <v>761</v>
      </c>
      <c r="D208" s="623" t="s">
        <v>1835</v>
      </c>
      <c r="E208" s="20">
        <f t="shared" si="16"/>
        <v>265</v>
      </c>
      <c r="F208" s="623" t="s">
        <v>1834</v>
      </c>
      <c r="G208" s="20">
        <f t="shared" si="17"/>
        <v>347</v>
      </c>
      <c r="H208" s="35" t="s">
        <v>121</v>
      </c>
      <c r="I208" s="20" t="s">
        <v>24</v>
      </c>
      <c r="J208" s="20" t="s">
        <v>24</v>
      </c>
      <c r="K208" s="20" t="s">
        <v>27</v>
      </c>
      <c r="L208" s="30" t="s">
        <v>762</v>
      </c>
      <c r="M208" s="82" t="s">
        <v>24</v>
      </c>
      <c r="N208" s="30" t="s">
        <v>763</v>
      </c>
      <c r="O208" s="30"/>
      <c r="P208" s="127"/>
      <c r="Q208" s="342">
        <v>1</v>
      </c>
      <c r="R208" s="141"/>
      <c r="T208" s="149" t="s">
        <v>23</v>
      </c>
      <c r="U208" s="148"/>
      <c r="X208" s="581">
        <v>16.352115631103519</v>
      </c>
      <c r="Y208" s="581">
        <f t="shared" si="20"/>
        <v>16.352115631103519</v>
      </c>
      <c r="Z208" s="141" t="str">
        <f t="shared" si="21"/>
        <v/>
      </c>
    </row>
    <row r="209" spans="1:26" s="147" customFormat="1" ht="102" customHeight="1" x14ac:dyDescent="0.2">
      <c r="A209" s="14" t="e">
        <f t="shared" si="19"/>
        <v>#REF!</v>
      </c>
      <c r="B209" s="238" t="s">
        <v>764</v>
      </c>
      <c r="C209" s="246" t="s">
        <v>764</v>
      </c>
      <c r="D209" s="623" t="s">
        <v>1833</v>
      </c>
      <c r="E209" s="20">
        <f t="shared" si="16"/>
        <v>230</v>
      </c>
      <c r="F209" s="623" t="s">
        <v>1832</v>
      </c>
      <c r="G209" s="20">
        <f t="shared" si="17"/>
        <v>313</v>
      </c>
      <c r="H209" s="35" t="s">
        <v>121</v>
      </c>
      <c r="I209" s="20" t="s">
        <v>24</v>
      </c>
      <c r="J209" s="20" t="s">
        <v>24</v>
      </c>
      <c r="K209" s="20" t="s">
        <v>27</v>
      </c>
      <c r="L209" s="30" t="s">
        <v>765</v>
      </c>
      <c r="M209" s="82" t="s">
        <v>24</v>
      </c>
      <c r="N209" s="30" t="s">
        <v>766</v>
      </c>
      <c r="O209" s="30"/>
      <c r="P209" s="127"/>
      <c r="Q209" s="342">
        <v>1</v>
      </c>
      <c r="R209" s="141"/>
      <c r="T209" s="149" t="s">
        <v>23</v>
      </c>
      <c r="U209" s="148"/>
      <c r="X209" s="581">
        <v>14.01507568359375</v>
      </c>
      <c r="Y209" s="581">
        <f t="shared" si="20"/>
        <v>14.01507568359375</v>
      </c>
      <c r="Z209" s="141" t="str">
        <f t="shared" si="21"/>
        <v/>
      </c>
    </row>
    <row r="210" spans="1:26" s="147" customFormat="1" ht="119" customHeight="1" x14ac:dyDescent="0.2">
      <c r="A210" s="14" t="e">
        <f t="shared" si="19"/>
        <v>#REF!</v>
      </c>
      <c r="B210" s="238" t="s">
        <v>767</v>
      </c>
      <c r="C210" s="246" t="s">
        <v>767</v>
      </c>
      <c r="D210" s="553" t="s">
        <v>768</v>
      </c>
      <c r="E210" s="20">
        <f t="shared" si="16"/>
        <v>273</v>
      </c>
      <c r="F210" s="553" t="s">
        <v>769</v>
      </c>
      <c r="G210" s="20">
        <f t="shared" si="17"/>
        <v>388</v>
      </c>
      <c r="H210" s="35" t="s">
        <v>121</v>
      </c>
      <c r="I210" s="20" t="s">
        <v>24</v>
      </c>
      <c r="J210" s="20" t="s">
        <v>24</v>
      </c>
      <c r="K210" s="20" t="s">
        <v>27</v>
      </c>
      <c r="L210" s="30" t="s">
        <v>770</v>
      </c>
      <c r="M210" s="82" t="s">
        <v>24</v>
      </c>
      <c r="N210" s="30" t="s">
        <v>771</v>
      </c>
      <c r="O210" s="30"/>
      <c r="P210" s="127"/>
      <c r="Q210" s="342">
        <v>1</v>
      </c>
      <c r="R210" s="141"/>
      <c r="T210" s="149" t="s">
        <v>23</v>
      </c>
      <c r="U210" s="148"/>
      <c r="X210" s="581">
        <v>17.22746658325195</v>
      </c>
      <c r="Y210" s="581">
        <f t="shared" si="20"/>
        <v>17.22746658325195</v>
      </c>
      <c r="Z210" s="141" t="str">
        <f t="shared" si="21"/>
        <v/>
      </c>
    </row>
    <row r="211" spans="1:26" s="147" customFormat="1" ht="119" customHeight="1" x14ac:dyDescent="0.2">
      <c r="A211" s="14" t="e">
        <f t="shared" si="19"/>
        <v>#REF!</v>
      </c>
      <c r="B211" s="238" t="s">
        <v>772</v>
      </c>
      <c r="C211" s="246" t="s">
        <v>772</v>
      </c>
      <c r="D211" s="553" t="s">
        <v>773</v>
      </c>
      <c r="E211" s="20">
        <f t="shared" si="16"/>
        <v>307</v>
      </c>
      <c r="F211" s="553" t="s">
        <v>774</v>
      </c>
      <c r="G211" s="20">
        <f t="shared" si="17"/>
        <v>417</v>
      </c>
      <c r="H211" s="35" t="s">
        <v>121</v>
      </c>
      <c r="I211" s="20" t="s">
        <v>24</v>
      </c>
      <c r="J211" s="20" t="s">
        <v>24</v>
      </c>
      <c r="K211" s="20" t="s">
        <v>27</v>
      </c>
      <c r="L211" s="30" t="s">
        <v>775</v>
      </c>
      <c r="M211" s="82" t="s">
        <v>24</v>
      </c>
      <c r="N211" s="30" t="s">
        <v>776</v>
      </c>
      <c r="O211" s="30"/>
      <c r="P211" s="127"/>
      <c r="Q211" s="342">
        <v>1</v>
      </c>
      <c r="R211" s="141"/>
      <c r="T211" s="149" t="s">
        <v>23</v>
      </c>
      <c r="U211" s="148"/>
      <c r="X211" s="581">
        <v>19.492774716706521</v>
      </c>
      <c r="Y211" s="581">
        <f t="shared" si="20"/>
        <v>19.492774716706521</v>
      </c>
      <c r="Z211" s="141" t="str">
        <f t="shared" si="21"/>
        <v/>
      </c>
    </row>
    <row r="212" spans="1:26" s="147" customFormat="1" ht="119" customHeight="1" x14ac:dyDescent="0.2">
      <c r="A212" s="14" t="e">
        <f t="shared" si="19"/>
        <v>#REF!</v>
      </c>
      <c r="B212" s="238" t="s">
        <v>777</v>
      </c>
      <c r="C212" s="246" t="s">
        <v>777</v>
      </c>
      <c r="D212" s="553" t="s">
        <v>778</v>
      </c>
      <c r="E212" s="20">
        <f t="shared" si="16"/>
        <v>292</v>
      </c>
      <c r="F212" s="553" t="s">
        <v>779</v>
      </c>
      <c r="G212" s="20">
        <f t="shared" si="17"/>
        <v>423</v>
      </c>
      <c r="H212" s="35" t="s">
        <v>121</v>
      </c>
      <c r="I212" s="20" t="s">
        <v>24</v>
      </c>
      <c r="J212" s="20" t="s">
        <v>24</v>
      </c>
      <c r="K212" s="20" t="s">
        <v>27</v>
      </c>
      <c r="L212" s="30" t="s">
        <v>780</v>
      </c>
      <c r="M212" s="82" t="s">
        <v>24</v>
      </c>
      <c r="N212" s="30" t="s">
        <v>781</v>
      </c>
      <c r="O212" s="30"/>
      <c r="P212" s="127"/>
      <c r="Q212" s="342">
        <v>1</v>
      </c>
      <c r="R212" s="141"/>
      <c r="T212" s="149" t="s">
        <v>23</v>
      </c>
      <c r="U212" s="148"/>
      <c r="X212" s="581">
        <v>14.17413425445557</v>
      </c>
      <c r="Y212" s="581">
        <f t="shared" si="20"/>
        <v>14.17413425445557</v>
      </c>
      <c r="Z212" s="141" t="str">
        <f t="shared" si="21"/>
        <v/>
      </c>
    </row>
    <row r="213" spans="1:26" s="147" customFormat="1" ht="119" customHeight="1" x14ac:dyDescent="0.2">
      <c r="A213" s="14" t="e">
        <f t="shared" si="19"/>
        <v>#REF!</v>
      </c>
      <c r="B213" s="238" t="s">
        <v>782</v>
      </c>
      <c r="C213" s="246" t="s">
        <v>782</v>
      </c>
      <c r="D213" s="553" t="s">
        <v>783</v>
      </c>
      <c r="E213" s="20">
        <f t="shared" si="16"/>
        <v>262</v>
      </c>
      <c r="F213" s="553" t="s">
        <v>784</v>
      </c>
      <c r="G213" s="20">
        <f t="shared" si="17"/>
        <v>396</v>
      </c>
      <c r="H213" s="35" t="s">
        <v>121</v>
      </c>
      <c r="I213" s="20" t="s">
        <v>24</v>
      </c>
      <c r="J213" s="20" t="s">
        <v>24</v>
      </c>
      <c r="K213" s="20" t="s">
        <v>27</v>
      </c>
      <c r="L213" s="30" t="s">
        <v>785</v>
      </c>
      <c r="M213" s="82" t="s">
        <v>24</v>
      </c>
      <c r="N213" s="30" t="s">
        <v>786</v>
      </c>
      <c r="O213" s="30"/>
      <c r="P213" s="127"/>
      <c r="Q213" s="342">
        <v>1</v>
      </c>
      <c r="R213" s="141"/>
      <c r="T213" s="149" t="s">
        <v>23</v>
      </c>
      <c r="U213" s="148"/>
      <c r="X213" s="581">
        <v>13.37862586975098</v>
      </c>
      <c r="Y213" s="581">
        <f t="shared" si="20"/>
        <v>13.37862586975098</v>
      </c>
      <c r="Z213" s="141" t="str">
        <f t="shared" si="21"/>
        <v/>
      </c>
    </row>
    <row r="214" spans="1:26" s="147" customFormat="1" ht="102" customHeight="1" x14ac:dyDescent="0.2">
      <c r="A214" s="14"/>
      <c r="B214" s="238" t="s">
        <v>787</v>
      </c>
      <c r="C214" s="246" t="s">
        <v>787</v>
      </c>
      <c r="D214" s="553" t="s">
        <v>788</v>
      </c>
      <c r="E214" s="20">
        <f t="shared" si="16"/>
        <v>257</v>
      </c>
      <c r="F214" s="553" t="s">
        <v>789</v>
      </c>
      <c r="G214" s="20">
        <f t="shared" si="17"/>
        <v>377</v>
      </c>
      <c r="H214" s="35" t="s">
        <v>121</v>
      </c>
      <c r="I214" s="20" t="s">
        <v>24</v>
      </c>
      <c r="J214" s="20" t="s">
        <v>24</v>
      </c>
      <c r="K214" s="20" t="s">
        <v>27</v>
      </c>
      <c r="L214" s="30" t="s">
        <v>790</v>
      </c>
      <c r="M214" s="82" t="s">
        <v>24</v>
      </c>
      <c r="N214" s="30" t="s">
        <v>791</v>
      </c>
      <c r="O214" s="30"/>
      <c r="P214" s="127"/>
      <c r="Q214" s="342">
        <v>1</v>
      </c>
      <c r="R214" s="141"/>
      <c r="T214" s="149" t="s">
        <v>23</v>
      </c>
      <c r="U214" s="148"/>
      <c r="X214" s="581">
        <v>12.756523132324221</v>
      </c>
      <c r="Y214" s="581">
        <f t="shared" si="20"/>
        <v>12.756523132324221</v>
      </c>
      <c r="Z214" s="141" t="str">
        <f t="shared" si="21"/>
        <v/>
      </c>
    </row>
    <row r="215" spans="1:26" s="147" customFormat="1" ht="85" customHeight="1" x14ac:dyDescent="0.2">
      <c r="A215" s="14" t="e">
        <f>A213+1</f>
        <v>#REF!</v>
      </c>
      <c r="B215" s="238" t="s">
        <v>792</v>
      </c>
      <c r="C215" s="246" t="s">
        <v>792</v>
      </c>
      <c r="D215" s="553" t="s">
        <v>793</v>
      </c>
      <c r="E215" s="20">
        <f t="shared" si="16"/>
        <v>204</v>
      </c>
      <c r="F215" s="553" t="s">
        <v>794</v>
      </c>
      <c r="G215" s="20">
        <f t="shared" si="17"/>
        <v>244</v>
      </c>
      <c r="H215" s="35" t="s">
        <v>37</v>
      </c>
      <c r="I215" s="20" t="s">
        <v>24</v>
      </c>
      <c r="J215" s="20" t="s">
        <v>24</v>
      </c>
      <c r="K215" s="20" t="s">
        <v>38</v>
      </c>
      <c r="L215" s="30" t="s">
        <v>795</v>
      </c>
      <c r="M215" s="82" t="s">
        <v>24</v>
      </c>
      <c r="N215" s="30" t="s">
        <v>796</v>
      </c>
      <c r="O215" s="30"/>
      <c r="P215" s="127"/>
      <c r="Q215" s="342">
        <v>1</v>
      </c>
      <c r="R215" s="141"/>
      <c r="T215" s="149" t="s">
        <v>23</v>
      </c>
      <c r="U215" s="148"/>
      <c r="X215" s="581">
        <v>5.8349170684814453</v>
      </c>
      <c r="Y215" s="581">
        <f t="shared" si="20"/>
        <v>5.8349170684814453</v>
      </c>
      <c r="Z215" s="141" t="str">
        <f t="shared" si="21"/>
        <v/>
      </c>
    </row>
    <row r="216" spans="1:26" s="147" customFormat="1" ht="85" customHeight="1" x14ac:dyDescent="0.2">
      <c r="A216" s="14" t="e">
        <f>A215+1</f>
        <v>#REF!</v>
      </c>
      <c r="B216" s="238" t="s">
        <v>797</v>
      </c>
      <c r="C216" s="246" t="s">
        <v>797</v>
      </c>
      <c r="D216" s="553" t="s">
        <v>798</v>
      </c>
      <c r="E216" s="20">
        <f t="shared" si="16"/>
        <v>169</v>
      </c>
      <c r="F216" s="553" t="s">
        <v>799</v>
      </c>
      <c r="G216" s="20">
        <f t="shared" si="17"/>
        <v>242</v>
      </c>
      <c r="H216" s="117" t="s">
        <v>121</v>
      </c>
      <c r="I216" s="20" t="s">
        <v>24</v>
      </c>
      <c r="J216" s="20" t="s">
        <v>24</v>
      </c>
      <c r="K216" s="20" t="s">
        <v>27</v>
      </c>
      <c r="L216" s="30" t="s">
        <v>800</v>
      </c>
      <c r="M216" s="82" t="s">
        <v>24</v>
      </c>
      <c r="N216" s="30" t="s">
        <v>801</v>
      </c>
      <c r="O216" s="30"/>
      <c r="P216" s="127"/>
      <c r="Q216" s="342">
        <v>1</v>
      </c>
      <c r="R216" s="141"/>
      <c r="T216" s="149" t="s">
        <v>23</v>
      </c>
      <c r="U216" s="148"/>
      <c r="X216" s="581">
        <v>28.608445494708722</v>
      </c>
      <c r="Y216" s="581">
        <f t="shared" si="20"/>
        <v>28.608445494708722</v>
      </c>
      <c r="Z216" s="141" t="str">
        <f t="shared" si="21"/>
        <v/>
      </c>
    </row>
    <row r="217" spans="1:26" s="147" customFormat="1" ht="85" customHeight="1" x14ac:dyDescent="0.2">
      <c r="A217" s="14" t="e">
        <f>A216+1</f>
        <v>#REF!</v>
      </c>
      <c r="B217" s="238" t="s">
        <v>802</v>
      </c>
      <c r="C217" s="246" t="s">
        <v>802</v>
      </c>
      <c r="D217" s="553" t="s">
        <v>803</v>
      </c>
      <c r="E217" s="20">
        <f t="shared" si="16"/>
        <v>192</v>
      </c>
      <c r="F217" s="553" t="s">
        <v>804</v>
      </c>
      <c r="G217" s="20">
        <f t="shared" si="17"/>
        <v>294</v>
      </c>
      <c r="H217" s="117" t="s">
        <v>121</v>
      </c>
      <c r="I217" s="20" t="s">
        <v>24</v>
      </c>
      <c r="J217" s="20" t="s">
        <v>24</v>
      </c>
      <c r="K217" s="20" t="s">
        <v>27</v>
      </c>
      <c r="L217" s="30" t="s">
        <v>805</v>
      </c>
      <c r="M217" s="82" t="s">
        <v>24</v>
      </c>
      <c r="N217" s="30" t="s">
        <v>806</v>
      </c>
      <c r="O217" s="30"/>
      <c r="P217" s="127"/>
      <c r="Q217" s="342">
        <v>1</v>
      </c>
      <c r="R217" s="141"/>
      <c r="T217" s="149" t="s">
        <v>23</v>
      </c>
      <c r="U217" s="148"/>
      <c r="X217" s="581">
        <v>14.61820602416992</v>
      </c>
      <c r="Y217" s="581">
        <f t="shared" si="20"/>
        <v>14.61820602416992</v>
      </c>
      <c r="Z217" s="141" t="str">
        <f t="shared" si="21"/>
        <v/>
      </c>
    </row>
    <row r="218" spans="1:26" s="147" customFormat="1" ht="85" customHeight="1" x14ac:dyDescent="0.2">
      <c r="A218" s="14" t="e">
        <f>A217+1</f>
        <v>#REF!</v>
      </c>
      <c r="B218" s="240" t="s">
        <v>807</v>
      </c>
      <c r="C218" s="241" t="s">
        <v>807</v>
      </c>
      <c r="D218" s="553" t="s">
        <v>808</v>
      </c>
      <c r="E218" s="20">
        <f t="shared" si="16"/>
        <v>178</v>
      </c>
      <c r="F218" s="553" t="s">
        <v>809</v>
      </c>
      <c r="G218" s="20">
        <f t="shared" si="17"/>
        <v>264</v>
      </c>
      <c r="H218" s="117" t="s">
        <v>121</v>
      </c>
      <c r="I218" s="20" t="s">
        <v>24</v>
      </c>
      <c r="J218" s="20" t="s">
        <v>24</v>
      </c>
      <c r="K218" s="20" t="s">
        <v>27</v>
      </c>
      <c r="L218" s="30" t="s">
        <v>810</v>
      </c>
      <c r="M218" s="82" t="s">
        <v>24</v>
      </c>
      <c r="N218" s="30" t="s">
        <v>811</v>
      </c>
      <c r="O218" s="30"/>
      <c r="P218" s="127"/>
      <c r="Q218" s="342">
        <v>1</v>
      </c>
      <c r="R218" s="141"/>
      <c r="T218" s="149" t="s">
        <v>23</v>
      </c>
      <c r="U218" s="148"/>
      <c r="X218" s="581">
        <v>13.777663230896</v>
      </c>
      <c r="Y218" s="581">
        <f t="shared" si="20"/>
        <v>13.777663230896</v>
      </c>
      <c r="Z218" s="141" t="str">
        <f t="shared" si="21"/>
        <v/>
      </c>
    </row>
    <row r="219" spans="1:26" s="147" customFormat="1" ht="85" customHeight="1" x14ac:dyDescent="0.2">
      <c r="A219" s="14" t="e">
        <f>A218+1</f>
        <v>#REF!</v>
      </c>
      <c r="B219" s="238" t="s">
        <v>812</v>
      </c>
      <c r="C219" s="246" t="s">
        <v>812</v>
      </c>
      <c r="D219" s="553" t="s">
        <v>813</v>
      </c>
      <c r="E219" s="20">
        <f t="shared" si="16"/>
        <v>169</v>
      </c>
      <c r="F219" s="553" t="s">
        <v>814</v>
      </c>
      <c r="G219" s="20">
        <f t="shared" si="17"/>
        <v>281</v>
      </c>
      <c r="H219" s="117" t="s">
        <v>121</v>
      </c>
      <c r="I219" s="20" t="s">
        <v>24</v>
      </c>
      <c r="J219" s="20" t="s">
        <v>24</v>
      </c>
      <c r="K219" s="20" t="s">
        <v>27</v>
      </c>
      <c r="L219" s="30" t="s">
        <v>815</v>
      </c>
      <c r="M219" s="82" t="s">
        <v>24</v>
      </c>
      <c r="N219" s="30" t="s">
        <v>816</v>
      </c>
      <c r="O219" s="30"/>
      <c r="P219" s="128"/>
      <c r="Q219" s="342">
        <v>1</v>
      </c>
      <c r="R219" s="141"/>
      <c r="T219" s="149" t="s">
        <v>23</v>
      </c>
      <c r="U219" s="148"/>
      <c r="X219" s="581">
        <v>12.39977359771729</v>
      </c>
      <c r="Y219" s="581">
        <f t="shared" si="20"/>
        <v>12.39977359771729</v>
      </c>
      <c r="Z219" s="141" t="str">
        <f t="shared" si="21"/>
        <v/>
      </c>
    </row>
    <row r="220" spans="1:26" s="147" customFormat="1" ht="86" customHeight="1" thickBot="1" x14ac:dyDescent="0.25">
      <c r="A220" s="14" t="e">
        <f>A219+1</f>
        <v>#REF!</v>
      </c>
      <c r="B220" s="238" t="s">
        <v>817</v>
      </c>
      <c r="C220" s="246" t="s">
        <v>817</v>
      </c>
      <c r="D220" s="40" t="s">
        <v>818</v>
      </c>
      <c r="E220" s="20">
        <f t="shared" si="16"/>
        <v>190</v>
      </c>
      <c r="F220" s="40" t="s">
        <v>819</v>
      </c>
      <c r="G220" s="20">
        <f t="shared" si="17"/>
        <v>302</v>
      </c>
      <c r="H220" s="117" t="s">
        <v>121</v>
      </c>
      <c r="I220" s="24" t="s">
        <v>24</v>
      </c>
      <c r="J220" s="24" t="s">
        <v>24</v>
      </c>
      <c r="K220" s="20" t="s">
        <v>27</v>
      </c>
      <c r="L220" s="28" t="s">
        <v>820</v>
      </c>
      <c r="M220" s="82" t="s">
        <v>24</v>
      </c>
      <c r="N220" s="28" t="s">
        <v>821</v>
      </c>
      <c r="O220" s="28"/>
      <c r="P220" s="128"/>
      <c r="Q220" s="342">
        <v>1</v>
      </c>
      <c r="R220" s="141"/>
      <c r="T220" s="149" t="s">
        <v>23</v>
      </c>
      <c r="U220" s="148"/>
      <c r="X220" s="581">
        <v>13.343881607055661</v>
      </c>
      <c r="Y220" s="581">
        <f t="shared" si="20"/>
        <v>13.343881607055661</v>
      </c>
      <c r="Z220" s="141" t="str">
        <f t="shared" si="21"/>
        <v/>
      </c>
    </row>
    <row r="221" spans="1:26" s="415" customFormat="1" ht="17" customHeight="1" thickBot="1" x14ac:dyDescent="0.25">
      <c r="A221" s="604" t="s">
        <v>822</v>
      </c>
      <c r="B221" s="605"/>
      <c r="C221" s="605"/>
      <c r="D221" s="605"/>
      <c r="E221" s="605"/>
      <c r="F221" s="605"/>
      <c r="G221" s="605"/>
      <c r="H221" s="605"/>
      <c r="I221" s="605"/>
      <c r="J221" s="605"/>
      <c r="K221" s="605"/>
      <c r="L221" s="605"/>
      <c r="M221" s="605"/>
      <c r="N221" s="605"/>
      <c r="O221" s="605"/>
      <c r="P221" s="606"/>
      <c r="Q221" s="273"/>
      <c r="R221" s="426"/>
      <c r="T221" s="424"/>
      <c r="U221" s="427"/>
      <c r="X221" s="580"/>
      <c r="Y221" s="580" t="str">
        <f t="shared" si="20"/>
        <v/>
      </c>
      <c r="Z221" s="426" t="str">
        <f t="shared" si="21"/>
        <v/>
      </c>
    </row>
    <row r="222" spans="1:26" s="235" customFormat="1" ht="238" customHeight="1" x14ac:dyDescent="0.2">
      <c r="A222" s="336" t="e">
        <f>A220+1</f>
        <v>#REF!</v>
      </c>
      <c r="B222" s="237" t="s">
        <v>823</v>
      </c>
      <c r="C222" s="146" t="s">
        <v>823</v>
      </c>
      <c r="D222" s="145" t="s">
        <v>824</v>
      </c>
      <c r="E222" s="144">
        <f>LEN(D222)</f>
        <v>222</v>
      </c>
      <c r="F222" s="208" t="s">
        <v>825</v>
      </c>
      <c r="G222" s="144">
        <f>LEN(F222)</f>
        <v>228</v>
      </c>
      <c r="H222" s="154" t="s">
        <v>37</v>
      </c>
      <c r="I222" s="144" t="s">
        <v>24</v>
      </c>
      <c r="J222" s="152" t="s">
        <v>826</v>
      </c>
      <c r="K222" s="152" t="s">
        <v>38</v>
      </c>
      <c r="L222" s="143" t="s">
        <v>827</v>
      </c>
      <c r="M222" s="222" t="s">
        <v>24</v>
      </c>
      <c r="N222" s="564" t="s">
        <v>828</v>
      </c>
      <c r="O222" s="88"/>
      <c r="P222" s="9"/>
      <c r="Q222" s="273">
        <v>1</v>
      </c>
      <c r="R222" s="142"/>
      <c r="T222" s="428" t="s">
        <v>33</v>
      </c>
      <c r="U222" s="229"/>
      <c r="X222" s="584">
        <v>14.47277355194092</v>
      </c>
      <c r="Y222" s="580">
        <f t="shared" si="20"/>
        <v>14.47277355194092</v>
      </c>
      <c r="Z222" s="141">
        <f t="shared" si="21"/>
        <v>14.47277355194092</v>
      </c>
    </row>
    <row r="223" spans="1:26" s="147" customFormat="1" ht="409.5" customHeight="1" x14ac:dyDescent="0.2">
      <c r="A223" s="45" t="e">
        <f>A222+1</f>
        <v>#REF!</v>
      </c>
      <c r="B223" s="237" t="s">
        <v>829</v>
      </c>
      <c r="C223" s="410" t="s">
        <v>830</v>
      </c>
      <c r="D223" s="396" t="s">
        <v>831</v>
      </c>
      <c r="E223" s="152">
        <f>LEN(D223)</f>
        <v>1207</v>
      </c>
      <c r="F223" s="435" t="s">
        <v>832</v>
      </c>
      <c r="G223" s="152">
        <f>LEN(F223)</f>
        <v>1433</v>
      </c>
      <c r="H223" s="153" t="s">
        <v>600</v>
      </c>
      <c r="I223" s="152" t="s">
        <v>24</v>
      </c>
      <c r="J223" s="152" t="s">
        <v>24</v>
      </c>
      <c r="K223" s="152" t="s">
        <v>833</v>
      </c>
      <c r="L223" s="151" t="s">
        <v>834</v>
      </c>
      <c r="M223" s="222" t="s">
        <v>835</v>
      </c>
      <c r="N223" s="150" t="s">
        <v>836</v>
      </c>
      <c r="O223" s="175"/>
      <c r="P223" s="10"/>
      <c r="Q223" s="273">
        <v>1</v>
      </c>
      <c r="R223" s="141"/>
      <c r="T223" s="424" t="s">
        <v>33</v>
      </c>
      <c r="U223" s="148"/>
      <c r="X223" s="580">
        <v>33.740764617919922</v>
      </c>
      <c r="Y223" s="580">
        <f t="shared" si="20"/>
        <v>33.740764617919922</v>
      </c>
      <c r="Z223" s="141">
        <f t="shared" si="21"/>
        <v>33.740764617919922</v>
      </c>
    </row>
    <row r="224" spans="1:26" s="147" customFormat="1" x14ac:dyDescent="0.2">
      <c r="A224" s="114"/>
      <c r="B224" s="264"/>
      <c r="C224" s="101"/>
      <c r="D224" s="121"/>
      <c r="E224" s="104"/>
      <c r="F224" s="104"/>
      <c r="G224" s="104"/>
      <c r="H224" s="115"/>
      <c r="I224" s="104"/>
      <c r="J224" s="104"/>
      <c r="K224" s="104"/>
      <c r="L224" s="96"/>
      <c r="M224" s="81"/>
      <c r="N224" s="263"/>
      <c r="O224" s="263"/>
      <c r="P224" s="10"/>
      <c r="Q224" s="342">
        <v>1</v>
      </c>
      <c r="R224" s="141"/>
      <c r="T224" s="149"/>
      <c r="U224" s="148"/>
      <c r="X224" s="581"/>
      <c r="Y224" s="581" t="str">
        <f t="shared" si="20"/>
        <v/>
      </c>
      <c r="Z224" s="141" t="str">
        <f t="shared" si="21"/>
        <v/>
      </c>
    </row>
    <row r="225" spans="1:26" s="147" customFormat="1" ht="340" customHeight="1" x14ac:dyDescent="0.2">
      <c r="A225" s="352" t="e">
        <f>A223+1</f>
        <v>#REF!</v>
      </c>
      <c r="B225" s="186" t="s">
        <v>837</v>
      </c>
      <c r="C225" s="153" t="s">
        <v>838</v>
      </c>
      <c r="D225" s="396" t="s">
        <v>839</v>
      </c>
      <c r="E225" s="135">
        <f>LEN(D225)</f>
        <v>497</v>
      </c>
      <c r="F225" s="539" t="s">
        <v>840</v>
      </c>
      <c r="G225" s="135">
        <f>LEN(F225)</f>
        <v>606</v>
      </c>
      <c r="H225" s="411" t="s">
        <v>600</v>
      </c>
      <c r="I225" s="135" t="s">
        <v>24</v>
      </c>
      <c r="J225" s="135" t="s">
        <v>24</v>
      </c>
      <c r="K225" s="135" t="s">
        <v>841</v>
      </c>
      <c r="L225" s="394" t="s">
        <v>842</v>
      </c>
      <c r="M225" s="222" t="s">
        <v>843</v>
      </c>
      <c r="N225" s="394" t="s">
        <v>844</v>
      </c>
      <c r="O225" s="96"/>
      <c r="P225" s="10"/>
      <c r="Q225" s="342">
        <v>1</v>
      </c>
      <c r="R225" s="141"/>
      <c r="T225" s="424" t="s">
        <v>33</v>
      </c>
      <c r="U225" s="148"/>
      <c r="X225" s="580">
        <v>14.55059909820557</v>
      </c>
      <c r="Y225" s="580">
        <f t="shared" si="20"/>
        <v>14.55059909820557</v>
      </c>
      <c r="Z225" s="141">
        <f t="shared" si="21"/>
        <v>14.55059909820557</v>
      </c>
    </row>
    <row r="226" spans="1:26" s="147" customFormat="1" ht="255" customHeight="1" x14ac:dyDescent="0.2">
      <c r="A226" s="352" t="e">
        <f>A225+1</f>
        <v>#REF!</v>
      </c>
      <c r="B226" s="412" t="s">
        <v>845</v>
      </c>
      <c r="C226" s="413" t="s">
        <v>845</v>
      </c>
      <c r="D226" s="396" t="s">
        <v>846</v>
      </c>
      <c r="E226" s="135">
        <f>LEN(D226)</f>
        <v>460</v>
      </c>
      <c r="F226" s="438" t="s">
        <v>847</v>
      </c>
      <c r="G226" s="135">
        <f>LEN(F226)</f>
        <v>512</v>
      </c>
      <c r="H226" s="411" t="s">
        <v>37</v>
      </c>
      <c r="I226" s="135" t="s">
        <v>24</v>
      </c>
      <c r="J226" s="414" t="s">
        <v>24</v>
      </c>
      <c r="K226" s="135" t="s">
        <v>38</v>
      </c>
      <c r="L226" s="408" t="s">
        <v>848</v>
      </c>
      <c r="M226" s="222" t="s">
        <v>24</v>
      </c>
      <c r="N226" s="151" t="s">
        <v>849</v>
      </c>
      <c r="O226" s="81"/>
      <c r="P226" s="10"/>
      <c r="Q226" s="342">
        <v>1</v>
      </c>
      <c r="R226" s="141"/>
      <c r="T226" s="424" t="s">
        <v>33</v>
      </c>
      <c r="U226" s="148"/>
      <c r="X226" s="580">
        <v>10.812456130981451</v>
      </c>
      <c r="Y226" s="580">
        <f t="shared" si="20"/>
        <v>10.812456130981451</v>
      </c>
      <c r="Z226" s="141">
        <f t="shared" si="21"/>
        <v>10.812456130981451</v>
      </c>
    </row>
    <row r="227" spans="1:26" s="147" customFormat="1" x14ac:dyDescent="0.2">
      <c r="A227" s="114"/>
      <c r="B227" s="264"/>
      <c r="C227" s="101"/>
      <c r="D227" s="121"/>
      <c r="E227" s="104"/>
      <c r="F227" s="104"/>
      <c r="G227" s="104"/>
      <c r="H227" s="115"/>
      <c r="I227" s="104"/>
      <c r="J227" s="104"/>
      <c r="K227" s="104"/>
      <c r="L227" s="96"/>
      <c r="M227" s="81"/>
      <c r="N227" s="263"/>
      <c r="O227" s="354"/>
      <c r="P227" s="51"/>
      <c r="Q227" s="342">
        <v>1</v>
      </c>
      <c r="R227" s="141"/>
      <c r="T227" s="149"/>
      <c r="U227" s="148"/>
      <c r="X227" s="581"/>
      <c r="Y227" s="581" t="str">
        <f t="shared" si="20"/>
        <v/>
      </c>
      <c r="Z227" s="141" t="str">
        <f t="shared" si="21"/>
        <v/>
      </c>
    </row>
    <row r="228" spans="1:26" s="147" customFormat="1" ht="187" customHeight="1" x14ac:dyDescent="0.2">
      <c r="A228" s="39"/>
      <c r="B228" s="53" t="s">
        <v>850</v>
      </c>
      <c r="C228" s="416" t="s">
        <v>851</v>
      </c>
      <c r="D228" s="376" t="s">
        <v>852</v>
      </c>
      <c r="E228" s="23">
        <f>LEN(D228)</f>
        <v>188</v>
      </c>
      <c r="F228" s="450" t="s">
        <v>853</v>
      </c>
      <c r="G228" s="23">
        <f>LEN(F228)</f>
        <v>208</v>
      </c>
      <c r="H228" s="379" t="s">
        <v>255</v>
      </c>
      <c r="I228" s="23" t="s">
        <v>24</v>
      </c>
      <c r="J228" s="417" t="s">
        <v>24</v>
      </c>
      <c r="K228" s="23" t="s">
        <v>854</v>
      </c>
      <c r="L228" s="41" t="s">
        <v>855</v>
      </c>
      <c r="M228" s="82" t="s">
        <v>856</v>
      </c>
      <c r="N228" s="30" t="s">
        <v>857</v>
      </c>
      <c r="O228" s="355"/>
      <c r="P228" s="73"/>
      <c r="Q228" s="342">
        <v>1</v>
      </c>
      <c r="R228" s="141"/>
      <c r="T228" s="149" t="s">
        <v>23</v>
      </c>
      <c r="U228" s="148"/>
      <c r="X228" s="581">
        <v>10.812456130981451</v>
      </c>
      <c r="Y228" s="581">
        <f t="shared" si="20"/>
        <v>10.812456130981451</v>
      </c>
      <c r="Z228" s="141" t="str">
        <f t="shared" si="21"/>
        <v/>
      </c>
    </row>
    <row r="229" spans="1:26" s="147" customFormat="1" ht="17" customHeight="1" thickBot="1" x14ac:dyDescent="0.25">
      <c r="A229" s="114"/>
      <c r="B229" s="264"/>
      <c r="C229" s="101"/>
      <c r="D229" s="121"/>
      <c r="E229" s="104"/>
      <c r="F229" s="104"/>
      <c r="G229" s="104"/>
      <c r="H229" s="115"/>
      <c r="I229" s="104"/>
      <c r="J229" s="104"/>
      <c r="K229" s="104"/>
      <c r="L229" s="96"/>
      <c r="M229" s="81"/>
      <c r="N229" s="263"/>
      <c r="O229" s="263"/>
      <c r="P229" s="10"/>
      <c r="Q229" s="342">
        <v>1</v>
      </c>
      <c r="R229" s="141"/>
      <c r="T229" s="149"/>
      <c r="U229" s="148"/>
      <c r="X229" s="581"/>
      <c r="Y229" s="581" t="str">
        <f t="shared" si="20"/>
        <v/>
      </c>
      <c r="Z229" s="141" t="str">
        <f t="shared" si="21"/>
        <v/>
      </c>
    </row>
    <row r="230" spans="1:26" s="415" customFormat="1" ht="17" customHeight="1" thickBot="1" x14ac:dyDescent="0.25">
      <c r="A230" s="604" t="s">
        <v>858</v>
      </c>
      <c r="B230" s="605"/>
      <c r="C230" s="605"/>
      <c r="D230" s="605"/>
      <c r="E230" s="605"/>
      <c r="F230" s="605"/>
      <c r="G230" s="605"/>
      <c r="H230" s="605"/>
      <c r="I230" s="605"/>
      <c r="J230" s="605"/>
      <c r="K230" s="605"/>
      <c r="L230" s="605"/>
      <c r="M230" s="605"/>
      <c r="N230" s="605"/>
      <c r="O230" s="605"/>
      <c r="P230" s="606"/>
      <c r="Q230" s="273"/>
      <c r="R230" s="426"/>
      <c r="T230" s="424"/>
      <c r="U230" s="427"/>
      <c r="X230" s="580"/>
      <c r="Y230" s="580" t="str">
        <f t="shared" si="20"/>
        <v/>
      </c>
      <c r="Z230" s="426" t="str">
        <f t="shared" si="21"/>
        <v/>
      </c>
    </row>
    <row r="231" spans="1:26" s="147" customFormat="1" ht="119" customHeight="1" x14ac:dyDescent="0.2">
      <c r="A231" s="100" t="s">
        <v>24</v>
      </c>
      <c r="B231" s="237" t="s">
        <v>859</v>
      </c>
      <c r="C231" s="146" t="s">
        <v>859</v>
      </c>
      <c r="D231" s="145" t="s">
        <v>860</v>
      </c>
      <c r="E231" s="144">
        <f t="shared" ref="E231:E237" si="22">LEN(D231)</f>
        <v>162</v>
      </c>
      <c r="F231" s="451" t="s">
        <v>861</v>
      </c>
      <c r="G231" s="144">
        <f t="shared" ref="G231:G237" si="23">LEN(F231)</f>
        <v>189</v>
      </c>
      <c r="H231" s="144" t="s">
        <v>37</v>
      </c>
      <c r="I231" s="144" t="s">
        <v>24</v>
      </c>
      <c r="J231" s="144" t="s">
        <v>24</v>
      </c>
      <c r="K231" s="144" t="s">
        <v>38</v>
      </c>
      <c r="L231" s="143" t="s">
        <v>862</v>
      </c>
      <c r="M231" s="222" t="s">
        <v>24</v>
      </c>
      <c r="N231" s="143" t="s">
        <v>863</v>
      </c>
      <c r="O231" s="88"/>
      <c r="P231" s="9"/>
      <c r="Q231" s="273">
        <v>1</v>
      </c>
      <c r="R231" s="141"/>
      <c r="T231" s="424" t="s">
        <v>33</v>
      </c>
      <c r="U231" s="148"/>
      <c r="X231" s="580">
        <v>14.946464538574221</v>
      </c>
      <c r="Y231" s="580">
        <f t="shared" si="20"/>
        <v>14.946464538574221</v>
      </c>
      <c r="Z231" s="141">
        <f t="shared" si="21"/>
        <v>14.946464538574221</v>
      </c>
    </row>
    <row r="232" spans="1:26" s="283" customFormat="1" ht="137.25" customHeight="1" x14ac:dyDescent="0.2">
      <c r="A232" s="278"/>
      <c r="B232" s="418" t="s">
        <v>864</v>
      </c>
      <c r="C232" s="419" t="s">
        <v>864</v>
      </c>
      <c r="D232" s="420" t="s">
        <v>865</v>
      </c>
      <c r="E232" s="421">
        <f t="shared" si="22"/>
        <v>144</v>
      </c>
      <c r="F232" s="452" t="s">
        <v>866</v>
      </c>
      <c r="G232" s="421">
        <f t="shared" si="23"/>
        <v>164</v>
      </c>
      <c r="H232" s="421" t="s">
        <v>37</v>
      </c>
      <c r="I232" s="421" t="s">
        <v>24</v>
      </c>
      <c r="J232" s="421" t="s">
        <v>24</v>
      </c>
      <c r="K232" s="421" t="s">
        <v>38</v>
      </c>
      <c r="L232" s="279" t="s">
        <v>867</v>
      </c>
      <c r="M232" s="82" t="s">
        <v>24</v>
      </c>
      <c r="N232" s="279" t="s">
        <v>868</v>
      </c>
      <c r="O232" s="279"/>
      <c r="P232" s="280"/>
      <c r="Q232" s="335">
        <v>1</v>
      </c>
      <c r="R232" s="282"/>
      <c r="T232" s="284" t="s">
        <v>869</v>
      </c>
      <c r="U232" s="285"/>
      <c r="X232" s="585">
        <v>16.684934616088871</v>
      </c>
      <c r="Y232" s="581">
        <f t="shared" si="20"/>
        <v>16.684934616088871</v>
      </c>
      <c r="Z232" s="141" t="str">
        <f t="shared" si="21"/>
        <v/>
      </c>
    </row>
    <row r="233" spans="1:26" s="288" customFormat="1" ht="204" customHeight="1" x14ac:dyDescent="0.2">
      <c r="A233" s="286"/>
      <c r="B233" s="418" t="s">
        <v>870</v>
      </c>
      <c r="C233" s="419" t="s">
        <v>870</v>
      </c>
      <c r="D233" s="420" t="s">
        <v>871</v>
      </c>
      <c r="E233" s="421">
        <f t="shared" si="22"/>
        <v>235</v>
      </c>
      <c r="F233" s="452" t="s">
        <v>872</v>
      </c>
      <c r="G233" s="421">
        <f t="shared" si="23"/>
        <v>302</v>
      </c>
      <c r="H233" s="421" t="s">
        <v>82</v>
      </c>
      <c r="I233" s="421" t="s">
        <v>24</v>
      </c>
      <c r="J233" s="421" t="s">
        <v>24</v>
      </c>
      <c r="K233" s="421" t="s">
        <v>83</v>
      </c>
      <c r="L233" s="279" t="s">
        <v>873</v>
      </c>
      <c r="M233" s="82" t="s">
        <v>24</v>
      </c>
      <c r="N233" s="279" t="s">
        <v>874</v>
      </c>
      <c r="O233" s="279"/>
      <c r="P233" s="280"/>
      <c r="Q233" s="335">
        <v>1</v>
      </c>
      <c r="R233" s="287"/>
      <c r="T233" s="284" t="s">
        <v>869</v>
      </c>
      <c r="U233" s="289"/>
      <c r="X233" s="585">
        <v>15.116804122924799</v>
      </c>
      <c r="Y233" s="581">
        <f t="shared" si="20"/>
        <v>15.116804122924799</v>
      </c>
      <c r="Z233" s="141" t="str">
        <f t="shared" si="21"/>
        <v/>
      </c>
    </row>
    <row r="234" spans="1:26" s="288" customFormat="1" ht="68" customHeight="1" x14ac:dyDescent="0.2">
      <c r="A234" s="286"/>
      <c r="B234" s="418" t="s">
        <v>875</v>
      </c>
      <c r="C234" s="419" t="s">
        <v>875</v>
      </c>
      <c r="D234" s="422" t="s">
        <v>876</v>
      </c>
      <c r="E234" s="421">
        <f t="shared" si="22"/>
        <v>71</v>
      </c>
      <c r="F234" s="452" t="s">
        <v>877</v>
      </c>
      <c r="G234" s="421">
        <f t="shared" si="23"/>
        <v>114</v>
      </c>
      <c r="H234" s="421" t="s">
        <v>26</v>
      </c>
      <c r="I234" s="423" t="s">
        <v>24</v>
      </c>
      <c r="J234" s="423" t="s">
        <v>24</v>
      </c>
      <c r="K234" s="423" t="s">
        <v>83</v>
      </c>
      <c r="L234" s="279" t="s">
        <v>878</v>
      </c>
      <c r="M234" s="82" t="s">
        <v>24</v>
      </c>
      <c r="N234" s="279" t="s">
        <v>879</v>
      </c>
      <c r="O234" s="279"/>
      <c r="P234" s="280"/>
      <c r="Q234" s="335">
        <v>1</v>
      </c>
      <c r="R234" s="287"/>
      <c r="T234" s="284" t="s">
        <v>869</v>
      </c>
      <c r="U234" s="289"/>
      <c r="X234" s="585">
        <v>25.539003372192379</v>
      </c>
      <c r="Y234" s="581">
        <f t="shared" si="20"/>
        <v>25.539003372192379</v>
      </c>
      <c r="Z234" s="141" t="str">
        <f t="shared" si="21"/>
        <v/>
      </c>
    </row>
    <row r="235" spans="1:26" s="288" customFormat="1" ht="68" customHeight="1" x14ac:dyDescent="0.2">
      <c r="A235" s="286"/>
      <c r="B235" s="418" t="s">
        <v>880</v>
      </c>
      <c r="C235" s="419" t="s">
        <v>880</v>
      </c>
      <c r="D235" s="422" t="s">
        <v>881</v>
      </c>
      <c r="E235" s="421">
        <f t="shared" si="22"/>
        <v>92</v>
      </c>
      <c r="F235" s="452" t="s">
        <v>882</v>
      </c>
      <c r="G235" s="421">
        <f t="shared" si="23"/>
        <v>107</v>
      </c>
      <c r="H235" s="421" t="s">
        <v>26</v>
      </c>
      <c r="I235" s="421" t="s">
        <v>24</v>
      </c>
      <c r="J235" s="421" t="s">
        <v>24</v>
      </c>
      <c r="K235" s="423" t="s">
        <v>27</v>
      </c>
      <c r="L235" s="279" t="s">
        <v>883</v>
      </c>
      <c r="M235" s="82" t="s">
        <v>24</v>
      </c>
      <c r="N235" s="279" t="s">
        <v>884</v>
      </c>
      <c r="O235" s="279"/>
      <c r="P235" s="280"/>
      <c r="Q235" s="335">
        <v>1</v>
      </c>
      <c r="R235" s="287"/>
      <c r="T235" s="284" t="s">
        <v>869</v>
      </c>
      <c r="U235" s="289"/>
      <c r="X235" s="585">
        <v>13.714834213256839</v>
      </c>
      <c r="Y235" s="581">
        <f t="shared" si="20"/>
        <v>13.714834213256839</v>
      </c>
      <c r="Z235" s="141" t="str">
        <f t="shared" si="21"/>
        <v/>
      </c>
    </row>
    <row r="236" spans="1:26" s="289" customFormat="1" ht="187" customHeight="1" x14ac:dyDescent="0.2">
      <c r="A236" s="334"/>
      <c r="B236" s="290" t="s">
        <v>885</v>
      </c>
      <c r="C236" s="291" t="s">
        <v>886</v>
      </c>
      <c r="D236" s="378" t="s">
        <v>887</v>
      </c>
      <c r="E236" s="293">
        <f t="shared" si="22"/>
        <v>166</v>
      </c>
      <c r="F236" s="452" t="s">
        <v>888</v>
      </c>
      <c r="G236" s="293">
        <f t="shared" si="23"/>
        <v>190</v>
      </c>
      <c r="H236" s="293" t="s">
        <v>255</v>
      </c>
      <c r="I236" s="293" t="s">
        <v>24</v>
      </c>
      <c r="J236" s="293" t="s">
        <v>24</v>
      </c>
      <c r="K236" s="293" t="s">
        <v>737</v>
      </c>
      <c r="L236" s="294" t="s">
        <v>889</v>
      </c>
      <c r="M236" s="222" t="s">
        <v>24</v>
      </c>
      <c r="N236" s="295" t="s">
        <v>890</v>
      </c>
      <c r="O236" s="279"/>
      <c r="P236" s="296"/>
      <c r="Q236" s="281">
        <v>1</v>
      </c>
      <c r="R236" s="287"/>
      <c r="T236" s="425" t="s">
        <v>134</v>
      </c>
      <c r="X236" s="586">
        <v>19.354913711547852</v>
      </c>
      <c r="Y236" s="580">
        <f t="shared" si="20"/>
        <v>19.354913711547852</v>
      </c>
      <c r="Z236" s="141" t="str">
        <f t="shared" si="21"/>
        <v/>
      </c>
    </row>
    <row r="237" spans="1:26" s="289" customFormat="1" ht="120" customHeight="1" x14ac:dyDescent="0.2">
      <c r="A237" s="334"/>
      <c r="B237" s="290" t="s">
        <v>891</v>
      </c>
      <c r="C237" s="291" t="s">
        <v>892</v>
      </c>
      <c r="D237" s="292" t="s">
        <v>893</v>
      </c>
      <c r="E237" s="293">
        <f t="shared" si="22"/>
        <v>130</v>
      </c>
      <c r="F237" s="452" t="s">
        <v>894</v>
      </c>
      <c r="G237" s="293">
        <f t="shared" si="23"/>
        <v>178</v>
      </c>
      <c r="H237" s="293" t="s">
        <v>255</v>
      </c>
      <c r="I237" s="293" t="s">
        <v>24</v>
      </c>
      <c r="J237" s="293" t="s">
        <v>24</v>
      </c>
      <c r="K237" s="293" t="s">
        <v>737</v>
      </c>
      <c r="L237" s="294" t="s">
        <v>895</v>
      </c>
      <c r="M237" s="222" t="s">
        <v>24</v>
      </c>
      <c r="N237" s="295" t="s">
        <v>896</v>
      </c>
      <c r="O237" s="279"/>
      <c r="P237" s="296"/>
      <c r="Q237" s="281">
        <v>1</v>
      </c>
      <c r="R237" s="287"/>
      <c r="T237" s="425" t="s">
        <v>134</v>
      </c>
      <c r="X237" s="586">
        <v>15.88939952850342</v>
      </c>
      <c r="Y237" s="580">
        <f t="shared" si="20"/>
        <v>15.88939952850342</v>
      </c>
      <c r="Z237" s="141" t="str">
        <f t="shared" si="21"/>
        <v/>
      </c>
    </row>
    <row r="238" spans="1:26" s="139" customFormat="1" x14ac:dyDescent="0.2">
      <c r="A238" s="262"/>
      <c r="B238" s="261"/>
      <c r="C238" s="260"/>
      <c r="D238" s="259"/>
      <c r="E238" s="258"/>
      <c r="G238" s="258"/>
      <c r="H238" s="258"/>
      <c r="I238" s="257"/>
      <c r="J238" s="257"/>
      <c r="K238" s="257"/>
      <c r="L238" s="256"/>
      <c r="M238" s="86"/>
      <c r="N238" s="256"/>
      <c r="O238" s="255"/>
      <c r="P238" s="254"/>
      <c r="Q238" s="342">
        <v>1</v>
      </c>
      <c r="R238" s="141"/>
      <c r="T238" s="140"/>
      <c r="X238" s="587"/>
      <c r="Y238" s="581" t="str">
        <f t="shared" ref="Y238:Y269" si="24">IF(X238="","",X238*Q238)</f>
        <v/>
      </c>
      <c r="Z238" s="141" t="str">
        <f t="shared" ref="Z238:Z269" si="25">IF(T238="yes",Y238,"")</f>
        <v/>
      </c>
    </row>
    <row r="239" spans="1:26" s="235" customFormat="1" ht="103" customHeight="1" thickBot="1" x14ac:dyDescent="0.25">
      <c r="A239" s="333" t="s">
        <v>24</v>
      </c>
      <c r="B239" s="236" t="s">
        <v>897</v>
      </c>
      <c r="C239" s="137" t="s">
        <v>897</v>
      </c>
      <c r="D239" s="554" t="s">
        <v>898</v>
      </c>
      <c r="E239" s="136">
        <f>LEN(D239)</f>
        <v>158</v>
      </c>
      <c r="F239" s="555" t="s">
        <v>899</v>
      </c>
      <c r="G239" s="136">
        <f>LEN(F239)</f>
        <v>184</v>
      </c>
      <c r="H239" s="136" t="s">
        <v>37</v>
      </c>
      <c r="I239" s="136" t="s">
        <v>24</v>
      </c>
      <c r="J239" s="136" t="s">
        <v>24</v>
      </c>
      <c r="K239" s="136" t="s">
        <v>38</v>
      </c>
      <c r="L239" s="157" t="s">
        <v>900</v>
      </c>
      <c r="M239" s="222" t="s">
        <v>24</v>
      </c>
      <c r="N239" s="253" t="s">
        <v>24</v>
      </c>
      <c r="O239" s="122"/>
      <c r="P239" s="252"/>
      <c r="Q239" s="273">
        <v>1</v>
      </c>
      <c r="R239" s="141"/>
      <c r="T239" s="424" t="s">
        <v>33</v>
      </c>
      <c r="U239" s="148"/>
      <c r="X239" s="580">
        <v>17.309154088391789</v>
      </c>
      <c r="Y239" s="580">
        <f t="shared" si="24"/>
        <v>17.309154088391789</v>
      </c>
      <c r="Z239" s="141">
        <f t="shared" si="25"/>
        <v>17.309154088391789</v>
      </c>
    </row>
    <row r="240" spans="1:26" s="147" customFormat="1" ht="35" customHeight="1" thickBot="1" x14ac:dyDescent="0.25">
      <c r="A240" s="332" t="s">
        <v>24</v>
      </c>
      <c r="B240" s="234" t="s">
        <v>901</v>
      </c>
      <c r="C240" s="134" t="s">
        <v>901</v>
      </c>
      <c r="D240" s="133" t="s">
        <v>902</v>
      </c>
      <c r="E240" s="132">
        <f>LEN(D240)</f>
        <v>141</v>
      </c>
      <c r="F240" s="133" t="s">
        <v>903</v>
      </c>
      <c r="G240" s="132">
        <f>LEN(F240)</f>
        <v>161</v>
      </c>
      <c r="H240" s="132" t="s">
        <v>24</v>
      </c>
      <c r="I240" s="132" t="s">
        <v>24</v>
      </c>
      <c r="J240" s="132" t="s">
        <v>24</v>
      </c>
      <c r="K240" s="132" t="s">
        <v>24</v>
      </c>
      <c r="L240" s="131" t="s">
        <v>24</v>
      </c>
      <c r="M240" s="131"/>
      <c r="N240" s="130" t="s">
        <v>24</v>
      </c>
      <c r="O240" s="98"/>
      <c r="P240" s="99"/>
      <c r="Q240" s="273">
        <v>1</v>
      </c>
      <c r="R240" s="148"/>
      <c r="T240" s="149" t="s">
        <v>23</v>
      </c>
      <c r="U240" s="148"/>
      <c r="X240" s="588"/>
      <c r="Y240" s="580" t="str">
        <f t="shared" si="24"/>
        <v/>
      </c>
      <c r="Z240" s="141" t="str">
        <f t="shared" si="25"/>
        <v/>
      </c>
    </row>
    <row r="241" spans="4:26" x14ac:dyDescent="0.2">
      <c r="X241" s="589"/>
    </row>
    <row r="242" spans="4:26" ht="17" customHeight="1" thickBot="1" x14ac:dyDescent="0.25"/>
    <row r="243" spans="4:26" ht="18" customHeight="1" thickBot="1" x14ac:dyDescent="0.25">
      <c r="D243" s="233" t="s">
        <v>904</v>
      </c>
      <c r="E243" s="232"/>
      <c r="F243" s="233" t="s">
        <v>905</v>
      </c>
      <c r="G243" s="232"/>
      <c r="H243" s="232"/>
      <c r="I243" s="232"/>
      <c r="J243" s="232"/>
      <c r="K243" s="232"/>
      <c r="L243" s="232"/>
      <c r="M243" s="232"/>
      <c r="N243" s="232"/>
      <c r="O243" s="232"/>
      <c r="P243" s="232"/>
      <c r="Q243" s="326"/>
      <c r="X243" s="327"/>
      <c r="Y243" s="432">
        <f>(SUM(Y5:Y241))/60</f>
        <v>29.357721276722888</v>
      </c>
      <c r="Z243" s="431">
        <f>SUM(Z2:Z240)/60</f>
        <v>14.831551429005524</v>
      </c>
    </row>
    <row r="244" spans="4:26" ht="18" hidden="1" customHeight="1" thickBot="1" x14ac:dyDescent="0.25">
      <c r="D244" s="331" t="s">
        <v>906</v>
      </c>
      <c r="E244" s="330"/>
      <c r="F244" s="331" t="s">
        <v>907</v>
      </c>
      <c r="G244" s="330"/>
      <c r="H244" s="330"/>
      <c r="I244" s="330"/>
      <c r="J244" s="330"/>
      <c r="K244" s="330"/>
      <c r="L244" s="330"/>
      <c r="M244" s="330"/>
      <c r="N244" s="330"/>
      <c r="O244" s="330"/>
      <c r="P244" s="330"/>
      <c r="Q244" s="328"/>
      <c r="X244" s="329"/>
      <c r="Y244" s="433">
        <f>(SUM(Y6:Y156)+SUM(Y177:Y241))/60</f>
        <v>29.258078107677441</v>
      </c>
    </row>
    <row r="245" spans="4:26" ht="18" customHeight="1" thickBot="1" x14ac:dyDescent="0.25">
      <c r="D245" s="233" t="s">
        <v>908</v>
      </c>
      <c r="E245" s="232"/>
      <c r="F245" s="233" t="s">
        <v>909</v>
      </c>
      <c r="G245" s="232"/>
      <c r="H245" s="232"/>
      <c r="I245" s="232"/>
      <c r="J245" s="232"/>
      <c r="K245" s="232"/>
      <c r="L245" s="232"/>
      <c r="M245" s="232"/>
      <c r="N245" s="232"/>
      <c r="O245" s="232"/>
      <c r="P245" s="232"/>
      <c r="Q245" s="326"/>
      <c r="X245" s="327"/>
      <c r="Y245" s="434">
        <f>(SUM(Y6:Y25)+SUM(Y34:Y156)+SUM(Y176:Y231)+SUM(Y238:Y241))/60</f>
        <v>25.753863467219016</v>
      </c>
    </row>
  </sheetData>
  <sheetProtection algorithmName="SHA-512" hashValue="B3gIkzmWru6btT19Cg+wuRpEa5fRtJTvQdJy7TExy8wi1+XFyMEYUvmZsdOFEJqf1mb+eclNL4SmwZ055KfxYg==" saltValue="DYIVcbI/9Obaw197+xOEjQ==" spinCount="100000" sheet="1" formatCells="0" formatRows="0" insertRows="0" deleteRows="0"/>
  <mergeCells count="22">
    <mergeCell ref="A221:P221"/>
    <mergeCell ref="A230:P230"/>
    <mergeCell ref="A102:P102"/>
    <mergeCell ref="A128:P128"/>
    <mergeCell ref="A136:P136"/>
    <mergeCell ref="A149:P149"/>
    <mergeCell ref="A157:P157"/>
    <mergeCell ref="A176:P176"/>
    <mergeCell ref="P118:P121"/>
    <mergeCell ref="A64:P64"/>
    <mergeCell ref="P71:P72"/>
    <mergeCell ref="P83:P84"/>
    <mergeCell ref="P94:P95"/>
    <mergeCell ref="A168:P168"/>
    <mergeCell ref="N35:N36"/>
    <mergeCell ref="A48:P48"/>
    <mergeCell ref="P55:P57"/>
    <mergeCell ref="A1:P1"/>
    <mergeCell ref="A2:O2"/>
    <mergeCell ref="P2:P3"/>
    <mergeCell ref="A4:P4"/>
    <mergeCell ref="A20:P20"/>
  </mergeCells>
  <conditionalFormatting sqref="B14:B18">
    <cfRule type="duplicateValues" dxfId="170" priority="657"/>
  </conditionalFormatting>
  <conditionalFormatting sqref="B19">
    <cfRule type="duplicateValues" dxfId="169" priority="656"/>
  </conditionalFormatting>
  <conditionalFormatting sqref="B27">
    <cfRule type="duplicateValues" dxfId="168" priority="514"/>
  </conditionalFormatting>
  <conditionalFormatting sqref="B33:B34">
    <cfRule type="duplicateValues" dxfId="167" priority="507"/>
  </conditionalFormatting>
  <conditionalFormatting sqref="B35:B44">
    <cfRule type="duplicateValues" dxfId="166" priority="277"/>
  </conditionalFormatting>
  <conditionalFormatting sqref="B45">
    <cfRule type="duplicateValues" dxfId="165" priority="266"/>
  </conditionalFormatting>
  <conditionalFormatting sqref="B55">
    <cfRule type="duplicateValues" dxfId="164" priority="668"/>
  </conditionalFormatting>
  <conditionalFormatting sqref="B56">
    <cfRule type="duplicateValues" dxfId="163" priority="670"/>
  </conditionalFormatting>
  <conditionalFormatting sqref="B57:B58">
    <cfRule type="duplicateValues" dxfId="162" priority="628"/>
  </conditionalFormatting>
  <conditionalFormatting sqref="B61:B62">
    <cfRule type="duplicateValues" dxfId="161" priority="626"/>
  </conditionalFormatting>
  <conditionalFormatting sqref="B67:B69">
    <cfRule type="duplicateValues" dxfId="160" priority="276"/>
  </conditionalFormatting>
  <conditionalFormatting sqref="B72 B75">
    <cfRule type="duplicateValues" dxfId="159" priority="654"/>
  </conditionalFormatting>
  <conditionalFormatting sqref="B73">
    <cfRule type="duplicateValues" dxfId="158" priority="292"/>
  </conditionalFormatting>
  <conditionalFormatting sqref="B74">
    <cfRule type="duplicateValues" dxfId="157" priority="294"/>
  </conditionalFormatting>
  <conditionalFormatting sqref="B79:B81">
    <cfRule type="duplicateValues" dxfId="156" priority="272"/>
  </conditionalFormatting>
  <conditionalFormatting sqref="B82">
    <cfRule type="duplicateValues" dxfId="155" priority="789"/>
  </conditionalFormatting>
  <conditionalFormatting sqref="B83">
    <cfRule type="duplicateValues" dxfId="154" priority="621"/>
  </conditionalFormatting>
  <conditionalFormatting sqref="B85">
    <cfRule type="duplicateValues" dxfId="153" priority="285"/>
  </conditionalFormatting>
  <conditionalFormatting sqref="B86 B84">
    <cfRule type="duplicateValues" dxfId="152" priority="652"/>
  </conditionalFormatting>
  <conditionalFormatting sqref="B90:B92">
    <cfRule type="duplicateValues" dxfId="151" priority="268"/>
  </conditionalFormatting>
  <conditionalFormatting sqref="B93">
    <cfRule type="duplicateValues" dxfId="150" priority="827"/>
  </conditionalFormatting>
  <conditionalFormatting sqref="B95">
    <cfRule type="duplicateValues" dxfId="149" priority="650"/>
  </conditionalFormatting>
  <conditionalFormatting sqref="B96">
    <cfRule type="duplicateValues" dxfId="148" priority="281"/>
  </conditionalFormatting>
  <conditionalFormatting sqref="B97">
    <cfRule type="duplicateValues" dxfId="147" priority="282"/>
  </conditionalFormatting>
  <conditionalFormatting sqref="B98">
    <cfRule type="duplicateValues" dxfId="146" priority="474"/>
  </conditionalFormatting>
  <conditionalFormatting sqref="B101">
    <cfRule type="duplicateValues" dxfId="145" priority="614"/>
  </conditionalFormatting>
  <conditionalFormatting sqref="B112">
    <cfRule type="duplicateValues" dxfId="144" priority="278"/>
  </conditionalFormatting>
  <conditionalFormatting sqref="B114">
    <cfRule type="duplicateValues" dxfId="143" priority="467"/>
  </conditionalFormatting>
  <conditionalFormatting sqref="B115:B117">
    <cfRule type="duplicateValues" dxfId="142" priority="647"/>
  </conditionalFormatting>
  <conditionalFormatting sqref="B122">
    <cfRule type="duplicateValues" dxfId="141" priority="473"/>
  </conditionalFormatting>
  <conditionalFormatting sqref="B124">
    <cfRule type="duplicateValues" dxfId="140" priority="660"/>
  </conditionalFormatting>
  <conditionalFormatting sqref="B125">
    <cfRule type="duplicateValues" dxfId="139" priority="463"/>
  </conditionalFormatting>
  <conditionalFormatting sqref="B126">
    <cfRule type="duplicateValues" dxfId="138" priority="618"/>
  </conditionalFormatting>
  <conditionalFormatting sqref="B127">
    <cfRule type="duplicateValues" dxfId="137" priority="472"/>
  </conditionalFormatting>
  <conditionalFormatting sqref="B129:B130">
    <cfRule type="duplicateValues" dxfId="136" priority="707"/>
  </conditionalFormatting>
  <conditionalFormatting sqref="B133">
    <cfRule type="duplicateValues" dxfId="135" priority="511"/>
  </conditionalFormatting>
  <conditionalFormatting sqref="B135">
    <cfRule type="duplicateValues" dxfId="134" priority="265"/>
  </conditionalFormatting>
  <conditionalFormatting sqref="B138">
    <cfRule type="duplicateValues" dxfId="133" priority="510"/>
  </conditionalFormatting>
  <conditionalFormatting sqref="B144">
    <cfRule type="duplicateValues" dxfId="132" priority="661"/>
  </conditionalFormatting>
  <conditionalFormatting sqref="B145">
    <cfRule type="duplicateValues" dxfId="131" priority="471"/>
  </conditionalFormatting>
  <conditionalFormatting sqref="B147">
    <cfRule type="duplicateValues" dxfId="130" priority="658"/>
    <cfRule type="duplicateValues" dxfId="129" priority="659"/>
  </conditionalFormatting>
  <conditionalFormatting sqref="B148">
    <cfRule type="duplicateValues" dxfId="128" priority="470"/>
  </conditionalFormatting>
  <conditionalFormatting sqref="B153:B154">
    <cfRule type="duplicateValues" dxfId="127" priority="645"/>
  </conditionalFormatting>
  <conditionalFormatting sqref="B156">
    <cfRule type="duplicateValues" dxfId="126" priority="615"/>
  </conditionalFormatting>
  <conditionalFormatting sqref="B158">
    <cfRule type="duplicateValues" dxfId="125" priority="616"/>
  </conditionalFormatting>
  <conditionalFormatting sqref="B159">
    <cfRule type="duplicateValues" dxfId="124" priority="509"/>
  </conditionalFormatting>
  <conditionalFormatting sqref="B160:B161">
    <cfRule type="duplicateValues" dxfId="123" priority="644"/>
  </conditionalFormatting>
  <conditionalFormatting sqref="B167">
    <cfRule type="duplicateValues" dxfId="122" priority="469"/>
  </conditionalFormatting>
  <conditionalFormatting sqref="B171:B174">
    <cfRule type="duplicateValues" dxfId="121" priority="643"/>
  </conditionalFormatting>
  <conditionalFormatting sqref="B175">
    <cfRule type="duplicateValues" dxfId="120" priority="508"/>
  </conditionalFormatting>
  <conditionalFormatting sqref="B183">
    <cfRule type="duplicateValues" dxfId="119" priority="641"/>
  </conditionalFormatting>
  <conditionalFormatting sqref="B184">
    <cfRule type="duplicateValues" dxfId="118" priority="639"/>
  </conditionalFormatting>
  <conditionalFormatting sqref="B186">
    <cfRule type="duplicateValues" dxfId="117" priority="637"/>
  </conditionalFormatting>
  <conditionalFormatting sqref="B188">
    <cfRule type="duplicateValues" dxfId="116" priority="635"/>
  </conditionalFormatting>
  <conditionalFormatting sqref="B204">
    <cfRule type="duplicateValues" dxfId="115" priority="633"/>
  </conditionalFormatting>
  <conditionalFormatting sqref="B205:B213 B215:B217">
    <cfRule type="duplicateValues" dxfId="114" priority="666"/>
  </conditionalFormatting>
  <conditionalFormatting sqref="B214">
    <cfRule type="duplicateValues" dxfId="113" priority="521"/>
  </conditionalFormatting>
  <conditionalFormatting sqref="B218">
    <cfRule type="duplicateValues" dxfId="112" priority="519"/>
  </conditionalFormatting>
  <conditionalFormatting sqref="B219 C205:C213 C215:C217">
    <cfRule type="duplicateValues" dxfId="111" priority="952"/>
  </conditionalFormatting>
  <conditionalFormatting sqref="B220">
    <cfRule type="duplicateValues" dxfId="110" priority="520"/>
  </conditionalFormatting>
  <conditionalFormatting sqref="B227">
    <cfRule type="duplicateValues" dxfId="109" priority="430"/>
  </conditionalFormatting>
  <conditionalFormatting sqref="B229">
    <cfRule type="duplicateValues" dxfId="108" priority="468"/>
  </conditionalFormatting>
  <conditionalFormatting sqref="B239:B244 B231 B222:B225 B185 B169:B170 B131:B132 B134 B2:B3 B150:B152 B76:B78 B87:B89 B123 B139:B143 B146:B147 B155 B162:B166 B177:B182 B187 B189 B51 B59:B60 B5 B23:B26 B203 B63 B94 B99:B100 B108:B110 B7:B19 B28:B32 B53:B54 B46:B47 B246:B1048576 B66 B70:B71">
    <cfRule type="duplicateValues" dxfId="107" priority="663"/>
  </conditionalFormatting>
  <conditionalFormatting sqref="B245">
    <cfRule type="duplicateValues" dxfId="106" priority="431"/>
  </conditionalFormatting>
  <conditionalFormatting sqref="C26">
    <cfRule type="duplicateValues" dxfId="105" priority="961"/>
  </conditionalFormatting>
  <conditionalFormatting sqref="C27">
    <cfRule type="duplicateValues" dxfId="104" priority="962"/>
  </conditionalFormatting>
  <conditionalFormatting sqref="C28:C29 C31:C32">
    <cfRule type="duplicateValues" dxfId="103" priority="963"/>
  </conditionalFormatting>
  <conditionalFormatting sqref="C30">
    <cfRule type="duplicateValues" dxfId="102" priority="968"/>
  </conditionalFormatting>
  <conditionalFormatting sqref="C33:C34">
    <cfRule type="duplicateValues" dxfId="101" priority="967"/>
  </conditionalFormatting>
  <conditionalFormatting sqref="C46:C47">
    <cfRule type="duplicateValues" dxfId="100" priority="933"/>
  </conditionalFormatting>
  <conditionalFormatting sqref="C55">
    <cfRule type="duplicateValues" dxfId="99" priority="965"/>
  </conditionalFormatting>
  <conditionalFormatting sqref="C56">
    <cfRule type="duplicateValues" dxfId="98" priority="966"/>
  </conditionalFormatting>
  <conditionalFormatting sqref="C57:C58">
    <cfRule type="duplicateValues" dxfId="97" priority="949"/>
  </conditionalFormatting>
  <conditionalFormatting sqref="C61:C62">
    <cfRule type="duplicateValues" dxfId="96" priority="950"/>
  </conditionalFormatting>
  <conditionalFormatting sqref="C63">
    <cfRule type="duplicateValues" dxfId="95" priority="948"/>
  </conditionalFormatting>
  <conditionalFormatting sqref="C67">
    <cfRule type="duplicateValues" dxfId="94" priority="274"/>
  </conditionalFormatting>
  <conditionalFormatting sqref="C68">
    <cfRule type="duplicateValues" dxfId="93" priority="273"/>
  </conditionalFormatting>
  <conditionalFormatting sqref="C69">
    <cfRule type="duplicateValues" dxfId="92" priority="275"/>
  </conditionalFormatting>
  <conditionalFormatting sqref="C70">
    <cfRule type="duplicateValues" dxfId="91" priority="973"/>
  </conditionalFormatting>
  <conditionalFormatting sqref="C72 C75">
    <cfRule type="duplicateValues" dxfId="90" priority="934"/>
  </conditionalFormatting>
  <conditionalFormatting sqref="C73">
    <cfRule type="duplicateValues" dxfId="89" priority="981"/>
  </conditionalFormatting>
  <conditionalFormatting sqref="C74">
    <cfRule type="duplicateValues" dxfId="88" priority="980"/>
  </conditionalFormatting>
  <conditionalFormatting sqref="C79">
    <cfRule type="duplicateValues" dxfId="87" priority="270"/>
  </conditionalFormatting>
  <conditionalFormatting sqref="C80">
    <cfRule type="duplicateValues" dxfId="86" priority="269"/>
  </conditionalFormatting>
  <conditionalFormatting sqref="C81">
    <cfRule type="duplicateValues" dxfId="85" priority="271"/>
  </conditionalFormatting>
  <conditionalFormatting sqref="C82">
    <cfRule type="duplicateValues" dxfId="84" priority="975"/>
  </conditionalFormatting>
  <conditionalFormatting sqref="C85">
    <cfRule type="duplicateValues" dxfId="83" priority="983"/>
  </conditionalFormatting>
  <conditionalFormatting sqref="C86 C84">
    <cfRule type="duplicateValues" dxfId="82" priority="936"/>
  </conditionalFormatting>
  <conditionalFormatting sqref="C90:C92">
    <cfRule type="duplicateValues" dxfId="81" priority="267"/>
  </conditionalFormatting>
  <conditionalFormatting sqref="C93">
    <cfRule type="duplicateValues" dxfId="80" priority="977"/>
  </conditionalFormatting>
  <conditionalFormatting sqref="C95">
    <cfRule type="duplicateValues" dxfId="79" priority="938"/>
  </conditionalFormatting>
  <conditionalFormatting sqref="C96">
    <cfRule type="duplicateValues" dxfId="78" priority="984"/>
  </conditionalFormatting>
  <conditionalFormatting sqref="C100">
    <cfRule type="duplicateValues" dxfId="77" priority="939"/>
  </conditionalFormatting>
  <conditionalFormatting sqref="C112">
    <cfRule type="duplicateValues" dxfId="76" priority="970"/>
  </conditionalFormatting>
  <conditionalFormatting sqref="C114">
    <cfRule type="duplicateValues" dxfId="75" priority="969"/>
  </conditionalFormatting>
  <conditionalFormatting sqref="C115:C117">
    <cfRule type="duplicateValues" dxfId="74" priority="940"/>
  </conditionalFormatting>
  <conditionalFormatting sqref="C126">
    <cfRule type="duplicateValues" dxfId="73" priority="951"/>
  </conditionalFormatting>
  <conditionalFormatting sqref="C129">
    <cfRule type="duplicateValues" dxfId="72" priority="971"/>
  </conditionalFormatting>
  <conditionalFormatting sqref="C171">
    <cfRule type="duplicateValues" dxfId="71" priority="941"/>
  </conditionalFormatting>
  <conditionalFormatting sqref="C177">
    <cfRule type="duplicateValues" dxfId="70" priority="59"/>
  </conditionalFormatting>
  <conditionalFormatting sqref="C183">
    <cfRule type="duplicateValues" dxfId="69" priority="942"/>
  </conditionalFormatting>
  <conditionalFormatting sqref="C184">
    <cfRule type="duplicateValues" dxfId="68" priority="943"/>
  </conditionalFormatting>
  <conditionalFormatting sqref="C186">
    <cfRule type="duplicateValues" dxfId="67" priority="944"/>
  </conditionalFormatting>
  <conditionalFormatting sqref="C188">
    <cfRule type="duplicateValues" dxfId="66" priority="945"/>
  </conditionalFormatting>
  <conditionalFormatting sqref="C204">
    <cfRule type="duplicateValues" dxfId="65" priority="946"/>
  </conditionalFormatting>
  <conditionalFormatting sqref="C214">
    <cfRule type="duplicateValues" dxfId="64" priority="957"/>
  </conditionalFormatting>
  <conditionalFormatting sqref="C218">
    <cfRule type="duplicateValues" dxfId="63" priority="960"/>
  </conditionalFormatting>
  <conditionalFormatting sqref="C219">
    <cfRule type="duplicateValues" dxfId="62" priority="958"/>
  </conditionalFormatting>
  <conditionalFormatting sqref="C220">
    <cfRule type="duplicateValues" dxfId="61" priority="959"/>
  </conditionalFormatting>
  <conditionalFormatting sqref="D26:D34">
    <cfRule type="expression" dxfId="60" priority="485" stopIfTrue="1">
      <formula>$A26="note"</formula>
    </cfRule>
    <cfRule type="expression" dxfId="59" priority="486" stopIfTrue="1">
      <formula>$A26="note"</formula>
    </cfRule>
    <cfRule type="expression" dxfId="58" priority="487" stopIfTrue="1">
      <formula>$A26="barcode"</formula>
    </cfRule>
    <cfRule type="expression" dxfId="57" priority="488" stopIfTrue="1">
      <formula>$A26="barcode"</formula>
    </cfRule>
    <cfRule type="expression" dxfId="56" priority="489" stopIfTrue="1">
      <formula>$A26="geopoint"</formula>
    </cfRule>
    <cfRule type="expression" dxfId="55" priority="490" stopIfTrue="1">
      <formula>$A26="geopoint"</formula>
    </cfRule>
    <cfRule type="expression" dxfId="54" priority="491" stopIfTrue="1">
      <formula>OR($A26="audio audit", $A26="text audit")</formula>
    </cfRule>
    <cfRule type="expression" dxfId="53" priority="492" stopIfTrue="1">
      <formula>OR($A26="username", $A26="phonenumber", $A26="start", $A26="end", $A26="deviceid", $A26="subscriberid", $A26="simserial")</formula>
    </cfRule>
    <cfRule type="expression" dxfId="52" priority="493" stopIfTrue="1">
      <formula>OR(AND(LEFT($A26, 16)="select_multiple ", LEN($A26)&gt;16, NOT(ISNUMBER(SEARCH(" ", $A26, 17)))), AND(LEFT($A26, 11)="select_one ", LEN($A26)&gt;11, NOT(ISNUMBER(SEARCH(" ", $A26, 12)))))</formula>
    </cfRule>
    <cfRule type="expression" dxfId="51" priority="483" stopIfTrue="1">
      <formula>OR($A26="date", $A26="datetime")</formula>
    </cfRule>
    <cfRule type="expression" dxfId="50" priority="484" stopIfTrue="1">
      <formula>OR($A26="calculate", $A26="calculate_here")</formula>
    </cfRule>
    <cfRule type="expression" dxfId="49" priority="482" stopIfTrue="1">
      <formula>OR($A26="date", $A26="datetime")</formula>
    </cfRule>
    <cfRule type="expression" dxfId="48" priority="481" stopIfTrue="1">
      <formula>$A26="image"</formula>
    </cfRule>
    <cfRule type="expression" dxfId="47" priority="494" stopIfTrue="1">
      <formula>OR(AND(LEFT($A26, 16)="select_multiple ", LEN($A26)&gt;16, NOT(ISNUMBER(SEARCH(" ", $A26, 17)))), AND(LEFT($A26, 11)="select_one ", LEN($A26)&gt;11, NOT(ISNUMBER(SEARCH(" ", $A26, 12)))))</formula>
    </cfRule>
    <cfRule type="expression" dxfId="46" priority="495" stopIfTrue="1">
      <formula>$A26="decimal"</formula>
    </cfRule>
    <cfRule type="expression" dxfId="45" priority="496" stopIfTrue="1">
      <formula>$A26="decimal"</formula>
    </cfRule>
    <cfRule type="expression" dxfId="44" priority="497" stopIfTrue="1">
      <formula>$A26="integer"</formula>
    </cfRule>
    <cfRule type="expression" dxfId="43" priority="498" stopIfTrue="1">
      <formula>$A26="integer"</formula>
    </cfRule>
    <cfRule type="expression" dxfId="42" priority="480" stopIfTrue="1">
      <formula>$A26="image"</formula>
    </cfRule>
    <cfRule type="expression" dxfId="41" priority="501" stopIfTrue="1">
      <formula>$A26="end repeat"</formula>
    </cfRule>
    <cfRule type="expression" dxfId="40" priority="506" stopIfTrue="1">
      <formula>$A26="begin group"</formula>
    </cfRule>
    <cfRule type="expression" dxfId="39" priority="505" stopIfTrue="1">
      <formula>$A26="begin group"</formula>
    </cfRule>
    <cfRule type="expression" dxfId="38" priority="504" stopIfTrue="1">
      <formula>$A26="end group"</formula>
    </cfRule>
    <cfRule type="expression" dxfId="37" priority="503" stopIfTrue="1">
      <formula>$A26="begin repeat"</formula>
    </cfRule>
    <cfRule type="expression" dxfId="36" priority="502" stopIfTrue="1">
      <formula>$A26="begin repeat"</formula>
    </cfRule>
    <cfRule type="expression" dxfId="35" priority="479" stopIfTrue="1">
      <formula>OR($A26="audio", $A26="video")</formula>
    </cfRule>
    <cfRule type="expression" dxfId="34" priority="500" stopIfTrue="1">
      <formula>$A26="text"</formula>
    </cfRule>
    <cfRule type="expression" dxfId="33" priority="499" stopIfTrue="1">
      <formula>$A26="text"</formula>
    </cfRule>
    <cfRule type="expression" dxfId="32" priority="478" stopIfTrue="1">
      <formula>OR($A26="audio", $A26="video")</formula>
    </cfRule>
  </conditionalFormatting>
  <conditionalFormatting sqref="D51">
    <cfRule type="cellIs" dxfId="31" priority="627" operator="notEqual">
      <formula>$D$51</formula>
    </cfRule>
  </conditionalFormatting>
  <conditionalFormatting sqref="D232:D238">
    <cfRule type="expression" dxfId="30" priority="610" stopIfTrue="1">
      <formula>$A232="begin group"</formula>
    </cfRule>
    <cfRule type="expression" dxfId="29" priority="583" stopIfTrue="1">
      <formula>OR($A232="audio", $A232="video")</formula>
    </cfRule>
    <cfRule type="expression" dxfId="28" priority="584" stopIfTrue="1">
      <formula>OR($A232="audio", $A232="video")</formula>
    </cfRule>
    <cfRule type="expression" dxfId="27" priority="585" stopIfTrue="1">
      <formula>$A232="image"</formula>
    </cfRule>
    <cfRule type="expression" dxfId="26" priority="586" stopIfTrue="1">
      <formula>$A232="image"</formula>
    </cfRule>
    <cfRule type="expression" dxfId="25" priority="587" stopIfTrue="1">
      <formula>OR($A232="date", $A232="datetime")</formula>
    </cfRule>
    <cfRule type="expression" dxfId="24" priority="588" stopIfTrue="1">
      <formula>OR($A232="date", $A232="datetime")</formula>
    </cfRule>
    <cfRule type="expression" dxfId="23" priority="589" stopIfTrue="1">
      <formula>OR($A232="calculate", $A232="calculate_here")</formula>
    </cfRule>
    <cfRule type="expression" dxfId="22" priority="590" stopIfTrue="1">
      <formula>$A232="note"</formula>
    </cfRule>
    <cfRule type="expression" dxfId="21" priority="591" stopIfTrue="1">
      <formula>$A232="note"</formula>
    </cfRule>
    <cfRule type="expression" dxfId="20" priority="592" stopIfTrue="1">
      <formula>$A232="barcode"</formula>
    </cfRule>
    <cfRule type="expression" dxfId="19" priority="593" stopIfTrue="1">
      <formula>$A232="barcode"</formula>
    </cfRule>
    <cfRule type="expression" dxfId="18" priority="594" stopIfTrue="1">
      <formula>$A232="geopoint"</formula>
    </cfRule>
    <cfRule type="expression" dxfId="17" priority="595" stopIfTrue="1">
      <formula>$A232="geopoint"</formula>
    </cfRule>
    <cfRule type="expression" dxfId="16" priority="596" stopIfTrue="1">
      <formula>OR($A232="audio audit", $A232="text audit")</formula>
    </cfRule>
    <cfRule type="expression" dxfId="15" priority="597" stopIfTrue="1">
      <formula>OR($A232="username", $A232="phonenumber", $A232="start", $A232="end", $A232="deviceid", $A232="subscriberid", $A232="simserial")</formula>
    </cfRule>
    <cfRule type="expression" dxfId="14" priority="611" stopIfTrue="1">
      <formula>$A232="begin group"</formula>
    </cfRule>
    <cfRule type="expression" dxfId="13" priority="599" stopIfTrue="1">
      <formula>OR(AND(LEFT($A232, 16)="select_multiple ", LEN($A232)&gt;16, NOT(ISNUMBER(SEARCH(" ", $A232, 17)))), AND(LEFT($A232, 11)="select_one ", LEN($A232)&gt;11, NOT(ISNUMBER(SEARCH(" ", $A232, 12)))))</formula>
    </cfRule>
    <cfRule type="expression" dxfId="12" priority="600" stopIfTrue="1">
      <formula>$A232="decimal"</formula>
    </cfRule>
    <cfRule type="expression" dxfId="11" priority="601" stopIfTrue="1">
      <formula>$A232="decimal"</formula>
    </cfRule>
    <cfRule type="expression" dxfId="10" priority="602" stopIfTrue="1">
      <formula>$A232="integer"</formula>
    </cfRule>
    <cfRule type="expression" dxfId="9" priority="603" stopIfTrue="1">
      <formula>$A232="integer"</formula>
    </cfRule>
    <cfRule type="expression" dxfId="8" priority="604" stopIfTrue="1">
      <formula>$A232="text"</formula>
    </cfRule>
    <cfRule type="expression" dxfId="7" priority="605" stopIfTrue="1">
      <formula>$A232="text"</formula>
    </cfRule>
    <cfRule type="expression" dxfId="6" priority="606" stopIfTrue="1">
      <formula>$A232="end repeat"</formula>
    </cfRule>
    <cfRule type="expression" dxfId="5" priority="607" stopIfTrue="1">
      <formula>$A232="begin repeat"</formula>
    </cfRule>
    <cfRule type="expression" dxfId="4" priority="608" stopIfTrue="1">
      <formula>$A232="begin repeat"</formula>
    </cfRule>
    <cfRule type="expression" dxfId="3" priority="609" stopIfTrue="1">
      <formula>$A232="end group"</formula>
    </cfRule>
    <cfRule type="expression" dxfId="2" priority="598" stopIfTrue="1">
      <formula>OR(AND(LEFT($A232, 16)="select_multiple ", LEN($A232)&gt;16, NOT(ISNUMBER(SEARCH(" ", $A232, 17)))), AND(LEFT($A232, 11)="select_one ", LEN($A232)&gt;11, NOT(ISNUMBER(SEARCH(" ", $A232, 12)))))</formula>
    </cfRule>
  </conditionalFormatting>
  <pageMargins left="0.7" right="0.7" top="0.75" bottom="0.75" header="0.3" footer="0.3"/>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93"/>
  <sheetViews>
    <sheetView topLeftCell="A113" workbookViewId="0">
      <selection activeCell="A124" sqref="A124"/>
    </sheetView>
  </sheetViews>
  <sheetFormatPr baseColWidth="10" defaultColWidth="11.5" defaultRowHeight="15" x14ac:dyDescent="0.2"/>
  <sheetData>
    <row r="1" spans="1:4" x14ac:dyDescent="0.2">
      <c r="A1" t="s">
        <v>910</v>
      </c>
      <c r="B1" t="s">
        <v>911</v>
      </c>
      <c r="C1" t="s">
        <v>912</v>
      </c>
      <c r="D1" t="s">
        <v>913</v>
      </c>
    </row>
    <row r="2" spans="1:4" x14ac:dyDescent="0.2">
      <c r="A2" t="s">
        <v>66</v>
      </c>
      <c r="B2" s="64">
        <v>50.822540283203118</v>
      </c>
      <c r="C2" s="65">
        <v>1</v>
      </c>
      <c r="D2" s="64">
        <v>50.822540283203118</v>
      </c>
    </row>
    <row r="3" spans="1:4" x14ac:dyDescent="0.2">
      <c r="A3" t="s">
        <v>914</v>
      </c>
      <c r="B3" s="64">
        <v>3.4964737892150879</v>
      </c>
      <c r="C3" s="65">
        <v>0.7969874100719424</v>
      </c>
      <c r="D3" s="64">
        <v>2.7866455896509641</v>
      </c>
    </row>
    <row r="4" spans="1:4" x14ac:dyDescent="0.2">
      <c r="A4" t="s">
        <v>118</v>
      </c>
      <c r="B4" s="64">
        <v>13.753072738647459</v>
      </c>
      <c r="C4" s="65">
        <v>1</v>
      </c>
      <c r="D4" s="64">
        <v>13.753072738647459</v>
      </c>
    </row>
    <row r="5" spans="1:4" x14ac:dyDescent="0.2">
      <c r="A5" t="s">
        <v>124</v>
      </c>
      <c r="B5" s="64">
        <v>2.1173560619354248</v>
      </c>
      <c r="C5" s="65">
        <v>1</v>
      </c>
      <c r="D5" s="64">
        <v>2.1173560619354248</v>
      </c>
    </row>
    <row r="6" spans="1:4" x14ac:dyDescent="0.2">
      <c r="A6" t="s">
        <v>203</v>
      </c>
      <c r="B6" s="64">
        <v>2.284250020980835</v>
      </c>
      <c r="C6" s="65">
        <v>0.7969874100719424</v>
      </c>
      <c r="D6" s="64">
        <v>1.820518508178296</v>
      </c>
    </row>
    <row r="7" spans="1:4" x14ac:dyDescent="0.2">
      <c r="A7" t="s">
        <v>207</v>
      </c>
      <c r="B7" s="64">
        <v>31.372377395629879</v>
      </c>
      <c r="C7" s="65">
        <v>1</v>
      </c>
      <c r="D7" s="64">
        <v>31.372377395629879</v>
      </c>
    </row>
    <row r="8" spans="1:4" x14ac:dyDescent="0.2">
      <c r="A8" t="s">
        <v>915</v>
      </c>
      <c r="B8" s="64">
        <v>7.9225454330444336</v>
      </c>
      <c r="C8" s="65">
        <v>0.15190347721822539</v>
      </c>
      <c r="D8" s="64">
        <v>1.2034621996988211</v>
      </c>
    </row>
    <row r="9" spans="1:4" x14ac:dyDescent="0.2">
      <c r="A9" t="s">
        <v>218</v>
      </c>
      <c r="B9" s="64">
        <v>10.08573150634766</v>
      </c>
      <c r="C9" s="65">
        <v>1</v>
      </c>
      <c r="D9" s="64">
        <v>10.08573150634766</v>
      </c>
    </row>
    <row r="10" spans="1:4" x14ac:dyDescent="0.2">
      <c r="A10" t="s">
        <v>223</v>
      </c>
      <c r="B10" s="64">
        <v>12.894034385681151</v>
      </c>
      <c r="C10" s="65">
        <v>1</v>
      </c>
      <c r="D10" s="64">
        <v>12.894034385681151</v>
      </c>
    </row>
    <row r="11" spans="1:4" x14ac:dyDescent="0.2">
      <c r="A11" t="s">
        <v>228</v>
      </c>
      <c r="B11" s="64">
        <v>15.265829086303709</v>
      </c>
      <c r="C11" s="65">
        <v>0.63796462829736211</v>
      </c>
      <c r="D11" s="64">
        <v>9.7390589786948052</v>
      </c>
    </row>
    <row r="12" spans="1:4" x14ac:dyDescent="0.2">
      <c r="A12" t="s">
        <v>234</v>
      </c>
      <c r="B12" s="64">
        <v>15.12371826171875</v>
      </c>
      <c r="C12" s="65">
        <v>0.59180155875299756</v>
      </c>
      <c r="D12" s="64">
        <v>8.9502400414263317</v>
      </c>
    </row>
    <row r="13" spans="1:4" x14ac:dyDescent="0.2">
      <c r="A13" t="s">
        <v>916</v>
      </c>
      <c r="B13" s="64">
        <v>12.8214111328125</v>
      </c>
      <c r="C13" s="65">
        <v>0.15190347721822539</v>
      </c>
      <c r="D13" s="64">
        <v>1.9476169339186851</v>
      </c>
    </row>
    <row r="14" spans="1:4" x14ac:dyDescent="0.2">
      <c r="A14" t="s">
        <v>247</v>
      </c>
      <c r="B14" s="64">
        <v>15.21184825897217</v>
      </c>
      <c r="C14" s="65">
        <v>0.51611211031175064</v>
      </c>
      <c r="D14" s="64">
        <v>7.8510191066802557</v>
      </c>
    </row>
    <row r="15" spans="1:4" x14ac:dyDescent="0.2">
      <c r="A15" t="s">
        <v>917</v>
      </c>
      <c r="B15" s="64">
        <v>19.310310363769531</v>
      </c>
      <c r="C15" s="65">
        <v>0.15190347721822539</v>
      </c>
      <c r="D15" s="64">
        <v>2.9333032904197269</v>
      </c>
    </row>
    <row r="16" spans="1:4" x14ac:dyDescent="0.2">
      <c r="A16" t="s">
        <v>272</v>
      </c>
      <c r="B16" s="64">
        <v>36.928733825683587</v>
      </c>
      <c r="C16" s="65">
        <v>1</v>
      </c>
      <c r="D16" s="64">
        <v>36.928733825683587</v>
      </c>
    </row>
    <row r="17" spans="1:4" x14ac:dyDescent="0.2">
      <c r="A17" t="s">
        <v>291</v>
      </c>
      <c r="B17" s="64">
        <v>40.047317504882812</v>
      </c>
      <c r="C17" s="65">
        <v>0.75547062350119909</v>
      </c>
      <c r="D17" s="64">
        <v>30.254571924964299</v>
      </c>
    </row>
    <row r="18" spans="1:4" x14ac:dyDescent="0.2">
      <c r="A18" t="s">
        <v>297</v>
      </c>
      <c r="B18" s="64">
        <v>3.6870110034942631</v>
      </c>
      <c r="C18" s="65">
        <v>4.7886690647482022E-2</v>
      </c>
      <c r="D18" s="64">
        <v>0.17655875533819201</v>
      </c>
    </row>
    <row r="19" spans="1:4" x14ac:dyDescent="0.2">
      <c r="A19" t="s">
        <v>312</v>
      </c>
      <c r="B19" s="64">
        <v>27.242166519165039</v>
      </c>
      <c r="C19" s="65">
        <v>0.94476918465227822</v>
      </c>
      <c r="D19" s="64">
        <v>25.73755945047315</v>
      </c>
    </row>
    <row r="20" spans="1:4" x14ac:dyDescent="0.2">
      <c r="A20" t="s">
        <v>316</v>
      </c>
      <c r="B20" s="64">
        <v>25.308004379272461</v>
      </c>
      <c r="C20" s="65">
        <v>0.94476918465227822</v>
      </c>
      <c r="D20" s="64">
        <v>23.910222662581528</v>
      </c>
    </row>
    <row r="21" spans="1:4" x14ac:dyDescent="0.2">
      <c r="A21" t="s">
        <v>329</v>
      </c>
      <c r="B21" s="64">
        <v>30.828470230102539</v>
      </c>
      <c r="C21" s="65">
        <v>0.33902877697841732</v>
      </c>
      <c r="D21" s="64">
        <v>10.451738558227211</v>
      </c>
    </row>
    <row r="22" spans="1:4" x14ac:dyDescent="0.2">
      <c r="A22" t="s">
        <v>334</v>
      </c>
      <c r="B22" s="64">
        <v>2.29411768913269</v>
      </c>
      <c r="C22" s="65">
        <v>1.14658273381295E-2</v>
      </c>
      <c r="D22" s="64">
        <v>2.6303957316944071E-2</v>
      </c>
    </row>
    <row r="23" spans="1:4" x14ac:dyDescent="0.2">
      <c r="A23" t="s">
        <v>340</v>
      </c>
      <c r="B23" s="64">
        <v>21.193256378173832</v>
      </c>
      <c r="C23" s="65">
        <v>0.43120503597122301</v>
      </c>
      <c r="D23" s="64">
        <v>9.1386388788977975</v>
      </c>
    </row>
    <row r="24" spans="1:4" x14ac:dyDescent="0.2">
      <c r="A24" t="s">
        <v>344</v>
      </c>
      <c r="B24" s="64">
        <v>20.229927062988281</v>
      </c>
      <c r="C24" s="65">
        <v>0.43120503597122301</v>
      </c>
      <c r="D24" s="64">
        <v>8.7232464268910803</v>
      </c>
    </row>
    <row r="25" spans="1:4" x14ac:dyDescent="0.2">
      <c r="A25" t="s">
        <v>357</v>
      </c>
      <c r="B25" s="64">
        <v>29.42983245849609</v>
      </c>
      <c r="C25" s="65">
        <v>7.6363908872901676E-2</v>
      </c>
      <c r="D25" s="64">
        <v>2.24737704400536</v>
      </c>
    </row>
    <row r="26" spans="1:4" x14ac:dyDescent="0.2">
      <c r="A26" t="s">
        <v>362</v>
      </c>
      <c r="B26" s="64">
        <v>1.555555582046509</v>
      </c>
      <c r="C26" s="65">
        <v>2.0233812949640292E-3</v>
      </c>
      <c r="D26" s="64">
        <v>3.1474820679897879E-3</v>
      </c>
    </row>
    <row r="27" spans="1:4" x14ac:dyDescent="0.2">
      <c r="A27" t="s">
        <v>365</v>
      </c>
      <c r="B27" s="64">
        <v>16.348396301269531</v>
      </c>
      <c r="C27" s="65">
        <v>0.1144334532374101</v>
      </c>
      <c r="D27" s="64">
        <v>1.870803443647975</v>
      </c>
    </row>
    <row r="28" spans="1:4" x14ac:dyDescent="0.2">
      <c r="A28" t="s">
        <v>918</v>
      </c>
      <c r="B28" s="64">
        <v>39.025390625</v>
      </c>
      <c r="C28" s="65">
        <v>0.7969124700239808</v>
      </c>
      <c r="D28" s="64">
        <v>31.099820436619449</v>
      </c>
    </row>
    <row r="29" spans="1:4" x14ac:dyDescent="0.2">
      <c r="A29" t="s">
        <v>919</v>
      </c>
      <c r="B29" s="64">
        <v>10.040084838867189</v>
      </c>
      <c r="C29" s="65">
        <v>3.5521582733812951E-2</v>
      </c>
      <c r="D29" s="64">
        <v>0.35663970425832192</v>
      </c>
    </row>
    <row r="30" spans="1:4" x14ac:dyDescent="0.2">
      <c r="A30" t="s">
        <v>377</v>
      </c>
      <c r="B30" s="64">
        <v>26.118782043457031</v>
      </c>
      <c r="C30" s="65">
        <v>0.35708932853717018</v>
      </c>
      <c r="D30" s="64">
        <v>9.3267383421067702</v>
      </c>
    </row>
    <row r="31" spans="1:4" x14ac:dyDescent="0.2">
      <c r="A31" t="s">
        <v>396</v>
      </c>
      <c r="B31" s="64">
        <v>27.057552337646481</v>
      </c>
      <c r="C31" s="65">
        <v>0.50651978417266186</v>
      </c>
      <c r="D31" s="64">
        <v>13.705185570305201</v>
      </c>
    </row>
    <row r="32" spans="1:4" x14ac:dyDescent="0.2">
      <c r="A32" t="s">
        <v>920</v>
      </c>
      <c r="B32" s="64">
        <v>15.983505249023439</v>
      </c>
      <c r="C32" s="65">
        <v>0.37709832134292559</v>
      </c>
      <c r="D32" s="64">
        <v>6.0273529985825789</v>
      </c>
    </row>
    <row r="33" spans="1:4" x14ac:dyDescent="0.2">
      <c r="A33" t="s">
        <v>921</v>
      </c>
      <c r="B33" s="64">
        <v>3.4111571311950679</v>
      </c>
      <c r="C33" s="65">
        <v>3.6270983213429253E-2</v>
      </c>
      <c r="D33" s="64">
        <v>0.1237260230439458</v>
      </c>
    </row>
    <row r="34" spans="1:4" x14ac:dyDescent="0.2">
      <c r="A34" t="s">
        <v>922</v>
      </c>
      <c r="B34" s="64">
        <v>5.6326532363891602</v>
      </c>
      <c r="C34" s="65">
        <v>3.6720623501199038E-3</v>
      </c>
      <c r="D34" s="64">
        <v>2.068345388062566E-2</v>
      </c>
    </row>
    <row r="35" spans="1:4" x14ac:dyDescent="0.2">
      <c r="A35" t="s">
        <v>923</v>
      </c>
      <c r="B35" s="64">
        <v>15.95429515838623</v>
      </c>
      <c r="C35" s="65">
        <v>0.25906774580335729</v>
      </c>
      <c r="D35" s="64">
        <v>4.1332432825645391</v>
      </c>
    </row>
    <row r="36" spans="1:4" x14ac:dyDescent="0.2">
      <c r="A36" t="s">
        <v>409</v>
      </c>
      <c r="B36" s="64">
        <v>17.928909301757809</v>
      </c>
      <c r="C36" s="65">
        <v>0.14231115107913669</v>
      </c>
      <c r="D36" s="64">
        <v>2.551483720326595</v>
      </c>
    </row>
    <row r="37" spans="1:4" x14ac:dyDescent="0.2">
      <c r="A37" t="s">
        <v>418</v>
      </c>
      <c r="B37" s="64">
        <v>25.436874389648441</v>
      </c>
      <c r="C37" s="65">
        <v>0.49385491606714632</v>
      </c>
      <c r="D37" s="64">
        <v>12.56212546671037</v>
      </c>
    </row>
    <row r="38" spans="1:4" x14ac:dyDescent="0.2">
      <c r="A38" t="s">
        <v>421</v>
      </c>
      <c r="B38" s="64">
        <v>19.364946365356449</v>
      </c>
      <c r="C38" s="65">
        <v>0.49385491606714632</v>
      </c>
      <c r="D38" s="64">
        <v>9.5634739619078957</v>
      </c>
    </row>
    <row r="39" spans="1:4" x14ac:dyDescent="0.2">
      <c r="A39" t="s">
        <v>924</v>
      </c>
      <c r="B39" s="64">
        <v>13.458864212036129</v>
      </c>
      <c r="C39" s="65">
        <v>0.38803956834532372</v>
      </c>
      <c r="D39" s="64">
        <v>5.222571859256826</v>
      </c>
    </row>
    <row r="40" spans="1:4" x14ac:dyDescent="0.2">
      <c r="A40" t="s">
        <v>449</v>
      </c>
      <c r="B40" s="64">
        <v>37.523288726806641</v>
      </c>
      <c r="C40" s="65">
        <v>0.30732913669064749</v>
      </c>
      <c r="D40" s="64">
        <v>11.531999930203391</v>
      </c>
    </row>
    <row r="41" spans="1:4" x14ac:dyDescent="0.2">
      <c r="A41" t="s">
        <v>925</v>
      </c>
      <c r="B41" s="64">
        <v>12.68148708343506</v>
      </c>
      <c r="C41" s="65">
        <v>0.2983363309352518</v>
      </c>
      <c r="D41" s="64">
        <v>3.783348327274803</v>
      </c>
    </row>
    <row r="42" spans="1:4" x14ac:dyDescent="0.2">
      <c r="A42" t="s">
        <v>475</v>
      </c>
      <c r="B42" s="64">
        <v>22.61360931396484</v>
      </c>
      <c r="C42" s="65">
        <v>0.12335131894484409</v>
      </c>
      <c r="D42" s="64">
        <v>2.789418534980975</v>
      </c>
    </row>
    <row r="43" spans="1:4" x14ac:dyDescent="0.2">
      <c r="A43" t="s">
        <v>482</v>
      </c>
      <c r="B43" s="64">
        <v>21.701908111572269</v>
      </c>
      <c r="C43" s="65">
        <v>0.38489208633093519</v>
      </c>
      <c r="D43" s="64">
        <v>8.3528926904252963</v>
      </c>
    </row>
    <row r="44" spans="1:4" x14ac:dyDescent="0.2">
      <c r="A44" t="s">
        <v>926</v>
      </c>
      <c r="B44" s="64">
        <v>12.12575531005859</v>
      </c>
      <c r="C44" s="65">
        <v>6.1975419664268588E-2</v>
      </c>
      <c r="D44" s="64">
        <v>0.75149877408711463</v>
      </c>
    </row>
    <row r="45" spans="1:4" x14ac:dyDescent="0.2">
      <c r="A45" t="s">
        <v>927</v>
      </c>
      <c r="B45" s="64">
        <v>13.560262680053709</v>
      </c>
      <c r="C45" s="65">
        <v>0.14860611510791369</v>
      </c>
      <c r="D45" s="64">
        <v>2.0151379567256069</v>
      </c>
    </row>
    <row r="46" spans="1:4" x14ac:dyDescent="0.2">
      <c r="A46" t="s">
        <v>928</v>
      </c>
      <c r="B46" s="64">
        <v>14.065656661987299</v>
      </c>
      <c r="C46" s="65">
        <v>1.4838129496402881E-2</v>
      </c>
      <c r="D46" s="64">
        <v>0.20870803500250951</v>
      </c>
    </row>
    <row r="47" spans="1:4" x14ac:dyDescent="0.2">
      <c r="A47" t="s">
        <v>929</v>
      </c>
      <c r="B47" s="64">
        <v>11.010929107666019</v>
      </c>
      <c r="C47" s="65">
        <v>1.371402877697842E-2</v>
      </c>
      <c r="D47" s="64">
        <v>0.15100419864380099</v>
      </c>
    </row>
    <row r="48" spans="1:4" x14ac:dyDescent="0.2">
      <c r="A48" t="s">
        <v>930</v>
      </c>
      <c r="B48" s="64">
        <v>4.8961749076843262</v>
      </c>
      <c r="C48" s="65">
        <v>1.371402877697842E-2</v>
      </c>
      <c r="D48" s="64">
        <v>6.7146283581102487E-2</v>
      </c>
    </row>
    <row r="49" spans="1:4" x14ac:dyDescent="0.2">
      <c r="A49" t="s">
        <v>493</v>
      </c>
      <c r="B49" s="64">
        <v>20.2944221496582</v>
      </c>
      <c r="C49" s="65">
        <v>0.40572541966426862</v>
      </c>
      <c r="D49" s="64">
        <v>8.2339629435139017</v>
      </c>
    </row>
    <row r="50" spans="1:4" x14ac:dyDescent="0.2">
      <c r="A50" t="s">
        <v>499</v>
      </c>
      <c r="B50" s="64">
        <v>18.539077758789059</v>
      </c>
      <c r="C50" s="65">
        <v>0.40272781774580341</v>
      </c>
      <c r="D50" s="64">
        <v>7.4662023288168777</v>
      </c>
    </row>
    <row r="51" spans="1:4" x14ac:dyDescent="0.2">
      <c r="A51" t="s">
        <v>505</v>
      </c>
      <c r="B51" s="64">
        <v>8.9158916473388672</v>
      </c>
      <c r="C51" s="65">
        <v>0.40272781774580341</v>
      </c>
      <c r="D51" s="64">
        <v>3.590677586390818</v>
      </c>
    </row>
    <row r="52" spans="1:4" x14ac:dyDescent="0.2">
      <c r="A52" t="s">
        <v>510</v>
      </c>
      <c r="B52" s="64">
        <v>25.81001091003418</v>
      </c>
      <c r="C52" s="65">
        <v>0.40272781774580341</v>
      </c>
      <c r="D52" s="64">
        <v>10.39440936979344</v>
      </c>
    </row>
    <row r="53" spans="1:4" x14ac:dyDescent="0.2">
      <c r="A53" t="s">
        <v>931</v>
      </c>
      <c r="B53" s="64">
        <v>19.55319786071777</v>
      </c>
      <c r="C53" s="65">
        <v>0.29301558752997597</v>
      </c>
      <c r="D53" s="64">
        <v>5.729391759248089</v>
      </c>
    </row>
    <row r="54" spans="1:4" x14ac:dyDescent="0.2">
      <c r="A54" t="s">
        <v>932</v>
      </c>
      <c r="B54" s="64">
        <v>13.613316535949711</v>
      </c>
      <c r="C54" s="65">
        <v>0.3038818944844125</v>
      </c>
      <c r="D54" s="64">
        <v>4.1368404191603769</v>
      </c>
    </row>
    <row r="55" spans="1:4" x14ac:dyDescent="0.2">
      <c r="A55" t="s">
        <v>531</v>
      </c>
      <c r="B55" s="64">
        <v>27.754648208618161</v>
      </c>
      <c r="C55" s="65">
        <v>0.205560551558753</v>
      </c>
      <c r="D55" s="64">
        <v>5.7052607940827054</v>
      </c>
    </row>
    <row r="56" spans="1:4" x14ac:dyDescent="0.2">
      <c r="A56" t="s">
        <v>540</v>
      </c>
      <c r="B56" s="64">
        <v>13.99939060211182</v>
      </c>
      <c r="C56" s="65">
        <v>0.2460281774580336</v>
      </c>
      <c r="D56" s="64">
        <v>3.4442445553606928</v>
      </c>
    </row>
    <row r="57" spans="1:4" x14ac:dyDescent="0.2">
      <c r="A57" t="s">
        <v>933</v>
      </c>
      <c r="B57" s="64">
        <v>10.25279426574707</v>
      </c>
      <c r="C57" s="65">
        <v>0.174310551558753</v>
      </c>
      <c r="D57" s="64">
        <v>1.787170223480792</v>
      </c>
    </row>
    <row r="58" spans="1:4" x14ac:dyDescent="0.2">
      <c r="A58" t="s">
        <v>552</v>
      </c>
      <c r="B58" s="64">
        <v>24.194343566894531</v>
      </c>
      <c r="C58" s="65">
        <v>0.1033423261390887</v>
      </c>
      <c r="D58" s="64">
        <v>2.500299743611178</v>
      </c>
    </row>
    <row r="59" spans="1:4" x14ac:dyDescent="0.2">
      <c r="A59" t="s">
        <v>560</v>
      </c>
      <c r="B59" s="64">
        <v>19.321737289428711</v>
      </c>
      <c r="C59" s="65">
        <v>0.23478717026378901</v>
      </c>
      <c r="D59" s="64">
        <v>4.5364960227653004</v>
      </c>
    </row>
    <row r="60" spans="1:4" x14ac:dyDescent="0.2">
      <c r="A60" t="s">
        <v>934</v>
      </c>
      <c r="B60" s="64">
        <v>6.0948905944824219</v>
      </c>
      <c r="C60" s="65">
        <v>1.0266786570743411E-2</v>
      </c>
      <c r="D60" s="64">
        <v>6.2574940905582424E-2</v>
      </c>
    </row>
    <row r="61" spans="1:4" x14ac:dyDescent="0.2">
      <c r="A61" t="s">
        <v>935</v>
      </c>
      <c r="B61" s="64">
        <v>17.534246444702148</v>
      </c>
      <c r="C61" s="65">
        <v>1.6411870503597121E-2</v>
      </c>
      <c r="D61" s="64">
        <v>0.28776978202860992</v>
      </c>
    </row>
    <row r="62" spans="1:4" x14ac:dyDescent="0.2">
      <c r="A62" t="s">
        <v>936</v>
      </c>
      <c r="B62" s="64">
        <v>31.458333969116211</v>
      </c>
      <c r="C62" s="65">
        <v>1.798561151079137E-3</v>
      </c>
      <c r="D62" s="64">
        <v>5.657973735452556E-2</v>
      </c>
    </row>
    <row r="63" spans="1:4" x14ac:dyDescent="0.2">
      <c r="A63" t="s">
        <v>937</v>
      </c>
      <c r="B63" s="64">
        <v>2.5</v>
      </c>
      <c r="C63" s="65">
        <v>1.4988009592326141E-4</v>
      </c>
      <c r="D63" s="64">
        <v>3.7470023980815342E-4</v>
      </c>
    </row>
    <row r="64" spans="1:4" x14ac:dyDescent="0.2">
      <c r="A64" t="s">
        <v>938</v>
      </c>
      <c r="B64" s="64">
        <v>5.75</v>
      </c>
      <c r="C64" s="65">
        <v>2.9976019184652282E-4</v>
      </c>
      <c r="D64" s="64">
        <v>1.7236211031175059E-3</v>
      </c>
    </row>
    <row r="65" spans="1:4" x14ac:dyDescent="0.2">
      <c r="A65" t="s">
        <v>939</v>
      </c>
      <c r="B65" s="64">
        <v>4.5</v>
      </c>
      <c r="C65" s="65">
        <v>1.4988009592326141E-4</v>
      </c>
      <c r="D65" s="64">
        <v>6.7446043165467619E-4</v>
      </c>
    </row>
    <row r="66" spans="1:4" x14ac:dyDescent="0.2">
      <c r="A66" t="s">
        <v>940</v>
      </c>
      <c r="B66" s="64">
        <v>3</v>
      </c>
      <c r="C66" s="65">
        <v>7.494004796163069E-5</v>
      </c>
      <c r="D66" s="64">
        <v>2.248201438848921E-4</v>
      </c>
    </row>
    <row r="67" spans="1:4" x14ac:dyDescent="0.2">
      <c r="A67" t="s">
        <v>941</v>
      </c>
      <c r="B67" s="64">
        <v>2</v>
      </c>
      <c r="C67" s="65">
        <v>7.494004796163069E-5</v>
      </c>
      <c r="D67" s="64">
        <v>1.4988009592326141E-4</v>
      </c>
    </row>
    <row r="68" spans="1:4" x14ac:dyDescent="0.2">
      <c r="A68" t="s">
        <v>571</v>
      </c>
      <c r="B68" s="64">
        <v>19.090116500854489</v>
      </c>
      <c r="C68" s="65">
        <v>2.5779376498800959E-2</v>
      </c>
      <c r="D68" s="64">
        <v>0.49213130068150068</v>
      </c>
    </row>
    <row r="69" spans="1:4" x14ac:dyDescent="0.2">
      <c r="A69" t="s">
        <v>579</v>
      </c>
      <c r="B69" s="64">
        <v>17.656976699829102</v>
      </c>
      <c r="C69" s="65">
        <v>2.5779376498800959E-2</v>
      </c>
      <c r="D69" s="64">
        <v>0.45518585017545038</v>
      </c>
    </row>
    <row r="70" spans="1:4" x14ac:dyDescent="0.2">
      <c r="A70" t="s">
        <v>942</v>
      </c>
      <c r="B70" s="64">
        <v>8.7647056579589844</v>
      </c>
      <c r="C70" s="65">
        <v>2.420563549160671E-2</v>
      </c>
      <c r="D70" s="64">
        <v>0.2121552703477782</v>
      </c>
    </row>
    <row r="71" spans="1:4" x14ac:dyDescent="0.2">
      <c r="A71" t="s">
        <v>589</v>
      </c>
      <c r="B71" s="64">
        <v>27.9538459777832</v>
      </c>
      <c r="C71" s="65">
        <v>9.7422062350119906E-3</v>
      </c>
      <c r="D71" s="64">
        <v>0.27233213257732442</v>
      </c>
    </row>
    <row r="72" spans="1:4" x14ac:dyDescent="0.2">
      <c r="A72" t="s">
        <v>596</v>
      </c>
      <c r="B72" s="64">
        <v>21.25</v>
      </c>
      <c r="C72" s="65">
        <v>1.798561151079137E-3</v>
      </c>
      <c r="D72" s="64">
        <v>3.821942446043166E-2</v>
      </c>
    </row>
    <row r="73" spans="1:4" x14ac:dyDescent="0.2">
      <c r="A73" t="s">
        <v>607</v>
      </c>
      <c r="B73" s="64">
        <v>14.38495540618896</v>
      </c>
      <c r="C73" s="65">
        <v>3.3872901678657072E-2</v>
      </c>
      <c r="D73" s="64">
        <v>0.48726018012570532</v>
      </c>
    </row>
    <row r="74" spans="1:4" x14ac:dyDescent="0.2">
      <c r="A74" t="s">
        <v>943</v>
      </c>
      <c r="B74" s="64">
        <v>9.4380531311035156</v>
      </c>
      <c r="C74" s="65">
        <v>3.3872901678657072E-2</v>
      </c>
      <c r="D74" s="64">
        <v>0.31969424574781091</v>
      </c>
    </row>
    <row r="75" spans="1:4" x14ac:dyDescent="0.2">
      <c r="A75" t="s">
        <v>612</v>
      </c>
      <c r="B75" s="64">
        <v>27.76699066162109</v>
      </c>
      <c r="C75" s="65">
        <v>7.7188249400479613E-3</v>
      </c>
      <c r="D75" s="64">
        <v>0.2143285400289997</v>
      </c>
    </row>
    <row r="76" spans="1:4" x14ac:dyDescent="0.2">
      <c r="A76" t="s">
        <v>624</v>
      </c>
      <c r="B76" s="64">
        <v>13.705752372741699</v>
      </c>
      <c r="C76" s="65">
        <v>3.3872901678657072E-2</v>
      </c>
      <c r="D76" s="64">
        <v>0.46425360255390052</v>
      </c>
    </row>
    <row r="77" spans="1:4" x14ac:dyDescent="0.2">
      <c r="A77" t="s">
        <v>944</v>
      </c>
      <c r="B77" s="64">
        <v>12.77690315246582</v>
      </c>
      <c r="C77" s="65">
        <v>1</v>
      </c>
      <c r="D77" s="64">
        <v>12.77690315246582</v>
      </c>
    </row>
    <row r="78" spans="1:4" x14ac:dyDescent="0.2">
      <c r="A78" t="s">
        <v>635</v>
      </c>
      <c r="B78" s="64">
        <v>21.398605346679691</v>
      </c>
      <c r="C78" s="65">
        <v>1</v>
      </c>
      <c r="D78" s="64">
        <v>21.398605346679691</v>
      </c>
    </row>
    <row r="79" spans="1:4" x14ac:dyDescent="0.2">
      <c r="A79" t="s">
        <v>640</v>
      </c>
      <c r="B79" s="64">
        <v>14.980740547180179</v>
      </c>
      <c r="C79" s="65">
        <v>1</v>
      </c>
      <c r="D79" s="64">
        <v>14.980740547180179</v>
      </c>
    </row>
    <row r="80" spans="1:4" x14ac:dyDescent="0.2">
      <c r="A80" t="s">
        <v>645</v>
      </c>
      <c r="B80" s="64">
        <v>13.72302150726318</v>
      </c>
      <c r="C80" s="65">
        <v>1</v>
      </c>
      <c r="D80" s="64">
        <v>13.72302150726318</v>
      </c>
    </row>
    <row r="81" spans="1:4" x14ac:dyDescent="0.2">
      <c r="A81" t="s">
        <v>650</v>
      </c>
      <c r="B81" s="64">
        <v>13.06220054626465</v>
      </c>
      <c r="C81" s="65">
        <v>1</v>
      </c>
      <c r="D81" s="64">
        <v>13.06220054626465</v>
      </c>
    </row>
    <row r="82" spans="1:4" x14ac:dyDescent="0.2">
      <c r="A82" t="s">
        <v>655</v>
      </c>
      <c r="B82" s="64">
        <v>13.09532356262207</v>
      </c>
      <c r="C82" s="65">
        <v>1</v>
      </c>
      <c r="D82" s="64">
        <v>13.09532356262207</v>
      </c>
    </row>
    <row r="83" spans="1:4" x14ac:dyDescent="0.2">
      <c r="A83" t="s">
        <v>660</v>
      </c>
      <c r="B83" s="64">
        <v>16.10101918465228</v>
      </c>
      <c r="C83" s="65">
        <v>1</v>
      </c>
      <c r="D83" s="64">
        <v>16.10101918465228</v>
      </c>
    </row>
    <row r="84" spans="1:4" x14ac:dyDescent="0.2">
      <c r="A84" t="s">
        <v>665</v>
      </c>
      <c r="B84" s="64">
        <v>11.76504325866699</v>
      </c>
      <c r="C84" s="65">
        <v>0.32628896882494007</v>
      </c>
      <c r="D84" s="64">
        <v>3.8388038330512662</v>
      </c>
    </row>
    <row r="85" spans="1:4" x14ac:dyDescent="0.2">
      <c r="A85" t="s">
        <v>670</v>
      </c>
      <c r="B85" s="64">
        <v>12.432478904724119</v>
      </c>
      <c r="C85" s="65">
        <v>1</v>
      </c>
      <c r="D85" s="64">
        <v>12.432478904724119</v>
      </c>
    </row>
    <row r="86" spans="1:4" x14ac:dyDescent="0.2">
      <c r="A86" t="s">
        <v>675</v>
      </c>
      <c r="B86" s="64">
        <v>8.9801836013793945</v>
      </c>
      <c r="C86" s="65">
        <v>0.25337230215827339</v>
      </c>
      <c r="D86" s="64">
        <v>2.2753297928854721</v>
      </c>
    </row>
    <row r="87" spans="1:4" x14ac:dyDescent="0.2">
      <c r="A87" t="s">
        <v>678</v>
      </c>
      <c r="B87" s="64">
        <v>11.089328765869141</v>
      </c>
      <c r="C87" s="65">
        <v>1</v>
      </c>
      <c r="D87" s="64">
        <v>11.089328765869141</v>
      </c>
    </row>
    <row r="88" spans="1:4" x14ac:dyDescent="0.2">
      <c r="A88" t="s">
        <v>683</v>
      </c>
      <c r="B88" s="64">
        <v>8.0683355331420898</v>
      </c>
      <c r="C88" s="65">
        <v>0.14366007194244601</v>
      </c>
      <c r="D88" s="64">
        <v>1.159097663146986</v>
      </c>
    </row>
    <row r="89" spans="1:4" x14ac:dyDescent="0.2">
      <c r="A89" t="s">
        <v>945</v>
      </c>
      <c r="B89" s="64">
        <v>5.7112536430358887</v>
      </c>
      <c r="C89" s="65">
        <v>0.80508093525179858</v>
      </c>
      <c r="D89" s="64">
        <v>4.5980214243955748</v>
      </c>
    </row>
    <row r="90" spans="1:4" x14ac:dyDescent="0.2">
      <c r="A90" t="s">
        <v>691</v>
      </c>
      <c r="B90" s="64">
        <v>19.851530075073239</v>
      </c>
      <c r="C90" s="65">
        <v>0.31092625899280568</v>
      </c>
      <c r="D90" s="64">
        <v>6.1723619815256949</v>
      </c>
    </row>
    <row r="91" spans="1:4" x14ac:dyDescent="0.2">
      <c r="A91" t="s">
        <v>696</v>
      </c>
      <c r="B91" s="64">
        <v>15.436671257019039</v>
      </c>
      <c r="C91" s="65">
        <v>0.7969874100719424</v>
      </c>
      <c r="D91" s="64">
        <v>12.302832645263599</v>
      </c>
    </row>
    <row r="92" spans="1:4" x14ac:dyDescent="0.2">
      <c r="A92" t="s">
        <v>706</v>
      </c>
      <c r="B92" s="64">
        <v>12.4080867767334</v>
      </c>
      <c r="C92" s="65">
        <v>0.7969874100719424</v>
      </c>
      <c r="D92" s="64">
        <v>9.8890889441366667</v>
      </c>
    </row>
    <row r="93" spans="1:4" x14ac:dyDescent="0.2">
      <c r="A93" t="s">
        <v>709</v>
      </c>
      <c r="B93" s="64">
        <v>9.2894678115844727</v>
      </c>
      <c r="C93" s="65">
        <v>0.31092625899280568</v>
      </c>
      <c r="D93" s="64">
        <v>2.8883394746900461</v>
      </c>
    </row>
    <row r="94" spans="1:4" x14ac:dyDescent="0.2">
      <c r="A94" t="s">
        <v>946</v>
      </c>
      <c r="B94" s="64">
        <v>15.05952072143555</v>
      </c>
      <c r="C94" s="65">
        <v>0.7969874100719424</v>
      </c>
      <c r="D94" s="64">
        <v>12.00224841670167</v>
      </c>
    </row>
    <row r="95" spans="1:4" x14ac:dyDescent="0.2">
      <c r="A95" t="s">
        <v>715</v>
      </c>
      <c r="B95" s="64">
        <v>15.543986320495611</v>
      </c>
      <c r="C95" s="65">
        <v>0.31092625899280568</v>
      </c>
      <c r="D95" s="64">
        <v>4.8330335164670464</v>
      </c>
    </row>
    <row r="96" spans="1:4" x14ac:dyDescent="0.2">
      <c r="A96" t="s">
        <v>947</v>
      </c>
      <c r="B96" s="64">
        <v>12.996181488037109</v>
      </c>
      <c r="C96" s="65">
        <v>0.78507194244604317</v>
      </c>
      <c r="D96" s="64">
        <v>10.2029374451946</v>
      </c>
    </row>
    <row r="97" spans="1:4" x14ac:dyDescent="0.2">
      <c r="A97" t="s">
        <v>948</v>
      </c>
      <c r="B97" s="64">
        <v>10.668112754821779</v>
      </c>
      <c r="C97" s="65">
        <v>0.31092625899280568</v>
      </c>
      <c r="D97" s="64">
        <v>3.3169963893701699</v>
      </c>
    </row>
    <row r="98" spans="1:4" x14ac:dyDescent="0.2">
      <c r="A98" t="s">
        <v>724</v>
      </c>
      <c r="B98" s="64">
        <v>9.716710090637207</v>
      </c>
      <c r="C98" s="65">
        <v>0.43277877697841732</v>
      </c>
      <c r="D98" s="64">
        <v>4.2051859092798161</v>
      </c>
    </row>
    <row r="99" spans="1:4" x14ac:dyDescent="0.2">
      <c r="A99" t="s">
        <v>727</v>
      </c>
      <c r="B99" s="64">
        <v>10.953365325927731</v>
      </c>
      <c r="C99" s="65">
        <v>0.63796462829736211</v>
      </c>
      <c r="D99" s="64">
        <v>6.9878596387607006</v>
      </c>
    </row>
    <row r="100" spans="1:4" x14ac:dyDescent="0.2">
      <c r="A100" t="s">
        <v>949</v>
      </c>
      <c r="B100" s="64">
        <v>10.114131927490231</v>
      </c>
      <c r="C100" s="65">
        <v>0.23703537170263789</v>
      </c>
      <c r="D100" s="64">
        <v>2.3974070208821652</v>
      </c>
    </row>
    <row r="101" spans="1:4" x14ac:dyDescent="0.2">
      <c r="A101" t="s">
        <v>950</v>
      </c>
      <c r="B101" s="64">
        <v>3.6575121879577641</v>
      </c>
      <c r="C101" s="65">
        <v>4.6387889688249397E-2</v>
      </c>
      <c r="D101" s="64">
        <v>0.16966427190841249</v>
      </c>
    </row>
    <row r="102" spans="1:4" x14ac:dyDescent="0.2">
      <c r="A102" t="s">
        <v>730</v>
      </c>
      <c r="B102" s="64">
        <v>10.86770534515381</v>
      </c>
      <c r="C102" s="65">
        <v>0.79361510791366907</v>
      </c>
      <c r="D102" s="64">
        <v>8.6247751502681975</v>
      </c>
    </row>
    <row r="103" spans="1:4" x14ac:dyDescent="0.2">
      <c r="A103" t="s">
        <v>951</v>
      </c>
      <c r="B103" s="64">
        <v>21.53330039978027</v>
      </c>
      <c r="C103" s="65">
        <v>0.15190347721822539</v>
      </c>
      <c r="D103" s="64">
        <v>3.270983206711227</v>
      </c>
    </row>
    <row r="104" spans="1:4" x14ac:dyDescent="0.2">
      <c r="A104" t="s">
        <v>733</v>
      </c>
      <c r="B104" s="64">
        <v>72.295135498046875</v>
      </c>
      <c r="C104" s="65">
        <v>0.84097721822541971</v>
      </c>
      <c r="D104" s="64">
        <v>60.798561942377248</v>
      </c>
    </row>
    <row r="105" spans="1:4" x14ac:dyDescent="0.2">
      <c r="A105" t="s">
        <v>741</v>
      </c>
      <c r="B105" s="64">
        <v>3.7052218914031978</v>
      </c>
      <c r="C105" s="65">
        <v>0.84097721822541971</v>
      </c>
      <c r="D105" s="64">
        <v>3.1160071991401899</v>
      </c>
    </row>
    <row r="106" spans="1:4" x14ac:dyDescent="0.2">
      <c r="A106" t="s">
        <v>952</v>
      </c>
      <c r="B106" s="64">
        <v>2.7029058933258061</v>
      </c>
      <c r="C106" s="65">
        <v>0.14958033573141491</v>
      </c>
      <c r="D106" s="64">
        <v>0.40430157097409392</v>
      </c>
    </row>
    <row r="107" spans="1:4" x14ac:dyDescent="0.2">
      <c r="A107" t="s">
        <v>953</v>
      </c>
      <c r="B107" s="64">
        <v>18.146602630615231</v>
      </c>
      <c r="C107" s="65">
        <v>6.2874700239808151E-2</v>
      </c>
      <c r="D107" s="64">
        <v>1.1409622007708471</v>
      </c>
    </row>
    <row r="108" spans="1:4" x14ac:dyDescent="0.2">
      <c r="A108" t="s">
        <v>954</v>
      </c>
      <c r="B108" s="64">
        <v>14.324113845825201</v>
      </c>
      <c r="C108" s="65">
        <v>8.6705635491606717E-2</v>
      </c>
      <c r="D108" s="64">
        <v>1.2419813938563959</v>
      </c>
    </row>
    <row r="109" spans="1:4" x14ac:dyDescent="0.2">
      <c r="A109" t="s">
        <v>955</v>
      </c>
      <c r="B109" s="64">
        <v>7.9697494506835938</v>
      </c>
      <c r="C109" s="65">
        <v>8.6705635491606717E-2</v>
      </c>
      <c r="D109" s="64">
        <v>0.6910221908304045</v>
      </c>
    </row>
    <row r="110" spans="1:4" x14ac:dyDescent="0.2">
      <c r="A110" t="s">
        <v>956</v>
      </c>
      <c r="B110" s="64">
        <v>7.6092715263366699</v>
      </c>
      <c r="C110" s="65">
        <v>3.3947841726618702E-2</v>
      </c>
      <c r="D110" s="64">
        <v>0.25831834543094362</v>
      </c>
    </row>
    <row r="111" spans="1:4" x14ac:dyDescent="0.2">
      <c r="A111" t="s">
        <v>957</v>
      </c>
      <c r="B111" s="64">
        <v>7.3416147232055664</v>
      </c>
      <c r="C111" s="65">
        <v>1.206534772182254E-2</v>
      </c>
      <c r="D111" s="64">
        <v>8.8579134475127108E-2</v>
      </c>
    </row>
    <row r="112" spans="1:4" x14ac:dyDescent="0.2">
      <c r="A112" t="s">
        <v>958</v>
      </c>
      <c r="B112" s="64">
        <v>7.5166668891906738</v>
      </c>
      <c r="C112" s="65">
        <v>4.4964028776978424E-3</v>
      </c>
      <c r="D112" s="64">
        <v>3.379796263125303E-2</v>
      </c>
    </row>
    <row r="113" spans="1:4" x14ac:dyDescent="0.2">
      <c r="A113" t="s">
        <v>959</v>
      </c>
      <c r="B113" s="64">
        <v>8.3076925277709961</v>
      </c>
      <c r="C113" s="65">
        <v>1.9484412470023979E-3</v>
      </c>
      <c r="D113" s="64">
        <v>1.618705078852262E-2</v>
      </c>
    </row>
    <row r="114" spans="1:4" x14ac:dyDescent="0.2">
      <c r="A114" t="s">
        <v>960</v>
      </c>
      <c r="B114" s="64">
        <v>7.769230842590332</v>
      </c>
      <c r="C114" s="65">
        <v>9.7422062350119906E-4</v>
      </c>
      <c r="D114" s="64">
        <v>7.5689449155930998E-3</v>
      </c>
    </row>
    <row r="115" spans="1:4" x14ac:dyDescent="0.2">
      <c r="A115" t="s">
        <v>961</v>
      </c>
      <c r="B115" s="64">
        <v>9.3333330154418945</v>
      </c>
      <c r="C115" s="65">
        <v>4.496402877697842E-4</v>
      </c>
      <c r="D115" s="64">
        <v>4.1966425429145211E-3</v>
      </c>
    </row>
    <row r="116" spans="1:4" x14ac:dyDescent="0.2">
      <c r="A116" t="s">
        <v>962</v>
      </c>
      <c r="B116" s="64">
        <v>6.1999998092651367</v>
      </c>
      <c r="C116" s="65">
        <v>3.7470023980815348E-4</v>
      </c>
      <c r="D116" s="64">
        <v>2.323141415342153E-3</v>
      </c>
    </row>
    <row r="117" spans="1:4" x14ac:dyDescent="0.2">
      <c r="A117" t="s">
        <v>963</v>
      </c>
      <c r="B117" s="64">
        <v>15.666666984558111</v>
      </c>
      <c r="C117" s="65">
        <v>2.248201438848921E-4</v>
      </c>
      <c r="D117" s="64">
        <v>3.5221823256650418E-3</v>
      </c>
    </row>
    <row r="118" spans="1:4" x14ac:dyDescent="0.2">
      <c r="A118" t="s">
        <v>964</v>
      </c>
      <c r="B118" s="64">
        <v>19.828245162963871</v>
      </c>
      <c r="C118" s="65">
        <v>0.63092026378896882</v>
      </c>
      <c r="D118" s="64">
        <v>12.51004166868951</v>
      </c>
    </row>
    <row r="119" spans="1:4" x14ac:dyDescent="0.2">
      <c r="A119" t="s">
        <v>829</v>
      </c>
      <c r="B119" s="64">
        <v>49.529693603515618</v>
      </c>
      <c r="C119" s="65">
        <v>0.67386091127098324</v>
      </c>
      <c r="D119" s="64">
        <v>33.376124466637627</v>
      </c>
    </row>
    <row r="120" spans="1:4" x14ac:dyDescent="0.2">
      <c r="A120" t="s">
        <v>965</v>
      </c>
      <c r="B120" s="64">
        <v>10.34935474395752</v>
      </c>
      <c r="C120" s="65">
        <v>6.3923860911270988E-2</v>
      </c>
      <c r="D120" s="64">
        <v>0.66157071317414307</v>
      </c>
    </row>
    <row r="121" spans="1:4" x14ac:dyDescent="0.2">
      <c r="A121" t="s">
        <v>966</v>
      </c>
      <c r="B121" s="64">
        <v>9.9121618270874023</v>
      </c>
      <c r="C121" s="65">
        <v>2.218225419664269E-2</v>
      </c>
      <c r="D121" s="64">
        <v>0.21987409328671101</v>
      </c>
    </row>
    <row r="122" spans="1:4" x14ac:dyDescent="0.2">
      <c r="A122" t="s">
        <v>967</v>
      </c>
      <c r="B122" s="64">
        <v>12.817567825317379</v>
      </c>
      <c r="C122" s="65">
        <v>2.218225419664269E-2</v>
      </c>
      <c r="D122" s="64">
        <v>0.28432254768389881</v>
      </c>
    </row>
    <row r="123" spans="1:4" x14ac:dyDescent="0.2">
      <c r="A123" t="s">
        <v>837</v>
      </c>
      <c r="B123" s="64">
        <v>22.029750823974609</v>
      </c>
      <c r="C123" s="65">
        <v>1</v>
      </c>
      <c r="D123" s="64">
        <v>22.029750823974609</v>
      </c>
    </row>
    <row r="124" spans="1:4" x14ac:dyDescent="0.2">
      <c r="A124" t="s">
        <v>859</v>
      </c>
      <c r="B124" s="64">
        <v>36.783046722412109</v>
      </c>
      <c r="C124" s="65">
        <v>1</v>
      </c>
      <c r="D124" s="64">
        <v>36.783046722412109</v>
      </c>
    </row>
    <row r="125" spans="1:4" x14ac:dyDescent="0.2">
      <c r="A125" t="s">
        <v>238</v>
      </c>
      <c r="B125" s="64">
        <v>13.76013851165771</v>
      </c>
      <c r="C125" s="65">
        <v>0.28087529976019182</v>
      </c>
      <c r="D125" s="64">
        <v>3.8648830292036198</v>
      </c>
    </row>
    <row r="126" spans="1:4" x14ac:dyDescent="0.2">
      <c r="A126" t="s">
        <v>700</v>
      </c>
      <c r="B126" s="64">
        <v>13.39993858337402</v>
      </c>
      <c r="C126" s="65">
        <v>0.48606115107913672</v>
      </c>
      <c r="D126" s="64">
        <v>6.5131895722245137</v>
      </c>
    </row>
    <row r="127" spans="1:4" x14ac:dyDescent="0.2">
      <c r="A127" t="s">
        <v>968</v>
      </c>
      <c r="B127" s="64">
        <v>14.62593364715576</v>
      </c>
      <c r="C127" s="65">
        <v>0.28087529976019182</v>
      </c>
      <c r="D127" s="64">
        <v>4.1080634974175503</v>
      </c>
    </row>
    <row r="128" spans="1:4" x14ac:dyDescent="0.2">
      <c r="A128" t="s">
        <v>969</v>
      </c>
      <c r="B128" s="64">
        <v>14.752389907836911</v>
      </c>
      <c r="C128" s="65">
        <v>0.48606115107913672</v>
      </c>
      <c r="D128" s="64">
        <v>7.1705636197714497</v>
      </c>
    </row>
    <row r="129" spans="1:4" x14ac:dyDescent="0.2">
      <c r="A129" t="s">
        <v>970</v>
      </c>
      <c r="B129" s="64">
        <v>14.082502365112299</v>
      </c>
      <c r="C129" s="65">
        <v>0.16531774580335731</v>
      </c>
      <c r="D129" s="64">
        <v>2.3280875462708139</v>
      </c>
    </row>
    <row r="130" spans="1:4" x14ac:dyDescent="0.2">
      <c r="A130" t="s">
        <v>971</v>
      </c>
      <c r="B130" s="64">
        <v>15.481228828430179</v>
      </c>
      <c r="C130" s="65">
        <v>2.1957434052757789E-2</v>
      </c>
      <c r="D130" s="64">
        <v>0.33992806105590839</v>
      </c>
    </row>
    <row r="131" spans="1:4" x14ac:dyDescent="0.2">
      <c r="A131" t="s">
        <v>60</v>
      </c>
      <c r="B131" s="64">
        <v>3.062232494354248</v>
      </c>
      <c r="C131" s="65">
        <v>0.68277877697841727</v>
      </c>
      <c r="D131" s="64">
        <v>2.0908273573187621</v>
      </c>
    </row>
    <row r="132" spans="1:4" x14ac:dyDescent="0.2">
      <c r="A132" t="s">
        <v>972</v>
      </c>
      <c r="B132" s="64">
        <v>10.030631065368651</v>
      </c>
      <c r="C132" s="65">
        <v>0.15902278177458029</v>
      </c>
      <c r="D132" s="64">
        <v>1.595098854969446</v>
      </c>
    </row>
    <row r="133" spans="1:4" x14ac:dyDescent="0.2">
      <c r="A133" t="s">
        <v>973</v>
      </c>
      <c r="B133" s="64">
        <v>11.38066482543945</v>
      </c>
      <c r="C133" s="65">
        <v>2.4805155875299759E-2</v>
      </c>
      <c r="D133" s="64">
        <v>0.28229916495956681</v>
      </c>
    </row>
    <row r="134" spans="1:4" x14ac:dyDescent="0.2">
      <c r="A134" t="s">
        <v>242</v>
      </c>
      <c r="B134" s="64">
        <v>30.646188735961911</v>
      </c>
      <c r="C134" s="65">
        <v>0.56722122302158273</v>
      </c>
      <c r="D134" s="64">
        <v>17.383168655762571</v>
      </c>
    </row>
    <row r="135" spans="1:4" x14ac:dyDescent="0.2">
      <c r="A135" t="s">
        <v>974</v>
      </c>
      <c r="B135" s="64">
        <v>10.112629890441889</v>
      </c>
      <c r="C135" s="65">
        <v>0.15902278177458029</v>
      </c>
      <c r="D135" s="64">
        <v>1.6081385362348399</v>
      </c>
    </row>
    <row r="136" spans="1:4" x14ac:dyDescent="0.2">
      <c r="A136" t="s">
        <v>975</v>
      </c>
      <c r="B136" s="64">
        <v>13.900094032287599</v>
      </c>
      <c r="C136" s="65">
        <v>0.15902278177458029</v>
      </c>
      <c r="D136" s="64">
        <v>2.2104316199426171</v>
      </c>
    </row>
    <row r="137" spans="1:4" x14ac:dyDescent="0.2">
      <c r="A137" t="s">
        <v>267</v>
      </c>
      <c r="B137" s="64">
        <v>8.2288064956665039</v>
      </c>
      <c r="C137" s="65">
        <v>0.36420863309352519</v>
      </c>
      <c r="D137" s="64">
        <v>2.997002365777818</v>
      </c>
    </row>
    <row r="138" spans="1:4" x14ac:dyDescent="0.2">
      <c r="A138" t="s">
        <v>976</v>
      </c>
      <c r="B138" s="64">
        <v>32.266731262207031</v>
      </c>
      <c r="C138" s="65">
        <v>0.15902278177458029</v>
      </c>
      <c r="D138" s="64">
        <v>5.1311453640889786</v>
      </c>
    </row>
    <row r="139" spans="1:4" x14ac:dyDescent="0.2">
      <c r="A139" t="s">
        <v>977</v>
      </c>
      <c r="B139" s="64">
        <v>11.01242256164551</v>
      </c>
      <c r="C139" s="65">
        <v>8.4457434052757796E-2</v>
      </c>
      <c r="D139" s="64">
        <v>0.93008095226127752</v>
      </c>
    </row>
    <row r="140" spans="1:4" x14ac:dyDescent="0.2">
      <c r="A140" t="s">
        <v>978</v>
      </c>
      <c r="B140" s="64">
        <v>59.445335388183587</v>
      </c>
      <c r="C140" s="65">
        <v>0.15902278177458029</v>
      </c>
      <c r="D140" s="64">
        <v>9.4531625969518576</v>
      </c>
    </row>
    <row r="141" spans="1:4" x14ac:dyDescent="0.2">
      <c r="A141" t="s">
        <v>979</v>
      </c>
      <c r="B141" s="64">
        <v>31.696512222290039</v>
      </c>
      <c r="C141" s="65">
        <v>0.15902278177458029</v>
      </c>
      <c r="D141" s="64">
        <v>5.0404675461405466</v>
      </c>
    </row>
    <row r="142" spans="1:4" x14ac:dyDescent="0.2">
      <c r="A142" t="s">
        <v>980</v>
      </c>
      <c r="B142" s="64">
        <v>18.788320541381839</v>
      </c>
      <c r="C142" s="65">
        <v>3.0800359712230219E-2</v>
      </c>
      <c r="D142" s="64">
        <v>0.57868703106324448</v>
      </c>
    </row>
    <row r="143" spans="1:4" x14ac:dyDescent="0.2">
      <c r="A143" t="s">
        <v>981</v>
      </c>
      <c r="B143" s="64">
        <v>14.180000305175779</v>
      </c>
      <c r="C143" s="65">
        <v>1.12410071942446E-2</v>
      </c>
      <c r="D143" s="64">
        <v>0.15939748544487159</v>
      </c>
    </row>
    <row r="144" spans="1:4" x14ac:dyDescent="0.2">
      <c r="A144" t="s">
        <v>982</v>
      </c>
      <c r="B144" s="64">
        <v>14.373562812805179</v>
      </c>
      <c r="C144" s="65">
        <v>1.303956834532374E-2</v>
      </c>
      <c r="D144" s="64">
        <v>0.18742505466337689</v>
      </c>
    </row>
    <row r="145" spans="1:4" x14ac:dyDescent="0.2">
      <c r="A145" t="s">
        <v>983</v>
      </c>
      <c r="B145" s="64">
        <v>13.638889312744141</v>
      </c>
      <c r="C145" s="65">
        <v>2.6978417266187052E-3</v>
      </c>
      <c r="D145" s="64">
        <v>3.6795564692655047E-2</v>
      </c>
    </row>
    <row r="146" spans="1:4" x14ac:dyDescent="0.2">
      <c r="A146" t="s">
        <v>984</v>
      </c>
      <c r="B146" s="64">
        <v>15.40838527679443</v>
      </c>
      <c r="C146" s="65">
        <v>0.14478417266187049</v>
      </c>
      <c r="D146" s="64">
        <v>2.2308903143560279</v>
      </c>
    </row>
    <row r="147" spans="1:4" x14ac:dyDescent="0.2">
      <c r="A147" t="s">
        <v>985</v>
      </c>
      <c r="B147" s="64">
        <v>13.428935050964361</v>
      </c>
      <c r="C147" s="65">
        <v>0.14710731414868111</v>
      </c>
      <c r="D147" s="64">
        <v>1.9754945672244479</v>
      </c>
    </row>
    <row r="148" spans="1:4" x14ac:dyDescent="0.2">
      <c r="A148" t="s">
        <v>986</v>
      </c>
      <c r="B148" s="64">
        <v>16.118755340576168</v>
      </c>
      <c r="C148" s="65">
        <v>0.15902278177458029</v>
      </c>
      <c r="D148" s="64">
        <v>2.563249313002296</v>
      </c>
    </row>
    <row r="149" spans="1:4" x14ac:dyDescent="0.2">
      <c r="A149" t="s">
        <v>987</v>
      </c>
      <c r="B149" s="64">
        <v>24.20000076293945</v>
      </c>
      <c r="C149" s="65">
        <v>3.3723021582733811E-3</v>
      </c>
      <c r="D149" s="64">
        <v>8.1609714803078187E-2</v>
      </c>
    </row>
    <row r="150" spans="1:4" x14ac:dyDescent="0.2">
      <c r="A150" t="s">
        <v>988</v>
      </c>
      <c r="B150" s="64">
        <v>15.139491081237789</v>
      </c>
      <c r="C150" s="65">
        <v>0.15902278177458029</v>
      </c>
      <c r="D150" s="64">
        <v>2.407523986389883</v>
      </c>
    </row>
    <row r="151" spans="1:4" x14ac:dyDescent="0.2">
      <c r="A151" t="s">
        <v>989</v>
      </c>
      <c r="B151" s="64">
        <v>17.901508331298832</v>
      </c>
      <c r="C151" s="65">
        <v>0.15902278177458029</v>
      </c>
      <c r="D151" s="64">
        <v>2.8467476528039661</v>
      </c>
    </row>
    <row r="152" spans="1:4" x14ac:dyDescent="0.2">
      <c r="A152" t="s">
        <v>990</v>
      </c>
      <c r="B152" s="64">
        <v>27.199811935424801</v>
      </c>
      <c r="C152" s="65">
        <v>0.15902278177458029</v>
      </c>
      <c r="D152" s="64">
        <v>4.3253897577166844</v>
      </c>
    </row>
    <row r="153" spans="1:4" x14ac:dyDescent="0.2">
      <c r="A153" t="s">
        <v>991</v>
      </c>
      <c r="B153" s="64">
        <v>20.648445129394531</v>
      </c>
      <c r="C153" s="65">
        <v>0.15902278177458029</v>
      </c>
      <c r="D153" s="64">
        <v>3.2835731837961029</v>
      </c>
    </row>
    <row r="154" spans="1:4" x14ac:dyDescent="0.2">
      <c r="A154" t="s">
        <v>992</v>
      </c>
      <c r="B154" s="64">
        <v>55.302074432373047</v>
      </c>
      <c r="C154" s="65">
        <v>0.15902278177458029</v>
      </c>
      <c r="D154" s="64">
        <v>8.7942897141408576</v>
      </c>
    </row>
    <row r="155" spans="1:4" x14ac:dyDescent="0.2">
      <c r="A155" t="s">
        <v>993</v>
      </c>
      <c r="B155" s="64">
        <v>24.500471115112301</v>
      </c>
      <c r="C155" s="65">
        <v>0.15902278177458029</v>
      </c>
      <c r="D155" s="64">
        <v>3.8961330715129132</v>
      </c>
    </row>
    <row r="156" spans="1:4" x14ac:dyDescent="0.2">
      <c r="A156" t="s">
        <v>994</v>
      </c>
      <c r="B156" s="64">
        <v>24.92459869384766</v>
      </c>
      <c r="C156" s="65">
        <v>0.15902278177458029</v>
      </c>
      <c r="D156" s="64">
        <v>3.9635790189107261</v>
      </c>
    </row>
    <row r="157" spans="1:4" x14ac:dyDescent="0.2">
      <c r="A157" t="s">
        <v>995</v>
      </c>
      <c r="B157" s="64">
        <v>17.525918960571289</v>
      </c>
      <c r="C157" s="65">
        <v>0.15902278177458029</v>
      </c>
      <c r="D157" s="64">
        <v>2.7870203862659082</v>
      </c>
    </row>
    <row r="158" spans="1:4" x14ac:dyDescent="0.2">
      <c r="A158" t="s">
        <v>996</v>
      </c>
      <c r="B158" s="64">
        <v>28.03440093994141</v>
      </c>
      <c r="C158" s="65">
        <v>0.15902278177458029</v>
      </c>
      <c r="D158" s="64">
        <v>4.4581084228533916</v>
      </c>
    </row>
    <row r="159" spans="1:4" x14ac:dyDescent="0.2">
      <c r="A159" t="s">
        <v>997</v>
      </c>
      <c r="B159" s="64">
        <v>15.688972473144529</v>
      </c>
      <c r="C159" s="65">
        <v>0.15902278177458029</v>
      </c>
      <c r="D159" s="64">
        <v>2.4949040458642608</v>
      </c>
    </row>
    <row r="160" spans="1:4" x14ac:dyDescent="0.2">
      <c r="A160" t="s">
        <v>998</v>
      </c>
      <c r="B160" s="64">
        <v>21.188030242919918</v>
      </c>
      <c r="C160" s="65">
        <v>0.15902278177458029</v>
      </c>
      <c r="D160" s="64">
        <v>3.3693795095530632</v>
      </c>
    </row>
    <row r="161" spans="1:4" x14ac:dyDescent="0.2">
      <c r="A161" t="s">
        <v>999</v>
      </c>
      <c r="B161" s="64">
        <v>10.56944465637207</v>
      </c>
      <c r="C161" s="65">
        <v>5.3956834532374104E-3</v>
      </c>
      <c r="D161" s="64">
        <v>5.7029377642295348E-2</v>
      </c>
    </row>
    <row r="162" spans="1:4" x14ac:dyDescent="0.2">
      <c r="A162" t="s">
        <v>897</v>
      </c>
      <c r="B162" s="64">
        <v>17.507846832275391</v>
      </c>
      <c r="C162" s="65">
        <v>0.68277877697841727</v>
      </c>
      <c r="D162" s="64">
        <v>11.95398624766645</v>
      </c>
    </row>
    <row r="163" spans="1:4" x14ac:dyDescent="0.2">
      <c r="A163" t="s">
        <v>73</v>
      </c>
      <c r="B163" s="64">
        <v>4.6240768432617188</v>
      </c>
      <c r="C163" s="65">
        <v>0.20293764988009591</v>
      </c>
      <c r="D163" s="64">
        <v>0.9383992874365058</v>
      </c>
    </row>
    <row r="164" spans="1:4" x14ac:dyDescent="0.2">
      <c r="A164" t="s">
        <v>1000</v>
      </c>
      <c r="B164" s="64">
        <v>10.74381732940674</v>
      </c>
      <c r="C164" s="65">
        <v>0.20301258992805751</v>
      </c>
      <c r="D164" s="64">
        <v>2.1811301817568078</v>
      </c>
    </row>
    <row r="165" spans="1:4" x14ac:dyDescent="0.2">
      <c r="A165" t="s">
        <v>1001</v>
      </c>
      <c r="B165" s="64"/>
      <c r="C165" s="65">
        <v>0</v>
      </c>
      <c r="D165" s="64">
        <v>0</v>
      </c>
    </row>
    <row r="166" spans="1:4" x14ac:dyDescent="0.2">
      <c r="A166" t="s">
        <v>1002</v>
      </c>
      <c r="B166" s="64">
        <v>56.471023559570312</v>
      </c>
      <c r="C166" s="65">
        <v>0.20301258992805751</v>
      </c>
      <c r="D166" s="64">
        <v>11.464328748716721</v>
      </c>
    </row>
    <row r="167" spans="1:4" x14ac:dyDescent="0.2">
      <c r="A167" t="s">
        <v>1003</v>
      </c>
      <c r="B167" s="64">
        <v>31</v>
      </c>
      <c r="C167" s="65">
        <v>4.0467625899280584E-3</v>
      </c>
      <c r="D167" s="64">
        <v>0.12544964028776981</v>
      </c>
    </row>
    <row r="168" spans="1:4" x14ac:dyDescent="0.2">
      <c r="A168" t="s">
        <v>1004</v>
      </c>
      <c r="B168" s="64">
        <v>30.833333969116211</v>
      </c>
      <c r="C168" s="65">
        <v>4.0467625899280584E-3</v>
      </c>
      <c r="D168" s="64">
        <v>0.1247751824289775</v>
      </c>
    </row>
    <row r="169" spans="1:4" x14ac:dyDescent="0.2">
      <c r="A169" t="s">
        <v>445</v>
      </c>
      <c r="B169" s="64">
        <v>16.882986068725589</v>
      </c>
      <c r="C169" s="65">
        <v>0.1184802158273381</v>
      </c>
      <c r="D169" s="64">
        <v>2.0002998332325501</v>
      </c>
    </row>
    <row r="170" spans="1:4" x14ac:dyDescent="0.2">
      <c r="A170" t="s">
        <v>470</v>
      </c>
      <c r="B170" s="64">
        <v>16.82699012756348</v>
      </c>
      <c r="C170" s="65">
        <v>8.6630695443645087E-2</v>
      </c>
      <c r="D170" s="64">
        <v>1.457733856974174</v>
      </c>
    </row>
    <row r="171" spans="1:4" x14ac:dyDescent="0.2">
      <c r="A171" t="s">
        <v>1005</v>
      </c>
      <c r="B171" s="64">
        <v>39.486873626708977</v>
      </c>
      <c r="C171" s="65">
        <v>3.139988009592326E-2</v>
      </c>
      <c r="D171" s="64">
        <v>1.2398830972415369</v>
      </c>
    </row>
    <row r="172" spans="1:4" x14ac:dyDescent="0.2">
      <c r="A172" t="s">
        <v>526</v>
      </c>
      <c r="B172" s="64">
        <v>15.9380989074707</v>
      </c>
      <c r="C172" s="65">
        <v>0.1016936450839329</v>
      </c>
      <c r="D172" s="64">
        <v>1.620803373608944</v>
      </c>
    </row>
    <row r="173" spans="1:4" x14ac:dyDescent="0.2">
      <c r="A173" t="s">
        <v>547</v>
      </c>
      <c r="B173" s="64">
        <v>13.330855369567869</v>
      </c>
      <c r="C173" s="65">
        <v>6.047661870503597E-2</v>
      </c>
      <c r="D173" s="64">
        <v>0.80620505719733748</v>
      </c>
    </row>
    <row r="174" spans="1:4" x14ac:dyDescent="0.2">
      <c r="A174" t="s">
        <v>1006</v>
      </c>
      <c r="B174" s="64">
        <v>16.437650680541989</v>
      </c>
      <c r="C174" s="65">
        <v>6.25E-2</v>
      </c>
      <c r="D174" s="64">
        <v>1.027353167533875</v>
      </c>
    </row>
    <row r="175" spans="1:4" x14ac:dyDescent="0.2">
      <c r="A175" t="s">
        <v>1007</v>
      </c>
      <c r="B175" s="64">
        <v>8.6666669845581055</v>
      </c>
      <c r="C175" s="65">
        <v>6.7446043165467629E-4</v>
      </c>
      <c r="D175" s="64">
        <v>5.8453239554123919E-3</v>
      </c>
    </row>
    <row r="176" spans="1:4" x14ac:dyDescent="0.2">
      <c r="A176" t="s">
        <v>584</v>
      </c>
      <c r="B176" s="64">
        <v>12.5238094329834</v>
      </c>
      <c r="C176" s="65">
        <v>1.573741007194245E-3</v>
      </c>
      <c r="D176" s="64">
        <v>1.9709232470972071E-2</v>
      </c>
    </row>
    <row r="177" spans="1:4" x14ac:dyDescent="0.2">
      <c r="A177" t="s">
        <v>1008</v>
      </c>
      <c r="B177" s="64">
        <v>22.220184326171879</v>
      </c>
      <c r="C177" s="65">
        <v>8.1684652278177453E-3</v>
      </c>
      <c r="D177" s="64">
        <v>0.18150480302403579</v>
      </c>
    </row>
    <row r="178" spans="1:4" x14ac:dyDescent="0.2">
      <c r="A178" t="s">
        <v>1009</v>
      </c>
      <c r="B178" s="64">
        <v>12.889907836914061</v>
      </c>
      <c r="C178" s="65">
        <v>8.1684652278177453E-3</v>
      </c>
      <c r="D178" s="64">
        <v>0.105290763955608</v>
      </c>
    </row>
    <row r="179" spans="1:4" x14ac:dyDescent="0.2">
      <c r="A179" t="s">
        <v>1010</v>
      </c>
      <c r="B179" s="64">
        <v>14.84403705596924</v>
      </c>
      <c r="C179" s="65">
        <v>8.1684652278177453E-3</v>
      </c>
      <c r="D179" s="64">
        <v>0.1212530005321228</v>
      </c>
    </row>
    <row r="180" spans="1:4" x14ac:dyDescent="0.2">
      <c r="A180" t="s">
        <v>1011</v>
      </c>
      <c r="B180" s="64">
        <v>18.513761520385739</v>
      </c>
      <c r="C180" s="65">
        <v>8.1684652278177453E-3</v>
      </c>
      <c r="D180" s="64">
        <v>0.1512290172153811</v>
      </c>
    </row>
    <row r="181" spans="1:4" x14ac:dyDescent="0.2">
      <c r="A181" t="s">
        <v>1012</v>
      </c>
      <c r="B181" s="64">
        <v>16.880733489990231</v>
      </c>
      <c r="C181" s="65">
        <v>8.1684652278177453E-3</v>
      </c>
      <c r="D181" s="64">
        <v>0.1378896845330437</v>
      </c>
    </row>
    <row r="182" spans="1:4" x14ac:dyDescent="0.2">
      <c r="A182" t="s">
        <v>1013</v>
      </c>
      <c r="B182" s="64">
        <v>17.431192398071289</v>
      </c>
      <c r="C182" s="65">
        <v>8.1684652278177453E-3</v>
      </c>
      <c r="D182" s="64">
        <v>0.14238608898304631</v>
      </c>
    </row>
    <row r="183" spans="1:4" x14ac:dyDescent="0.2">
      <c r="A183" t="s">
        <v>1014</v>
      </c>
      <c r="B183" s="64">
        <v>14.110092163085939</v>
      </c>
      <c r="C183" s="65">
        <v>8.1684652278177453E-3</v>
      </c>
      <c r="D183" s="64">
        <v>0.1152577971954712</v>
      </c>
    </row>
    <row r="184" spans="1:4" x14ac:dyDescent="0.2">
      <c r="A184" t="s">
        <v>1015</v>
      </c>
      <c r="B184" s="64">
        <v>15.256880760192869</v>
      </c>
      <c r="C184" s="65">
        <v>8.1684652278177453E-3</v>
      </c>
      <c r="D184" s="64">
        <v>0.124625299974597</v>
      </c>
    </row>
    <row r="185" spans="1:4" x14ac:dyDescent="0.2">
      <c r="A185" t="s">
        <v>1016</v>
      </c>
      <c r="B185" s="64">
        <v>12.284403800964361</v>
      </c>
      <c r="C185" s="65">
        <v>8.1684652278177453E-3</v>
      </c>
      <c r="D185" s="64">
        <v>0.1003447252926495</v>
      </c>
    </row>
    <row r="186" spans="1:4" x14ac:dyDescent="0.2">
      <c r="A186" t="s">
        <v>1017</v>
      </c>
      <c r="B186" s="64">
        <v>12.577981948852541</v>
      </c>
      <c r="C186" s="65">
        <v>8.1684652278177453E-3</v>
      </c>
      <c r="D186" s="64">
        <v>0.10274280818532119</v>
      </c>
    </row>
    <row r="187" spans="1:4" x14ac:dyDescent="0.2">
      <c r="A187" t="s">
        <v>823</v>
      </c>
      <c r="B187" s="64">
        <v>16.78225135803223</v>
      </c>
      <c r="C187" s="65">
        <v>0.16381894484412471</v>
      </c>
      <c r="D187" s="64">
        <v>2.7492507095817178</v>
      </c>
    </row>
    <row r="188" spans="1:4" x14ac:dyDescent="0.2">
      <c r="A188" t="s">
        <v>703</v>
      </c>
      <c r="B188" s="64">
        <v>11.787801742553709</v>
      </c>
      <c r="C188" s="65">
        <v>0.20518585131894479</v>
      </c>
      <c r="D188" s="64">
        <v>2.4186901357248241</v>
      </c>
    </row>
    <row r="189" spans="1:4" x14ac:dyDescent="0.2">
      <c r="A189" t="s">
        <v>369</v>
      </c>
      <c r="B189" s="64">
        <v>46.247528076171882</v>
      </c>
      <c r="C189" s="65">
        <v>1</v>
      </c>
      <c r="D189" s="64">
        <v>46.247528076171882</v>
      </c>
    </row>
    <row r="190" spans="1:4" x14ac:dyDescent="0.2">
      <c r="A190" t="s">
        <v>1018</v>
      </c>
      <c r="B190" s="64">
        <v>0.1537020355463028</v>
      </c>
      <c r="C190" s="65">
        <v>1</v>
      </c>
      <c r="D190" s="64">
        <v>0.1537020355463028</v>
      </c>
    </row>
    <row r="191" spans="1:4" x14ac:dyDescent="0.2">
      <c r="A191" t="s">
        <v>1019</v>
      </c>
      <c r="B191" s="64">
        <v>0.67963129281997681</v>
      </c>
      <c r="C191" s="65">
        <v>1</v>
      </c>
      <c r="D191" s="64">
        <v>0.67963129281997681</v>
      </c>
    </row>
    <row r="192" spans="1:4" x14ac:dyDescent="0.2">
      <c r="A192" t="s">
        <v>1020</v>
      </c>
      <c r="B192" s="64">
        <v>2.892535924911499</v>
      </c>
      <c r="C192" s="65">
        <v>1</v>
      </c>
      <c r="D192" s="64">
        <v>2.892535924911499</v>
      </c>
    </row>
    <row r="193" spans="1:4" x14ac:dyDescent="0.2">
      <c r="A193" t="s">
        <v>1021</v>
      </c>
      <c r="B193" s="64">
        <v>3.3438248634338379</v>
      </c>
      <c r="C193" s="65">
        <v>1</v>
      </c>
      <c r="D193" s="64">
        <v>3.3438248634338379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G94"/>
  <sheetViews>
    <sheetView workbookViewId="0">
      <pane ySplit="3" topLeftCell="A68" activePane="bottomLeft" state="frozen"/>
      <selection activeCell="D69" sqref="D69"/>
      <selection pane="bottomLeft" activeCell="C82" sqref="C82"/>
    </sheetView>
  </sheetViews>
  <sheetFormatPr baseColWidth="10" defaultColWidth="10.83203125" defaultRowHeight="15" x14ac:dyDescent="0.2"/>
  <cols>
    <col min="1" max="2" width="10.83203125" style="1" customWidth="1"/>
    <col min="3" max="3" width="15.1640625" style="2" customWidth="1"/>
    <col min="4" max="4" width="10.83203125" style="322" hidden="1" customWidth="1"/>
    <col min="5" max="5" width="10.83203125" style="322" customWidth="1"/>
    <col min="6" max="6" width="41.6640625" style="1" customWidth="1"/>
    <col min="7" max="7" width="46.6640625" style="538" customWidth="1"/>
    <col min="8" max="10" width="10.83203125" style="1" customWidth="1"/>
    <col min="11" max="16384" width="10.83203125" style="1"/>
  </cols>
  <sheetData>
    <row r="2" spans="2:7" x14ac:dyDescent="0.2">
      <c r="C2" s="4"/>
      <c r="D2" s="319"/>
      <c r="E2" s="319"/>
      <c r="F2" s="5"/>
      <c r="G2" s="534"/>
    </row>
    <row r="3" spans="2:7" ht="32" customHeight="1" x14ac:dyDescent="0.2">
      <c r="B3" s="3"/>
      <c r="C3" s="320" t="s">
        <v>1022</v>
      </c>
      <c r="D3" s="317" t="s">
        <v>1023</v>
      </c>
      <c r="E3" s="317" t="s">
        <v>1024</v>
      </c>
      <c r="F3" s="317" t="s">
        <v>1025</v>
      </c>
      <c r="G3" s="320" t="s">
        <v>1026</v>
      </c>
    </row>
    <row r="4" spans="2:7" ht="16" customHeight="1" x14ac:dyDescent="0.2">
      <c r="B4" s="3"/>
      <c r="C4" s="50" t="s">
        <v>1027</v>
      </c>
      <c r="D4" s="8">
        <f t="array" ref="D4:D93">_xlfn.SEQUENCE(90,1,1,1)</f>
        <v>1</v>
      </c>
      <c r="E4" s="318" t="s">
        <v>1028</v>
      </c>
      <c r="F4" s="8" t="s">
        <v>1029</v>
      </c>
      <c r="G4" s="535" t="s">
        <v>1030</v>
      </c>
    </row>
    <row r="5" spans="2:7" ht="16" customHeight="1" x14ac:dyDescent="0.2">
      <c r="B5" s="3"/>
      <c r="C5" s="50"/>
      <c r="D5" s="8">
        <v>2</v>
      </c>
      <c r="E5" s="318" t="s">
        <v>1031</v>
      </c>
      <c r="F5" s="8" t="s">
        <v>1032</v>
      </c>
      <c r="G5" s="535" t="s">
        <v>1033</v>
      </c>
    </row>
    <row r="6" spans="2:7" ht="16" customHeight="1" x14ac:dyDescent="0.2">
      <c r="B6" s="3"/>
      <c r="C6" s="50" t="s">
        <v>1027</v>
      </c>
      <c r="D6" s="8">
        <v>3</v>
      </c>
      <c r="E6" s="318" t="s">
        <v>1034</v>
      </c>
      <c r="F6" s="8" t="s">
        <v>1035</v>
      </c>
      <c r="G6" s="535" t="s">
        <v>1036</v>
      </c>
    </row>
    <row r="7" spans="2:7" ht="16" customHeight="1" x14ac:dyDescent="0.2">
      <c r="B7" s="3"/>
      <c r="C7" s="50" t="s">
        <v>1027</v>
      </c>
      <c r="D7" s="8">
        <v>4</v>
      </c>
      <c r="E7" s="318" t="s">
        <v>1037</v>
      </c>
      <c r="F7" s="8" t="s">
        <v>1038</v>
      </c>
      <c r="G7" s="535" t="s">
        <v>1039</v>
      </c>
    </row>
    <row r="8" spans="2:7" ht="16" customHeight="1" x14ac:dyDescent="0.2">
      <c r="B8" s="3"/>
      <c r="C8" s="50" t="s">
        <v>1027</v>
      </c>
      <c r="D8" s="8">
        <v>5</v>
      </c>
      <c r="E8" s="318" t="s">
        <v>1040</v>
      </c>
      <c r="F8" s="8" t="s">
        <v>1041</v>
      </c>
      <c r="G8" s="535" t="s">
        <v>1042</v>
      </c>
    </row>
    <row r="9" spans="2:7" ht="16" customHeight="1" x14ac:dyDescent="0.2">
      <c r="B9" s="3"/>
      <c r="C9" s="50"/>
      <c r="D9" s="8">
        <v>6</v>
      </c>
      <c r="E9" s="318" t="s">
        <v>1043</v>
      </c>
      <c r="F9" s="8" t="s">
        <v>1044</v>
      </c>
      <c r="G9" s="535" t="s">
        <v>1045</v>
      </c>
    </row>
    <row r="10" spans="2:7" ht="16" customHeight="1" x14ac:dyDescent="0.2">
      <c r="B10" s="3"/>
      <c r="C10" s="351"/>
      <c r="D10" s="8">
        <v>7</v>
      </c>
      <c r="E10" s="318" t="s">
        <v>1046</v>
      </c>
      <c r="F10" s="49" t="s">
        <v>1047</v>
      </c>
      <c r="G10" s="536" t="s">
        <v>1048</v>
      </c>
    </row>
    <row r="11" spans="2:7" ht="16" customHeight="1" x14ac:dyDescent="0.2">
      <c r="B11" s="3"/>
      <c r="C11" s="50" t="s">
        <v>1027</v>
      </c>
      <c r="D11" s="8">
        <v>8</v>
      </c>
      <c r="E11" s="318" t="s">
        <v>1049</v>
      </c>
      <c r="F11" s="8" t="s">
        <v>1050</v>
      </c>
      <c r="G11" s="535" t="s">
        <v>1051</v>
      </c>
    </row>
    <row r="12" spans="2:7" ht="16" customHeight="1" x14ac:dyDescent="0.2">
      <c r="B12" s="3"/>
      <c r="C12" s="50" t="s">
        <v>1027</v>
      </c>
      <c r="D12" s="8">
        <v>9</v>
      </c>
      <c r="E12" s="318" t="s">
        <v>1052</v>
      </c>
      <c r="F12" s="8" t="s">
        <v>1053</v>
      </c>
      <c r="G12" s="535" t="s">
        <v>1054</v>
      </c>
    </row>
    <row r="13" spans="2:7" ht="16" customHeight="1" x14ac:dyDescent="0.2">
      <c r="B13" s="3"/>
      <c r="C13" s="50"/>
      <c r="D13" s="8">
        <v>10</v>
      </c>
      <c r="E13" s="318" t="s">
        <v>1055</v>
      </c>
      <c r="F13" s="8" t="s">
        <v>1056</v>
      </c>
      <c r="G13" s="535" t="s">
        <v>1057</v>
      </c>
    </row>
    <row r="14" spans="2:7" ht="16" customHeight="1" x14ac:dyDescent="0.2">
      <c r="B14" s="3"/>
      <c r="C14" s="50"/>
      <c r="D14" s="8">
        <v>11</v>
      </c>
      <c r="E14" s="318" t="s">
        <v>1058</v>
      </c>
      <c r="F14" s="8" t="s">
        <v>1059</v>
      </c>
      <c r="G14" s="535" t="s">
        <v>1060</v>
      </c>
    </row>
    <row r="15" spans="2:7" ht="16" customHeight="1" x14ac:dyDescent="0.2">
      <c r="B15" s="3"/>
      <c r="C15" s="50"/>
      <c r="D15" s="8">
        <v>12</v>
      </c>
      <c r="E15" s="318" t="s">
        <v>1061</v>
      </c>
      <c r="F15" s="8" t="s">
        <v>1062</v>
      </c>
      <c r="G15" s="535" t="s">
        <v>1063</v>
      </c>
    </row>
    <row r="16" spans="2:7" ht="16" customHeight="1" x14ac:dyDescent="0.2">
      <c r="B16" s="3"/>
      <c r="C16" s="50"/>
      <c r="D16" s="8">
        <v>13</v>
      </c>
      <c r="E16" s="318" t="s">
        <v>1064</v>
      </c>
      <c r="F16" s="8" t="s">
        <v>1065</v>
      </c>
      <c r="G16" s="535" t="s">
        <v>1066</v>
      </c>
    </row>
    <row r="17" spans="2:7" ht="16" customHeight="1" x14ac:dyDescent="0.2">
      <c r="B17" s="3"/>
      <c r="C17" s="351"/>
      <c r="D17" s="8">
        <v>14</v>
      </c>
      <c r="E17" s="318" t="s">
        <v>1067</v>
      </c>
      <c r="F17" s="49" t="s">
        <v>1068</v>
      </c>
      <c r="G17" s="536" t="s">
        <v>1069</v>
      </c>
    </row>
    <row r="18" spans="2:7" ht="16" customHeight="1" x14ac:dyDescent="0.2">
      <c r="B18" s="3"/>
      <c r="C18" s="50" t="s">
        <v>1027</v>
      </c>
      <c r="D18" s="8">
        <v>15</v>
      </c>
      <c r="E18" s="318" t="s">
        <v>1070</v>
      </c>
      <c r="F18" s="8" t="s">
        <v>1071</v>
      </c>
      <c r="G18" s="535" t="s">
        <v>1072</v>
      </c>
    </row>
    <row r="19" spans="2:7" ht="16" customHeight="1" x14ac:dyDescent="0.2">
      <c r="B19" s="3"/>
      <c r="C19" s="50"/>
      <c r="D19" s="8">
        <v>16</v>
      </c>
      <c r="E19" s="318" t="s">
        <v>1073</v>
      </c>
      <c r="F19" s="8" t="s">
        <v>1074</v>
      </c>
      <c r="G19" s="535" t="s">
        <v>1075</v>
      </c>
    </row>
    <row r="20" spans="2:7" ht="16" customHeight="1" x14ac:dyDescent="0.2">
      <c r="B20" s="3"/>
      <c r="C20" s="50"/>
      <c r="D20" s="8">
        <v>17</v>
      </c>
      <c r="E20" s="318" t="s">
        <v>1076</v>
      </c>
      <c r="F20" s="8" t="s">
        <v>1077</v>
      </c>
      <c r="G20" s="535" t="s">
        <v>1078</v>
      </c>
    </row>
    <row r="21" spans="2:7" ht="16" customHeight="1" x14ac:dyDescent="0.2">
      <c r="B21" s="3"/>
      <c r="C21" s="50" t="s">
        <v>1027</v>
      </c>
      <c r="D21" s="8">
        <v>18</v>
      </c>
      <c r="E21" s="318" t="s">
        <v>1079</v>
      </c>
      <c r="F21" s="8" t="s">
        <v>1080</v>
      </c>
      <c r="G21" s="535" t="s">
        <v>1081</v>
      </c>
    </row>
    <row r="22" spans="2:7" ht="16" customHeight="1" x14ac:dyDescent="0.2">
      <c r="B22" s="3"/>
      <c r="C22" s="50"/>
      <c r="D22" s="8">
        <v>19</v>
      </c>
      <c r="E22" s="318" t="s">
        <v>1082</v>
      </c>
      <c r="F22" s="8" t="s">
        <v>1083</v>
      </c>
      <c r="G22" s="535" t="s">
        <v>1084</v>
      </c>
    </row>
    <row r="23" spans="2:7" ht="16" customHeight="1" x14ac:dyDescent="0.2">
      <c r="B23" s="3"/>
      <c r="C23" s="50"/>
      <c r="D23" s="8">
        <v>20</v>
      </c>
      <c r="E23" s="318" t="s">
        <v>1085</v>
      </c>
      <c r="F23" s="8" t="s">
        <v>1086</v>
      </c>
      <c r="G23" s="535" t="s">
        <v>1087</v>
      </c>
    </row>
    <row r="24" spans="2:7" ht="16" customHeight="1" x14ac:dyDescent="0.2">
      <c r="B24" s="3"/>
      <c r="C24" s="50"/>
      <c r="D24" s="8">
        <v>21</v>
      </c>
      <c r="E24" s="318" t="s">
        <v>1088</v>
      </c>
      <c r="F24" s="8" t="s">
        <v>1089</v>
      </c>
      <c r="G24" s="535" t="s">
        <v>1090</v>
      </c>
    </row>
    <row r="25" spans="2:7" ht="16" customHeight="1" x14ac:dyDescent="0.2">
      <c r="B25" s="3"/>
      <c r="C25" s="351"/>
      <c r="D25" s="8">
        <v>22</v>
      </c>
      <c r="E25" s="318" t="s">
        <v>1091</v>
      </c>
      <c r="F25" s="49" t="s">
        <v>1092</v>
      </c>
      <c r="G25" s="536" t="s">
        <v>1093</v>
      </c>
    </row>
    <row r="26" spans="2:7" ht="16" customHeight="1" x14ac:dyDescent="0.2">
      <c r="B26" s="3"/>
      <c r="C26" s="50"/>
      <c r="D26" s="8">
        <v>23</v>
      </c>
      <c r="E26" s="318" t="s">
        <v>1094</v>
      </c>
      <c r="F26" s="8" t="s">
        <v>1095</v>
      </c>
      <c r="G26" s="535" t="s">
        <v>1096</v>
      </c>
    </row>
    <row r="27" spans="2:7" ht="16" customHeight="1" x14ac:dyDescent="0.2">
      <c r="B27" s="3"/>
      <c r="C27" s="50"/>
      <c r="D27" s="8">
        <v>24</v>
      </c>
      <c r="E27" s="318" t="s">
        <v>1097</v>
      </c>
      <c r="F27" s="8" t="s">
        <v>1098</v>
      </c>
      <c r="G27" s="535" t="s">
        <v>1099</v>
      </c>
    </row>
    <row r="28" spans="2:7" ht="16" customHeight="1" x14ac:dyDescent="0.2">
      <c r="B28" s="3"/>
      <c r="C28" s="50"/>
      <c r="D28" s="8">
        <v>25</v>
      </c>
      <c r="E28" s="318" t="s">
        <v>1100</v>
      </c>
      <c r="F28" s="8" t="s">
        <v>1101</v>
      </c>
      <c r="G28" s="535" t="s">
        <v>1102</v>
      </c>
    </row>
    <row r="29" spans="2:7" ht="16" customHeight="1" x14ac:dyDescent="0.2">
      <c r="B29" s="3"/>
      <c r="C29" s="50"/>
      <c r="D29" s="8">
        <v>26</v>
      </c>
      <c r="E29" s="318" t="s">
        <v>1103</v>
      </c>
      <c r="F29" s="8" t="s">
        <v>1104</v>
      </c>
      <c r="G29" s="535" t="s">
        <v>1105</v>
      </c>
    </row>
    <row r="30" spans="2:7" ht="16" customHeight="1" x14ac:dyDescent="0.2">
      <c r="B30" s="3"/>
      <c r="C30" s="50"/>
      <c r="D30" s="8">
        <v>27</v>
      </c>
      <c r="E30" s="318" t="s">
        <v>1106</v>
      </c>
      <c r="F30" s="8" t="s">
        <v>1107</v>
      </c>
      <c r="G30" s="535" t="s">
        <v>1108</v>
      </c>
    </row>
    <row r="31" spans="2:7" ht="16" customHeight="1" x14ac:dyDescent="0.2">
      <c r="B31" s="3"/>
      <c r="C31" s="50"/>
      <c r="D31" s="8">
        <v>28</v>
      </c>
      <c r="E31" s="318" t="s">
        <v>1109</v>
      </c>
      <c r="F31" s="8" t="s">
        <v>1110</v>
      </c>
      <c r="G31" s="535" t="s">
        <v>1110</v>
      </c>
    </row>
    <row r="32" spans="2:7" ht="16" customHeight="1" x14ac:dyDescent="0.2">
      <c r="B32" s="3"/>
      <c r="C32" s="50"/>
      <c r="D32" s="8">
        <v>29</v>
      </c>
      <c r="E32" s="318" t="s">
        <v>1111</v>
      </c>
      <c r="F32" s="8" t="s">
        <v>1112</v>
      </c>
      <c r="G32" s="535" t="s">
        <v>1113</v>
      </c>
    </row>
    <row r="33" spans="2:7" ht="16" customHeight="1" x14ac:dyDescent="0.2">
      <c r="B33" s="3"/>
      <c r="C33" s="50"/>
      <c r="D33" s="8">
        <v>30</v>
      </c>
      <c r="E33" s="318" t="s">
        <v>1114</v>
      </c>
      <c r="F33" s="8" t="s">
        <v>1115</v>
      </c>
      <c r="G33" s="535" t="s">
        <v>1116</v>
      </c>
    </row>
    <row r="34" spans="2:7" ht="16" customHeight="1" x14ac:dyDescent="0.2">
      <c r="B34" s="3"/>
      <c r="C34" s="50"/>
      <c r="D34" s="8">
        <v>31</v>
      </c>
      <c r="E34" s="318" t="s">
        <v>1117</v>
      </c>
      <c r="F34" s="8" t="s">
        <v>1118</v>
      </c>
      <c r="G34" s="535" t="s">
        <v>1119</v>
      </c>
    </row>
    <row r="35" spans="2:7" ht="16" customHeight="1" x14ac:dyDescent="0.2">
      <c r="B35" s="3"/>
      <c r="C35" s="351"/>
      <c r="D35" s="8">
        <v>32</v>
      </c>
      <c r="E35" s="318" t="s">
        <v>1120</v>
      </c>
      <c r="F35" s="49" t="s">
        <v>1121</v>
      </c>
      <c r="G35" s="536" t="s">
        <v>1122</v>
      </c>
    </row>
    <row r="36" spans="2:7" ht="16" customHeight="1" x14ac:dyDescent="0.2">
      <c r="B36" s="3"/>
      <c r="C36" s="50"/>
      <c r="D36" s="8">
        <v>33</v>
      </c>
      <c r="E36" s="318" t="s">
        <v>1123</v>
      </c>
      <c r="F36" s="8" t="s">
        <v>1124</v>
      </c>
      <c r="G36" s="535" t="s">
        <v>1125</v>
      </c>
    </row>
    <row r="37" spans="2:7" ht="16" customHeight="1" x14ac:dyDescent="0.2">
      <c r="B37" s="3"/>
      <c r="C37" s="50"/>
      <c r="D37" s="8">
        <v>34</v>
      </c>
      <c r="E37" s="318" t="s">
        <v>1126</v>
      </c>
      <c r="F37" s="8" t="s">
        <v>1127</v>
      </c>
      <c r="G37" s="535" t="s">
        <v>1128</v>
      </c>
    </row>
    <row r="38" spans="2:7" ht="16" customHeight="1" x14ac:dyDescent="0.2">
      <c r="B38" s="3"/>
      <c r="C38" s="50"/>
      <c r="D38" s="8">
        <v>35</v>
      </c>
      <c r="E38" s="318" t="s">
        <v>1129</v>
      </c>
      <c r="F38" s="8" t="s">
        <v>1130</v>
      </c>
      <c r="G38" s="535" t="s">
        <v>1131</v>
      </c>
    </row>
    <row r="39" spans="2:7" ht="16" customHeight="1" x14ac:dyDescent="0.2">
      <c r="B39" s="3"/>
      <c r="C39" s="50"/>
      <c r="D39" s="8">
        <v>36</v>
      </c>
      <c r="E39" s="318" t="s">
        <v>1132</v>
      </c>
      <c r="F39" s="8" t="s">
        <v>1133</v>
      </c>
      <c r="G39" s="535" t="s">
        <v>1134</v>
      </c>
    </row>
    <row r="40" spans="2:7" ht="16" customHeight="1" x14ac:dyDescent="0.2">
      <c r="B40" s="3"/>
      <c r="C40" s="50"/>
      <c r="D40" s="8">
        <v>37</v>
      </c>
      <c r="E40" s="318" t="s">
        <v>1135</v>
      </c>
      <c r="F40" s="8" t="s">
        <v>1136</v>
      </c>
      <c r="G40" s="535" t="s">
        <v>1137</v>
      </c>
    </row>
    <row r="41" spans="2:7" ht="16" customHeight="1" x14ac:dyDescent="0.2">
      <c r="B41" s="3"/>
      <c r="C41" s="50"/>
      <c r="D41" s="8">
        <v>38</v>
      </c>
      <c r="E41" s="318" t="s">
        <v>1138</v>
      </c>
      <c r="F41" s="8" t="s">
        <v>1139</v>
      </c>
      <c r="G41" s="535" t="s">
        <v>1139</v>
      </c>
    </row>
    <row r="42" spans="2:7" ht="16" customHeight="1" x14ac:dyDescent="0.2">
      <c r="B42" s="3"/>
      <c r="C42" s="50"/>
      <c r="D42" s="8">
        <v>39</v>
      </c>
      <c r="E42" s="318" t="s">
        <v>1140</v>
      </c>
      <c r="F42" s="8" t="s">
        <v>1141</v>
      </c>
      <c r="G42" s="535" t="s">
        <v>1142</v>
      </c>
    </row>
    <row r="43" spans="2:7" ht="16" customHeight="1" x14ac:dyDescent="0.2">
      <c r="B43" s="3"/>
      <c r="C43" s="50"/>
      <c r="D43" s="8">
        <v>40</v>
      </c>
      <c r="E43" s="318" t="s">
        <v>1143</v>
      </c>
      <c r="F43" s="8" t="s">
        <v>1144</v>
      </c>
      <c r="G43" s="535" t="s">
        <v>1145</v>
      </c>
    </row>
    <row r="44" spans="2:7" ht="16" customHeight="1" x14ac:dyDescent="0.2">
      <c r="B44" s="3"/>
      <c r="C44" s="50"/>
      <c r="D44" s="8">
        <v>41</v>
      </c>
      <c r="E44" s="318" t="s">
        <v>1146</v>
      </c>
      <c r="F44" s="8" t="s">
        <v>1147</v>
      </c>
      <c r="G44" s="535" t="s">
        <v>1148</v>
      </c>
    </row>
    <row r="45" spans="2:7" ht="16" customHeight="1" x14ac:dyDescent="0.2">
      <c r="B45" s="3"/>
      <c r="C45" s="50"/>
      <c r="D45" s="8">
        <v>42</v>
      </c>
      <c r="E45" s="318" t="s">
        <v>1149</v>
      </c>
      <c r="F45" s="8" t="s">
        <v>1150</v>
      </c>
      <c r="G45" s="535" t="s">
        <v>1151</v>
      </c>
    </row>
    <row r="46" spans="2:7" ht="16" customHeight="1" x14ac:dyDescent="0.2">
      <c r="B46" s="3"/>
      <c r="C46" s="50"/>
      <c r="D46" s="8">
        <v>43</v>
      </c>
      <c r="E46" s="318" t="s">
        <v>1152</v>
      </c>
      <c r="F46" s="8" t="s">
        <v>1153</v>
      </c>
      <c r="G46" s="535" t="s">
        <v>1154</v>
      </c>
    </row>
    <row r="47" spans="2:7" ht="16" customHeight="1" x14ac:dyDescent="0.2">
      <c r="B47" s="3"/>
      <c r="C47" s="351"/>
      <c r="D47" s="8">
        <v>44</v>
      </c>
      <c r="E47" s="318" t="s">
        <v>1155</v>
      </c>
      <c r="F47" s="49" t="s">
        <v>1156</v>
      </c>
      <c r="G47" s="536" t="s">
        <v>1157</v>
      </c>
    </row>
    <row r="48" spans="2:7" ht="16" customHeight="1" x14ac:dyDescent="0.2">
      <c r="B48" s="3"/>
      <c r="C48" s="50"/>
      <c r="D48" s="8">
        <v>45</v>
      </c>
      <c r="E48" s="318" t="s">
        <v>1158</v>
      </c>
      <c r="F48" s="8" t="s">
        <v>1159</v>
      </c>
      <c r="G48" s="535" t="s">
        <v>1159</v>
      </c>
    </row>
    <row r="49" spans="2:7" ht="16" customHeight="1" x14ac:dyDescent="0.2">
      <c r="B49" s="3"/>
      <c r="C49" s="50"/>
      <c r="D49" s="8">
        <v>46</v>
      </c>
      <c r="E49" s="318" t="s">
        <v>1160</v>
      </c>
      <c r="F49" s="8" t="s">
        <v>1161</v>
      </c>
      <c r="G49" s="535" t="s">
        <v>1162</v>
      </c>
    </row>
    <row r="50" spans="2:7" ht="16" customHeight="1" x14ac:dyDescent="0.2">
      <c r="B50" s="3"/>
      <c r="C50" s="50"/>
      <c r="D50" s="8">
        <v>47</v>
      </c>
      <c r="E50" s="318" t="s">
        <v>1163</v>
      </c>
      <c r="F50" s="8" t="s">
        <v>1164</v>
      </c>
      <c r="G50" s="535" t="s">
        <v>1165</v>
      </c>
    </row>
    <row r="51" spans="2:7" ht="16" customHeight="1" x14ac:dyDescent="0.2">
      <c r="B51" s="3"/>
      <c r="C51" s="50"/>
      <c r="D51" s="8">
        <v>48</v>
      </c>
      <c r="E51" s="318" t="s">
        <v>1166</v>
      </c>
      <c r="F51" s="8" t="s">
        <v>1167</v>
      </c>
      <c r="G51" s="535" t="s">
        <v>1168</v>
      </c>
    </row>
    <row r="52" spans="2:7" ht="16" customHeight="1" x14ac:dyDescent="0.2">
      <c r="B52" s="3"/>
      <c r="C52" s="351"/>
      <c r="D52" s="8">
        <v>49</v>
      </c>
      <c r="E52" s="318" t="s">
        <v>1169</v>
      </c>
      <c r="F52" s="49" t="s">
        <v>1170</v>
      </c>
      <c r="G52" s="536" t="s">
        <v>1171</v>
      </c>
    </row>
    <row r="53" spans="2:7" ht="16" customHeight="1" x14ac:dyDescent="0.2">
      <c r="B53" s="3"/>
      <c r="C53" s="50"/>
      <c r="D53" s="8">
        <v>50</v>
      </c>
      <c r="E53" s="318" t="s">
        <v>1172</v>
      </c>
      <c r="F53" s="8" t="s">
        <v>1173</v>
      </c>
      <c r="G53" s="535" t="s">
        <v>1174</v>
      </c>
    </row>
    <row r="54" spans="2:7" ht="16" customHeight="1" x14ac:dyDescent="0.2">
      <c r="B54" s="3"/>
      <c r="C54" s="50" t="s">
        <v>1027</v>
      </c>
      <c r="D54" s="8">
        <v>51</v>
      </c>
      <c r="E54" s="318" t="s">
        <v>1175</v>
      </c>
      <c r="F54" s="8" t="s">
        <v>1176</v>
      </c>
      <c r="G54" s="535" t="s">
        <v>1177</v>
      </c>
    </row>
    <row r="55" spans="2:7" ht="16" customHeight="1" x14ac:dyDescent="0.2">
      <c r="B55" s="3"/>
      <c r="C55" s="50" t="s">
        <v>1027</v>
      </c>
      <c r="D55" s="8">
        <v>52</v>
      </c>
      <c r="E55" s="318" t="s">
        <v>1178</v>
      </c>
      <c r="F55" s="8" t="s">
        <v>1179</v>
      </c>
      <c r="G55" s="535" t="s">
        <v>1180</v>
      </c>
    </row>
    <row r="56" spans="2:7" ht="16" customHeight="1" x14ac:dyDescent="0.2">
      <c r="B56" s="3"/>
      <c r="C56" s="50"/>
      <c r="D56" s="8">
        <v>53</v>
      </c>
      <c r="E56" s="318" t="s">
        <v>1181</v>
      </c>
      <c r="F56" s="8" t="s">
        <v>1182</v>
      </c>
      <c r="G56" s="535" t="s">
        <v>1183</v>
      </c>
    </row>
    <row r="57" spans="2:7" ht="16" customHeight="1" x14ac:dyDescent="0.2">
      <c r="B57" s="3"/>
      <c r="C57" s="50"/>
      <c r="D57" s="8">
        <v>54</v>
      </c>
      <c r="E57" s="318" t="s">
        <v>1184</v>
      </c>
      <c r="F57" s="8" t="s">
        <v>1185</v>
      </c>
      <c r="G57" s="535" t="s">
        <v>1186</v>
      </c>
    </row>
    <row r="58" spans="2:7" ht="16" customHeight="1" x14ac:dyDescent="0.2">
      <c r="B58" s="3"/>
      <c r="C58" s="50"/>
      <c r="D58" s="8">
        <v>55</v>
      </c>
      <c r="E58" s="318" t="s">
        <v>1187</v>
      </c>
      <c r="F58" s="8" t="s">
        <v>1188</v>
      </c>
      <c r="G58" s="535" t="s">
        <v>1189</v>
      </c>
    </row>
    <row r="59" spans="2:7" ht="16" customHeight="1" x14ac:dyDescent="0.2">
      <c r="B59" s="3"/>
      <c r="C59" s="50"/>
      <c r="D59" s="8">
        <v>56</v>
      </c>
      <c r="E59" s="318" t="s">
        <v>1190</v>
      </c>
      <c r="F59" s="8" t="s">
        <v>1191</v>
      </c>
      <c r="G59" s="535" t="s">
        <v>1192</v>
      </c>
    </row>
    <row r="60" spans="2:7" ht="16" customHeight="1" x14ac:dyDescent="0.2">
      <c r="B60" s="3"/>
      <c r="C60" s="50"/>
      <c r="D60" s="8">
        <v>57</v>
      </c>
      <c r="E60" s="318" t="s">
        <v>1193</v>
      </c>
      <c r="F60" s="8" t="s">
        <v>1194</v>
      </c>
      <c r="G60" s="535" t="s">
        <v>1195</v>
      </c>
    </row>
    <row r="61" spans="2:7" ht="16" customHeight="1" x14ac:dyDescent="0.2">
      <c r="B61" s="3"/>
      <c r="C61" s="50"/>
      <c r="D61" s="8">
        <v>58</v>
      </c>
      <c r="E61" s="318" t="s">
        <v>1196</v>
      </c>
      <c r="F61" s="8" t="s">
        <v>1197</v>
      </c>
      <c r="G61" s="535" t="s">
        <v>1198</v>
      </c>
    </row>
    <row r="62" spans="2:7" ht="16" customHeight="1" x14ac:dyDescent="0.2">
      <c r="B62" s="3"/>
      <c r="C62" s="50"/>
      <c r="D62" s="8">
        <v>59</v>
      </c>
      <c r="E62" s="318" t="s">
        <v>1199</v>
      </c>
      <c r="F62" s="8" t="s">
        <v>1200</v>
      </c>
      <c r="G62" s="535" t="s">
        <v>1201</v>
      </c>
    </row>
    <row r="63" spans="2:7" ht="16" customHeight="1" x14ac:dyDescent="0.2">
      <c r="B63" s="3"/>
      <c r="C63" s="50"/>
      <c r="D63" s="8">
        <v>60</v>
      </c>
      <c r="E63" s="318" t="s">
        <v>1202</v>
      </c>
      <c r="F63" s="8" t="s">
        <v>1203</v>
      </c>
      <c r="G63" s="535" t="s">
        <v>1204</v>
      </c>
    </row>
    <row r="64" spans="2:7" ht="16" customHeight="1" x14ac:dyDescent="0.2">
      <c r="B64" s="3"/>
      <c r="C64" s="50"/>
      <c r="D64" s="8">
        <v>61</v>
      </c>
      <c r="E64" s="318" t="s">
        <v>1205</v>
      </c>
      <c r="F64" s="8" t="s">
        <v>1206</v>
      </c>
      <c r="G64" s="535" t="s">
        <v>1206</v>
      </c>
    </row>
    <row r="65" spans="2:7" ht="16" customHeight="1" x14ac:dyDescent="0.2">
      <c r="B65" s="3"/>
      <c r="C65" s="50"/>
      <c r="D65" s="8">
        <v>62</v>
      </c>
      <c r="E65" s="318" t="s">
        <v>1207</v>
      </c>
      <c r="F65" s="8" t="s">
        <v>1208</v>
      </c>
      <c r="G65" s="535" t="s">
        <v>1209</v>
      </c>
    </row>
    <row r="66" spans="2:7" ht="16" customHeight="1" x14ac:dyDescent="0.2">
      <c r="B66" s="3"/>
      <c r="C66" s="50"/>
      <c r="D66" s="8">
        <v>63</v>
      </c>
      <c r="E66" s="318" t="s">
        <v>1210</v>
      </c>
      <c r="F66" s="8" t="s">
        <v>1211</v>
      </c>
      <c r="G66" s="535" t="s">
        <v>1212</v>
      </c>
    </row>
    <row r="67" spans="2:7" ht="16" customHeight="1" x14ac:dyDescent="0.2">
      <c r="B67" s="3"/>
      <c r="C67" s="50"/>
      <c r="D67" s="8">
        <v>64</v>
      </c>
      <c r="E67" s="318" t="s">
        <v>1213</v>
      </c>
      <c r="F67" s="8" t="s">
        <v>1214</v>
      </c>
      <c r="G67" s="535" t="s">
        <v>1215</v>
      </c>
    </row>
    <row r="68" spans="2:7" ht="16" customHeight="1" x14ac:dyDescent="0.2">
      <c r="B68" s="3"/>
      <c r="C68" s="50"/>
      <c r="D68" s="8">
        <v>65</v>
      </c>
      <c r="E68" s="318" t="s">
        <v>1216</v>
      </c>
      <c r="F68" s="8" t="s">
        <v>1217</v>
      </c>
      <c r="G68" s="535" t="s">
        <v>1218</v>
      </c>
    </row>
    <row r="69" spans="2:7" ht="16" customHeight="1" x14ac:dyDescent="0.2">
      <c r="B69" s="3"/>
      <c r="C69" s="50"/>
      <c r="D69" s="8">
        <v>66</v>
      </c>
      <c r="E69" s="318" t="s">
        <v>1219</v>
      </c>
      <c r="F69" s="8" t="s">
        <v>1220</v>
      </c>
      <c r="G69" s="535" t="s">
        <v>1221</v>
      </c>
    </row>
    <row r="70" spans="2:7" ht="16" customHeight="1" x14ac:dyDescent="0.2">
      <c r="B70" s="3"/>
      <c r="C70" s="50"/>
      <c r="D70" s="8">
        <v>67</v>
      </c>
      <c r="E70" s="318" t="s">
        <v>1222</v>
      </c>
      <c r="F70" s="8" t="s">
        <v>1223</v>
      </c>
      <c r="G70" s="535" t="s">
        <v>1224</v>
      </c>
    </row>
    <row r="71" spans="2:7" ht="16" customHeight="1" x14ac:dyDescent="0.2">
      <c r="B71" s="3"/>
      <c r="C71" s="351"/>
      <c r="D71" s="8">
        <v>68</v>
      </c>
      <c r="E71" s="318" t="s">
        <v>1225</v>
      </c>
      <c r="F71" s="49" t="s">
        <v>1226</v>
      </c>
      <c r="G71" s="536" t="s">
        <v>1227</v>
      </c>
    </row>
    <row r="72" spans="2:7" ht="16" customHeight="1" x14ac:dyDescent="0.2">
      <c r="B72" s="3"/>
      <c r="C72" s="50"/>
      <c r="D72" s="8">
        <v>69</v>
      </c>
      <c r="E72" s="318" t="s">
        <v>1228</v>
      </c>
      <c r="F72" s="8" t="s">
        <v>1229</v>
      </c>
      <c r="G72" s="535" t="s">
        <v>1230</v>
      </c>
    </row>
    <row r="73" spans="2:7" ht="16" customHeight="1" x14ac:dyDescent="0.2">
      <c r="B73" s="3"/>
      <c r="C73" s="50" t="s">
        <v>1027</v>
      </c>
      <c r="D73" s="8">
        <v>70</v>
      </c>
      <c r="E73" s="318" t="s">
        <v>1231</v>
      </c>
      <c r="F73" s="8" t="s">
        <v>1232</v>
      </c>
      <c r="G73" s="535" t="s">
        <v>1233</v>
      </c>
    </row>
    <row r="74" spans="2:7" ht="16" customHeight="1" x14ac:dyDescent="0.2">
      <c r="B74" s="3"/>
      <c r="C74" s="50"/>
      <c r="D74" s="8">
        <v>71</v>
      </c>
      <c r="E74" s="318" t="s">
        <v>1234</v>
      </c>
      <c r="F74" s="8" t="s">
        <v>1235</v>
      </c>
      <c r="G74" s="535" t="s">
        <v>1236</v>
      </c>
    </row>
    <row r="75" spans="2:7" ht="16" customHeight="1" x14ac:dyDescent="0.2">
      <c r="B75" s="3"/>
      <c r="C75" s="50"/>
      <c r="D75" s="8">
        <v>72</v>
      </c>
      <c r="E75" s="318" t="s">
        <v>1237</v>
      </c>
      <c r="F75" s="8" t="s">
        <v>1238</v>
      </c>
      <c r="G75" s="535" t="s">
        <v>1239</v>
      </c>
    </row>
    <row r="76" spans="2:7" ht="16" customHeight="1" x14ac:dyDescent="0.2">
      <c r="B76" s="3"/>
      <c r="C76" s="50"/>
      <c r="D76" s="8">
        <v>73</v>
      </c>
      <c r="E76" s="318" t="s">
        <v>1240</v>
      </c>
      <c r="F76" s="8" t="s">
        <v>1241</v>
      </c>
      <c r="G76" s="535" t="s">
        <v>1242</v>
      </c>
    </row>
    <row r="77" spans="2:7" ht="16" customHeight="1" x14ac:dyDescent="0.2">
      <c r="B77" s="3"/>
      <c r="C77" s="50"/>
      <c r="D77" s="8">
        <v>74</v>
      </c>
      <c r="E77" s="318" t="s">
        <v>1243</v>
      </c>
      <c r="F77" s="8" t="s">
        <v>1244</v>
      </c>
      <c r="G77" s="535" t="s">
        <v>1245</v>
      </c>
    </row>
    <row r="78" spans="2:7" ht="16" customHeight="1" x14ac:dyDescent="0.2">
      <c r="B78" s="3"/>
      <c r="C78" s="50"/>
      <c r="D78" s="8">
        <v>75</v>
      </c>
      <c r="E78" s="318" t="s">
        <v>1246</v>
      </c>
      <c r="F78" s="8" t="s">
        <v>1247</v>
      </c>
      <c r="G78" s="535" t="s">
        <v>1248</v>
      </c>
    </row>
    <row r="79" spans="2:7" ht="16" customHeight="1" x14ac:dyDescent="0.2">
      <c r="B79" s="3"/>
      <c r="C79" s="50"/>
      <c r="D79" s="8">
        <v>76</v>
      </c>
      <c r="E79" s="318" t="s">
        <v>1249</v>
      </c>
      <c r="F79" s="8" t="s">
        <v>1250</v>
      </c>
      <c r="G79" s="535" t="s">
        <v>1251</v>
      </c>
    </row>
    <row r="80" spans="2:7" ht="16" customHeight="1" x14ac:dyDescent="0.2">
      <c r="B80" s="3"/>
      <c r="C80" s="351"/>
      <c r="D80" s="8">
        <v>77</v>
      </c>
      <c r="E80" s="318" t="s">
        <v>1252</v>
      </c>
      <c r="F80" s="49" t="s">
        <v>1253</v>
      </c>
      <c r="G80" s="536" t="s">
        <v>1254</v>
      </c>
    </row>
    <row r="81" spans="2:7" ht="16" customHeight="1" x14ac:dyDescent="0.2">
      <c r="B81" s="3"/>
      <c r="C81" s="50"/>
      <c r="D81" s="8">
        <v>78</v>
      </c>
      <c r="E81" s="318" t="s">
        <v>1255</v>
      </c>
      <c r="F81" s="8" t="s">
        <v>1256</v>
      </c>
      <c r="G81" s="535" t="s">
        <v>1257</v>
      </c>
    </row>
    <row r="82" spans="2:7" ht="16" customHeight="1" x14ac:dyDescent="0.2">
      <c r="B82" s="3"/>
      <c r="C82" s="50" t="s">
        <v>1027</v>
      </c>
      <c r="D82" s="8">
        <v>79</v>
      </c>
      <c r="E82" s="318" t="s">
        <v>1258</v>
      </c>
      <c r="F82" s="8" t="s">
        <v>1259</v>
      </c>
      <c r="G82" s="535" t="s">
        <v>1260</v>
      </c>
    </row>
    <row r="83" spans="2:7" ht="16" customHeight="1" x14ac:dyDescent="0.2">
      <c r="B83" s="3"/>
      <c r="C83" s="50"/>
      <c r="D83" s="8">
        <v>80</v>
      </c>
      <c r="E83" s="318" t="s">
        <v>1261</v>
      </c>
      <c r="F83" s="8" t="s">
        <v>1262</v>
      </c>
      <c r="G83" s="535" t="s">
        <v>1263</v>
      </c>
    </row>
    <row r="84" spans="2:7" ht="16" customHeight="1" x14ac:dyDescent="0.2">
      <c r="B84" s="3"/>
      <c r="C84" s="50"/>
      <c r="D84" s="8">
        <v>81</v>
      </c>
      <c r="E84" s="318" t="s">
        <v>1264</v>
      </c>
      <c r="F84" s="8" t="s">
        <v>1265</v>
      </c>
      <c r="G84" s="535" t="s">
        <v>1266</v>
      </c>
    </row>
    <row r="85" spans="2:7" ht="16" customHeight="1" x14ac:dyDescent="0.2">
      <c r="B85" s="3"/>
      <c r="C85" s="50"/>
      <c r="D85" s="8">
        <v>82</v>
      </c>
      <c r="E85" s="318" t="s">
        <v>1267</v>
      </c>
      <c r="F85" s="8" t="s">
        <v>1268</v>
      </c>
      <c r="G85" s="535" t="s">
        <v>1269</v>
      </c>
    </row>
    <row r="86" spans="2:7" ht="16" customHeight="1" x14ac:dyDescent="0.2">
      <c r="B86" s="3"/>
      <c r="C86" s="351"/>
      <c r="D86" s="8">
        <v>83</v>
      </c>
      <c r="E86" s="318" t="s">
        <v>1270</v>
      </c>
      <c r="F86" s="49" t="s">
        <v>1271</v>
      </c>
      <c r="G86" s="536" t="s">
        <v>1272</v>
      </c>
    </row>
    <row r="87" spans="2:7" ht="16" customHeight="1" x14ac:dyDescent="0.2">
      <c r="B87" s="3"/>
      <c r="C87" s="50"/>
      <c r="D87" s="8">
        <v>84</v>
      </c>
      <c r="E87" s="318" t="s">
        <v>1273</v>
      </c>
      <c r="F87" s="8" t="s">
        <v>1274</v>
      </c>
      <c r="G87" s="535" t="s">
        <v>1275</v>
      </c>
    </row>
    <row r="88" spans="2:7" ht="16" customHeight="1" x14ac:dyDescent="0.2">
      <c r="B88" s="3"/>
      <c r="C88" s="50"/>
      <c r="D88" s="8">
        <v>85</v>
      </c>
      <c r="E88" s="318" t="s">
        <v>1276</v>
      </c>
      <c r="F88" s="8" t="s">
        <v>1277</v>
      </c>
      <c r="G88" s="535" t="s">
        <v>1278</v>
      </c>
    </row>
    <row r="89" spans="2:7" ht="16" customHeight="1" x14ac:dyDescent="0.2">
      <c r="B89" s="3"/>
      <c r="C89" s="50"/>
      <c r="D89" s="8">
        <v>86</v>
      </c>
      <c r="E89" s="318" t="s">
        <v>1279</v>
      </c>
      <c r="F89" s="8" t="s">
        <v>1280</v>
      </c>
      <c r="G89" s="535" t="s">
        <v>1280</v>
      </c>
    </row>
    <row r="90" spans="2:7" ht="16" customHeight="1" x14ac:dyDescent="0.2">
      <c r="B90" s="3"/>
      <c r="C90" s="50"/>
      <c r="D90" s="8">
        <v>87</v>
      </c>
      <c r="E90" s="318" t="s">
        <v>1281</v>
      </c>
      <c r="F90" s="8" t="s">
        <v>1282</v>
      </c>
      <c r="G90" s="535" t="s">
        <v>1283</v>
      </c>
    </row>
    <row r="91" spans="2:7" ht="16" customHeight="1" x14ac:dyDescent="0.2">
      <c r="B91" s="3"/>
      <c r="C91" s="50"/>
      <c r="D91" s="8">
        <v>88</v>
      </c>
      <c r="E91" s="318" t="s">
        <v>1284</v>
      </c>
      <c r="F91" s="8" t="s">
        <v>1285</v>
      </c>
      <c r="G91" s="535" t="s">
        <v>1286</v>
      </c>
    </row>
    <row r="92" spans="2:7" ht="16" customHeight="1" x14ac:dyDescent="0.2">
      <c r="B92" s="3"/>
      <c r="C92" s="50"/>
      <c r="D92" s="8">
        <v>89</v>
      </c>
      <c r="E92" s="318" t="s">
        <v>1287</v>
      </c>
      <c r="F92" s="8" t="s">
        <v>1288</v>
      </c>
      <c r="G92" s="535" t="s">
        <v>1288</v>
      </c>
    </row>
    <row r="93" spans="2:7" ht="16" customHeight="1" x14ac:dyDescent="0.2">
      <c r="B93" s="3"/>
      <c r="C93" s="351"/>
      <c r="D93" s="8">
        <v>90</v>
      </c>
      <c r="E93" s="318" t="s">
        <v>1289</v>
      </c>
      <c r="F93" s="49" t="s">
        <v>1290</v>
      </c>
      <c r="G93" s="536" t="s">
        <v>1291</v>
      </c>
    </row>
    <row r="94" spans="2:7" x14ac:dyDescent="0.2">
      <c r="C94" s="6"/>
      <c r="D94" s="321"/>
      <c r="E94" s="321"/>
      <c r="F94" s="7"/>
      <c r="G94" s="537"/>
    </row>
  </sheetData>
  <sheetProtection algorithmName="SHA-512" hashValue="rINNvtYpfbBz8NdpSz4VOAIQUH6VRp+jNqHSXUmM1N6PZO6v1O7CeQnLJS5VCFbcs56bdi6LqUn2zHho7PRJyg==" saltValue="8+csQW7bZnjP4R0rNibFIQ==" spinCount="100000" sheet="1" selectLockedCells="1"/>
  <autoFilter ref="C3:F93" xr:uid="{00000000-0009-0000-0000-000002000000}"/>
  <conditionalFormatting sqref="D85">
    <cfRule type="duplicateValues" dxfId="1" priority="1"/>
  </conditionalFormatting>
  <conditionalFormatting sqref="D86:D1048576 D1:D84">
    <cfRule type="duplicateValues" dxfId="0" priority="2"/>
  </conditionalFormatting>
  <dataValidations count="1">
    <dataValidation type="list" showInputMessage="1" showErrorMessage="1" sqref="C87:C92 C81:C85 C72:C79 C53:C70 C48:C51 C36:C46 C26:C34 C18:C24 C4:C9 C11:C16" xr:uid="{00000000-0002-0000-0200-000000000000}">
      <formula1>"x"</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20"/>
  <sheetViews>
    <sheetView topLeftCell="A3" zoomScaleNormal="90" workbookViewId="0">
      <selection activeCell="E6" sqref="E6"/>
    </sheetView>
  </sheetViews>
  <sheetFormatPr baseColWidth="10" defaultColWidth="10.83203125" defaultRowHeight="16" x14ac:dyDescent="0.2"/>
  <cols>
    <col min="1" max="1" width="10.83203125" style="463" customWidth="1"/>
    <col min="2" max="2" width="8.83203125" style="463" customWidth="1"/>
    <col min="3" max="3" width="27.6640625" style="463" customWidth="1"/>
    <col min="4" max="5" width="28" style="463" customWidth="1"/>
    <col min="6" max="7" width="51.1640625" style="533" customWidth="1"/>
    <col min="8" max="9" width="22.83203125" style="463" customWidth="1"/>
    <col min="10" max="11" width="10.83203125" style="463" customWidth="1"/>
    <col min="12" max="12" width="44" style="463" customWidth="1"/>
    <col min="13" max="15" width="10.83203125" style="463" customWidth="1"/>
    <col min="16" max="16384" width="10.83203125" style="463"/>
  </cols>
  <sheetData>
    <row r="1" spans="1:13" ht="40" customHeight="1" thickBot="1" x14ac:dyDescent="0.25">
      <c r="C1" s="464"/>
      <c r="D1" s="464"/>
      <c r="E1" s="464"/>
      <c r="F1" s="465"/>
      <c r="G1" s="465"/>
      <c r="H1" s="464"/>
      <c r="I1" s="464"/>
    </row>
    <row r="2" spans="1:13" ht="33" customHeight="1" thickBot="1" x14ac:dyDescent="0.25">
      <c r="A2" s="466"/>
      <c r="B2" s="467"/>
      <c r="C2" s="596" t="s">
        <v>1292</v>
      </c>
      <c r="D2" s="468" t="s">
        <v>1293</v>
      </c>
      <c r="E2" s="469" t="s">
        <v>1294</v>
      </c>
      <c r="F2" s="470" t="s">
        <v>1295</v>
      </c>
      <c r="G2" s="471" t="s">
        <v>1296</v>
      </c>
      <c r="H2" s="468" t="s">
        <v>1297</v>
      </c>
      <c r="I2" s="472" t="s">
        <v>1298</v>
      </c>
      <c r="J2" s="473"/>
    </row>
    <row r="3" spans="1:13" ht="32" customHeight="1" x14ac:dyDescent="0.2">
      <c r="A3" s="466"/>
      <c r="B3" s="622" t="s">
        <v>1299</v>
      </c>
      <c r="C3" s="474" t="s">
        <v>1300</v>
      </c>
      <c r="D3" s="598" t="s">
        <v>1301</v>
      </c>
      <c r="E3" s="567" t="s">
        <v>1301</v>
      </c>
      <c r="F3" s="475" t="s">
        <v>1302</v>
      </c>
      <c r="G3" s="476" t="s">
        <v>1303</v>
      </c>
      <c r="H3" s="477" t="s">
        <v>1304</v>
      </c>
      <c r="I3" s="478" t="s">
        <v>1304</v>
      </c>
      <c r="J3" s="473"/>
    </row>
    <row r="4" spans="1:13" ht="32" customHeight="1" x14ac:dyDescent="0.2">
      <c r="A4" s="466"/>
      <c r="B4" s="608"/>
      <c r="C4" s="479" t="s">
        <v>1305</v>
      </c>
      <c r="D4" s="599" t="s">
        <v>1306</v>
      </c>
      <c r="E4" s="568" t="s">
        <v>1307</v>
      </c>
      <c r="F4" s="480" t="s">
        <v>1308</v>
      </c>
      <c r="G4" s="476" t="s">
        <v>1309</v>
      </c>
      <c r="H4" s="481" t="s">
        <v>1310</v>
      </c>
      <c r="I4" s="482" t="s">
        <v>1310</v>
      </c>
      <c r="J4" s="473"/>
    </row>
    <row r="5" spans="1:13" ht="80" customHeight="1" x14ac:dyDescent="0.2">
      <c r="A5" s="466"/>
      <c r="B5" s="608"/>
      <c r="C5" s="479" t="s">
        <v>1311</v>
      </c>
      <c r="D5" s="597" t="s">
        <v>1312</v>
      </c>
      <c r="E5" s="458" t="s">
        <v>1313</v>
      </c>
      <c r="F5" s="480" t="s">
        <v>1314</v>
      </c>
      <c r="G5" s="476" t="s">
        <v>1315</v>
      </c>
      <c r="H5" s="481" t="s">
        <v>1316</v>
      </c>
      <c r="I5" s="482" t="s">
        <v>1317</v>
      </c>
      <c r="J5" s="473"/>
    </row>
    <row r="6" spans="1:13" ht="76" customHeight="1" x14ac:dyDescent="0.2">
      <c r="A6" s="466"/>
      <c r="B6" s="608"/>
      <c r="C6" s="479" t="s">
        <v>1318</v>
      </c>
      <c r="D6" s="569" t="s">
        <v>1319</v>
      </c>
      <c r="E6" s="568" t="s">
        <v>1320</v>
      </c>
      <c r="F6" s="483" t="s">
        <v>1321</v>
      </c>
      <c r="G6" s="484" t="s">
        <v>1322</v>
      </c>
      <c r="H6" s="485" t="s">
        <v>1323</v>
      </c>
      <c r="I6" s="486" t="s">
        <v>1324</v>
      </c>
      <c r="J6" s="473"/>
      <c r="K6" s="556"/>
    </row>
    <row r="7" spans="1:13" ht="76" customHeight="1" x14ac:dyDescent="0.2">
      <c r="A7" s="466"/>
      <c r="B7" s="608"/>
      <c r="C7" s="479" t="s">
        <v>1325</v>
      </c>
      <c r="D7" s="487" t="s">
        <v>1326</v>
      </c>
      <c r="E7" s="459" t="s">
        <v>1327</v>
      </c>
      <c r="F7" s="483" t="s">
        <v>1328</v>
      </c>
      <c r="G7" s="484" t="s">
        <v>1329</v>
      </c>
      <c r="H7" s="485" t="s">
        <v>1330</v>
      </c>
      <c r="I7" s="486" t="s">
        <v>1331</v>
      </c>
      <c r="J7" s="473"/>
    </row>
    <row r="8" spans="1:13" ht="76" customHeight="1" x14ac:dyDescent="0.2">
      <c r="A8" s="466"/>
      <c r="B8" s="608"/>
      <c r="C8" s="488" t="s">
        <v>1332</v>
      </c>
      <c r="D8" s="460"/>
      <c r="E8" s="461"/>
      <c r="F8" s="489" t="s">
        <v>1333</v>
      </c>
      <c r="G8" s="490" t="s">
        <v>1334</v>
      </c>
      <c r="H8" s="485" t="s">
        <v>1335</v>
      </c>
      <c r="I8" s="486" t="s">
        <v>1335</v>
      </c>
      <c r="J8" s="473"/>
    </row>
    <row r="9" spans="1:13" ht="50.25" customHeight="1" thickBot="1" x14ac:dyDescent="0.25">
      <c r="A9" s="466"/>
      <c r="B9" s="618"/>
      <c r="C9" s="491" t="s">
        <v>1336</v>
      </c>
      <c r="D9" s="492" t="str">
        <f>IF(E9&lt;&gt;"",E9,"")</f>
        <v/>
      </c>
      <c r="E9" s="462"/>
      <c r="F9" s="493" t="s">
        <v>1337</v>
      </c>
      <c r="G9" s="494" t="s">
        <v>1338</v>
      </c>
      <c r="H9" s="495">
        <v>0.2</v>
      </c>
      <c r="I9" s="496">
        <v>0.2</v>
      </c>
      <c r="J9" s="473"/>
    </row>
    <row r="10" spans="1:13" ht="32" customHeight="1" x14ac:dyDescent="0.2">
      <c r="A10" s="466"/>
      <c r="B10" s="622" t="s">
        <v>1339</v>
      </c>
      <c r="C10" s="497" t="s">
        <v>1340</v>
      </c>
      <c r="D10" s="600" t="s">
        <v>1341</v>
      </c>
      <c r="E10" s="570" t="s">
        <v>1341</v>
      </c>
      <c r="F10" s="498" t="s">
        <v>1342</v>
      </c>
      <c r="G10" s="499" t="s">
        <v>1343</v>
      </c>
      <c r="H10" s="500" t="s">
        <v>1344</v>
      </c>
      <c r="I10" s="501" t="s">
        <v>1344</v>
      </c>
      <c r="J10" s="473"/>
    </row>
    <row r="11" spans="1:13" ht="94" customHeight="1" x14ac:dyDescent="0.2">
      <c r="A11" s="466"/>
      <c r="B11" s="608"/>
      <c r="C11" s="502" t="s">
        <v>1345</v>
      </c>
      <c r="D11" s="503">
        <v>1</v>
      </c>
      <c r="E11" s="453">
        <v>1</v>
      </c>
      <c r="F11" s="504" t="s">
        <v>1346</v>
      </c>
      <c r="G11" s="505" t="s">
        <v>1347</v>
      </c>
      <c r="H11" s="506">
        <v>5</v>
      </c>
      <c r="I11" s="507">
        <v>5</v>
      </c>
      <c r="J11" s="473"/>
      <c r="L11" s="464"/>
    </row>
    <row r="12" spans="1:13" ht="158" customHeight="1" x14ac:dyDescent="0.2">
      <c r="A12" s="466"/>
      <c r="B12" s="608"/>
      <c r="C12" s="479" t="s">
        <v>1348</v>
      </c>
      <c r="D12" s="557">
        <v>10000000</v>
      </c>
      <c r="E12" s="558">
        <v>10000000</v>
      </c>
      <c r="F12" s="483" t="s">
        <v>1349</v>
      </c>
      <c r="G12" s="508" t="s">
        <v>1350</v>
      </c>
      <c r="H12" s="509">
        <v>5000000</v>
      </c>
      <c r="I12" s="507">
        <v>5000000</v>
      </c>
      <c r="J12" s="473"/>
      <c r="K12" s="466"/>
      <c r="L12" s="510"/>
      <c r="M12" s="473"/>
    </row>
    <row r="13" spans="1:13" ht="116.25" customHeight="1" x14ac:dyDescent="0.2">
      <c r="A13" s="466"/>
      <c r="B13" s="608"/>
      <c r="C13" s="502" t="s">
        <v>1351</v>
      </c>
      <c r="D13" s="503">
        <v>2000000</v>
      </c>
      <c r="E13" s="453">
        <v>2000000</v>
      </c>
      <c r="F13" s="489" t="s">
        <v>1352</v>
      </c>
      <c r="G13" s="505" t="s">
        <v>1353</v>
      </c>
      <c r="H13" s="509">
        <v>1200000</v>
      </c>
      <c r="I13" s="507">
        <v>1200000</v>
      </c>
      <c r="J13" s="473"/>
      <c r="L13" s="511"/>
    </row>
    <row r="14" spans="1:13" ht="50.25" customHeight="1" x14ac:dyDescent="0.2">
      <c r="A14" s="466"/>
      <c r="B14" s="608"/>
      <c r="C14" s="488" t="s">
        <v>1354</v>
      </c>
      <c r="D14" s="571" t="s">
        <v>1355</v>
      </c>
      <c r="E14" s="572" t="s">
        <v>1356</v>
      </c>
      <c r="F14" s="483" t="s">
        <v>1357</v>
      </c>
      <c r="G14" s="490" t="s">
        <v>1358</v>
      </c>
      <c r="H14" s="485" t="s">
        <v>1359</v>
      </c>
      <c r="I14" s="486" t="s">
        <v>1360</v>
      </c>
      <c r="J14" s="473"/>
    </row>
    <row r="15" spans="1:13" ht="50.25" customHeight="1" thickBot="1" x14ac:dyDescent="0.25">
      <c r="A15" s="466"/>
      <c r="B15" s="618"/>
      <c r="C15" s="512" t="s">
        <v>1361</v>
      </c>
      <c r="D15" s="573" t="s">
        <v>1362</v>
      </c>
      <c r="E15" s="574" t="s">
        <v>1363</v>
      </c>
      <c r="F15" s="513" t="s">
        <v>1364</v>
      </c>
      <c r="G15" s="514" t="s">
        <v>1365</v>
      </c>
      <c r="H15" s="515" t="s">
        <v>1366</v>
      </c>
      <c r="I15" s="516" t="s">
        <v>1367</v>
      </c>
      <c r="J15" s="473"/>
    </row>
    <row r="16" spans="1:13" ht="5.5" customHeight="1" thickBot="1" x14ac:dyDescent="0.25">
      <c r="A16" s="466"/>
      <c r="B16" s="517"/>
      <c r="C16" s="518"/>
      <c r="D16" s="559"/>
      <c r="E16" s="560"/>
      <c r="F16" s="519"/>
      <c r="G16" s="520"/>
      <c r="H16" s="521"/>
      <c r="I16" s="522"/>
      <c r="J16" s="473"/>
    </row>
    <row r="17" spans="1:10" ht="160" customHeight="1" x14ac:dyDescent="0.2">
      <c r="A17" s="466"/>
      <c r="B17" s="621" t="s">
        <v>1368</v>
      </c>
      <c r="C17" s="523" t="s">
        <v>1369</v>
      </c>
      <c r="D17" s="590">
        <f>IF(E17="","",E17)</f>
        <v>0.75</v>
      </c>
      <c r="E17" s="591">
        <v>0.75</v>
      </c>
      <c r="F17" s="524" t="s">
        <v>1370</v>
      </c>
      <c r="G17" s="525" t="s">
        <v>1371</v>
      </c>
      <c r="H17" s="454">
        <v>0.91</v>
      </c>
      <c r="I17" s="457">
        <v>0.91</v>
      </c>
      <c r="J17" s="473"/>
    </row>
    <row r="18" spans="1:10" ht="160" customHeight="1" x14ac:dyDescent="0.2">
      <c r="A18" s="466"/>
      <c r="B18" s="608"/>
      <c r="C18" s="526" t="s">
        <v>1372</v>
      </c>
      <c r="D18" s="592">
        <f>IF(E18="","",E18)</f>
        <v>0.2</v>
      </c>
      <c r="E18" s="593">
        <v>0.2</v>
      </c>
      <c r="F18" s="527" t="s">
        <v>1373</v>
      </c>
      <c r="G18" s="528" t="s">
        <v>1374</v>
      </c>
      <c r="H18" s="455">
        <v>0.91</v>
      </c>
      <c r="I18" s="118">
        <v>0.91</v>
      </c>
      <c r="J18" s="473"/>
    </row>
    <row r="19" spans="1:10" ht="145" customHeight="1" thickBot="1" x14ac:dyDescent="0.25">
      <c r="A19" s="466"/>
      <c r="B19" s="618"/>
      <c r="C19" s="529" t="s">
        <v>1375</v>
      </c>
      <c r="D19" s="594">
        <f>IF(E19="","",E19)</f>
        <v>0.05</v>
      </c>
      <c r="E19" s="595">
        <v>0.05</v>
      </c>
      <c r="F19" s="530" t="s">
        <v>1376</v>
      </c>
      <c r="G19" s="531" t="s">
        <v>1377</v>
      </c>
      <c r="H19" s="456">
        <v>0.05</v>
      </c>
      <c r="I19" s="119">
        <v>0.05</v>
      </c>
      <c r="J19" s="473"/>
    </row>
    <row r="20" spans="1:10" x14ac:dyDescent="0.2">
      <c r="B20" s="511"/>
      <c r="C20" s="511"/>
      <c r="D20" s="511"/>
      <c r="E20" s="511"/>
      <c r="F20" s="532"/>
      <c r="G20" s="532"/>
      <c r="H20" s="511"/>
      <c r="I20" s="511"/>
    </row>
  </sheetData>
  <mergeCells count="3">
    <mergeCell ref="B17:B19"/>
    <mergeCell ref="B3:B9"/>
    <mergeCell ref="B10:B15"/>
  </mergeCells>
  <dataValidations count="2">
    <dataValidation type="list" showInputMessage="1" showErrorMessage="1" sqref="E5" xr:uid="{00000000-0002-0000-0300-000000000000}">
      <formula1>"l'année dernière, une année normale"</formula1>
    </dataValidation>
    <dataValidation type="list" showInputMessage="1" showErrorMessage="1" sqref="E7" xr:uid="{00000000-0002-0000-0300-000001000000}">
      <formula1>"Pas encore en saison,Préparation du terrain,Semis / plantation,Début de la croissance,Croissance,Proche de la récolte,Récolte,Post-récolte"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90"/>
  <sheetViews>
    <sheetView tabSelected="1" workbookViewId="0">
      <selection activeCell="D10" sqref="D10"/>
    </sheetView>
  </sheetViews>
  <sheetFormatPr baseColWidth="10" defaultColWidth="8.83203125" defaultRowHeight="15" x14ac:dyDescent="0.2"/>
  <cols>
    <col min="1" max="2" width="15.1640625" bestFit="1" customWidth="1"/>
    <col min="3" max="3" width="11.1640625" bestFit="1" customWidth="1"/>
    <col min="4" max="4" width="12" bestFit="1" customWidth="1"/>
    <col min="5" max="5" width="11.1640625" bestFit="1" customWidth="1"/>
    <col min="6" max="6" width="27.33203125" bestFit="1" customWidth="1"/>
    <col min="7" max="7" width="9.83203125" bestFit="1" customWidth="1"/>
  </cols>
  <sheetData>
    <row r="1" spans="1:7" x14ac:dyDescent="0.2">
      <c r="A1" s="601" t="s">
        <v>1001</v>
      </c>
      <c r="B1" s="601" t="s">
        <v>1378</v>
      </c>
      <c r="C1" s="601" t="s">
        <v>1379</v>
      </c>
      <c r="D1" s="601" t="s">
        <v>1000</v>
      </c>
      <c r="E1" s="601" t="s">
        <v>1380</v>
      </c>
      <c r="F1" s="601" t="s">
        <v>1381</v>
      </c>
      <c r="G1" s="601" t="s">
        <v>1382</v>
      </c>
    </row>
    <row r="2" spans="1:7" x14ac:dyDescent="0.2">
      <c r="A2" t="s">
        <v>1383</v>
      </c>
      <c r="B2" t="s">
        <v>1383</v>
      </c>
      <c r="C2" t="s">
        <v>1384</v>
      </c>
      <c r="D2" t="s">
        <v>1385</v>
      </c>
      <c r="E2" t="s">
        <v>1386</v>
      </c>
      <c r="F2" t="s">
        <v>1387</v>
      </c>
      <c r="G2" t="s">
        <v>1388</v>
      </c>
    </row>
    <row r="3" spans="1:7" x14ac:dyDescent="0.2">
      <c r="A3" t="s">
        <v>1389</v>
      </c>
      <c r="B3" t="s">
        <v>1389</v>
      </c>
      <c r="C3" t="s">
        <v>1390</v>
      </c>
      <c r="D3" t="s">
        <v>1391</v>
      </c>
      <c r="E3" t="s">
        <v>1392</v>
      </c>
      <c r="F3" t="s">
        <v>1387</v>
      </c>
      <c r="G3" t="s">
        <v>1388</v>
      </c>
    </row>
    <row r="4" spans="1:7" x14ac:dyDescent="0.2">
      <c r="A4" t="s">
        <v>1393</v>
      </c>
      <c r="B4" t="s">
        <v>1393</v>
      </c>
      <c r="C4" t="s">
        <v>1394</v>
      </c>
      <c r="D4" t="s">
        <v>1395</v>
      </c>
      <c r="E4" t="s">
        <v>1396</v>
      </c>
      <c r="F4" t="s">
        <v>1387</v>
      </c>
      <c r="G4" t="s">
        <v>1388</v>
      </c>
    </row>
    <row r="5" spans="1:7" x14ac:dyDescent="0.2">
      <c r="A5" t="s">
        <v>1397</v>
      </c>
      <c r="B5" t="s">
        <v>1397</v>
      </c>
      <c r="C5" t="s">
        <v>1398</v>
      </c>
      <c r="D5" t="s">
        <v>1399</v>
      </c>
      <c r="E5" t="s">
        <v>1400</v>
      </c>
      <c r="F5" t="s">
        <v>1387</v>
      </c>
      <c r="G5" t="s">
        <v>1388</v>
      </c>
    </row>
    <row r="6" spans="1:7" x14ac:dyDescent="0.2">
      <c r="A6" t="s">
        <v>1401</v>
      </c>
      <c r="B6" t="s">
        <v>1401</v>
      </c>
      <c r="C6" t="s">
        <v>1402</v>
      </c>
      <c r="D6" t="s">
        <v>1403</v>
      </c>
      <c r="E6" t="s">
        <v>1404</v>
      </c>
      <c r="F6" t="s">
        <v>1387</v>
      </c>
      <c r="G6" t="s">
        <v>1388</v>
      </c>
    </row>
    <row r="7" spans="1:7" x14ac:dyDescent="0.2">
      <c r="A7" t="s">
        <v>1405</v>
      </c>
      <c r="B7" t="s">
        <v>1405</v>
      </c>
      <c r="C7" t="s">
        <v>1406</v>
      </c>
      <c r="D7" t="s">
        <v>1403</v>
      </c>
      <c r="E7" t="s">
        <v>1404</v>
      </c>
      <c r="F7" t="s">
        <v>1387</v>
      </c>
      <c r="G7" t="s">
        <v>1388</v>
      </c>
    </row>
    <row r="8" spans="1:7" x14ac:dyDescent="0.2">
      <c r="A8" t="s">
        <v>1407</v>
      </c>
      <c r="B8" t="s">
        <v>1407</v>
      </c>
      <c r="C8" t="s">
        <v>1408</v>
      </c>
      <c r="D8" t="s">
        <v>1409</v>
      </c>
      <c r="E8" t="s">
        <v>1410</v>
      </c>
      <c r="F8" t="s">
        <v>1387</v>
      </c>
      <c r="G8" t="s">
        <v>1388</v>
      </c>
    </row>
    <row r="9" spans="1:7" x14ac:dyDescent="0.2">
      <c r="A9" t="s">
        <v>1411</v>
      </c>
      <c r="B9" t="s">
        <v>1411</v>
      </c>
      <c r="C9" t="s">
        <v>1412</v>
      </c>
      <c r="D9" t="s">
        <v>1413</v>
      </c>
      <c r="E9" t="s">
        <v>1414</v>
      </c>
      <c r="F9" t="s">
        <v>1387</v>
      </c>
      <c r="G9" t="s">
        <v>1388</v>
      </c>
    </row>
    <row r="10" spans="1:7" x14ac:dyDescent="0.2">
      <c r="A10" t="s">
        <v>1415</v>
      </c>
      <c r="B10" t="s">
        <v>1415</v>
      </c>
      <c r="C10" t="s">
        <v>1416</v>
      </c>
      <c r="D10" t="s">
        <v>1417</v>
      </c>
      <c r="E10" t="s">
        <v>1418</v>
      </c>
      <c r="F10" t="s">
        <v>1387</v>
      </c>
      <c r="G10" t="s">
        <v>1388</v>
      </c>
    </row>
    <row r="11" spans="1:7" x14ac:dyDescent="0.2">
      <c r="A11" t="s">
        <v>1419</v>
      </c>
      <c r="B11" t="s">
        <v>1419</v>
      </c>
      <c r="C11" t="s">
        <v>1420</v>
      </c>
      <c r="D11" t="s">
        <v>1421</v>
      </c>
      <c r="E11" t="s">
        <v>1422</v>
      </c>
      <c r="F11" t="s">
        <v>1387</v>
      </c>
      <c r="G11" t="s">
        <v>1388</v>
      </c>
    </row>
    <row r="12" spans="1:7" x14ac:dyDescent="0.2">
      <c r="A12" t="s">
        <v>1423</v>
      </c>
      <c r="B12" t="s">
        <v>1423</v>
      </c>
      <c r="C12" t="s">
        <v>1424</v>
      </c>
      <c r="D12" t="s">
        <v>1425</v>
      </c>
      <c r="E12" t="s">
        <v>1426</v>
      </c>
      <c r="F12" t="s">
        <v>1387</v>
      </c>
      <c r="G12" t="s">
        <v>1388</v>
      </c>
    </row>
    <row r="13" spans="1:7" x14ac:dyDescent="0.2">
      <c r="A13" t="s">
        <v>1427</v>
      </c>
      <c r="B13" t="s">
        <v>1427</v>
      </c>
      <c r="C13" t="s">
        <v>1428</v>
      </c>
      <c r="D13" t="s">
        <v>1429</v>
      </c>
      <c r="E13" t="s">
        <v>1430</v>
      </c>
      <c r="F13" t="s">
        <v>1387</v>
      </c>
      <c r="G13" t="s">
        <v>1388</v>
      </c>
    </row>
    <row r="14" spans="1:7" x14ac:dyDescent="0.2">
      <c r="A14" t="s">
        <v>1431</v>
      </c>
      <c r="B14" t="s">
        <v>1431</v>
      </c>
      <c r="C14" t="s">
        <v>1432</v>
      </c>
      <c r="D14" t="s">
        <v>1421</v>
      </c>
      <c r="E14" t="s">
        <v>1422</v>
      </c>
      <c r="F14" t="s">
        <v>1387</v>
      </c>
      <c r="G14" t="s">
        <v>1388</v>
      </c>
    </row>
    <row r="15" spans="1:7" x14ac:dyDescent="0.2">
      <c r="A15" t="s">
        <v>1433</v>
      </c>
      <c r="B15" t="s">
        <v>1433</v>
      </c>
      <c r="C15" t="s">
        <v>1434</v>
      </c>
      <c r="D15" t="s">
        <v>1421</v>
      </c>
      <c r="E15" t="s">
        <v>1422</v>
      </c>
      <c r="F15" t="s">
        <v>1387</v>
      </c>
      <c r="G15" t="s">
        <v>1388</v>
      </c>
    </row>
    <row r="16" spans="1:7" x14ac:dyDescent="0.2">
      <c r="A16" t="s">
        <v>1435</v>
      </c>
      <c r="B16" t="s">
        <v>1435</v>
      </c>
      <c r="C16" t="s">
        <v>1436</v>
      </c>
      <c r="D16" t="s">
        <v>1437</v>
      </c>
      <c r="E16" t="s">
        <v>1438</v>
      </c>
      <c r="F16" t="s">
        <v>1387</v>
      </c>
      <c r="G16" t="s">
        <v>1388</v>
      </c>
    </row>
    <row r="17" spans="1:7" x14ac:dyDescent="0.2">
      <c r="A17" t="s">
        <v>1439</v>
      </c>
      <c r="B17" t="s">
        <v>1439</v>
      </c>
      <c r="C17" t="s">
        <v>1440</v>
      </c>
      <c r="D17" t="s">
        <v>1441</v>
      </c>
      <c r="E17" t="s">
        <v>1442</v>
      </c>
      <c r="F17" t="s">
        <v>1387</v>
      </c>
      <c r="G17" t="s">
        <v>1388</v>
      </c>
    </row>
    <row r="18" spans="1:7" x14ac:dyDescent="0.2">
      <c r="A18" t="s">
        <v>1443</v>
      </c>
      <c r="B18" t="s">
        <v>1443</v>
      </c>
      <c r="C18" t="s">
        <v>1444</v>
      </c>
      <c r="D18" t="s">
        <v>1417</v>
      </c>
      <c r="E18" t="s">
        <v>1418</v>
      </c>
      <c r="F18" t="s">
        <v>1387</v>
      </c>
      <c r="G18" t="s">
        <v>1388</v>
      </c>
    </row>
    <row r="19" spans="1:7" x14ac:dyDescent="0.2">
      <c r="A19" t="s">
        <v>1445</v>
      </c>
      <c r="B19" t="s">
        <v>1445</v>
      </c>
      <c r="C19" t="s">
        <v>1446</v>
      </c>
      <c r="D19" t="s">
        <v>1391</v>
      </c>
      <c r="E19" t="s">
        <v>1392</v>
      </c>
      <c r="F19" t="s">
        <v>1387</v>
      </c>
      <c r="G19" t="s">
        <v>1388</v>
      </c>
    </row>
    <row r="20" spans="1:7" x14ac:dyDescent="0.2">
      <c r="A20" t="s">
        <v>1447</v>
      </c>
      <c r="B20" t="s">
        <v>1447</v>
      </c>
      <c r="C20" t="s">
        <v>1448</v>
      </c>
      <c r="D20" t="s">
        <v>1409</v>
      </c>
      <c r="E20" t="s">
        <v>1410</v>
      </c>
      <c r="F20" t="s">
        <v>1387</v>
      </c>
      <c r="G20" t="s">
        <v>1388</v>
      </c>
    </row>
    <row r="21" spans="1:7" x14ac:dyDescent="0.2">
      <c r="A21" t="s">
        <v>1449</v>
      </c>
      <c r="B21" t="s">
        <v>1449</v>
      </c>
      <c r="C21" t="s">
        <v>1450</v>
      </c>
      <c r="D21" t="s">
        <v>1451</v>
      </c>
      <c r="E21" t="s">
        <v>1452</v>
      </c>
      <c r="F21" t="s">
        <v>1387</v>
      </c>
      <c r="G21" t="s">
        <v>1388</v>
      </c>
    </row>
    <row r="22" spans="1:7" x14ac:dyDescent="0.2">
      <c r="A22" t="s">
        <v>1453</v>
      </c>
      <c r="B22" t="s">
        <v>1453</v>
      </c>
      <c r="C22" t="s">
        <v>1454</v>
      </c>
      <c r="D22" t="s">
        <v>1429</v>
      </c>
      <c r="E22" t="s">
        <v>1430</v>
      </c>
      <c r="F22" t="s">
        <v>1387</v>
      </c>
      <c r="G22" t="s">
        <v>1388</v>
      </c>
    </row>
    <row r="23" spans="1:7" x14ac:dyDescent="0.2">
      <c r="A23" t="s">
        <v>1455</v>
      </c>
      <c r="B23" t="s">
        <v>1455</v>
      </c>
      <c r="C23" t="s">
        <v>1456</v>
      </c>
      <c r="D23" t="s">
        <v>1395</v>
      </c>
      <c r="E23" t="s">
        <v>1396</v>
      </c>
      <c r="F23" t="s">
        <v>1387</v>
      </c>
      <c r="G23" t="s">
        <v>1388</v>
      </c>
    </row>
    <row r="24" spans="1:7" x14ac:dyDescent="0.2">
      <c r="A24" t="s">
        <v>1457</v>
      </c>
      <c r="B24" t="s">
        <v>1457</v>
      </c>
      <c r="C24" t="s">
        <v>1458</v>
      </c>
      <c r="D24" t="s">
        <v>1459</v>
      </c>
      <c r="E24" t="s">
        <v>1460</v>
      </c>
      <c r="F24" t="s">
        <v>1387</v>
      </c>
      <c r="G24" t="s">
        <v>1388</v>
      </c>
    </row>
    <row r="25" spans="1:7" x14ac:dyDescent="0.2">
      <c r="A25" t="s">
        <v>1461</v>
      </c>
      <c r="B25" t="s">
        <v>1461</v>
      </c>
      <c r="C25" t="s">
        <v>1462</v>
      </c>
      <c r="D25" t="s">
        <v>1385</v>
      </c>
      <c r="E25" t="s">
        <v>1386</v>
      </c>
      <c r="F25" t="s">
        <v>1387</v>
      </c>
      <c r="G25" t="s">
        <v>1388</v>
      </c>
    </row>
    <row r="26" spans="1:7" x14ac:dyDescent="0.2">
      <c r="A26" t="s">
        <v>1463</v>
      </c>
      <c r="B26" t="s">
        <v>1463</v>
      </c>
      <c r="C26" t="s">
        <v>1464</v>
      </c>
      <c r="D26" t="s">
        <v>1391</v>
      </c>
      <c r="E26" t="s">
        <v>1392</v>
      </c>
      <c r="F26" t="s">
        <v>1387</v>
      </c>
      <c r="G26" t="s">
        <v>1388</v>
      </c>
    </row>
    <row r="27" spans="1:7" x14ac:dyDescent="0.2">
      <c r="A27" t="s">
        <v>1465</v>
      </c>
      <c r="B27" t="s">
        <v>1465</v>
      </c>
      <c r="C27" t="s">
        <v>1466</v>
      </c>
      <c r="D27" t="s">
        <v>1451</v>
      </c>
      <c r="E27" t="s">
        <v>1452</v>
      </c>
      <c r="F27" t="s">
        <v>1387</v>
      </c>
      <c r="G27" t="s">
        <v>1388</v>
      </c>
    </row>
    <row r="28" spans="1:7" x14ac:dyDescent="0.2">
      <c r="A28" t="s">
        <v>1467</v>
      </c>
      <c r="B28" t="s">
        <v>1467</v>
      </c>
      <c r="C28" t="s">
        <v>1468</v>
      </c>
      <c r="D28" t="s">
        <v>1417</v>
      </c>
      <c r="E28" t="s">
        <v>1418</v>
      </c>
      <c r="F28" t="s">
        <v>1387</v>
      </c>
      <c r="G28" t="s">
        <v>1388</v>
      </c>
    </row>
    <row r="29" spans="1:7" x14ac:dyDescent="0.2">
      <c r="A29" t="s">
        <v>1469</v>
      </c>
      <c r="B29" t="s">
        <v>1469</v>
      </c>
      <c r="C29" t="s">
        <v>1470</v>
      </c>
      <c r="D29" t="s">
        <v>1471</v>
      </c>
      <c r="E29" t="s">
        <v>1472</v>
      </c>
      <c r="F29" t="s">
        <v>1387</v>
      </c>
      <c r="G29" t="s">
        <v>1388</v>
      </c>
    </row>
    <row r="30" spans="1:7" x14ac:dyDescent="0.2">
      <c r="A30" t="s">
        <v>1473</v>
      </c>
      <c r="B30" t="s">
        <v>1473</v>
      </c>
      <c r="C30" t="s">
        <v>1474</v>
      </c>
      <c r="D30" t="s">
        <v>1475</v>
      </c>
      <c r="E30" t="s">
        <v>1476</v>
      </c>
      <c r="F30" t="s">
        <v>1387</v>
      </c>
      <c r="G30" t="s">
        <v>1388</v>
      </c>
    </row>
    <row r="31" spans="1:7" x14ac:dyDescent="0.2">
      <c r="A31" t="s">
        <v>1477</v>
      </c>
      <c r="B31" t="s">
        <v>1477</v>
      </c>
      <c r="C31" t="s">
        <v>1478</v>
      </c>
      <c r="D31" t="s">
        <v>1471</v>
      </c>
      <c r="E31" t="s">
        <v>1472</v>
      </c>
      <c r="F31" t="s">
        <v>1387</v>
      </c>
      <c r="G31" t="s">
        <v>1388</v>
      </c>
    </row>
    <row r="32" spans="1:7" x14ac:dyDescent="0.2">
      <c r="A32" t="s">
        <v>1479</v>
      </c>
      <c r="B32" t="s">
        <v>1479</v>
      </c>
      <c r="C32" t="s">
        <v>1480</v>
      </c>
      <c r="D32" t="s">
        <v>1481</v>
      </c>
      <c r="E32" t="s">
        <v>1482</v>
      </c>
      <c r="F32" t="s">
        <v>1387</v>
      </c>
      <c r="G32" t="s">
        <v>1388</v>
      </c>
    </row>
    <row r="33" spans="1:7" x14ac:dyDescent="0.2">
      <c r="A33" t="s">
        <v>1483</v>
      </c>
      <c r="B33" t="s">
        <v>1483</v>
      </c>
      <c r="C33" t="s">
        <v>1484</v>
      </c>
      <c r="D33" t="s">
        <v>1413</v>
      </c>
      <c r="E33" t="s">
        <v>1414</v>
      </c>
      <c r="F33" t="s">
        <v>1387</v>
      </c>
      <c r="G33" t="s">
        <v>1388</v>
      </c>
    </row>
    <row r="34" spans="1:7" x14ac:dyDescent="0.2">
      <c r="A34" t="s">
        <v>1485</v>
      </c>
      <c r="B34" t="s">
        <v>1485</v>
      </c>
      <c r="C34" t="s">
        <v>1486</v>
      </c>
      <c r="D34" t="s">
        <v>1413</v>
      </c>
      <c r="E34" t="s">
        <v>1414</v>
      </c>
      <c r="F34" t="s">
        <v>1387</v>
      </c>
      <c r="G34" t="s">
        <v>1388</v>
      </c>
    </row>
    <row r="35" spans="1:7" x14ac:dyDescent="0.2">
      <c r="A35" t="s">
        <v>1487</v>
      </c>
      <c r="B35" t="s">
        <v>1487</v>
      </c>
      <c r="C35" t="s">
        <v>1488</v>
      </c>
      <c r="D35" t="s">
        <v>1471</v>
      </c>
      <c r="E35" t="s">
        <v>1472</v>
      </c>
      <c r="F35" t="s">
        <v>1387</v>
      </c>
      <c r="G35" t="s">
        <v>1388</v>
      </c>
    </row>
    <row r="36" spans="1:7" x14ac:dyDescent="0.2">
      <c r="A36" t="s">
        <v>1489</v>
      </c>
      <c r="B36" t="s">
        <v>1489</v>
      </c>
      <c r="C36" t="s">
        <v>1490</v>
      </c>
      <c r="D36" t="s">
        <v>1441</v>
      </c>
      <c r="E36" t="s">
        <v>1442</v>
      </c>
      <c r="F36" t="s">
        <v>1387</v>
      </c>
      <c r="G36" t="s">
        <v>1388</v>
      </c>
    </row>
    <row r="37" spans="1:7" x14ac:dyDescent="0.2">
      <c r="A37" t="s">
        <v>1491</v>
      </c>
      <c r="B37" t="s">
        <v>1491</v>
      </c>
      <c r="C37" t="s">
        <v>1492</v>
      </c>
      <c r="D37" t="s">
        <v>1493</v>
      </c>
      <c r="E37" t="s">
        <v>1494</v>
      </c>
      <c r="F37" t="s">
        <v>1387</v>
      </c>
      <c r="G37" t="s">
        <v>1388</v>
      </c>
    </row>
    <row r="38" spans="1:7" x14ac:dyDescent="0.2">
      <c r="A38" t="s">
        <v>1495</v>
      </c>
      <c r="B38" t="s">
        <v>1495</v>
      </c>
      <c r="C38" t="s">
        <v>1496</v>
      </c>
      <c r="D38" t="s">
        <v>1413</v>
      </c>
      <c r="E38" t="s">
        <v>1414</v>
      </c>
      <c r="F38" t="s">
        <v>1387</v>
      </c>
      <c r="G38" t="s">
        <v>1388</v>
      </c>
    </row>
    <row r="39" spans="1:7" x14ac:dyDescent="0.2">
      <c r="A39" t="s">
        <v>1497</v>
      </c>
      <c r="B39" t="s">
        <v>1497</v>
      </c>
      <c r="C39" t="s">
        <v>1498</v>
      </c>
      <c r="D39" t="s">
        <v>1499</v>
      </c>
      <c r="E39" t="s">
        <v>1500</v>
      </c>
      <c r="F39" t="s">
        <v>1387</v>
      </c>
      <c r="G39" t="s">
        <v>1388</v>
      </c>
    </row>
    <row r="40" spans="1:7" x14ac:dyDescent="0.2">
      <c r="A40" t="s">
        <v>1501</v>
      </c>
      <c r="B40" t="s">
        <v>1501</v>
      </c>
      <c r="C40" t="s">
        <v>1502</v>
      </c>
      <c r="D40" t="s">
        <v>1471</v>
      </c>
      <c r="E40" t="s">
        <v>1472</v>
      </c>
      <c r="F40" t="s">
        <v>1387</v>
      </c>
      <c r="G40" t="s">
        <v>1388</v>
      </c>
    </row>
    <row r="41" spans="1:7" x14ac:dyDescent="0.2">
      <c r="A41" t="s">
        <v>1503</v>
      </c>
      <c r="B41" t="s">
        <v>1503</v>
      </c>
      <c r="C41" t="s">
        <v>1504</v>
      </c>
      <c r="D41" t="s">
        <v>1395</v>
      </c>
      <c r="E41" t="s">
        <v>1396</v>
      </c>
      <c r="F41" t="s">
        <v>1387</v>
      </c>
      <c r="G41" t="s">
        <v>1388</v>
      </c>
    </row>
    <row r="42" spans="1:7" x14ac:dyDescent="0.2">
      <c r="A42" t="s">
        <v>1505</v>
      </c>
      <c r="B42" t="s">
        <v>1505</v>
      </c>
      <c r="C42" t="s">
        <v>1506</v>
      </c>
      <c r="D42" t="s">
        <v>1475</v>
      </c>
      <c r="E42" t="s">
        <v>1476</v>
      </c>
      <c r="F42" t="s">
        <v>1387</v>
      </c>
      <c r="G42" t="s">
        <v>1388</v>
      </c>
    </row>
    <row r="43" spans="1:7" x14ac:dyDescent="0.2">
      <c r="A43" t="s">
        <v>1507</v>
      </c>
      <c r="B43" t="s">
        <v>1507</v>
      </c>
      <c r="C43" t="s">
        <v>1508</v>
      </c>
      <c r="D43" t="s">
        <v>1429</v>
      </c>
      <c r="E43" t="s">
        <v>1430</v>
      </c>
      <c r="F43" t="s">
        <v>1387</v>
      </c>
      <c r="G43" t="s">
        <v>1388</v>
      </c>
    </row>
    <row r="44" spans="1:7" x14ac:dyDescent="0.2">
      <c r="A44" t="s">
        <v>1509</v>
      </c>
      <c r="B44" t="s">
        <v>1509</v>
      </c>
      <c r="C44" t="s">
        <v>1510</v>
      </c>
      <c r="D44" t="s">
        <v>1499</v>
      </c>
      <c r="E44" t="s">
        <v>1500</v>
      </c>
      <c r="F44" t="s">
        <v>1387</v>
      </c>
      <c r="G44" t="s">
        <v>1388</v>
      </c>
    </row>
    <row r="45" spans="1:7" x14ac:dyDescent="0.2">
      <c r="A45" t="s">
        <v>1511</v>
      </c>
      <c r="B45" t="s">
        <v>1511</v>
      </c>
      <c r="C45" t="s">
        <v>1512</v>
      </c>
      <c r="D45" t="s">
        <v>1417</v>
      </c>
      <c r="E45" t="s">
        <v>1418</v>
      </c>
      <c r="F45" t="s">
        <v>1387</v>
      </c>
      <c r="G45" t="s">
        <v>1388</v>
      </c>
    </row>
    <row r="46" spans="1:7" x14ac:dyDescent="0.2">
      <c r="A46" t="s">
        <v>1513</v>
      </c>
      <c r="B46" t="s">
        <v>1513</v>
      </c>
      <c r="C46" t="s">
        <v>1514</v>
      </c>
      <c r="D46" t="s">
        <v>1429</v>
      </c>
      <c r="E46" t="s">
        <v>1430</v>
      </c>
      <c r="F46" t="s">
        <v>1387</v>
      </c>
      <c r="G46" t="s">
        <v>1388</v>
      </c>
    </row>
    <row r="47" spans="1:7" x14ac:dyDescent="0.2">
      <c r="A47" t="s">
        <v>1515</v>
      </c>
      <c r="B47" t="s">
        <v>1515</v>
      </c>
      <c r="C47" t="s">
        <v>1516</v>
      </c>
      <c r="D47" t="s">
        <v>1499</v>
      </c>
      <c r="E47" t="s">
        <v>1500</v>
      </c>
      <c r="F47" t="s">
        <v>1387</v>
      </c>
      <c r="G47" t="s">
        <v>1388</v>
      </c>
    </row>
    <row r="48" spans="1:7" x14ac:dyDescent="0.2">
      <c r="A48" t="s">
        <v>1517</v>
      </c>
      <c r="B48" t="s">
        <v>1517</v>
      </c>
      <c r="C48" t="s">
        <v>1518</v>
      </c>
      <c r="D48" t="s">
        <v>1409</v>
      </c>
      <c r="E48" t="s">
        <v>1410</v>
      </c>
      <c r="F48" t="s">
        <v>1387</v>
      </c>
      <c r="G48" t="s">
        <v>1388</v>
      </c>
    </row>
    <row r="49" spans="1:7" x14ac:dyDescent="0.2">
      <c r="A49" t="s">
        <v>1519</v>
      </c>
      <c r="B49" t="s">
        <v>1519</v>
      </c>
      <c r="C49" t="s">
        <v>1520</v>
      </c>
      <c r="D49" t="s">
        <v>1409</v>
      </c>
      <c r="E49" t="s">
        <v>1410</v>
      </c>
      <c r="F49" t="s">
        <v>1387</v>
      </c>
      <c r="G49" t="s">
        <v>1388</v>
      </c>
    </row>
    <row r="50" spans="1:7" x14ac:dyDescent="0.2">
      <c r="A50" t="s">
        <v>1521</v>
      </c>
      <c r="B50" t="s">
        <v>1521</v>
      </c>
      <c r="C50" t="s">
        <v>1522</v>
      </c>
      <c r="D50" t="s">
        <v>1417</v>
      </c>
      <c r="E50" t="s">
        <v>1418</v>
      </c>
      <c r="F50" t="s">
        <v>1387</v>
      </c>
      <c r="G50" t="s">
        <v>1388</v>
      </c>
    </row>
    <row r="51" spans="1:7" x14ac:dyDescent="0.2">
      <c r="A51" t="s">
        <v>1523</v>
      </c>
      <c r="B51" t="s">
        <v>1523</v>
      </c>
      <c r="C51" t="s">
        <v>1524</v>
      </c>
      <c r="D51" t="s">
        <v>1417</v>
      </c>
      <c r="E51" t="s">
        <v>1418</v>
      </c>
      <c r="F51" t="s">
        <v>1387</v>
      </c>
      <c r="G51" t="s">
        <v>1388</v>
      </c>
    </row>
    <row r="52" spans="1:7" x14ac:dyDescent="0.2">
      <c r="A52" t="s">
        <v>1525</v>
      </c>
      <c r="B52" t="s">
        <v>1525</v>
      </c>
      <c r="C52" t="s">
        <v>1526</v>
      </c>
      <c r="D52" t="s">
        <v>1403</v>
      </c>
      <c r="E52" t="s">
        <v>1404</v>
      </c>
      <c r="F52" t="s">
        <v>1387</v>
      </c>
      <c r="G52" t="s">
        <v>1388</v>
      </c>
    </row>
    <row r="53" spans="1:7" x14ac:dyDescent="0.2">
      <c r="A53" t="s">
        <v>1527</v>
      </c>
      <c r="B53" t="s">
        <v>1527</v>
      </c>
      <c r="C53" t="s">
        <v>1528</v>
      </c>
      <c r="D53" t="s">
        <v>1385</v>
      </c>
      <c r="E53" t="s">
        <v>1386</v>
      </c>
      <c r="F53" t="s">
        <v>1387</v>
      </c>
      <c r="G53" t="s">
        <v>1388</v>
      </c>
    </row>
    <row r="54" spans="1:7" x14ac:dyDescent="0.2">
      <c r="A54" t="s">
        <v>1529</v>
      </c>
      <c r="B54" t="s">
        <v>1529</v>
      </c>
      <c r="C54" t="s">
        <v>1530</v>
      </c>
      <c r="D54" t="s">
        <v>1481</v>
      </c>
      <c r="E54" t="s">
        <v>1482</v>
      </c>
      <c r="F54" t="s">
        <v>1387</v>
      </c>
      <c r="G54" t="s">
        <v>1388</v>
      </c>
    </row>
    <row r="55" spans="1:7" x14ac:dyDescent="0.2">
      <c r="A55" t="s">
        <v>1531</v>
      </c>
      <c r="B55" t="s">
        <v>1531</v>
      </c>
      <c r="C55" t="s">
        <v>1532</v>
      </c>
      <c r="D55" t="s">
        <v>1499</v>
      </c>
      <c r="E55" t="s">
        <v>1500</v>
      </c>
      <c r="F55" t="s">
        <v>1387</v>
      </c>
      <c r="G55" t="s">
        <v>1388</v>
      </c>
    </row>
    <row r="56" spans="1:7" x14ac:dyDescent="0.2">
      <c r="A56" t="s">
        <v>1533</v>
      </c>
      <c r="B56" t="s">
        <v>1533</v>
      </c>
      <c r="C56" t="s">
        <v>1534</v>
      </c>
      <c r="D56" t="s">
        <v>1391</v>
      </c>
      <c r="E56" t="s">
        <v>1392</v>
      </c>
      <c r="F56" t="s">
        <v>1387</v>
      </c>
      <c r="G56" t="s">
        <v>1388</v>
      </c>
    </row>
    <row r="57" spans="1:7" x14ac:dyDescent="0.2">
      <c r="A57" t="s">
        <v>1535</v>
      </c>
      <c r="B57" t="s">
        <v>1535</v>
      </c>
      <c r="C57" t="s">
        <v>1536</v>
      </c>
      <c r="D57" t="s">
        <v>1499</v>
      </c>
      <c r="E57" t="s">
        <v>1500</v>
      </c>
      <c r="F57" t="s">
        <v>1387</v>
      </c>
      <c r="G57" t="s">
        <v>1388</v>
      </c>
    </row>
    <row r="58" spans="1:7" x14ac:dyDescent="0.2">
      <c r="A58" t="s">
        <v>1537</v>
      </c>
      <c r="B58" t="s">
        <v>1537</v>
      </c>
      <c r="C58" t="s">
        <v>1538</v>
      </c>
      <c r="D58" t="s">
        <v>1403</v>
      </c>
      <c r="E58" t="s">
        <v>1404</v>
      </c>
      <c r="F58" t="s">
        <v>1387</v>
      </c>
      <c r="G58" t="s">
        <v>1388</v>
      </c>
    </row>
    <row r="59" spans="1:7" x14ac:dyDescent="0.2">
      <c r="A59" t="s">
        <v>1539</v>
      </c>
      <c r="B59" t="s">
        <v>1539</v>
      </c>
      <c r="C59" t="s">
        <v>1540</v>
      </c>
      <c r="D59" t="s">
        <v>1403</v>
      </c>
      <c r="E59" t="s">
        <v>1404</v>
      </c>
      <c r="F59" t="s">
        <v>1387</v>
      </c>
      <c r="G59" t="s">
        <v>1388</v>
      </c>
    </row>
    <row r="60" spans="1:7" x14ac:dyDescent="0.2">
      <c r="A60" t="s">
        <v>1541</v>
      </c>
      <c r="B60" t="s">
        <v>1541</v>
      </c>
      <c r="C60" t="s">
        <v>1542</v>
      </c>
      <c r="D60" t="s">
        <v>1395</v>
      </c>
      <c r="E60" t="s">
        <v>1396</v>
      </c>
      <c r="F60" t="s">
        <v>1387</v>
      </c>
      <c r="G60" t="s">
        <v>1388</v>
      </c>
    </row>
    <row r="61" spans="1:7" x14ac:dyDescent="0.2">
      <c r="A61" t="s">
        <v>1543</v>
      </c>
      <c r="B61" t="s">
        <v>1543</v>
      </c>
      <c r="C61" t="s">
        <v>1544</v>
      </c>
      <c r="D61" t="s">
        <v>1441</v>
      </c>
      <c r="E61" t="s">
        <v>1442</v>
      </c>
      <c r="F61" t="s">
        <v>1387</v>
      </c>
      <c r="G61" t="s">
        <v>1388</v>
      </c>
    </row>
    <row r="62" spans="1:7" x14ac:dyDescent="0.2">
      <c r="A62" t="s">
        <v>1545</v>
      </c>
      <c r="B62" t="s">
        <v>1545</v>
      </c>
      <c r="C62" t="s">
        <v>1546</v>
      </c>
      <c r="D62" t="s">
        <v>1395</v>
      </c>
      <c r="E62" t="s">
        <v>1396</v>
      </c>
      <c r="F62" t="s">
        <v>1387</v>
      </c>
      <c r="G62" t="s">
        <v>1388</v>
      </c>
    </row>
    <row r="63" spans="1:7" x14ac:dyDescent="0.2">
      <c r="A63" t="s">
        <v>1547</v>
      </c>
      <c r="B63" t="s">
        <v>1547</v>
      </c>
      <c r="C63" t="s">
        <v>1548</v>
      </c>
      <c r="D63" t="s">
        <v>1499</v>
      </c>
      <c r="E63" t="s">
        <v>1500</v>
      </c>
      <c r="F63" t="s">
        <v>1387</v>
      </c>
      <c r="G63" t="s">
        <v>1388</v>
      </c>
    </row>
    <row r="64" spans="1:7" x14ac:dyDescent="0.2">
      <c r="A64" t="s">
        <v>1549</v>
      </c>
      <c r="B64" t="s">
        <v>1549</v>
      </c>
      <c r="C64" t="s">
        <v>1550</v>
      </c>
      <c r="D64" t="s">
        <v>1493</v>
      </c>
      <c r="E64" t="s">
        <v>1494</v>
      </c>
      <c r="F64" t="s">
        <v>1387</v>
      </c>
      <c r="G64" t="s">
        <v>1388</v>
      </c>
    </row>
    <row r="65" spans="1:7" x14ac:dyDescent="0.2">
      <c r="A65" t="s">
        <v>1551</v>
      </c>
      <c r="B65" t="s">
        <v>1551</v>
      </c>
      <c r="C65" t="s">
        <v>1552</v>
      </c>
      <c r="D65" t="s">
        <v>1421</v>
      </c>
      <c r="E65" t="s">
        <v>1422</v>
      </c>
      <c r="F65" t="s">
        <v>1387</v>
      </c>
      <c r="G65" t="s">
        <v>1388</v>
      </c>
    </row>
    <row r="66" spans="1:7" x14ac:dyDescent="0.2">
      <c r="A66" t="s">
        <v>1553</v>
      </c>
      <c r="B66" t="s">
        <v>1553</v>
      </c>
      <c r="C66" t="s">
        <v>1554</v>
      </c>
      <c r="D66" t="s">
        <v>1555</v>
      </c>
      <c r="E66" t="s">
        <v>1556</v>
      </c>
      <c r="F66" t="s">
        <v>1387</v>
      </c>
      <c r="G66" t="s">
        <v>1388</v>
      </c>
    </row>
    <row r="67" spans="1:7" x14ac:dyDescent="0.2">
      <c r="A67" t="s">
        <v>1557</v>
      </c>
      <c r="B67" t="s">
        <v>1557</v>
      </c>
      <c r="C67" t="s">
        <v>1558</v>
      </c>
      <c r="D67" t="s">
        <v>1437</v>
      </c>
      <c r="E67" t="s">
        <v>1438</v>
      </c>
      <c r="F67" t="s">
        <v>1387</v>
      </c>
      <c r="G67" t="s">
        <v>1388</v>
      </c>
    </row>
    <row r="68" spans="1:7" x14ac:dyDescent="0.2">
      <c r="A68" t="s">
        <v>1559</v>
      </c>
      <c r="B68" t="s">
        <v>1559</v>
      </c>
      <c r="C68" t="s">
        <v>1560</v>
      </c>
      <c r="D68" t="s">
        <v>1475</v>
      </c>
      <c r="E68" t="s">
        <v>1476</v>
      </c>
      <c r="F68" t="s">
        <v>1387</v>
      </c>
      <c r="G68" t="s">
        <v>1388</v>
      </c>
    </row>
    <row r="69" spans="1:7" x14ac:dyDescent="0.2">
      <c r="A69" t="s">
        <v>1561</v>
      </c>
      <c r="B69" t="s">
        <v>1561</v>
      </c>
      <c r="C69" t="s">
        <v>1562</v>
      </c>
      <c r="D69" t="s">
        <v>1475</v>
      </c>
      <c r="E69" t="s">
        <v>1476</v>
      </c>
      <c r="F69" t="s">
        <v>1387</v>
      </c>
      <c r="G69" t="s">
        <v>1388</v>
      </c>
    </row>
    <row r="70" spans="1:7" x14ac:dyDescent="0.2">
      <c r="A70" t="s">
        <v>1563</v>
      </c>
      <c r="B70" t="s">
        <v>1563</v>
      </c>
      <c r="C70" t="s">
        <v>1564</v>
      </c>
      <c r="D70" t="s">
        <v>1395</v>
      </c>
      <c r="E70" t="s">
        <v>1396</v>
      </c>
      <c r="F70" t="s">
        <v>1387</v>
      </c>
      <c r="G70" t="s">
        <v>1388</v>
      </c>
    </row>
    <row r="71" spans="1:7" x14ac:dyDescent="0.2">
      <c r="A71" t="s">
        <v>1565</v>
      </c>
      <c r="B71" t="s">
        <v>1565</v>
      </c>
      <c r="C71" t="s">
        <v>1566</v>
      </c>
      <c r="D71" t="s">
        <v>1475</v>
      </c>
      <c r="E71" t="s">
        <v>1476</v>
      </c>
      <c r="F71" t="s">
        <v>1387</v>
      </c>
      <c r="G71" t="s">
        <v>1388</v>
      </c>
    </row>
    <row r="72" spans="1:7" x14ac:dyDescent="0.2">
      <c r="A72" t="s">
        <v>1567</v>
      </c>
      <c r="B72" t="s">
        <v>1567</v>
      </c>
      <c r="C72" t="s">
        <v>1568</v>
      </c>
      <c r="D72" t="s">
        <v>1425</v>
      </c>
      <c r="E72" t="s">
        <v>1426</v>
      </c>
      <c r="F72" t="s">
        <v>1387</v>
      </c>
      <c r="G72" t="s">
        <v>1388</v>
      </c>
    </row>
    <row r="73" spans="1:7" x14ac:dyDescent="0.2">
      <c r="A73" t="s">
        <v>1569</v>
      </c>
      <c r="B73" t="s">
        <v>1569</v>
      </c>
      <c r="C73" t="s">
        <v>1570</v>
      </c>
      <c r="D73" t="s">
        <v>1571</v>
      </c>
      <c r="E73" t="s">
        <v>1572</v>
      </c>
      <c r="F73" t="s">
        <v>1387</v>
      </c>
      <c r="G73" t="s">
        <v>1388</v>
      </c>
    </row>
    <row r="74" spans="1:7" x14ac:dyDescent="0.2">
      <c r="A74" t="s">
        <v>1573</v>
      </c>
      <c r="B74" t="s">
        <v>1573</v>
      </c>
      <c r="C74" t="s">
        <v>1574</v>
      </c>
      <c r="D74" t="s">
        <v>1441</v>
      </c>
      <c r="E74" t="s">
        <v>1442</v>
      </c>
      <c r="F74" t="s">
        <v>1387</v>
      </c>
      <c r="G74" t="s">
        <v>1388</v>
      </c>
    </row>
    <row r="75" spans="1:7" x14ac:dyDescent="0.2">
      <c r="A75" t="s">
        <v>1575</v>
      </c>
      <c r="B75" t="s">
        <v>1575</v>
      </c>
      <c r="C75" t="s">
        <v>1576</v>
      </c>
      <c r="D75" t="s">
        <v>1403</v>
      </c>
      <c r="E75" t="s">
        <v>1404</v>
      </c>
      <c r="F75" t="s">
        <v>1387</v>
      </c>
      <c r="G75" t="s">
        <v>1388</v>
      </c>
    </row>
    <row r="76" spans="1:7" x14ac:dyDescent="0.2">
      <c r="A76" t="s">
        <v>1577</v>
      </c>
      <c r="B76" t="s">
        <v>1577</v>
      </c>
      <c r="C76" t="s">
        <v>1578</v>
      </c>
      <c r="D76" t="s">
        <v>1571</v>
      </c>
      <c r="E76" t="s">
        <v>1572</v>
      </c>
      <c r="F76" t="s">
        <v>1387</v>
      </c>
      <c r="G76" t="s">
        <v>1388</v>
      </c>
    </row>
    <row r="77" spans="1:7" x14ac:dyDescent="0.2">
      <c r="A77" t="s">
        <v>1579</v>
      </c>
      <c r="B77" t="s">
        <v>1579</v>
      </c>
      <c r="C77" t="s">
        <v>1580</v>
      </c>
      <c r="D77" t="s">
        <v>1581</v>
      </c>
      <c r="E77" t="s">
        <v>1582</v>
      </c>
      <c r="F77" t="s">
        <v>1387</v>
      </c>
      <c r="G77" t="s">
        <v>1388</v>
      </c>
    </row>
    <row r="78" spans="1:7" x14ac:dyDescent="0.2">
      <c r="A78" t="s">
        <v>1583</v>
      </c>
      <c r="B78" t="s">
        <v>1583</v>
      </c>
      <c r="C78" t="s">
        <v>1584</v>
      </c>
      <c r="D78" t="s">
        <v>1399</v>
      </c>
      <c r="E78" t="s">
        <v>1400</v>
      </c>
      <c r="F78" t="s">
        <v>1387</v>
      </c>
      <c r="G78" t="s">
        <v>1388</v>
      </c>
    </row>
    <row r="79" spans="1:7" x14ac:dyDescent="0.2">
      <c r="A79" t="s">
        <v>1585</v>
      </c>
      <c r="B79" t="s">
        <v>1585</v>
      </c>
      <c r="C79" t="s">
        <v>1586</v>
      </c>
      <c r="D79" t="s">
        <v>1417</v>
      </c>
      <c r="E79" t="s">
        <v>1418</v>
      </c>
      <c r="F79" t="s">
        <v>1387</v>
      </c>
      <c r="G79" t="s">
        <v>1388</v>
      </c>
    </row>
    <row r="80" spans="1:7" x14ac:dyDescent="0.2">
      <c r="A80" t="s">
        <v>1587</v>
      </c>
      <c r="B80" t="s">
        <v>1587</v>
      </c>
      <c r="C80" t="s">
        <v>1588</v>
      </c>
      <c r="D80" t="s">
        <v>1581</v>
      </c>
      <c r="E80" t="s">
        <v>1582</v>
      </c>
      <c r="F80" t="s">
        <v>1387</v>
      </c>
      <c r="G80" t="s">
        <v>1388</v>
      </c>
    </row>
    <row r="81" spans="1:7" x14ac:dyDescent="0.2">
      <c r="A81" t="s">
        <v>1589</v>
      </c>
      <c r="B81" t="s">
        <v>1589</v>
      </c>
      <c r="C81" t="s">
        <v>1590</v>
      </c>
      <c r="D81" t="s">
        <v>1481</v>
      </c>
      <c r="E81" t="s">
        <v>1482</v>
      </c>
      <c r="F81" t="s">
        <v>1387</v>
      </c>
      <c r="G81" t="s">
        <v>1388</v>
      </c>
    </row>
    <row r="82" spans="1:7" x14ac:dyDescent="0.2">
      <c r="A82" t="s">
        <v>1591</v>
      </c>
      <c r="B82" t="s">
        <v>1591</v>
      </c>
      <c r="C82" t="s">
        <v>1592</v>
      </c>
      <c r="D82" t="s">
        <v>1499</v>
      </c>
      <c r="E82" t="s">
        <v>1500</v>
      </c>
      <c r="F82" t="s">
        <v>1387</v>
      </c>
      <c r="G82" t="s">
        <v>1388</v>
      </c>
    </row>
    <row r="83" spans="1:7" x14ac:dyDescent="0.2">
      <c r="A83" t="s">
        <v>1593</v>
      </c>
      <c r="B83" t="s">
        <v>1593</v>
      </c>
      <c r="C83" t="s">
        <v>1594</v>
      </c>
      <c r="D83" t="s">
        <v>1441</v>
      </c>
      <c r="E83" t="s">
        <v>1442</v>
      </c>
      <c r="F83" t="s">
        <v>1387</v>
      </c>
      <c r="G83" t="s">
        <v>1388</v>
      </c>
    </row>
    <row r="84" spans="1:7" x14ac:dyDescent="0.2">
      <c r="A84" t="s">
        <v>1595</v>
      </c>
      <c r="B84" t="s">
        <v>1595</v>
      </c>
      <c r="C84" t="s">
        <v>1596</v>
      </c>
      <c r="D84" t="s">
        <v>1597</v>
      </c>
      <c r="E84" t="s">
        <v>1598</v>
      </c>
      <c r="F84" t="s">
        <v>1387</v>
      </c>
      <c r="G84" t="s">
        <v>1388</v>
      </c>
    </row>
    <row r="85" spans="1:7" x14ac:dyDescent="0.2">
      <c r="A85" t="s">
        <v>1599</v>
      </c>
      <c r="B85" t="s">
        <v>1599</v>
      </c>
      <c r="C85" t="s">
        <v>1600</v>
      </c>
      <c r="D85" t="s">
        <v>1441</v>
      </c>
      <c r="E85" t="s">
        <v>1442</v>
      </c>
      <c r="F85" t="s">
        <v>1387</v>
      </c>
      <c r="G85" t="s">
        <v>1388</v>
      </c>
    </row>
    <row r="86" spans="1:7" x14ac:dyDescent="0.2">
      <c r="A86" t="s">
        <v>1601</v>
      </c>
      <c r="B86" t="s">
        <v>1601</v>
      </c>
      <c r="C86" t="s">
        <v>1602</v>
      </c>
      <c r="D86" t="s">
        <v>1481</v>
      </c>
      <c r="E86" t="s">
        <v>1482</v>
      </c>
      <c r="F86" t="s">
        <v>1387</v>
      </c>
      <c r="G86" t="s">
        <v>1388</v>
      </c>
    </row>
    <row r="87" spans="1:7" x14ac:dyDescent="0.2">
      <c r="A87" t="s">
        <v>1603</v>
      </c>
      <c r="B87" t="s">
        <v>1603</v>
      </c>
      <c r="C87" t="s">
        <v>1604</v>
      </c>
      <c r="D87" t="s">
        <v>1403</v>
      </c>
      <c r="E87" t="s">
        <v>1404</v>
      </c>
      <c r="F87" t="s">
        <v>1387</v>
      </c>
      <c r="G87" t="s">
        <v>1388</v>
      </c>
    </row>
    <row r="88" spans="1:7" x14ac:dyDescent="0.2">
      <c r="A88" t="s">
        <v>1605</v>
      </c>
      <c r="B88" t="s">
        <v>1605</v>
      </c>
      <c r="C88" t="s">
        <v>1606</v>
      </c>
      <c r="D88" t="s">
        <v>1607</v>
      </c>
      <c r="E88" t="s">
        <v>1608</v>
      </c>
      <c r="F88" t="s">
        <v>1387</v>
      </c>
      <c r="G88" t="s">
        <v>1388</v>
      </c>
    </row>
    <row r="89" spans="1:7" x14ac:dyDescent="0.2">
      <c r="A89" t="s">
        <v>1609</v>
      </c>
      <c r="B89" t="s">
        <v>1609</v>
      </c>
      <c r="C89" t="s">
        <v>1610</v>
      </c>
      <c r="D89" t="s">
        <v>1581</v>
      </c>
      <c r="E89" t="s">
        <v>1582</v>
      </c>
      <c r="F89" t="s">
        <v>1387</v>
      </c>
      <c r="G89" t="s">
        <v>1388</v>
      </c>
    </row>
    <row r="90" spans="1:7" x14ac:dyDescent="0.2">
      <c r="A90" t="s">
        <v>1611</v>
      </c>
      <c r="B90" t="s">
        <v>1611</v>
      </c>
      <c r="C90" t="s">
        <v>1612</v>
      </c>
      <c r="D90" t="s">
        <v>1395</v>
      </c>
      <c r="E90" t="s">
        <v>1396</v>
      </c>
      <c r="F90" t="s">
        <v>1387</v>
      </c>
      <c r="G90" t="s">
        <v>1388</v>
      </c>
    </row>
    <row r="91" spans="1:7" x14ac:dyDescent="0.2">
      <c r="A91" t="s">
        <v>1613</v>
      </c>
      <c r="B91" t="s">
        <v>1613</v>
      </c>
      <c r="C91" t="s">
        <v>1614</v>
      </c>
      <c r="D91" t="s">
        <v>1607</v>
      </c>
      <c r="E91" t="s">
        <v>1608</v>
      </c>
      <c r="F91" t="s">
        <v>1387</v>
      </c>
      <c r="G91" t="s">
        <v>1388</v>
      </c>
    </row>
    <row r="92" spans="1:7" x14ac:dyDescent="0.2">
      <c r="A92" t="s">
        <v>1615</v>
      </c>
      <c r="B92" t="s">
        <v>1615</v>
      </c>
      <c r="C92" t="s">
        <v>1616</v>
      </c>
      <c r="D92" t="s">
        <v>1437</v>
      </c>
      <c r="E92" t="s">
        <v>1438</v>
      </c>
      <c r="F92" t="s">
        <v>1387</v>
      </c>
      <c r="G92" t="s">
        <v>1388</v>
      </c>
    </row>
    <row r="93" spans="1:7" x14ac:dyDescent="0.2">
      <c r="A93" t="s">
        <v>1617</v>
      </c>
      <c r="B93" t="s">
        <v>1617</v>
      </c>
      <c r="C93" t="s">
        <v>1618</v>
      </c>
      <c r="D93" t="s">
        <v>1425</v>
      </c>
      <c r="E93" t="s">
        <v>1426</v>
      </c>
      <c r="F93" t="s">
        <v>1387</v>
      </c>
      <c r="G93" t="s">
        <v>1388</v>
      </c>
    </row>
    <row r="94" spans="1:7" x14ac:dyDescent="0.2">
      <c r="A94" t="s">
        <v>1619</v>
      </c>
      <c r="B94" t="s">
        <v>1619</v>
      </c>
      <c r="C94" t="s">
        <v>1620</v>
      </c>
      <c r="D94" t="s">
        <v>1481</v>
      </c>
      <c r="E94" t="s">
        <v>1482</v>
      </c>
      <c r="F94" t="s">
        <v>1387</v>
      </c>
      <c r="G94" t="s">
        <v>1388</v>
      </c>
    </row>
    <row r="95" spans="1:7" x14ac:dyDescent="0.2">
      <c r="A95" t="s">
        <v>1621</v>
      </c>
      <c r="B95" t="s">
        <v>1621</v>
      </c>
      <c r="C95" t="s">
        <v>1622</v>
      </c>
      <c r="D95" t="s">
        <v>1413</v>
      </c>
      <c r="E95" t="s">
        <v>1414</v>
      </c>
      <c r="F95" t="s">
        <v>1387</v>
      </c>
      <c r="G95" t="s">
        <v>1388</v>
      </c>
    </row>
    <row r="96" spans="1:7" x14ac:dyDescent="0.2">
      <c r="A96" t="s">
        <v>1623</v>
      </c>
      <c r="B96" t="s">
        <v>1623</v>
      </c>
      <c r="C96" t="s">
        <v>1624</v>
      </c>
      <c r="D96" t="s">
        <v>1409</v>
      </c>
      <c r="E96" t="s">
        <v>1410</v>
      </c>
      <c r="F96" t="s">
        <v>1387</v>
      </c>
      <c r="G96" t="s">
        <v>1388</v>
      </c>
    </row>
    <row r="97" spans="1:7" x14ac:dyDescent="0.2">
      <c r="A97" t="s">
        <v>1625</v>
      </c>
      <c r="B97" t="s">
        <v>1625</v>
      </c>
      <c r="C97" t="s">
        <v>1626</v>
      </c>
      <c r="D97" t="s">
        <v>1391</v>
      </c>
      <c r="E97" t="s">
        <v>1392</v>
      </c>
      <c r="F97" t="s">
        <v>1387</v>
      </c>
      <c r="G97" t="s">
        <v>1388</v>
      </c>
    </row>
    <row r="98" spans="1:7" x14ac:dyDescent="0.2">
      <c r="A98" t="s">
        <v>1627</v>
      </c>
      <c r="B98" t="s">
        <v>1627</v>
      </c>
      <c r="C98" t="s">
        <v>1628</v>
      </c>
      <c r="D98" t="s">
        <v>1597</v>
      </c>
      <c r="E98" t="s">
        <v>1598</v>
      </c>
      <c r="F98" t="s">
        <v>1387</v>
      </c>
      <c r="G98" t="s">
        <v>1388</v>
      </c>
    </row>
    <row r="99" spans="1:7" x14ac:dyDescent="0.2">
      <c r="A99" t="s">
        <v>1629</v>
      </c>
      <c r="B99" t="s">
        <v>1629</v>
      </c>
      <c r="C99" t="s">
        <v>1630</v>
      </c>
      <c r="D99" t="s">
        <v>1475</v>
      </c>
      <c r="E99" t="s">
        <v>1476</v>
      </c>
      <c r="F99" t="s">
        <v>1387</v>
      </c>
      <c r="G99" t="s">
        <v>1388</v>
      </c>
    </row>
    <row r="100" spans="1:7" x14ac:dyDescent="0.2">
      <c r="A100" t="s">
        <v>1631</v>
      </c>
      <c r="B100" t="s">
        <v>1631</v>
      </c>
      <c r="C100" t="s">
        <v>1632</v>
      </c>
      <c r="D100" t="s">
        <v>1571</v>
      </c>
      <c r="E100" t="s">
        <v>1572</v>
      </c>
      <c r="F100" t="s">
        <v>1387</v>
      </c>
      <c r="G100" t="s">
        <v>1388</v>
      </c>
    </row>
    <row r="101" spans="1:7" x14ac:dyDescent="0.2">
      <c r="A101" t="s">
        <v>1633</v>
      </c>
      <c r="B101" t="s">
        <v>1633</v>
      </c>
      <c r="C101" t="s">
        <v>1634</v>
      </c>
      <c r="D101" t="s">
        <v>1555</v>
      </c>
      <c r="E101" t="s">
        <v>1556</v>
      </c>
      <c r="F101" t="s">
        <v>1387</v>
      </c>
      <c r="G101" t="s">
        <v>1388</v>
      </c>
    </row>
    <row r="102" spans="1:7" x14ac:dyDescent="0.2">
      <c r="A102" t="s">
        <v>1635</v>
      </c>
      <c r="B102" t="s">
        <v>1635</v>
      </c>
      <c r="C102" t="s">
        <v>1636</v>
      </c>
      <c r="D102" t="s">
        <v>1555</v>
      </c>
      <c r="E102" t="s">
        <v>1556</v>
      </c>
      <c r="F102" t="s">
        <v>1387</v>
      </c>
      <c r="G102" t="s">
        <v>1388</v>
      </c>
    </row>
    <row r="103" spans="1:7" x14ac:dyDescent="0.2">
      <c r="A103" t="s">
        <v>1637</v>
      </c>
      <c r="B103" t="s">
        <v>1637</v>
      </c>
      <c r="C103" t="s">
        <v>1638</v>
      </c>
      <c r="D103" t="s">
        <v>1475</v>
      </c>
      <c r="E103" t="s">
        <v>1476</v>
      </c>
      <c r="F103" t="s">
        <v>1387</v>
      </c>
      <c r="G103" t="s">
        <v>1388</v>
      </c>
    </row>
    <row r="104" spans="1:7" x14ac:dyDescent="0.2">
      <c r="A104" t="s">
        <v>1639</v>
      </c>
      <c r="B104" t="s">
        <v>1639</v>
      </c>
      <c r="C104" t="s">
        <v>1640</v>
      </c>
      <c r="D104" t="s">
        <v>1471</v>
      </c>
      <c r="E104" t="s">
        <v>1472</v>
      </c>
      <c r="F104" t="s">
        <v>1387</v>
      </c>
      <c r="G104" t="s">
        <v>1388</v>
      </c>
    </row>
    <row r="105" spans="1:7" x14ac:dyDescent="0.2">
      <c r="A105" t="s">
        <v>1641</v>
      </c>
      <c r="B105" t="s">
        <v>1641</v>
      </c>
      <c r="C105" t="s">
        <v>1642</v>
      </c>
      <c r="D105" t="s">
        <v>1475</v>
      </c>
      <c r="E105" t="s">
        <v>1476</v>
      </c>
      <c r="F105" t="s">
        <v>1387</v>
      </c>
      <c r="G105" t="s">
        <v>1388</v>
      </c>
    </row>
    <row r="106" spans="1:7" x14ac:dyDescent="0.2">
      <c r="A106" t="s">
        <v>1643</v>
      </c>
      <c r="B106" t="s">
        <v>1643</v>
      </c>
      <c r="C106" t="s">
        <v>1644</v>
      </c>
      <c r="D106" t="s">
        <v>1441</v>
      </c>
      <c r="E106" t="s">
        <v>1442</v>
      </c>
      <c r="F106" t="s">
        <v>1387</v>
      </c>
      <c r="G106" t="s">
        <v>1388</v>
      </c>
    </row>
    <row r="107" spans="1:7" x14ac:dyDescent="0.2">
      <c r="A107" t="s">
        <v>1645</v>
      </c>
      <c r="B107" t="s">
        <v>1645</v>
      </c>
      <c r="C107" t="s">
        <v>1646</v>
      </c>
      <c r="D107" t="s">
        <v>1429</v>
      </c>
      <c r="E107" t="s">
        <v>1430</v>
      </c>
      <c r="F107" t="s">
        <v>1387</v>
      </c>
      <c r="G107" t="s">
        <v>1388</v>
      </c>
    </row>
    <row r="108" spans="1:7" x14ac:dyDescent="0.2">
      <c r="A108" t="s">
        <v>1647</v>
      </c>
      <c r="B108" t="s">
        <v>1647</v>
      </c>
      <c r="C108" t="s">
        <v>1648</v>
      </c>
      <c r="D108" t="s">
        <v>1597</v>
      </c>
      <c r="E108" t="s">
        <v>1598</v>
      </c>
      <c r="F108" t="s">
        <v>1387</v>
      </c>
      <c r="G108" t="s">
        <v>1388</v>
      </c>
    </row>
    <row r="109" spans="1:7" x14ac:dyDescent="0.2">
      <c r="A109" t="s">
        <v>1649</v>
      </c>
      <c r="B109" t="s">
        <v>1649</v>
      </c>
      <c r="C109" t="s">
        <v>1650</v>
      </c>
      <c r="D109" t="s">
        <v>1429</v>
      </c>
      <c r="E109" t="s">
        <v>1430</v>
      </c>
      <c r="F109" t="s">
        <v>1387</v>
      </c>
      <c r="G109" t="s">
        <v>1388</v>
      </c>
    </row>
    <row r="110" spans="1:7" x14ac:dyDescent="0.2">
      <c r="A110" t="s">
        <v>1651</v>
      </c>
      <c r="B110" t="s">
        <v>1651</v>
      </c>
      <c r="C110" t="s">
        <v>1652</v>
      </c>
      <c r="D110" t="s">
        <v>1409</v>
      </c>
      <c r="E110" t="s">
        <v>1410</v>
      </c>
      <c r="F110" t="s">
        <v>1387</v>
      </c>
      <c r="G110" t="s">
        <v>1388</v>
      </c>
    </row>
    <row r="111" spans="1:7" x14ac:dyDescent="0.2">
      <c r="A111" t="s">
        <v>1653</v>
      </c>
      <c r="B111" t="s">
        <v>1653</v>
      </c>
      <c r="C111" t="s">
        <v>1654</v>
      </c>
      <c r="D111" t="s">
        <v>1459</v>
      </c>
      <c r="E111" t="s">
        <v>1460</v>
      </c>
      <c r="F111" t="s">
        <v>1387</v>
      </c>
      <c r="G111" t="s">
        <v>1388</v>
      </c>
    </row>
    <row r="112" spans="1:7" x14ac:dyDescent="0.2">
      <c r="A112" t="s">
        <v>1655</v>
      </c>
      <c r="B112" t="s">
        <v>1655</v>
      </c>
      <c r="C112" t="s">
        <v>1656</v>
      </c>
      <c r="D112" t="s">
        <v>1471</v>
      </c>
      <c r="E112" t="s">
        <v>1472</v>
      </c>
      <c r="F112" t="s">
        <v>1387</v>
      </c>
      <c r="G112" t="s">
        <v>1388</v>
      </c>
    </row>
    <row r="113" spans="1:7" x14ac:dyDescent="0.2">
      <c r="A113" t="s">
        <v>1657</v>
      </c>
      <c r="B113" t="s">
        <v>1657</v>
      </c>
      <c r="C113" t="s">
        <v>1658</v>
      </c>
      <c r="D113" t="s">
        <v>1409</v>
      </c>
      <c r="E113" t="s">
        <v>1410</v>
      </c>
      <c r="F113" t="s">
        <v>1387</v>
      </c>
      <c r="G113" t="s">
        <v>1388</v>
      </c>
    </row>
    <row r="114" spans="1:7" x14ac:dyDescent="0.2">
      <c r="A114" t="s">
        <v>1659</v>
      </c>
      <c r="B114" t="s">
        <v>1659</v>
      </c>
      <c r="C114" t="s">
        <v>1660</v>
      </c>
      <c r="D114" t="s">
        <v>1475</v>
      </c>
      <c r="E114" t="s">
        <v>1476</v>
      </c>
      <c r="F114" t="s">
        <v>1387</v>
      </c>
      <c r="G114" t="s">
        <v>1388</v>
      </c>
    </row>
    <row r="115" spans="1:7" x14ac:dyDescent="0.2">
      <c r="A115" t="s">
        <v>1661</v>
      </c>
      <c r="B115" t="s">
        <v>1661</v>
      </c>
      <c r="C115" t="s">
        <v>1662</v>
      </c>
      <c r="D115" t="s">
        <v>1493</v>
      </c>
      <c r="E115" t="s">
        <v>1494</v>
      </c>
      <c r="F115" t="s">
        <v>1387</v>
      </c>
      <c r="G115" t="s">
        <v>1388</v>
      </c>
    </row>
    <row r="116" spans="1:7" x14ac:dyDescent="0.2">
      <c r="A116" t="s">
        <v>1663</v>
      </c>
      <c r="B116" t="s">
        <v>1663</v>
      </c>
      <c r="C116" t="s">
        <v>1664</v>
      </c>
      <c r="D116" t="s">
        <v>1555</v>
      </c>
      <c r="E116" t="s">
        <v>1556</v>
      </c>
      <c r="F116" t="s">
        <v>1387</v>
      </c>
      <c r="G116" t="s">
        <v>1388</v>
      </c>
    </row>
    <row r="117" spans="1:7" x14ac:dyDescent="0.2">
      <c r="A117" t="s">
        <v>1665</v>
      </c>
      <c r="B117" t="s">
        <v>1665</v>
      </c>
      <c r="C117" t="s">
        <v>1666</v>
      </c>
      <c r="D117" t="s">
        <v>1475</v>
      </c>
      <c r="E117" t="s">
        <v>1476</v>
      </c>
      <c r="F117" t="s">
        <v>1387</v>
      </c>
      <c r="G117" t="s">
        <v>1388</v>
      </c>
    </row>
    <row r="118" spans="1:7" x14ac:dyDescent="0.2">
      <c r="A118" t="s">
        <v>1667</v>
      </c>
      <c r="B118" t="s">
        <v>1667</v>
      </c>
      <c r="C118" t="s">
        <v>1668</v>
      </c>
      <c r="D118" t="s">
        <v>1475</v>
      </c>
      <c r="E118" t="s">
        <v>1476</v>
      </c>
      <c r="F118" t="s">
        <v>1387</v>
      </c>
      <c r="G118" t="s">
        <v>1388</v>
      </c>
    </row>
    <row r="119" spans="1:7" x14ac:dyDescent="0.2">
      <c r="A119" t="s">
        <v>1669</v>
      </c>
      <c r="B119" t="s">
        <v>1669</v>
      </c>
      <c r="C119" t="s">
        <v>1670</v>
      </c>
      <c r="D119" t="s">
        <v>1471</v>
      </c>
      <c r="E119" t="s">
        <v>1472</v>
      </c>
      <c r="F119" t="s">
        <v>1387</v>
      </c>
      <c r="G119" t="s">
        <v>1388</v>
      </c>
    </row>
    <row r="120" spans="1:7" x14ac:dyDescent="0.2">
      <c r="A120" t="s">
        <v>1671</v>
      </c>
      <c r="B120" t="s">
        <v>1671</v>
      </c>
      <c r="C120" t="s">
        <v>1672</v>
      </c>
      <c r="D120" t="s">
        <v>1555</v>
      </c>
      <c r="E120" t="s">
        <v>1556</v>
      </c>
      <c r="F120" t="s">
        <v>1387</v>
      </c>
      <c r="G120" t="s">
        <v>1388</v>
      </c>
    </row>
    <row r="121" spans="1:7" x14ac:dyDescent="0.2">
      <c r="A121" t="s">
        <v>1673</v>
      </c>
      <c r="B121" t="s">
        <v>1673</v>
      </c>
      <c r="C121" t="s">
        <v>1674</v>
      </c>
      <c r="D121" t="s">
        <v>1421</v>
      </c>
      <c r="E121" t="s">
        <v>1422</v>
      </c>
      <c r="F121" t="s">
        <v>1387</v>
      </c>
      <c r="G121" t="s">
        <v>1388</v>
      </c>
    </row>
    <row r="122" spans="1:7" x14ac:dyDescent="0.2">
      <c r="A122" t="s">
        <v>1675</v>
      </c>
      <c r="B122" t="s">
        <v>1675</v>
      </c>
      <c r="C122" t="s">
        <v>1676</v>
      </c>
      <c r="D122" t="s">
        <v>1607</v>
      </c>
      <c r="E122" t="s">
        <v>1608</v>
      </c>
      <c r="F122" t="s">
        <v>1387</v>
      </c>
      <c r="G122" t="s">
        <v>1388</v>
      </c>
    </row>
    <row r="123" spans="1:7" x14ac:dyDescent="0.2">
      <c r="A123" t="s">
        <v>1677</v>
      </c>
      <c r="B123" t="s">
        <v>1677</v>
      </c>
      <c r="C123" t="s">
        <v>1678</v>
      </c>
      <c r="D123" t="s">
        <v>1437</v>
      </c>
      <c r="E123" t="s">
        <v>1438</v>
      </c>
      <c r="F123" t="s">
        <v>1387</v>
      </c>
      <c r="G123" t="s">
        <v>1388</v>
      </c>
    </row>
    <row r="124" spans="1:7" x14ac:dyDescent="0.2">
      <c r="A124" t="s">
        <v>1679</v>
      </c>
      <c r="B124" t="s">
        <v>1679</v>
      </c>
      <c r="C124" t="s">
        <v>1680</v>
      </c>
      <c r="D124" t="s">
        <v>1581</v>
      </c>
      <c r="E124" t="s">
        <v>1582</v>
      </c>
      <c r="F124" t="s">
        <v>1387</v>
      </c>
      <c r="G124" t="s">
        <v>1388</v>
      </c>
    </row>
    <row r="125" spans="1:7" x14ac:dyDescent="0.2">
      <c r="A125" t="s">
        <v>1681</v>
      </c>
      <c r="B125" t="s">
        <v>1681</v>
      </c>
      <c r="C125" t="s">
        <v>1682</v>
      </c>
      <c r="D125" t="s">
        <v>1571</v>
      </c>
      <c r="E125" t="s">
        <v>1572</v>
      </c>
      <c r="F125" t="s">
        <v>1387</v>
      </c>
      <c r="G125" t="s">
        <v>1388</v>
      </c>
    </row>
    <row r="126" spans="1:7" x14ac:dyDescent="0.2">
      <c r="A126" t="s">
        <v>1683</v>
      </c>
      <c r="B126" t="s">
        <v>1683</v>
      </c>
      <c r="C126" t="s">
        <v>1684</v>
      </c>
      <c r="D126" t="s">
        <v>1425</v>
      </c>
      <c r="E126" t="s">
        <v>1426</v>
      </c>
      <c r="F126" t="s">
        <v>1387</v>
      </c>
      <c r="G126" t="s">
        <v>1388</v>
      </c>
    </row>
    <row r="127" spans="1:7" x14ac:dyDescent="0.2">
      <c r="A127" t="s">
        <v>1685</v>
      </c>
      <c r="B127" t="s">
        <v>1685</v>
      </c>
      <c r="C127" t="s">
        <v>1686</v>
      </c>
      <c r="D127" t="s">
        <v>1441</v>
      </c>
      <c r="E127" t="s">
        <v>1442</v>
      </c>
      <c r="F127" t="s">
        <v>1387</v>
      </c>
      <c r="G127" t="s">
        <v>1388</v>
      </c>
    </row>
    <row r="128" spans="1:7" x14ac:dyDescent="0.2">
      <c r="A128" t="s">
        <v>1687</v>
      </c>
      <c r="B128" t="s">
        <v>1687</v>
      </c>
      <c r="C128" t="s">
        <v>1688</v>
      </c>
      <c r="D128" t="s">
        <v>1493</v>
      </c>
      <c r="E128" t="s">
        <v>1494</v>
      </c>
      <c r="F128" t="s">
        <v>1387</v>
      </c>
      <c r="G128" t="s">
        <v>1388</v>
      </c>
    </row>
    <row r="129" spans="1:7" x14ac:dyDescent="0.2">
      <c r="A129" t="s">
        <v>1689</v>
      </c>
      <c r="B129" t="s">
        <v>1689</v>
      </c>
      <c r="C129" t="s">
        <v>1690</v>
      </c>
      <c r="D129" t="s">
        <v>1607</v>
      </c>
      <c r="E129" t="s">
        <v>1608</v>
      </c>
      <c r="F129" t="s">
        <v>1387</v>
      </c>
      <c r="G129" t="s">
        <v>1388</v>
      </c>
    </row>
    <row r="130" spans="1:7" x14ac:dyDescent="0.2">
      <c r="A130" t="s">
        <v>1691</v>
      </c>
      <c r="B130" t="s">
        <v>1691</v>
      </c>
      <c r="C130" t="s">
        <v>1692</v>
      </c>
      <c r="D130" t="s">
        <v>1493</v>
      </c>
      <c r="E130" t="s">
        <v>1494</v>
      </c>
      <c r="F130" t="s">
        <v>1387</v>
      </c>
      <c r="G130" t="s">
        <v>1388</v>
      </c>
    </row>
    <row r="131" spans="1:7" x14ac:dyDescent="0.2">
      <c r="A131" t="s">
        <v>1693</v>
      </c>
      <c r="B131" t="s">
        <v>1693</v>
      </c>
      <c r="C131" t="s">
        <v>1694</v>
      </c>
      <c r="D131" t="s">
        <v>1493</v>
      </c>
      <c r="E131" t="s">
        <v>1494</v>
      </c>
      <c r="F131" t="s">
        <v>1387</v>
      </c>
      <c r="G131" t="s">
        <v>1388</v>
      </c>
    </row>
    <row r="132" spans="1:7" x14ac:dyDescent="0.2">
      <c r="A132" t="s">
        <v>1695</v>
      </c>
      <c r="B132" t="s">
        <v>1695</v>
      </c>
      <c r="C132" t="s">
        <v>1696</v>
      </c>
      <c r="D132" t="s">
        <v>1451</v>
      </c>
      <c r="E132" t="s">
        <v>1452</v>
      </c>
      <c r="F132" t="s">
        <v>1387</v>
      </c>
      <c r="G132" t="s">
        <v>1388</v>
      </c>
    </row>
    <row r="133" spans="1:7" x14ac:dyDescent="0.2">
      <c r="A133" t="s">
        <v>1697</v>
      </c>
      <c r="B133" t="s">
        <v>1697</v>
      </c>
      <c r="C133" t="s">
        <v>1698</v>
      </c>
      <c r="D133" t="s">
        <v>1571</v>
      </c>
      <c r="E133" t="s">
        <v>1572</v>
      </c>
      <c r="F133" t="s">
        <v>1387</v>
      </c>
      <c r="G133" t="s">
        <v>1388</v>
      </c>
    </row>
    <row r="134" spans="1:7" x14ac:dyDescent="0.2">
      <c r="A134" t="s">
        <v>1699</v>
      </c>
      <c r="B134" t="s">
        <v>1699</v>
      </c>
      <c r="C134" t="s">
        <v>1700</v>
      </c>
      <c r="D134" t="s">
        <v>1385</v>
      </c>
      <c r="E134" t="s">
        <v>1386</v>
      </c>
      <c r="F134" t="s">
        <v>1387</v>
      </c>
      <c r="G134" t="s">
        <v>1388</v>
      </c>
    </row>
    <row r="135" spans="1:7" x14ac:dyDescent="0.2">
      <c r="A135" t="s">
        <v>1701</v>
      </c>
      <c r="B135" t="s">
        <v>1701</v>
      </c>
      <c r="C135" t="s">
        <v>1702</v>
      </c>
      <c r="D135" t="s">
        <v>1481</v>
      </c>
      <c r="E135" t="s">
        <v>1482</v>
      </c>
      <c r="F135" t="s">
        <v>1387</v>
      </c>
      <c r="G135" t="s">
        <v>1388</v>
      </c>
    </row>
    <row r="136" spans="1:7" x14ac:dyDescent="0.2">
      <c r="A136" t="s">
        <v>1703</v>
      </c>
      <c r="B136" t="s">
        <v>1703</v>
      </c>
      <c r="C136" t="s">
        <v>1704</v>
      </c>
      <c r="D136" t="s">
        <v>1481</v>
      </c>
      <c r="E136" t="s">
        <v>1482</v>
      </c>
      <c r="F136" t="s">
        <v>1387</v>
      </c>
      <c r="G136" t="s">
        <v>1388</v>
      </c>
    </row>
    <row r="137" spans="1:7" x14ac:dyDescent="0.2">
      <c r="A137" t="s">
        <v>1705</v>
      </c>
      <c r="B137" t="s">
        <v>1705</v>
      </c>
      <c r="C137" t="s">
        <v>1706</v>
      </c>
      <c r="D137" t="s">
        <v>1385</v>
      </c>
      <c r="E137" t="s">
        <v>1386</v>
      </c>
      <c r="F137" t="s">
        <v>1387</v>
      </c>
      <c r="G137" t="s">
        <v>1388</v>
      </c>
    </row>
    <row r="138" spans="1:7" x14ac:dyDescent="0.2">
      <c r="A138" t="s">
        <v>1707</v>
      </c>
      <c r="B138" t="s">
        <v>1707</v>
      </c>
      <c r="C138" t="s">
        <v>1708</v>
      </c>
      <c r="D138" t="s">
        <v>1597</v>
      </c>
      <c r="E138" t="s">
        <v>1598</v>
      </c>
      <c r="F138" t="s">
        <v>1387</v>
      </c>
      <c r="G138" t="s">
        <v>1388</v>
      </c>
    </row>
    <row r="139" spans="1:7" x14ac:dyDescent="0.2">
      <c r="A139" t="s">
        <v>1709</v>
      </c>
      <c r="B139" t="s">
        <v>1709</v>
      </c>
      <c r="C139" t="s">
        <v>1710</v>
      </c>
      <c r="D139" t="s">
        <v>1425</v>
      </c>
      <c r="E139" t="s">
        <v>1426</v>
      </c>
      <c r="F139" t="s">
        <v>1387</v>
      </c>
      <c r="G139" t="s">
        <v>1388</v>
      </c>
    </row>
    <row r="140" spans="1:7" x14ac:dyDescent="0.2">
      <c r="A140" t="s">
        <v>1711</v>
      </c>
      <c r="B140" t="s">
        <v>1711</v>
      </c>
      <c r="C140" t="s">
        <v>1712</v>
      </c>
      <c r="D140" t="s">
        <v>1493</v>
      </c>
      <c r="E140" t="s">
        <v>1494</v>
      </c>
      <c r="F140" t="s">
        <v>1387</v>
      </c>
      <c r="G140" t="s">
        <v>1388</v>
      </c>
    </row>
    <row r="141" spans="1:7" x14ac:dyDescent="0.2">
      <c r="A141" t="s">
        <v>1713</v>
      </c>
      <c r="B141" t="s">
        <v>1713</v>
      </c>
      <c r="C141" t="s">
        <v>1714</v>
      </c>
      <c r="D141" t="s">
        <v>1499</v>
      </c>
      <c r="E141" t="s">
        <v>1500</v>
      </c>
      <c r="F141" t="s">
        <v>1387</v>
      </c>
      <c r="G141" t="s">
        <v>1388</v>
      </c>
    </row>
    <row r="142" spans="1:7" x14ac:dyDescent="0.2">
      <c r="A142" t="s">
        <v>1715</v>
      </c>
      <c r="B142" t="s">
        <v>1715</v>
      </c>
      <c r="C142" t="s">
        <v>1716</v>
      </c>
      <c r="D142" t="s">
        <v>1481</v>
      </c>
      <c r="E142" t="s">
        <v>1482</v>
      </c>
      <c r="F142" t="s">
        <v>1387</v>
      </c>
      <c r="G142" t="s">
        <v>1388</v>
      </c>
    </row>
    <row r="143" spans="1:7" x14ac:dyDescent="0.2">
      <c r="A143" t="s">
        <v>1717</v>
      </c>
      <c r="B143" t="s">
        <v>1717</v>
      </c>
      <c r="C143" t="s">
        <v>1718</v>
      </c>
      <c r="D143" t="s">
        <v>1571</v>
      </c>
      <c r="E143" t="s">
        <v>1572</v>
      </c>
      <c r="F143" t="s">
        <v>1387</v>
      </c>
      <c r="G143" t="s">
        <v>1388</v>
      </c>
    </row>
    <row r="144" spans="1:7" x14ac:dyDescent="0.2">
      <c r="A144" t="s">
        <v>1719</v>
      </c>
      <c r="B144" t="s">
        <v>1719</v>
      </c>
      <c r="C144" t="s">
        <v>1720</v>
      </c>
      <c r="D144" t="s">
        <v>1719</v>
      </c>
      <c r="E144" t="s">
        <v>1721</v>
      </c>
      <c r="F144" t="s">
        <v>1387</v>
      </c>
      <c r="G144" t="s">
        <v>1388</v>
      </c>
    </row>
    <row r="145" spans="1:7" x14ac:dyDescent="0.2">
      <c r="A145" t="s">
        <v>1722</v>
      </c>
      <c r="B145" t="s">
        <v>1722</v>
      </c>
      <c r="C145" t="s">
        <v>1723</v>
      </c>
      <c r="D145" t="s">
        <v>1581</v>
      </c>
      <c r="E145" t="s">
        <v>1582</v>
      </c>
      <c r="F145" t="s">
        <v>1387</v>
      </c>
      <c r="G145" t="s">
        <v>1388</v>
      </c>
    </row>
    <row r="146" spans="1:7" x14ac:dyDescent="0.2">
      <c r="A146" t="s">
        <v>1724</v>
      </c>
      <c r="B146" t="s">
        <v>1724</v>
      </c>
      <c r="C146" t="s">
        <v>1725</v>
      </c>
      <c r="D146" t="s">
        <v>1475</v>
      </c>
      <c r="E146" t="s">
        <v>1476</v>
      </c>
      <c r="F146" t="s">
        <v>1387</v>
      </c>
      <c r="G146" t="s">
        <v>1388</v>
      </c>
    </row>
    <row r="147" spans="1:7" x14ac:dyDescent="0.2">
      <c r="A147" t="s">
        <v>1726</v>
      </c>
      <c r="B147" t="s">
        <v>1726</v>
      </c>
      <c r="C147" t="s">
        <v>1727</v>
      </c>
      <c r="D147" t="s">
        <v>1429</v>
      </c>
      <c r="E147" t="s">
        <v>1430</v>
      </c>
      <c r="F147" t="s">
        <v>1387</v>
      </c>
      <c r="G147" t="s">
        <v>1388</v>
      </c>
    </row>
    <row r="148" spans="1:7" x14ac:dyDescent="0.2">
      <c r="A148" t="s">
        <v>1728</v>
      </c>
      <c r="B148" t="s">
        <v>1728</v>
      </c>
      <c r="C148" t="s">
        <v>1729</v>
      </c>
      <c r="D148" t="s">
        <v>1581</v>
      </c>
      <c r="E148" t="s">
        <v>1582</v>
      </c>
      <c r="F148" t="s">
        <v>1387</v>
      </c>
      <c r="G148" t="s">
        <v>1388</v>
      </c>
    </row>
    <row r="149" spans="1:7" x14ac:dyDescent="0.2">
      <c r="A149" t="s">
        <v>1730</v>
      </c>
      <c r="B149" t="s">
        <v>1730</v>
      </c>
      <c r="C149" t="s">
        <v>1731</v>
      </c>
      <c r="D149" t="s">
        <v>1399</v>
      </c>
      <c r="E149" t="s">
        <v>1400</v>
      </c>
      <c r="F149" t="s">
        <v>1387</v>
      </c>
      <c r="G149" t="s">
        <v>1388</v>
      </c>
    </row>
    <row r="150" spans="1:7" x14ac:dyDescent="0.2">
      <c r="A150" t="s">
        <v>1732</v>
      </c>
      <c r="B150" t="s">
        <v>1732</v>
      </c>
      <c r="C150" t="s">
        <v>1733</v>
      </c>
      <c r="D150" t="s">
        <v>1421</v>
      </c>
      <c r="E150" t="s">
        <v>1422</v>
      </c>
      <c r="F150" t="s">
        <v>1387</v>
      </c>
      <c r="G150" t="s">
        <v>1388</v>
      </c>
    </row>
    <row r="151" spans="1:7" x14ac:dyDescent="0.2">
      <c r="A151" t="s">
        <v>1734</v>
      </c>
      <c r="B151" t="s">
        <v>1734</v>
      </c>
      <c r="C151" t="s">
        <v>1735</v>
      </c>
      <c r="D151" t="s">
        <v>1555</v>
      </c>
      <c r="E151" t="s">
        <v>1556</v>
      </c>
      <c r="F151" t="s">
        <v>1387</v>
      </c>
      <c r="G151" t="s">
        <v>1388</v>
      </c>
    </row>
    <row r="152" spans="1:7" x14ac:dyDescent="0.2">
      <c r="A152" t="s">
        <v>1736</v>
      </c>
      <c r="B152" t="s">
        <v>1736</v>
      </c>
      <c r="C152" t="s">
        <v>1737</v>
      </c>
      <c r="D152" t="s">
        <v>1493</v>
      </c>
      <c r="E152" t="s">
        <v>1494</v>
      </c>
      <c r="F152" t="s">
        <v>1387</v>
      </c>
      <c r="G152" t="s">
        <v>1388</v>
      </c>
    </row>
    <row r="153" spans="1:7" x14ac:dyDescent="0.2">
      <c r="A153" t="s">
        <v>1738</v>
      </c>
      <c r="B153" t="s">
        <v>1738</v>
      </c>
      <c r="C153" t="s">
        <v>1739</v>
      </c>
      <c r="D153" t="s">
        <v>1399</v>
      </c>
      <c r="E153" t="s">
        <v>1400</v>
      </c>
      <c r="F153" t="s">
        <v>1387</v>
      </c>
      <c r="G153" t="s">
        <v>1388</v>
      </c>
    </row>
    <row r="154" spans="1:7" x14ac:dyDescent="0.2">
      <c r="A154" t="s">
        <v>1740</v>
      </c>
      <c r="B154" t="s">
        <v>1740</v>
      </c>
      <c r="C154" t="s">
        <v>1741</v>
      </c>
      <c r="D154" t="s">
        <v>1581</v>
      </c>
      <c r="E154" t="s">
        <v>1582</v>
      </c>
      <c r="F154" t="s">
        <v>1387</v>
      </c>
      <c r="G154" t="s">
        <v>1388</v>
      </c>
    </row>
    <row r="155" spans="1:7" x14ac:dyDescent="0.2">
      <c r="A155" t="s">
        <v>1742</v>
      </c>
      <c r="B155" t="s">
        <v>1742</v>
      </c>
      <c r="C155" t="s">
        <v>1743</v>
      </c>
      <c r="D155" t="s">
        <v>1571</v>
      </c>
      <c r="E155" t="s">
        <v>1572</v>
      </c>
      <c r="F155" t="s">
        <v>1387</v>
      </c>
      <c r="G155" t="s">
        <v>1388</v>
      </c>
    </row>
    <row r="156" spans="1:7" x14ac:dyDescent="0.2">
      <c r="A156" t="s">
        <v>1744</v>
      </c>
      <c r="B156" t="s">
        <v>1744</v>
      </c>
      <c r="C156" t="s">
        <v>1745</v>
      </c>
      <c r="D156" t="s">
        <v>1475</v>
      </c>
      <c r="E156" t="s">
        <v>1476</v>
      </c>
      <c r="F156" t="s">
        <v>1387</v>
      </c>
      <c r="G156" t="s">
        <v>1388</v>
      </c>
    </row>
    <row r="157" spans="1:7" x14ac:dyDescent="0.2">
      <c r="A157" t="s">
        <v>1746</v>
      </c>
      <c r="B157" t="s">
        <v>1746</v>
      </c>
      <c r="C157" t="s">
        <v>1747</v>
      </c>
      <c r="D157" t="s">
        <v>1425</v>
      </c>
      <c r="E157" t="s">
        <v>1426</v>
      </c>
      <c r="F157" t="s">
        <v>1387</v>
      </c>
      <c r="G157" t="s">
        <v>1388</v>
      </c>
    </row>
    <row r="158" spans="1:7" x14ac:dyDescent="0.2">
      <c r="A158" t="s">
        <v>1748</v>
      </c>
      <c r="B158" t="s">
        <v>1748</v>
      </c>
      <c r="C158" t="s">
        <v>1749</v>
      </c>
      <c r="D158" t="s">
        <v>1425</v>
      </c>
      <c r="E158" t="s">
        <v>1426</v>
      </c>
      <c r="F158" t="s">
        <v>1387</v>
      </c>
      <c r="G158" t="s">
        <v>1388</v>
      </c>
    </row>
    <row r="159" spans="1:7" x14ac:dyDescent="0.2">
      <c r="A159" t="s">
        <v>1750</v>
      </c>
      <c r="B159" t="s">
        <v>1750</v>
      </c>
      <c r="C159" t="s">
        <v>1751</v>
      </c>
      <c r="D159" t="s">
        <v>1597</v>
      </c>
      <c r="E159" t="s">
        <v>1598</v>
      </c>
      <c r="F159" t="s">
        <v>1387</v>
      </c>
      <c r="G159" t="s">
        <v>1388</v>
      </c>
    </row>
    <row r="160" spans="1:7" x14ac:dyDescent="0.2">
      <c r="A160" t="s">
        <v>1752</v>
      </c>
      <c r="B160" t="s">
        <v>1752</v>
      </c>
      <c r="C160" t="s">
        <v>1753</v>
      </c>
      <c r="D160" t="s">
        <v>1459</v>
      </c>
      <c r="E160" t="s">
        <v>1460</v>
      </c>
      <c r="F160" t="s">
        <v>1387</v>
      </c>
      <c r="G160" t="s">
        <v>1388</v>
      </c>
    </row>
    <row r="161" spans="1:7" x14ac:dyDescent="0.2">
      <c r="A161" t="s">
        <v>1754</v>
      </c>
      <c r="B161" t="s">
        <v>1754</v>
      </c>
      <c r="C161" t="s">
        <v>1755</v>
      </c>
      <c r="D161" t="s">
        <v>1421</v>
      </c>
      <c r="E161" t="s">
        <v>1422</v>
      </c>
      <c r="F161" t="s">
        <v>1387</v>
      </c>
      <c r="G161" t="s">
        <v>1388</v>
      </c>
    </row>
    <row r="162" spans="1:7" x14ac:dyDescent="0.2">
      <c r="A162" t="s">
        <v>1756</v>
      </c>
      <c r="B162" t="s">
        <v>1756</v>
      </c>
      <c r="C162" t="s">
        <v>1757</v>
      </c>
      <c r="D162" t="s">
        <v>1437</v>
      </c>
      <c r="E162" t="s">
        <v>1438</v>
      </c>
      <c r="F162" t="s">
        <v>1387</v>
      </c>
      <c r="G162" t="s">
        <v>1388</v>
      </c>
    </row>
    <row r="163" spans="1:7" x14ac:dyDescent="0.2">
      <c r="A163" t="s">
        <v>1758</v>
      </c>
      <c r="B163" t="s">
        <v>1758</v>
      </c>
      <c r="C163" t="s">
        <v>1759</v>
      </c>
      <c r="D163" t="s">
        <v>1395</v>
      </c>
      <c r="E163" t="s">
        <v>1396</v>
      </c>
      <c r="F163" t="s">
        <v>1387</v>
      </c>
      <c r="G163" t="s">
        <v>1388</v>
      </c>
    </row>
    <row r="164" spans="1:7" x14ac:dyDescent="0.2">
      <c r="A164" t="s">
        <v>1760</v>
      </c>
      <c r="B164" t="s">
        <v>1760</v>
      </c>
      <c r="C164" t="s">
        <v>1761</v>
      </c>
      <c r="D164" t="s">
        <v>1459</v>
      </c>
      <c r="E164" t="s">
        <v>1460</v>
      </c>
      <c r="F164" t="s">
        <v>1387</v>
      </c>
      <c r="G164" t="s">
        <v>1388</v>
      </c>
    </row>
    <row r="165" spans="1:7" x14ac:dyDescent="0.2">
      <c r="A165" t="s">
        <v>1762</v>
      </c>
      <c r="B165" t="s">
        <v>1762</v>
      </c>
      <c r="C165" t="s">
        <v>1763</v>
      </c>
      <c r="D165" t="s">
        <v>1607</v>
      </c>
      <c r="E165" t="s">
        <v>1608</v>
      </c>
      <c r="F165" t="s">
        <v>1387</v>
      </c>
      <c r="G165" t="s">
        <v>1388</v>
      </c>
    </row>
    <row r="166" spans="1:7" x14ac:dyDescent="0.2">
      <c r="A166" t="s">
        <v>1764</v>
      </c>
      <c r="B166" t="s">
        <v>1764</v>
      </c>
      <c r="C166" t="s">
        <v>1765</v>
      </c>
      <c r="D166" t="s">
        <v>1571</v>
      </c>
      <c r="E166" t="s">
        <v>1572</v>
      </c>
      <c r="F166" t="s">
        <v>1387</v>
      </c>
      <c r="G166" t="s">
        <v>1388</v>
      </c>
    </row>
    <row r="167" spans="1:7" x14ac:dyDescent="0.2">
      <c r="A167" t="s">
        <v>1766</v>
      </c>
      <c r="B167" t="s">
        <v>1766</v>
      </c>
      <c r="C167" t="s">
        <v>1767</v>
      </c>
      <c r="D167" t="s">
        <v>1581</v>
      </c>
      <c r="E167" t="s">
        <v>1582</v>
      </c>
      <c r="F167" t="s">
        <v>1387</v>
      </c>
      <c r="G167" t="s">
        <v>1388</v>
      </c>
    </row>
    <row r="168" spans="1:7" x14ac:dyDescent="0.2">
      <c r="A168" t="s">
        <v>1768</v>
      </c>
      <c r="B168" t="s">
        <v>1768</v>
      </c>
      <c r="C168" t="s">
        <v>1769</v>
      </c>
      <c r="D168" t="s">
        <v>1597</v>
      </c>
      <c r="E168" t="s">
        <v>1598</v>
      </c>
      <c r="F168" t="s">
        <v>1387</v>
      </c>
      <c r="G168" t="s">
        <v>1388</v>
      </c>
    </row>
    <row r="169" spans="1:7" x14ac:dyDescent="0.2">
      <c r="A169" t="s">
        <v>1770</v>
      </c>
      <c r="B169" t="s">
        <v>1770</v>
      </c>
      <c r="C169" t="s">
        <v>1771</v>
      </c>
      <c r="D169" t="s">
        <v>1395</v>
      </c>
      <c r="E169" t="s">
        <v>1396</v>
      </c>
      <c r="F169" t="s">
        <v>1387</v>
      </c>
      <c r="G169" t="s">
        <v>1388</v>
      </c>
    </row>
    <row r="170" spans="1:7" x14ac:dyDescent="0.2">
      <c r="A170" t="s">
        <v>1772</v>
      </c>
      <c r="B170" t="s">
        <v>1772</v>
      </c>
      <c r="C170" t="s">
        <v>1773</v>
      </c>
      <c r="D170" t="s">
        <v>1581</v>
      </c>
      <c r="E170" t="s">
        <v>1582</v>
      </c>
      <c r="F170" t="s">
        <v>1387</v>
      </c>
      <c r="G170" t="s">
        <v>1388</v>
      </c>
    </row>
    <row r="171" spans="1:7" x14ac:dyDescent="0.2">
      <c r="A171" t="s">
        <v>1774</v>
      </c>
      <c r="B171" t="s">
        <v>1774</v>
      </c>
      <c r="C171" t="s">
        <v>1775</v>
      </c>
      <c r="D171" t="s">
        <v>1399</v>
      </c>
      <c r="E171" t="s">
        <v>1400</v>
      </c>
      <c r="F171" t="s">
        <v>1387</v>
      </c>
      <c r="G171" t="s">
        <v>1388</v>
      </c>
    </row>
    <row r="172" spans="1:7" x14ac:dyDescent="0.2">
      <c r="A172" t="s">
        <v>1776</v>
      </c>
      <c r="B172" t="s">
        <v>1776</v>
      </c>
      <c r="C172" t="s">
        <v>1777</v>
      </c>
      <c r="D172" t="s">
        <v>1459</v>
      </c>
      <c r="E172" t="s">
        <v>1460</v>
      </c>
      <c r="F172" t="s">
        <v>1387</v>
      </c>
      <c r="G172" t="s">
        <v>1388</v>
      </c>
    </row>
    <row r="173" spans="1:7" x14ac:dyDescent="0.2">
      <c r="A173" t="s">
        <v>1778</v>
      </c>
      <c r="B173" t="s">
        <v>1778</v>
      </c>
      <c r="C173" t="s">
        <v>1779</v>
      </c>
      <c r="D173" t="s">
        <v>1607</v>
      </c>
      <c r="E173" t="s">
        <v>1608</v>
      </c>
      <c r="F173" t="s">
        <v>1387</v>
      </c>
      <c r="G173" t="s">
        <v>1388</v>
      </c>
    </row>
    <row r="174" spans="1:7" x14ac:dyDescent="0.2">
      <c r="A174" t="s">
        <v>1780</v>
      </c>
      <c r="B174" t="s">
        <v>1780</v>
      </c>
      <c r="C174" t="s">
        <v>1781</v>
      </c>
      <c r="D174" t="s">
        <v>1555</v>
      </c>
      <c r="E174" t="s">
        <v>1556</v>
      </c>
      <c r="F174" t="s">
        <v>1387</v>
      </c>
      <c r="G174" t="s">
        <v>1388</v>
      </c>
    </row>
    <row r="175" spans="1:7" x14ac:dyDescent="0.2">
      <c r="A175" t="s">
        <v>1782</v>
      </c>
      <c r="B175" t="s">
        <v>1782</v>
      </c>
      <c r="C175" t="s">
        <v>1783</v>
      </c>
      <c r="D175" t="s">
        <v>1395</v>
      </c>
      <c r="E175" t="s">
        <v>1396</v>
      </c>
      <c r="F175" t="s">
        <v>1387</v>
      </c>
      <c r="G175" t="s">
        <v>1388</v>
      </c>
    </row>
    <row r="176" spans="1:7" x14ac:dyDescent="0.2">
      <c r="A176" t="s">
        <v>1784</v>
      </c>
      <c r="B176" t="s">
        <v>1784</v>
      </c>
      <c r="C176" t="s">
        <v>1785</v>
      </c>
      <c r="D176" t="s">
        <v>1581</v>
      </c>
      <c r="E176" t="s">
        <v>1582</v>
      </c>
      <c r="F176" t="s">
        <v>1387</v>
      </c>
      <c r="G176" t="s">
        <v>1388</v>
      </c>
    </row>
    <row r="177" spans="1:7" x14ac:dyDescent="0.2">
      <c r="A177" t="s">
        <v>1786</v>
      </c>
      <c r="B177" t="s">
        <v>1786</v>
      </c>
      <c r="C177" t="s">
        <v>1787</v>
      </c>
      <c r="D177" t="s">
        <v>1597</v>
      </c>
      <c r="E177" t="s">
        <v>1598</v>
      </c>
      <c r="F177" t="s">
        <v>1387</v>
      </c>
      <c r="G177" t="s">
        <v>1388</v>
      </c>
    </row>
    <row r="178" spans="1:7" x14ac:dyDescent="0.2">
      <c r="A178" t="s">
        <v>1788</v>
      </c>
      <c r="B178" t="s">
        <v>1788</v>
      </c>
      <c r="C178" t="s">
        <v>1789</v>
      </c>
      <c r="D178" t="s">
        <v>1403</v>
      </c>
      <c r="E178" t="s">
        <v>1404</v>
      </c>
      <c r="F178" t="s">
        <v>1387</v>
      </c>
      <c r="G178" t="s">
        <v>1388</v>
      </c>
    </row>
    <row r="179" spans="1:7" x14ac:dyDescent="0.2">
      <c r="A179" t="s">
        <v>1790</v>
      </c>
      <c r="B179" t="s">
        <v>1790</v>
      </c>
      <c r="C179" t="s">
        <v>1791</v>
      </c>
      <c r="D179" t="s">
        <v>1499</v>
      </c>
      <c r="E179" t="s">
        <v>1500</v>
      </c>
      <c r="F179" t="s">
        <v>1387</v>
      </c>
      <c r="G179" t="s">
        <v>1388</v>
      </c>
    </row>
    <row r="180" spans="1:7" x14ac:dyDescent="0.2">
      <c r="A180" t="s">
        <v>1792</v>
      </c>
      <c r="B180" t="s">
        <v>1792</v>
      </c>
      <c r="C180" t="s">
        <v>1793</v>
      </c>
      <c r="D180" t="s">
        <v>1409</v>
      </c>
      <c r="E180" t="s">
        <v>1410</v>
      </c>
      <c r="F180" t="s">
        <v>1387</v>
      </c>
      <c r="G180" t="s">
        <v>1388</v>
      </c>
    </row>
    <row r="181" spans="1:7" x14ac:dyDescent="0.2">
      <c r="A181" t="s">
        <v>1794</v>
      </c>
      <c r="B181" t="s">
        <v>1794</v>
      </c>
      <c r="C181" t="s">
        <v>1795</v>
      </c>
      <c r="D181" t="s">
        <v>1481</v>
      </c>
      <c r="E181" t="s">
        <v>1482</v>
      </c>
      <c r="F181" t="s">
        <v>1387</v>
      </c>
      <c r="G181" t="s">
        <v>1388</v>
      </c>
    </row>
    <row r="182" spans="1:7" x14ac:dyDescent="0.2">
      <c r="A182" t="s">
        <v>1796</v>
      </c>
      <c r="B182" t="s">
        <v>1796</v>
      </c>
      <c r="C182" t="s">
        <v>1797</v>
      </c>
      <c r="D182" t="s">
        <v>1475</v>
      </c>
      <c r="E182" t="s">
        <v>1476</v>
      </c>
      <c r="F182" t="s">
        <v>1387</v>
      </c>
      <c r="G182" t="s">
        <v>1388</v>
      </c>
    </row>
    <row r="183" spans="1:7" x14ac:dyDescent="0.2">
      <c r="A183" t="s">
        <v>1798</v>
      </c>
      <c r="B183" t="s">
        <v>1798</v>
      </c>
      <c r="C183" t="s">
        <v>1799</v>
      </c>
      <c r="D183" t="s">
        <v>1471</v>
      </c>
      <c r="E183" t="s">
        <v>1472</v>
      </c>
      <c r="F183" t="s">
        <v>1387</v>
      </c>
      <c r="G183" t="s">
        <v>1388</v>
      </c>
    </row>
    <row r="184" spans="1:7" x14ac:dyDescent="0.2">
      <c r="A184" t="s">
        <v>1800</v>
      </c>
      <c r="B184" t="s">
        <v>1800</v>
      </c>
      <c r="C184" t="s">
        <v>1801</v>
      </c>
      <c r="D184" t="s">
        <v>1409</v>
      </c>
      <c r="E184" t="s">
        <v>1410</v>
      </c>
      <c r="F184" t="s">
        <v>1387</v>
      </c>
      <c r="G184" t="s">
        <v>1388</v>
      </c>
    </row>
    <row r="185" spans="1:7" x14ac:dyDescent="0.2">
      <c r="A185" t="s">
        <v>1802</v>
      </c>
      <c r="B185" t="s">
        <v>1802</v>
      </c>
      <c r="C185" t="s">
        <v>1803</v>
      </c>
      <c r="D185" t="s">
        <v>1437</v>
      </c>
      <c r="E185" t="s">
        <v>1438</v>
      </c>
      <c r="F185" t="s">
        <v>1387</v>
      </c>
      <c r="G185" t="s">
        <v>1388</v>
      </c>
    </row>
    <row r="186" spans="1:7" x14ac:dyDescent="0.2">
      <c r="A186" t="s">
        <v>1804</v>
      </c>
      <c r="B186" t="s">
        <v>1804</v>
      </c>
      <c r="C186" t="s">
        <v>1805</v>
      </c>
      <c r="D186" t="s">
        <v>1413</v>
      </c>
      <c r="E186" t="s">
        <v>1414</v>
      </c>
      <c r="F186" t="s">
        <v>1387</v>
      </c>
      <c r="G186" t="s">
        <v>1388</v>
      </c>
    </row>
    <row r="187" spans="1:7" x14ac:dyDescent="0.2">
      <c r="A187" t="s">
        <v>1806</v>
      </c>
      <c r="B187" t="s">
        <v>1806</v>
      </c>
      <c r="C187" t="s">
        <v>1807</v>
      </c>
      <c r="D187" t="s">
        <v>1395</v>
      </c>
      <c r="E187" t="s">
        <v>1396</v>
      </c>
      <c r="F187" t="s">
        <v>1387</v>
      </c>
      <c r="G187" t="s">
        <v>1388</v>
      </c>
    </row>
    <row r="188" spans="1:7" x14ac:dyDescent="0.2">
      <c r="A188" t="s">
        <v>1808</v>
      </c>
      <c r="B188" t="s">
        <v>1808</v>
      </c>
      <c r="C188" t="s">
        <v>1809</v>
      </c>
      <c r="D188" t="s">
        <v>1429</v>
      </c>
      <c r="E188" t="s">
        <v>1430</v>
      </c>
      <c r="F188" t="s">
        <v>1387</v>
      </c>
      <c r="G188" t="s">
        <v>1388</v>
      </c>
    </row>
    <row r="189" spans="1:7" x14ac:dyDescent="0.2">
      <c r="A189" t="s">
        <v>1810</v>
      </c>
      <c r="B189" t="s">
        <v>1810</v>
      </c>
      <c r="C189" t="s">
        <v>1811</v>
      </c>
      <c r="D189" t="s">
        <v>1429</v>
      </c>
      <c r="E189" t="s">
        <v>1430</v>
      </c>
      <c r="F189" t="s">
        <v>1387</v>
      </c>
      <c r="G189" t="s">
        <v>1388</v>
      </c>
    </row>
    <row r="190" spans="1:7" x14ac:dyDescent="0.2">
      <c r="A190" t="s">
        <v>1812</v>
      </c>
      <c r="B190" t="s">
        <v>1812</v>
      </c>
      <c r="C190" t="s">
        <v>1813</v>
      </c>
      <c r="D190" t="s">
        <v>1441</v>
      </c>
      <c r="E190" t="s">
        <v>1442</v>
      </c>
      <c r="F190" t="s">
        <v>1387</v>
      </c>
      <c r="G190" t="s">
        <v>1388</v>
      </c>
    </row>
  </sheetData>
  <sheetProtection algorithmName="SHA-512" hashValue="zCPpgEpsedH//88+5kXlEr8mcSaN1dE+Wc2cliczz+IPTgB7BmDF2qI8EqBQeVTDKXeslE2ZH7q8TX5HhPwY6Q==" saltValue="1zb63UpE+K3HOvXVldq6CQ==" spinCount="100000" sheet="1" objects="1" scenarios="1"/>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survey</vt:lpstr>
      <vt:lpstr>New Durations</vt:lpstr>
      <vt:lpstr>Crop list</vt:lpstr>
      <vt:lpstr>Additional information</vt:lpstr>
      <vt:lpstr>Admin 2 info1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Lawi Analo</dc:creator>
  <cp:lastModifiedBy>Microsoft Office User</cp:lastModifiedBy>
  <dcterms:created xsi:type="dcterms:W3CDTF">2020-12-10T15:46:11Z</dcterms:created>
  <dcterms:modified xsi:type="dcterms:W3CDTF">2023-05-02T21:19:17Z</dcterms:modified>
</cp:coreProperties>
</file>