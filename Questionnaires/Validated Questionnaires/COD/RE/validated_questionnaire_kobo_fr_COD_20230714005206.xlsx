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COD/RE/"/>
    </mc:Choice>
  </mc:AlternateContent>
  <xr:revisionPtr revIDLastSave="0" documentId="13_ncr:1_{6D51876C-F414-2D48-B173-06F6EC6C9E79}" xr6:coauthVersionLast="47" xr6:coauthVersionMax="47" xr10:uidLastSave="{00000000-0000-0000-0000-000000000000}"/>
  <bookViews>
    <workbookView xWindow="0" yWindow="500" windowWidth="33600" windowHeight="19600" xr2:uid="{00000000-000D-0000-FFFF-FFFF00000000}"/>
  </bookViews>
  <sheets>
    <sheet name="survey" sheetId="1" r:id="rId1"/>
    <sheet name="choices" sheetId="2" r:id="rId2"/>
    <sheet name="settings" sheetId="3" r:id="rId3"/>
    <sheet name="Crop list" sheetId="4" r:id="rId4"/>
    <sheet name="Additional inform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42" i="1" l="1"/>
  <c r="Z338" i="1"/>
  <c r="Y338" i="1"/>
  <c r="Z337" i="1"/>
  <c r="Y337" i="1"/>
  <c r="Z336" i="1"/>
  <c r="Y336" i="1"/>
  <c r="Z335" i="1"/>
  <c r="Y335" i="1"/>
  <c r="Z334" i="1"/>
  <c r="Y334" i="1"/>
  <c r="Z333" i="1"/>
  <c r="Y333" i="1"/>
  <c r="Z332" i="1"/>
  <c r="Y332" i="1"/>
  <c r="Z331" i="1"/>
  <c r="Y331" i="1"/>
  <c r="Z330" i="1"/>
  <c r="Y330" i="1"/>
  <c r="Z329" i="1"/>
  <c r="Y329" i="1"/>
  <c r="Z328" i="1"/>
  <c r="Y328" i="1"/>
  <c r="Z327" i="1"/>
  <c r="Y327" i="1"/>
  <c r="Z326" i="1"/>
  <c r="Y326" i="1"/>
  <c r="Z325" i="1"/>
  <c r="Y325" i="1"/>
  <c r="Z324" i="1"/>
  <c r="Y324" i="1"/>
  <c r="Z323" i="1"/>
  <c r="Y323" i="1"/>
  <c r="Z322" i="1"/>
  <c r="Y322" i="1"/>
  <c r="Z316" i="1"/>
  <c r="Y316" i="1"/>
  <c r="Z314" i="1"/>
  <c r="Y314" i="1"/>
  <c r="Z313" i="1"/>
  <c r="Y313" i="1"/>
  <c r="Z312" i="1"/>
  <c r="Y312" i="1"/>
  <c r="Z311" i="1"/>
  <c r="Y311" i="1"/>
  <c r="Z310" i="1"/>
  <c r="Y310" i="1"/>
  <c r="Z309" i="1"/>
  <c r="Y309" i="1"/>
  <c r="Z308" i="1"/>
  <c r="Y308" i="1"/>
  <c r="Z307" i="1"/>
  <c r="Y307" i="1"/>
  <c r="Z306" i="1"/>
  <c r="Y306" i="1"/>
  <c r="Z305" i="1"/>
  <c r="Y305" i="1"/>
  <c r="Z304" i="1"/>
  <c r="Y304" i="1"/>
  <c r="Z303" i="1"/>
  <c r="Y303" i="1"/>
  <c r="Z302" i="1"/>
  <c r="Y302" i="1"/>
  <c r="Z301" i="1"/>
  <c r="Y301" i="1"/>
  <c r="Z300" i="1"/>
  <c r="Y300" i="1"/>
  <c r="Z299" i="1"/>
  <c r="Y299" i="1"/>
  <c r="Z298" i="1"/>
  <c r="Y298" i="1"/>
  <c r="Z297" i="1"/>
  <c r="Y297" i="1"/>
  <c r="Z296" i="1"/>
  <c r="Y296" i="1"/>
  <c r="Z295" i="1"/>
  <c r="Y295" i="1"/>
  <c r="Z294" i="1"/>
  <c r="Y294" i="1"/>
  <c r="Z293" i="1"/>
  <c r="Y293" i="1"/>
  <c r="Z292" i="1"/>
  <c r="Y292" i="1"/>
  <c r="Z291" i="1"/>
  <c r="Y291" i="1"/>
  <c r="Z290" i="1"/>
  <c r="Y290" i="1"/>
  <c r="Z289" i="1"/>
  <c r="Y289" i="1"/>
  <c r="Z288" i="1"/>
  <c r="Y288" i="1"/>
  <c r="Z287" i="1"/>
  <c r="Y287" i="1"/>
  <c r="Z286" i="1"/>
  <c r="Y286" i="1"/>
  <c r="Z285" i="1"/>
  <c r="Y285" i="1"/>
  <c r="Z284" i="1"/>
  <c r="Y284" i="1"/>
  <c r="Z283" i="1"/>
  <c r="Y283" i="1"/>
  <c r="Z282" i="1"/>
  <c r="Y282" i="1"/>
  <c r="Z281" i="1"/>
  <c r="Y281" i="1"/>
  <c r="Z280" i="1"/>
  <c r="Y280" i="1"/>
  <c r="Z279" i="1"/>
  <c r="Y279" i="1"/>
  <c r="Z278" i="1"/>
  <c r="Y278" i="1"/>
  <c r="Z277" i="1"/>
  <c r="Y277" i="1"/>
  <c r="Z276" i="1"/>
  <c r="Y276" i="1"/>
  <c r="Z275" i="1"/>
  <c r="Y275" i="1"/>
  <c r="Z274" i="1"/>
  <c r="Y274" i="1"/>
  <c r="Z273" i="1"/>
  <c r="Y273" i="1"/>
  <c r="Z272" i="1"/>
  <c r="Y272" i="1"/>
  <c r="Z271" i="1"/>
  <c r="Y271" i="1"/>
  <c r="Z270" i="1"/>
  <c r="Y270" i="1"/>
  <c r="Z269" i="1"/>
  <c r="Y269" i="1"/>
  <c r="Z268" i="1"/>
  <c r="Y268" i="1"/>
  <c r="Z267" i="1"/>
  <c r="Y267" i="1"/>
  <c r="Z266" i="1"/>
  <c r="Y266" i="1"/>
  <c r="Z265" i="1"/>
  <c r="Y265" i="1"/>
  <c r="Z264" i="1"/>
  <c r="Y264" i="1"/>
  <c r="Z263" i="1"/>
  <c r="Y263" i="1"/>
  <c r="Z262" i="1"/>
  <c r="Y262" i="1"/>
  <c r="Z261" i="1"/>
  <c r="Y261" i="1"/>
  <c r="Z260" i="1"/>
  <c r="Y260" i="1"/>
  <c r="Z259" i="1"/>
  <c r="Y259" i="1"/>
  <c r="Z258" i="1"/>
  <c r="Y258" i="1"/>
  <c r="Z257" i="1"/>
  <c r="Y257" i="1"/>
  <c r="Z256" i="1"/>
  <c r="Y256" i="1"/>
  <c r="Z255" i="1"/>
  <c r="Y255" i="1"/>
  <c r="Z254" i="1"/>
  <c r="Y254" i="1"/>
  <c r="Z253" i="1"/>
  <c r="Y253" i="1"/>
  <c r="Z252" i="1"/>
  <c r="Y252" i="1"/>
  <c r="Z251" i="1"/>
  <c r="Y251" i="1"/>
  <c r="Z250" i="1"/>
  <c r="Y250" i="1"/>
  <c r="Z249" i="1"/>
  <c r="Y249" i="1"/>
  <c r="Z248" i="1"/>
  <c r="Y248" i="1"/>
  <c r="Z247" i="1"/>
  <c r="Y247" i="1"/>
  <c r="Z246" i="1"/>
  <c r="Y246" i="1"/>
  <c r="Z245" i="1"/>
  <c r="Y245" i="1"/>
  <c r="Z244" i="1"/>
  <c r="Y244" i="1"/>
  <c r="Z243" i="1"/>
  <c r="Y243" i="1"/>
  <c r="Z242" i="1"/>
  <c r="Y242" i="1"/>
  <c r="Z241" i="1"/>
  <c r="Y241" i="1"/>
  <c r="Z240" i="1"/>
  <c r="Y240" i="1"/>
  <c r="Z239" i="1"/>
  <c r="Y239" i="1"/>
  <c r="X239" i="1"/>
  <c r="Y238" i="1"/>
  <c r="X238" i="1"/>
  <c r="Z238" i="1" s="1"/>
  <c r="Z237" i="1"/>
  <c r="Y237" i="1"/>
  <c r="X237" i="1"/>
  <c r="Z236" i="1"/>
  <c r="Y236" i="1"/>
  <c r="X236" i="1"/>
  <c r="X235" i="1"/>
  <c r="Z235" i="1" s="1"/>
  <c r="X234" i="1"/>
  <c r="Z234" i="1" s="1"/>
  <c r="Z233" i="1"/>
  <c r="Y233" i="1"/>
  <c r="X233" i="1"/>
  <c r="Z232" i="1"/>
  <c r="Y232" i="1"/>
  <c r="X232" i="1"/>
  <c r="Z231" i="1"/>
  <c r="Y231" i="1"/>
  <c r="X231" i="1"/>
  <c r="Y230" i="1"/>
  <c r="X230" i="1"/>
  <c r="Z230" i="1" s="1"/>
  <c r="Z229" i="1"/>
  <c r="Y229" i="1"/>
  <c r="X229" i="1"/>
  <c r="Z228" i="1"/>
  <c r="Y228" i="1"/>
  <c r="Z227" i="1"/>
  <c r="Y227" i="1"/>
  <c r="Z226" i="1"/>
  <c r="Y226" i="1"/>
  <c r="X226" i="1"/>
  <c r="Z225" i="1"/>
  <c r="X225" i="1"/>
  <c r="Y225" i="1" s="1"/>
  <c r="Z224" i="1"/>
  <c r="Y224" i="1"/>
  <c r="X224" i="1"/>
  <c r="Z223" i="1"/>
  <c r="Y223" i="1"/>
  <c r="X223" i="1"/>
  <c r="Z222" i="1"/>
  <c r="Y222" i="1"/>
  <c r="X222" i="1"/>
  <c r="Z221" i="1"/>
  <c r="X221" i="1"/>
  <c r="Y221" i="1" s="1"/>
  <c r="Z220" i="1"/>
  <c r="Y220" i="1"/>
  <c r="X220" i="1"/>
  <c r="X219" i="1"/>
  <c r="Z219" i="1" s="1"/>
  <c r="Z218" i="1"/>
  <c r="Y218" i="1"/>
  <c r="X218" i="1"/>
  <c r="X217" i="1"/>
  <c r="Y217" i="1" s="1"/>
  <c r="Z216" i="1"/>
  <c r="Y216" i="1"/>
  <c r="X216" i="1"/>
  <c r="X215" i="1"/>
  <c r="Z215" i="1" s="1"/>
  <c r="Z214" i="1"/>
  <c r="Y214" i="1"/>
  <c r="Z213" i="1"/>
  <c r="Y213" i="1"/>
  <c r="Z212" i="1"/>
  <c r="Y212" i="1"/>
  <c r="X212" i="1"/>
  <c r="X211" i="1"/>
  <c r="Y211" i="1" s="1"/>
  <c r="Z210" i="1"/>
  <c r="Y210" i="1"/>
  <c r="X210" i="1"/>
  <c r="X209" i="1"/>
  <c r="Z209" i="1" s="1"/>
  <c r="Y208" i="1"/>
  <c r="X208" i="1"/>
  <c r="Z208" i="1" s="1"/>
  <c r="Z207" i="1"/>
  <c r="Y207" i="1"/>
  <c r="X207" i="1"/>
  <c r="Z206" i="1"/>
  <c r="Y206" i="1"/>
  <c r="X206" i="1"/>
  <c r="Z205" i="1"/>
  <c r="X205" i="1"/>
  <c r="Y205" i="1" s="1"/>
  <c r="Z204" i="1"/>
  <c r="Y204" i="1"/>
  <c r="X204" i="1"/>
  <c r="Z203" i="1"/>
  <c r="Y203" i="1"/>
  <c r="Z202" i="1"/>
  <c r="Y202" i="1"/>
  <c r="Z201" i="1"/>
  <c r="Y201" i="1"/>
  <c r="X201" i="1"/>
  <c r="Z200" i="1"/>
  <c r="Y200" i="1"/>
  <c r="X200" i="1"/>
  <c r="Z199" i="1"/>
  <c r="X199" i="1"/>
  <c r="Y199" i="1" s="1"/>
  <c r="Y198" i="1"/>
  <c r="X198" i="1"/>
  <c r="Z198" i="1" s="1"/>
  <c r="Z197" i="1"/>
  <c r="Y197" i="1"/>
  <c r="X197" i="1"/>
  <c r="Z196" i="1"/>
  <c r="Y196" i="1"/>
  <c r="X196" i="1"/>
  <c r="Z195" i="1"/>
  <c r="Y195" i="1"/>
  <c r="X195" i="1"/>
  <c r="Z194" i="1"/>
  <c r="Y194" i="1"/>
  <c r="X194" i="1"/>
  <c r="Z193" i="1"/>
  <c r="Y193" i="1"/>
  <c r="X193" i="1"/>
  <c r="Z192" i="1"/>
  <c r="Y192" i="1"/>
  <c r="X192" i="1"/>
  <c r="X191" i="1"/>
  <c r="Z191" i="1" s="1"/>
  <c r="X190" i="1"/>
  <c r="Y190" i="1" s="1"/>
  <c r="Z189" i="1"/>
  <c r="Y189" i="1"/>
  <c r="X189" i="1"/>
  <c r="Z188" i="1"/>
  <c r="Y188" i="1"/>
  <c r="X188" i="1"/>
  <c r="X187" i="1"/>
  <c r="Z187" i="1" s="1"/>
  <c r="Z186" i="1"/>
  <c r="Y186" i="1"/>
  <c r="X186" i="1"/>
  <c r="X185" i="1"/>
  <c r="Z185" i="1" s="1"/>
  <c r="Z184" i="1"/>
  <c r="Y184" i="1"/>
  <c r="Z183" i="1"/>
  <c r="Y183" i="1"/>
  <c r="Z182" i="1"/>
  <c r="Y182" i="1"/>
  <c r="X182" i="1"/>
  <c r="X181" i="1"/>
  <c r="Z181" i="1" s="1"/>
  <c r="Z180" i="1"/>
  <c r="Y180" i="1"/>
  <c r="X180" i="1"/>
  <c r="X179" i="1"/>
  <c r="Z179" i="1" s="1"/>
  <c r="X178" i="1"/>
  <c r="Y178" i="1" s="1"/>
  <c r="X177" i="1"/>
  <c r="X176" i="1"/>
  <c r="X175" i="1"/>
  <c r="X174" i="1"/>
  <c r="Y174" i="1" s="1"/>
  <c r="X173" i="1"/>
  <c r="Y173" i="1" s="1"/>
  <c r="Z172" i="1"/>
  <c r="Y172" i="1"/>
  <c r="Z171" i="1"/>
  <c r="Y171" i="1"/>
  <c r="Z170" i="1"/>
  <c r="Y170" i="1"/>
  <c r="X170" i="1"/>
  <c r="Z169" i="1"/>
  <c r="X169" i="1"/>
  <c r="Y169" i="1" s="1"/>
  <c r="Z168" i="1"/>
  <c r="Y168" i="1"/>
  <c r="X168" i="1"/>
  <c r="X167" i="1"/>
  <c r="Z167" i="1" s="1"/>
  <c r="X166" i="1"/>
  <c r="Z166" i="1" s="1"/>
  <c r="Z165" i="1"/>
  <c r="Y165" i="1"/>
  <c r="X165" i="1"/>
  <c r="Z164" i="1"/>
  <c r="X164" i="1"/>
  <c r="Y164" i="1" s="1"/>
  <c r="Z163" i="1"/>
  <c r="X163" i="1"/>
  <c r="Y163" i="1" s="1"/>
  <c r="Z162" i="1"/>
  <c r="Y162" i="1"/>
  <c r="X162" i="1"/>
  <c r="Z161" i="1"/>
  <c r="X161" i="1"/>
  <c r="Y161" i="1" s="1"/>
  <c r="Z160" i="1"/>
  <c r="Y160" i="1"/>
  <c r="X160" i="1"/>
  <c r="X159" i="1"/>
  <c r="Z159" i="1" s="1"/>
  <c r="Z158" i="1"/>
  <c r="Y158" i="1"/>
  <c r="X158" i="1"/>
  <c r="Z157" i="1"/>
  <c r="X157" i="1"/>
  <c r="Y157" i="1" s="1"/>
  <c r="Z156" i="1"/>
  <c r="Y156" i="1"/>
  <c r="X156" i="1"/>
  <c r="Z155" i="1"/>
  <c r="Y155" i="1"/>
  <c r="X155" i="1"/>
  <c r="Z154" i="1"/>
  <c r="Y154" i="1"/>
  <c r="X154" i="1"/>
  <c r="X153" i="1"/>
  <c r="Z153" i="1" s="1"/>
  <c r="Z152" i="1"/>
  <c r="Y152" i="1"/>
  <c r="X152" i="1"/>
  <c r="Y150" i="1"/>
  <c r="X150" i="1"/>
  <c r="Z150" i="1" s="1"/>
  <c r="Z149" i="1"/>
  <c r="Y149" i="1"/>
  <c r="X149" i="1"/>
  <c r="X148" i="1"/>
  <c r="Z148" i="1" s="1"/>
  <c r="Z147" i="1"/>
  <c r="Y147" i="1"/>
  <c r="X147" i="1"/>
  <c r="Z146" i="1"/>
  <c r="X146" i="1"/>
  <c r="Y146" i="1" s="1"/>
  <c r="X145" i="1"/>
  <c r="Z145" i="1" s="1"/>
  <c r="Z139" i="1"/>
  <c r="Y139" i="1"/>
  <c r="X139" i="1"/>
  <c r="Y138" i="1"/>
  <c r="X138" i="1"/>
  <c r="Z138" i="1" s="1"/>
  <c r="Z137" i="1"/>
  <c r="Y137" i="1"/>
  <c r="Z136" i="1"/>
  <c r="Y136" i="1"/>
  <c r="Z135" i="1"/>
  <c r="Y135" i="1"/>
  <c r="X135" i="1"/>
  <c r="Z134" i="1"/>
  <c r="Y134" i="1"/>
  <c r="X134" i="1"/>
  <c r="Z130" i="1"/>
  <c r="X130" i="1"/>
  <c r="Y130" i="1" s="1"/>
  <c r="Z129" i="1"/>
  <c r="Y129" i="1"/>
  <c r="X129" i="1"/>
  <c r="X128" i="1"/>
  <c r="Z128" i="1" s="1"/>
  <c r="Z127" i="1"/>
  <c r="Y127" i="1"/>
  <c r="X127" i="1"/>
  <c r="Z126" i="1"/>
  <c r="X126" i="1"/>
  <c r="Y126" i="1" s="1"/>
  <c r="Z125" i="1"/>
  <c r="Y125" i="1"/>
  <c r="X125" i="1"/>
  <c r="Z122" i="1"/>
  <c r="Y122" i="1"/>
  <c r="X122" i="1"/>
  <c r="Z121" i="1"/>
  <c r="X121" i="1"/>
  <c r="Y121" i="1" s="1"/>
  <c r="Z120" i="1"/>
  <c r="X120" i="1"/>
  <c r="Y120" i="1" s="1"/>
  <c r="Z119" i="1"/>
  <c r="Y119" i="1"/>
  <c r="X119" i="1"/>
  <c r="Y118" i="1"/>
  <c r="X118" i="1"/>
  <c r="Z118" i="1" s="1"/>
  <c r="X117" i="1"/>
  <c r="Z117" i="1" s="1"/>
  <c r="X116" i="1"/>
  <c r="Z116" i="1" s="1"/>
  <c r="Z115" i="1"/>
  <c r="Y115" i="1"/>
  <c r="X115" i="1"/>
  <c r="Z114" i="1"/>
  <c r="X114" i="1"/>
  <c r="Y114" i="1" s="1"/>
  <c r="Z113" i="1"/>
  <c r="Y113" i="1"/>
  <c r="X113" i="1"/>
  <c r="X112" i="1"/>
  <c r="Z112" i="1" s="1"/>
  <c r="Z111" i="1"/>
  <c r="Y111" i="1"/>
  <c r="X111" i="1"/>
  <c r="Z108" i="1"/>
  <c r="Y108" i="1"/>
  <c r="X108" i="1"/>
  <c r="Z107" i="1"/>
  <c r="Y107" i="1"/>
  <c r="X107" i="1"/>
  <c r="Z106" i="1"/>
  <c r="X106" i="1"/>
  <c r="Y106" i="1" s="1"/>
  <c r="Z105" i="1"/>
  <c r="Y105" i="1"/>
  <c r="X105" i="1"/>
  <c r="X104" i="1"/>
  <c r="Z104" i="1" s="1"/>
  <c r="X103" i="1"/>
  <c r="Y103" i="1" s="1"/>
  <c r="X102" i="1"/>
  <c r="Z102" i="1" s="1"/>
  <c r="Z101" i="1"/>
  <c r="Y101" i="1"/>
  <c r="X101" i="1"/>
  <c r="Y100" i="1"/>
  <c r="X100" i="1"/>
  <c r="Z100" i="1" s="1"/>
  <c r="Z99" i="1"/>
  <c r="Y99" i="1"/>
  <c r="X99" i="1"/>
  <c r="X98" i="1"/>
  <c r="Z98" i="1" s="1"/>
  <c r="Z97" i="1"/>
  <c r="Y97" i="1"/>
  <c r="X97" i="1"/>
  <c r="Z93" i="1"/>
  <c r="X93" i="1"/>
  <c r="Y93" i="1" s="1"/>
  <c r="Z92" i="1"/>
  <c r="X92" i="1"/>
  <c r="Y92" i="1" s="1"/>
  <c r="Z91" i="1"/>
  <c r="Y91" i="1"/>
  <c r="X91" i="1"/>
  <c r="Y90" i="1"/>
  <c r="X90" i="1"/>
  <c r="Z90" i="1" s="1"/>
  <c r="X89" i="1"/>
  <c r="Y89" i="1" s="1"/>
  <c r="Z88" i="1"/>
  <c r="Y88" i="1"/>
  <c r="X88" i="1"/>
  <c r="Z87" i="1"/>
  <c r="Y87" i="1"/>
  <c r="X87" i="1"/>
  <c r="Z86" i="1"/>
  <c r="X86" i="1"/>
  <c r="Y86" i="1" s="1"/>
  <c r="Z85" i="1"/>
  <c r="Y85" i="1"/>
  <c r="X85" i="1"/>
  <c r="Z84" i="1"/>
  <c r="Y84" i="1"/>
  <c r="X84" i="1"/>
  <c r="Y83" i="1"/>
  <c r="X83" i="1"/>
  <c r="Y82" i="1"/>
  <c r="X82" i="1"/>
  <c r="W82" i="1"/>
  <c r="Y66" i="1"/>
  <c r="Y65" i="1"/>
  <c r="X65" i="1"/>
  <c r="Z64" i="1"/>
  <c r="Y64" i="1"/>
  <c r="X64" i="1"/>
  <c r="Z63" i="1"/>
  <c r="Y63" i="1"/>
  <c r="X63" i="1"/>
  <c r="Z62" i="1"/>
  <c r="X62" i="1"/>
  <c r="Y62" i="1" s="1"/>
  <c r="Z61" i="1"/>
  <c r="Y61" i="1"/>
  <c r="X61" i="1"/>
  <c r="Z60" i="1"/>
  <c r="X60" i="1"/>
  <c r="Y60" i="1" s="1"/>
  <c r="Z54" i="1"/>
  <c r="Y54" i="1"/>
  <c r="X54" i="1"/>
  <c r="X53" i="1"/>
  <c r="Z53" i="1" s="1"/>
  <c r="X51" i="1"/>
  <c r="Y51" i="1" s="1"/>
  <c r="X50" i="1"/>
  <c r="Z50" i="1" s="1"/>
  <c r="Y49" i="1"/>
  <c r="X49" i="1"/>
  <c r="Z49" i="1" s="1"/>
  <c r="Z48" i="1"/>
  <c r="Y48" i="1"/>
  <c r="X48" i="1"/>
  <c r="X47" i="1"/>
  <c r="Z47" i="1" s="1"/>
  <c r="Z46" i="1"/>
  <c r="Y46" i="1"/>
  <c r="X46" i="1"/>
  <c r="X45" i="1"/>
  <c r="Z45" i="1" s="1"/>
  <c r="Z43" i="1"/>
  <c r="Y43" i="1"/>
  <c r="X43" i="1"/>
  <c r="Z42" i="1"/>
  <c r="Y42" i="1"/>
  <c r="Z41" i="1"/>
  <c r="Y41" i="1"/>
  <c r="Z40" i="1"/>
  <c r="Y40" i="1"/>
  <c r="X40" i="1"/>
  <c r="X39" i="1"/>
  <c r="Z39" i="1" s="1"/>
  <c r="Z38" i="1"/>
  <c r="Y38" i="1"/>
  <c r="X38" i="1"/>
  <c r="Z37" i="1"/>
  <c r="Y37" i="1"/>
  <c r="X37" i="1"/>
  <c r="X36" i="1"/>
  <c r="Z36" i="1" s="1"/>
  <c r="Z35" i="1"/>
  <c r="Y35" i="1"/>
  <c r="X35" i="1"/>
  <c r="Y34" i="1"/>
  <c r="X34" i="1"/>
  <c r="Z34" i="1" s="1"/>
  <c r="Z33" i="1"/>
  <c r="Y33" i="1"/>
  <c r="X33" i="1"/>
  <c r="Z32" i="1"/>
  <c r="Y32" i="1"/>
  <c r="X32" i="1"/>
  <c r="Z31" i="1"/>
  <c r="X31" i="1"/>
  <c r="Y31" i="1" s="1"/>
  <c r="Z30" i="1"/>
  <c r="Y30" i="1"/>
  <c r="X30" i="1"/>
  <c r="Z29" i="1"/>
  <c r="X29" i="1"/>
  <c r="Y29" i="1" s="1"/>
  <c r="Z28" i="1"/>
  <c r="X28" i="1"/>
  <c r="Y28" i="1" s="1"/>
  <c r="Z27" i="1"/>
  <c r="X27" i="1"/>
  <c r="Y27" i="1" s="1"/>
  <c r="Z26" i="1"/>
  <c r="Y26" i="1"/>
  <c r="X26" i="1"/>
  <c r="Z25" i="1"/>
  <c r="Y25" i="1"/>
  <c r="X25" i="1"/>
  <c r="Z24" i="1"/>
  <c r="X24" i="1"/>
  <c r="Y24" i="1" s="1"/>
  <c r="Z23" i="1"/>
  <c r="Y23" i="1"/>
  <c r="X23" i="1"/>
  <c r="X22" i="1"/>
  <c r="Z22" i="1" s="1"/>
  <c r="Z21" i="1"/>
  <c r="Y21" i="1"/>
  <c r="X21" i="1"/>
  <c r="X20" i="1"/>
  <c r="Y20" i="1" s="1"/>
  <c r="X19" i="1"/>
  <c r="Z19" i="1" s="1"/>
  <c r="Z18" i="1"/>
  <c r="Y18" i="1"/>
  <c r="Z17" i="1"/>
  <c r="Y17" i="1"/>
  <c r="Z16" i="1"/>
  <c r="Y16" i="1"/>
  <c r="Z15" i="1"/>
  <c r="Y15" i="1"/>
  <c r="Y14" i="1"/>
  <c r="X13" i="1"/>
  <c r="Z13" i="1" s="1"/>
  <c r="Z12" i="1"/>
  <c r="Y12" i="1"/>
  <c r="Z10" i="1"/>
  <c r="Y10" i="1"/>
  <c r="Z9" i="1"/>
  <c r="Y9" i="1"/>
  <c r="Z5" i="1"/>
  <c r="Y5" i="1"/>
  <c r="Z4" i="1"/>
  <c r="Y4" i="1"/>
  <c r="Z3" i="1"/>
  <c r="Y3" i="1"/>
  <c r="Z2" i="1"/>
  <c r="Y2" i="1"/>
  <c r="Y50" i="1" l="1"/>
  <c r="Y102" i="1"/>
  <c r="Y45" i="1"/>
  <c r="Z217" i="1"/>
  <c r="Y159" i="1"/>
  <c r="Z89" i="1"/>
  <c r="Y39" i="1"/>
  <c r="Z51" i="1"/>
  <c r="Y98" i="1"/>
  <c r="Z103" i="1"/>
  <c r="Y116" i="1"/>
  <c r="Y148" i="1"/>
  <c r="Y179" i="1"/>
  <c r="Y185" i="1"/>
  <c r="Z190" i="1"/>
  <c r="Y235" i="1"/>
  <c r="Y153" i="1"/>
  <c r="Y128" i="1"/>
  <c r="Y53" i="1"/>
  <c r="Y104" i="1"/>
  <c r="Y191" i="1"/>
  <c r="Y219" i="1"/>
  <c r="Y47" i="1"/>
  <c r="Y117" i="1"/>
  <c r="Y166" i="1"/>
  <c r="Z178" i="1"/>
  <c r="Y19" i="1"/>
  <c r="Y112" i="1"/>
  <c r="Y234" i="1"/>
  <c r="Z211" i="1"/>
  <c r="Y167" i="1"/>
  <c r="Y181" i="1"/>
  <c r="Y187" i="1"/>
  <c r="Y209" i="1"/>
  <c r="Y215" i="1"/>
  <c r="Y22" i="1"/>
  <c r="Y36" i="1"/>
  <c r="Y145" i="1"/>
  <c r="Y13" i="1"/>
  <c r="Y349" i="1" s="1"/>
  <c r="Z20" i="1"/>
  <c r="Z349" i="1" s="1"/>
</calcChain>
</file>

<file path=xl/sharedStrings.xml><?xml version="1.0" encoding="utf-8"?>
<sst xmlns="http://schemas.openxmlformats.org/spreadsheetml/2006/main" count="5567" uniqueCount="2605">
  <si>
    <t>type</t>
  </si>
  <si>
    <t>name</t>
  </si>
  <si>
    <t>label::English (en)</t>
  </si>
  <si>
    <t>label::French (fr)</t>
  </si>
  <si>
    <t>label::</t>
  </si>
  <si>
    <t>hint::English (en)</t>
  </si>
  <si>
    <t>hint::French (fr)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</si>
  <si>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</si>
  <si>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</si>
  <si>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</si>
  <si>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</si>
  <si>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</si>
  <si>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</si>
  <si>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</si>
  <si>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</si>
  <si>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</si>
  <si>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</si>
  <si>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</si>
  <si>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</si>
  <si>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</si>
  <si>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</si>
  <si>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</si>
  <si>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</si>
  <si>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</si>
  <si>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</si>
  <si>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</si>
  <si>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</si>
  <si>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</si>
  <si>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</si>
  <si>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</si>
  <si>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</si>
  <si>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</si>
  <si>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enumerator</t>
  </si>
  <si>
    <t>enumerator</t>
  </si>
  <si>
    <t>Name of enumerator</t>
  </si>
  <si>
    <t>Nom de l'énquêteur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</si>
  <si>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</si>
  <si>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</si>
  <si>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</si>
  <si>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</si>
  <si>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</si>
  <si>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</si>
  <si>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</si>
  <si>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</si>
  <si>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</si>
  <si>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</si>
  <si>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</si>
  <si>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</si>
  <si>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</si>
  <si>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</si>
  <si>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</si>
  <si>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</si>
  <si>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</si>
  <si>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geopoint</t>
  </si>
  <si>
    <t>gps_1</t>
  </si>
  <si>
    <t xml:space="preserve">GPS INSTRUCTION: Take a GPS measurement. </t>
  </si>
  <si>
    <t>INSTRUCTION : Récupérer les coordonnées GPS.</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</si>
  <si>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</si>
  <si>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</si>
  <si>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${resp_agree} = '1'</t>
  </si>
  <si>
    <t>Refusal</t>
  </si>
  <si>
    <t>Thank you for your time, you will be removed from today's survey.</t>
  </si>
  <si>
    <t>Merci pour votre temps. Vous serez écarté de l'enquête d'aujourd'hui.</t>
  </si>
  <si>
    <t>${resp_agree} = '2'</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</si>
  <si>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</si>
  <si>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</si>
  <si>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</si>
  <si>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</si>
  <si>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</si>
  <si>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</si>
  <si>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</si>
  <si>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</si>
  <si>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</si>
  <si>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SAISIR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</si>
  <si>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</si>
  <si>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</si>
  <si>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</si>
  <si>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</si>
  <si>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</si>
  <si>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</si>
  <si>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</si>
  <si>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</si>
  <si>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</si>
  <si>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</si>
  <si>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t>(. &gt;= 18 and . &lt;= 100) or . = 888</t>
  </si>
  <si>
    <t>select_one gender</t>
  </si>
  <si>
    <t>resp_gender</t>
  </si>
  <si>
    <t>What is the gender of the respondent?</t>
  </si>
  <si>
    <t xml:space="preserve">Quel est le sexe du répondant?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</si>
  <si>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</si>
  <si>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</si>
  <si>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</si>
  <si>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</si>
  <si>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</si>
  <si>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numbers</t>
  </si>
  <si>
    <t>regex(.,’^[0-9]{9}$’)</t>
  </si>
  <si>
    <t>Please enter the telephone number in the correct format, e.g. 8********</t>
  </si>
  <si>
    <t>yes - panel</t>
  </si>
  <si>
    <t>select_one contact_info</t>
  </si>
  <si>
    <t>contact_2</t>
  </si>
  <si>
    <t>Can you give me an additonal phone number belonging to you, a relative or a friend at which you can be reached?</t>
  </si>
  <si>
    <t>Pouvez-vous me donner un autre numéro de téléphone, le vôtre, celui d'un parent ou d'un ami, auquel vous pouvez être joint ?</t>
  </si>
  <si>
    <t>phone_number_2</t>
  </si>
  <si>
    <t>What is the additional phone number?</t>
  </si>
  <si>
    <t>Quel est cet autre numéro de téléphone ?</t>
  </si>
  <si>
    <t xml:space="preserve">${contact_2} = '1' or ${contact_2} = '2' or ${contact_2} = '3' </t>
  </si>
  <si>
    <t>contact_2_name</t>
  </si>
  <si>
    <t>What is the name of the contact?</t>
  </si>
  <si>
    <t>Quel est le nom du contact associé à ce numéro de téléphone ?</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</si>
  <si>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</si>
  <si>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</si>
  <si>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</si>
  <si>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</si>
  <si>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</si>
  <si>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</si>
  <si>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</si>
  <si>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</si>
  <si>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Province does your household reside?</t>
  </si>
  <si>
    <t>Actuellement, dans quel Province votre ménage vit-il ?</t>
  </si>
  <si>
    <t>[HINT: HOUSEHOLD CONSISTS OF ALL MEMBERS LIVING TOGETHER, SHARING RESOURCES &amp; EATING FROM THE SAME POT.]</t>
  </si>
  <si>
    <t>[NOTE : LE MÉNAGE EST COMPOSÉ DE TOUTES LES PERSONNES VIVANT ENSEMBLE, PARTAGEANT LEURS RESSOURCES ET MANGEANT DANS UNE MARMITE COMMUNE.]</t>
  </si>
  <si>
    <t>autocomplete</t>
  </si>
  <si>
    <t>adm1_name</t>
  </si>
  <si>
    <t>jr:choice-name(${adm1_pcode},'${adm1_pcode}')</t>
  </si>
  <si>
    <t>select_one admin2</t>
  </si>
  <si>
    <t xml:space="preserve">adm2_pcode </t>
  </si>
  <si>
    <t>Currently, in which Territoire does your household reside?</t>
  </si>
  <si>
    <t>Actuellement, dans quel Territoire votre ménage vit-il ?</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</si>
  <si>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</si>
  <si>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</si>
  <si>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</si>
  <si>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</si>
  <si>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</si>
  <si>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</si>
  <si>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</si>
  <si>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</si>
  <si>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</si>
  <si>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end_group</t>
  </si>
  <si>
    <t>generalInfo</t>
  </si>
  <si>
    <t>GENERAL INFORMATION</t>
  </si>
  <si>
    <t>INFORMATIONS GÉNÉRALES</t>
  </si>
  <si>
    <t>${resp_agree} = '1' and ${hh_agricactivity} != '5' and ${hh_agricactivity} != '6'</t>
  </si>
  <si>
    <t>select_one yes_no</t>
  </si>
  <si>
    <t>resp_id</t>
  </si>
  <si>
    <t>Are you the head of household?</t>
  </si>
  <si>
    <t>Êtes-vous le chef de ménage ?</t>
  </si>
  <si>
    <t>hh_gender</t>
  </si>
  <si>
    <t xml:space="preserve">Is the head of your household male or female? </t>
  </si>
  <si>
    <t>Le chef de votre ménage est-il un homme ou une femme ?</t>
  </si>
  <si>
    <t>${resp_id} != '1'</t>
  </si>
  <si>
    <t>select_one edu</t>
  </si>
  <si>
    <t>hh_education</t>
  </si>
  <si>
    <t xml:space="preserve">What is the educational level attained by the head of household? </t>
  </si>
  <si>
    <t>Quel est le niveau d'éducation du chef de votre ménage ?</t>
  </si>
  <si>
    <t>select_one water</t>
  </si>
  <si>
    <t>hh_wealth_water</t>
  </si>
  <si>
    <t>Where does the water that you drink at home come from?</t>
  </si>
  <si>
    <t>Où procurez-vous habituellement l'eau que vous buvez dans votre foyer ?</t>
  </si>
  <si>
    <t>select_one toilet</t>
  </si>
  <si>
    <t>hh_wealth_toilet</t>
  </si>
  <si>
    <t>Where do household members typically go to use the toilet?</t>
  </si>
  <si>
    <t>Quel genre de toilettes les membres de votre ménage utilisent-ils?</t>
  </si>
  <si>
    <t>select_one light</t>
  </si>
  <si>
    <t>hh_wealth_light</t>
  </si>
  <si>
    <t>What is the main source of light in your dwelling?</t>
  </si>
  <si>
    <t>Quelle est la principale source de lumière de votre logement ?</t>
  </si>
  <si>
    <t>select_one residence</t>
  </si>
  <si>
    <t>o_hh_residencetype</t>
  </si>
  <si>
    <t>Which in the following types of residence best describes your residence?</t>
  </si>
  <si>
    <t>Parmi les propositions suivantes, laquelle décrit le mieux votre résidence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</si>
  <si>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</si>
  <si>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</si>
  <si>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</si>
  <si>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</si>
  <si>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</si>
  <si>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</si>
  <si>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</si>
  <si>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</si>
  <si>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time</t>
  </si>
  <si>
    <t>o_hh_residencetime</t>
  </si>
  <si>
    <t xml:space="preserve">When did members of your household arrive here? </t>
  </si>
  <si>
    <t>Quand les membres de votre ménage sont-ils arrivés ici ?</t>
  </si>
  <si>
    <t>${o_hh_residencetype} = '3' or ${o_hh_residencetype} = '4' or ${o_hh_residencetype} = '5' or ${o_hh_residencetype} = '6'</t>
  </si>
  <si>
    <t>o_hh_displacement_number</t>
  </si>
  <si>
    <t>If you have had to move communities because of conflict, how many times have you moved in the last 7 years?</t>
  </si>
  <si>
    <t>Si vous avez dû changer de communauté en raison d'un conflit, combien de fois avez-vous déménagé au cours des sept dernières années ?</t>
  </si>
  <si>
    <t>o_hh_host_displaced</t>
  </si>
  <si>
    <t>How many people are you hosting in your house at the moment?</t>
  </si>
  <si>
    <t xml:space="preserve">En ce moment, combien de personnes accueillez-vous dans votre foyer? </t>
  </si>
  <si>
    <t>En plus des personnes de votre ménage</t>
  </si>
  <si>
    <t xml:space="preserve">${o_hh_residencetype} = '2' </t>
  </si>
  <si>
    <t>select_multiple displacement_place</t>
  </si>
  <si>
    <t>o_hh_displacement_place</t>
  </si>
  <si>
    <t>If you have had to move communities now or in the past because of conflict, where have you moved to?</t>
  </si>
  <si>
    <t>Si vous avez dû changer de communauté aujourd'hui ou dans le passé en raison d'un conflit, où avez-vous déménagé ?</t>
  </si>
  <si>
    <t>select_multiple returnreason</t>
  </si>
  <si>
    <t>o_hh_returnee_reason</t>
  </si>
  <si>
    <t>If you used to live here, moved away, and then returned (returnee), what made you decide to come back?</t>
  </si>
  <si>
    <t>Si vous viviez ici, que vous avez déménagé et que vous êtes revenu (personne de retour), qu'est-ce qui vous a décidé à revenir ?</t>
  </si>
  <si>
    <t>${o_hh_residencetype} = '4' or ${o_hh_residencetype} = '5'</t>
  </si>
  <si>
    <t>select_multiple asset_prod</t>
  </si>
  <si>
    <t>hh_asset_prod</t>
  </si>
  <si>
    <t xml:space="preserve">Does your household own any of the following productive assets? </t>
  </si>
  <si>
    <t>Votre ménage possède-t-il l'un des actifs productifs suivants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</si>
  <si>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</si>
  <si>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</si>
  <si>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</si>
  <si>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select_multiple asset_transp</t>
  </si>
  <si>
    <t>hh_asset_transp</t>
  </si>
  <si>
    <t xml:space="preserve">Do you or any member of household own any of the following transportation assets? </t>
  </si>
  <si>
    <t>Est-ce que vous ou un membre de votre ménage possède un des véhicules suivants ?</t>
  </si>
  <si>
    <t>select_one agegroup</t>
  </si>
  <si>
    <t>hh_age</t>
  </si>
  <si>
    <t xml:space="preserve">How old is the head of household? </t>
  </si>
  <si>
    <t>Quel âge a le chef de famille ?</t>
  </si>
  <si>
    <t>Conflict ananlysis</t>
  </si>
  <si>
    <t>Insecure Contexts Module</t>
  </si>
  <si>
    <t>Module Contextes non sécurisés</t>
  </si>
  <si>
    <t>${resp_agree} = '1' and (${hh_agricactivity}='1' or ${hh_agricactivity} = '3' or ${income_main_crop_check}='1' or ${income_sec_crop_check}='1' or ${income_third_crop_check}='1')</t>
  </si>
  <si>
    <t>select_multiple causality</t>
  </si>
  <si>
    <t>o_conflict_causality</t>
  </si>
  <si>
    <t xml:space="preserve">What are the biggest problems affecting your household's wellbeing? 
[UP TO FOUR RESPONSES ALLOWED]
</t>
  </si>
  <si>
    <t xml:space="preserve">Quels sont les problèmes les plus importants qui affectent le bien-être de votre ménage ? 
[JUSQU'À QUATRE RÉPONSES POSSIBLES]
</t>
  </si>
  <si>
    <t>o_conflict-exposure</t>
  </si>
  <si>
    <t xml:space="preserve">Have you or anyone within your household been exposed to any form of insecurity or conflict during the past 12 months?
</t>
  </si>
  <si>
    <t xml:space="preserve">Est-ce que vous ou quelqu'un de votre ménage avez été exposé à une forme quelconque d'insécurité ou de conflit au cours des 12 derniers mois ?
</t>
  </si>
  <si>
    <t>select_multiple conflict_type</t>
  </si>
  <si>
    <t>o_conflict_type</t>
  </si>
  <si>
    <t>What are the types of insecurity has you HH have been affected by?
(Up to three responses)</t>
  </si>
  <si>
    <t>Quels sont les types d'insécurité dont vous et votre famille ont été touchées par?
(jusqu'à trois réponses)</t>
  </si>
  <si>
    <t>${o_conflict-exposure}='1'</t>
  </si>
  <si>
    <t>select_multiple conflict_lines</t>
  </si>
  <si>
    <t>o_conflict_lines</t>
  </si>
  <si>
    <t>Which types of  conflicts over land, water or pasture has your HH been affected by?
[UP TO THREE RESPONSES ALLOWED]</t>
  </si>
  <si>
    <t>Quels types de conflits liés à la terre, à l'eau ou aux pâturages ont affecté votre foyer ?
[JUSQU'À TROIS RÉPONSES POSSIBLES]</t>
  </si>
  <si>
    <t>${o_conflict_type}='disputes land'</t>
  </si>
  <si>
    <t>select_multiple actors</t>
  </si>
  <si>
    <t>o_actors</t>
  </si>
  <si>
    <t>With whom was the dispute(s) with?</t>
  </si>
  <si>
    <t>Avec qui le(s) conflit(s) a-t-il(ont) eu lieu ?</t>
  </si>
  <si>
    <t>select_multiple intensity</t>
  </si>
  <si>
    <t>o_intensity</t>
  </si>
  <si>
    <t>What was the kind of dispute(s) or conflict?</t>
  </si>
  <si>
    <t>Quel était le type de différend ou de conflit ?</t>
  </si>
  <si>
    <t>select_multiple dispute_resolution</t>
  </si>
  <si>
    <t>o_dispute_resolution</t>
  </si>
  <si>
    <t>Please describe how the dispute or conflict was resolved?</t>
  </si>
  <si>
    <t>Veuillez décrire comment le différend ou le conflit a été résolu ?</t>
  </si>
  <si>
    <t>select_one resolution_dispute</t>
  </si>
  <si>
    <t>o_resolution_dispute</t>
  </si>
  <si>
    <t>Was the dispute(s) resolved fairly?</t>
  </si>
  <si>
    <t>Le(s) conflit(s) a-t-il(ont) été résolu(s) équitablement ?</t>
  </si>
  <si>
    <t>${o_dispute_resolution}='not resolved'</t>
  </si>
  <si>
    <t>select_multiple conflict_sensitivity</t>
  </si>
  <si>
    <t>o_conflict_sensitivity</t>
  </si>
  <si>
    <t>What was the reason for the dispute or conflict over assistance being provided?</t>
  </si>
  <si>
    <t>Quelle était la raison du différend ou du conflit concernant l'assistance fournie ?</t>
  </si>
  <si>
    <t>${o_conflict_type}='disputes assistance'</t>
  </si>
  <si>
    <t>select_multiple conflict_impact</t>
  </si>
  <si>
    <t>o_conflict_imapct</t>
  </si>
  <si>
    <t>Has insecurity  affected the availability of food for your household?
[UP TO THREE RESPONSES ALLOWED]</t>
  </si>
  <si>
    <t>L'insécurité a-t-elle affecté la disponibilité de nourriture pour votre ménage ?
[TROIS RÉPONSES MAXIMUM AUTORISÉES]</t>
  </si>
  <si>
    <t>select_multiple conflit_impact_utilization</t>
  </si>
  <si>
    <t>o_conflit_impact_utilization</t>
  </si>
  <si>
    <t>How has insecurity affected your households health, nutrition and wellbeing?</t>
  </si>
  <si>
    <t>Comment l'insécurité a-t-elle affecté la santé, la nutrition et le bien-être de votre ménage ?</t>
  </si>
  <si>
    <t>select_multiple impact_access</t>
  </si>
  <si>
    <t>o_conflict_impact_access</t>
  </si>
  <si>
    <t>How has insecurity and/or conflict affected household ACCESS to food?</t>
  </si>
  <si>
    <t>Comment l'insécurité et/ou les conflits ont-ils affecté l'accès des ménages à la nourriture ?</t>
  </si>
  <si>
    <t>o_intercommunity_relation</t>
  </si>
  <si>
    <t>How would you describe the relationship between the following groups in this territory?</t>
  </si>
  <si>
    <t>Comment décririez-vous les relations entre les groupes suivants sur ce territoire ?</t>
  </si>
  <si>
    <t>select_one good_nogood</t>
  </si>
  <si>
    <t>o_returnees</t>
  </si>
  <si>
    <t>Between people who have left this area and returned (returnees) and those who remained?</t>
  </si>
  <si>
    <t>Entre les personnes qui ont quitté cette région et y sont retournées (les retournés) et celles qui sont restées ?</t>
  </si>
  <si>
    <t>o_idp</t>
  </si>
  <si>
    <t>Between people who are displaced (IDPs) and  between people who have stayed in this area for a long time (host community)?</t>
  </si>
  <si>
    <t>Entre les personnes déplacées (PDI) et les personnes qui sont restées dans la région depuis longtemps (communauté hôte) ?</t>
  </si>
  <si>
    <t>O_pdi</t>
  </si>
  <si>
    <t>Between people who have come here from elsewhere  (IDPs), and between people who have stayed in this area for a long time (host community)?</t>
  </si>
  <si>
    <t>Entre les personnes déplacées (PDI) et les personnes qui sont restées longtemps dans la région (communauté hôte) ?</t>
  </si>
  <si>
    <t>Income_Shocks_group</t>
  </si>
  <si>
    <t>INCOME SOURCES, LIVELIHOODS AND SHOCKS</t>
  </si>
  <si>
    <t>SOURCES DE REVENUS, MOYENS DE SUBSISTANCE ET CHOCS</t>
  </si>
  <si>
    <t>select_one incomesource1</t>
  </si>
  <si>
    <t>income_main</t>
  </si>
  <si>
    <t>What was your household's main source of income in the past 3 months?</t>
  </si>
  <si>
    <t>Quelle était la principale source de revenu de votre ménage au cours des trois derniers mois ?</t>
  </si>
  <si>
    <t>[INSTRUCTIONS: REFUSED OPTIONS SHOULD BE AVOIDED AS MUCH AS POSSIBLE.]</t>
  </si>
  <si>
    <t>[INSTRUCTIONS :  L'OPTION «REFUSÉ» DOIT ÊTRE, AUTANT QUE POSSIBLE, ÉVITÉE.]</t>
  </si>
  <si>
    <t>minimal</t>
  </si>
  <si>
    <t>incomemain</t>
  </si>
  <si>
    <t>jr:choice-name(${income_main},'${income_main}')</t>
  </si>
  <si>
    <t>income_main_crop_check</t>
  </si>
  <si>
    <t xml:space="preserve">Are the crops that you sell produced by you or anyone in your household? </t>
  </si>
  <si>
    <t>Les cultures que vous vendez sont-elles produites par vous ou par un des membres de votre ménage ?</t>
  </si>
  <si>
    <t xml:space="preserve">${income_main} = '1' or ${income_main} = '2' or ${income_main} = '3' </t>
  </si>
  <si>
    <t>income_main_ls_check</t>
  </si>
  <si>
    <t xml:space="preserve">Are the livestock and livestock products that you sell produced by you or anyone in your household? </t>
  </si>
  <si>
    <t>Le bétail et les produits du bétail que vous vendez sont-ils produits par vous par un des membres de votre ménage ?</t>
  </si>
  <si>
    <t>${income_main} = '4'</t>
  </si>
  <si>
    <t>income_main_fish_check</t>
  </si>
  <si>
    <t xml:space="preserve">Are the fish and/or fish products that you sell also captured or harvested by you or anyone in your household? </t>
  </si>
  <si>
    <t>Les produits de la pêche / aquaculture que vous vendez sont-ils produits par vous ou par un membre de votre ménage ?</t>
  </si>
  <si>
    <t>${income_main} = '6'</t>
  </si>
  <si>
    <t>decimal</t>
  </si>
  <si>
    <t>income_main_amount</t>
  </si>
  <si>
    <t>How much was earned (in CDF) from your main income source, ${incomemain}, in the past 3 months ?</t>
  </si>
  <si>
    <t>Quelle somme (en CDF a rapporté votre principale source de revenu, ${incomemain}, au cours des trois derniers mois ?</t>
  </si>
  <si>
    <t>[INSTRUCTIONS: MAKE SURE THE INFORMATION IS RECORDED IN THE CORRECT CURRENCY. ENTER 888 FOR DON'T KNOW AND 999 FOR REFUSED.]</t>
  </si>
  <si>
    <t>[INSTRUCTIONS : VÉRIFIER QUE LE MONTANT EST ENREGISTRÉ DANS LA BONNE DEVISE. SAISIR 888 POUR «NE SAIT PAS» ET 999 POUR «REFUSÉ».]</t>
  </si>
  <si>
    <t>. &gt; 1 or . = 888 or . = 999</t>
  </si>
  <si>
    <t>${income_main} != '19' and ${income_main} != '20'</t>
  </si>
  <si>
    <t>select_one continue</t>
  </si>
  <si>
    <t>income_main_amount_conf</t>
  </si>
  <si>
    <t>Can you confirm the amount of income you just stated is correct?</t>
  </si>
  <si>
    <t>Pouvez-vous confirmer que le montant que vous venez de déclarer est correct ?</t>
  </si>
  <si>
    <t>[INSTRUCTIONS: IF THE RESPONDENT CONFIRMS THAT THE INCOME AMOUNT EARNED FROM THIS INCOME SOURCE OVER THE PAST 3 MONTH IS INDEED OVER 2000000, CLICK ON CONTINUE. OTHERWISE, GO BACK AND CHANGE THE AMOUNT ENTERED.]</t>
  </si>
  <si>
    <t>[INSTRUCTIONS :  SI LE RÉPONDANT CONFIRME QUE LE MONTANT ISSU DE CETTE SOURCE DE REVENU AU COURS DES TROIS DERNIERS MOIS EST BIEN SUPÉRIEUR AU 2000000, CLIQUER SUR CONTINUER. SINON, REVENIR EN ARRIÈRE ET MODIFIER LE MONTANT SAISI.]</t>
  </si>
  <si>
    <t xml:space="preserve">${income_main_amount} &gt; 2000000 and (${income_main} != '19' and ${income_main} != '20') </t>
  </si>
  <si>
    <t>select_one gender_inc_1</t>
  </si>
  <si>
    <t>income_main_gender</t>
  </si>
  <si>
    <t xml:space="preserve">What is the gender of the household member(s) generating income from this source? </t>
  </si>
  <si>
    <t xml:space="preserve">Quel est le sexe du ou des membres qui génèrent des revenus de cette source ? </t>
  </si>
  <si>
    <t>select_one gender_inc_2</t>
  </si>
  <si>
    <t>income_main_control</t>
  </si>
  <si>
    <t xml:space="preserve">Who controls the revenue that is earned from this source? </t>
  </si>
  <si>
    <t xml:space="preserve">Qui contrôle les revenus qui proviennent de cette source? </t>
  </si>
  <si>
    <t>select_one change</t>
  </si>
  <si>
    <t>income_main_comp</t>
  </si>
  <si>
    <t>Has your household's income from ${incomemain} changed in the last 3 months compared to the same period of last year?</t>
  </si>
  <si>
    <t>Le revenu de votre ménage provenant de ${incomemain} a-t-il changé au cours des trois derniers mois par rapport à la même periode de l'année dernière ?</t>
  </si>
  <si>
    <t>select_one incomesource2</t>
  </si>
  <si>
    <t>income_sec</t>
  </si>
  <si>
    <t>What was your household's second most important source of income in the past 3 months?</t>
  </si>
  <si>
    <t>Quelle était la deuxième source principale de revenu de votre ménage au cours des trois derniers mois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</si>
  <si>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</si>
  <si>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</si>
  <si>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</si>
  <si>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</si>
  <si>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</si>
  <si>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</si>
  <si>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</si>
  <si>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</si>
  <si>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</si>
  <si>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</si>
  <si>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 xml:space="preserve">Are the fish products that you sell produced by you or anyone in your household? </t>
  </si>
  <si>
    <t>Les produits de la pêche que vous vendez sont-ils produits par vous ou par un membre de votre ménage ?</t>
  </si>
  <si>
    <t>${income_sec} = '6'</t>
  </si>
  <si>
    <t>income_sec_amount</t>
  </si>
  <si>
    <t>How much was earned (in CDF) from your second main income source, ${incomesec}, in the past 3 months ?</t>
  </si>
  <si>
    <t>Quelle somme (en CDF) a rapporté votre deuxième source de revenu, ${incomesec}, au cours des trois derniers mois ?</t>
  </si>
  <si>
    <t>[INSTRUCTIONS :  VÉRIFIER QUE LE MONTANT EST ENREGISTRÉ DANS LA BONNE DEVISE. SAISIR 888 POUR «NE SAIT PAS» ET 999 POUR «REFUSÉ».]</t>
  </si>
  <si>
    <t xml:space="preserve">${income_main} != '19' and ${income_main} != '20' and ${income_sec} != '19' and ${income_sec} != '20' and ${income_sec} != '21' </t>
  </si>
  <si>
    <t>income_sec_amount_conf</t>
  </si>
  <si>
    <t>${income_sec_amount} &gt; 2000000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</si>
  <si>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</si>
  <si>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</si>
  <si>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</si>
  <si>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last year?</t>
  </si>
  <si>
    <t>Le revenu de votre ménage provenant de ${incomesec} a-t-il changé au cours des trois derniers mois par rapport à la même période de l'année dernière ?</t>
  </si>
  <si>
    <t>select_one incomesource3</t>
  </si>
  <si>
    <t>income_third</t>
  </si>
  <si>
    <t>What was your household's third most important source of income in the past 3 months?</t>
  </si>
  <si>
    <t>Quelle était la troisième source principale de revenu de votre ménage au cours des trois derniers mois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</si>
  <si>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</si>
  <si>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</si>
  <si>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</si>
  <si>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</si>
  <si>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</si>
  <si>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</si>
  <si>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</si>
  <si>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</si>
  <si>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</si>
  <si>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</si>
  <si>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CDF) from your third main income source, ${incomethird}, in the past 3 months ?</t>
  </si>
  <si>
    <t>Quelle somme (en CDF) a rapporté votre troisième source de revenu, ${incomethird}, au cours des trois derniers mois ?</t>
  </si>
  <si>
    <t xml:space="preserve">${income_main} != '19' and ${income_main} != '20' and ${income_sec} != '19' and ${income_sec} != '20' and ${income_sec} != '21' and ${income_third} != '19' and ${income_third} != '20' and ${income_third} != '21' </t>
  </si>
  <si>
    <t>income_third_amount_conf</t>
  </si>
  <si>
    <t>${income_third_amount} &gt; 2000000 and (${income_main} != '19' and ${income_main} != '20' and ${income_sec} != '19' and ${income_sec} != '20' and ${income_sec} != '21' and ${income_third} != '19' and ${income_third} != '20' and ${income_third} != '21' )</t>
  </si>
  <si>
    <t>income_third_gender</t>
  </si>
  <si>
    <t>income_third_control</t>
  </si>
  <si>
    <t>income_third_comp</t>
  </si>
  <si>
    <t>Has your household's income from ${incomethird} changed in the last 3 months compared to the same period of last year?</t>
  </si>
  <si>
    <t>Le revenu de votre ménage provenant de ${incomethird} a-t-il changé au cours des trois derniers mois par rapport à la même période de l'année dernière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</si>
  <si>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</si>
  <si>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</si>
  <si>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</si>
  <si>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</si>
  <si>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</si>
  <si>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</si>
  <si>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</si>
  <si>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hh_explanation</t>
  </si>
  <si>
    <t>If the household was affected by a major recent shock as indicated in this assessment [for example, an earthquake], what are the [expected] consequences for your household, in your own words?</t>
  </si>
  <si>
    <t>Si votre ménage a récemment été concerné par un choc majeur mentionné dans cette évaluation [par exemple, un tremblement de terre], quelles en sont, selon vous et dans vos propres mots, les conséquences [déjà ressenties ou attendues] pour votre ménage?</t>
  </si>
  <si>
    <t>[INSTRUCTIONS: RECORD IN FEW WORDS THE MAIN CONSEQUENCE OF THE RECENT SHOCKS. ENTER 888 FOR DON'T KNOW AND 999 FOR REFUSED.]</t>
  </si>
  <si>
    <t>[INSTRUCTIONS :  SAISIR EN QUELQUES MOTS LA PRINCIPALE CONSÉQUENCE DES RÉCENTS CHOCS. SAISIR 888 POUR «NE SAIT PAS» ET 999 POUR «REFUSÉ»].</t>
  </si>
  <si>
    <t>${shock} != 'noshock' and ${shock} != 'dk' and ${shock} != 'ref'</t>
  </si>
  <si>
    <t>o_hh_displacement_income</t>
  </si>
  <si>
    <t>If you or members of your household have experienced displacement, were you generating income from the same sources as before your displacement?</t>
  </si>
  <si>
    <t>Si vous ou les membres de votre ménage avez été déplacés, génériez-vous des revenus à partir des mêmes sources qu'avant votre déplacement ?</t>
  </si>
  <si>
    <t>o_hh_displacement_incomesource</t>
  </si>
  <si>
    <t>If no, what was your primary source of income before displacement?</t>
  </si>
  <si>
    <t>Si non, quelle était votre principale source de revenus avant le déplacement ?</t>
  </si>
  <si>
    <t>select_multiple displacement_assets</t>
  </si>
  <si>
    <t>o_hh_displacement_assets</t>
  </si>
  <si>
    <t>If you or members of your household have experienced displacement, were you able to bring any income-generating assets or goods with you during your most recent move?</t>
  </si>
  <si>
    <t>Si vous ou des membres de votre ménage avez été déplacés, avez-vous pu emporter des biens générateurs de revenus lors de votre dernier déménagement ?</t>
  </si>
  <si>
    <t>CropProduction_group</t>
  </si>
  <si>
    <t>CROP PRODUCTION</t>
  </si>
  <si>
    <t>PRODUCTION DE CULTURES</t>
  </si>
  <si>
    <t>crp_intro</t>
  </si>
  <si>
    <t>We will now ask you some questions about crop production which apply to you and anyone in your household that is involved in crop production or sales. All questions refer to the crops grown during Harvest.</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</si>
  <si>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récolte. </t>
  </si>
  <si>
    <t>o_crpaccess</t>
  </si>
  <si>
    <t>Are you able to access land for cultivation or grazing?</t>
  </si>
  <si>
    <t>Pouvez-vous accéder aux terres pour les cultiver ou les faire paître ?</t>
  </si>
  <si>
    <t>select_one land_access</t>
  </si>
  <si>
    <t>o_crpnoaccess</t>
  </si>
  <si>
    <t>If no, why not?</t>
  </si>
  <si>
    <t>Si non, pourquoi ?</t>
  </si>
  <si>
    <t>${o_crpaccess} = '2'</t>
  </si>
  <si>
    <t>select_one land_terms</t>
  </si>
  <si>
    <t>o_crpaccesok</t>
  </si>
  <si>
    <t xml:space="preserve">If yes, what are the terms of access? </t>
  </si>
  <si>
    <t>Si oui, quelles sont les conditions d'accès ?</t>
  </si>
  <si>
    <t>${o_crpaccess} = '1'</t>
  </si>
  <si>
    <t>o_crp_land_returnee</t>
  </si>
  <si>
    <t xml:space="preserve">if you used to live in this community, left, and have returned, are you able to access the same land you were using for growing or grazing before? </t>
  </si>
  <si>
    <t>${o_hh_residencetype} = '4'</t>
  </si>
  <si>
    <t>select_one land_returnee</t>
  </si>
  <si>
    <t>o_crp_land_returnee_reason</t>
  </si>
  <si>
    <t xml:space="preserve">If not, why not? </t>
  </si>
  <si>
    <t>crp_landsize_num</t>
  </si>
  <si>
    <t>What is the total size of the land you can cultivate?</t>
  </si>
  <si>
    <t>Quelle superficie totale pouvez-vous cultiver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</si>
  <si>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</si>
  <si>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</si>
  <si>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</si>
  <si>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</si>
  <si>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</si>
  <si>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</si>
  <si>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</si>
  <si>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</si>
  <si>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</si>
  <si>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</si>
  <si>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</si>
  <si>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</si>
  <si>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t>What is the main crop that your household grows for food or income generation in Harvest, if any?</t>
  </si>
  <si>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</si>
  <si>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</si>
  <si>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</si>
  <si>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</si>
  <si>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</si>
  <si>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</si>
  <si>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t>Why did you not produce any crops in Harvest?</t>
  </si>
  <si>
    <t>${crp_main}='777'</t>
  </si>
  <si>
    <t>select_multiple wateraccess</t>
  </si>
  <si>
    <t>o_crp_water</t>
  </si>
  <si>
    <t xml:space="preserve">Do you have any issues accessing enough water for your production? </t>
  </si>
  <si>
    <t>Avez-vous des difficultés à obtenir suffisamment d'eau pour votre production ?</t>
  </si>
  <si>
    <t>select_one irrigation</t>
  </si>
  <si>
    <t>crp_irrig_source</t>
  </si>
  <si>
    <t xml:space="preserve">Where do you normally and mainly obtain water for the production of ${crpmain}? </t>
  </si>
  <si>
    <t>Quel est normalement votre principale source d'eau pour la production de ${crpmain} ?</t>
  </si>
  <si>
    <t>${crp_main} != '777' and ${crp_main} != '888' and ${crp_main} != '999'</t>
  </si>
  <si>
    <t>crp_irrig_source_otherspecify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</si>
  <si>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</si>
  <si>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</si>
  <si>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</si>
  <si>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</si>
  <si>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${crp_irrig_source}='6' and (${crp_main} != '777' and ${crp_main} != '888' and ${crp_main} != '999')</t>
  </si>
  <si>
    <t>crp_area_change</t>
  </si>
  <si>
    <t>How did the ***area planted*** for ${crpmain} from Harvest compare to last year?</t>
  </si>
  <si>
    <t>crp_harv_change</t>
  </si>
  <si>
    <t xml:space="preserve">How does the expected ***harvest*** of ${crpmain} in the Harvest compare to last year? </t>
  </si>
  <si>
    <t>crp_harv_vol</t>
  </si>
  <si>
    <t>How much (threshed) ${crpmain} did you harvest this Harvest?</t>
  </si>
  <si>
    <t>[INSTRUCTIONS: RECORD THE RESPONSE GIVEN. UNIT OF MEASUREMENT TO BE SPECIFIED IN NEXT QUESTION. ENTER 888 FOR DON'T KNOW &amp; 999 FOR REFUSED, TO BE USED RARELY - PROBE!]</t>
  </si>
  <si>
    <t>[INSTRUCTIONS :  ENREGISTRER LA RÉPONSE DONNÉE. L'UNITÉ DE MESURE DOIT ÊTRE SPÉCIFIÉE À LA QUESTION SUIVANTE. SAISIR 888 POUR «NE SAIT PAS» ET 999 POUR «REFUSÉ», À UTILISER LE MOINS POSSIBLE - DEMANDER DES PRÉCISIONS!]</t>
  </si>
  <si>
    <t>select_one harv_unit</t>
  </si>
  <si>
    <t>crp_harv_unit</t>
  </si>
  <si>
    <t>Unit of measurement for harvested ${crpmain}:</t>
  </si>
  <si>
    <t xml:space="preserve">Unité de mesure pour la/le ${crpmain} récolté(e) : </t>
  </si>
  <si>
    <t>${crp_harv_vol} != '888' and ${crp_harv_vol} != '999'</t>
  </si>
  <si>
    <t>crp_harvunit</t>
  </si>
  <si>
    <t>jr:choice-name(${crp_harv_unit},'${crp_harv_unit}')</t>
  </si>
  <si>
    <t>crp_harv_unit_kg</t>
  </si>
  <si>
    <t>How many kilograms [kgs] in each unit?</t>
  </si>
  <si>
    <t>Combien de kilogrammes [kg] chaque unité contient-elle ?</t>
  </si>
  <si>
    <t>[INSTRUCTIONS: RECORD THE RESPONSE GIVEN. ENTER 888 FOR DON'T KNOW &amp; 999 FOR REFUSED, TO BE USED RARELY - PROBE!]</t>
  </si>
  <si>
    <t>[INSTRUCTIONS :   SAISIR LA QUANTITÉ ANNONCÉE. SAISIR 888 POUR «NE SAIT PAS» ET 999 POUR «REFUSÉ».]</t>
  </si>
  <si>
    <t>(${crp_harv_vol} != '888' and ${crp_harv_vol} != '999') and (${crp_harv_unit}='5' or ${crp_harv_unit}='6' or ${crp_harv_unit}='7' or ${crp_harv_unit}='8' or ${crp_harv_unit}='9')</t>
  </si>
  <si>
    <t>crp_harv_lastyr</t>
  </si>
  <si>
    <t>How many ${crp_harvunit} of (threshed) ${crpmain} did you harvest last year during the same season?</t>
  </si>
  <si>
    <t>Combien de ${crp_harvunit} de ${crpmain} (battu) avez-vous récolté l'année dernière au cours de la même saison ?</t>
  </si>
  <si>
    <t>[INSTRUCTIONS :  SAISIR LA RÉPONSE DONNÉE. ENTRER 888 POUR «NE SAIT PAS» ET 999 POUR «REFUSÉ», À UTILISER LE MOINS POSSIBLE - DEMANDER DES PRÉCISIONS!]</t>
  </si>
  <si>
    <t>${crp_harv_vol} != '888' and ${crp_harv_vol} != '999' and (${crp_main} != '777' and ${crp_main} != '888' and ${crp_main} != '999')</t>
  </si>
  <si>
    <t>crp_proddif</t>
  </si>
  <si>
    <t>Has your household faced any significant difficulty ***in terms of crop production*** in Harvest?</t>
  </si>
  <si>
    <t>${crp_main} != '888' and ${crp_main} != '999' and ${crp_main_check} != 1</t>
  </si>
  <si>
    <t>select_multiple cropproddiff</t>
  </si>
  <si>
    <t>crp_proddif_</t>
  </si>
  <si>
    <t>Which difficulties has your household faced with crop production in Harvest?</t>
  </si>
  <si>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</si>
  <si>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</si>
  <si>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if(selected(., 'ref') or selected(., 'dk'), count-selected(.) = 1, count-selected(.) &gt;= 1)</t>
  </si>
  <si>
    <t>${crp_proddif} = '1' and (${crp_main} != '888' and ${crp_main} != '999' and ${crp_main_check} != 1)</t>
  </si>
  <si>
    <t>select_one storage</t>
  </si>
  <si>
    <t>crp_storage</t>
  </si>
  <si>
    <t>Last year, what proportion of your ${crpmain} stock did you lose [to pests, rotting, mould, etc.] after the harvest?</t>
  </si>
  <si>
    <t>L'année dernière, quelle part du stock de votre ${crpmain} avez-vous perdue (en raison des parasites, de la pourriture, de la moisissure, etc.) après la récolte ?</t>
  </si>
  <si>
    <t>${crp_main} != '888' and ${crp_main} != '999' and ${crp_main} != '777'</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</si>
  <si>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</si>
  <si>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</si>
  <si>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</si>
  <si>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</si>
  <si>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</si>
  <si>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</si>
  <si>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</si>
  <si>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select_one crop3</t>
  </si>
  <si>
    <t>crp_sales_main_2</t>
  </si>
  <si>
    <t>What was the main crop that you sold over the *last 3 months*?</t>
  </si>
  <si>
    <t>Quelle principale récolte avez-vous vendue au cours des *3 derniers mois* ?</t>
  </si>
  <si>
    <t>${crp_sales_main_1}='2'</t>
  </si>
  <si>
    <t>not(selected(${crp_main}, name))</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</si>
  <si>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</si>
  <si>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</si>
  <si>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</si>
  <si>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</si>
  <si>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</si>
  <si>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</si>
  <si>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</si>
  <si>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</si>
  <si>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</si>
  <si>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</si>
  <si>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</si>
  <si>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</si>
  <si>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</si>
  <si>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</si>
  <si>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</si>
  <si>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t>How does the current price of your household's ${crp_sales_main} compare to the average price in the same period of last year?</t>
  </si>
  <si>
    <t>Comment évaluez-vous le prix actuel de ${crp_sales_main} par rapport au prix moyen de la même periode de l'année dernière ?</t>
  </si>
  <si>
    <t>[INSTRUCTIONS: INSIST ON THE MAIN PRODUCT MENTIONED.]</t>
  </si>
  <si>
    <t>[INSTRUCTIONS : INSISTER SUR LA PRINCIPALE CULTURE MENTIONNÉE AUPARAVANT.]</t>
  </si>
  <si>
    <t>Livestock_group</t>
  </si>
  <si>
    <t>LIVESTOCK PRODUCTION</t>
  </si>
  <si>
    <t>PRODUCTION DE BÉTAIL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</si>
  <si>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</si>
  <si>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</si>
  <si>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</si>
  <si>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</si>
  <si>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</si>
  <si>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</si>
  <si>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was the main animal raised by your household for food and income generation in the last 12 months?</t>
  </si>
  <si>
    <t>Quel  animal votre ménage a-t-il principalement élevé pour se nourrir et générer des revenus au cours des 12 derniers mois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</si>
  <si>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</si>
  <si>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</si>
  <si>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</si>
  <si>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</si>
  <si>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</si>
  <si>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</si>
  <si>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</si>
  <si>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[INSTRUCTIONS: RECORD THE NUMBER OF ANIMALS. ENTER 888 FOR DON'T KNOW AND 999 FOR REFUSED.]</t>
  </si>
  <si>
    <t>[INSTRUCTIONS :  SAISIR LE NOMBRE D'ANIMAUX. ENTREZ 888 POUR «NE SAIT PAS» ET 999 POUR «REFUSÉ».]</t>
  </si>
  <si>
    <t xml:space="preserve">. &gt;= 0 </t>
  </si>
  <si>
    <t>${ls_main} != '10' or ${ls_main} != '11'</t>
  </si>
  <si>
    <t>ls_num_now</t>
  </si>
  <si>
    <t>How many ${lsmain} do you have now?</t>
  </si>
  <si>
    <t>Combien de ${lsmain} avez-vous maintenant ?</t>
  </si>
  <si>
    <t>ls_num_diff</t>
  </si>
  <si>
    <t xml:space="preserve">Change in ${lsmain}: </t>
  </si>
  <si>
    <t xml:space="preserve">Différence de ${lsmain}: </t>
  </si>
  <si>
    <t>(${ls_main} != '10' or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</si>
  <si>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</si>
  <si>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</si>
  <si>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</si>
  <si>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</si>
  <si>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</si>
  <si>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[INSTRUCTIONS: MULTIPLE RESPONSES POSSIBLE.]</t>
  </si>
  <si>
    <t xml:space="preserve">[INSTRUCTIONS :  PLUSIEURS RÉPONSES POSSIBLES.] </t>
  </si>
  <si>
    <t>if(selected(., 'inc_dec_dk') or selected(., 'inc_dec_ref'), count-selected(.) = 1, count-selected(.) &gt;= 1)</t>
  </si>
  <si>
    <t>select_multiple lsfood</t>
  </si>
  <si>
    <t>ls_feed</t>
  </si>
  <si>
    <t xml:space="preserve">Where do you usually access feed for your ${lsmain}? </t>
  </si>
  <si>
    <t>Où vous procurez-vous habituellement l'alimentation pour votre ${lsmain} ?</t>
  </si>
  <si>
    <t>ls_proddif</t>
  </si>
  <si>
    <t>Has your household faced any significant difficulty with livestock production over the last 3 months?</t>
  </si>
  <si>
    <t>Votre ménage a-t-il rencontré d'importantes difficultés en matière d'élevage au cours des trois derniers mois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</si>
  <si>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</si>
  <si>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</si>
  <si>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</si>
  <si>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</si>
  <si>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[INSTRUCTIONS : PLUSIEURS RÉPONSES POSSIBLES. SÉLECTIONNER LA OU LES OPTIONS QUI CORRESPONDENT LE MIEUX AUX INFORMATIONS PROPOSÉES PAR LES RÉPONDANTS]</t>
  </si>
  <si>
    <t>${ls_proddif}='1'</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</si>
  <si>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</si>
  <si>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</si>
  <si>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</si>
  <si>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</si>
  <si>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</si>
  <si>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</si>
  <si>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</si>
  <si>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</si>
  <si>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</si>
  <si>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</si>
  <si>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</si>
  <si>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</si>
  <si>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</si>
  <si>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</si>
  <si>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</si>
  <si>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</si>
  <si>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</si>
  <si>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[INSTRUCTIONS : PLUSIEURS RÉPONSES POSSIBLES. SÉLECTIONNER LA OU LES OPTIONS QUI CORRESPONDENT LE MIEUX AUX INFORMATIONS FOURNIES PAR LES PERSONNES INTERROGÉES.]</t>
  </si>
  <si>
    <t xml:space="preserve">${ls_salesdif} = '1' </t>
  </si>
  <si>
    <t>ls_salesprice</t>
  </si>
  <si>
    <t>How does the current price of your household's ${lssalesmain} compare to the average price in the same period of last year?</t>
  </si>
  <si>
    <t>Comment évaluez-vous le prix actuel de ${lssalesmain} par rapport au prix moyen sur la même période de l'année dernière ?</t>
  </si>
  <si>
    <t>[INSTRUCTIONS : INSISTER SUR LE PRINCIPAL PRODUIT MENTIONNÉ AUPARAVANT.]</t>
  </si>
  <si>
    <t>Fishing_group</t>
  </si>
  <si>
    <t>FISHING / AQUACULTURE PRODUCTION</t>
  </si>
  <si>
    <t>PRODUCTION PISCICOLE / AQUACOLE</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</si>
  <si>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</si>
  <si>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</si>
  <si>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processing or sales of fish.</t>
  </si>
  <si>
    <t>Nous allons maintenant vous poser quelques questions sur la production piscicole et aquacole. Ces questions s'appliquent à vous et à toute personne de votre foyer impliquée dans la capture, l'élevage, la tranformation ou la vente de poisson.</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</si>
  <si>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</si>
  <si>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</si>
  <si>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</si>
  <si>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</si>
  <si>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</si>
  <si>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</si>
  <si>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catch [capture fishery] in the last 3 months [or last harvest] compare to the same period [harvest] last year?</t>
  </si>
  <si>
    <t>Comment évaluez-vous votre capture de poissons [prises] au cours des trois derniers mois [ou de la dernière récolte] par rapport à la même période [récolte] de l'année dernière ?</t>
  </si>
  <si>
    <t>fish_proddif</t>
  </si>
  <si>
    <t>Has your household faced any significant difficulty with fish catch and/or harvest in the last 3 months?</t>
  </si>
  <si>
    <t>Votre ménage a-t-il rencontré d'importantes difficultés dans ses activités de pêche et/ou au cours des trois derniers mois ?</t>
  </si>
  <si>
    <t>select_multiple fishproddiff</t>
  </si>
  <si>
    <t>fish_proddif_</t>
  </si>
  <si>
    <t>Which difficulties has your household faced with fish catch and/or harvest in the last 3 months?</t>
  </si>
  <si>
    <t>Quelles difficultés votre ménage a-t-il rencontrées en dans la capture de poisson [ou la production aquacoles] au cours des trois derniers mois ?</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</si>
  <si>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</si>
  <si>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</si>
  <si>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</si>
  <si>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</si>
  <si>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</si>
  <si>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</si>
  <si>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</si>
  <si>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Quel matériel de pêche [pour la culture] votre ménage a-t-il eu des difficultés à se procurer au cours des trois derniers mois ?</t>
  </si>
  <si>
    <t>[INSTRUCTIONS :  PLUSIEURS RÉPONSES POSSIBLES.]</t>
  </si>
  <si>
    <t>${fish_proddif} = '1' and selected(${fish_proddif_}, 'input_access')</t>
  </si>
  <si>
    <t>FishSales_group</t>
  </si>
  <si>
    <t xml:space="preserve">FISHING / AQUACULTURE MARKETING </t>
  </si>
  <si>
    <t>VENTES DE POISSON</t>
  </si>
  <si>
    <t>${resp_agree} = '1' and (${income_main}='6' or ${income_sec}='6' or ${income_third}='6')</t>
  </si>
  <si>
    <t>select_one fishsales</t>
  </si>
  <si>
    <t>fish_salesmain</t>
  </si>
  <si>
    <t>What was the main fish product sold by your household in the last 3 months?</t>
  </si>
  <si>
    <t>Quel était le principal produit piscicole vendu par votre ménage au cours des trois derniers mois ?</t>
  </si>
  <si>
    <t>fishsalesmain</t>
  </si>
  <si>
    <t>jr:choice-name(${fish_salesmain},'${fish_salesmain}')</t>
  </si>
  <si>
    <t>fish_salesmain_otherspecify</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</si>
  <si>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</si>
  <si>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</si>
  <si>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</si>
  <si>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</si>
  <si>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</si>
  <si>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</si>
  <si>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</si>
  <si>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</si>
  <si>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</si>
  <si>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</si>
  <si>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</si>
  <si>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</si>
  <si>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</si>
  <si>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</si>
  <si>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last year? </t>
  </si>
  <si>
    <t xml:space="preserve">Comment évaluez-vous le prix actuel de vos ${fishsalesmain} vendus par votre ménage par rapport au prix moyen sur la même période [récolte] de l'année dernière ? </t>
  </si>
  <si>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</si>
  <si>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</si>
  <si>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</si>
  <si>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</si>
  <si>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</si>
  <si>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</si>
  <si>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</si>
  <si>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</si>
  <si>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</si>
  <si>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</si>
  <si>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</si>
  <si>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fies_worried</t>
  </si>
  <si>
    <t>During the *last 30 days*, was there a time when you or others in your household were **worried about not having enough food to eat** because of lack of money or other resources?</t>
  </si>
  <si>
    <t>Au cours de ces *30 derniers jours*, vous ou un autre membre de votre ménage avez-vous été **inquiet(e)s de ne pas avoir suffisamment de nourriture** par manque d’argent ou d’autres ressources ?</t>
  </si>
  <si>
    <t>fies_healthy</t>
  </si>
  <si>
    <t>During the *last 30 days*, was there a time when you or others in your household were **unable to eat healthy and nutritious food** because of lack of money or other resources?</t>
  </si>
  <si>
    <t>Au cours des *30 derniers jours*, vous ou un autre membre de votre ménage n'avez-vous **pas pu manger une nourriture saine et nutritive** par manque d’argent ou d’autres ressources ?</t>
  </si>
  <si>
    <t>fies_fewfoods</t>
  </si>
  <si>
    <t>During the *last 30 days*, was there a time when you or others in your household **ate only a few kinds of foods** because of lack of money or other resources?</t>
  </si>
  <si>
    <t>Au cours des *30 derniers jours*, vous ou un autre membre de votre ménage avez-vous **mangé une nourriture peu variée** par manque d’argent ou d’autres ressources ?</t>
  </si>
  <si>
    <t>fies_skipped</t>
  </si>
  <si>
    <t>During the *last 30 days*, was there a time when you or others in your household **had to skip a meal** because of lack of money or other resources to get food?</t>
  </si>
  <si>
    <t>Au cours des *30 derniers jours*, vous ou un autre membre de votre ménage avez-vous **dû sauter un repas** parce que vous n’aviez pas assez d’argent ou d’autres ressources pour vous procurer à manger ?</t>
  </si>
  <si>
    <t>fies_ateless</t>
  </si>
  <si>
    <t>During the *last 30 days*, was there a time when you or others in your household **ate less than you thought you should** because of lack of money or other resources?</t>
  </si>
  <si>
    <t>Au cours des *30 derniers jours*, y-a-t-il eu des moments lors desquels vous ou d'autre membre de votre ménage avez **mangé moins que ce que vous pensiez que vous auriez dû manger** à cause d'un manque d'argent ou d'autres ressources ?</t>
  </si>
  <si>
    <t>fies_ranout</t>
  </si>
  <si>
    <t>In the *past 30 days*, was there ever **no food to eat of any kind** in your house because of lack of resources to get food?</t>
  </si>
  <si>
    <t>Au cours des *30 derniers jours*, n'y avait-il **aucun aliment à manger**, de quelque nature que ce soit, dans votre foyer, en raison du manque de ressources pour se procurer de la nourriture ?</t>
  </si>
  <si>
    <t>select_one frequency</t>
  </si>
  <si>
    <t>fies_ranout_hhs</t>
  </si>
  <si>
    <t xml:space="preserve">How often did this happen? </t>
  </si>
  <si>
    <t>Combien de fois cela s'est-il produit ?</t>
  </si>
  <si>
    <t>${fies_ranout} = '1'</t>
  </si>
  <si>
    <t>fies_hungry</t>
  </si>
  <si>
    <t>In the *past 30 days*, did you or any household member ever **go to sleep at night hungry**because there was not enough food?</t>
  </si>
  <si>
    <t>Au cours des *30 derniers jours*, êtiez-vous ou tout membre de votre ménage **obligé de dormir affamé le soir** parce qu'il n'y avait pas assez de nourriture ?</t>
  </si>
  <si>
    <t>fies_hungry_hhs</t>
  </si>
  <si>
    <t>${fies_hungry} = '1'</t>
  </si>
  <si>
    <t>fies_whlday</t>
  </si>
  <si>
    <t>In the *past 30 days*, did you or any household member ever **go a whole day and night without eating anything at all** because there was not enough food?</t>
  </si>
  <si>
    <t>Au cours des *30 derniers jours*, avez-vous ou tout membre de votre ménage passé **un jour et une nuit entière sans rien manger** parce qu'il n'y avait pas assez de nourriture ?</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</si>
  <si>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</si>
  <si>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</si>
  <si>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</si>
  <si>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</si>
  <si>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</si>
  <si>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</si>
  <si>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</si>
  <si>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</si>
  <si>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select_one coping</t>
  </si>
  <si>
    <t>cs_stress_hh_assets</t>
  </si>
  <si>
    <t>**Sell household assets/goods** (radio, furniture, television, jewelry etc.)</t>
  </si>
  <si>
    <t>**Vendre des actifs/biens ménagers** (radio, meubles, télévision, bijoux, etc.)</t>
  </si>
  <si>
    <t>cs_stress_spent_savings</t>
  </si>
  <si>
    <t>**Spend savings**</t>
  </si>
  <si>
    <t>**Dépenser les économies**</t>
  </si>
  <si>
    <t>cs_stress_sold_more_animals</t>
  </si>
  <si>
    <t>**Sell more animals (non-reproductive) than usual**</t>
  </si>
  <si>
    <t>**Vendre plus d'animaux (non producteurs) que d'habitude**</t>
  </si>
  <si>
    <t>cs_stress_borrowed_or_helped</t>
  </si>
  <si>
    <t>**Borrow food or relied on help from friends or relatives **</t>
  </si>
  <si>
    <t>**Emprunter de la nourriture ou compter sur l'aide d'amis ou de parents **</t>
  </si>
  <si>
    <t>cs_stress_credit</t>
  </si>
  <si>
    <t>**Purchase food on credit or borrowed food**</t>
  </si>
  <si>
    <t>**Acheter de la nourriture à crédit ou emprunter de la nourriture**</t>
  </si>
  <si>
    <t>cs_stress_borrowed_money</t>
  </si>
  <si>
    <t>**Borrow money**</t>
  </si>
  <si>
    <t>**Emprunter de l'argent**</t>
  </si>
  <si>
    <t>cs_crisis_sold_prod_assets</t>
  </si>
  <si>
    <t>**Sell productive assets or means of transport** (sewing machine, wheelbarrow, bicycle, car, etc.)</t>
  </si>
  <si>
    <t>**Vendre des actifs productifs ou des véhicules** (machine à coudre, charrette vélo, voiture, etc.)</t>
  </si>
  <si>
    <t>cs_crisis_reduced_health_exp</t>
  </si>
  <si>
    <t>**Reduce expenses on health** (including drugs)</t>
  </si>
  <si>
    <t xml:space="preserve">**Réduire les dépenses de santé** (dont les médicaments) </t>
  </si>
  <si>
    <t>cs_crisis_harv_immature_crops</t>
  </si>
  <si>
    <t>**Harvest immature crops** (e.g. green maize) **to eat**</t>
  </si>
  <si>
    <t>**Récolter des cultures immatures** (par exemple, le maïs vert) pour les manger</t>
  </si>
  <si>
    <t>cs_crisis_consume_seed_stocks</t>
  </si>
  <si>
    <t>**Consume seed stocks that were to be saved for the next planting season**</t>
  </si>
  <si>
    <t>**Consommer les stocks de semence qui devaient être gardés pour la prochaine campagne de semis**</t>
  </si>
  <si>
    <t>cs_emergency_begged</t>
  </si>
  <si>
    <t>**Beg**</t>
  </si>
  <si>
    <t>**Mendier**</t>
  </si>
  <si>
    <t>cs_emergency_sold_last_female</t>
  </si>
  <si>
    <t>**Sell your last female animals**</t>
  </si>
  <si>
    <t>**Vendre votre dernières femelles animales**</t>
  </si>
  <si>
    <t>cs_emergency_hh_migration</t>
  </si>
  <si>
    <t>**Migrate with the entire household**</t>
  </si>
  <si>
    <t>**Migration de l'entièreté du ménage**</t>
  </si>
  <si>
    <t>grp_hdds</t>
  </si>
  <si>
    <t>HDDS</t>
  </si>
  <si>
    <t>SDAM</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</si>
  <si>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</si>
  <si>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</si>
  <si>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</si>
  <si>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</si>
  <si>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</si>
  <si>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</si>
  <si>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</si>
  <si>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</si>
  <si>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</si>
  <si>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</si>
  <si>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</si>
  <si>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</si>
  <si>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</si>
  <si>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</si>
  <si>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</si>
  <si>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</si>
  <si>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</si>
  <si>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</si>
  <si>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fcs_staple_days</t>
  </si>
  <si>
    <t>How many days over *the last 7 days*, did members of your household eat **starches, roots and tubers** such as rice, maize, pasta, bread, sorghum, millet, potato, yam, cassava, white sweet potato?</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</si>
  <si>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</si>
  <si>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</si>
  <si>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</si>
  <si>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</si>
  <si>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</si>
  <si>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</si>
  <si>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</si>
  <si>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t>Combien de fois (en nombre de jours) au cours des *7 derniers jours*, les membres de votre foyer ont-ils mangé des **légumineuses et des fruits à coque** tels que des haricots, des lentilles, du niébé, du soja, des pois cajan, des cacahuètes ou d'autres fruits à coque ?</t>
  </si>
  <si>
    <t>fcs_vegetables_days</t>
  </si>
  <si>
    <t>How many days over *the last 7 days*, did members of your household eat **vegetables or leaves** such as Funbwa, spinach, cabbage, carrot and/or other leaves/vegetables?</t>
  </si>
  <si>
    <t>Combien de fois (en nombre de jours) au cours des *7 derniers jours*, les membres de votre foyer ont-ils mangé des **légumes ou des feuilles** tels que des Fumbwa, épinard, choux, carottes et/ou d'autres feuilles/légumes ?</t>
  </si>
  <si>
    <t>fcs_fruit_days</t>
  </si>
  <si>
    <t>How many days over *the last 7 days*, did members of your household eat **fruit** such as bananas, oranges, mangos and/or other fruits?</t>
  </si>
  <si>
    <t>Combien de fois (en nombre de jours) au cours des *7 derniers jours*, les membres de votre foyer ont-ils mangé des **fruits** tels que des bananas, oranges, mangos et/ou d'autres fruits ?</t>
  </si>
  <si>
    <t>fcs_meat_fish_days</t>
  </si>
  <si>
    <t>How many days over *the last 7 days*, did members of your household eat **meat, eggs or fish** [any type of meat or fish including insects, birds, bush meat, seafood, or organs]?</t>
  </si>
  <si>
    <t>Combien de fois (en nombre de jours) au cours des *7 derniers jours*, les membres de votre foyer ont-ils mangé de** la viande, des œufs ou du poisson** [tout type de viande ou  poisson, y compris des insectes, oiseaux, viande de brousse, fruits de mer ou abats]?</t>
  </si>
  <si>
    <t>fcs_dairy_days</t>
  </si>
  <si>
    <t>How many days over *the last 7 days*, did members of your household consume fresh milk, sour milk, yogurt, cheese or other **dairy products** [excluding margarine/butter or small amounts of milk for tea/ coffee]?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</si>
  <si>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</si>
  <si>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fcs_sugar_days</t>
  </si>
  <si>
    <t>How many days over *the last 7 days*, did members of your household consume **sugar or sweets** such as sugar, honey, jam, cakes, candy, cookies, pastries, cakes and other sweets and sugary drinks?</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</si>
  <si>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</si>
  <si>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fcs_oil_days</t>
  </si>
  <si>
    <t>How many days over *the last 7 days*, did members of your household eat **oil/fat/butter** such as vegetable oil, palm oil, groundnut oil, margarine, other fats / oil?</t>
  </si>
  <si>
    <t>Combien de fois (en nombre de jours) au cours des *7 derniers jours*, les membres de votre foyer ont-ils consommé de **l'huile/de la graisse/du beurre** tels que des huiles végétales, de l'huile de palme, de l'huile d'arachide, de la margarine, d'autres graisses/huiles ?</t>
  </si>
  <si>
    <t>fcs_condiments_days</t>
  </si>
  <si>
    <t>How many days over *the last 7 days*, did members of your household eat **spices or condiments** such as tea, coffee, cocoa, salt, garlic, spices, yeast, meat fish as a condiment or small amounts of milk for tea or coffee?</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</si>
  <si>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</si>
  <si>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</si>
  <si>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</si>
  <si>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</si>
  <si>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</si>
  <si>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</si>
  <si>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</si>
  <si>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</si>
  <si>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t>Au cours des *7 derniers jours*, combien de fois (en nombre de jours) votre ménage s'est-il **rabattu sur des aliments qu'il aime moins ou moins chers** par manque de nourriture/argent ?</t>
  </si>
  <si>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</si>
  <si>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</si>
  <si>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</si>
  <si>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</si>
  <si>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t>Au cours des *7 derniers jours*, combien de fois (en nombre de jours) votre ménage a-t-il **emprunté de la nourriture ou demandé l'aide d'un ami ou d'un parent** en raison du manque de nourriture ou d'argent pour acheter de la nourriture ?</t>
  </si>
  <si>
    <t>rcsi_reduce_number_meals</t>
  </si>
  <si>
    <t>In the past 7 days, how many days did your household **reduce the number of meals eaten in a day** due to lack of food or money to buy food?</t>
  </si>
  <si>
    <t>Au cours des *7 derniers jours*, combien de fois (en nombre de jours) votre ménage a-t-il **réduit le nombre de repas pris dans une journée** par manque de nourriture ou d'argent pour acheter de la nourriture ?</t>
  </si>
  <si>
    <t>rcsi_limit_portions</t>
  </si>
  <si>
    <t xml:space="preserve">In the *past 7 days*, how many days did your household **limit portion sizes at mealtime** due to lack of food or money to buy food? </t>
  </si>
  <si>
    <t>Au cours des *7 derniers jours*, combien de fois (en nombre de jours) votre ménage a-t-il **limité la taille des portions consommées pour le repas** en raison du manque de nourriture ou d'argent pour acheter de la nourriture ?</t>
  </si>
  <si>
    <t>rcsi_restrict_adult_consumpt</t>
  </si>
  <si>
    <t>In the *past 7 days*, how many days did your household **restrict consumption by adults so children could eat**, due to lack of food or money to buy food?</t>
  </si>
  <si>
    <t>Au cours des *7 derniers jours*, combien de fois (en nombre de jours) votre ménage a-t-il **limité les quantités consommées par les adultes pour que les enfants puissent manger**, par manque de nourriture ou d'argent pour acheter de la nourriture ?</t>
  </si>
  <si>
    <t>Assisstance_group</t>
  </si>
  <si>
    <t>NEEDS ASSISTANCE</t>
  </si>
  <si>
    <t>BESOIN D'ASSISTANCE</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</si>
  <si>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</si>
  <si>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</si>
  <si>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</si>
  <si>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</si>
  <si>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</si>
  <si>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</si>
  <si>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</si>
  <si>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</si>
  <si>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[INSTRUCTIONS: MULTIPLE RESPONSE. DO NOT READ THE OPTIONS.]</t>
  </si>
  <si>
    <t>[INSTRUCTIONS :  PLUSIEURS RÉPONSES POSSILES. NE PAS LIRE LES OPTIONS.]</t>
  </si>
  <si>
    <t>${need} = 1</t>
  </si>
  <si>
    <t>need_otherspecify</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</si>
  <si>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</si>
  <si>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</si>
  <si>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</si>
  <si>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</si>
  <si>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</si>
  <si>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</si>
  <si>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</si>
  <si>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</si>
  <si>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</si>
  <si>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</si>
  <si>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</si>
  <si>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</si>
  <si>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</si>
  <si>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Avez-vous été satisfait de la qualité de l'assistance reçue?</t>
  </si>
  <si>
    <t>[INSTRUCTIONS: QUALITY OF ASSISTANCE IN TERMS OF SUFFICIENT ASSISTANCE FOR PRODUCTION OR SALES DIFFICULTY TO BE OVERCOME.]</t>
  </si>
  <si>
    <t>[INSTRUCTIONS : QUALITÉ DE L'ASSISTANCE EN TERMES D'AIDE SUFFISANTE POUR SURMONTER LES DIFFICULTÉS DE PRODUCTION OU DE VENTE.]</t>
  </si>
  <si>
    <t>${need_received} != 'dk' and ${need_received} != 'ref' and ${need_received} != 'none'</t>
  </si>
  <si>
    <t>select_multiple provider</t>
  </si>
  <si>
    <t>assistance</t>
  </si>
  <si>
    <t>Who provided your household with this assistance?</t>
  </si>
  <si>
    <t xml:space="preserve">Qui a fourni cette aide à votre ménage ? </t>
  </si>
  <si>
    <t>[INSTRUCTIONS: MULTIPLE RESPONSES.]</t>
  </si>
  <si>
    <t>o_benefao</t>
  </si>
  <si>
    <t>Is your household FAO beneficiary ?</t>
  </si>
  <si>
    <t>Votre ménage est-il bénéfiaire de la FAO ?</t>
  </si>
  <si>
    <t>o_sustainoption</t>
  </si>
  <si>
    <t xml:space="preserve">would you wish to return to your area of origin? </t>
  </si>
  <si>
    <t xml:space="preserve">souhaiteriez-vous retourner dans votre région d'origine ? </t>
  </si>
  <si>
    <t>${o_hh_residencetype} = '5'</t>
  </si>
  <si>
    <t>select_multiple conditions</t>
  </si>
  <si>
    <t>o_conditionsreturn</t>
  </si>
  <si>
    <t>which specific changes in your community of origin would influence your decision to return there?</t>
  </si>
  <si>
    <t>quels changements spécifiques dans votre communauté d'origine influenceraient votre décision d'y retourner ?</t>
  </si>
  <si>
    <t>${o_sustainoption} = '1'</t>
  </si>
  <si>
    <t>o_conditionsstay</t>
  </si>
  <si>
    <t>IF you would prefer to stay here, what conditions would need to change?</t>
  </si>
  <si>
    <t>SI vous préférez rester ici, quelles conditions devraient changer ?</t>
  </si>
  <si>
    <t>${o_sustainoption} = '2'</t>
  </si>
  <si>
    <t>closing</t>
  </si>
  <si>
    <t>CLOSING</t>
  </si>
  <si>
    <t>FINALISATION DE L'ENTRETIEN</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</si>
  <si>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</si>
  <si>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</si>
  <si>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</si>
  <si>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leader_contact</t>
  </si>
  <si>
    <t>Can you provide me with the contact information of a leader in your community?</t>
  </si>
  <si>
    <t>Pouvez-vous me donner les coordonnées d'une personnalité influente de votre communauté ?</t>
  </si>
  <si>
    <t>${callback} = '1'</t>
  </si>
  <si>
    <t>no - panel</t>
  </si>
  <si>
    <t>select_one leader</t>
  </si>
  <si>
    <t>leader_type</t>
  </si>
  <si>
    <t>What type of community leader can you provide information for?</t>
  </si>
  <si>
    <t>Pour quel type de personnalité influente pouvez-vous fournir des informations ?</t>
  </si>
  <si>
    <t>${callback} = '1' and ${leader_contact}='1'</t>
  </si>
  <si>
    <t>phone_number_leader</t>
  </si>
  <si>
    <t>What is the leader's *phone number*?</t>
  </si>
  <si>
    <t>Quel est le *numéro de téléphone* de cette personnalité influente ?</t>
  </si>
  <si>
    <t>leader_name</t>
  </si>
  <si>
    <t>What is the leader's name?</t>
  </si>
  <si>
    <t>Quel est le *nom* de cette personnalité influente ?</t>
  </si>
  <si>
    <t>select_multiple week</t>
  </si>
  <si>
    <t>future_int_day</t>
  </si>
  <si>
    <t>For future interviews, in which day(s) can I call you?</t>
  </si>
  <si>
    <t>Pour les prochains entretiens, quel(s) jour(s) puis-je vous appeler ?</t>
  </si>
  <si>
    <t>[INSTRUCTIONS: MULTIPLE ANSWERS POSSIBLE.]</t>
  </si>
  <si>
    <t>future_int_time</t>
  </si>
  <si>
    <t>For future interviews, at what time(s) can I call you?</t>
  </si>
  <si>
    <t>Pour les prochains entretiens, à quel(s) moment(s) de la journée puis-je vous appeler ?</t>
  </si>
  <si>
    <t>select_one language</t>
  </si>
  <si>
    <t>language2</t>
  </si>
  <si>
    <t xml:space="preserve">Select the language that was mostly used to complete the interview. </t>
  </si>
  <si>
    <t>Sélectionner la langue qui a été principalement utilisée pour réaliser l'entretien.</t>
  </si>
  <si>
    <t>closeout</t>
  </si>
  <si>
    <t xml:space="preserve">Thank you for your time. The interview has come to an end. </t>
  </si>
  <si>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</si>
  <si>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</si>
  <si>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</si>
  <si>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</si>
  <si>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</si>
  <si>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</si>
  <si>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</si>
  <si>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</si>
  <si>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</si>
  <si>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</si>
  <si>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</si>
  <si>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</si>
  <si>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</si>
  <si>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</si>
  <si>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</si>
  <si>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</si>
  <si>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</si>
  <si>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 xml:space="preserve">AVERAGE ESTIMATED DURATION </t>
  </si>
  <si>
    <t>list_name</t>
  </si>
  <si>
    <t>my_filter_admin</t>
  </si>
  <si>
    <t>enumteam</t>
  </si>
  <si>
    <t>Enumerator team 1</t>
  </si>
  <si>
    <t>Équipe d'enquêteurs 1</t>
  </si>
  <si>
    <t>Enumerator team 2</t>
  </si>
  <si>
    <t>Équipe d'enquêteurs 2</t>
  </si>
  <si>
    <t>Enumerator team 3</t>
  </si>
  <si>
    <t>Équipe d'enquêteurs 3</t>
  </si>
  <si>
    <t>Enumerator team 4</t>
  </si>
  <si>
    <t>Équipe d'enquêteurs 4</t>
  </si>
  <si>
    <t>enumerator name 1</t>
  </si>
  <si>
    <t xml:space="preserve">Nom énumérateur 1 </t>
  </si>
  <si>
    <t>enumerator name 2</t>
  </si>
  <si>
    <t xml:space="preserve">Nom énumérateur 2 </t>
  </si>
  <si>
    <t>enumerator name 3</t>
  </si>
  <si>
    <t>Nom énumérateur 3</t>
  </si>
  <si>
    <t>yes_no</t>
  </si>
  <si>
    <t>Yes</t>
  </si>
  <si>
    <t>Oui</t>
  </si>
  <si>
    <t>No</t>
  </si>
  <si>
    <t>Non</t>
  </si>
  <si>
    <t>DON'T KNOW</t>
  </si>
  <si>
    <t>NE SAIT PAS</t>
  </si>
  <si>
    <t>REFUSED</t>
  </si>
  <si>
    <t>REFUSÉ</t>
  </si>
  <si>
    <t>continue</t>
  </si>
  <si>
    <t>continuez</t>
  </si>
  <si>
    <t>yesno</t>
  </si>
  <si>
    <t>language</t>
  </si>
  <si>
    <t>en</t>
  </si>
  <si>
    <t>English</t>
  </si>
  <si>
    <t>fr</t>
  </si>
  <si>
    <t>French</t>
  </si>
  <si>
    <t>Français</t>
  </si>
  <si>
    <t>…</t>
  </si>
  <si>
    <t>gender</t>
  </si>
  <si>
    <t>Male</t>
  </si>
  <si>
    <t>Homme</t>
  </si>
  <si>
    <t>Female</t>
  </si>
  <si>
    <t>Femme</t>
  </si>
  <si>
    <t>contact_info</t>
  </si>
  <si>
    <t>YES - mine</t>
  </si>
  <si>
    <t>Oui - le mien</t>
  </si>
  <si>
    <t>YES - other household member</t>
  </si>
  <si>
    <t>Oui - un autre membre du ménage</t>
  </si>
  <si>
    <t>YES - friend or relative [non household member]</t>
  </si>
  <si>
    <t>Oui - celui d'un ami ou d'un parent [non membre du ménage]</t>
  </si>
  <si>
    <t>NO</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</si>
  <si>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</si>
  <si>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</si>
  <si>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</si>
  <si>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</si>
  <si>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</si>
  <si>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</si>
  <si>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</si>
  <si>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</si>
  <si>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</si>
  <si>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</si>
  <si>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</si>
  <si>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</si>
  <si>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</si>
  <si>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</si>
  <si>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</si>
  <si>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</si>
  <si>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</si>
  <si>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</si>
  <si>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</si>
  <si>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</si>
  <si>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</si>
  <si>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</si>
  <si>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</si>
  <si>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</si>
  <si>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</si>
  <si>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</si>
  <si>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</si>
  <si>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Other safe source</t>
  </si>
  <si>
    <t>Autre source sûre</t>
  </si>
  <si>
    <t>River</t>
  </si>
  <si>
    <t>Rivière</t>
  </si>
  <si>
    <t>Unprotected well</t>
  </si>
  <si>
    <t>Puits non protégé</t>
  </si>
  <si>
    <t>Spring water</t>
  </si>
  <si>
    <t>Eau de source</t>
  </si>
  <si>
    <t>Surface water [e.g. canal, ponds, dams]</t>
  </si>
  <si>
    <t>Eaux de surface (par ex. canaux, étangs, barrages)</t>
  </si>
  <si>
    <t>Other unsafe source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</si>
  <si>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</si>
  <si>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</si>
  <si>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</si>
  <si>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</si>
  <si>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</si>
  <si>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</si>
  <si>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</si>
  <si>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</si>
  <si>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</si>
  <si>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</si>
  <si>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</si>
  <si>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</si>
  <si>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t>
  </si>
  <si>
    <t>Électricité [à partir d'un générateur, du réseau électrique]</t>
  </si>
  <si>
    <t>Candle</t>
  </si>
  <si>
    <t>Bougie</t>
  </si>
  <si>
    <t>Petrol lamp</t>
  </si>
  <si>
    <t>Lampe à pétrole</t>
  </si>
  <si>
    <t>Lamp with batteries</t>
  </si>
  <si>
    <t>Lampe à piles</t>
  </si>
  <si>
    <t>Solar panel</t>
  </si>
  <si>
    <t>Panneaux solaires</t>
  </si>
  <si>
    <t>Other [no electric supply to the house]</t>
  </si>
  <si>
    <t>Autre [pas d'alimentation électrique dans la maison]</t>
  </si>
  <si>
    <t>residence</t>
  </si>
  <si>
    <t>Permanent Resident not hosting people displaced  - People who have been living here (the location being assessed) for more than three years and who consider it their habitual residence.</t>
  </si>
  <si>
    <t>Résident permanent n'accueillant pas de personnes déplacées - Personne qui vit ici (le lieu évalué) depuis plus de trois ans et qui considère qu'il s'agit de sa résidence habituelle.</t>
  </si>
  <si>
    <t>Permanent Resident hosting displaced persons - People who have been living here (the location being assessed) for more than three years and who consider it their habitual residence and currently hosting displaced persons</t>
  </si>
  <si>
    <t>Hôte - Résident permanent accueillant des personnes déplacées - Personne qui vit ici (le lieu évalué) depuis plus de trois ans et qui le considère comme sa résidence habituelle et qui accueille actuellement des personnes déplacées.</t>
  </si>
  <si>
    <t>Recent migrant not forcefully displaced - People living here (the location being assessed) for less than three years who moved there voluntarily for work / family or other reasons, not related to conflict or natural disaster</t>
  </si>
  <si>
    <t>Migrant récent non déplacé de force - Personne vivant ici (dans le lieu évalué) depuis moins de trois ans et qui s'y est installée volontairement pour des raisons professionnelles, familiales ou autres, non liées à un conflit ou à une catastrophe naturelle.</t>
  </si>
  <si>
    <t>Returnee - People who were permanent residents in the location being assessed who were previously forced to move somewhere else (within the DRC or to another country) due to conflict or natural disasters but have returned here (to the location being assessed) within the last three years.</t>
  </si>
  <si>
    <t>Retournés - Personnes qui étaient des résidents permanents dans le lieu évalué et qui ont été forcées de déménager ailleurs (en RDC ou dans un autre pays) en raison d'un conflit ou d'une catastrophe naturelle, mais qui sont revenues ici (dans le lieu évalué) au cours des trois dernières années.</t>
  </si>
  <si>
    <t>Internally displaced person [IDP] - Congolese nationals displaced from other locations, who arrived here (the location being assessed) less than three years ago.</t>
  </si>
  <si>
    <t>Personnes déplacées à l'intérieur de leur propre pays [PDI] - Ressortissants congolais déplacés d'autres lieux, qui sont arrivés ici (dans le lieu évalué) il y a moins de trois ans.</t>
  </si>
  <si>
    <t>Refugee - People from another country (non-Congolese nationals) who were forced to come here (the location being assessed) because of conflict or natural disasters in their country of origin.</t>
  </si>
  <si>
    <t>Réfugié - Personnes originaires d'un autre pays (non ressortissants congolais) qui ont été forcées de venir ici (le lieu évalué) en raison d'un conflit ou d'une catastrophe naturelle dans leur pays d'origine.</t>
  </si>
  <si>
    <t>asset_prod</t>
  </si>
  <si>
    <t>process</t>
  </si>
  <si>
    <t>Processing assets (e.g. grinding/crushing machine, mill, oil press)</t>
  </si>
  <si>
    <t>Actifs de transformation [par exempe broyeur, moulin, presse à huile]</t>
  </si>
  <si>
    <t>farmmach</t>
  </si>
  <si>
    <t>Farm machinery (e.g. tractor, plough, sickle, etc.)</t>
  </si>
  <si>
    <t>Machine agricole [par exemple tracteur, charrue, faucille, etc.]</t>
  </si>
  <si>
    <t>sewing</t>
  </si>
  <si>
    <t>Sewing machine or weaving tool</t>
  </si>
  <si>
    <t>Machine à coudre ou métier à tisser</t>
  </si>
  <si>
    <t>taxi</t>
  </si>
  <si>
    <t>Taxi</t>
  </si>
  <si>
    <t>truck</t>
  </si>
  <si>
    <t>Truck</t>
  </si>
  <si>
    <t>Camion</t>
  </si>
  <si>
    <t>other</t>
  </si>
  <si>
    <t>Other productive machines or assets</t>
  </si>
  <si>
    <t>Autres machines ou actifs productifs</t>
  </si>
  <si>
    <t>none</t>
  </si>
  <si>
    <t>No productive machines or assets</t>
  </si>
  <si>
    <t>Aucune machine ou actif productif</t>
  </si>
  <si>
    <t>dk</t>
  </si>
  <si>
    <t>ref</t>
  </si>
  <si>
    <t>asset_transp</t>
  </si>
  <si>
    <t>bici</t>
  </si>
  <si>
    <t>Bicycle</t>
  </si>
  <si>
    <t>Bicyclette</t>
  </si>
  <si>
    <t>cart</t>
  </si>
  <si>
    <t>Cart (animal drawn)</t>
  </si>
  <si>
    <t>Chariot [tiré par un animal]</t>
  </si>
  <si>
    <t>boat</t>
  </si>
  <si>
    <t>Boat / canoe</t>
  </si>
  <si>
    <t>Bateau/barque</t>
  </si>
  <si>
    <t>motorbike</t>
  </si>
  <si>
    <t>Motorbike / scooter / auto rickshaw</t>
  </si>
  <si>
    <t>Moto/scooter/pousse-pousse</t>
  </si>
  <si>
    <t>car</t>
  </si>
  <si>
    <t>Car</t>
  </si>
  <si>
    <t>Voiture</t>
  </si>
  <si>
    <t>van</t>
  </si>
  <si>
    <t>Van or small truck</t>
  </si>
  <si>
    <t>Fourgonnette ou petit camion</t>
  </si>
  <si>
    <t>Other motor vehicle</t>
  </si>
  <si>
    <t>Autre véhicule motorisé</t>
  </si>
  <si>
    <t>None of the above</t>
  </si>
  <si>
    <t>Aucun des véhicules proposés</t>
  </si>
  <si>
    <t xml:space="preserve">  </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</si>
  <si>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</si>
  <si>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</si>
  <si>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</si>
  <si>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</si>
  <si>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</si>
  <si>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</si>
  <si>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</si>
  <si>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</si>
  <si>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</si>
  <si>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</si>
  <si>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</si>
  <si>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</si>
  <si>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</si>
  <si>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</si>
  <si>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</si>
  <si>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</si>
  <si>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</si>
  <si>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</si>
  <si>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</si>
  <si>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</si>
  <si>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</si>
  <si>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</si>
  <si>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</si>
  <si>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</si>
  <si>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</si>
  <si>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Production and sale of vegetables or fruit </t>
  </si>
  <si>
    <t xml:space="preserve">Production et vente de légumes ou de fruits </t>
  </si>
  <si>
    <t>Production and sale of cashcrops</t>
  </si>
  <si>
    <t>Production et vente de cultures de rente</t>
  </si>
  <si>
    <t xml:space="preserve">Production and sale of livestock and livestock products </t>
  </si>
  <si>
    <t>Production et vente de bétail et de produits animaux</t>
  </si>
  <si>
    <t>Production and sale of honey and bee products</t>
  </si>
  <si>
    <t>Production et vente de miel ou de produits apicoles</t>
  </si>
  <si>
    <t xml:space="preserve">Production and sale of fish </t>
  </si>
  <si>
    <t xml:space="preserve">Production et vente de poisson </t>
  </si>
  <si>
    <t>Collection and sale of natural resources (including forestry or bush products)</t>
  </si>
  <si>
    <t>Collecte et vente de produits forestiers ou de brousse</t>
  </si>
  <si>
    <t>Agricultural trade EXCLUDING producers (formal or informal)</t>
  </si>
  <si>
    <t>Commerce agricole EXCLUANT les producteurs [formel ou informel]</t>
  </si>
  <si>
    <t xml:space="preserve">Daily wage on farms and other casual employment in agricultural sector </t>
  </si>
  <si>
    <t>Salaire journalier dans une exploitation et autres emplois occasionnels dans le secteur agricole</t>
  </si>
  <si>
    <t xml:space="preserve">Stable employment in agricultural sector </t>
  </si>
  <si>
    <t xml:space="preserve">Emploi stable dans le secteur agricole </t>
  </si>
  <si>
    <t>Non-agricultural self-employed or liberal profession, doctor, architect, lawyer, including restaurant</t>
  </si>
  <si>
    <t>Indépendant non-agricole ou profession libérale / médecin / architecte / avocat / y compris restaurant</t>
  </si>
  <si>
    <t>Off-farm daily wages and other non-agricultural casual employment</t>
  </si>
  <si>
    <t>Salaire journalier hors exploitation et autres emplois occasionnels non agricoles</t>
  </si>
  <si>
    <t>Stable employment in non-agricultural sector</t>
  </si>
  <si>
    <t>Emploi stable dans le secteur non-agricole</t>
  </si>
  <si>
    <t xml:space="preserve">Public employment </t>
  </si>
  <si>
    <t xml:space="preserve">Emploi public </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</si>
  <si>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</si>
  <si>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</si>
  <si>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</si>
  <si>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</si>
  <si>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</si>
  <si>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Envois de fonds des migrants</t>
  </si>
  <si>
    <t xml:space="preserve">Income not derived from work / Income from other rents                                                                                                                                              </t>
  </si>
  <si>
    <t>Revenu non tiré du travail / Revenu d'autres loyers</t>
  </si>
  <si>
    <t>No income source in the last 3 months and used exclusively savings / debts</t>
  </si>
  <si>
    <t>Aucune source de revenus au cours des trois derniers mois et recours exclusif à l'épargne / création de dettes</t>
  </si>
  <si>
    <t>gender_inc_1</t>
  </si>
  <si>
    <t>Joint (both male &amp; female)</t>
  </si>
  <si>
    <t>Mixte [homme et femme]</t>
  </si>
  <si>
    <t>gender_inc_2</t>
  </si>
  <si>
    <t>Male household member(s)</t>
  </si>
  <si>
    <t>Membre(s) masculin(s) du ménage</t>
  </si>
  <si>
    <t>Female household member(s)</t>
  </si>
  <si>
    <t>Membre(s) feminin(s) du ménage</t>
  </si>
  <si>
    <t>Joint household members (both female &amp; male)</t>
  </si>
  <si>
    <t>Membres du ménages conjointement (femme et homme)</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</si>
  <si>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</si>
  <si>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</si>
  <si>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</si>
  <si>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</si>
  <si>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</si>
  <si>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</si>
  <si>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</si>
  <si>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</si>
  <si>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</si>
  <si>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</si>
  <si>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</si>
  <si>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</si>
  <si>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Production et vente de légumes ou de fruits</t>
  </si>
  <si>
    <t>Production et vente de bétail et de produits du bétail</t>
  </si>
  <si>
    <t>Production et vente de poisson</t>
  </si>
  <si>
    <t>Collecte et vente de ressources naturelles (y compris les produits forestiers ou de la brousse)</t>
  </si>
  <si>
    <t>Emploi stable dans le secteur agricole</t>
  </si>
  <si>
    <t>Indépendant non-agricole ou profession libérale, médecin, architecte, avocat, y compris restaurant</t>
  </si>
  <si>
    <t>Salaire journalier et autres emplois occasionnels non‑agricoles</t>
  </si>
  <si>
    <t>Emploi public</t>
  </si>
  <si>
    <t>Revenu non tiré du travail / Envoi de fonds des migrants</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</si>
  <si>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</si>
  <si>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</si>
  <si>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</si>
  <si>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</si>
  <si>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</si>
  <si>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</si>
  <si>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</si>
  <si>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</si>
  <si>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</si>
  <si>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</si>
  <si>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</si>
  <si>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</si>
  <si>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</si>
  <si>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[not due to illness/accident]</t>
  </si>
  <si>
    <t>Perte d'emploi ou d'opportunités de travail [non due à la maladie ou à un accident]</t>
  </si>
  <si>
    <t>otherintrahhshock</t>
  </si>
  <si>
    <t>Other intra-household shock</t>
  </si>
  <si>
    <t>Autre choc interne au ménage</t>
  </si>
  <si>
    <t>higherfoodprices</t>
  </si>
  <si>
    <t>Unusually high food prices</t>
  </si>
  <si>
    <t>Prix des denrées alimentaires anormalement élevés</t>
  </si>
  <si>
    <t>higherfuelprices</t>
  </si>
  <si>
    <t>Unusually high l fuel prices or transport prices</t>
  </si>
  <si>
    <t>Prix des carburants ou des transports anormalement élevés</t>
  </si>
  <si>
    <t>mvtrestrict</t>
  </si>
  <si>
    <t>Population movement restrictions [e.g. due to epidemic or infrastructure damage]</t>
  </si>
  <si>
    <t>Restrictions de mouvements de population [par exemple, en raison d'une épidémie ou de dommages causés aux infrastructures]</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</si>
  <si>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</si>
  <si>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</si>
  <si>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</si>
  <si>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</si>
  <si>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</si>
  <si>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</si>
  <si>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</si>
  <si>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</si>
  <si>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</si>
  <si>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</si>
  <si>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Animal disease [affecting many animals] or death</t>
  </si>
  <si>
    <t>Maladie animale [touchant de nombreux animaux] ou mort d'animaux</t>
  </si>
  <si>
    <t>napasture</t>
  </si>
  <si>
    <t>Lack of physical access to pasture</t>
  </si>
  <si>
    <t>Accès difficile aux pâturages</t>
  </si>
  <si>
    <t>othercropandlivests</t>
  </si>
  <si>
    <t>Other crop and livestock shock</t>
  </si>
  <si>
    <t>Autre choc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</si>
  <si>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</si>
  <si>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</si>
  <si>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</si>
  <si>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</si>
  <si>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</si>
  <si>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</si>
  <si>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</si>
  <si>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</si>
  <si>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</si>
  <si>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</si>
  <si>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</si>
  <si>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</si>
  <si>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</si>
  <si>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</si>
  <si>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</si>
  <si>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</si>
  <si>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</si>
  <si>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</si>
  <si>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</si>
  <si>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</si>
  <si>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</si>
  <si>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</si>
  <si>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</si>
  <si>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 risque naturel</t>
  </si>
  <si>
    <t>violenceinsecconf</t>
  </si>
  <si>
    <t>Violence and insecurity / conflict</t>
  </si>
  <si>
    <t>Violence et insécurité / conflit</t>
  </si>
  <si>
    <t>theftofprodassets</t>
  </si>
  <si>
    <t>Theft of production assets [land / livestock / tools / etc]</t>
  </si>
  <si>
    <t>Vol d'actifs de production [terres/ bétail/ outils/ etc.]</t>
  </si>
  <si>
    <t>firemanmade</t>
  </si>
  <si>
    <t>Fire from man-made disaster</t>
  </si>
  <si>
    <t>Incendie dû à une catastrophe d'origine humaine</t>
  </si>
  <si>
    <t>othermanmadehazard</t>
  </si>
  <si>
    <t>Other human-induced hazard</t>
  </si>
  <si>
    <t>Autre risque d'origine humaine</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</si>
  <si>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</si>
  <si>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</si>
  <si>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</si>
  <si>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</si>
  <si>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</si>
  <si>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</si>
  <si>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</si>
  <si>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</si>
  <si>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</si>
  <si>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</si>
  <si>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</si>
  <si>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</si>
  <si>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</si>
  <si>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</si>
  <si>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</si>
  <si>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</si>
  <si>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</si>
  <si>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</si>
  <si>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</si>
  <si>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</si>
  <si>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</si>
  <si>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</si>
  <si>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</si>
  <si>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</si>
  <si>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</si>
  <si>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</si>
  <si>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</si>
  <si>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</si>
  <si>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</si>
  <si>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</si>
  <si>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</si>
  <si>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Hectares</t>
  </si>
  <si>
    <t>Square meters</t>
  </si>
  <si>
    <t>Mètres carrés</t>
  </si>
  <si>
    <t>Square feet</t>
  </si>
  <si>
    <t>Pieds carrés</t>
  </si>
  <si>
    <t>nan</t>
  </si>
  <si>
    <t>#local measurement units FR#</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</si>
  <si>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</si>
  <si>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</si>
  <si>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</si>
  <si>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</si>
  <si>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</si>
  <si>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</si>
  <si>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t>
  </si>
  <si>
    <t>Pluie</t>
  </si>
  <si>
    <t>Groundwater</t>
  </si>
  <si>
    <t>Eaux souterraines</t>
  </si>
  <si>
    <t>Natural surface water [river, lake, stream, pond, etc.]</t>
  </si>
  <si>
    <t>Eaux de surface naturelles [rivière / lac / ruisseau / étang / etc.]</t>
  </si>
  <si>
    <t>Constructed water point [canal, dam, etc.]</t>
  </si>
  <si>
    <t xml:space="preserve">Point d'eau artificiel [canal / barrage /etc.] </t>
  </si>
  <si>
    <t>Public water supply system [e.g. tap water]</t>
  </si>
  <si>
    <t>Système public d'approvisionnement en eau [par ex. eau du robinet]</t>
  </si>
  <si>
    <t>irrigpump</t>
  </si>
  <si>
    <t>No, everything works on gravity</t>
  </si>
  <si>
    <t>Non, tout fonctionne par gravité</t>
  </si>
  <si>
    <t>Yes, there is a communal diesel/gas pump</t>
  </si>
  <si>
    <t>Oui, une pompe commune diesel/gaz</t>
  </si>
  <si>
    <t>Yes, there is a communal manual pump</t>
  </si>
  <si>
    <t>Oui, une pompe manuelle commune</t>
  </si>
  <si>
    <t>Yes, there is a manual pump in my field</t>
  </si>
  <si>
    <t xml:space="preserve"> Oui, une pompe manuelle située dans mon champ</t>
  </si>
  <si>
    <t>Yes, there is a diesel pump in my field</t>
  </si>
  <si>
    <t>Oui, une pompe diesel située dans mon champ</t>
  </si>
  <si>
    <t>seedsupply</t>
  </si>
  <si>
    <t>ownprod</t>
  </si>
  <si>
    <t>Own production</t>
  </si>
  <si>
    <t>Propre production</t>
  </si>
  <si>
    <t>market</t>
  </si>
  <si>
    <t>Local market or agro-input shop / dealer</t>
  </si>
  <si>
    <t>Marché local ou magasin / négociant d'intrants agricoles</t>
  </si>
  <si>
    <t>company</t>
  </si>
  <si>
    <t>Private seed company</t>
  </si>
  <si>
    <t>Entreprises privées de semences</t>
  </si>
  <si>
    <t>ngo</t>
  </si>
  <si>
    <t>NGOs</t>
  </si>
  <si>
    <t>ONG</t>
  </si>
  <si>
    <t>organized_community</t>
  </si>
  <si>
    <t>Community seed banks / farmer networks / farmers' association / etc.</t>
  </si>
  <si>
    <t>Banques de semences communautaires / réseaux de cultivateurs / associations de cultivateurs / etc.</t>
  </si>
  <si>
    <t>gov</t>
  </si>
  <si>
    <t>Government [e.g. MoA]</t>
  </si>
  <si>
    <t>Gouvernement [par ex., ministère de l'Agriculture]</t>
  </si>
  <si>
    <t>relatives_friends</t>
  </si>
  <si>
    <t>Relatives or friends</t>
  </si>
  <si>
    <t xml:space="preserve">Famille ou amis </t>
  </si>
  <si>
    <t>Other</t>
  </si>
  <si>
    <t>Autre</t>
  </si>
  <si>
    <t>harv_unit</t>
  </si>
  <si>
    <t>Kilograms [kgs]</t>
  </si>
  <si>
    <t>Kilogrammes [kg]</t>
  </si>
  <si>
    <t>Tonnes</t>
  </si>
  <si>
    <t>Ounces</t>
  </si>
  <si>
    <t>Onces</t>
  </si>
  <si>
    <t>Pounds</t>
  </si>
  <si>
    <t>Livres</t>
  </si>
  <si>
    <t>Bags</t>
  </si>
  <si>
    <t>Sacs</t>
  </si>
  <si>
    <t>Boxes</t>
  </si>
  <si>
    <t>Boîtes</t>
  </si>
  <si>
    <t>Bundles</t>
  </si>
  <si>
    <t>Fagots</t>
  </si>
  <si>
    <t>Packets</t>
  </si>
  <si>
    <t>Paquets</t>
  </si>
  <si>
    <t>cropproddiff</t>
  </si>
  <si>
    <t>plant_disease</t>
  </si>
  <si>
    <t xml:space="preserve">Plant disease </t>
  </si>
  <si>
    <t>pest_outbreak</t>
  </si>
  <si>
    <t>Pest outbreak [including birds]</t>
  </si>
  <si>
    <t>Invasion d'organismes nuisibles [dont oiseaux]</t>
  </si>
  <si>
    <t>animal_grazing</t>
  </si>
  <si>
    <t>Uncontrolled animal grazing</t>
  </si>
  <si>
    <t>Pâturage incontrôlé d'animaux</t>
  </si>
  <si>
    <t>access_plot</t>
  </si>
  <si>
    <t>Access to plot</t>
  </si>
  <si>
    <t>Accès à la parcelle</t>
  </si>
  <si>
    <t>access_fertilize</t>
  </si>
  <si>
    <t>Access to fertilizer [not available on markets or prices too high]</t>
  </si>
  <si>
    <t>Accès aux engrais [non disponibles sur les marchés ou prix trop élevés]</t>
  </si>
  <si>
    <t>seed_quality</t>
  </si>
  <si>
    <t>Access to quality seeds</t>
  </si>
  <si>
    <t>Accès à des semences de qualité</t>
  </si>
  <si>
    <t>seed_quantity</t>
  </si>
  <si>
    <t>Access to enough seeds [not available on markets or prices too high]</t>
  </si>
  <si>
    <t>Accès à des semences en quantité suffisante [non disponibles sur les marchés ou prix trop élevés]</t>
  </si>
  <si>
    <t>access_pesticide</t>
  </si>
  <si>
    <t>Access to pesticides</t>
  </si>
  <si>
    <t>Accès aux pesticides</t>
  </si>
  <si>
    <t>access_labour</t>
  </si>
  <si>
    <t>Access to manpower labour</t>
  </si>
  <si>
    <t>Accès à la main-d'œuvre</t>
  </si>
  <si>
    <t>access_machinery</t>
  </si>
  <si>
    <t>Access to machinery, tools or animals for ploughing</t>
  </si>
  <si>
    <t>Accès aux machines, outils ou animaux pour labourer</t>
  </si>
  <si>
    <t>access_fuel</t>
  </si>
  <si>
    <t>Access to fuel or electricity to power agricultural equipment</t>
  </si>
  <si>
    <t>Accès au carburant ou à l'électricité pour alimenter les équipements agricoles</t>
  </si>
  <si>
    <t>soil_erosion</t>
  </si>
  <si>
    <t>Soil erosion</t>
  </si>
  <si>
    <t>Érosion des sols</t>
  </si>
  <si>
    <t>lack_irrigation</t>
  </si>
  <si>
    <t xml:space="preserve">Not enough irrigation or rainfall water </t>
  </si>
  <si>
    <t>Eau d'irrigation ou pluie insuffisante</t>
  </si>
  <si>
    <t>excess_water</t>
  </si>
  <si>
    <t>Too much irrigation or water</t>
  </si>
  <si>
    <t>Eau d'irrigation ou pluie trop abondante</t>
  </si>
  <si>
    <t>access_credit</t>
  </si>
  <si>
    <t>Access to credit</t>
  </si>
  <si>
    <t>Accès au crédit</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</si>
  <si>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</si>
  <si>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</si>
  <si>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</si>
  <si>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</si>
  <si>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</si>
  <si>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</si>
  <si>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</si>
  <si>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</si>
  <si>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</si>
  <si>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</si>
  <si>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</si>
  <si>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</si>
  <si>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</si>
  <si>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</si>
  <si>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</si>
  <si>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</si>
  <si>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</si>
  <si>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</si>
  <si>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</si>
  <si>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</si>
  <si>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low_demand</t>
  </si>
  <si>
    <t xml:space="preserve">Lack of demand from usual traders or buyers </t>
  </si>
  <si>
    <t>Baisse de la demande des commerçants ou clients habituels</t>
  </si>
  <si>
    <t>pay_delay</t>
  </si>
  <si>
    <t>Payment delays from traders / buyers</t>
  </si>
  <si>
    <t>Retards de paiement de la part des négociants/acheteurs</t>
  </si>
  <si>
    <t>low_price</t>
  </si>
  <si>
    <t>Low selling prices [e.g. compared to input prices / inflation]</t>
  </si>
  <si>
    <t xml:space="preserve">Faible prix de vente [par exemple, par rapport aux prix des intrants / inflation] </t>
  </si>
  <si>
    <t>processing</t>
  </si>
  <si>
    <t>Difficulty processing product [lack of processing inputs / equipment / etc]</t>
  </si>
  <si>
    <t>Difficulté de transformation de la production [manque d'intrants / d'équipements de transformation / etc.]</t>
  </si>
  <si>
    <t>competition</t>
  </si>
  <si>
    <t>Market flooded with products</t>
  </si>
  <si>
    <t>Marchés saturés</t>
  </si>
  <si>
    <t>Cattle [cow / beef / veal / yak / buffalo]</t>
  </si>
  <si>
    <t>Bovins [vache / bœuf / veau / yak / buffle]</t>
  </si>
  <si>
    <t>Goat</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</si>
  <si>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</si>
  <si>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</si>
  <si>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</si>
  <si>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</si>
  <si>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</si>
  <si>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</si>
  <si>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</si>
  <si>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</si>
  <si>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</si>
  <si>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</si>
  <si>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</si>
  <si>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</si>
  <si>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</si>
  <si>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</si>
  <si>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no_change</t>
  </si>
  <si>
    <t>No significant change in livestock number</t>
  </si>
  <si>
    <t>Pas de changement significatif du nombre de têtes de bétail</t>
  </si>
  <si>
    <t>inc_less_sales</t>
  </si>
  <si>
    <t>Did not sell as many</t>
  </si>
  <si>
    <t>Diminution des ventes</t>
  </si>
  <si>
    <t>inc_more_birth</t>
  </si>
  <si>
    <t>Many more were born</t>
  </si>
  <si>
    <t>Davantage de naissances</t>
  </si>
  <si>
    <t>inc_more_acquired</t>
  </si>
  <si>
    <t>Purchased or bartered more animals this year</t>
  </si>
  <si>
    <t>Davantage d'animaux achetés ou troqués cette année</t>
  </si>
  <si>
    <t>inc_received_free</t>
  </si>
  <si>
    <t>Received animals for free [restocking, gift]</t>
  </si>
  <si>
    <t>Animaux reçus gratuitement [réapprovisionnement / cadeau]</t>
  </si>
  <si>
    <t>dec_poor_health</t>
  </si>
  <si>
    <t>Animal death due to malnutrition, drought, lack of feed</t>
  </si>
  <si>
    <t xml:space="preserve">Mort d'animaux due à la malnutrition, à la sécheresse, au manque de nourriture </t>
  </si>
  <si>
    <t>dec_death</t>
  </si>
  <si>
    <t>Animal death due to other factors [e.g. diseases, parasites, injury]</t>
  </si>
  <si>
    <t>Mort d'animaux due à d'autres facteurs [par ex. maladies, parasites, blessures]</t>
  </si>
  <si>
    <t>dec_sales_good_price</t>
  </si>
  <si>
    <t>Sold more than usual because of good prices</t>
  </si>
  <si>
    <t>Davantage de ventes en raison de bons prix</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</si>
  <si>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</si>
  <si>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</si>
  <si>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</si>
  <si>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dec_escape_stolen</t>
  </si>
  <si>
    <t>Animal escaped or was lost or stolen</t>
  </si>
  <si>
    <t>Animaux échappés, perdus ou volés</t>
  </si>
  <si>
    <t>dec_consumed</t>
  </si>
  <si>
    <t>Killed or gave away more animals than usual for household consumption or celebrations [marriage, funerals, etc]</t>
  </si>
  <si>
    <t>Davantage d'animaux abattus ou donnés pour la consommation du ménage ou pour des cérémonies [mariage / funérailles / etc.]</t>
  </si>
  <si>
    <t>inc_dec_other</t>
  </si>
  <si>
    <t>inc_dec_dk</t>
  </si>
  <si>
    <t>inc_dec_ref</t>
  </si>
  <si>
    <t>lsfood</t>
  </si>
  <si>
    <t>open_pasture</t>
  </si>
  <si>
    <t>Open pasture</t>
  </si>
  <si>
    <t>Pâturages ouverts</t>
  </si>
  <si>
    <t>common_pasture</t>
  </si>
  <si>
    <t>Community-managed pasture land</t>
  </si>
  <si>
    <t>Pâturages gérés par la communauté</t>
  </si>
  <si>
    <t>self_produced</t>
  </si>
  <si>
    <t>Owned or rented field or self-produced fodder</t>
  </si>
  <si>
    <t>Champ possédé ou loué, ou fourrage auto-produit</t>
  </si>
  <si>
    <t>purchased</t>
  </si>
  <si>
    <t>Purchase feed or fodder at the market</t>
  </si>
  <si>
    <t>Achat d'aliments/fourrage sur les marchés</t>
  </si>
  <si>
    <t>free_dist</t>
  </si>
  <si>
    <t>Free distribution</t>
  </si>
  <si>
    <t xml:space="preserve">Distributions gratuites </t>
  </si>
  <si>
    <t xml:space="preserve">Other </t>
  </si>
  <si>
    <t>lsproddiff</t>
  </si>
  <si>
    <t>feed_purchase</t>
  </si>
  <si>
    <t>Difficulty to purchase feed [prices or access to market]</t>
  </si>
  <si>
    <t>Difficulté à acheter des aliments pour animaux [prix ou accès au marché]</t>
  </si>
  <si>
    <t>access_pasture</t>
  </si>
  <si>
    <t>Access to pasture</t>
  </si>
  <si>
    <t>Accès aux pâturages</t>
  </si>
  <si>
    <t>access_water</t>
  </si>
  <si>
    <t>Access to water</t>
  </si>
  <si>
    <t>Accès à l'eau</t>
  </si>
  <si>
    <t>vet_serv</t>
  </si>
  <si>
    <t>Access to veterinary services [vaccinations, treatments, spraying, advisory etc]</t>
  </si>
  <si>
    <t>Accès aux services vétérinaires [vaccins / traitements / pulvérisations / conseils / etc.]</t>
  </si>
  <si>
    <t>vet_input</t>
  </si>
  <si>
    <t>Access to veterinary inputs [medicine for animals / tools for animal health / etc]</t>
  </si>
  <si>
    <t>Accès aux intrants vétérinaires [médicaments pour animaux / outils pour la santé animale / etc.]</t>
  </si>
  <si>
    <t>diseases</t>
  </si>
  <si>
    <t>Livestock diseases or injury</t>
  </si>
  <si>
    <t>Maladies ou blessures du bétail</t>
  </si>
  <si>
    <t>theft</t>
  </si>
  <si>
    <t>Livestock theft</t>
  </si>
  <si>
    <t>Vol de bétail</t>
  </si>
  <si>
    <t>access_market</t>
  </si>
  <si>
    <t>Access to livestock market to buy young animals</t>
  </si>
  <si>
    <t>Accès aux marchés de bétail pour acheter de jeunes animaux</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</si>
  <si>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</si>
  <si>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</si>
  <si>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</si>
  <si>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</si>
  <si>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</si>
  <si>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</si>
  <si>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</si>
  <si>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</si>
  <si>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</si>
  <si>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</si>
  <si>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</si>
  <si>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</si>
  <si>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</si>
  <si>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 xml:space="preserve">Damage and losses during transportation or difficulty accessing the market </t>
  </si>
  <si>
    <t>Dommages et pertes pendant le transport ou difficulté d'accès au marché</t>
  </si>
  <si>
    <t>Lack of demand from usual traders or buyers</t>
  </si>
  <si>
    <t>Faibles prix de vente [par exemple, par rapport aux prix des intrants / inflation]</t>
  </si>
  <si>
    <t>slaughterhouse</t>
  </si>
  <si>
    <t>Closure of slaughterhouses or difficulties accessing slaughterhouses</t>
  </si>
  <si>
    <t>Fermeture des abattoirs ou difficultés d'accès aux abattoirs</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</si>
  <si>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</si>
  <si>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</si>
  <si>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fishactivity</t>
  </si>
  <si>
    <t>coastal</t>
  </si>
  <si>
    <t>Near coastal, delta, lagoon fishing</t>
  </si>
  <si>
    <t>Pêche côtière, dans les deltas ou les lagunes</t>
  </si>
  <si>
    <t>offshore_sea</t>
  </si>
  <si>
    <t>Offshore sea fishing</t>
  </si>
  <si>
    <t>Pêche en haute mer</t>
  </si>
  <si>
    <t>freshwater</t>
  </si>
  <si>
    <t>Freshwater fishing [in lakes, reservoirs, ponds, rivers, or wetlands]</t>
  </si>
  <si>
    <t>Pêche en eau douce [lacs, réservoirs, étangs, rivières ou zones humides]</t>
  </si>
  <si>
    <t>aquaculture</t>
  </si>
  <si>
    <t>Aquaculture</t>
  </si>
  <si>
    <t>fishproddiff</t>
  </si>
  <si>
    <t>find_fish</t>
  </si>
  <si>
    <t>Fish is more difficult to find than in previous years in the same season [fishing]</t>
  </si>
  <si>
    <t>Le poisson est plus difficile à trouver que les années précédentes à la même saison [pêche]</t>
  </si>
  <si>
    <t>pests</t>
  </si>
  <si>
    <t>Fish pests and diseases [aquaculture]</t>
  </si>
  <si>
    <t>Parasites et maladies des poissons [aquaculture]</t>
  </si>
  <si>
    <t>access_area</t>
  </si>
  <si>
    <t>Access to fishing or aquaculture area [e.g. due to weather conditions]</t>
  </si>
  <si>
    <t>Accès aux zones de pêche ou d'aquaculture [par exemple, en raison des conditions météorologiques ou sécuritaires].</t>
  </si>
  <si>
    <t>fuel</t>
  </si>
  <si>
    <t>Access to fuel [prices higher or not available]</t>
  </si>
  <si>
    <t>Accès au carburant [trop cher ou non disponible]</t>
  </si>
  <si>
    <t>input_access</t>
  </si>
  <si>
    <t>Access to other fishing or culture inputs [prices higher or not available]</t>
  </si>
  <si>
    <t>Accès à d'autres intrants de pêche ou de culture [trop chers ou non disponibles]</t>
  </si>
  <si>
    <t>labour</t>
  </si>
  <si>
    <t>Access to labour or crew labour [prices higher or not available]</t>
  </si>
  <si>
    <t>Accès à la main-d'œuvre ou aux équipages [trop chers ou non disponibles]</t>
  </si>
  <si>
    <t>infrastructure</t>
  </si>
  <si>
    <t>Damage or destruction of infrastructure [ponds, cages, ports, landing sites]</t>
  </si>
  <si>
    <t>Dommages ou destruction des infrastructures [étangs, cages, ports, sites de débarquement]</t>
  </si>
  <si>
    <t>damage_equip</t>
  </si>
  <si>
    <t>Damage or destruction of boats or gears</t>
  </si>
  <si>
    <t>Dommages ou destruction des bateaux ou du matériel de pêche</t>
  </si>
  <si>
    <t>Autre [spécifiez]</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</si>
  <si>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</si>
  <si>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</si>
  <si>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</si>
  <si>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</si>
  <si>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</si>
  <si>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</si>
  <si>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</si>
  <si>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</si>
  <si>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</si>
  <si>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</si>
  <si>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</si>
  <si>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</si>
  <si>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</si>
  <si>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</si>
  <si>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</si>
  <si>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</si>
  <si>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</si>
  <si>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</si>
  <si>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</si>
  <si>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</si>
  <si>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</si>
  <si>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fish [any kind, including invertebrates]</t>
  </si>
  <si>
    <t>Poisson frais [toutes sortes, y compris invertébrés]</t>
  </si>
  <si>
    <t>Preserved fish [including dry fish, smoked fish, fermented fish, salt fish]</t>
  </si>
  <si>
    <t>Poisson conservé [y compris poisson séché, poisson fumé, poisson fermenté, poisson salé]</t>
  </si>
  <si>
    <t>Frozen fish</t>
  </si>
  <si>
    <t>Poisson congelé</t>
  </si>
  <si>
    <t>Canned fish</t>
  </si>
  <si>
    <t>Conserves de poisson</t>
  </si>
  <si>
    <t>7)REFUSED</t>
  </si>
  <si>
    <t>fishsalesdif</t>
  </si>
  <si>
    <t>Deterioration and losses due to storage difficulties or delays or inability to physically access markets</t>
  </si>
  <si>
    <t>Dommages et pertes dues à des difficultés ou des retards de stockage ou à l'impossibilité d'accéder physiquement aux marchés</t>
  </si>
  <si>
    <t>Lack of demand from usual buyers/traders</t>
  </si>
  <si>
    <t>Baisse de la demande des commerçants/clients habituels</t>
  </si>
  <si>
    <t xml:space="preserve">Payment delays from traders/buyers </t>
  </si>
  <si>
    <t>low_prices</t>
  </si>
  <si>
    <t>Difficulties processing product [lack of access to processing inputs / equipment / etc]</t>
  </si>
  <si>
    <t>Difficultés de transformation du produit [manque d'accès aux intrants de transformation / équipements / etc.]</t>
  </si>
  <si>
    <t>Market flooded with product</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</si>
  <si>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</si>
  <si>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</si>
  <si>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</si>
  <si>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</si>
  <si>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</si>
  <si>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</si>
  <si>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</si>
  <si>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</si>
  <si>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</si>
  <si>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</si>
  <si>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</si>
  <si>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</si>
  <si>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</si>
  <si>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</si>
  <si>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</si>
  <si>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</si>
  <si>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</si>
  <si>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</si>
  <si>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</si>
  <si>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</si>
  <si>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</si>
  <si>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</si>
  <si>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</si>
  <si>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</si>
  <si>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</si>
  <si>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 [all]</t>
  </si>
  <si>
    <t>Fruits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</si>
  <si>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</si>
  <si>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</si>
  <si>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</si>
  <si>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</si>
  <si>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</si>
  <si>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</si>
  <si>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</si>
  <si>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</si>
  <si>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Legumes, nuts and seeds [beans / peas / peanut / lentils / almond / and/or other nuts]</t>
  </si>
  <si>
    <t>Légumineuses, fruits à coque et graines [haricots / pois / arachides / lentilles / amandes et/ou autres fruits à coque]</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</si>
  <si>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</si>
  <si>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</si>
  <si>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</si>
  <si>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</si>
  <si>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</si>
  <si>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</si>
  <si>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</si>
  <si>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</si>
  <si>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</si>
  <si>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</si>
  <si>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</si>
  <si>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</si>
  <si>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needs</t>
  </si>
  <si>
    <t>food</t>
  </si>
  <si>
    <t>Food</t>
  </si>
  <si>
    <t>Nourriture</t>
  </si>
  <si>
    <t>cash</t>
  </si>
  <si>
    <t>Cash</t>
  </si>
  <si>
    <t>Argent liquide</t>
  </si>
  <si>
    <t>vouchers_fair</t>
  </si>
  <si>
    <t>Vouchers or input trade fairs</t>
  </si>
  <si>
    <t>Bons d'achat ou foire aux intrants</t>
  </si>
  <si>
    <t>crop_inputs</t>
  </si>
  <si>
    <t>Inputs for crop and/or vegetable production [e.g. seeds, fertilizer, tools]</t>
  </si>
  <si>
    <t>Intrants pour la production végétale et/ou de légumes [par exemple, semences, engrais, outils]</t>
  </si>
  <si>
    <t>crop_infrastructure</t>
  </si>
  <si>
    <t>Infrastructure for crop and/or vegetable production [e.g. irrigation, canal rehabilitation, pumps]</t>
  </si>
  <si>
    <t>Infrastructures pour la production végétale et/ou de légumes [par exemple, irrigation, réhabilitation de canaux, pompes]</t>
  </si>
  <si>
    <t>crop_knowledge</t>
  </si>
  <si>
    <t>Training &amp; technical knowledge/advice for crop production</t>
  </si>
  <si>
    <t>Formations et conseils techniques pour la production végétale</t>
  </si>
  <si>
    <t>Livestock feed [fodder or supplementary feed]</t>
  </si>
  <si>
    <t>Aliments pour le bétail [fourrage ou aliments complémentaires]</t>
  </si>
  <si>
    <t>ls_vet_service</t>
  </si>
  <si>
    <t>Veterinary services [e.g. vaccination, dips, deworming]</t>
  </si>
  <si>
    <t>Services vétérinaires [par exemple, vaccination, bain antiparasitaire, vermifuges]</t>
  </si>
  <si>
    <t>ls_infrastructure</t>
  </si>
  <si>
    <t>Infrastructure for livestock [e.g. water points, transhumance corridors, shelter, health points]</t>
  </si>
  <si>
    <t>Infrastructures pour le bétail [par exemple, points d'eau, couloirs de transhumance, abris, points santé]</t>
  </si>
  <si>
    <t>ls_knowledge</t>
  </si>
  <si>
    <t>Training &amp; technical knowledge/advice for livestock production</t>
  </si>
  <si>
    <t>Formations et conseils techniques pour la production animale</t>
  </si>
  <si>
    <t>fish_inputs</t>
  </si>
  <si>
    <t>Inputs for fishing or aquaculture production</t>
  </si>
  <si>
    <t>Intrants pour la production de poissons ou l'aquaculture</t>
  </si>
  <si>
    <t>fish_infrastructure</t>
  </si>
  <si>
    <t>Infrastructure for fisheries or aquaculture production [e.g. rehabilitation of port; repair of ponds]</t>
  </si>
  <si>
    <t>Infrastructures pour la pêche ou l'aquaculture [par exemple, réhabilitation du port, réaménagement des étangs]</t>
  </si>
  <si>
    <t>fish_knowledge</t>
  </si>
  <si>
    <t>Training &amp; technical knowledge/advice for fisheries or aquaculture production</t>
  </si>
  <si>
    <t>Formations et conseils techniques pour la pêche ou l'aquaculture</t>
  </si>
  <si>
    <t>env_infra_rehab</t>
  </si>
  <si>
    <t>Environmental or infrastructure rehabilitation [community-wide]</t>
  </si>
  <si>
    <t>Réhabilitation de l'environnement ou des infrastructures [à l'échelle de la communauté]</t>
  </si>
  <si>
    <t>cold_storage</t>
  </si>
  <si>
    <t>Cold storage</t>
  </si>
  <si>
    <t>Stockage réfrigéré</t>
  </si>
  <si>
    <t>marketing_supp</t>
  </si>
  <si>
    <t>Marketing or sales support [e.g. public procurement]</t>
  </si>
  <si>
    <t>Soutien à la commercialisation ou aux ventes [par exemple, passation de marchés publics]</t>
  </si>
  <si>
    <t>needreceived</t>
  </si>
  <si>
    <t xml:space="preserve">Cash </t>
  </si>
  <si>
    <t xml:space="preserve">Argent liquide </t>
  </si>
  <si>
    <t>Vouchers/input trade fairs</t>
  </si>
  <si>
    <t>Bons d'achat/foires aux intrants</t>
  </si>
  <si>
    <t>crop_assist</t>
  </si>
  <si>
    <t>Crop and/or vegetable production assistance</t>
  </si>
  <si>
    <t>Soutien à la production végétale et/ou de légumes</t>
  </si>
  <si>
    <t>ls_assist</t>
  </si>
  <si>
    <t>Livestock assistance</t>
  </si>
  <si>
    <t>Soutien à l'élevage</t>
  </si>
  <si>
    <t>fish_assist</t>
  </si>
  <si>
    <t>Fisheries and/or aquaculture assistance</t>
  </si>
  <si>
    <t>Soutien à la pêche et/ou à l'aquaculture</t>
  </si>
  <si>
    <t>rehabilitation</t>
  </si>
  <si>
    <t>sales_support</t>
  </si>
  <si>
    <t>Soutien à la commercialisation ou à la vente [par exemple, passation de marchés publics]</t>
  </si>
  <si>
    <t>No assistance received</t>
  </si>
  <si>
    <t>Aucune aide reçue</t>
  </si>
  <si>
    <t>assist_quality</t>
  </si>
  <si>
    <t>No - not received on time</t>
  </si>
  <si>
    <t>Non - pas reçue à temps</t>
  </si>
  <si>
    <t>No - did not meet my needs</t>
  </si>
  <si>
    <t>Non - n'a pas répondu à mes besoins</t>
  </si>
  <si>
    <t>No - quantity was not sufficient</t>
  </si>
  <si>
    <t>Non - la quantité n'était pas suffisante</t>
  </si>
  <si>
    <t>No - there was a problem with the provider</t>
  </si>
  <si>
    <t>Non - il y avait un problème avec le fournisseur</t>
  </si>
  <si>
    <t>No - there was a malfunction of the in-kind assistance provided [e.g. poor quality tools]</t>
  </si>
  <si>
    <t>Non - il y a eu un dysfonctionnement de l'aide en nature fournie [par exemple, des outils de mauvaise qualité]</t>
  </si>
  <si>
    <t>provider</t>
  </si>
  <si>
    <t>fao</t>
  </si>
  <si>
    <t>FAO</t>
  </si>
  <si>
    <t>wfp</t>
  </si>
  <si>
    <t>WFP</t>
  </si>
  <si>
    <t>PAM</t>
  </si>
  <si>
    <t>otherun</t>
  </si>
  <si>
    <t>Other UN agencies</t>
  </si>
  <si>
    <t>Autres agences des Nations Unies</t>
  </si>
  <si>
    <t>Government</t>
  </si>
  <si>
    <t>Gouvernment</t>
  </si>
  <si>
    <t>Non-governmental/local organization</t>
  </si>
  <si>
    <t>Organisation non-gouvernmentale/locale</t>
  </si>
  <si>
    <t>leader</t>
  </si>
  <si>
    <t>Village / town administrator</t>
  </si>
  <si>
    <t>Administrateur du village/de la ville</t>
  </si>
  <si>
    <t>Agricultural extension officer</t>
  </si>
  <si>
    <t>Agent de vulgarisation agricole</t>
  </si>
  <si>
    <t>Health extension officer</t>
  </si>
  <si>
    <t>Agent de vulgarisation sanitaire</t>
  </si>
  <si>
    <t>Teacher</t>
  </si>
  <si>
    <t>Enseignant</t>
  </si>
  <si>
    <t>Other (specify)</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</si>
  <si>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</si>
  <si>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</si>
  <si>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</si>
  <si>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</si>
  <si>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</si>
  <si>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</si>
  <si>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</si>
  <si>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</si>
  <si>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</si>
  <si>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</si>
  <si>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</si>
  <si>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</si>
  <si>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</si>
  <si>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</si>
  <si>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</si>
  <si>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</si>
  <si>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</si>
  <si>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</si>
  <si>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</si>
  <si>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</si>
  <si>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</si>
  <si>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</si>
  <si>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</si>
  <si>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</si>
  <si>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</si>
  <si>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</si>
  <si>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</si>
  <si>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</si>
  <si>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</si>
  <si>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</si>
  <si>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</si>
  <si>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causality</t>
  </si>
  <si>
    <t>no_issues</t>
  </si>
  <si>
    <t>1. There are no issues or concerns</t>
  </si>
  <si>
    <t>1. Il n'y a pas de problème ou de préoccupation</t>
  </si>
  <si>
    <t>lack_job</t>
  </si>
  <si>
    <t>2.  Lack of jobs</t>
  </si>
  <si>
    <t>2.  Manque d'emplois</t>
  </si>
  <si>
    <t>services</t>
  </si>
  <si>
    <t xml:space="preserve">3.  Quality of services (health/ education) </t>
  </si>
  <si>
    <t xml:space="preserve">3.  Qualité des services (santé/éducation) </t>
  </si>
  <si>
    <t>transportation</t>
  </si>
  <si>
    <t xml:space="preserve">4. Transportation </t>
  </si>
  <si>
    <t xml:space="preserve">4. Les transports </t>
  </si>
  <si>
    <t>food_cost</t>
  </si>
  <si>
    <t>5. High food costs</t>
  </si>
  <si>
    <t>5. Coût élevé de l'alimentation</t>
  </si>
  <si>
    <t>insecurity</t>
  </si>
  <si>
    <t>6. Insecurity</t>
  </si>
  <si>
    <t>6. L'insécurité</t>
  </si>
  <si>
    <t>security_land</t>
  </si>
  <si>
    <t>7. Security of land or property</t>
  </si>
  <si>
    <t>7. Sécurité des terres (foncière) ou de la propriété</t>
  </si>
  <si>
    <t>land_agriculture</t>
  </si>
  <si>
    <t xml:space="preserve">8. Accessing land for agriculture </t>
  </si>
  <si>
    <t xml:space="preserve">8. Accès à la terre pour l'agriculture </t>
  </si>
  <si>
    <t>unresolved_disputes</t>
  </si>
  <si>
    <t>9. Inability to resolve disputes</t>
  </si>
  <si>
    <t>9. Incapacité à résoudre les conflits</t>
  </si>
  <si>
    <t>conflict_type</t>
  </si>
  <si>
    <t>disputes_land</t>
  </si>
  <si>
    <t>1. Disputes or conflicts over land, water or pasture</t>
  </si>
  <si>
    <t>1. Différends ou conflits concernant la terre, l'eau ou les pâturages</t>
  </si>
  <si>
    <t>criminality</t>
  </si>
  <si>
    <t>2.  Criminality</t>
  </si>
  <si>
    <t>2.  Criminalité</t>
  </si>
  <si>
    <t>conflict_intergroups</t>
  </si>
  <si>
    <t>3. Conflict between community groups</t>
  </si>
  <si>
    <t>3. Conflit entre groupes communautaires</t>
  </si>
  <si>
    <t>armed_conflict</t>
  </si>
  <si>
    <t>4. Armed conflict</t>
  </si>
  <si>
    <t>4. Conflit armé</t>
  </si>
  <si>
    <t>disputes_assistance</t>
  </si>
  <si>
    <t>5. Disputes or conflicts over assistance being provided</t>
  </si>
  <si>
    <t>5. Tensions ou conflits concernant l'assistance fournie</t>
  </si>
  <si>
    <t>conflict_lines</t>
  </si>
  <si>
    <t>farming_land</t>
  </si>
  <si>
    <t xml:space="preserve">1. Farming land occupied/used by others </t>
  </si>
  <si>
    <t xml:space="preserve">1. Terres agricoles occupées/utilisées par d'autres </t>
  </si>
  <si>
    <t>contested_ownership</t>
  </si>
  <si>
    <t>2. Contested over the boundaries of farming land</t>
  </si>
  <si>
    <t>2. Contestation sur les limites des terres agricoles</t>
  </si>
  <si>
    <t>land_grabing</t>
  </si>
  <si>
    <t>3. Land grabbing by influential people</t>
  </si>
  <si>
    <t>3. Accaparement des terres par des personnes influentes</t>
  </si>
  <si>
    <t>water_HH_use</t>
  </si>
  <si>
    <t>4. Water for household use</t>
  </si>
  <si>
    <t>4. Eau à usage domestique</t>
  </si>
  <si>
    <t>water_agriculture</t>
  </si>
  <si>
    <t>5. Water for agricultural use</t>
  </si>
  <si>
    <t>5. Eau à usage agricole</t>
  </si>
  <si>
    <t>6. Using common pasture</t>
  </si>
  <si>
    <t>6. Utilisation de pâturages communs</t>
  </si>
  <si>
    <t>moving_livestock</t>
  </si>
  <si>
    <t>7. Moving livestock</t>
  </si>
  <si>
    <t>7. Déplacement du bétail</t>
  </si>
  <si>
    <t>actors</t>
  </si>
  <si>
    <t>people_community</t>
  </si>
  <si>
    <t>1. People within this community</t>
  </si>
  <si>
    <t>1. Les personnes au sein de cette communauté</t>
  </si>
  <si>
    <t>newcomer</t>
  </si>
  <si>
    <t>2. Newcomer to this community</t>
  </si>
  <si>
    <t>2. Nouveaux arrivants dans cette communauté</t>
  </si>
  <si>
    <t>neighboring</t>
  </si>
  <si>
    <t>3. People from a neighbouring community</t>
  </si>
  <si>
    <t>3. Personnes d'une communauté voisine</t>
  </si>
  <si>
    <t>other_territory</t>
  </si>
  <si>
    <t>4. People from another territory or area</t>
  </si>
  <si>
    <t>4. Personnes d'un autre territoire ou d'une autre région</t>
  </si>
  <si>
    <t>intensity</t>
  </si>
  <si>
    <t>verbal_dispute</t>
  </si>
  <si>
    <t>1. Verbal dispute or disagreement</t>
  </si>
  <si>
    <t>1. Différend ou désaccord verbal</t>
  </si>
  <si>
    <t>threat</t>
  </si>
  <si>
    <t>2. Threat of force</t>
  </si>
  <si>
    <t>2. Menace de recours à la force</t>
  </si>
  <si>
    <t>physical_force</t>
  </si>
  <si>
    <t>3. Use of physical force (not armed violence)</t>
  </si>
  <si>
    <t>3. Usage de la force physique (pas de violence armée)</t>
  </si>
  <si>
    <t>armed_violence</t>
  </si>
  <si>
    <t>4. Armed violence</t>
  </si>
  <si>
    <t>4. Violence armée</t>
  </si>
  <si>
    <t>dispute_resolution</t>
  </si>
  <si>
    <t>resolve_dispute</t>
  </si>
  <si>
    <t xml:space="preserve">1. We resolved the dispute / conflict ourselves                                                                                                                                                                                                                                                                                                                                                                                                                                                               2. A village chief                                         </t>
  </si>
  <si>
    <t xml:space="preserve">1. Nous avons résolu le différend / conflit nous-mêmes                                        </t>
  </si>
  <si>
    <t>village_chief</t>
  </si>
  <si>
    <t>2. Village chief (customary chief)</t>
  </si>
  <si>
    <t>2. Un chef de village  (chef coutoumier)</t>
  </si>
  <si>
    <t>village_council</t>
  </si>
  <si>
    <t>3. Village council</t>
  </si>
  <si>
    <t>3. Comité de village</t>
  </si>
  <si>
    <t>formal_authorities</t>
  </si>
  <si>
    <t>4. Formal authorities (government)</t>
  </si>
  <si>
    <t>4. Les autorités officielles (gouvernement)</t>
  </si>
  <si>
    <t>armed_group</t>
  </si>
  <si>
    <t xml:space="preserve">5. Armed group  </t>
  </si>
  <si>
    <t xml:space="preserve">5. Groupe armé  </t>
  </si>
  <si>
    <t>not_resolved</t>
  </si>
  <si>
    <t xml:space="preserve">6. It has not been resolved    </t>
  </si>
  <si>
    <t>6. La question n'a pas été résolue</t>
  </si>
  <si>
    <t>resolution_dispute</t>
  </si>
  <si>
    <t>fair</t>
  </si>
  <si>
    <t>1. Yes,  it was fair</t>
  </si>
  <si>
    <t>1. Oui, c'était juste</t>
  </si>
  <si>
    <t>mostly_fair</t>
  </si>
  <si>
    <t>2. Yes, it was mostly fair</t>
  </si>
  <si>
    <t>2. Oui, c'était en grande partie équitable</t>
  </si>
  <si>
    <t>not_really_fair</t>
  </si>
  <si>
    <t>3. No, it was not really fair</t>
  </si>
  <si>
    <t>3. Non, ce n'était pas vraiment juste</t>
  </si>
  <si>
    <t>not_fair</t>
  </si>
  <si>
    <t>4. No, it was not fair at all</t>
  </si>
  <si>
    <t>4. Non, ce n'était pas juste du tout</t>
  </si>
  <si>
    <t>conflict_sensitivity</t>
  </si>
  <si>
    <t>receiver</t>
  </si>
  <si>
    <t>1. Who received assistance</t>
  </si>
  <si>
    <t>1. Qui a bénéficié de l'assistance</t>
  </si>
  <si>
    <t>assistance_provided</t>
  </si>
  <si>
    <t>2. The type of assistance provided</t>
  </si>
  <si>
    <t>2. Le type d'assistance fournie</t>
  </si>
  <si>
    <t>how_provided</t>
  </si>
  <si>
    <t>3. How the assistance was provided or distributed</t>
  </si>
  <si>
    <t>3. Comment l'aide a été fournie ou distribuée</t>
  </si>
  <si>
    <t>conflict_impact</t>
  </si>
  <si>
    <t>safety_access</t>
  </si>
  <si>
    <t>1. Unable to safely access fields</t>
  </si>
  <si>
    <t>1. Impossibilité d'accéder aux champs en toute sécurité</t>
  </si>
  <si>
    <t>abandonment_field</t>
  </si>
  <si>
    <t>2. Abandonment of fields after being displaced</t>
  </si>
  <si>
    <t>2. Abandon des champs après avoir été déplacés</t>
  </si>
  <si>
    <t>damage_crops</t>
  </si>
  <si>
    <t>3. Damage or destruction of crops</t>
  </si>
  <si>
    <t>3. Endommagement ou destruction des cultures</t>
  </si>
  <si>
    <t>death_livestock</t>
  </si>
  <si>
    <t>4. Death or loss of livestock</t>
  </si>
  <si>
    <t>4. Mort ou perte de bétail</t>
  </si>
  <si>
    <t>safety_access_pasture</t>
  </si>
  <si>
    <t>5. Unable to safely access pasture</t>
  </si>
  <si>
    <t>5. Impossibilité d'accéder aux pâturages en toute sécurité</t>
  </si>
  <si>
    <t>damage_hh</t>
  </si>
  <si>
    <t xml:space="preserve">6. Damage or loss of household assets </t>
  </si>
  <si>
    <t xml:space="preserve">6. Détérioration ou perte des biens du ménage </t>
  </si>
  <si>
    <t>access_markets</t>
  </si>
  <si>
    <t>7. Unable to safely access markets</t>
  </si>
  <si>
    <t>7. Impossibilité d'accéder aux marchés en toute sécurité</t>
  </si>
  <si>
    <t>part_harvest</t>
  </si>
  <si>
    <t>8. Demands for part of harvest to be given to influential people</t>
  </si>
  <si>
    <t>8. Demande de remise d'une partie de la récolte à des personnes influentes</t>
  </si>
  <si>
    <t>land_contaminated</t>
  </si>
  <si>
    <t>9. Land contaminated by landmines or unexploded ordinance</t>
  </si>
  <si>
    <t>9. Terres contaminées par des mines terrestres ou des munitions non explosées</t>
  </si>
  <si>
    <t>conflit_impact_utilization</t>
  </si>
  <si>
    <t>reduced_availability</t>
  </si>
  <si>
    <t>1. Reduced availability of different food products at the market</t>
  </si>
  <si>
    <t>1. Disponibilité réduite de différents produits alimentaires sur le marché</t>
  </si>
  <si>
    <t>access_safe_drink</t>
  </si>
  <si>
    <t>2. Difficult to safely access safe drinking water</t>
  </si>
  <si>
    <t>2. Difficulté d'accès à l'eau potable en toute sécurité</t>
  </si>
  <si>
    <t>access_health</t>
  </si>
  <si>
    <t>3. Reduced or lack of access to health services</t>
  </si>
  <si>
    <t>3. Accès réduit ou manque d'accès aux services de santé</t>
  </si>
  <si>
    <t>access_maternity</t>
  </si>
  <si>
    <t>4. Reduced or lack of access to maternal and infant care</t>
  </si>
  <si>
    <t>4. Accès réduit ou insuffisant aux soins maternels et infantiles</t>
  </si>
  <si>
    <t>limited_storage</t>
  </si>
  <si>
    <t>5. Limited ability to store and prepare food</t>
  </si>
  <si>
    <t>5. Capacité limitée de stockage et de préparation des aliments</t>
  </si>
  <si>
    <t>good_nogood</t>
  </si>
  <si>
    <t>good</t>
  </si>
  <si>
    <t>1. Good</t>
  </si>
  <si>
    <t>1. Bon</t>
  </si>
  <si>
    <t>tension</t>
  </si>
  <si>
    <t>2. Good, but there are some small tensions</t>
  </si>
  <si>
    <t>2. Bon, mais il y a quelques petites tensions</t>
  </si>
  <si>
    <t>goodbad</t>
  </si>
  <si>
    <t>3. Neither good nor bad</t>
  </si>
  <si>
    <t>3. Ni bon ni mauvais</t>
  </si>
  <si>
    <t>bad</t>
  </si>
  <si>
    <t>4. Bad, there are many tensions and occasional conflicts</t>
  </si>
  <si>
    <t>4. Mauvais, il y a de nombreuses tensions et des conflits occasionnels</t>
  </si>
  <si>
    <t>5. I don’t know</t>
  </si>
  <si>
    <t>5. Je n'en sais rien</t>
  </si>
  <si>
    <t>0-6 months</t>
  </si>
  <si>
    <t>0-6 mois</t>
  </si>
  <si>
    <t>6 months - 2 years</t>
  </si>
  <si>
    <t>6 mois - 2 ans</t>
  </si>
  <si>
    <t>2 - 6 years</t>
  </si>
  <si>
    <t>2 - 6 ans</t>
  </si>
  <si>
    <t xml:space="preserve">more than 6 years </t>
  </si>
  <si>
    <t xml:space="preserve">plus de 6 ans </t>
  </si>
  <si>
    <t>never displaced</t>
  </si>
  <si>
    <t>jamais déplacé</t>
  </si>
  <si>
    <t>displacement_place</t>
  </si>
  <si>
    <t>another village</t>
  </si>
  <si>
    <t>un autre village</t>
  </si>
  <si>
    <t>another administrative territory</t>
  </si>
  <si>
    <t>un autre territoire administratif</t>
  </si>
  <si>
    <t>another province</t>
  </si>
  <si>
    <t>une autre province</t>
  </si>
  <si>
    <t>across a national border</t>
  </si>
  <si>
    <t>de l'autre côté d'une frontière nationale</t>
  </si>
  <si>
    <t>returnreason</t>
  </si>
  <si>
    <t>Conflict in the place I was before</t>
  </si>
  <si>
    <t>Conflit dans l'endroit où je me trouvais auparavant</t>
  </si>
  <si>
    <t>Lack of family ties/relationships in the place I was before</t>
  </si>
  <si>
    <t>Absence de liens familiaux/relations dans l'endroit où j'étais auparavant</t>
  </si>
  <si>
    <t xml:space="preserve">Lack of food or basic services in the place I was before </t>
  </si>
  <si>
    <t xml:space="preserve">Manque de nourriture ou de services de base dans l'endroit où j'étais auparavant </t>
  </si>
  <si>
    <t>I heard that it was safe to return home</t>
  </si>
  <si>
    <t>J'ai entendu dire que je pouvais rentrer chez moi en toute sécurité</t>
  </si>
  <si>
    <t>I heard that there were opportunities to earn income at home</t>
  </si>
  <si>
    <t>J'ai entendu dire qu'il y avait des possibilités de gagner un revenu chez moi</t>
  </si>
  <si>
    <t>I heard there was humanitarian assistance available at home</t>
  </si>
  <si>
    <t>J'ai entendu dire qu'une aide humanitaire était disponible dans mon pays</t>
  </si>
  <si>
    <t>displacement_assets</t>
  </si>
  <si>
    <t>mining</t>
  </si>
  <si>
    <t>picks, shovels, buckets</t>
  </si>
  <si>
    <t>pics, pelles, seaux</t>
  </si>
  <si>
    <t>agtools</t>
  </si>
  <si>
    <t>hoes, watering cans, sickles</t>
  </si>
  <si>
    <t>houes, arrosoirs, faucilles</t>
  </si>
  <si>
    <t>agseeds</t>
  </si>
  <si>
    <t xml:space="preserve">seeds </t>
  </si>
  <si>
    <t xml:space="preserve">semences </t>
  </si>
  <si>
    <t>poultry</t>
  </si>
  <si>
    <t>volaille</t>
  </si>
  <si>
    <t>livestock</t>
  </si>
  <si>
    <t>bétail</t>
  </si>
  <si>
    <t>fishing</t>
  </si>
  <si>
    <t>nets, rods, fishing equipment</t>
  </si>
  <si>
    <t>filets, cannes à pêche, matériel de pêche</t>
  </si>
  <si>
    <t>autres</t>
  </si>
  <si>
    <t>wateraccess</t>
  </si>
  <si>
    <t>waterinsufficient</t>
  </si>
  <si>
    <t>No, I can access sufficient water for my production</t>
  </si>
  <si>
    <t>Non, j'ai accès à suffisamment d'eau pour ma production</t>
  </si>
  <si>
    <t>waterdrought</t>
  </si>
  <si>
    <t xml:space="preserve">Yes, water is scarce due to drought or insuficient rainfall </t>
  </si>
  <si>
    <t xml:space="preserve">Oui, l'eau est rare en raison de la sécheresse ou de l'insuffisance des précipitations </t>
  </si>
  <si>
    <t>watercrowded</t>
  </si>
  <si>
    <t>Yes, the water sources are crowded with too many people</t>
  </si>
  <si>
    <t>Oui, les sources d'eau sont encombrées par un trop grand nombre de personnes</t>
  </si>
  <si>
    <t>waterfar</t>
  </si>
  <si>
    <t xml:space="preserve">Yes, the water sources are too far away </t>
  </si>
  <si>
    <t xml:space="preserve">Oui, les sources d'eau sont trop éloignées </t>
  </si>
  <si>
    <t>waterconflict</t>
  </si>
  <si>
    <t xml:space="preserve">Yes, the water sources are in a place that is dangerous to access due to insecurity </t>
  </si>
  <si>
    <t xml:space="preserve">Oui, les sources d'eau se trouvent dans un endroit dont l'accès est dangereux en raison de l'insécurité </t>
  </si>
  <si>
    <t>waternegotiated</t>
  </si>
  <si>
    <t xml:space="preserve">Yes, water sources are in another community and payment or negotiation is required to access it </t>
  </si>
  <si>
    <t>Oui, les sources d'eau se trouvent dans une autre communauté et il faut payer ou négocier pour y accéder</t>
  </si>
  <si>
    <t>land_access</t>
  </si>
  <si>
    <t>rent</t>
  </si>
  <si>
    <t>I can't afford to rent</t>
  </si>
  <si>
    <t>Je n'ai pas les moyens de louer</t>
  </si>
  <si>
    <t>assets</t>
  </si>
  <si>
    <t xml:space="preserve">I don't have the right assets (tools, seeds) to cultivate it or graze it (animals) </t>
  </si>
  <si>
    <t xml:space="preserve">je n'ai pas les moyens nécessaires (outils, semences) pour cultiver la terre ou la faire paître (animaux) </t>
  </si>
  <si>
    <t>cultivation</t>
  </si>
  <si>
    <t xml:space="preserve">it's not safe to go to where the land for cultivation or grazing is </t>
  </si>
  <si>
    <t xml:space="preserve">il n'est pas secure d'aller là où se trouvent les terres à cultiver ou à pâturer </t>
  </si>
  <si>
    <t>land_avail</t>
  </si>
  <si>
    <t xml:space="preserve">There is no land available in this area </t>
  </si>
  <si>
    <t xml:space="preserve">Il n'y a pas de terres disponibles dans cette région </t>
  </si>
  <si>
    <t>productivity</t>
  </si>
  <si>
    <t>I would not have any productive use for it / I am not interested in having access to land</t>
  </si>
  <si>
    <t>Je n'en aurais aucun usage productif / l'accès à la terre ne m'intéresse pas</t>
  </si>
  <si>
    <t>autre</t>
  </si>
  <si>
    <t>land_terms</t>
  </si>
  <si>
    <t>I rent it from friends or neighbors or others in the community</t>
  </si>
  <si>
    <t>Je la loue à des amis, à des voisins ou à d'autres membres de la communauté</t>
  </si>
  <si>
    <t>customary</t>
  </si>
  <si>
    <t>I have a concession from the customary leadership</t>
  </si>
  <si>
    <t>Je bénéficie d'une concession de la part des autorités coutumières</t>
  </si>
  <si>
    <t>formal</t>
  </si>
  <si>
    <t xml:space="preserve">I have a concession from the formal authorities </t>
  </si>
  <si>
    <t xml:space="preserve">J'ai une concession des autorités officielles </t>
  </si>
  <si>
    <t>communityland</t>
  </si>
  <si>
    <t xml:space="preserve">It is shared community land </t>
  </si>
  <si>
    <t xml:space="preserve">Il s'agit d'une terre communautaire partagée </t>
  </si>
  <si>
    <t>bought_friends</t>
  </si>
  <si>
    <t>I bought it from friends or neighbors or others in the community</t>
  </si>
  <si>
    <t>Je l’ai achèter des amis, à des voisins ou à d'autres membres de la communauté</t>
  </si>
  <si>
    <t>land_returnee</t>
  </si>
  <si>
    <t>land_occupied</t>
  </si>
  <si>
    <t>The land has been occupied by someone else</t>
  </si>
  <si>
    <t>La terre a été occupée par quelqu'un d'autre</t>
  </si>
  <si>
    <t>notsafed</t>
  </si>
  <si>
    <t xml:space="preserve">It's not safe to access that land </t>
  </si>
  <si>
    <t>L'accès à cette terre n'est pas securisé</t>
  </si>
  <si>
    <t>toofar</t>
  </si>
  <si>
    <t xml:space="preserve">The land is too far from where I have settled now </t>
  </si>
  <si>
    <t xml:space="preserve">La terre est trop éloignée de l'endroit où je me suis installé </t>
  </si>
  <si>
    <t>conditions</t>
  </si>
  <si>
    <t>security</t>
  </si>
  <si>
    <t>Sécurité pour vivre</t>
  </si>
  <si>
    <t>land access</t>
  </si>
  <si>
    <t>Accès à la terre</t>
  </si>
  <si>
    <t>access to natural resources</t>
  </si>
  <si>
    <t>Acces aux reseaux naturales</t>
  </si>
  <si>
    <t>food security and nutrition</t>
  </si>
  <si>
    <t>Sécurité alimentaire et nutritionnelle</t>
  </si>
  <si>
    <t>Ability to produce and sell crops</t>
  </si>
  <si>
    <t>Possibilité de Pratique de cultures végétales</t>
  </si>
  <si>
    <t>Ability to produce and sell livestock</t>
  </si>
  <si>
    <t>Possibilité de Pratique d’élevage</t>
  </si>
  <si>
    <t xml:space="preserve">Ability to produce and sell fish </t>
  </si>
  <si>
    <t>Possibilité de Pratique de pêche/aquaculture</t>
  </si>
  <si>
    <t>Ability to obtain other employment</t>
  </si>
  <si>
    <t xml:space="preserve">Possibilité de Trouver un emploi </t>
  </si>
  <si>
    <t>impact_access</t>
  </si>
  <si>
    <t>high_food</t>
  </si>
  <si>
    <t>1. High food costs</t>
  </si>
  <si>
    <t>1. Coût élevé des denrées alimentaires </t>
  </si>
  <si>
    <t>reduce_income</t>
  </si>
  <si>
    <t>2. Reduced income to buy food</t>
  </si>
  <si>
    <t>2. Revenu réduit pour acheter de la nourriture</t>
  </si>
  <si>
    <t>reduces_access_assistance</t>
  </si>
  <si>
    <t>3. Reduced or inability to access  assistance (food, cash or vouchers)</t>
  </si>
  <si>
    <t>3. Réduction ou impossibilité d'accès à l'aide (nourriture, argent ou vouchers)</t>
  </si>
  <si>
    <t>Reduced_access_markets</t>
  </si>
  <si>
    <t>4. Reduced or inability to access markets</t>
  </si>
  <si>
    <t>4. Réduction ou impossibilité d'accéder aux marchés</t>
  </si>
  <si>
    <t>disruption_transport</t>
  </si>
  <si>
    <t>5. Disruptions to the transportation of food and produce</t>
  </si>
  <si>
    <t>5. Perturbations dans le transport des denrées alimentaires et des produits agricoles</t>
  </si>
  <si>
    <t>demand_illicit</t>
  </si>
  <si>
    <t>6. Demands for illicit payments or taxes</t>
  </si>
  <si>
    <t>6. Demandes de paiements illicites ou de taxes</t>
  </si>
  <si>
    <t xml:space="preserve">7. Other </t>
  </si>
  <si>
    <t>7. Autres </t>
  </si>
  <si>
    <t>crop</t>
  </si>
  <si>
    <t>1.1</t>
  </si>
  <si>
    <t>Rice</t>
  </si>
  <si>
    <t>Riz</t>
  </si>
  <si>
    <t>1.3</t>
  </si>
  <si>
    <t>Millet</t>
  </si>
  <si>
    <t>Mil</t>
  </si>
  <si>
    <t>1.4</t>
  </si>
  <si>
    <t>Sorghum</t>
  </si>
  <si>
    <t>Sorgho</t>
  </si>
  <si>
    <t>1.5</t>
  </si>
  <si>
    <t>Maize</t>
  </si>
  <si>
    <t>Maïs</t>
  </si>
  <si>
    <t>2.1</t>
  </si>
  <si>
    <t>Cassava</t>
  </si>
  <si>
    <t>Manioc</t>
  </si>
  <si>
    <t>2.2</t>
  </si>
  <si>
    <t>Potatoe</t>
  </si>
  <si>
    <t>Pommes de terre</t>
  </si>
  <si>
    <t>3.1</t>
  </si>
  <si>
    <t>Beans</t>
  </si>
  <si>
    <t>Haricots</t>
  </si>
  <si>
    <t>3.4</t>
  </si>
  <si>
    <t>Soybeans</t>
  </si>
  <si>
    <t>Soja</t>
  </si>
  <si>
    <t>7.2</t>
  </si>
  <si>
    <t>Plantains</t>
  </si>
  <si>
    <t>Banane plantain</t>
  </si>
  <si>
    <t>7.3</t>
  </si>
  <si>
    <t>Papaya</t>
  </si>
  <si>
    <t>Papaye</t>
  </si>
  <si>
    <t>8.2</t>
  </si>
  <si>
    <t>Groundnut/peanut</t>
  </si>
  <si>
    <t>Arachide / cacahuète</t>
  </si>
  <si>
    <t>9.2</t>
  </si>
  <si>
    <t>Coffee</t>
  </si>
  <si>
    <t>Café</t>
  </si>
  <si>
    <t>1.2</t>
  </si>
  <si>
    <t>Wheat</t>
  </si>
  <si>
    <t>Blé</t>
  </si>
  <si>
    <t>1.6</t>
  </si>
  <si>
    <t>Barley</t>
  </si>
  <si>
    <t>Orge</t>
  </si>
  <si>
    <t>1.99</t>
  </si>
  <si>
    <t>Other Cereal</t>
  </si>
  <si>
    <t>Autres céréales</t>
  </si>
  <si>
    <t>2.3</t>
  </si>
  <si>
    <t>Sweet Potatoes</t>
  </si>
  <si>
    <t>Patates douces</t>
  </si>
  <si>
    <t>2.4</t>
  </si>
  <si>
    <t>Yams</t>
  </si>
  <si>
    <t>Ignames</t>
  </si>
  <si>
    <t>2.5</t>
  </si>
  <si>
    <t>Carrots</t>
  </si>
  <si>
    <t>Carottes</t>
  </si>
  <si>
    <t>2.6</t>
  </si>
  <si>
    <t>Cocoyam</t>
  </si>
  <si>
    <t>Chou caraïbe</t>
  </si>
  <si>
    <t>2.99</t>
  </si>
  <si>
    <t>Other tubers</t>
  </si>
  <si>
    <t>Autres tubercules</t>
  </si>
  <si>
    <t>3.2</t>
  </si>
  <si>
    <t>Lentils</t>
  </si>
  <si>
    <t>Lentilles</t>
  </si>
  <si>
    <t>3.3</t>
  </si>
  <si>
    <t>Peas</t>
  </si>
  <si>
    <t>Pois</t>
  </si>
  <si>
    <t>3.5</t>
  </si>
  <si>
    <t>Chickpeas</t>
  </si>
  <si>
    <t>Pois chiches</t>
  </si>
  <si>
    <t>3.6</t>
  </si>
  <si>
    <t>Fava beans</t>
  </si>
  <si>
    <t>Fève</t>
  </si>
  <si>
    <t>3.7</t>
  </si>
  <si>
    <t>Broad beans</t>
  </si>
  <si>
    <t>Fève large</t>
  </si>
  <si>
    <t>3.99</t>
  </si>
  <si>
    <t>Other pulses</t>
  </si>
  <si>
    <t>Autres légumineuses</t>
  </si>
  <si>
    <t>4.1</t>
  </si>
  <si>
    <t>Cabbage</t>
  </si>
  <si>
    <t>Choux</t>
  </si>
  <si>
    <t>4.101</t>
  </si>
  <si>
    <t>Cauliflower</t>
  </si>
  <si>
    <t>Choux-fleur</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</si>
  <si>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</si>
  <si>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</si>
  <si>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</si>
  <si>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</si>
  <si>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</si>
  <si>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</si>
  <si>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</si>
  <si>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</si>
  <si>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</si>
  <si>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</si>
  <si>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</si>
  <si>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</si>
  <si>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</si>
  <si>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</si>
  <si>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</si>
  <si>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</si>
  <si>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</si>
  <si>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</si>
  <si>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</si>
  <si>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</si>
  <si>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4.99</t>
  </si>
  <si>
    <t>Other leafy vegetables</t>
  </si>
  <si>
    <t>Autres légumes à feuilles</t>
  </si>
  <si>
    <t>5.1</t>
  </si>
  <si>
    <t>Tomatoes</t>
  </si>
  <si>
    <t>Tomates</t>
  </si>
  <si>
    <t>5.101</t>
  </si>
  <si>
    <t>Green peas</t>
  </si>
  <si>
    <t>Petit pois</t>
  </si>
  <si>
    <t>5.11</t>
  </si>
  <si>
    <t>Fava beans green</t>
  </si>
  <si>
    <t>Pois fève</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</si>
  <si>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</si>
  <si>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</si>
  <si>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</si>
  <si>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</si>
  <si>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</si>
  <si>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</si>
  <si>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</si>
  <si>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</si>
  <si>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</si>
  <si>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</si>
  <si>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</si>
  <si>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</si>
  <si>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</si>
  <si>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</si>
  <si>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</si>
  <si>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</si>
  <si>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</si>
  <si>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5.8</t>
  </si>
  <si>
    <t>Onions</t>
  </si>
  <si>
    <t>Oignons</t>
  </si>
  <si>
    <t>5.9</t>
  </si>
  <si>
    <t>Haricot</t>
  </si>
  <si>
    <t xml:space="preserve">Haricot </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</si>
  <si>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</si>
  <si>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</si>
  <si>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</si>
  <si>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</si>
  <si>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</si>
  <si>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</si>
  <si>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</si>
  <si>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</si>
  <si>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</si>
  <si>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</si>
  <si>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</si>
  <si>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</si>
  <si>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</si>
  <si>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</si>
  <si>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</si>
  <si>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</si>
  <si>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</si>
  <si>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</si>
  <si>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</si>
  <si>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</si>
  <si>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</si>
  <si>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</si>
  <si>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</si>
  <si>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</si>
  <si>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</si>
  <si>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</si>
  <si>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</si>
  <si>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</si>
  <si>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</si>
  <si>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</si>
  <si>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</si>
  <si>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</si>
  <si>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</si>
  <si>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</si>
  <si>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</si>
  <si>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</si>
  <si>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</si>
  <si>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</si>
  <si>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</si>
  <si>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</si>
  <si>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</si>
  <si>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</si>
  <si>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</si>
  <si>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</si>
  <si>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</si>
  <si>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</si>
  <si>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7.4</t>
  </si>
  <si>
    <t>Mango</t>
  </si>
  <si>
    <t>Mangue</t>
  </si>
  <si>
    <t>7.5</t>
  </si>
  <si>
    <t>Guava</t>
  </si>
  <si>
    <t>Goyave</t>
  </si>
  <si>
    <t>7.6</t>
  </si>
  <si>
    <t>Pineapple</t>
  </si>
  <si>
    <t>Ananas</t>
  </si>
  <si>
    <t>7.7</t>
  </si>
  <si>
    <t>Avocado</t>
  </si>
  <si>
    <t>Avocat</t>
  </si>
  <si>
    <t>7.8</t>
  </si>
  <si>
    <t>Water Melon</t>
  </si>
  <si>
    <t>Pastèques</t>
  </si>
  <si>
    <t>7.9</t>
  </si>
  <si>
    <t>Dates</t>
  </si>
  <si>
    <t>Dattes</t>
  </si>
  <si>
    <t>7.99</t>
  </si>
  <si>
    <t>Other fruit</t>
  </si>
  <si>
    <t>Autres fruits</t>
  </si>
  <si>
    <t>8.1</t>
  </si>
  <si>
    <t>Coconuts</t>
  </si>
  <si>
    <t>Noix de coco</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</si>
  <si>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</si>
  <si>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</si>
  <si>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</si>
  <si>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</si>
  <si>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</si>
  <si>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</si>
  <si>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</si>
  <si>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</si>
  <si>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</si>
  <si>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</si>
  <si>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</si>
  <si>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</si>
  <si>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</si>
  <si>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</si>
  <si>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</si>
  <si>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</si>
  <si>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</si>
  <si>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</si>
  <si>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</si>
  <si>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</si>
  <si>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</si>
  <si>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</si>
  <si>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</si>
  <si>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</si>
  <si>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</si>
  <si>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</si>
  <si>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</si>
  <si>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</si>
  <si>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</si>
  <si>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</si>
  <si>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</si>
  <si>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</si>
  <si>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</si>
  <si>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</si>
  <si>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</si>
  <si>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</si>
  <si>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</si>
  <si>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</si>
  <si>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</si>
  <si>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</si>
  <si>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</si>
  <si>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</si>
  <si>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</si>
  <si>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</si>
  <si>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</si>
  <si>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</si>
  <si>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</si>
  <si>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</si>
  <si>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</si>
  <si>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</si>
  <si>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</si>
  <si>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</si>
  <si>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</si>
  <si>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</si>
  <si>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</si>
  <si>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777</t>
  </si>
  <si>
    <t>No crop production</t>
  </si>
  <si>
    <t>Pas de production végétale</t>
  </si>
  <si>
    <t>888</t>
  </si>
  <si>
    <t>Don't know</t>
  </si>
  <si>
    <t>Je ne sais pas</t>
  </si>
  <si>
    <t>999</t>
  </si>
  <si>
    <t>Refused</t>
  </si>
  <si>
    <t>Refusé</t>
  </si>
  <si>
    <t>crop2</t>
  </si>
  <si>
    <t>666</t>
  </si>
  <si>
    <t>No other crop</t>
  </si>
  <si>
    <t>Aucune autre culture</t>
  </si>
  <si>
    <t>crop3</t>
  </si>
  <si>
    <t>Province</t>
  </si>
  <si>
    <t>CD54</t>
  </si>
  <si>
    <t>Ituri</t>
  </si>
  <si>
    <t>Territoire</t>
  </si>
  <si>
    <t>CD5401</t>
  </si>
  <si>
    <t>Bunia</t>
  </si>
  <si>
    <t>CD5402</t>
  </si>
  <si>
    <t>Irumu</t>
  </si>
  <si>
    <t>CD5403</t>
  </si>
  <si>
    <t>Mambasa</t>
  </si>
  <si>
    <t>CD5404</t>
  </si>
  <si>
    <t>Mongwalu</t>
  </si>
  <si>
    <t>CD5405</t>
  </si>
  <si>
    <t>Djugu</t>
  </si>
  <si>
    <t>CD5407</t>
  </si>
  <si>
    <t>Mahagi</t>
  </si>
  <si>
    <t>CD5409</t>
  </si>
  <si>
    <t>Aru</t>
  </si>
  <si>
    <t>CD5410</t>
  </si>
  <si>
    <t>Ariwara</t>
  </si>
  <si>
    <t>CD5411</t>
  </si>
  <si>
    <t>Ingbokolo</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</si>
  <si>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</si>
  <si>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</si>
  <si>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</si>
  <si>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</si>
  <si>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</si>
  <si>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</si>
  <si>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</si>
  <si>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</si>
  <si>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</si>
  <si>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</si>
  <si>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</si>
  <si>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x</t>
  </si>
  <si>
    <t>Original</t>
  </si>
  <si>
    <t>Replacement (FR)</t>
  </si>
  <si>
    <t>Replacement (EN)</t>
  </si>
  <si>
    <t>Comment (FR)</t>
  </si>
  <si>
    <t>Comment (EN)</t>
  </si>
  <si>
    <t>Exemple (FR)</t>
  </si>
  <si>
    <t>Example(EN)</t>
  </si>
  <si>
    <t>FOR CORE QUESTIONS    .
(Mandatory to fill out)    .</t>
  </si>
  <si>
    <t>phone number</t>
  </si>
  <si>
    <t>8********</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</si>
  <si>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</si>
  <si>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</si>
  <si>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</si>
  <si>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</si>
  <si>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</si>
  <si>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</si>
  <si>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</si>
  <si>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La première subdivision du pays, après le niveau national ; par exemple, région ; province ; gouvernorat ; etc. Un seul mot doit être saisi - Ne pas inclure d'espaces.</t>
  </si>
  <si>
    <t>The first subdivision of the country, after national level; region; province; governorate; etc. Only one word should be inputted - Do not include spaces.</t>
  </si>
  <si>
    <t>region</t>
  </si>
  <si>
    <t>ADMIN2</t>
  </si>
  <si>
    <t>La deuxième subdivision du pays ; par exemple, district, municipalité, LGA, etc. Un seul mot doit être saisi - Ne pas inclure d'espaces.</t>
  </si>
  <si>
    <t>The second subdivision of the country; district; municipality; LGA; etc. Only one word should be inputted - Do not include spaces.</t>
  </si>
  <si>
    <t>district</t>
  </si>
  <si>
    <t>reference year</t>
  </si>
  <si>
    <t>l'année dernière</t>
  </si>
  <si>
    <t>last year</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</si>
  <si>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</si>
  <si>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</si>
  <si>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une année normale</t>
  </si>
  <si>
    <t>a normal year</t>
  </si>
  <si>
    <t>season</t>
  </si>
  <si>
    <t>récolte</t>
  </si>
  <si>
    <t>Harvest</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</si>
  <si>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</si>
  <si>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</si>
  <si>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saison des pluies</t>
  </si>
  <si>
    <t>wet season</t>
  </si>
  <si>
    <t>season phase</t>
  </si>
  <si>
    <t>Proche de la récolte</t>
  </si>
  <si>
    <t>Maturing</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</si>
  <si>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</si>
  <si>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</si>
  <si>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Récolte</t>
  </si>
  <si>
    <t>Harvesting</t>
  </si>
  <si>
    <t>local measurement unit</t>
  </si>
  <si>
    <t xml:space="preserve">Indiquez l'unité utilisée localement pour mesurer la taille des terrains, autre que les acres, les hectares, les mètres carrés et les pieds carrés. Si aucune autre unité de mesure n'est nécessaire, garder cette cellule vide. </t>
  </si>
  <si>
    <t xml:space="preserve">Specify the local measurement unit for land size, other than acres, hectares, square meters and square feet. If no other unit of measurement is needed, keep this cell blank. </t>
  </si>
  <si>
    <t>Jeribs</t>
  </si>
  <si>
    <t>local measurement unit conversion</t>
  </si>
  <si>
    <t xml:space="preserve">Indiquez la conversion de l'unité de mesure locale en hectares. En d'autres termes, indiquez combien d'unités de mesure locales y a-t-il dans 1 ha. </t>
  </si>
  <si>
    <t xml:space="preserve">Include the conversion of the local measurement unit to hectares. In other words, how many local measurement units are in 1 ha. </t>
  </si>
  <si>
    <t>FOR OPTIONAL QUESTIONS    .
(Fill out if applicable)    .</t>
  </si>
  <si>
    <t>currency</t>
  </si>
  <si>
    <t>CDF</t>
  </si>
  <si>
    <t xml:space="preserve">Nom de la principale devise utilisée au niveau national; par exemple, USD; Naira; Rial; Pesos; etc. </t>
  </si>
  <si>
    <t xml:space="preserve">The name of the main currency used nationally; USD; Naira; Rial; Pesos; etc. </t>
  </si>
  <si>
    <t>Naira</t>
  </si>
  <si>
    <t>MIN AMOUNT</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</si>
  <si>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</si>
  <si>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</si>
  <si>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</si>
  <si>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</si>
  <si>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</si>
  <si>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</si>
  <si>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Fumbwa, épinard, choux, carottes</t>
  </si>
  <si>
    <t>Funbwa, spinach, cabbage, carrot</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</si>
  <si>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</si>
  <si>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</si>
  <si>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</si>
  <si>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</si>
  <si>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</si>
  <si>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bananas, oranges, mangos</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</si>
  <si>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</si>
  <si>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</si>
  <si>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</si>
  <si>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</si>
  <si>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t>FILL OUT FOR QUESTIONNAIRE DURATION ESTIMATION    .</t>
  </si>
  <si>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</si>
  <si>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</si>
  <si>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</si>
  <si>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</si>
  <si>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</si>
  <si>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</si>
  <si>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</si>
  <si>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</si>
  <si>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</si>
  <si>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admin1</t>
  </si>
  <si>
    <t>admin2</t>
  </si>
  <si>
    <t>Quelle est la principale culture pratiquée par votre ménage pour se nourrir ou générer des revenus pendant la récolte, si applicable ?</t>
  </si>
  <si>
    <t>Pourquoi n'avez-vous pas produit de cultures pendant la récolte ?</t>
  </si>
  <si>
    <t>Comment estimez-vous la **superficie plantée** de  ${crpmain} pour la récolte par rapport à l'année dernière ?</t>
  </si>
  <si>
    <t>Quelle quantité (battue) de ${crpmain} avez-vous récoltée cette récolte ?</t>
  </si>
  <si>
    <t>Votre ménage a-t-il rencontré des difficultés importantes en matière de **production végétale** au cours de récolte ?</t>
  </si>
  <si>
    <t>Quelles difficultés votre ménage a-t-il rencontrées dans la production végétale au cours de récolte ?</t>
  </si>
  <si>
    <t>Comment estimez-vous la **récolte** attendu de ${crpmain} pour la récolte par rapport à l'année dernière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</si>
</sst>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7" x14ac:knownFonts="1">
    <font>
      <sz val="11"/>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8"/>
      <name val="Calibri"/>
      <family val="2"/>
      <scheme val="minor"/>
    </font>
    <font>
      <b/>
      <sz val="11"/>
      <color rgb="FFFF0000"/>
      <name val="Calibri"/>
      <family val="2"/>
      <scheme val="minor"/>
    </font>
    <font>
      <i/>
      <sz val="11"/>
      <color theme="0" tint="-0.34998626667073579"/>
      <name val="Calibri"/>
      <family val="2"/>
    </font>
    <font>
      <i/>
      <sz val="11"/>
      <color theme="0" tint="-0.34998626667073579"/>
      <name val="Calibri (Body)"/>
    </font>
    <font>
      <sz val="11"/>
      <color rgb="FFFF0000"/>
      <name val="Calibri"/>
      <family val="2"/>
      <scheme val="minor"/>
    </font>
    <font>
      <b/>
      <sz val="11"/>
      <color theme="1"/>
      <name val="Calibri"/>
      <family val="2"/>
      <scheme val="minor"/>
    </font>
    <font>
      <sz val="11"/>
      <color theme="1"/>
      <name val="Calibri"/>
      <family val="2"/>
    </font>
  </fonts>
  <fills count="9">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6DFDC"/>
        <bgColor rgb="FF000000"/>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s>
  <cellStyleXfs count="18">
    <xf numFmtId="0" fontId="0" fillId="0" borderId="0"/>
    <xf numFmtId="0" fontId="6" fillId="0" borderId="0"/>
    <xf numFmtId="0" fontId="9" fillId="0" borderId="0"/>
    <xf numFmtId="0" fontId="15" fillId="0" borderId="0"/>
    <xf numFmtId="0" fontId="6" fillId="0" borderId="0"/>
    <xf numFmtId="0" fontId="6" fillId="0" borderId="0"/>
    <xf numFmtId="0" fontId="20" fillId="4" borderId="14"/>
    <xf numFmtId="9" fontId="9" fillId="0" borderId="0"/>
    <xf numFmtId="0" fontId="6" fillId="0" borderId="0"/>
    <xf numFmtId="0" fontId="6" fillId="0" borderId="0"/>
    <xf numFmtId="0" fontId="6" fillId="0" borderId="0"/>
    <xf numFmtId="0" fontId="6" fillId="0" borderId="0"/>
    <xf numFmtId="0" fontId="9" fillId="0" borderId="0"/>
    <xf numFmtId="0" fontId="6" fillId="0" borderId="0"/>
    <xf numFmtId="0" fontId="9" fillId="0" borderId="0"/>
    <xf numFmtId="0" fontId="6" fillId="0" borderId="0"/>
    <xf numFmtId="0" fontId="9" fillId="0" borderId="0"/>
    <xf numFmtId="0" fontId="6" fillId="0" borderId="0"/>
  </cellStyleXfs>
  <cellXfs count="346">
    <xf numFmtId="0" fontId="0" fillId="0" borderId="0" xfId="0"/>
    <xf numFmtId="0" fontId="8" fillId="0" borderId="0" xfId="0" applyFont="1" applyProtection="1">
      <protection locked="0"/>
    </xf>
    <xf numFmtId="0" fontId="0" fillId="0" borderId="0" xfId="0" applyProtection="1">
      <protection locked="0"/>
    </xf>
    <xf numFmtId="0" fontId="0" fillId="2" borderId="0" xfId="0" applyFill="1" applyProtection="1">
      <protection locked="0"/>
    </xf>
    <xf numFmtId="0" fontId="10" fillId="2" borderId="0" xfId="0" applyFont="1" applyFill="1" applyProtection="1">
      <protection locked="0"/>
    </xf>
    <xf numFmtId="0" fontId="8" fillId="0" borderId="0" xfId="0" applyFont="1"/>
    <xf numFmtId="0" fontId="21" fillId="2" borderId="7" xfId="6" applyFont="1" applyFill="1" applyBorder="1" applyAlignment="1" applyProtection="1">
      <alignment horizontal="center" vertical="center"/>
      <protection locked="0"/>
    </xf>
    <xf numFmtId="0" fontId="12" fillId="0" borderId="0" xfId="0" applyFont="1" applyProtection="1">
      <protection locked="0"/>
    </xf>
    <xf numFmtId="0" fontId="13" fillId="0" borderId="0" xfId="0" applyFont="1" applyProtection="1">
      <protection locked="0"/>
    </xf>
    <xf numFmtId="0" fontId="7" fillId="0" borderId="0" xfId="0" applyFont="1" applyProtection="1">
      <protection locked="0"/>
    </xf>
    <xf numFmtId="0" fontId="11" fillId="0" borderId="0" xfId="0" applyFont="1"/>
    <xf numFmtId="0" fontId="11" fillId="0" borderId="0" xfId="0" applyFont="1" applyProtection="1">
      <protection locked="0"/>
    </xf>
    <xf numFmtId="0" fontId="10" fillId="0" borderId="0" xfId="0" applyFont="1" applyProtection="1">
      <protection locked="0"/>
    </xf>
    <xf numFmtId="0" fontId="11" fillId="2" borderId="0" xfId="0" applyFont="1" applyFill="1" applyProtection="1">
      <protection locked="0"/>
    </xf>
    <xf numFmtId="0" fontId="10" fillId="0" borderId="0" xfId="0" applyFont="1"/>
    <xf numFmtId="0" fontId="12" fillId="0" borderId="0" xfId="0" applyFont="1"/>
    <xf numFmtId="0" fontId="4" fillId="0" borderId="2" xfId="10" applyFont="1" applyBorder="1"/>
    <xf numFmtId="0" fontId="4" fillId="0" borderId="13" xfId="10" applyFont="1" applyBorder="1"/>
    <xf numFmtId="0" fontId="4" fillId="0" borderId="6" xfId="10" applyFont="1" applyBorder="1"/>
    <xf numFmtId="0" fontId="4" fillId="0" borderId="23" xfId="10" applyFont="1" applyBorder="1"/>
    <xf numFmtId="0" fontId="18" fillId="0" borderId="28" xfId="10" applyFont="1" applyBorder="1" applyAlignment="1">
      <alignment horizontal="center" vertical="center" wrapText="1"/>
    </xf>
    <xf numFmtId="0" fontId="18" fillId="0" borderId="35" xfId="10" applyFont="1" applyBorder="1" applyAlignment="1">
      <alignment vertical="center" wrapText="1"/>
    </xf>
    <xf numFmtId="0" fontId="18" fillId="0" borderId="19" xfId="10" applyFont="1" applyBorder="1" applyAlignment="1">
      <alignment vertical="center" wrapText="1"/>
    </xf>
    <xf numFmtId="0" fontId="18" fillId="0" borderId="30" xfId="10" applyFont="1" applyBorder="1" applyAlignment="1">
      <alignment vertical="center" wrapText="1"/>
    </xf>
    <xf numFmtId="0" fontId="4" fillId="0" borderId="3" xfId="10" applyFont="1" applyBorder="1"/>
    <xf numFmtId="0" fontId="4" fillId="3" borderId="7" xfId="10" applyFont="1" applyFill="1" applyBorder="1" applyAlignment="1" applyProtection="1">
      <alignment horizontal="center" vertical="center"/>
      <protection locked="0"/>
    </xf>
    <xf numFmtId="0" fontId="4" fillId="3" borderId="4" xfId="10" applyFont="1" applyFill="1" applyBorder="1" applyAlignment="1" applyProtection="1">
      <alignment horizontal="center" vertical="center"/>
      <protection locked="0"/>
    </xf>
    <xf numFmtId="0" fontId="17" fillId="0" borderId="10" xfId="5" applyFont="1" applyBorder="1" applyAlignment="1">
      <alignment horizontal="left" vertical="center"/>
    </xf>
    <xf numFmtId="0" fontId="17" fillId="0" borderId="38" xfId="10" applyFont="1" applyBorder="1" applyAlignment="1">
      <alignment horizontal="left" vertical="center"/>
    </xf>
    <xf numFmtId="0" fontId="17" fillId="0" borderId="37" xfId="10" applyFont="1" applyBorder="1" applyAlignment="1">
      <alignment horizontal="left" vertical="center"/>
    </xf>
    <xf numFmtId="0" fontId="17" fillId="0" borderId="10" xfId="10" applyFont="1" applyBorder="1" applyAlignment="1">
      <alignment horizontal="left" vertical="center"/>
    </xf>
    <xf numFmtId="0" fontId="24" fillId="0" borderId="8" xfId="10" applyFont="1" applyBorder="1" applyAlignment="1">
      <alignment horizontal="center" vertical="center" wrapText="1"/>
    </xf>
    <xf numFmtId="0" fontId="24" fillId="0" borderId="5" xfId="10" applyFont="1" applyBorder="1" applyAlignment="1">
      <alignment horizontal="center" vertical="center" wrapText="1"/>
    </xf>
    <xf numFmtId="0" fontId="22" fillId="0" borderId="39" xfId="0" applyFont="1" applyBorder="1" applyAlignment="1" applyProtection="1">
      <alignment horizontal="center" vertical="center" wrapText="1"/>
      <protection locked="0"/>
    </xf>
    <xf numFmtId="0" fontId="4" fillId="0" borderId="40" xfId="10" applyFont="1" applyBorder="1"/>
    <xf numFmtId="0" fontId="4" fillId="0" borderId="13" xfId="10" applyFont="1" applyBorder="1" applyAlignment="1">
      <alignment vertical="center"/>
    </xf>
    <xf numFmtId="0" fontId="19" fillId="0" borderId="26" xfId="10" applyFont="1" applyBorder="1" applyAlignment="1">
      <alignment horizontal="center" vertical="center"/>
    </xf>
    <xf numFmtId="0" fontId="17" fillId="0" borderId="31" xfId="10" applyFont="1" applyBorder="1" applyAlignment="1">
      <alignment vertical="center" wrapText="1"/>
    </xf>
    <xf numFmtId="0" fontId="4" fillId="0" borderId="3" xfId="10" applyFont="1" applyBorder="1" applyAlignment="1">
      <alignment vertical="center"/>
    </xf>
    <xf numFmtId="0" fontId="4"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0" fillId="0" borderId="0" xfId="0" applyFont="1" applyAlignment="1" applyProtection="1">
      <alignment vertical="top" wrapText="1"/>
      <protection locked="0"/>
    </xf>
    <xf numFmtId="0" fontId="17" fillId="0" borderId="15" xfId="5" applyFont="1" applyBorder="1" applyAlignment="1">
      <alignment horizontal="left" vertical="center" wrapText="1"/>
    </xf>
    <xf numFmtId="0" fontId="24" fillId="0" borderId="15" xfId="10" applyFont="1" applyBorder="1" applyAlignment="1">
      <alignment horizontal="center" vertical="center" wrapText="1"/>
    </xf>
    <xf numFmtId="0" fontId="28" fillId="0" borderId="16" xfId="10" applyFont="1" applyBorder="1" applyAlignment="1">
      <alignment vertical="center" wrapText="1"/>
    </xf>
    <xf numFmtId="0" fontId="28" fillId="0" borderId="7" xfId="10" applyFont="1" applyBorder="1" applyAlignment="1">
      <alignment vertical="center" wrapText="1"/>
    </xf>
    <xf numFmtId="0" fontId="28" fillId="0" borderId="4" xfId="10" applyFont="1" applyBorder="1" applyAlignment="1">
      <alignment vertical="center" wrapText="1"/>
    </xf>
    <xf numFmtId="0" fontId="4" fillId="5" borderId="6" xfId="10" applyFont="1" applyFill="1" applyBorder="1"/>
    <xf numFmtId="0" fontId="4" fillId="5" borderId="33" xfId="10" applyFont="1" applyFill="1" applyBorder="1" applyAlignment="1">
      <alignment wrapText="1"/>
    </xf>
    <xf numFmtId="0" fontId="17" fillId="5" borderId="34" xfId="10" applyFont="1" applyFill="1" applyBorder="1" applyAlignment="1">
      <alignment vertical="center"/>
    </xf>
    <xf numFmtId="0" fontId="18" fillId="5" borderId="35" xfId="10" applyFont="1" applyFill="1" applyBorder="1" applyAlignment="1">
      <alignment vertical="center" wrapText="1"/>
    </xf>
    <xf numFmtId="0" fontId="18" fillId="5" borderId="36" xfId="10" applyFont="1" applyFill="1" applyBorder="1" applyAlignment="1">
      <alignment horizontal="center" vertical="center" wrapText="1"/>
    </xf>
    <xf numFmtId="0" fontId="4" fillId="5" borderId="23" xfId="10" applyFont="1" applyFill="1" applyBorder="1"/>
    <xf numFmtId="0" fontId="4" fillId="5" borderId="2" xfId="10" applyFont="1" applyFill="1" applyBorder="1"/>
    <xf numFmtId="0" fontId="17" fillId="0" borderId="8" xfId="10" applyFont="1" applyBorder="1" applyAlignment="1">
      <alignment horizontal="left" vertical="center" wrapText="1"/>
    </xf>
    <xf numFmtId="0" fontId="4" fillId="0" borderId="6" xfId="10" applyFont="1" applyBorder="1" applyAlignment="1">
      <alignment vertical="center"/>
    </xf>
    <xf numFmtId="0" fontId="4" fillId="0" borderId="25" xfId="10" applyFont="1" applyBorder="1" applyAlignment="1">
      <alignment vertical="center"/>
    </xf>
    <xf numFmtId="0" fontId="19" fillId="0" borderId="12" xfId="10" applyFont="1" applyBorder="1" applyAlignment="1">
      <alignment horizontal="center" vertical="center" wrapText="1"/>
    </xf>
    <xf numFmtId="0" fontId="19" fillId="0" borderId="11" xfId="10" applyFont="1" applyBorder="1" applyAlignment="1">
      <alignment horizontal="center" vertical="center"/>
    </xf>
    <xf numFmtId="0" fontId="19" fillId="0" borderId="18" xfId="10" applyFont="1" applyBorder="1" applyAlignment="1">
      <alignment horizontal="center" vertical="center"/>
    </xf>
    <xf numFmtId="0" fontId="4" fillId="0" borderId="23" xfId="10" applyFont="1" applyBorder="1" applyAlignment="1">
      <alignment vertical="center"/>
    </xf>
    <xf numFmtId="0" fontId="8" fillId="0" borderId="0" xfId="0" applyFont="1" applyAlignment="1">
      <alignment vertical="top"/>
    </xf>
    <xf numFmtId="0" fontId="8" fillId="2" borderId="0" xfId="0" applyFont="1" applyFill="1" applyAlignment="1" applyProtection="1">
      <alignment vertical="top" wrapText="1"/>
      <protection locked="0"/>
    </xf>
    <xf numFmtId="0" fontId="8" fillId="2" borderId="0" xfId="0" applyFont="1" applyFill="1" applyAlignment="1" applyProtection="1">
      <alignment vertical="top"/>
      <protection locked="0"/>
    </xf>
    <xf numFmtId="0" fontId="8" fillId="0" borderId="0" xfId="0" applyFont="1" applyAlignment="1" applyProtection="1">
      <alignment vertical="top"/>
      <protection locked="0"/>
    </xf>
    <xf numFmtId="0" fontId="22" fillId="0" borderId="0" xfId="0" applyFont="1" applyAlignment="1" applyProtection="1">
      <alignment vertical="top"/>
      <protection locked="0"/>
    </xf>
    <xf numFmtId="0" fontId="0" fillId="0" borderId="0" xfId="0" applyAlignment="1">
      <alignment vertical="top"/>
    </xf>
    <xf numFmtId="0" fontId="10" fillId="0" borderId="0" xfId="0" applyFont="1" applyAlignment="1" applyProtection="1">
      <alignment vertical="top"/>
      <protection locked="0"/>
    </xf>
    <xf numFmtId="0" fontId="11" fillId="0" borderId="0" xfId="0" applyFont="1" applyAlignment="1" applyProtection="1">
      <alignment vertical="top"/>
      <protection locked="0"/>
    </xf>
    <xf numFmtId="0" fontId="11" fillId="0" borderId="0" xfId="0" applyFont="1" applyAlignment="1" applyProtection="1">
      <alignment vertical="top" wrapText="1"/>
      <protection locked="0"/>
    </xf>
    <xf numFmtId="0" fontId="11" fillId="2" borderId="0" xfId="0" applyFont="1" applyFill="1" applyAlignment="1" applyProtection="1">
      <alignment vertical="top" wrapText="1"/>
      <protection locked="0"/>
    </xf>
    <xf numFmtId="0" fontId="10" fillId="0" borderId="0" xfId="0" applyFont="1" applyAlignment="1">
      <alignment vertical="top"/>
    </xf>
    <xf numFmtId="0" fontId="10" fillId="0" borderId="0" xfId="0" applyFont="1" applyAlignment="1">
      <alignment vertical="top" wrapText="1"/>
    </xf>
    <xf numFmtId="0" fontId="22" fillId="0" borderId="0" xfId="0" applyFont="1" applyAlignment="1">
      <alignment vertical="top"/>
    </xf>
    <xf numFmtId="0" fontId="11" fillId="2" borderId="0" xfId="0" applyFont="1" applyFill="1" applyAlignment="1" applyProtection="1">
      <alignment vertical="top"/>
      <protection locked="0"/>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11" fillId="2" borderId="1" xfId="0" applyFont="1" applyFill="1" applyBorder="1" applyAlignment="1" applyProtection="1">
      <alignment vertical="top" wrapText="1"/>
      <protection locked="0"/>
    </xf>
    <xf numFmtId="0" fontId="11"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0" fillId="0" borderId="1" xfId="0" applyFont="1" applyBorder="1" applyAlignment="1" applyProtection="1">
      <alignment vertical="top"/>
      <protection locked="0"/>
    </xf>
    <xf numFmtId="0" fontId="10" fillId="0" borderId="1" xfId="0" applyFont="1" applyBorder="1" applyAlignment="1" applyProtection="1">
      <alignment vertical="top" wrapText="1"/>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8" fillId="0" borderId="0" xfId="0" applyFont="1" applyAlignment="1">
      <alignment vertical="top" wrapText="1"/>
    </xf>
    <xf numFmtId="0" fontId="8" fillId="0" borderId="0" xfId="0" applyFont="1" applyAlignment="1" applyProtection="1">
      <alignment vertical="top" wrapText="1"/>
      <protection locked="0"/>
    </xf>
    <xf numFmtId="0" fontId="26" fillId="0" borderId="0" xfId="0" applyFont="1" applyAlignment="1" applyProtection="1">
      <alignment vertical="top"/>
      <protection locked="0"/>
    </xf>
    <xf numFmtId="0" fontId="10" fillId="0" borderId="1" xfId="0" applyFont="1" applyBorder="1" applyAlignment="1">
      <alignment vertical="top"/>
    </xf>
    <xf numFmtId="0" fontId="10" fillId="0" borderId="1" xfId="0" applyFont="1" applyBorder="1" applyAlignment="1">
      <alignment vertical="top" wrapText="1"/>
    </xf>
    <xf numFmtId="0" fontId="10" fillId="2" borderId="0" xfId="0" applyFont="1" applyFill="1" applyAlignment="1" applyProtection="1">
      <alignment vertical="top" wrapText="1"/>
      <protection locked="0"/>
    </xf>
    <xf numFmtId="0" fontId="12" fillId="0" borderId="0" xfId="0" applyFont="1" applyAlignment="1" applyProtection="1">
      <alignment vertical="top"/>
      <protection locked="0"/>
    </xf>
    <xf numFmtId="0" fontId="10"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2" fillId="0" borderId="0" xfId="0" applyFont="1" applyAlignment="1">
      <alignment vertical="top" wrapText="1"/>
    </xf>
    <xf numFmtId="0" fontId="14" fillId="2" borderId="0" xfId="0" applyFont="1" applyFill="1" applyAlignment="1" applyProtection="1">
      <alignment vertical="top"/>
      <protection locked="0"/>
    </xf>
    <xf numFmtId="0" fontId="12" fillId="2" borderId="0" xfId="0" applyFont="1" applyFill="1" applyAlignment="1" applyProtection="1">
      <alignment vertical="top"/>
      <protection locked="0"/>
    </xf>
    <xf numFmtId="0" fontId="12" fillId="0" borderId="0" xfId="0" applyFont="1" applyAlignment="1">
      <alignment vertical="top"/>
    </xf>
    <xf numFmtId="164" fontId="10" fillId="0" borderId="0" xfId="0" applyNumberFormat="1" applyFont="1" applyAlignment="1" applyProtection="1">
      <alignment vertical="top"/>
      <protection locked="0"/>
    </xf>
    <xf numFmtId="9" fontId="10" fillId="0" borderId="0" xfId="0" applyNumberFormat="1" applyFont="1" applyAlignment="1" applyProtection="1">
      <alignment vertical="top"/>
      <protection locked="0"/>
    </xf>
    <xf numFmtId="0" fontId="16" fillId="2" borderId="0" xfId="0" applyFont="1" applyFill="1" applyAlignment="1" applyProtection="1">
      <alignment vertical="top" wrapText="1"/>
      <protection locked="0"/>
    </xf>
    <xf numFmtId="0" fontId="16"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8" fillId="0" borderId="0" xfId="0" applyFont="1" applyAlignment="1">
      <alignment horizontal="center" vertical="center"/>
    </xf>
    <xf numFmtId="0" fontId="8" fillId="0" borderId="0" xfId="0" applyFont="1" applyAlignment="1">
      <alignment horizontal="center" vertical="center" wrapText="1"/>
    </xf>
    <xf numFmtId="0" fontId="8" fillId="2" borderId="0" xfId="0" applyFont="1" applyFill="1" applyAlignment="1" applyProtection="1">
      <alignment horizontal="center" vertical="center" wrapText="1"/>
      <protection locked="0"/>
    </xf>
    <xf numFmtId="0" fontId="8" fillId="2" borderId="0" xfId="0" applyFont="1" applyFill="1" applyAlignment="1" applyProtection="1">
      <alignment horizontal="center" vertical="center"/>
      <protection locked="0"/>
    </xf>
    <xf numFmtId="0" fontId="8" fillId="0" borderId="0" xfId="0" applyFont="1" applyAlignment="1" applyProtection="1">
      <alignment horizontal="center" vertical="center"/>
      <protection locked="0"/>
    </xf>
    <xf numFmtId="0" fontId="22" fillId="0" borderId="0" xfId="0" applyFont="1" applyAlignment="1" applyProtection="1">
      <alignment horizontal="center" vertical="center"/>
      <protection locked="0"/>
    </xf>
    <xf numFmtId="0" fontId="0" fillId="0" borderId="0" xfId="0" applyAlignment="1">
      <alignment vertical="center"/>
    </xf>
    <xf numFmtId="0" fontId="11" fillId="0" borderId="0" xfId="0" applyFont="1" applyAlignment="1" applyProtection="1">
      <alignment vertical="center"/>
      <protection locked="0"/>
    </xf>
    <xf numFmtId="0" fontId="10" fillId="0" borderId="0" xfId="0" applyFont="1" applyAlignment="1">
      <alignment vertical="center"/>
    </xf>
    <xf numFmtId="0" fontId="11" fillId="0" borderId="1" xfId="0" applyFont="1" applyBorder="1" applyAlignment="1" applyProtection="1">
      <alignment vertical="center"/>
      <protection locked="0"/>
    </xf>
    <xf numFmtId="0" fontId="10" fillId="0" borderId="1" xfId="0" applyFont="1" applyBorder="1" applyAlignment="1" applyProtection="1">
      <alignment vertical="center"/>
      <protection locked="0"/>
    </xf>
    <xf numFmtId="0" fontId="8" fillId="0" borderId="0" xfId="0" applyFont="1" applyAlignment="1">
      <alignment vertical="center"/>
    </xf>
    <xf numFmtId="0" fontId="8" fillId="0" borderId="0" xfId="0" applyFont="1" applyAlignment="1" applyProtection="1">
      <alignment vertical="center"/>
      <protection locked="0"/>
    </xf>
    <xf numFmtId="0" fontId="0" fillId="0" borderId="0" xfId="0" applyAlignment="1" applyProtection="1">
      <alignment vertical="center"/>
      <protection locked="0"/>
    </xf>
    <xf numFmtId="0" fontId="26" fillId="0" borderId="0" xfId="0" applyFont="1" applyAlignment="1" applyProtection="1">
      <alignment vertical="center"/>
      <protection locked="0"/>
    </xf>
    <xf numFmtId="0" fontId="26" fillId="0" borderId="0" xfId="0" applyFont="1" applyAlignment="1">
      <alignment vertical="center"/>
    </xf>
    <xf numFmtId="0" fontId="11" fillId="0" borderId="0" xfId="0" applyFont="1" applyAlignment="1">
      <alignment vertical="center"/>
    </xf>
    <xf numFmtId="0" fontId="10" fillId="0" borderId="1" xfId="0" applyFont="1" applyBorder="1" applyAlignment="1">
      <alignment vertical="center"/>
    </xf>
    <xf numFmtId="0" fontId="10" fillId="0" borderId="0" xfId="0" applyFont="1" applyAlignment="1" applyProtection="1">
      <alignment vertical="center"/>
      <protection locked="0"/>
    </xf>
    <xf numFmtId="0" fontId="0" fillId="0" borderId="1" xfId="0" applyBorder="1" applyAlignment="1">
      <alignment vertical="center"/>
    </xf>
    <xf numFmtId="0" fontId="22" fillId="0" borderId="0" xfId="0" applyFont="1" applyAlignment="1">
      <alignment vertical="center"/>
    </xf>
    <xf numFmtId="0" fontId="14" fillId="0" borderId="0" xfId="0" applyFont="1" applyAlignment="1" applyProtection="1">
      <alignment vertical="center"/>
      <protection locked="0"/>
    </xf>
    <xf numFmtId="0" fontId="11" fillId="0" borderId="0" xfId="0" applyFont="1" applyAlignment="1" applyProtection="1">
      <alignment vertical="center" wrapText="1"/>
      <protection locked="0"/>
    </xf>
    <xf numFmtId="0" fontId="7" fillId="0" borderId="0" xfId="0" applyFont="1" applyAlignment="1">
      <alignment vertical="center"/>
    </xf>
    <xf numFmtId="0" fontId="17" fillId="0" borderId="5" xfId="10" applyFont="1" applyBorder="1" applyAlignment="1">
      <alignment horizontal="left" vertical="center" wrapText="1"/>
    </xf>
    <xf numFmtId="0" fontId="17" fillId="0" borderId="8" xfId="10" applyFont="1" applyBorder="1" applyAlignment="1">
      <alignment horizontal="left" vertical="center"/>
    </xf>
    <xf numFmtId="0" fontId="18" fillId="0" borderId="19" xfId="5" applyFont="1" applyBorder="1" applyAlignment="1">
      <alignment vertical="center" wrapText="1"/>
    </xf>
    <xf numFmtId="0" fontId="4" fillId="5" borderId="24" xfId="10" applyFont="1" applyFill="1" applyBorder="1" applyAlignment="1">
      <alignment horizontal="center" vertical="center"/>
    </xf>
    <xf numFmtId="0" fontId="18" fillId="0" borderId="22" xfId="10" applyFont="1" applyBorder="1" applyAlignment="1">
      <alignment horizontal="center" vertical="center" wrapText="1"/>
    </xf>
    <xf numFmtId="0" fontId="0" fillId="0" borderId="2" xfId="0" applyBorder="1"/>
    <xf numFmtId="0" fontId="10"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8" fillId="0" borderId="7" xfId="0" applyFont="1" applyBorder="1" applyAlignment="1">
      <alignment horizontal="center" vertical="center" wrapText="1"/>
    </xf>
    <xf numFmtId="0" fontId="22" fillId="0" borderId="7" xfId="0" applyFont="1" applyBorder="1" applyAlignment="1">
      <alignment horizontal="center" vertical="center"/>
    </xf>
    <xf numFmtId="0" fontId="22" fillId="0" borderId="7" xfId="0" applyFont="1" applyBorder="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wrapText="1"/>
    </xf>
    <xf numFmtId="0" fontId="22" fillId="0" borderId="7" xfId="0" applyFont="1" applyBorder="1" applyAlignment="1">
      <alignment wrapText="1"/>
    </xf>
    <xf numFmtId="0" fontId="10"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0"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9" fillId="0" borderId="0" xfId="0" applyFont="1" applyAlignment="1">
      <alignment vertical="center"/>
    </xf>
    <xf numFmtId="0" fontId="29" fillId="0" borderId="0" xfId="0" applyFont="1" applyAlignment="1">
      <alignment vertical="top"/>
    </xf>
    <xf numFmtId="0" fontId="29" fillId="0" borderId="0" xfId="0" applyFont="1" applyAlignment="1">
      <alignment vertical="top" wrapText="1"/>
    </xf>
    <xf numFmtId="0" fontId="29" fillId="0" borderId="0" xfId="0" applyFont="1" applyAlignment="1" applyProtection="1">
      <alignment vertical="top"/>
      <protection locked="0"/>
    </xf>
    <xf numFmtId="0" fontId="29" fillId="2" borderId="0" xfId="0" applyFont="1" applyFill="1" applyAlignment="1" applyProtection="1">
      <alignment vertical="top" wrapText="1"/>
      <protection locked="0"/>
    </xf>
    <xf numFmtId="0" fontId="29" fillId="2" borderId="0" xfId="0" applyFont="1" applyFill="1" applyAlignment="1" applyProtection="1">
      <alignment vertical="top"/>
      <protection locked="0"/>
    </xf>
    <xf numFmtId="0" fontId="23" fillId="0" borderId="0" xfId="0" applyFont="1" applyAlignment="1" applyProtection="1">
      <alignment vertical="top" wrapText="1"/>
      <protection locked="0"/>
    </xf>
    <xf numFmtId="9" fontId="11" fillId="0" borderId="0" xfId="0" applyNumberFormat="1" applyFont="1" applyAlignment="1" applyProtection="1">
      <alignment vertical="top"/>
      <protection locked="0"/>
    </xf>
    <xf numFmtId="0" fontId="16" fillId="0" borderId="0" xfId="0" applyFont="1" applyAlignment="1" applyProtection="1">
      <alignment vertical="top"/>
      <protection locked="0"/>
    </xf>
    <xf numFmtId="0" fontId="16" fillId="0" borderId="0" xfId="0" applyFont="1" applyAlignment="1" applyProtection="1">
      <alignment vertical="center"/>
      <protection locked="0"/>
    </xf>
    <xf numFmtId="9" fontId="10" fillId="0" borderId="0" xfId="7" applyFont="1" applyAlignment="1" applyProtection="1">
      <alignment vertical="top"/>
      <protection locked="0"/>
    </xf>
    <xf numFmtId="165" fontId="10" fillId="0" borderId="0" xfId="0" applyNumberFormat="1" applyFont="1" applyAlignment="1" applyProtection="1">
      <alignment vertical="top"/>
      <protection locked="0"/>
    </xf>
    <xf numFmtId="165" fontId="10" fillId="0" borderId="0" xfId="0" applyNumberFormat="1" applyFont="1" applyAlignment="1" applyProtection="1">
      <alignment vertical="top" wrapText="1"/>
      <protection locked="0"/>
    </xf>
    <xf numFmtId="9" fontId="10" fillId="0" borderId="0" xfId="7" applyFont="1" applyAlignment="1" applyProtection="1">
      <alignment vertical="top" wrapText="1"/>
      <protection locked="0"/>
    </xf>
    <xf numFmtId="165" fontId="11" fillId="0" borderId="0" xfId="0" applyNumberFormat="1" applyFont="1" applyAlignment="1" applyProtection="1">
      <alignment vertical="top"/>
      <protection locked="0"/>
    </xf>
    <xf numFmtId="9" fontId="11" fillId="0" borderId="0" xfId="7" applyFont="1" applyAlignment="1" applyProtection="1">
      <alignment vertical="top"/>
      <protection locked="0"/>
    </xf>
    <xf numFmtId="9" fontId="22" fillId="0" borderId="17" xfId="7" applyFont="1" applyBorder="1" applyAlignment="1" applyProtection="1">
      <alignment vertical="top"/>
      <protection locked="0"/>
    </xf>
    <xf numFmtId="0" fontId="22" fillId="0" borderId="18" xfId="0" applyFont="1" applyBorder="1" applyAlignment="1" applyProtection="1">
      <alignment vertical="top"/>
      <protection locked="0"/>
    </xf>
    <xf numFmtId="0" fontId="22" fillId="2" borderId="0" xfId="0" applyFont="1" applyFill="1" applyAlignment="1" applyProtection="1">
      <alignment vertical="top" wrapText="1"/>
      <protection locked="0"/>
    </xf>
    <xf numFmtId="0" fontId="22" fillId="2" borderId="0" xfId="0" applyFont="1" applyFill="1" applyAlignment="1" applyProtection="1">
      <alignment vertical="top"/>
      <protection locked="0"/>
    </xf>
    <xf numFmtId="49" fontId="29" fillId="0" borderId="0" xfId="0" applyNumberFormat="1" applyFont="1" applyAlignment="1">
      <alignment horizontal="left" vertical="top" wrapText="1"/>
    </xf>
    <xf numFmtId="164" fontId="4" fillId="2" borderId="16" xfId="10" applyNumberFormat="1" applyFont="1" applyFill="1" applyBorder="1" applyAlignment="1">
      <alignment horizontal="center" vertical="center"/>
    </xf>
    <xf numFmtId="164" fontId="4" fillId="2" borderId="7" xfId="10" applyNumberFormat="1" applyFont="1" applyFill="1" applyBorder="1" applyAlignment="1">
      <alignment horizontal="center" vertical="center"/>
    </xf>
    <xf numFmtId="164" fontId="4" fillId="2" borderId="4" xfId="10" applyNumberFormat="1" applyFont="1" applyFill="1" applyBorder="1" applyAlignment="1">
      <alignment horizontal="center" vertical="center"/>
    </xf>
    <xf numFmtId="1" fontId="27" fillId="2" borderId="7" xfId="5" applyNumberFormat="1" applyFont="1" applyFill="1" applyBorder="1" applyAlignment="1" applyProtection="1">
      <alignment horizontal="center" vertical="center"/>
      <protection locked="0"/>
    </xf>
    <xf numFmtId="0" fontId="25" fillId="0" borderId="0" xfId="0" applyFont="1" applyProtection="1">
      <protection locked="0"/>
    </xf>
    <xf numFmtId="49" fontId="29" fillId="0" borderId="0" xfId="0" applyNumberFormat="1" applyFont="1" applyAlignment="1" applyProtection="1">
      <alignment horizontal="left" vertical="top" wrapText="1"/>
      <protection locked="0"/>
    </xf>
    <xf numFmtId="0" fontId="29" fillId="0" borderId="0" xfId="0" applyFont="1" applyAlignment="1" applyProtection="1">
      <alignment vertical="center"/>
      <protection locked="0"/>
    </xf>
    <xf numFmtId="0" fontId="18" fillId="0" borderId="16" xfId="5" applyFont="1" applyBorder="1" applyAlignment="1">
      <alignment vertical="center" wrapText="1"/>
    </xf>
    <xf numFmtId="0" fontId="17" fillId="0" borderId="9" xfId="5" applyFont="1" applyBorder="1" applyAlignment="1">
      <alignment vertical="center" wrapText="1"/>
    </xf>
    <xf numFmtId="0" fontId="17" fillId="0" borderId="7" xfId="5" applyFont="1" applyBorder="1" applyAlignment="1">
      <alignment vertical="center" wrapText="1"/>
    </xf>
    <xf numFmtId="0" fontId="18"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1" fillId="0" borderId="7" xfId="6" applyFont="1" applyFill="1" applyBorder="1" applyAlignment="1">
      <alignment horizontal="center" vertical="center"/>
    </xf>
    <xf numFmtId="0" fontId="10" fillId="0" borderId="0" xfId="0" applyFont="1" applyAlignment="1" applyProtection="1">
      <alignment horizontal="right" vertical="top"/>
      <protection locked="0"/>
    </xf>
    <xf numFmtId="165" fontId="10" fillId="0" borderId="0" xfId="0" applyNumberFormat="1" applyFont="1" applyAlignment="1" applyProtection="1">
      <alignment horizontal="right" vertical="top"/>
      <protection locked="0"/>
    </xf>
    <xf numFmtId="165" fontId="10" fillId="0" borderId="0" xfId="0" applyNumberFormat="1" applyFont="1" applyAlignment="1">
      <alignment horizontal="right" vertical="top"/>
    </xf>
    <xf numFmtId="0" fontId="22" fillId="0" borderId="17" xfId="0" applyFont="1" applyBorder="1" applyAlignment="1" applyProtection="1">
      <alignment horizontal="right" vertical="top"/>
      <protection locked="0"/>
    </xf>
    <xf numFmtId="165" fontId="10" fillId="0" borderId="0" xfId="0" applyNumberFormat="1" applyFont="1" applyAlignment="1" applyProtection="1">
      <alignment horizontal="right" vertical="top" wrapText="1"/>
      <protection locked="0"/>
    </xf>
    <xf numFmtId="165" fontId="11" fillId="0" borderId="0" xfId="0" applyNumberFormat="1" applyFont="1" applyAlignment="1" applyProtection="1">
      <alignment horizontal="right" vertical="top"/>
      <protection locked="0"/>
    </xf>
    <xf numFmtId="0" fontId="8" fillId="0" borderId="33" xfId="0" applyFont="1" applyBorder="1" applyAlignment="1" applyProtection="1">
      <alignment horizontal="center" vertical="center" wrapText="1"/>
      <protection locked="0"/>
    </xf>
    <xf numFmtId="0" fontId="22" fillId="6" borderId="12" xfId="0" applyFont="1" applyFill="1" applyBorder="1" applyAlignment="1" applyProtection="1">
      <alignment horizontal="center" vertical="center" wrapText="1"/>
      <protection locked="0"/>
    </xf>
    <xf numFmtId="9" fontId="22" fillId="6" borderId="11" xfId="7" applyFont="1" applyFill="1" applyBorder="1" applyAlignment="1" applyProtection="1">
      <alignment horizontal="center" vertical="center" wrapText="1"/>
      <protection locked="0"/>
    </xf>
    <xf numFmtId="0" fontId="22" fillId="6" borderId="11" xfId="0" applyFont="1" applyFill="1" applyBorder="1" applyAlignment="1" applyProtection="1">
      <alignment horizontal="center" vertical="center" wrapText="1"/>
      <protection locked="0"/>
    </xf>
    <xf numFmtId="0" fontId="21" fillId="0" borderId="20" xfId="0" applyFont="1" applyBorder="1" applyProtection="1">
      <protection locked="0"/>
    </xf>
    <xf numFmtId="0" fontId="0" fillId="0" borderId="17" xfId="0" applyBorder="1" applyAlignment="1" applyProtection="1">
      <alignment vertical="top"/>
      <protection locked="0"/>
    </xf>
    <xf numFmtId="0" fontId="5" fillId="0" borderId="6" xfId="5" applyFont="1" applyBorder="1"/>
    <xf numFmtId="0" fontId="17" fillId="0" borderId="8" xfId="5" applyFont="1" applyBorder="1" applyAlignment="1">
      <alignment vertical="center"/>
    </xf>
    <xf numFmtId="0" fontId="17" fillId="0" borderId="19" xfId="5" applyFont="1" applyBorder="1" applyAlignment="1">
      <alignment horizontal="left" vertical="center" wrapText="1"/>
    </xf>
    <xf numFmtId="0" fontId="5" fillId="0" borderId="23" xfId="5" applyFont="1" applyBorder="1"/>
    <xf numFmtId="0" fontId="5" fillId="0" borderId="2" xfId="5" applyFont="1" applyBorder="1"/>
    <xf numFmtId="0" fontId="11" fillId="3" borderId="0" xfId="0" applyFont="1" applyFill="1" applyProtection="1">
      <protection locked="0"/>
    </xf>
    <xf numFmtId="0" fontId="23" fillId="0" borderId="0" xfId="0" applyFont="1" applyProtection="1">
      <protection locked="0"/>
    </xf>
    <xf numFmtId="0" fontId="0" fillId="3" borderId="0" xfId="0" applyFill="1" applyProtection="1">
      <protection locked="0"/>
    </xf>
    <xf numFmtId="0" fontId="18" fillId="0" borderId="28" xfId="5" applyFont="1" applyBorder="1" applyAlignment="1">
      <alignment horizontal="center" vertical="center" wrapText="1"/>
    </xf>
    <xf numFmtId="0" fontId="17" fillId="0" borderId="44" xfId="5" applyFont="1" applyBorder="1" applyAlignment="1">
      <alignment vertical="center"/>
    </xf>
    <xf numFmtId="0" fontId="17" fillId="0" borderId="34" xfId="5" applyFont="1" applyBorder="1" applyAlignment="1">
      <alignment vertical="center"/>
    </xf>
    <xf numFmtId="165" fontId="10" fillId="7" borderId="0" xfId="0" applyNumberFormat="1" applyFont="1" applyFill="1" applyAlignment="1" applyProtection="1">
      <alignment horizontal="right" vertical="top"/>
      <protection locked="0"/>
    </xf>
    <xf numFmtId="9" fontId="10" fillId="7" borderId="0" xfId="7" applyFont="1" applyFill="1" applyAlignment="1" applyProtection="1">
      <alignment vertical="top"/>
      <protection locked="0"/>
    </xf>
    <xf numFmtId="165" fontId="10" fillId="7" borderId="0" xfId="0" applyNumberFormat="1" applyFont="1" applyFill="1" applyAlignment="1" applyProtection="1">
      <alignment vertical="top"/>
      <protection locked="0"/>
    </xf>
    <xf numFmtId="9" fontId="10" fillId="0" borderId="0" xfId="7" applyFont="1" applyAlignment="1">
      <alignment vertical="top"/>
    </xf>
    <xf numFmtId="165" fontId="10" fillId="0" borderId="0" xfId="0" applyNumberFormat="1" applyFont="1" applyAlignment="1">
      <alignment vertical="top"/>
    </xf>
    <xf numFmtId="0" fontId="10" fillId="0" borderId="0" xfId="3" applyFont="1" applyAlignment="1">
      <alignment horizontal="left" vertical="top" wrapText="1"/>
    </xf>
    <xf numFmtId="0" fontId="10" fillId="0" borderId="0" xfId="0" applyFont="1" applyAlignment="1">
      <alignment horizontal="left" vertical="top" wrapText="1"/>
    </xf>
    <xf numFmtId="0" fontId="10"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10" fillId="0" borderId="0" xfId="2" applyFont="1" applyAlignment="1">
      <alignment vertical="top" wrapText="1"/>
    </xf>
    <xf numFmtId="0" fontId="10" fillId="0" borderId="0" xfId="3" applyFont="1" applyAlignment="1" applyProtection="1">
      <alignment horizontal="left" vertical="top" wrapText="1"/>
      <protection locked="0"/>
    </xf>
    <xf numFmtId="0" fontId="11" fillId="0" borderId="0" xfId="3" applyFont="1" applyAlignment="1" applyProtection="1">
      <alignment horizontal="left" vertical="top"/>
      <protection locked="0"/>
    </xf>
    <xf numFmtId="0" fontId="10" fillId="0" borderId="0" xfId="2" applyFont="1" applyAlignment="1" applyProtection="1">
      <alignment vertical="top" wrapText="1"/>
      <protection locked="0"/>
    </xf>
    <xf numFmtId="0" fontId="8" fillId="0" borderId="0" xfId="0" applyFont="1" applyAlignment="1">
      <alignment wrapText="1"/>
    </xf>
    <xf numFmtId="0" fontId="10" fillId="0" borderId="0" xfId="0" applyFont="1" applyAlignment="1">
      <alignment horizontal="left" vertical="top"/>
    </xf>
    <xf numFmtId="0" fontId="0" fillId="0" borderId="1" xfId="0" applyBorder="1" applyAlignment="1" applyProtection="1">
      <alignment vertical="top"/>
      <protection locked="0"/>
    </xf>
    <xf numFmtId="0" fontId="10"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10" fillId="0" borderId="0" xfId="2" applyFont="1" applyAlignment="1">
      <alignment horizontal="left" vertical="center" wrapText="1"/>
    </xf>
    <xf numFmtId="0" fontId="11" fillId="0" borderId="0" xfId="0" applyFont="1" applyAlignment="1" applyProtection="1">
      <alignment horizontal="left" vertical="center" wrapText="1"/>
      <protection locked="0"/>
    </xf>
    <xf numFmtId="0" fontId="10" fillId="0" borderId="0" xfId="2" applyFont="1" applyAlignment="1">
      <alignment vertical="center" wrapText="1"/>
    </xf>
    <xf numFmtId="0" fontId="10"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11" fillId="0" borderId="0" xfId="3" applyFont="1" applyAlignment="1" applyProtection="1">
      <alignment horizontal="left" vertical="center" wrapText="1"/>
      <protection locked="0"/>
    </xf>
    <xf numFmtId="0" fontId="11" fillId="0" borderId="0" xfId="2" applyFont="1" applyAlignment="1" applyProtection="1">
      <alignment horizontal="left" vertical="center" wrapText="1"/>
      <protection locked="0"/>
    </xf>
    <xf numFmtId="0" fontId="11" fillId="0" borderId="0" xfId="2" applyFont="1" applyAlignment="1" applyProtection="1">
      <alignment vertical="center" wrapText="1"/>
      <protection locked="0"/>
    </xf>
    <xf numFmtId="0" fontId="0" fillId="0" borderId="0" xfId="2" applyFont="1" applyAlignment="1" applyProtection="1">
      <alignment vertical="center" wrapText="1"/>
      <protection locked="0"/>
    </xf>
    <xf numFmtId="0" fontId="0" fillId="0" borderId="0" xfId="0" applyAlignment="1">
      <alignment wrapText="1"/>
    </xf>
    <xf numFmtId="0" fontId="19" fillId="0" borderId="45" xfId="10" applyFont="1" applyBorder="1" applyAlignment="1">
      <alignment horizontal="center" vertical="center"/>
    </xf>
    <xf numFmtId="0" fontId="4" fillId="5" borderId="47" xfId="10" applyFont="1" applyFill="1" applyBorder="1" applyAlignment="1">
      <alignment horizontal="center" vertical="center"/>
    </xf>
    <xf numFmtId="0" fontId="19" fillId="0" borderId="48" xfId="10" applyFont="1" applyBorder="1" applyAlignment="1">
      <alignment horizontal="center" vertical="center"/>
    </xf>
    <xf numFmtId="0" fontId="18" fillId="0" borderId="49" xfId="5" applyFont="1" applyBorder="1" applyAlignment="1">
      <alignment vertical="center" wrapText="1"/>
    </xf>
    <xf numFmtId="0" fontId="18" fillId="0" borderId="37" xfId="17" applyFont="1" applyBorder="1" applyAlignment="1">
      <alignment vertical="center" wrapText="1"/>
    </xf>
    <xf numFmtId="0" fontId="18" fillId="0" borderId="50" xfId="17" applyFont="1" applyBorder="1" applyAlignment="1">
      <alignment vertical="center" wrapText="1"/>
    </xf>
    <xf numFmtId="0" fontId="18" fillId="0" borderId="37" xfId="10" applyFont="1" applyBorder="1" applyAlignment="1">
      <alignment vertical="center" wrapText="1"/>
    </xf>
    <xf numFmtId="0" fontId="18" fillId="0" borderId="51" xfId="10" applyFont="1" applyBorder="1" applyAlignment="1">
      <alignment vertical="center" wrapText="1"/>
    </xf>
    <xf numFmtId="0" fontId="18" fillId="5" borderId="50" xfId="10" applyFont="1" applyFill="1" applyBorder="1" applyAlignment="1">
      <alignment vertical="center" wrapText="1"/>
    </xf>
    <xf numFmtId="0" fontId="28" fillId="0" borderId="52" xfId="10" applyFont="1" applyBorder="1" applyAlignment="1">
      <alignment vertical="center" wrapText="1"/>
    </xf>
    <xf numFmtId="0" fontId="28" fillId="0" borderId="53" xfId="10" applyFont="1" applyBorder="1" applyAlignment="1">
      <alignment vertical="center" wrapText="1"/>
    </xf>
    <xf numFmtId="0" fontId="28" fillId="0" borderId="51" xfId="10" applyFont="1" applyBorder="1" applyAlignment="1">
      <alignment vertical="center" wrapText="1"/>
    </xf>
    <xf numFmtId="0" fontId="3" fillId="0" borderId="13" xfId="17" applyFont="1" applyBorder="1"/>
    <xf numFmtId="0" fontId="3" fillId="0" borderId="3" xfId="17" applyFont="1" applyBorder="1"/>
    <xf numFmtId="0" fontId="3" fillId="0" borderId="2" xfId="17" applyFont="1" applyBorder="1"/>
    <xf numFmtId="0" fontId="19" fillId="0" borderId="48" xfId="17" applyFont="1" applyBorder="1" applyAlignment="1">
      <alignment horizontal="center" vertical="center"/>
    </xf>
    <xf numFmtId="0" fontId="9" fillId="0" borderId="54" xfId="17" applyFont="1" applyBorder="1" applyAlignment="1">
      <alignment horizontal="center" vertical="center"/>
    </xf>
    <xf numFmtId="0" fontId="9" fillId="0" borderId="55" xfId="17" applyFont="1" applyBorder="1" applyAlignment="1">
      <alignment horizontal="center" vertical="center"/>
    </xf>
    <xf numFmtId="0" fontId="17" fillId="0" borderId="38" xfId="17" applyFont="1" applyBorder="1" applyAlignment="1">
      <alignment horizontal="center" vertical="center" wrapText="1"/>
    </xf>
    <xf numFmtId="0" fontId="17" fillId="0" borderId="37" xfId="17" applyFont="1" applyBorder="1" applyAlignment="1">
      <alignment horizontal="center" vertical="center" wrapText="1"/>
    </xf>
    <xf numFmtId="0" fontId="18" fillId="0" borderId="37" xfId="17" applyFont="1" applyBorder="1" applyAlignment="1">
      <alignment horizontal="center" vertical="center" wrapText="1"/>
    </xf>
    <xf numFmtId="2" fontId="18" fillId="0" borderId="50" xfId="17" applyNumberFormat="1" applyFont="1" applyBorder="1" applyAlignment="1">
      <alignment horizontal="center" vertical="center" wrapText="1"/>
    </xf>
    <xf numFmtId="0" fontId="18" fillId="0" borderId="51" xfId="17" applyFont="1" applyBorder="1" applyAlignment="1">
      <alignment horizontal="center" vertical="center" wrapText="1"/>
    </xf>
    <xf numFmtId="0" fontId="18" fillId="5" borderId="50" xfId="17" applyFont="1" applyFill="1" applyBorder="1" applyAlignment="1">
      <alignment horizontal="center" vertical="center" wrapText="1"/>
    </xf>
    <xf numFmtId="0" fontId="17" fillId="0" borderId="56" xfId="5" applyFont="1" applyBorder="1" applyAlignment="1">
      <alignment vertical="center" wrapText="1"/>
    </xf>
    <xf numFmtId="0" fontId="18" fillId="0" borderId="57" xfId="5" applyFont="1" applyBorder="1" applyAlignment="1">
      <alignment vertical="center" wrapText="1"/>
    </xf>
    <xf numFmtId="0" fontId="3" fillId="5" borderId="58" xfId="17" applyFont="1" applyFill="1" applyBorder="1" applyAlignment="1">
      <alignment horizontal="center" vertical="center"/>
    </xf>
    <xf numFmtId="0" fontId="3" fillId="5" borderId="7" xfId="17" applyFont="1" applyFill="1" applyBorder="1" applyAlignment="1">
      <alignment horizontal="center" vertical="center"/>
    </xf>
    <xf numFmtId="0" fontId="3" fillId="0" borderId="7" xfId="17" applyFont="1" applyBorder="1" applyAlignment="1">
      <alignment horizontal="center" vertical="center"/>
    </xf>
    <xf numFmtId="0" fontId="3" fillId="3" borderId="7" xfId="17" applyFont="1" applyFill="1" applyBorder="1" applyAlignment="1" applyProtection="1">
      <alignment horizontal="center" vertical="center"/>
      <protection locked="0"/>
    </xf>
    <xf numFmtId="0" fontId="3" fillId="2" borderId="46" xfId="17" applyFont="1" applyFill="1" applyBorder="1" applyAlignment="1" applyProtection="1">
      <alignment horizontal="center" vertical="center"/>
      <protection locked="0"/>
    </xf>
    <xf numFmtId="4" fontId="3" fillId="5" borderId="4" xfId="17" applyNumberFormat="1" applyFont="1" applyFill="1" applyBorder="1" applyAlignment="1">
      <alignment horizontal="center" vertical="center"/>
    </xf>
    <xf numFmtId="164" fontId="18" fillId="0" borderId="52" xfId="7" applyNumberFormat="1" applyFont="1" applyBorder="1" applyAlignment="1">
      <alignment horizontal="center" vertical="center" wrapText="1"/>
    </xf>
    <xf numFmtId="164" fontId="18" fillId="0" borderId="41" xfId="7" applyNumberFormat="1" applyFont="1" applyBorder="1" applyAlignment="1">
      <alignment horizontal="center" vertical="center" wrapText="1"/>
    </xf>
    <xf numFmtId="164" fontId="18" fillId="0" borderId="53" xfId="7" applyNumberFormat="1" applyFont="1" applyBorder="1" applyAlignment="1">
      <alignment horizontal="center" vertical="center" wrapText="1"/>
    </xf>
    <xf numFmtId="164" fontId="18" fillId="0" borderId="21" xfId="7" applyNumberFormat="1" applyFont="1" applyBorder="1" applyAlignment="1">
      <alignment horizontal="center" vertical="center" wrapText="1"/>
    </xf>
    <xf numFmtId="164" fontId="18" fillId="0" borderId="51" xfId="7" applyNumberFormat="1" applyFont="1" applyBorder="1" applyAlignment="1">
      <alignment horizontal="center" vertical="center" wrapText="1"/>
    </xf>
    <xf numFmtId="164" fontId="18" fillId="0" borderId="22" xfId="7" applyNumberFormat="1" applyFont="1" applyBorder="1" applyAlignment="1">
      <alignment horizontal="center" vertical="center" wrapText="1"/>
    </xf>
    <xf numFmtId="0" fontId="32" fillId="0" borderId="32" xfId="10" applyFont="1" applyBorder="1" applyAlignment="1">
      <alignment horizontal="center" vertical="center" wrapText="1"/>
    </xf>
    <xf numFmtId="0" fontId="32" fillId="0" borderId="28" xfId="10" applyFont="1" applyBorder="1" applyAlignment="1">
      <alignment horizontal="center" vertical="center" wrapText="1"/>
    </xf>
    <xf numFmtId="0" fontId="33" fillId="0" borderId="36" xfId="5" applyFont="1" applyBorder="1" applyAlignment="1">
      <alignment horizontal="center" vertical="center" wrapText="1"/>
    </xf>
    <xf numFmtId="0" fontId="33" fillId="0" borderId="28" xfId="10" applyFont="1" applyBorder="1" applyAlignment="1">
      <alignment horizontal="center" vertical="center" wrapText="1"/>
    </xf>
    <xf numFmtId="0" fontId="33" fillId="0" borderId="28" xfId="5" applyFont="1" applyBorder="1" applyAlignment="1">
      <alignment horizontal="center" vertical="center" wrapText="1"/>
    </xf>
    <xf numFmtId="0" fontId="33" fillId="0" borderId="42" xfId="5" applyFont="1" applyBorder="1" applyAlignment="1">
      <alignment horizontal="center" vertical="center"/>
    </xf>
    <xf numFmtId="0" fontId="33" fillId="0" borderId="43" xfId="5" applyFont="1" applyBorder="1" applyAlignment="1">
      <alignment horizontal="center" vertical="center"/>
    </xf>
    <xf numFmtId="0" fontId="33" fillId="0" borderId="32" xfId="10" applyFont="1" applyBorder="1" applyAlignment="1">
      <alignment horizontal="center" vertical="center" wrapText="1"/>
    </xf>
    <xf numFmtId="0" fontId="11" fillId="0" borderId="0" xfId="0" applyFont="1" applyAlignment="1">
      <alignment vertical="top"/>
    </xf>
    <xf numFmtId="0" fontId="12" fillId="0" borderId="0" xfId="0" applyFont="1" applyAlignment="1">
      <alignment vertical="center"/>
    </xf>
    <xf numFmtId="0" fontId="8" fillId="7" borderId="0" xfId="0" applyFont="1" applyFill="1" applyAlignment="1" applyProtection="1">
      <alignment vertical="top"/>
      <protection locked="0"/>
    </xf>
    <xf numFmtId="0" fontId="8" fillId="7" borderId="0" xfId="0" applyFont="1" applyFill="1" applyAlignment="1" applyProtection="1">
      <alignment vertical="top" wrapText="1"/>
      <protection locked="0"/>
    </xf>
    <xf numFmtId="0" fontId="8" fillId="7" borderId="0" xfId="0" applyFont="1" applyFill="1" applyAlignment="1" applyProtection="1">
      <alignment wrapText="1"/>
      <protection locked="0"/>
    </xf>
    <xf numFmtId="0" fontId="8" fillId="7" borderId="0" xfId="0" applyFont="1" applyFill="1" applyAlignment="1" applyProtection="1">
      <alignment vertical="center"/>
      <protection locked="0"/>
    </xf>
    <xf numFmtId="0" fontId="0" fillId="7" borderId="0" xfId="0" applyFill="1" applyAlignment="1" applyProtection="1">
      <alignment vertical="top"/>
      <protection locked="0"/>
    </xf>
    <xf numFmtId="0" fontId="22" fillId="7" borderId="0" xfId="0" applyFont="1" applyFill="1" applyAlignment="1" applyProtection="1">
      <alignment vertical="top"/>
      <protection locked="0"/>
    </xf>
    <xf numFmtId="0" fontId="10" fillId="7" borderId="0" xfId="0" applyFont="1" applyFill="1" applyAlignment="1">
      <alignment vertical="top"/>
    </xf>
    <xf numFmtId="0" fontId="31" fillId="7" borderId="0" xfId="0" applyFont="1" applyFill="1" applyAlignment="1" applyProtection="1">
      <alignment vertical="top" wrapText="1"/>
      <protection locked="0"/>
    </xf>
    <xf numFmtId="0" fontId="31" fillId="7" borderId="0" xfId="0" applyFont="1" applyFill="1" applyAlignment="1" applyProtection="1">
      <alignment wrapText="1"/>
      <protection locked="0"/>
    </xf>
    <xf numFmtId="165" fontId="0" fillId="0" borderId="0" xfId="0" applyNumberFormat="1" applyAlignment="1" applyProtection="1">
      <alignment horizontal="right" vertical="top"/>
      <protection locked="0"/>
    </xf>
    <xf numFmtId="9" fontId="0" fillId="0" borderId="0" xfId="7" applyFont="1" applyAlignment="1" applyProtection="1">
      <alignment vertical="top"/>
      <protection locked="0"/>
    </xf>
    <xf numFmtId="165" fontId="0" fillId="0" borderId="0" xfId="0" applyNumberFormat="1" applyAlignment="1" applyProtection="1">
      <alignment vertical="top"/>
      <protection locked="0"/>
    </xf>
    <xf numFmtId="0" fontId="0" fillId="7" borderId="0" xfId="0" applyFill="1" applyAlignment="1" applyProtection="1">
      <alignment vertical="top" wrapText="1"/>
      <protection locked="0"/>
    </xf>
    <xf numFmtId="0" fontId="0" fillId="7" borderId="0" xfId="0" applyFill="1" applyAlignment="1" applyProtection="1">
      <alignment vertical="center"/>
      <protection locked="0"/>
    </xf>
    <xf numFmtId="165" fontId="0" fillId="7" borderId="0" xfId="0" applyNumberFormat="1" applyFill="1" applyAlignment="1" applyProtection="1">
      <alignment horizontal="right" vertical="top"/>
      <protection locked="0"/>
    </xf>
    <xf numFmtId="9" fontId="0" fillId="7" borderId="0" xfId="7" applyFont="1" applyFill="1" applyAlignment="1" applyProtection="1">
      <alignment vertical="top"/>
      <protection locked="0"/>
    </xf>
    <xf numFmtId="165" fontId="0" fillId="7" borderId="0" xfId="0" applyNumberFormat="1" applyFill="1" applyAlignment="1" applyProtection="1">
      <alignment vertical="top"/>
      <protection locked="0"/>
    </xf>
    <xf numFmtId="0" fontId="10" fillId="7" borderId="0" xfId="0" applyFont="1" applyFill="1" applyAlignment="1" applyProtection="1">
      <alignment vertical="top"/>
      <protection locked="0"/>
    </xf>
    <xf numFmtId="0" fontId="10" fillId="7" borderId="0" xfId="0" applyFont="1" applyFill="1" applyAlignment="1" applyProtection="1">
      <alignment vertical="top" wrapText="1"/>
      <protection locked="0"/>
    </xf>
    <xf numFmtId="0" fontId="0" fillId="7" borderId="0" xfId="0" applyFill="1" applyProtection="1">
      <protection locked="0"/>
    </xf>
    <xf numFmtId="0" fontId="0" fillId="7" borderId="0" xfId="0" applyFill="1" applyAlignment="1">
      <alignment vertical="center"/>
    </xf>
    <xf numFmtId="0" fontId="0" fillId="7" borderId="0" xfId="0" applyFill="1"/>
    <xf numFmtId="0" fontId="8" fillId="7" borderId="0" xfId="0" applyFont="1" applyFill="1"/>
    <xf numFmtId="0" fontId="10" fillId="7" borderId="0" xfId="0" applyFont="1" applyFill="1" applyAlignment="1">
      <alignment vertical="center"/>
    </xf>
    <xf numFmtId="0" fontId="10" fillId="7" borderId="0" xfId="0" applyFont="1" applyFill="1" applyAlignment="1" applyProtection="1">
      <alignment vertical="center"/>
      <protection locked="0"/>
    </xf>
    <xf numFmtId="0" fontId="10" fillId="7" borderId="0" xfId="2" applyFont="1" applyFill="1" applyAlignment="1" applyProtection="1">
      <alignment vertical="top" wrapText="1"/>
      <protection locked="0"/>
    </xf>
    <xf numFmtId="0" fontId="10" fillId="7" borderId="0" xfId="2" applyFont="1" applyFill="1" applyAlignment="1">
      <alignment vertical="top" wrapText="1"/>
    </xf>
    <xf numFmtId="0" fontId="10" fillId="7" borderId="0" xfId="0" applyFont="1" applyFill="1"/>
    <xf numFmtId="9" fontId="0" fillId="0" borderId="0" xfId="0" applyNumberFormat="1" applyAlignment="1" applyProtection="1">
      <alignment vertical="top"/>
      <protection locked="0"/>
    </xf>
    <xf numFmtId="0" fontId="10" fillId="7" borderId="0" xfId="0" applyFont="1" applyFill="1" applyAlignment="1">
      <alignment vertical="top" wrapText="1"/>
    </xf>
    <xf numFmtId="9" fontId="10" fillId="7" borderId="0" xfId="0" applyNumberFormat="1" applyFont="1" applyFill="1" applyAlignment="1" applyProtection="1">
      <alignment vertical="top"/>
      <protection locked="0"/>
    </xf>
    <xf numFmtId="0" fontId="10" fillId="7" borderId="0" xfId="0" applyFont="1" applyFill="1" applyAlignment="1" applyProtection="1">
      <alignment wrapText="1"/>
      <protection locked="0"/>
    </xf>
    <xf numFmtId="0" fontId="17" fillId="7" borderId="0" xfId="0" applyFont="1" applyFill="1" applyAlignment="1">
      <alignment horizontal="left" vertical="center"/>
    </xf>
    <xf numFmtId="0" fontId="0" fillId="0" borderId="0" xfId="0" applyAlignment="1" applyProtection="1">
      <alignment horizontal="left" vertical="top" wrapText="1"/>
      <protection locked="0"/>
    </xf>
    <xf numFmtId="0" fontId="0" fillId="0" borderId="0" xfId="2" applyFont="1" applyAlignment="1" applyProtection="1">
      <alignment vertical="top" wrapText="1"/>
      <protection locked="0"/>
    </xf>
    <xf numFmtId="0" fontId="0" fillId="0" borderId="0" xfId="2" applyFont="1" applyAlignment="1" applyProtection="1">
      <alignment horizontal="left" vertical="top" wrapText="1"/>
      <protection locked="0"/>
    </xf>
    <xf numFmtId="49" fontId="2" fillId="3" borderId="16" xfId="5" applyNumberFormat="1" applyFont="1" applyFill="1" applyBorder="1" applyAlignment="1" applyProtection="1">
      <alignment horizontal="center" vertical="center"/>
      <protection locked="0"/>
    </xf>
    <xf numFmtId="0" fontId="2" fillId="3" borderId="7" xfId="10" applyFont="1" applyFill="1" applyBorder="1" applyAlignment="1" applyProtection="1">
      <alignment horizontal="center" vertical="center"/>
      <protection locked="0"/>
    </xf>
    <xf numFmtId="0" fontId="2" fillId="3" borderId="9" xfId="10" applyFont="1" applyFill="1" applyBorder="1" applyAlignment="1" applyProtection="1">
      <alignment horizontal="center" vertical="center"/>
      <protection locked="0"/>
    </xf>
    <xf numFmtId="0" fontId="27" fillId="8" borderId="4" xfId="10" applyFont="1" applyFill="1" applyBorder="1" applyAlignment="1" applyProtection="1">
      <alignment horizontal="center" vertical="center"/>
      <protection locked="0"/>
    </xf>
    <xf numFmtId="0" fontId="35" fillId="7" borderId="0" xfId="0" applyFont="1" applyFill="1" applyAlignment="1" applyProtection="1">
      <alignment wrapText="1"/>
      <protection locked="0"/>
    </xf>
    <xf numFmtId="0" fontId="35" fillId="7" borderId="0" xfId="0" applyFont="1" applyFill="1" applyAlignment="1" applyProtection="1">
      <alignment vertical="top" wrapText="1"/>
      <protection locked="0"/>
    </xf>
    <xf numFmtId="0" fontId="1" fillId="7" borderId="0" xfId="0" applyFont="1" applyFill="1" applyProtection="1">
      <protection locked="0"/>
    </xf>
    <xf numFmtId="0" fontId="36" fillId="7" borderId="0" xfId="0" applyFont="1" applyFill="1" applyProtection="1">
      <protection locked="0"/>
    </xf>
    <xf numFmtId="0" fontId="0" fillId="7" borderId="0" xfId="0" applyFill="1" applyAlignment="1">
      <alignment horizontal="left" vertical="center" wrapText="1"/>
    </xf>
    <xf numFmtId="0" fontId="34" fillId="7" borderId="0" xfId="0" applyFont="1" applyFill="1" applyProtection="1">
      <protection locked="0"/>
    </xf>
    <xf numFmtId="0" fontId="2" fillId="0" borderId="2" xfId="10" applyFont="1" applyBorder="1"/>
    <xf numFmtId="0" fontId="2" fillId="3" borderId="7" xfId="5"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164" fontId="2" fillId="5" borderId="7" xfId="7" applyNumberFormat="1" applyFont="1" applyFill="1" applyBorder="1" applyAlignment="1">
      <alignment horizontal="center" vertical="center"/>
    </xf>
    <xf numFmtId="0" fontId="17" fillId="7" borderId="0" xfId="0" applyFont="1" applyFill="1" applyAlignment="1" applyProtection="1">
      <alignment horizontal="left" vertical="center"/>
      <protection locked="0"/>
    </xf>
    <xf numFmtId="0" fontId="4" fillId="0" borderId="29" xfId="10" applyFont="1" applyBorder="1" applyAlignment="1">
      <alignment horizontal="center" vertical="top" textRotation="90" wrapText="1"/>
    </xf>
    <xf numFmtId="0" fontId="0" fillId="0" borderId="27" xfId="0" applyBorder="1"/>
    <xf numFmtId="0" fontId="0" fillId="0" borderId="29" xfId="0" applyBorder="1"/>
    <xf numFmtId="0" fontId="4" fillId="0" borderId="33" xfId="10" applyFont="1" applyBorder="1" applyAlignment="1">
      <alignment horizontal="center" vertical="top" textRotation="90"/>
    </xf>
    <xf numFmtId="0" fontId="4" fillId="0" borderId="33" xfId="10" applyFont="1" applyBorder="1" applyAlignment="1">
      <alignment horizontal="center" vertical="top" textRotation="90" wrapText="1"/>
    </xf>
  </cellXfs>
  <cellStyles count="18">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349"/>
  <sheetViews>
    <sheetView tabSelected="1" zoomScale="131" zoomScaleNormal="100" workbookViewId="0">
      <pane ySplit="1" topLeftCell="A136" activePane="bottomLeft" state="frozen"/>
      <selection pane="bottomLeft" activeCell="C158" sqref="C158"/>
    </sheetView>
  </sheetViews>
  <sheetFormatPr baseColWidth="10" defaultColWidth="8.83203125" defaultRowHeight="15" x14ac:dyDescent="0.2"/>
  <cols>
    <col min="1" max="1" width="24.5" style="42" customWidth="1"/>
    <col min="2" max="2" width="25.83203125" style="42" customWidth="1"/>
    <col min="3" max="4" width="66" style="43" customWidth="1"/>
    <col min="5" max="5" width="16.83203125" style="43" customWidth="1"/>
    <col min="6" max="7" width="28" style="42" customWidth="1"/>
    <col min="8" max="8" width="15.5" style="42" customWidth="1"/>
    <col min="9" max="10" width="8.83203125" style="121" customWidth="1"/>
    <col min="11" max="11" width="79.5" style="121" bestFit="1" customWidth="1"/>
    <col min="12" max="12" width="22.33203125" style="121" customWidth="1"/>
    <col min="13" max="13" width="27.33203125" style="121" customWidth="1"/>
    <col min="14" max="16" width="8.83203125" style="121" customWidth="1"/>
    <col min="17" max="20" width="8.83203125" style="42" customWidth="1"/>
    <col min="21" max="21" width="9.5" style="42" customWidth="1"/>
    <col min="22" max="22" width="8.83203125" style="42" customWidth="1"/>
    <col min="23" max="23" width="18.1640625" style="189" customWidth="1"/>
    <col min="24" max="24" width="18.33203125" style="164" customWidth="1"/>
    <col min="25" max="25" width="14.1640625" style="70" customWidth="1"/>
    <col min="26" max="26" width="19.6640625" style="70" hidden="1" customWidth="1"/>
    <col min="27" max="27" width="8.83203125" style="70" customWidth="1"/>
    <col min="28" max="28" width="8.83203125" style="42" customWidth="1"/>
    <col min="29" max="16384" width="8.83203125" style="42"/>
  </cols>
  <sheetData>
    <row r="1" spans="1:27" s="112" customFormat="1" ht="33" customHeight="1" thickBot="1" x14ac:dyDescent="0.25">
      <c r="A1" s="108" t="s">
        <v>0</v>
      </c>
      <c r="B1" s="108" t="s">
        <v>1</v>
      </c>
      <c r="C1" s="109" t="s">
        <v>2</v>
      </c>
      <c r="D1" s="109" t="s">
        <v>3</v>
      </c>
      <c r="E1" s="110" t="s">
        <v>4</v>
      </c>
      <c r="F1" s="108" t="s">
        <v>5</v>
      </c>
      <c r="G1" s="108" t="s">
        <v>6</v>
      </c>
      <c r="H1" s="111" t="s">
        <v>7</v>
      </c>
      <c r="I1" s="108" t="s">
        <v>8</v>
      </c>
      <c r="J1" s="108" t="s">
        <v>9</v>
      </c>
      <c r="K1" s="108" t="s">
        <v>10</v>
      </c>
      <c r="L1" s="108" t="s">
        <v>11</v>
      </c>
      <c r="M1" s="108" t="s">
        <v>12</v>
      </c>
      <c r="N1" s="108" t="s">
        <v>13</v>
      </c>
      <c r="O1" s="108" t="s">
        <v>14</v>
      </c>
      <c r="P1" s="108" t="s">
        <v>15</v>
      </c>
      <c r="U1" s="195" t="s">
        <v>16</v>
      </c>
      <c r="W1" s="196" t="s">
        <v>17</v>
      </c>
      <c r="X1" s="197" t="s">
        <v>18</v>
      </c>
      <c r="Y1" s="198" t="s">
        <v>19</v>
      </c>
      <c r="Z1" s="33" t="s">
        <v>20</v>
      </c>
      <c r="AA1" s="113"/>
    </row>
    <row r="2" spans="1:27" x14ac:dyDescent="0.2">
      <c r="A2" s="69" t="s">
        <v>21</v>
      </c>
      <c r="B2" s="69" t="s">
        <v>21</v>
      </c>
      <c r="C2" s="41"/>
      <c r="D2" s="41"/>
      <c r="E2" s="82"/>
      <c r="F2" s="69"/>
      <c r="G2" s="69"/>
      <c r="H2" s="83"/>
      <c r="I2" s="114"/>
      <c r="J2" s="114"/>
      <c r="K2" s="114"/>
      <c r="L2" s="114"/>
      <c r="M2" s="114"/>
      <c r="N2" s="114"/>
      <c r="O2" s="114"/>
      <c r="P2" s="114"/>
      <c r="W2" s="190"/>
      <c r="Y2" s="165" t="str">
        <f>IF(W2&lt;&gt;"",W2*X2,"")</f>
        <v/>
      </c>
      <c r="Z2" s="165" t="str">
        <f>IF(AND(W2&lt;&gt;"",U2="yes"),W2*X2,"")</f>
        <v/>
      </c>
    </row>
    <row r="3" spans="1:27" x14ac:dyDescent="0.2">
      <c r="A3" s="69" t="s">
        <v>22</v>
      </c>
      <c r="B3" s="69" t="s">
        <v>22</v>
      </c>
      <c r="C3" s="41"/>
      <c r="D3" s="41"/>
      <c r="E3" s="82"/>
      <c r="F3" s="69"/>
      <c r="G3" s="69"/>
      <c r="H3" s="83"/>
      <c r="I3" s="114"/>
      <c r="J3" s="114"/>
      <c r="K3" s="114"/>
      <c r="L3" s="114"/>
      <c r="M3" s="114"/>
      <c r="N3" s="114"/>
      <c r="O3" s="114"/>
      <c r="P3" s="114"/>
      <c r="W3" s="190"/>
      <c r="Y3" s="165" t="str">
        <f>IF(W3&lt;&gt;"",W3*X3,"")</f>
        <v/>
      </c>
      <c r="Z3" s="165" t="str">
        <f>IF(AND(W3&lt;&gt;"",U3="yes"),W3*X3,"")</f>
        <v/>
      </c>
    </row>
    <row r="4" spans="1:27" x14ac:dyDescent="0.2">
      <c r="A4" s="69" t="s">
        <v>23</v>
      </c>
      <c r="B4" s="69" t="s">
        <v>23</v>
      </c>
      <c r="C4" s="41"/>
      <c r="D4" s="41"/>
      <c r="E4" s="82"/>
      <c r="F4" s="69"/>
      <c r="G4" s="69"/>
      <c r="H4" s="83"/>
      <c r="I4" s="114"/>
      <c r="J4" s="114"/>
      <c r="K4" s="114"/>
      <c r="L4" s="114"/>
      <c r="M4" s="114"/>
      <c r="N4" s="114"/>
      <c r="O4" s="114"/>
      <c r="P4" s="114"/>
      <c r="W4" s="190"/>
      <c r="Y4" s="165" t="str">
        <f>IF(W4&lt;&gt;"",W4*X4,"")</f>
        <v/>
      </c>
      <c r="Z4" s="165" t="str">
        <f>IF(AND(W4&lt;&gt;"",U4="yes"),W4*X4,"")</f>
        <v/>
      </c>
    </row>
    <row r="5" spans="1:27" x14ac:dyDescent="0.2">
      <c r="A5" s="69" t="s">
        <v>24</v>
      </c>
      <c r="B5" s="69" t="s">
        <v>24</v>
      </c>
      <c r="C5" s="41"/>
      <c r="D5" s="41"/>
      <c r="E5" s="82"/>
      <c r="F5" s="69"/>
      <c r="G5" s="69"/>
      <c r="H5" s="83"/>
      <c r="I5" s="114"/>
      <c r="J5" s="114"/>
      <c r="K5" s="114"/>
      <c r="L5" s="114"/>
      <c r="M5" s="114"/>
      <c r="N5" s="114"/>
      <c r="O5" s="114"/>
      <c r="P5" s="114"/>
      <c r="W5" s="190"/>
      <c r="Y5" s="165" t="str">
        <f>IF(W5&lt;&gt;"",W5*X5,"")</f>
        <v/>
      </c>
      <c r="Z5" s="165" t="str">
        <f>IF(AND(W5&lt;&gt;"",U5="yes"),W5*X5,"")</f>
        <v/>
      </c>
    </row>
    <row r="6" spans="1:27" x14ac:dyDescent="0.2">
      <c r="A6" s="69" t="s">
        <v>25</v>
      </c>
      <c r="B6" s="69" t="s">
        <v>25</v>
      </c>
      <c r="C6" s="41"/>
      <c r="D6" s="41"/>
      <c r="E6" s="82"/>
      <c r="F6" s="69"/>
      <c r="G6" s="69"/>
      <c r="H6" s="83"/>
      <c r="I6" s="114"/>
      <c r="J6" s="114"/>
      <c r="K6" s="114"/>
      <c r="L6" s="114"/>
      <c r="M6" s="114"/>
      <c r="N6" s="114"/>
      <c r="O6" s="114"/>
      <c r="P6" s="114"/>
      <c r="W6" s="190"/>
      <c r="Y6" s="165"/>
      <c r="Z6" s="165"/>
    </row>
    <row r="7" spans="1:27" x14ac:dyDescent="0.2">
      <c r="A7" s="69" t="s">
        <v>26</v>
      </c>
      <c r="B7" s="69" t="s">
        <v>27</v>
      </c>
      <c r="C7" s="41"/>
      <c r="D7" s="41"/>
      <c r="E7" s="82"/>
      <c r="F7" s="69"/>
      <c r="G7" s="69"/>
      <c r="H7" s="83"/>
      <c r="I7" s="114"/>
      <c r="J7" s="114"/>
      <c r="K7" s="114"/>
      <c r="L7" s="114"/>
      <c r="M7" s="42"/>
      <c r="N7" s="114"/>
      <c r="O7" s="114"/>
      <c r="P7" s="114" t="s">
        <v>28</v>
      </c>
      <c r="W7" s="190"/>
      <c r="Y7" s="165"/>
      <c r="Z7" s="165"/>
    </row>
    <row r="8" spans="1:27" x14ac:dyDescent="0.2">
      <c r="A8" s="69" t="s">
        <v>29</v>
      </c>
      <c r="B8" s="69" t="s">
        <v>29</v>
      </c>
      <c r="C8" s="41"/>
      <c r="D8" s="41"/>
      <c r="E8" s="82"/>
      <c r="F8" s="69"/>
      <c r="G8" s="69"/>
      <c r="H8" s="83"/>
      <c r="I8" s="114"/>
      <c r="J8" s="114"/>
      <c r="K8" s="114"/>
      <c r="L8" s="114"/>
      <c r="M8" s="114" t="s">
        <v>30</v>
      </c>
      <c r="N8" s="114"/>
      <c r="O8" s="114" t="s">
        <v>31</v>
      </c>
      <c r="P8" s="114"/>
      <c r="W8" s="190"/>
      <c r="Y8" s="165"/>
      <c r="Z8" s="165"/>
    </row>
    <row r="9" spans="1:27" ht="16" customHeight="1" x14ac:dyDescent="0.2">
      <c r="A9" s="69" t="s">
        <v>32</v>
      </c>
      <c r="B9" s="69" t="s">
        <v>33</v>
      </c>
      <c r="C9" s="41" t="s">
        <v>34</v>
      </c>
      <c r="D9" s="41" t="s">
        <v>35</v>
      </c>
      <c r="E9" s="82"/>
      <c r="F9" s="69"/>
      <c r="G9" s="69"/>
      <c r="H9" s="83"/>
      <c r="I9" s="114" t="s">
        <v>36</v>
      </c>
      <c r="J9" s="114"/>
      <c r="K9" s="114"/>
      <c r="L9" s="114"/>
      <c r="M9" s="114"/>
      <c r="N9" s="115" t="s">
        <v>37</v>
      </c>
      <c r="O9" s="114"/>
      <c r="P9" s="114"/>
      <c r="U9" s="42" t="s">
        <v>38</v>
      </c>
      <c r="W9" s="190"/>
      <c r="Y9" s="165" t="str">
        <f>IF(W9&lt;&gt;"",W9*X9,"")</f>
        <v/>
      </c>
      <c r="Z9" s="165" t="str">
        <f>IF(AND(W9&lt;&gt;"",U9="yes"),W9*X9,"")</f>
        <v/>
      </c>
    </row>
    <row r="10" spans="1:27" x14ac:dyDescent="0.2">
      <c r="A10" s="69" t="s">
        <v>26</v>
      </c>
      <c r="B10" s="69" t="s">
        <v>39</v>
      </c>
      <c r="C10" s="41"/>
      <c r="D10" s="41"/>
      <c r="E10" s="82"/>
      <c r="F10" s="69"/>
      <c r="G10" s="69"/>
      <c r="H10" s="83"/>
      <c r="I10" s="114"/>
      <c r="J10" s="114"/>
      <c r="K10" s="114"/>
      <c r="L10" s="114"/>
      <c r="M10" s="114"/>
      <c r="N10" s="114"/>
      <c r="O10" s="114"/>
      <c r="P10" s="114" t="s">
        <v>40</v>
      </c>
      <c r="U10" s="42" t="s">
        <v>38</v>
      </c>
      <c r="W10" s="190"/>
      <c r="Y10" s="165" t="str">
        <f>IF(W10&lt;&gt;"",W10*X10,"")</f>
        <v/>
      </c>
      <c r="Z10" s="165" t="str">
        <f>IF(AND(W10&lt;&gt;"",U10="yes"),W10*X10,"")</f>
        <v/>
      </c>
    </row>
    <row r="11" spans="1:27" s="71" customFormat="1" ht="16" customHeight="1" thickBot="1" x14ac:dyDescent="0.25">
      <c r="A11" s="78"/>
      <c r="B11" s="78"/>
      <c r="C11" s="79"/>
      <c r="D11" s="79"/>
      <c r="E11" s="80"/>
      <c r="F11" s="78"/>
      <c r="G11" s="78"/>
      <c r="H11" s="81"/>
      <c r="I11" s="117"/>
      <c r="J11" s="117"/>
      <c r="K11" s="117"/>
      <c r="L11" s="117"/>
      <c r="M11" s="117"/>
      <c r="N11" s="117"/>
      <c r="O11" s="117"/>
      <c r="P11" s="117"/>
      <c r="W11" s="190"/>
      <c r="X11" s="164"/>
      <c r="Y11" s="165"/>
      <c r="Z11" s="165"/>
      <c r="AA11" s="70"/>
    </row>
    <row r="12" spans="1:27" ht="257" customHeight="1" thickTop="1" x14ac:dyDescent="0.2">
      <c r="A12" s="69" t="s">
        <v>41</v>
      </c>
      <c r="B12" s="69" t="s">
        <v>42</v>
      </c>
      <c r="C12" s="220" t="s">
        <v>43</v>
      </c>
      <c r="D12" s="220" t="s">
        <v>44</v>
      </c>
      <c r="E12" s="82"/>
      <c r="F12" s="69" t="s">
        <v>45</v>
      </c>
      <c r="G12" s="69" t="s">
        <v>46</v>
      </c>
      <c r="H12" s="83"/>
      <c r="I12" s="114" t="s">
        <v>47</v>
      </c>
      <c r="J12" s="114"/>
      <c r="K12" s="114"/>
      <c r="L12" s="114"/>
      <c r="M12" s="114"/>
      <c r="N12" s="114"/>
      <c r="O12" s="114"/>
      <c r="P12" s="114"/>
      <c r="U12" s="42" t="s">
        <v>48</v>
      </c>
      <c r="W12" s="190">
        <v>50.822540283203118</v>
      </c>
      <c r="Y12" s="165">
        <f t="shared" ref="Y12:Y43" si="0">IF(W12&lt;&gt;"",W12*X12,"")</f>
        <v>0</v>
      </c>
      <c r="Z12" s="165" t="str">
        <f>IF(AND(W12&lt;&gt;"",U12="yes"),W12*X12,"")</f>
        <v/>
      </c>
    </row>
    <row r="13" spans="1:27" ht="16" customHeight="1" x14ac:dyDescent="0.2">
      <c r="A13" s="69" t="s">
        <v>49</v>
      </c>
      <c r="B13" s="69" t="s">
        <v>50</v>
      </c>
      <c r="C13" s="41" t="s">
        <v>51</v>
      </c>
      <c r="D13" s="41" t="s">
        <v>52</v>
      </c>
      <c r="E13" s="82"/>
      <c r="F13" s="69"/>
      <c r="G13" s="69"/>
      <c r="H13" s="83"/>
      <c r="I13" s="114" t="s">
        <v>47</v>
      </c>
      <c r="J13" s="114"/>
      <c r="K13" s="114"/>
      <c r="L13" s="114"/>
      <c r="M13" s="114"/>
      <c r="N13" s="114"/>
      <c r="O13" s="114"/>
      <c r="P13" s="114"/>
      <c r="U13" s="42" t="s">
        <v>38</v>
      </c>
      <c r="W13" s="190">
        <v>3.5</v>
      </c>
      <c r="X13" s="164">
        <f>1</f>
        <v>1</v>
      </c>
      <c r="Y13" s="165">
        <f t="shared" si="0"/>
        <v>3.5</v>
      </c>
      <c r="Z13" s="165">
        <f>IF(AND(W13&lt;&gt;"",U13="yes"),W13*X13,"")</f>
        <v>3.5</v>
      </c>
    </row>
    <row r="14" spans="1:27" s="71" customFormat="1" ht="16" customHeight="1" x14ac:dyDescent="0.2">
      <c r="A14" s="74" t="s">
        <v>53</v>
      </c>
      <c r="B14" s="74" t="s">
        <v>54</v>
      </c>
      <c r="C14" s="75" t="s">
        <v>55</v>
      </c>
      <c r="D14" s="41" t="s">
        <v>56</v>
      </c>
      <c r="E14" s="73"/>
      <c r="F14" s="74" t="s">
        <v>57</v>
      </c>
      <c r="G14" s="74" t="s">
        <v>58</v>
      </c>
      <c r="H14" s="77"/>
      <c r="I14" s="114" t="s">
        <v>47</v>
      </c>
      <c r="J14" s="115"/>
      <c r="K14" s="115"/>
      <c r="L14" s="115"/>
      <c r="M14" s="114" t="s">
        <v>59</v>
      </c>
      <c r="N14" s="115"/>
      <c r="O14" s="115"/>
      <c r="P14" s="115"/>
      <c r="W14" s="190">
        <v>0</v>
      </c>
      <c r="X14" s="164">
        <v>1</v>
      </c>
      <c r="Y14" s="165">
        <f t="shared" si="0"/>
        <v>0</v>
      </c>
      <c r="Z14" s="165"/>
      <c r="AA14" s="70"/>
    </row>
    <row r="15" spans="1:27" s="70" customFormat="1" ht="16" customHeight="1" x14ac:dyDescent="0.2">
      <c r="A15" s="74" t="s">
        <v>41</v>
      </c>
      <c r="B15" s="74" t="s">
        <v>60</v>
      </c>
      <c r="C15" s="75" t="s">
        <v>61</v>
      </c>
      <c r="D15" s="75" t="s">
        <v>62</v>
      </c>
      <c r="E15" s="93"/>
      <c r="F15" s="74"/>
      <c r="G15" s="74"/>
      <c r="H15" s="95"/>
      <c r="I15" s="116" t="s">
        <v>47</v>
      </c>
      <c r="J15" s="116"/>
      <c r="K15" s="116"/>
      <c r="L15" s="116"/>
      <c r="M15" s="116" t="s">
        <v>63</v>
      </c>
      <c r="N15" s="116"/>
      <c r="O15" s="116"/>
      <c r="P15" s="116"/>
      <c r="U15" s="70" t="s">
        <v>48</v>
      </c>
      <c r="W15" s="190">
        <v>0</v>
      </c>
      <c r="X15" s="164">
        <v>1</v>
      </c>
      <c r="Y15" s="165">
        <f t="shared" si="0"/>
        <v>0</v>
      </c>
      <c r="Z15" s="165" t="str">
        <f t="shared" ref="Z15:Z43" si="1">IF(AND(W15&lt;&gt;"",U15="yes"),W15*X15,"")</f>
        <v/>
      </c>
    </row>
    <row r="16" spans="1:27" s="70" customFormat="1" ht="16" customHeight="1" thickBot="1" x14ac:dyDescent="0.25">
      <c r="A16" s="84"/>
      <c r="B16" s="84"/>
      <c r="C16" s="85"/>
      <c r="D16" s="85"/>
      <c r="E16" s="86"/>
      <c r="F16" s="84"/>
      <c r="G16" s="84"/>
      <c r="H16" s="87"/>
      <c r="I16" s="118"/>
      <c r="J16" s="118"/>
      <c r="K16" s="118"/>
      <c r="L16" s="118"/>
      <c r="M16" s="118"/>
      <c r="N16" s="118"/>
      <c r="O16" s="118"/>
      <c r="P16" s="118"/>
      <c r="W16" s="190"/>
      <c r="X16" s="164"/>
      <c r="Y16" s="165" t="str">
        <f t="shared" si="0"/>
        <v/>
      </c>
      <c r="Z16" s="165" t="str">
        <f t="shared" si="1"/>
        <v/>
      </c>
    </row>
    <row r="17" spans="1:27" s="67" customFormat="1" ht="17" customHeight="1" thickTop="1" x14ac:dyDescent="0.2">
      <c r="A17" s="64" t="s">
        <v>64</v>
      </c>
      <c r="B17" s="64" t="s">
        <v>65</v>
      </c>
      <c r="C17" s="88" t="s">
        <v>66</v>
      </c>
      <c r="D17" s="88" t="s">
        <v>67</v>
      </c>
      <c r="E17" s="65"/>
      <c r="F17" s="64"/>
      <c r="G17" s="64"/>
      <c r="H17" s="66"/>
      <c r="I17" s="119" t="s">
        <v>47</v>
      </c>
      <c r="J17" s="119"/>
      <c r="K17" s="119"/>
      <c r="L17" s="119"/>
      <c r="M17" s="119" t="s">
        <v>59</v>
      </c>
      <c r="N17" s="119"/>
      <c r="O17" s="119"/>
      <c r="P17" s="119"/>
      <c r="U17" s="42" t="s">
        <v>38</v>
      </c>
      <c r="W17" s="190"/>
      <c r="X17" s="164"/>
      <c r="Y17" s="165" t="str">
        <f t="shared" si="0"/>
        <v/>
      </c>
      <c r="Z17" s="165" t="str">
        <f t="shared" si="1"/>
        <v/>
      </c>
      <c r="AA17" s="68"/>
    </row>
    <row r="18" spans="1:27" s="71" customFormat="1" x14ac:dyDescent="0.2">
      <c r="C18" s="72"/>
      <c r="D18" s="72"/>
      <c r="E18" s="73"/>
      <c r="H18" s="77"/>
      <c r="I18" s="115"/>
      <c r="J18" s="115"/>
      <c r="K18" s="115"/>
      <c r="L18" s="115"/>
      <c r="M18" s="115"/>
      <c r="N18" s="115"/>
      <c r="O18" s="115"/>
      <c r="P18" s="115"/>
      <c r="W18" s="190"/>
      <c r="X18" s="70"/>
      <c r="Y18" s="165" t="str">
        <f t="shared" si="0"/>
        <v/>
      </c>
      <c r="Z18" s="165" t="str">
        <f t="shared" si="1"/>
        <v/>
      </c>
      <c r="AA18" s="70"/>
    </row>
    <row r="19" spans="1:27" s="71" customFormat="1" ht="16" customHeight="1" x14ac:dyDescent="0.2">
      <c r="A19" s="74" t="s">
        <v>68</v>
      </c>
      <c r="B19" s="74" t="s">
        <v>69</v>
      </c>
      <c r="C19" s="75" t="s">
        <v>70</v>
      </c>
      <c r="D19" s="75" t="s">
        <v>71</v>
      </c>
      <c r="E19" s="73"/>
      <c r="F19" s="70" t="s">
        <v>72</v>
      </c>
      <c r="G19" s="70" t="s">
        <v>73</v>
      </c>
      <c r="H19" s="77"/>
      <c r="I19" s="116" t="s">
        <v>36</v>
      </c>
      <c r="J19" s="116"/>
      <c r="K19" s="116"/>
      <c r="L19" s="116"/>
      <c r="M19" s="116"/>
      <c r="N19" s="116"/>
      <c r="O19" s="116"/>
      <c r="P19" s="116"/>
      <c r="U19" s="70" t="s">
        <v>38</v>
      </c>
      <c r="W19" s="190">
        <v>10</v>
      </c>
      <c r="X19" s="164">
        <f>1</f>
        <v>1</v>
      </c>
      <c r="Y19" s="165">
        <f t="shared" si="0"/>
        <v>10</v>
      </c>
      <c r="Z19" s="165">
        <f t="shared" si="1"/>
        <v>10</v>
      </c>
      <c r="AA19" s="70"/>
    </row>
    <row r="20" spans="1:27" s="71" customFormat="1" ht="16" customHeight="1" x14ac:dyDescent="0.2">
      <c r="A20" s="74" t="s">
        <v>68</v>
      </c>
      <c r="B20" s="74" t="s">
        <v>74</v>
      </c>
      <c r="C20" s="75" t="s">
        <v>75</v>
      </c>
      <c r="D20" s="75" t="s">
        <v>76</v>
      </c>
      <c r="E20" s="73"/>
      <c r="F20" s="70" t="s">
        <v>77</v>
      </c>
      <c r="G20" s="70" t="s">
        <v>73</v>
      </c>
      <c r="H20" s="77"/>
      <c r="I20" s="116" t="s">
        <v>36</v>
      </c>
      <c r="J20" s="116"/>
      <c r="K20" s="116"/>
      <c r="L20" s="116"/>
      <c r="M20" s="116"/>
      <c r="N20" s="116"/>
      <c r="O20" s="116"/>
      <c r="P20" s="116"/>
      <c r="U20" s="70" t="s">
        <v>38</v>
      </c>
      <c r="W20" s="190">
        <v>10</v>
      </c>
      <c r="X20" s="164">
        <f>1</f>
        <v>1</v>
      </c>
      <c r="Y20" s="165">
        <f t="shared" si="0"/>
        <v>10</v>
      </c>
      <c r="Z20" s="165">
        <f t="shared" si="1"/>
        <v>10</v>
      </c>
      <c r="AA20" s="70"/>
    </row>
    <row r="21" spans="1:27" s="71" customFormat="1" x14ac:dyDescent="0.2">
      <c r="C21" s="72"/>
      <c r="E21" s="73"/>
      <c r="H21" s="77"/>
      <c r="I21" s="115"/>
      <c r="J21" s="115"/>
      <c r="K21" s="115"/>
      <c r="L21" s="115"/>
      <c r="M21" s="115"/>
      <c r="N21" s="115"/>
      <c r="O21" s="115"/>
      <c r="P21" s="115"/>
      <c r="W21" s="190"/>
      <c r="X21" s="164">
        <f>1</f>
        <v>1</v>
      </c>
      <c r="Y21" s="165" t="str">
        <f t="shared" si="0"/>
        <v/>
      </c>
      <c r="Z21" s="165" t="str">
        <f t="shared" si="1"/>
        <v/>
      </c>
      <c r="AA21" s="70"/>
    </row>
    <row r="22" spans="1:27" ht="16" customHeight="1" x14ac:dyDescent="0.2">
      <c r="A22" s="69" t="s">
        <v>78</v>
      </c>
      <c r="B22" s="69" t="s">
        <v>79</v>
      </c>
      <c r="C22" s="41" t="s">
        <v>80</v>
      </c>
      <c r="D22" s="75" t="s">
        <v>81</v>
      </c>
      <c r="E22" s="93"/>
      <c r="F22" s="74" t="s">
        <v>82</v>
      </c>
      <c r="G22" s="69" t="s">
        <v>83</v>
      </c>
      <c r="H22" s="83"/>
      <c r="I22" s="114" t="s">
        <v>36</v>
      </c>
      <c r="J22" s="114"/>
      <c r="K22" s="114" t="s">
        <v>84</v>
      </c>
      <c r="L22" s="114"/>
      <c r="M22" s="114"/>
      <c r="N22" s="114"/>
      <c r="O22" s="114"/>
      <c r="P22" s="114"/>
      <c r="U22" s="42" t="s">
        <v>38</v>
      </c>
      <c r="W22" s="190">
        <v>13.753072738647459</v>
      </c>
      <c r="X22" s="164">
        <f>1</f>
        <v>1</v>
      </c>
      <c r="Y22" s="165">
        <f t="shared" si="0"/>
        <v>13.753072738647459</v>
      </c>
      <c r="Z22" s="165">
        <f t="shared" si="1"/>
        <v>13.753072738647459</v>
      </c>
    </row>
    <row r="23" spans="1:27" x14ac:dyDescent="0.2">
      <c r="E23" s="82"/>
      <c r="H23" s="83"/>
      <c r="W23" s="190"/>
      <c r="X23" s="164">
        <f>1</f>
        <v>1</v>
      </c>
      <c r="Y23" s="165" t="str">
        <f t="shared" si="0"/>
        <v/>
      </c>
      <c r="Z23" s="165" t="str">
        <f t="shared" si="1"/>
        <v/>
      </c>
    </row>
    <row r="24" spans="1:27" ht="16" customHeight="1" x14ac:dyDescent="0.2">
      <c r="A24" s="42" t="s">
        <v>85</v>
      </c>
      <c r="B24" s="42" t="s">
        <v>86</v>
      </c>
      <c r="C24" s="43" t="s">
        <v>87</v>
      </c>
      <c r="D24" s="43" t="s">
        <v>88</v>
      </c>
      <c r="E24" s="82"/>
      <c r="F24" s="42" t="s">
        <v>89</v>
      </c>
      <c r="G24" s="42" t="s">
        <v>90</v>
      </c>
      <c r="H24" s="83"/>
      <c r="I24" s="121" t="s">
        <v>36</v>
      </c>
      <c r="U24" s="42" t="s">
        <v>48</v>
      </c>
      <c r="W24" s="298">
        <v>2.1173560619354248</v>
      </c>
      <c r="X24" s="299">
        <f>1</f>
        <v>1</v>
      </c>
      <c r="Y24" s="300">
        <f t="shared" si="0"/>
        <v>2.1173560619354248</v>
      </c>
      <c r="Z24" s="300" t="str">
        <f t="shared" si="1"/>
        <v/>
      </c>
      <c r="AA24" s="42"/>
    </row>
    <row r="25" spans="1:27" s="71" customFormat="1" x14ac:dyDescent="0.2">
      <c r="C25" s="72"/>
      <c r="D25" s="72"/>
      <c r="E25" s="73"/>
      <c r="H25" s="77"/>
      <c r="I25" s="124"/>
      <c r="J25" s="124"/>
      <c r="K25" s="124"/>
      <c r="L25" s="123"/>
      <c r="M25" s="124"/>
      <c r="N25" s="124"/>
      <c r="O25" s="115"/>
      <c r="P25" s="115"/>
      <c r="W25" s="190"/>
      <c r="X25" s="164">
        <f>1</f>
        <v>1</v>
      </c>
      <c r="Y25" s="165" t="str">
        <f t="shared" si="0"/>
        <v/>
      </c>
      <c r="Z25" s="165" t="str">
        <f t="shared" si="1"/>
        <v/>
      </c>
      <c r="AA25" s="70"/>
    </row>
    <row r="26" spans="1:27" s="90" customFormat="1" ht="16" customHeight="1" x14ac:dyDescent="0.2">
      <c r="A26" s="155" t="s">
        <v>68</v>
      </c>
      <c r="B26" s="155" t="s">
        <v>91</v>
      </c>
      <c r="C26" s="156" t="s">
        <v>92</v>
      </c>
      <c r="D26" s="156" t="s">
        <v>93</v>
      </c>
      <c r="E26" s="158"/>
      <c r="F26" s="157"/>
      <c r="G26" s="157"/>
      <c r="H26" s="159"/>
      <c r="I26" s="154" t="s">
        <v>36</v>
      </c>
      <c r="J26" s="154" t="s">
        <v>94</v>
      </c>
      <c r="K26" s="124" t="s">
        <v>95</v>
      </c>
      <c r="L26" s="154" t="s">
        <v>96</v>
      </c>
      <c r="M26" s="154"/>
      <c r="N26" s="154"/>
      <c r="O26" s="154"/>
      <c r="P26" s="123"/>
      <c r="U26" s="157" t="s">
        <v>97</v>
      </c>
      <c r="W26" s="190">
        <v>10</v>
      </c>
      <c r="X26" s="164">
        <f>1</f>
        <v>1</v>
      </c>
      <c r="Y26" s="165">
        <f t="shared" si="0"/>
        <v>10</v>
      </c>
      <c r="Z26" s="165" t="str">
        <f t="shared" si="1"/>
        <v/>
      </c>
    </row>
    <row r="27" spans="1:27" s="90" customFormat="1" ht="32" customHeight="1" x14ac:dyDescent="0.2">
      <c r="A27" s="155" t="s">
        <v>98</v>
      </c>
      <c r="B27" s="155" t="s">
        <v>99</v>
      </c>
      <c r="C27" s="156" t="s">
        <v>100</v>
      </c>
      <c r="D27" s="156" t="s">
        <v>101</v>
      </c>
      <c r="E27" s="158"/>
      <c r="F27" s="157"/>
      <c r="G27" s="157"/>
      <c r="H27" s="159"/>
      <c r="I27" s="154" t="s">
        <v>36</v>
      </c>
      <c r="J27" s="154"/>
      <c r="K27" s="123"/>
      <c r="L27" s="154"/>
      <c r="M27" s="154"/>
      <c r="N27" s="154"/>
      <c r="O27" s="154"/>
      <c r="P27" s="123"/>
      <c r="U27" s="157" t="s">
        <v>97</v>
      </c>
      <c r="W27" s="190">
        <v>10</v>
      </c>
      <c r="X27" s="164">
        <f>1</f>
        <v>1</v>
      </c>
      <c r="Y27" s="165">
        <f t="shared" si="0"/>
        <v>10</v>
      </c>
      <c r="Z27" s="165" t="str">
        <f t="shared" si="1"/>
        <v/>
      </c>
    </row>
    <row r="28" spans="1:27" s="90" customFormat="1" ht="16" customHeight="1" x14ac:dyDescent="0.2">
      <c r="A28" s="155" t="s">
        <v>68</v>
      </c>
      <c r="B28" s="155" t="s">
        <v>102</v>
      </c>
      <c r="C28" s="156" t="s">
        <v>103</v>
      </c>
      <c r="D28" s="156" t="s">
        <v>104</v>
      </c>
      <c r="E28" s="158"/>
      <c r="F28" s="157"/>
      <c r="G28" s="157"/>
      <c r="H28" s="159"/>
      <c r="I28" s="154" t="s">
        <v>36</v>
      </c>
      <c r="J28" s="154" t="s">
        <v>94</v>
      </c>
      <c r="K28" s="124" t="s">
        <v>95</v>
      </c>
      <c r="L28" s="154" t="s">
        <v>96</v>
      </c>
      <c r="M28" s="154" t="s">
        <v>105</v>
      </c>
      <c r="N28" s="154"/>
      <c r="O28" s="154"/>
      <c r="P28" s="123"/>
      <c r="U28" s="157" t="s">
        <v>97</v>
      </c>
      <c r="W28" s="190">
        <v>10</v>
      </c>
      <c r="X28" s="164">
        <f>1</f>
        <v>1</v>
      </c>
      <c r="Y28" s="165">
        <f t="shared" si="0"/>
        <v>10</v>
      </c>
      <c r="Z28" s="165" t="str">
        <f t="shared" si="1"/>
        <v/>
      </c>
    </row>
    <row r="29" spans="1:27" s="90" customFormat="1" ht="16" customHeight="1" x14ac:dyDescent="0.2">
      <c r="A29" s="155" t="s">
        <v>68</v>
      </c>
      <c r="B29" s="155" t="s">
        <v>106</v>
      </c>
      <c r="C29" s="156" t="s">
        <v>107</v>
      </c>
      <c r="D29" s="156" t="s">
        <v>108</v>
      </c>
      <c r="E29" s="158"/>
      <c r="F29" s="157"/>
      <c r="G29" s="157"/>
      <c r="H29" s="159"/>
      <c r="I29" s="154" t="s">
        <v>36</v>
      </c>
      <c r="J29" s="154"/>
      <c r="K29" s="123"/>
      <c r="L29" s="154"/>
      <c r="M29" s="154" t="s">
        <v>109</v>
      </c>
      <c r="N29" s="154"/>
      <c r="O29" s="154"/>
      <c r="P29" s="123"/>
      <c r="U29" s="157" t="s">
        <v>97</v>
      </c>
      <c r="W29" s="190">
        <v>10</v>
      </c>
      <c r="X29" s="164">
        <f>1</f>
        <v>1</v>
      </c>
      <c r="Y29" s="165">
        <f t="shared" si="0"/>
        <v>10</v>
      </c>
      <c r="Z29" s="165" t="str">
        <f t="shared" si="1"/>
        <v/>
      </c>
    </row>
    <row r="30" spans="1:27" s="90" customFormat="1" ht="32" customHeight="1" x14ac:dyDescent="0.2">
      <c r="A30" s="155" t="s">
        <v>98</v>
      </c>
      <c r="B30" s="155" t="s">
        <v>110</v>
      </c>
      <c r="C30" s="156" t="s">
        <v>100</v>
      </c>
      <c r="D30" s="156" t="s">
        <v>101</v>
      </c>
      <c r="E30" s="158"/>
      <c r="F30" s="69"/>
      <c r="G30" s="69"/>
      <c r="H30" s="159"/>
      <c r="I30" s="154" t="s">
        <v>36</v>
      </c>
      <c r="J30" s="154"/>
      <c r="K30" s="123"/>
      <c r="L30" s="154"/>
      <c r="M30" s="154" t="s">
        <v>105</v>
      </c>
      <c r="N30" s="154"/>
      <c r="O30" s="154"/>
      <c r="P30" s="123"/>
      <c r="U30" s="157" t="s">
        <v>97</v>
      </c>
      <c r="W30" s="190">
        <v>10</v>
      </c>
      <c r="X30" s="164">
        <f>1</f>
        <v>1</v>
      </c>
      <c r="Y30" s="165">
        <f t="shared" si="0"/>
        <v>10</v>
      </c>
      <c r="Z30" s="165" t="str">
        <f t="shared" si="1"/>
        <v/>
      </c>
    </row>
    <row r="31" spans="1:27" s="90" customFormat="1" ht="16" customHeight="1" x14ac:dyDescent="0.2">
      <c r="A31" s="155" t="s">
        <v>68</v>
      </c>
      <c r="B31" s="155" t="s">
        <v>111</v>
      </c>
      <c r="C31" s="156" t="s">
        <v>103</v>
      </c>
      <c r="D31" s="156" t="s">
        <v>104</v>
      </c>
      <c r="E31" s="158"/>
      <c r="F31" s="157"/>
      <c r="G31" s="157"/>
      <c r="H31" s="159"/>
      <c r="I31" s="154" t="s">
        <v>36</v>
      </c>
      <c r="J31" s="154" t="s">
        <v>94</v>
      </c>
      <c r="K31" s="124" t="s">
        <v>95</v>
      </c>
      <c r="L31" s="154" t="s">
        <v>96</v>
      </c>
      <c r="M31" s="154" t="s">
        <v>112</v>
      </c>
      <c r="N31" s="154"/>
      <c r="O31" s="154"/>
      <c r="P31" s="123"/>
      <c r="U31" s="157" t="s">
        <v>97</v>
      </c>
      <c r="W31" s="190">
        <v>10</v>
      </c>
      <c r="X31" s="164">
        <f>1</f>
        <v>1</v>
      </c>
      <c r="Y31" s="165">
        <f t="shared" si="0"/>
        <v>10</v>
      </c>
      <c r="Z31" s="165" t="str">
        <f t="shared" si="1"/>
        <v/>
      </c>
    </row>
    <row r="32" spans="1:27" s="90" customFormat="1" ht="16" customHeight="1" x14ac:dyDescent="0.2">
      <c r="A32" s="155" t="s">
        <v>68</v>
      </c>
      <c r="B32" s="155" t="s">
        <v>113</v>
      </c>
      <c r="C32" s="156" t="s">
        <v>107</v>
      </c>
      <c r="D32" s="156" t="s">
        <v>108</v>
      </c>
      <c r="E32" s="158"/>
      <c r="F32" s="157"/>
      <c r="G32" s="157"/>
      <c r="H32" s="159"/>
      <c r="I32" s="154" t="s">
        <v>36</v>
      </c>
      <c r="J32" s="154"/>
      <c r="K32" s="123"/>
      <c r="L32" s="154"/>
      <c r="M32" s="154" t="s">
        <v>114</v>
      </c>
      <c r="N32" s="154"/>
      <c r="O32" s="154"/>
      <c r="P32" s="123"/>
      <c r="U32" s="157" t="s">
        <v>97</v>
      </c>
      <c r="W32" s="190">
        <v>10</v>
      </c>
      <c r="X32" s="164">
        <f>1</f>
        <v>1</v>
      </c>
      <c r="Y32" s="165">
        <f t="shared" si="0"/>
        <v>10</v>
      </c>
      <c r="Z32" s="165" t="str">
        <f t="shared" si="1"/>
        <v/>
      </c>
    </row>
    <row r="33" spans="1:27" s="71" customFormat="1" x14ac:dyDescent="0.2">
      <c r="C33" s="72"/>
      <c r="D33" s="72"/>
      <c r="E33" s="73"/>
      <c r="H33" s="77"/>
      <c r="I33" s="115"/>
      <c r="J33" s="115"/>
      <c r="K33" s="115"/>
      <c r="L33" s="122"/>
      <c r="M33" s="115"/>
      <c r="N33" s="115"/>
      <c r="O33" s="115"/>
      <c r="P33" s="115"/>
      <c r="W33" s="190"/>
      <c r="X33" s="164">
        <f>1</f>
        <v>1</v>
      </c>
      <c r="Y33" s="165" t="str">
        <f t="shared" si="0"/>
        <v/>
      </c>
      <c r="Z33" s="165" t="str">
        <f t="shared" si="1"/>
        <v/>
      </c>
      <c r="AA33" s="70"/>
    </row>
    <row r="34" spans="1:27" ht="16" customHeight="1" x14ac:dyDescent="0.2">
      <c r="A34" s="69" t="s">
        <v>115</v>
      </c>
      <c r="B34" s="69" t="s">
        <v>116</v>
      </c>
      <c r="C34" s="41" t="s">
        <v>117</v>
      </c>
      <c r="D34" s="217" t="s">
        <v>118</v>
      </c>
      <c r="E34" s="82"/>
      <c r="F34" s="69" t="s">
        <v>119</v>
      </c>
      <c r="G34" s="69" t="s">
        <v>120</v>
      </c>
      <c r="H34" s="83"/>
      <c r="I34" s="114" t="s">
        <v>36</v>
      </c>
      <c r="J34" s="114" t="s">
        <v>121</v>
      </c>
      <c r="K34" s="114"/>
      <c r="L34" s="123"/>
      <c r="M34" s="114"/>
      <c r="N34" s="114"/>
      <c r="O34" s="114"/>
      <c r="P34" s="114"/>
      <c r="U34" s="42" t="s">
        <v>38</v>
      </c>
      <c r="W34" s="190">
        <v>8.8000000000000007</v>
      </c>
      <c r="X34" s="164">
        <f>1</f>
        <v>1</v>
      </c>
      <c r="Y34" s="165">
        <f t="shared" si="0"/>
        <v>8.8000000000000007</v>
      </c>
      <c r="Z34" s="165">
        <f t="shared" si="1"/>
        <v>8.8000000000000007</v>
      </c>
    </row>
    <row r="35" spans="1:27" x14ac:dyDescent="0.2">
      <c r="A35" s="69" t="s">
        <v>26</v>
      </c>
      <c r="B35" s="69" t="s">
        <v>122</v>
      </c>
      <c r="C35" s="41"/>
      <c r="D35" s="69"/>
      <c r="E35" s="82"/>
      <c r="F35" s="69"/>
      <c r="G35" s="69"/>
      <c r="H35" s="83"/>
      <c r="I35" s="114"/>
      <c r="J35" s="114"/>
      <c r="K35" s="114"/>
      <c r="L35" s="114"/>
      <c r="M35" s="114"/>
      <c r="N35" s="114"/>
      <c r="O35" s="114"/>
      <c r="P35" s="114" t="s">
        <v>123</v>
      </c>
      <c r="U35" s="42" t="s">
        <v>38</v>
      </c>
      <c r="W35" s="190"/>
      <c r="X35" s="164">
        <f>1</f>
        <v>1</v>
      </c>
      <c r="Y35" s="165" t="str">
        <f t="shared" si="0"/>
        <v/>
      </c>
      <c r="Z35" s="165" t="str">
        <f t="shared" si="1"/>
        <v/>
      </c>
    </row>
    <row r="36" spans="1:27" ht="16" customHeight="1" x14ac:dyDescent="0.2">
      <c r="A36" s="69" t="s">
        <v>124</v>
      </c>
      <c r="B36" s="69" t="s">
        <v>125</v>
      </c>
      <c r="C36" s="41" t="s">
        <v>126</v>
      </c>
      <c r="D36" s="218" t="s">
        <v>127</v>
      </c>
      <c r="E36" s="82"/>
      <c r="F36" s="69"/>
      <c r="G36" s="41"/>
      <c r="H36" s="83"/>
      <c r="I36" s="114" t="s">
        <v>36</v>
      </c>
      <c r="J36" s="114" t="s">
        <v>121</v>
      </c>
      <c r="K36" s="114"/>
      <c r="L36" s="114"/>
      <c r="M36" s="114"/>
      <c r="N36" s="114" t="s">
        <v>128</v>
      </c>
      <c r="O36" s="114"/>
      <c r="P36" s="114"/>
      <c r="U36" s="42" t="s">
        <v>38</v>
      </c>
      <c r="W36" s="190">
        <v>10.4</v>
      </c>
      <c r="X36" s="164">
        <f>1</f>
        <v>1</v>
      </c>
      <c r="Y36" s="165">
        <f t="shared" si="0"/>
        <v>10.4</v>
      </c>
      <c r="Z36" s="165">
        <f t="shared" si="1"/>
        <v>10.4</v>
      </c>
    </row>
    <row r="37" spans="1:27" x14ac:dyDescent="0.2">
      <c r="A37" s="69" t="s">
        <v>26</v>
      </c>
      <c r="B37" s="69" t="s">
        <v>129</v>
      </c>
      <c r="C37" s="41"/>
      <c r="D37" s="41"/>
      <c r="E37" s="82"/>
      <c r="F37" s="69"/>
      <c r="G37" s="69"/>
      <c r="H37" s="83"/>
      <c r="I37" s="114"/>
      <c r="J37" s="114"/>
      <c r="K37" s="114"/>
      <c r="L37" s="114"/>
      <c r="M37" s="114"/>
      <c r="N37" s="114"/>
      <c r="O37" s="114"/>
      <c r="P37" s="114" t="s">
        <v>130</v>
      </c>
      <c r="U37" s="42" t="s">
        <v>38</v>
      </c>
      <c r="W37" s="190"/>
      <c r="X37" s="164">
        <f>1</f>
        <v>1</v>
      </c>
      <c r="Y37" s="165" t="str">
        <f t="shared" si="0"/>
        <v/>
      </c>
      <c r="Z37" s="165" t="str">
        <f t="shared" si="1"/>
        <v/>
      </c>
    </row>
    <row r="38" spans="1:27" x14ac:dyDescent="0.2">
      <c r="E38" s="82"/>
      <c r="H38" s="83"/>
      <c r="W38" s="190"/>
      <c r="X38" s="164">
        <f>1</f>
        <v>1</v>
      </c>
      <c r="Y38" s="165" t="str">
        <f t="shared" si="0"/>
        <v/>
      </c>
      <c r="Z38" s="165" t="str">
        <f t="shared" si="1"/>
        <v/>
      </c>
    </row>
    <row r="39" spans="1:27" s="43" customFormat="1" ht="48" customHeight="1" x14ac:dyDescent="0.2">
      <c r="A39" s="41" t="s">
        <v>131</v>
      </c>
      <c r="B39" s="41" t="s">
        <v>132</v>
      </c>
      <c r="C39" s="41" t="s">
        <v>133</v>
      </c>
      <c r="D39" s="217" t="s">
        <v>134</v>
      </c>
      <c r="E39" s="82"/>
      <c r="F39" s="69" t="s">
        <v>135</v>
      </c>
      <c r="G39" s="69" t="s">
        <v>136</v>
      </c>
      <c r="H39" s="82"/>
      <c r="I39" s="40" t="s">
        <v>36</v>
      </c>
      <c r="J39" s="40"/>
      <c r="K39" s="40"/>
      <c r="L39" s="40"/>
      <c r="M39" s="40"/>
      <c r="N39" s="40"/>
      <c r="O39" s="40"/>
      <c r="P39" s="40"/>
      <c r="U39" s="43" t="s">
        <v>38</v>
      </c>
      <c r="W39" s="193">
        <v>31.372377395629879</v>
      </c>
      <c r="X39" s="164">
        <f>1</f>
        <v>1</v>
      </c>
      <c r="Y39" s="166">
        <f t="shared" si="0"/>
        <v>31.372377395629879</v>
      </c>
      <c r="Z39" s="166">
        <f t="shared" si="1"/>
        <v>31.372377395629879</v>
      </c>
      <c r="AA39" s="44"/>
    </row>
    <row r="40" spans="1:27" x14ac:dyDescent="0.2">
      <c r="E40" s="82"/>
      <c r="H40" s="83"/>
      <c r="W40" s="190"/>
      <c r="X40" s="164">
        <f>1</f>
        <v>1</v>
      </c>
      <c r="Y40" s="165" t="str">
        <f t="shared" si="0"/>
        <v/>
      </c>
      <c r="Z40" s="165" t="str">
        <f t="shared" si="1"/>
        <v/>
      </c>
    </row>
    <row r="41" spans="1:27" s="70" customFormat="1" ht="16" customHeight="1" thickBot="1" x14ac:dyDescent="0.25">
      <c r="A41" s="91" t="s">
        <v>137</v>
      </c>
      <c r="B41" s="91"/>
      <c r="C41" s="92"/>
      <c r="D41" s="92"/>
      <c r="E41" s="86"/>
      <c r="F41" s="91"/>
      <c r="G41" s="91"/>
      <c r="H41" s="87"/>
      <c r="I41" s="125"/>
      <c r="J41" s="125"/>
      <c r="K41" s="125"/>
      <c r="L41" s="125"/>
      <c r="M41" s="125"/>
      <c r="N41" s="125"/>
      <c r="O41" s="125"/>
      <c r="P41" s="125"/>
      <c r="W41" s="190"/>
      <c r="X41" s="164"/>
      <c r="Y41" s="165" t="str">
        <f t="shared" si="0"/>
        <v/>
      </c>
      <c r="Z41" s="165" t="str">
        <f t="shared" si="1"/>
        <v/>
      </c>
    </row>
    <row r="42" spans="1:27" s="67" customFormat="1" ht="17" customHeight="1" thickTop="1" x14ac:dyDescent="0.2">
      <c r="A42" s="64" t="s">
        <v>64</v>
      </c>
      <c r="B42" s="64" t="s">
        <v>138</v>
      </c>
      <c r="C42" s="88" t="s">
        <v>139</v>
      </c>
      <c r="D42" s="88" t="s">
        <v>140</v>
      </c>
      <c r="E42" s="65"/>
      <c r="F42" s="64"/>
      <c r="G42" s="64"/>
      <c r="H42" s="66"/>
      <c r="I42" s="119" t="s">
        <v>47</v>
      </c>
      <c r="J42" s="119"/>
      <c r="K42" s="119"/>
      <c r="L42" s="119"/>
      <c r="M42" s="119" t="s">
        <v>141</v>
      </c>
      <c r="N42" s="119"/>
      <c r="O42" s="119"/>
      <c r="P42" s="119"/>
      <c r="U42" s="42" t="s">
        <v>38</v>
      </c>
      <c r="W42" s="190"/>
      <c r="X42" s="164"/>
      <c r="Y42" s="165" t="str">
        <f t="shared" si="0"/>
        <v/>
      </c>
      <c r="Z42" s="165" t="str">
        <f t="shared" si="1"/>
        <v/>
      </c>
      <c r="AA42" s="68"/>
    </row>
    <row r="43" spans="1:27" x14ac:dyDescent="0.2">
      <c r="E43" s="82"/>
      <c r="H43" s="83"/>
      <c r="W43" s="190"/>
      <c r="X43" s="164">
        <f>1</f>
        <v>1</v>
      </c>
      <c r="Y43" s="165" t="str">
        <f t="shared" si="0"/>
        <v/>
      </c>
      <c r="Z43" s="165" t="str">
        <f t="shared" si="1"/>
        <v/>
      </c>
    </row>
    <row r="44" spans="1:27" ht="16" customHeight="1" x14ac:dyDescent="0.2">
      <c r="A44" s="69" t="s">
        <v>142</v>
      </c>
      <c r="B44" s="69" t="s">
        <v>143</v>
      </c>
      <c r="C44" s="41" t="s">
        <v>144</v>
      </c>
      <c r="D44" s="41" t="s">
        <v>145</v>
      </c>
      <c r="E44" s="82"/>
      <c r="F44" s="69"/>
      <c r="G44" s="69"/>
      <c r="H44" s="83"/>
      <c r="I44" s="114" t="s">
        <v>36</v>
      </c>
      <c r="J44" s="114"/>
      <c r="K44" s="114"/>
      <c r="L44" s="114"/>
      <c r="M44" s="114"/>
      <c r="N44" s="114"/>
      <c r="O44" s="114"/>
      <c r="P44" s="114"/>
      <c r="U44" s="42" t="s">
        <v>38</v>
      </c>
      <c r="W44" s="212"/>
      <c r="X44" s="213"/>
      <c r="Y44" s="214"/>
      <c r="Z44" s="165"/>
    </row>
    <row r="45" spans="1:27" ht="16" customHeight="1" x14ac:dyDescent="0.2">
      <c r="A45" s="69" t="s">
        <v>85</v>
      </c>
      <c r="B45" s="69" t="s">
        <v>146</v>
      </c>
      <c r="C45" s="41" t="s">
        <v>147</v>
      </c>
      <c r="D45" s="217" t="s">
        <v>148</v>
      </c>
      <c r="E45" s="82"/>
      <c r="F45" s="69"/>
      <c r="G45" s="69"/>
      <c r="H45" s="83"/>
      <c r="I45" s="114" t="s">
        <v>36</v>
      </c>
      <c r="J45" s="114"/>
      <c r="K45" s="114"/>
      <c r="L45" s="114"/>
      <c r="M45" s="114" t="s">
        <v>149</v>
      </c>
      <c r="N45" s="114"/>
      <c r="O45" s="114"/>
      <c r="P45" s="114"/>
      <c r="U45" s="42" t="s">
        <v>38</v>
      </c>
      <c r="W45" s="190">
        <v>10.08573150634766</v>
      </c>
      <c r="X45" s="164">
        <f>1</f>
        <v>1</v>
      </c>
      <c r="Y45" s="165">
        <f t="shared" ref="Y45:Y51" si="2">IF(W45&lt;&gt;"",W45*X45,"")</f>
        <v>10.08573150634766</v>
      </c>
      <c r="Z45" s="165">
        <f t="shared" ref="Z45:Z51" si="3">IF(AND(W45&lt;&gt;"",U45="yes"),W45*X45,"")</f>
        <v>10.08573150634766</v>
      </c>
    </row>
    <row r="46" spans="1:27" x14ac:dyDescent="0.2">
      <c r="D46" s="219"/>
      <c r="E46" s="82"/>
      <c r="H46" s="83"/>
      <c r="W46" s="190"/>
      <c r="X46" s="164">
        <f>1</f>
        <v>1</v>
      </c>
      <c r="Y46" s="165" t="str">
        <f t="shared" si="2"/>
        <v/>
      </c>
      <c r="Z46" s="165" t="str">
        <f t="shared" si="3"/>
        <v/>
      </c>
    </row>
    <row r="47" spans="1:27" ht="16" customHeight="1" x14ac:dyDescent="0.2">
      <c r="A47" s="69" t="s">
        <v>150</v>
      </c>
      <c r="B47" s="69" t="s">
        <v>151</v>
      </c>
      <c r="C47" s="41" t="s">
        <v>152</v>
      </c>
      <c r="D47" s="217" t="s">
        <v>153</v>
      </c>
      <c r="E47" s="82"/>
      <c r="F47" s="69"/>
      <c r="G47" s="69"/>
      <c r="H47" s="83"/>
      <c r="I47" s="114" t="s">
        <v>36</v>
      </c>
      <c r="J47" s="114"/>
      <c r="K47" s="114"/>
      <c r="L47" s="114"/>
      <c r="M47" s="114"/>
      <c r="N47" s="114"/>
      <c r="O47" s="114"/>
      <c r="P47" s="114"/>
      <c r="U47" s="42" t="s">
        <v>38</v>
      </c>
      <c r="W47" s="190">
        <v>12.894034385681151</v>
      </c>
      <c r="X47" s="164">
        <f>1</f>
        <v>1</v>
      </c>
      <c r="Y47" s="165">
        <f t="shared" si="2"/>
        <v>12.894034385681151</v>
      </c>
      <c r="Z47" s="165">
        <f t="shared" si="3"/>
        <v>12.894034385681151</v>
      </c>
    </row>
    <row r="48" spans="1:27" x14ac:dyDescent="0.2">
      <c r="E48" s="82"/>
      <c r="H48" s="83"/>
      <c r="W48" s="190"/>
      <c r="X48" s="164">
        <f>1</f>
        <v>1</v>
      </c>
      <c r="Y48" s="165" t="str">
        <f t="shared" si="2"/>
        <v/>
      </c>
      <c r="Z48" s="165" t="str">
        <f t="shared" si="3"/>
        <v/>
      </c>
    </row>
    <row r="49" spans="1:27" s="70" customFormat="1" ht="16" customHeight="1" x14ac:dyDescent="0.2">
      <c r="A49" s="70" t="s">
        <v>154</v>
      </c>
      <c r="B49" s="70" t="s">
        <v>155</v>
      </c>
      <c r="C49" s="44" t="s">
        <v>156</v>
      </c>
      <c r="D49" s="44" t="s">
        <v>157</v>
      </c>
      <c r="E49" s="93"/>
      <c r="F49" s="94"/>
      <c r="G49" s="94"/>
      <c r="H49" s="95"/>
      <c r="I49" s="121" t="s">
        <v>36</v>
      </c>
      <c r="J49" s="126"/>
      <c r="K49" s="126"/>
      <c r="L49" s="126"/>
      <c r="M49" s="126"/>
      <c r="N49" s="126"/>
      <c r="O49" s="126"/>
      <c r="P49" s="126"/>
      <c r="U49" s="70" t="s">
        <v>38</v>
      </c>
      <c r="W49" s="190">
        <v>15.265829086303709</v>
      </c>
      <c r="X49" s="164">
        <f>1</f>
        <v>1</v>
      </c>
      <c r="Y49" s="165">
        <f t="shared" si="2"/>
        <v>15.265829086303709</v>
      </c>
      <c r="Z49" s="165">
        <f t="shared" si="3"/>
        <v>15.265829086303709</v>
      </c>
    </row>
    <row r="50" spans="1:27" s="70" customFormat="1" ht="16" customHeight="1" x14ac:dyDescent="0.2">
      <c r="A50" s="70" t="s">
        <v>158</v>
      </c>
      <c r="B50" s="70" t="s">
        <v>159</v>
      </c>
      <c r="C50" s="44" t="s">
        <v>160</v>
      </c>
      <c r="D50" s="44" t="s">
        <v>161</v>
      </c>
      <c r="E50" s="93"/>
      <c r="F50" s="94"/>
      <c r="G50" s="94"/>
      <c r="H50" s="95"/>
      <c r="I50" s="121" t="s">
        <v>36</v>
      </c>
      <c r="J50" s="126"/>
      <c r="K50" s="126"/>
      <c r="L50" s="126"/>
      <c r="M50" s="126"/>
      <c r="N50" s="126"/>
      <c r="O50" s="126"/>
      <c r="P50" s="126"/>
      <c r="U50" s="70" t="s">
        <v>38</v>
      </c>
      <c r="W50" s="190">
        <v>15.12371826171875</v>
      </c>
      <c r="X50" s="164">
        <f>1</f>
        <v>1</v>
      </c>
      <c r="Y50" s="165">
        <f t="shared" si="2"/>
        <v>15.12371826171875</v>
      </c>
      <c r="Z50" s="165">
        <f t="shared" si="3"/>
        <v>15.12371826171875</v>
      </c>
    </row>
    <row r="51" spans="1:27" s="70" customFormat="1" ht="16" customHeight="1" x14ac:dyDescent="0.2">
      <c r="A51" s="70" t="s">
        <v>162</v>
      </c>
      <c r="B51" s="70" t="s">
        <v>163</v>
      </c>
      <c r="C51" s="44" t="s">
        <v>164</v>
      </c>
      <c r="D51" s="44" t="s">
        <v>165</v>
      </c>
      <c r="E51" s="93"/>
      <c r="F51" s="94"/>
      <c r="G51" s="94"/>
      <c r="H51" s="95"/>
      <c r="I51" s="121" t="s">
        <v>36</v>
      </c>
      <c r="J51" s="126"/>
      <c r="K51" s="126"/>
      <c r="L51" s="126"/>
      <c r="M51" s="126"/>
      <c r="N51" s="126"/>
      <c r="O51" s="126"/>
      <c r="P51" s="126"/>
      <c r="U51" s="70" t="s">
        <v>38</v>
      </c>
      <c r="W51" s="190">
        <v>13.76013851165771</v>
      </c>
      <c r="X51" s="164">
        <f>1</f>
        <v>1</v>
      </c>
      <c r="Y51" s="165">
        <f t="shared" si="2"/>
        <v>13.76013851165771</v>
      </c>
      <c r="Z51" s="165">
        <f t="shared" si="3"/>
        <v>13.76013851165771</v>
      </c>
    </row>
    <row r="52" spans="1:27" s="70" customFormat="1" x14ac:dyDescent="0.2">
      <c r="C52" s="44"/>
      <c r="D52" s="44"/>
      <c r="E52" s="93"/>
      <c r="F52" s="94"/>
      <c r="G52" s="94"/>
      <c r="H52" s="95"/>
      <c r="I52" s="121"/>
      <c r="J52" s="126"/>
      <c r="K52" s="126"/>
      <c r="L52" s="126"/>
      <c r="M52" s="126"/>
      <c r="N52" s="126"/>
      <c r="O52" s="126"/>
      <c r="P52" s="126"/>
      <c r="W52" s="190"/>
      <c r="X52" s="164"/>
      <c r="Y52" s="165"/>
      <c r="Z52" s="165"/>
    </row>
    <row r="53" spans="1:27" s="293" customFormat="1" ht="16" customHeight="1" x14ac:dyDescent="0.2">
      <c r="A53" s="293" t="s">
        <v>166</v>
      </c>
      <c r="B53" s="293" t="s">
        <v>167</v>
      </c>
      <c r="C53" s="301" t="s">
        <v>168</v>
      </c>
      <c r="D53" s="293" t="s">
        <v>169</v>
      </c>
      <c r="E53" s="301"/>
      <c r="F53" s="293" t="s">
        <v>170</v>
      </c>
      <c r="G53" s="293" t="s">
        <v>171</v>
      </c>
      <c r="I53" s="302" t="s">
        <v>36</v>
      </c>
      <c r="J53" s="302"/>
      <c r="K53" s="302"/>
      <c r="L53" s="302"/>
      <c r="M53" s="302"/>
      <c r="N53" s="302"/>
      <c r="O53" s="302"/>
      <c r="P53" s="302"/>
      <c r="U53" s="293" t="s">
        <v>38</v>
      </c>
      <c r="W53" s="303">
        <v>30.646188735961911</v>
      </c>
      <c r="X53" s="304">
        <f>1</f>
        <v>1</v>
      </c>
      <c r="Y53" s="305">
        <f>IF(W53&lt;&gt;"",W53*X53,"")</f>
        <v>30.646188735961911</v>
      </c>
      <c r="Z53" s="305">
        <f>IF(AND(W53&lt;&gt;"",U53="yes"),W53*X53,"")</f>
        <v>30.646188735961911</v>
      </c>
    </row>
    <row r="54" spans="1:27" ht="16" customHeight="1" x14ac:dyDescent="0.2">
      <c r="A54" s="42" t="s">
        <v>78</v>
      </c>
      <c r="B54" s="42" t="s">
        <v>172</v>
      </c>
      <c r="C54" s="43" t="s">
        <v>173</v>
      </c>
      <c r="D54" s="43" t="s">
        <v>174</v>
      </c>
      <c r="E54" s="82"/>
      <c r="F54" s="42" t="s">
        <v>175</v>
      </c>
      <c r="G54" s="42" t="s">
        <v>176</v>
      </c>
      <c r="H54" s="83"/>
      <c r="I54" s="121" t="s">
        <v>36</v>
      </c>
      <c r="K54" s="121" t="s">
        <v>177</v>
      </c>
      <c r="U54" s="42" t="s">
        <v>48</v>
      </c>
      <c r="W54" s="298">
        <v>15.21184825897217</v>
      </c>
      <c r="X54" s="299">
        <f>1</f>
        <v>1</v>
      </c>
      <c r="Y54" s="300">
        <f>IF(W54&lt;&gt;"",W54*X54,"")</f>
        <v>15.21184825897217</v>
      </c>
      <c r="Z54" s="300" t="str">
        <f>IF(AND(W54&lt;&gt;"",U54="yes"),W54*X54,"")</f>
        <v/>
      </c>
      <c r="AA54" s="42"/>
    </row>
    <row r="55" spans="1:27" s="293" customFormat="1" ht="16" customHeight="1" x14ac:dyDescent="0.2">
      <c r="A55" s="306" t="s">
        <v>178</v>
      </c>
      <c r="B55" s="306" t="s">
        <v>179</v>
      </c>
      <c r="C55" s="307" t="s">
        <v>180</v>
      </c>
      <c r="D55" s="306" t="s">
        <v>181</v>
      </c>
      <c r="E55" s="301"/>
      <c r="I55" s="302" t="s">
        <v>36</v>
      </c>
      <c r="J55" s="302"/>
      <c r="K55" s="302"/>
      <c r="L55" s="302"/>
      <c r="M55" s="312" t="s">
        <v>182</v>
      </c>
      <c r="N55" s="302"/>
      <c r="O55" s="302"/>
      <c r="P55" s="302"/>
      <c r="U55" s="293" t="s">
        <v>38</v>
      </c>
      <c r="W55" s="303"/>
      <c r="X55" s="304"/>
      <c r="Y55" s="305"/>
      <c r="Z55" s="305"/>
    </row>
    <row r="56" spans="1:27" s="293" customFormat="1" ht="32" customHeight="1" x14ac:dyDescent="0.2">
      <c r="A56" s="306" t="s">
        <v>78</v>
      </c>
      <c r="B56" s="306" t="s">
        <v>183</v>
      </c>
      <c r="C56" s="307" t="s">
        <v>184</v>
      </c>
      <c r="D56" s="307" t="s">
        <v>185</v>
      </c>
      <c r="E56" s="301"/>
      <c r="I56" s="302" t="s">
        <v>36</v>
      </c>
      <c r="J56" s="302"/>
      <c r="K56" s="302"/>
      <c r="L56" s="302"/>
      <c r="M56" s="312" t="s">
        <v>182</v>
      </c>
      <c r="N56" s="302"/>
      <c r="O56" s="302"/>
      <c r="P56" s="302"/>
      <c r="U56" s="293" t="s">
        <v>38</v>
      </c>
      <c r="W56" s="303"/>
      <c r="X56" s="304"/>
      <c r="Y56" s="305"/>
      <c r="Z56" s="305"/>
    </row>
    <row r="57" spans="1:27" s="293" customFormat="1" ht="16" customHeight="1" x14ac:dyDescent="0.2">
      <c r="A57" s="306" t="s">
        <v>78</v>
      </c>
      <c r="B57" s="306" t="s">
        <v>186</v>
      </c>
      <c r="C57" s="307" t="s">
        <v>187</v>
      </c>
      <c r="D57" s="307" t="s">
        <v>188</v>
      </c>
      <c r="E57" s="301"/>
      <c r="G57" s="293" t="s">
        <v>189</v>
      </c>
      <c r="I57" s="302" t="s">
        <v>36</v>
      </c>
      <c r="J57" s="302"/>
      <c r="K57" s="302"/>
      <c r="L57" s="302"/>
      <c r="M57" s="312" t="s">
        <v>190</v>
      </c>
      <c r="N57" s="302"/>
      <c r="O57" s="302"/>
      <c r="P57" s="302"/>
      <c r="U57" s="293" t="s">
        <v>38</v>
      </c>
      <c r="W57" s="303"/>
      <c r="X57" s="304"/>
      <c r="Y57" s="305"/>
      <c r="Z57" s="305"/>
    </row>
    <row r="58" spans="1:27" s="293" customFormat="1" ht="32" customHeight="1" x14ac:dyDescent="0.2">
      <c r="A58" s="306" t="s">
        <v>191</v>
      </c>
      <c r="B58" s="306" t="s">
        <v>192</v>
      </c>
      <c r="C58" s="307" t="s">
        <v>193</v>
      </c>
      <c r="D58" s="307" t="s">
        <v>194</v>
      </c>
      <c r="E58" s="301"/>
      <c r="I58" s="302" t="s">
        <v>36</v>
      </c>
      <c r="J58" s="302"/>
      <c r="K58" s="302"/>
      <c r="L58" s="302"/>
      <c r="M58" s="312" t="s">
        <v>182</v>
      </c>
      <c r="N58" s="302"/>
      <c r="O58" s="302"/>
      <c r="P58" s="302"/>
      <c r="U58" s="293" t="s">
        <v>38</v>
      </c>
      <c r="W58" s="303"/>
      <c r="X58" s="304"/>
      <c r="Y58" s="305"/>
      <c r="Z58" s="305"/>
    </row>
    <row r="59" spans="1:27" s="293" customFormat="1" ht="32" customHeight="1" x14ac:dyDescent="0.2">
      <c r="A59" s="306" t="s">
        <v>195</v>
      </c>
      <c r="B59" s="306" t="s">
        <v>196</v>
      </c>
      <c r="C59" s="307" t="s">
        <v>197</v>
      </c>
      <c r="D59" s="306" t="s">
        <v>198</v>
      </c>
      <c r="E59" s="301"/>
      <c r="I59" s="302" t="s">
        <v>36</v>
      </c>
      <c r="J59" s="302"/>
      <c r="K59" s="302"/>
      <c r="L59" s="302"/>
      <c r="M59" s="312" t="s">
        <v>199</v>
      </c>
      <c r="N59" s="302"/>
      <c r="O59" s="302"/>
      <c r="P59" s="302"/>
      <c r="U59" s="293" t="s">
        <v>38</v>
      </c>
      <c r="W59" s="303"/>
      <c r="X59" s="304"/>
      <c r="Y59" s="305"/>
      <c r="Z59" s="305"/>
    </row>
    <row r="60" spans="1:27" s="71" customFormat="1" ht="16" customHeight="1" x14ac:dyDescent="0.2">
      <c r="A60" s="71" t="s">
        <v>200</v>
      </c>
      <c r="B60" s="71" t="s">
        <v>201</v>
      </c>
      <c r="C60" s="72" t="s">
        <v>202</v>
      </c>
      <c r="D60" s="72" t="s">
        <v>203</v>
      </c>
      <c r="E60" s="73"/>
      <c r="F60" s="71" t="s">
        <v>204</v>
      </c>
      <c r="G60" s="71" t="s">
        <v>205</v>
      </c>
      <c r="H60" s="77"/>
      <c r="I60" s="115" t="s">
        <v>36</v>
      </c>
      <c r="J60" s="115"/>
      <c r="K60" s="115" t="s">
        <v>206</v>
      </c>
      <c r="L60" s="115"/>
      <c r="M60" s="115"/>
      <c r="N60" s="115"/>
      <c r="O60" s="115"/>
      <c r="P60" s="115"/>
      <c r="U60" s="71" t="s">
        <v>48</v>
      </c>
      <c r="W60" s="190">
        <v>17</v>
      </c>
      <c r="X60" s="164">
        <f>1</f>
        <v>1</v>
      </c>
      <c r="Y60" s="165">
        <f>IF(W60&lt;&gt;"",W60*X60,"")</f>
        <v>17</v>
      </c>
      <c r="Z60" s="165" t="str">
        <f>IF(AND(W60&lt;&gt;"",U60="yes"),W60*X60,"")</f>
        <v/>
      </c>
      <c r="AA60" s="70"/>
    </row>
    <row r="61" spans="1:27" s="71" customFormat="1" ht="16" customHeight="1" x14ac:dyDescent="0.2">
      <c r="A61" s="71" t="s">
        <v>207</v>
      </c>
      <c r="B61" s="71" t="s">
        <v>208</v>
      </c>
      <c r="C61" s="72" t="s">
        <v>209</v>
      </c>
      <c r="D61" s="72" t="s">
        <v>210</v>
      </c>
      <c r="E61" s="73"/>
      <c r="F61" s="71" t="s">
        <v>204</v>
      </c>
      <c r="G61" s="71" t="s">
        <v>205</v>
      </c>
      <c r="H61" s="77"/>
      <c r="I61" s="115" t="s">
        <v>36</v>
      </c>
      <c r="J61" s="115"/>
      <c r="K61" s="115" t="s">
        <v>206</v>
      </c>
      <c r="L61" s="115"/>
      <c r="M61" s="115"/>
      <c r="N61" s="115"/>
      <c r="O61" s="115"/>
      <c r="P61" s="115"/>
      <c r="U61" s="71" t="s">
        <v>48</v>
      </c>
      <c r="W61" s="190">
        <v>17</v>
      </c>
      <c r="X61" s="164">
        <f>1</f>
        <v>1</v>
      </c>
      <c r="Y61" s="165">
        <f>IF(W61&lt;&gt;"",W61*X61,"")</f>
        <v>17</v>
      </c>
      <c r="Z61" s="165" t="str">
        <f>IF(AND(W61&lt;&gt;"",U61="yes"),W61*X61,"")</f>
        <v/>
      </c>
      <c r="AA61" s="70"/>
    </row>
    <row r="62" spans="1:27" s="71" customFormat="1" ht="16" customHeight="1" x14ac:dyDescent="0.2">
      <c r="A62" s="71" t="s">
        <v>211</v>
      </c>
      <c r="B62" s="71" t="s">
        <v>212</v>
      </c>
      <c r="C62" s="72" t="s">
        <v>213</v>
      </c>
      <c r="D62" s="72" t="s">
        <v>214</v>
      </c>
      <c r="E62" s="73"/>
      <c r="H62" s="77"/>
      <c r="I62" s="115" t="s">
        <v>36</v>
      </c>
      <c r="J62" s="115"/>
      <c r="K62" s="115"/>
      <c r="L62" s="115"/>
      <c r="M62" s="115"/>
      <c r="N62" s="115"/>
      <c r="O62" s="115"/>
      <c r="P62" s="115"/>
      <c r="U62" s="71" t="s">
        <v>48</v>
      </c>
      <c r="W62" s="190">
        <v>8.2288064956665039</v>
      </c>
      <c r="X62" s="164">
        <f>1</f>
        <v>1</v>
      </c>
      <c r="Y62" s="165">
        <f>IF(W62&lt;&gt;"",W62*X62,"")</f>
        <v>8.2288064956665039</v>
      </c>
      <c r="Z62" s="165" t="str">
        <f>IF(AND(W62&lt;&gt;"",U62="yes"),W62*X62,"")</f>
        <v/>
      </c>
      <c r="AA62" s="70"/>
    </row>
    <row r="63" spans="1:27" s="71" customFormat="1" x14ac:dyDescent="0.2">
      <c r="C63" s="72"/>
      <c r="D63" s="72"/>
      <c r="E63" s="73"/>
      <c r="H63" s="77"/>
      <c r="I63" s="115"/>
      <c r="J63" s="115"/>
      <c r="K63" s="115"/>
      <c r="L63" s="115"/>
      <c r="M63" s="115"/>
      <c r="N63" s="115"/>
      <c r="O63" s="115"/>
      <c r="P63" s="115"/>
      <c r="W63" s="190"/>
      <c r="X63" s="164">
        <f>1</f>
        <v>1</v>
      </c>
      <c r="Y63" s="165" t="str">
        <f>IF(W63&lt;&gt;"",W63*X63,"")</f>
        <v/>
      </c>
      <c r="Z63" s="165" t="str">
        <f>IF(AND(W63&lt;&gt;"",U63="yes"),W63*X63,"")</f>
        <v/>
      </c>
      <c r="AA63" s="70"/>
    </row>
    <row r="64" spans="1:27" ht="16" customHeight="1" thickBot="1" x14ac:dyDescent="0.25">
      <c r="A64" s="96" t="s">
        <v>137</v>
      </c>
      <c r="B64" s="96"/>
      <c r="C64" s="97"/>
      <c r="D64" s="97"/>
      <c r="E64" s="106"/>
      <c r="F64" s="96"/>
      <c r="G64" s="96"/>
      <c r="H64" s="107"/>
      <c r="I64" s="127"/>
      <c r="J64" s="127"/>
      <c r="K64" s="127"/>
      <c r="L64" s="127"/>
      <c r="M64" s="127"/>
      <c r="N64" s="127"/>
      <c r="O64" s="127"/>
      <c r="P64" s="127"/>
      <c r="W64" s="190"/>
      <c r="X64" s="164">
        <f>1</f>
        <v>1</v>
      </c>
      <c r="Y64" s="165" t="str">
        <f>IF(W64&lt;&gt;"",W64*X64,"")</f>
        <v/>
      </c>
      <c r="Z64" s="165" t="str">
        <f>IF(AND(W64&lt;&gt;"",U64="yes"),W64*X64,"")</f>
        <v/>
      </c>
    </row>
    <row r="65" spans="1:26" s="289" customFormat="1" ht="15.75" customHeight="1" thickTop="1" x14ac:dyDescent="0.2">
      <c r="A65" s="289" t="s">
        <v>64</v>
      </c>
      <c r="B65" s="289" t="s">
        <v>215</v>
      </c>
      <c r="C65" s="290" t="s">
        <v>216</v>
      </c>
      <c r="D65" s="291" t="s">
        <v>217</v>
      </c>
      <c r="H65" s="292" t="s">
        <v>47</v>
      </c>
      <c r="I65" s="292"/>
      <c r="J65" s="292"/>
      <c r="K65" s="292"/>
      <c r="M65" s="292" t="s">
        <v>218</v>
      </c>
      <c r="N65" s="292"/>
      <c r="O65" s="292"/>
      <c r="T65" s="293" t="s">
        <v>38</v>
      </c>
      <c r="V65" s="212"/>
      <c r="W65" s="294"/>
      <c r="X65" s="214" t="str">
        <f>IF(V65&lt;&gt;"",V65*W65,"")</f>
        <v/>
      </c>
      <c r="Y65" s="214" t="str">
        <f>IF(AND(V65&lt;&gt;"",T65="yes"),V65*W65,"")</f>
        <v/>
      </c>
      <c r="Z65" s="294"/>
    </row>
    <row r="66" spans="1:26" s="289" customFormat="1" ht="75" customHeight="1" x14ac:dyDescent="0.2">
      <c r="A66" s="289" t="s">
        <v>219</v>
      </c>
      <c r="B66" s="290" t="s">
        <v>220</v>
      </c>
      <c r="C66" s="290" t="s">
        <v>221</v>
      </c>
      <c r="D66" s="290" t="s">
        <v>222</v>
      </c>
      <c r="H66" s="292" t="s">
        <v>36</v>
      </c>
      <c r="I66" s="292"/>
      <c r="J66" s="292"/>
      <c r="K66" s="292"/>
      <c r="L66" s="292"/>
      <c r="M66" s="292"/>
      <c r="N66" s="292"/>
      <c r="O66" s="292"/>
      <c r="T66" s="293" t="s">
        <v>38</v>
      </c>
      <c r="V66" s="212"/>
      <c r="W66" s="294"/>
      <c r="X66" s="214"/>
      <c r="Y66" s="214" t="str">
        <f>IF(AND(V66&lt;&gt;"",T66="yes"),V66*W66,"")</f>
        <v/>
      </c>
      <c r="Z66" s="294"/>
    </row>
    <row r="67" spans="1:26" s="289" customFormat="1" ht="75" customHeight="1" x14ac:dyDescent="0.2">
      <c r="A67" s="295" t="s">
        <v>142</v>
      </c>
      <c r="B67" s="289" t="s">
        <v>223</v>
      </c>
      <c r="C67" s="296" t="s">
        <v>224</v>
      </c>
      <c r="D67" s="297" t="s">
        <v>225</v>
      </c>
      <c r="H67" s="292" t="s">
        <v>36</v>
      </c>
      <c r="I67" s="292"/>
      <c r="J67" s="292"/>
      <c r="K67" s="292"/>
      <c r="L67" s="292"/>
      <c r="M67" s="292"/>
      <c r="N67" s="292"/>
      <c r="O67" s="292"/>
      <c r="T67" s="293" t="s">
        <v>38</v>
      </c>
      <c r="V67" s="212"/>
      <c r="W67" s="294"/>
      <c r="X67" s="214"/>
      <c r="Y67" s="214"/>
      <c r="Z67" s="294"/>
    </row>
    <row r="68" spans="1:26" s="289" customFormat="1" ht="61.5" customHeight="1" x14ac:dyDescent="0.2">
      <c r="A68" s="289" t="s">
        <v>226</v>
      </c>
      <c r="B68" s="289" t="s">
        <v>227</v>
      </c>
      <c r="C68" s="290" t="s">
        <v>228</v>
      </c>
      <c r="D68" s="329" t="s">
        <v>229</v>
      </c>
      <c r="H68" s="292" t="s">
        <v>36</v>
      </c>
      <c r="I68" s="292"/>
      <c r="J68" s="292"/>
      <c r="K68" s="292"/>
      <c r="M68" s="309" t="s">
        <v>230</v>
      </c>
      <c r="N68" s="292"/>
      <c r="O68" s="292"/>
      <c r="T68" s="293" t="s">
        <v>38</v>
      </c>
      <c r="V68" s="212"/>
      <c r="W68" s="294"/>
      <c r="X68" s="214"/>
      <c r="Y68" s="214"/>
      <c r="Z68" s="294"/>
    </row>
    <row r="69" spans="1:26" s="289" customFormat="1" ht="60" customHeight="1" x14ac:dyDescent="0.2">
      <c r="A69" s="289" t="s">
        <v>231</v>
      </c>
      <c r="B69" s="289" t="s">
        <v>232</v>
      </c>
      <c r="C69" s="290" t="s">
        <v>233</v>
      </c>
      <c r="D69" s="290" t="s">
        <v>234</v>
      </c>
      <c r="H69" s="292" t="s">
        <v>36</v>
      </c>
      <c r="I69" s="292"/>
      <c r="J69" s="292"/>
      <c r="K69" s="292"/>
      <c r="M69" s="309" t="s">
        <v>235</v>
      </c>
      <c r="N69" s="292"/>
      <c r="O69" s="292"/>
      <c r="T69" s="293" t="s">
        <v>38</v>
      </c>
      <c r="V69" s="212"/>
      <c r="W69" s="294"/>
      <c r="X69" s="214"/>
      <c r="Y69" s="214"/>
      <c r="Z69" s="294"/>
    </row>
    <row r="70" spans="1:26" s="289" customFormat="1" ht="16" customHeight="1" x14ac:dyDescent="0.2">
      <c r="A70" s="289" t="s">
        <v>236</v>
      </c>
      <c r="B70" s="289" t="s">
        <v>237</v>
      </c>
      <c r="C70" s="290" t="s">
        <v>238</v>
      </c>
      <c r="D70" s="330" t="s">
        <v>239</v>
      </c>
      <c r="H70" s="292" t="s">
        <v>36</v>
      </c>
      <c r="I70" s="292"/>
      <c r="J70" s="292"/>
      <c r="K70" s="292"/>
      <c r="M70" s="309" t="s">
        <v>235</v>
      </c>
      <c r="N70" s="292"/>
      <c r="O70" s="292"/>
      <c r="T70" s="293" t="s">
        <v>38</v>
      </c>
      <c r="V70" s="212"/>
      <c r="W70" s="294"/>
      <c r="X70" s="214"/>
      <c r="Y70" s="214"/>
      <c r="Z70" s="294"/>
    </row>
    <row r="71" spans="1:26" s="289" customFormat="1" ht="16" customHeight="1" x14ac:dyDescent="0.2">
      <c r="A71" s="289" t="s">
        <v>240</v>
      </c>
      <c r="B71" s="289" t="s">
        <v>241</v>
      </c>
      <c r="C71" s="290" t="s">
        <v>242</v>
      </c>
      <c r="D71" s="330" t="s">
        <v>243</v>
      </c>
      <c r="H71" s="292" t="s">
        <v>36</v>
      </c>
      <c r="I71" s="292"/>
      <c r="J71" s="292"/>
      <c r="K71" s="292"/>
      <c r="M71" s="309" t="s">
        <v>235</v>
      </c>
      <c r="N71" s="292"/>
      <c r="O71" s="292"/>
      <c r="T71" s="293" t="s">
        <v>38</v>
      </c>
      <c r="V71" s="212"/>
      <c r="W71" s="294"/>
      <c r="X71" s="214"/>
      <c r="Y71" s="214"/>
      <c r="Z71" s="294"/>
    </row>
    <row r="72" spans="1:26" s="289" customFormat="1" ht="16" customHeight="1" x14ac:dyDescent="0.2">
      <c r="A72" s="289" t="s">
        <v>244</v>
      </c>
      <c r="B72" s="289" t="s">
        <v>245</v>
      </c>
      <c r="C72" s="290" t="s">
        <v>246</v>
      </c>
      <c r="D72" s="290" t="s">
        <v>247</v>
      </c>
      <c r="H72" s="292" t="s">
        <v>36</v>
      </c>
      <c r="I72" s="292"/>
      <c r="J72" s="292"/>
      <c r="K72" s="292"/>
      <c r="M72" s="309" t="s">
        <v>235</v>
      </c>
      <c r="N72" s="292"/>
      <c r="O72" s="292"/>
      <c r="T72" s="293" t="s">
        <v>38</v>
      </c>
      <c r="V72" s="212"/>
      <c r="W72" s="294"/>
      <c r="X72" s="214"/>
      <c r="Y72" s="214"/>
      <c r="Z72" s="294"/>
    </row>
    <row r="73" spans="1:26" s="289" customFormat="1" ht="16" customHeight="1" x14ac:dyDescent="0.2">
      <c r="A73" s="289" t="s">
        <v>248</v>
      </c>
      <c r="B73" s="289" t="s">
        <v>249</v>
      </c>
      <c r="C73" s="290" t="s">
        <v>250</v>
      </c>
      <c r="D73" s="330" t="s">
        <v>251</v>
      </c>
      <c r="H73" s="292" t="s">
        <v>36</v>
      </c>
      <c r="I73" s="292"/>
      <c r="J73" s="292"/>
      <c r="K73" s="292"/>
      <c r="M73" s="309" t="s">
        <v>252</v>
      </c>
      <c r="N73" s="292"/>
      <c r="O73" s="292"/>
      <c r="T73" s="293" t="s">
        <v>38</v>
      </c>
      <c r="V73" s="212"/>
      <c r="W73" s="294"/>
      <c r="X73" s="214"/>
      <c r="Y73" s="214"/>
      <c r="Z73" s="294"/>
    </row>
    <row r="74" spans="1:26" s="289" customFormat="1" ht="30" customHeight="1" x14ac:dyDescent="0.2">
      <c r="A74" s="289" t="s">
        <v>253</v>
      </c>
      <c r="B74" s="289" t="s">
        <v>254</v>
      </c>
      <c r="C74" s="290" t="s">
        <v>255</v>
      </c>
      <c r="D74" s="290" t="s">
        <v>256</v>
      </c>
      <c r="H74" s="292" t="s">
        <v>36</v>
      </c>
      <c r="I74" s="292"/>
      <c r="J74" s="292"/>
      <c r="K74" s="292"/>
      <c r="M74" s="309" t="s">
        <v>257</v>
      </c>
      <c r="N74" s="292"/>
      <c r="O74" s="292"/>
      <c r="T74" s="293" t="s">
        <v>38</v>
      </c>
      <c r="V74" s="212"/>
      <c r="W74" s="294"/>
      <c r="X74" s="214"/>
      <c r="Y74" s="214"/>
      <c r="Z74" s="294"/>
    </row>
    <row r="75" spans="1:26" s="289" customFormat="1" ht="60" customHeight="1" x14ac:dyDescent="0.2">
      <c r="A75" s="289" t="s">
        <v>258</v>
      </c>
      <c r="B75" s="289" t="s">
        <v>259</v>
      </c>
      <c r="C75" s="290" t="s">
        <v>260</v>
      </c>
      <c r="D75" s="290" t="s">
        <v>261</v>
      </c>
      <c r="H75" s="292" t="s">
        <v>36</v>
      </c>
      <c r="I75" s="292"/>
      <c r="J75" s="292"/>
      <c r="K75" s="292"/>
      <c r="L75" s="309"/>
      <c r="M75" s="292"/>
      <c r="N75" s="292"/>
      <c r="O75" s="292"/>
      <c r="T75" s="293" t="s">
        <v>38</v>
      </c>
      <c r="V75" s="212"/>
      <c r="W75" s="294"/>
      <c r="X75" s="214"/>
      <c r="Y75" s="214"/>
      <c r="Z75" s="294"/>
    </row>
    <row r="76" spans="1:26" s="289" customFormat="1" ht="30" customHeight="1" x14ac:dyDescent="0.2">
      <c r="A76" s="289" t="s">
        <v>262</v>
      </c>
      <c r="B76" s="289" t="s">
        <v>263</v>
      </c>
      <c r="C76" s="290" t="s">
        <v>264</v>
      </c>
      <c r="D76" s="290" t="s">
        <v>265</v>
      </c>
      <c r="H76" s="292" t="s">
        <v>36</v>
      </c>
      <c r="I76" s="292"/>
      <c r="J76" s="292"/>
      <c r="K76" s="292"/>
      <c r="L76" s="309"/>
      <c r="M76" s="292"/>
      <c r="N76" s="292"/>
      <c r="O76" s="292"/>
      <c r="T76" s="293" t="s">
        <v>38</v>
      </c>
      <c r="V76" s="212"/>
      <c r="W76" s="294"/>
      <c r="X76" s="214"/>
      <c r="Y76" s="214"/>
      <c r="Z76" s="294"/>
    </row>
    <row r="77" spans="1:26" s="289" customFormat="1" ht="30" customHeight="1" x14ac:dyDescent="0.2">
      <c r="A77" s="289" t="s">
        <v>266</v>
      </c>
      <c r="B77" s="289" t="s">
        <v>267</v>
      </c>
      <c r="C77" s="290" t="s">
        <v>268</v>
      </c>
      <c r="D77" s="290" t="s">
        <v>269</v>
      </c>
      <c r="H77" s="292" t="s">
        <v>36</v>
      </c>
      <c r="I77" s="292"/>
      <c r="J77" s="292"/>
      <c r="K77" s="292"/>
      <c r="L77" s="309"/>
      <c r="M77" s="292"/>
      <c r="N77" s="292"/>
      <c r="O77" s="292"/>
      <c r="T77" s="293" t="s">
        <v>38</v>
      </c>
      <c r="V77" s="212"/>
      <c r="W77" s="294"/>
      <c r="X77" s="214"/>
      <c r="Y77" s="214"/>
      <c r="Z77" s="294"/>
    </row>
    <row r="78" spans="1:26" s="289" customFormat="1" ht="30" customHeight="1" x14ac:dyDescent="0.2">
      <c r="A78" s="289" t="s">
        <v>41</v>
      </c>
      <c r="B78" s="289" t="s">
        <v>270</v>
      </c>
      <c r="C78" s="290" t="s">
        <v>271</v>
      </c>
      <c r="D78" s="290" t="s">
        <v>272</v>
      </c>
      <c r="H78" s="292" t="s">
        <v>36</v>
      </c>
      <c r="I78" s="292"/>
      <c r="J78" s="292"/>
      <c r="K78" s="292"/>
      <c r="L78" s="309"/>
      <c r="M78" s="292"/>
      <c r="N78" s="292"/>
      <c r="O78" s="292"/>
      <c r="T78" s="293" t="s">
        <v>38</v>
      </c>
      <c r="V78" s="212"/>
      <c r="W78" s="294"/>
      <c r="X78" s="214"/>
      <c r="Y78" s="214"/>
      <c r="Z78" s="294"/>
    </row>
    <row r="79" spans="1:26" s="289" customFormat="1" ht="30" customHeight="1" x14ac:dyDescent="0.2">
      <c r="A79" s="289" t="s">
        <v>273</v>
      </c>
      <c r="B79" s="289" t="s">
        <v>274</v>
      </c>
      <c r="C79" s="290" t="s">
        <v>275</v>
      </c>
      <c r="D79" s="330" t="s">
        <v>276</v>
      </c>
      <c r="H79" s="292" t="s">
        <v>36</v>
      </c>
      <c r="I79" s="292"/>
      <c r="J79" s="292"/>
      <c r="K79" s="292"/>
      <c r="L79" s="309"/>
      <c r="M79" s="292"/>
      <c r="N79" s="292"/>
      <c r="O79" s="292"/>
      <c r="T79" s="293" t="s">
        <v>38</v>
      </c>
      <c r="V79" s="212"/>
      <c r="W79" s="294"/>
      <c r="X79" s="214"/>
      <c r="Y79" s="214"/>
      <c r="Z79" s="294"/>
    </row>
    <row r="80" spans="1:26" s="289" customFormat="1" ht="30" customHeight="1" x14ac:dyDescent="0.2">
      <c r="A80" s="289" t="s">
        <v>273</v>
      </c>
      <c r="B80" s="289" t="s">
        <v>277</v>
      </c>
      <c r="C80" s="333" t="s">
        <v>278</v>
      </c>
      <c r="D80" s="330" t="s">
        <v>279</v>
      </c>
      <c r="H80" s="292" t="s">
        <v>36</v>
      </c>
      <c r="I80" s="292"/>
      <c r="J80" s="292"/>
      <c r="K80" s="292"/>
      <c r="L80" s="309"/>
      <c r="M80" s="292"/>
      <c r="N80" s="292"/>
      <c r="O80" s="292"/>
      <c r="T80" s="293" t="s">
        <v>38</v>
      </c>
      <c r="V80" s="212"/>
      <c r="W80" s="294"/>
      <c r="X80" s="214"/>
      <c r="Y80" s="214"/>
      <c r="Z80" s="294"/>
    </row>
    <row r="81" spans="1:27" s="289" customFormat="1" ht="45" customHeight="1" x14ac:dyDescent="0.2">
      <c r="A81" s="289" t="s">
        <v>273</v>
      </c>
      <c r="B81" s="289" t="s">
        <v>280</v>
      </c>
      <c r="C81" s="333" t="s">
        <v>281</v>
      </c>
      <c r="D81" s="330" t="s">
        <v>282</v>
      </c>
      <c r="H81" s="292" t="s">
        <v>36</v>
      </c>
      <c r="I81" s="292"/>
      <c r="J81" s="292"/>
      <c r="K81" s="292"/>
      <c r="L81" s="309"/>
      <c r="M81" s="292"/>
      <c r="N81" s="292"/>
      <c r="O81" s="292"/>
      <c r="T81" s="293" t="s">
        <v>38</v>
      </c>
      <c r="V81" s="212"/>
      <c r="W81" s="294"/>
      <c r="X81" s="214"/>
      <c r="Y81" s="214"/>
      <c r="Z81" s="294"/>
    </row>
    <row r="82" spans="1:27" s="71" customFormat="1" x14ac:dyDescent="0.2">
      <c r="C82" s="72"/>
      <c r="D82" s="72"/>
      <c r="G82" s="77"/>
      <c r="H82" s="115"/>
      <c r="I82" s="115"/>
      <c r="J82" s="121"/>
      <c r="K82" s="115"/>
      <c r="L82" s="115"/>
      <c r="M82" s="115"/>
      <c r="N82" s="115"/>
      <c r="O82" s="115"/>
      <c r="V82" s="190"/>
      <c r="W82" s="164">
        <f>1</f>
        <v>1</v>
      </c>
      <c r="X82" s="165" t="str">
        <f>IF(V82&lt;&gt;"",V82*W82,"")</f>
        <v/>
      </c>
      <c r="Y82" s="165" t="str">
        <f>IF(AND(V82&lt;&gt;"",T82="yes"),V82*W82,"")</f>
        <v/>
      </c>
      <c r="Z82" s="70"/>
    </row>
    <row r="83" spans="1:27" ht="15.75" customHeight="1" thickBot="1" x14ac:dyDescent="0.25">
      <c r="A83" s="91" t="s">
        <v>137</v>
      </c>
      <c r="B83" s="91"/>
      <c r="C83" s="92"/>
      <c r="D83" s="92"/>
      <c r="E83" s="91"/>
      <c r="F83" s="91"/>
      <c r="G83" s="87"/>
      <c r="H83" s="125"/>
      <c r="I83" s="125"/>
      <c r="J83" s="125"/>
      <c r="K83" s="125"/>
      <c r="L83" s="125"/>
      <c r="M83" s="125"/>
      <c r="N83" s="125"/>
      <c r="O83" s="125"/>
      <c r="P83" s="42"/>
      <c r="V83" s="190"/>
      <c r="W83" s="70"/>
      <c r="X83" s="165" t="str">
        <f>IF(V83&lt;&gt;"",V83*W83,"")</f>
        <v/>
      </c>
      <c r="Y83" s="165" t="str">
        <f>IF(AND(V83&lt;&gt;"",T83="yes"),V83*W83,"")</f>
        <v/>
      </c>
      <c r="AA83" s="42"/>
    </row>
    <row r="84" spans="1:27" s="67" customFormat="1" ht="17" customHeight="1" thickTop="1" x14ac:dyDescent="0.2">
      <c r="A84" s="76" t="s">
        <v>64</v>
      </c>
      <c r="B84" s="76" t="s">
        <v>283</v>
      </c>
      <c r="C84" s="98" t="s">
        <v>284</v>
      </c>
      <c r="D84" s="98" t="s">
        <v>285</v>
      </c>
      <c r="E84" s="172"/>
      <c r="F84" s="76"/>
      <c r="G84" s="76"/>
      <c r="H84" s="173"/>
      <c r="I84" s="128" t="s">
        <v>47</v>
      </c>
      <c r="J84" s="128"/>
      <c r="K84" s="128"/>
      <c r="L84" s="128"/>
      <c r="M84" s="128" t="s">
        <v>141</v>
      </c>
      <c r="N84" s="128"/>
      <c r="O84" s="128"/>
      <c r="P84" s="128"/>
      <c r="U84" s="42" t="s">
        <v>38</v>
      </c>
      <c r="W84" s="190"/>
      <c r="X84" s="164">
        <f>1</f>
        <v>1</v>
      </c>
      <c r="Y84" s="165" t="str">
        <f t="shared" ref="Y84:Y93" si="4">IF(W84&lt;&gt;"",W84*X84,"")</f>
        <v/>
      </c>
      <c r="Z84" s="165" t="str">
        <f t="shared" ref="Z84:Z93" si="5">IF(AND(W84&lt;&gt;"",U84="yes"),W84*X84,"")</f>
        <v/>
      </c>
      <c r="AA84" s="68"/>
    </row>
    <row r="85" spans="1:27" x14ac:dyDescent="0.2">
      <c r="E85" s="82"/>
      <c r="H85" s="83"/>
      <c r="W85" s="190"/>
      <c r="X85" s="164">
        <f>1</f>
        <v>1</v>
      </c>
      <c r="Y85" s="165" t="str">
        <f t="shared" si="4"/>
        <v/>
      </c>
      <c r="Z85" s="165" t="str">
        <f t="shared" si="5"/>
        <v/>
      </c>
    </row>
    <row r="86" spans="1:27" ht="32" customHeight="1" x14ac:dyDescent="0.2">
      <c r="A86" s="74" t="s">
        <v>286</v>
      </c>
      <c r="B86" s="74" t="s">
        <v>287</v>
      </c>
      <c r="C86" s="75" t="s">
        <v>288</v>
      </c>
      <c r="D86" s="221" t="s">
        <v>289</v>
      </c>
      <c r="E86" s="93"/>
      <c r="F86" s="70" t="s">
        <v>290</v>
      </c>
      <c r="G86" s="42" t="s">
        <v>291</v>
      </c>
      <c r="H86" s="95"/>
      <c r="I86" s="116" t="s">
        <v>36</v>
      </c>
      <c r="J86" s="116" t="s">
        <v>292</v>
      </c>
      <c r="K86" s="116"/>
      <c r="L86" s="116"/>
      <c r="M86" s="116"/>
      <c r="N86" s="116"/>
      <c r="O86" s="116"/>
      <c r="P86" s="116"/>
      <c r="U86" s="42" t="s">
        <v>38</v>
      </c>
      <c r="W86" s="190">
        <v>36.928733825683587</v>
      </c>
      <c r="X86" s="164">
        <f>1</f>
        <v>1</v>
      </c>
      <c r="Y86" s="165">
        <f t="shared" si="4"/>
        <v>36.928733825683587</v>
      </c>
      <c r="Z86" s="165">
        <f t="shared" si="5"/>
        <v>36.928733825683587</v>
      </c>
    </row>
    <row r="87" spans="1:27" x14ac:dyDescent="0.2">
      <c r="A87" s="74" t="s">
        <v>26</v>
      </c>
      <c r="B87" s="74" t="s">
        <v>293</v>
      </c>
      <c r="C87" s="75"/>
      <c r="D87" s="69"/>
      <c r="E87" s="93"/>
      <c r="F87" s="70"/>
      <c r="G87" s="70"/>
      <c r="H87" s="95"/>
      <c r="I87" s="116"/>
      <c r="J87" s="116"/>
      <c r="K87" s="116"/>
      <c r="L87" s="116"/>
      <c r="M87" s="116"/>
      <c r="N87" s="116"/>
      <c r="O87" s="116"/>
      <c r="P87" s="116" t="s">
        <v>294</v>
      </c>
      <c r="U87" s="42" t="s">
        <v>38</v>
      </c>
      <c r="W87" s="190"/>
      <c r="X87" s="164">
        <f>1</f>
        <v>1</v>
      </c>
      <c r="Y87" s="165" t="str">
        <f t="shared" si="4"/>
        <v/>
      </c>
      <c r="Z87" s="165" t="str">
        <f t="shared" si="5"/>
        <v/>
      </c>
    </row>
    <row r="88" spans="1:27" ht="32" customHeight="1" x14ac:dyDescent="0.2">
      <c r="A88" s="74" t="s">
        <v>142</v>
      </c>
      <c r="B88" s="74" t="s">
        <v>295</v>
      </c>
      <c r="C88" s="75" t="s">
        <v>296</v>
      </c>
      <c r="D88" s="222" t="s">
        <v>297</v>
      </c>
      <c r="E88" s="93"/>
      <c r="F88" s="70"/>
      <c r="G88" s="70"/>
      <c r="H88" s="95"/>
      <c r="I88" s="116" t="s">
        <v>36</v>
      </c>
      <c r="J88" s="116"/>
      <c r="K88" s="116"/>
      <c r="L88" s="116"/>
      <c r="M88" s="116" t="s">
        <v>298</v>
      </c>
      <c r="N88" s="116"/>
      <c r="O88" s="116"/>
      <c r="P88" s="116"/>
      <c r="U88" s="42" t="s">
        <v>38</v>
      </c>
      <c r="W88" s="190">
        <v>0</v>
      </c>
      <c r="X88" s="164">
        <f>1</f>
        <v>1</v>
      </c>
      <c r="Y88" s="165">
        <f t="shared" si="4"/>
        <v>0</v>
      </c>
      <c r="Z88" s="165">
        <f t="shared" si="5"/>
        <v>0</v>
      </c>
    </row>
    <row r="89" spans="1:27" ht="32" customHeight="1" x14ac:dyDescent="0.2">
      <c r="A89" s="74" t="s">
        <v>142</v>
      </c>
      <c r="B89" s="74" t="s">
        <v>299</v>
      </c>
      <c r="C89" s="75" t="s">
        <v>300</v>
      </c>
      <c r="D89" s="222" t="s">
        <v>301</v>
      </c>
      <c r="E89" s="93"/>
      <c r="F89" s="70"/>
      <c r="G89" s="70"/>
      <c r="H89" s="95"/>
      <c r="I89" s="116" t="s">
        <v>36</v>
      </c>
      <c r="J89" s="116"/>
      <c r="K89" s="116"/>
      <c r="L89" s="116"/>
      <c r="M89" s="116" t="s">
        <v>302</v>
      </c>
      <c r="N89" s="116"/>
      <c r="O89" s="116"/>
      <c r="P89" s="116"/>
      <c r="U89" s="42" t="s">
        <v>38</v>
      </c>
      <c r="W89" s="190">
        <v>0</v>
      </c>
      <c r="X89" s="164">
        <f>1</f>
        <v>1</v>
      </c>
      <c r="Y89" s="165">
        <f t="shared" si="4"/>
        <v>0</v>
      </c>
      <c r="Z89" s="165">
        <f t="shared" si="5"/>
        <v>0</v>
      </c>
    </row>
    <row r="90" spans="1:27" ht="32" customHeight="1" x14ac:dyDescent="0.2">
      <c r="A90" s="74" t="s">
        <v>142</v>
      </c>
      <c r="B90" s="74" t="s">
        <v>303</v>
      </c>
      <c r="C90" s="75" t="s">
        <v>304</v>
      </c>
      <c r="D90" s="222" t="s">
        <v>305</v>
      </c>
      <c r="E90" s="93"/>
      <c r="F90" s="70"/>
      <c r="G90" s="70"/>
      <c r="H90" s="95"/>
      <c r="I90" s="116" t="s">
        <v>36</v>
      </c>
      <c r="J90" s="116"/>
      <c r="K90" s="116"/>
      <c r="L90" s="116"/>
      <c r="M90" s="116" t="s">
        <v>306</v>
      </c>
      <c r="N90" s="116"/>
      <c r="O90" s="116"/>
      <c r="P90" s="116"/>
      <c r="U90" s="42" t="s">
        <v>38</v>
      </c>
      <c r="W90" s="190">
        <v>0</v>
      </c>
      <c r="X90" s="164">
        <f>1</f>
        <v>1</v>
      </c>
      <c r="Y90" s="165">
        <f t="shared" si="4"/>
        <v>0</v>
      </c>
      <c r="Z90" s="165">
        <f t="shared" si="5"/>
        <v>0</v>
      </c>
    </row>
    <row r="91" spans="1:27" x14ac:dyDescent="0.2">
      <c r="D91" s="42"/>
      <c r="E91" s="82"/>
      <c r="H91" s="83"/>
      <c r="W91" s="190"/>
      <c r="X91" s="164">
        <f>1</f>
        <v>1</v>
      </c>
      <c r="Y91" s="165" t="str">
        <f t="shared" si="4"/>
        <v/>
      </c>
      <c r="Z91" s="165" t="str">
        <f t="shared" si="5"/>
        <v/>
      </c>
    </row>
    <row r="92" spans="1:27" s="71" customFormat="1" ht="32" customHeight="1" x14ac:dyDescent="0.2">
      <c r="A92" s="71" t="s">
        <v>307</v>
      </c>
      <c r="B92" s="71" t="s">
        <v>308</v>
      </c>
      <c r="C92" s="72" t="s">
        <v>309</v>
      </c>
      <c r="D92" s="223" t="s">
        <v>310</v>
      </c>
      <c r="E92" s="73"/>
      <c r="F92" s="71" t="s">
        <v>311</v>
      </c>
      <c r="G92" s="71" t="s">
        <v>312</v>
      </c>
      <c r="H92" s="77"/>
      <c r="I92" s="115" t="s">
        <v>36</v>
      </c>
      <c r="J92" s="115"/>
      <c r="K92" s="115" t="s">
        <v>313</v>
      </c>
      <c r="L92" s="115"/>
      <c r="M92" s="115" t="s">
        <v>314</v>
      </c>
      <c r="N92" s="115"/>
      <c r="O92" s="115"/>
      <c r="P92" s="115"/>
      <c r="U92" s="71" t="s">
        <v>48</v>
      </c>
      <c r="W92" s="190">
        <v>40.047317504882812</v>
      </c>
      <c r="X92" s="164">
        <f>1</f>
        <v>1</v>
      </c>
      <c r="Y92" s="165">
        <f t="shared" si="4"/>
        <v>40.047317504882812</v>
      </c>
      <c r="Z92" s="165" t="str">
        <f t="shared" si="5"/>
        <v/>
      </c>
      <c r="AA92" s="70"/>
    </row>
    <row r="93" spans="1:27" s="71" customFormat="1" x14ac:dyDescent="0.2">
      <c r="A93" s="71" t="s">
        <v>315</v>
      </c>
      <c r="B93" s="71" t="s">
        <v>316</v>
      </c>
      <c r="C93" s="71" t="s">
        <v>317</v>
      </c>
      <c r="D93" s="224" t="s">
        <v>318</v>
      </c>
      <c r="E93" s="77"/>
      <c r="F93" s="71" t="s">
        <v>319</v>
      </c>
      <c r="G93" s="71" t="s">
        <v>320</v>
      </c>
      <c r="H93" s="77"/>
      <c r="I93" s="115" t="s">
        <v>47</v>
      </c>
      <c r="J93" s="115"/>
      <c r="K93" s="115"/>
      <c r="L93" s="115"/>
      <c r="M93" s="115" t="s">
        <v>321</v>
      </c>
      <c r="N93" s="115"/>
      <c r="O93" s="115"/>
      <c r="P93" s="115"/>
      <c r="U93" s="71" t="s">
        <v>48</v>
      </c>
      <c r="W93" s="190">
        <v>3.6870110034942631</v>
      </c>
      <c r="X93" s="164">
        <f>1</f>
        <v>1</v>
      </c>
      <c r="Y93" s="165">
        <f t="shared" si="4"/>
        <v>3.6870110034942631</v>
      </c>
      <c r="Z93" s="165" t="str">
        <f t="shared" si="5"/>
        <v/>
      </c>
      <c r="AA93" s="70"/>
    </row>
    <row r="94" spans="1:27" x14ac:dyDescent="0.2">
      <c r="D94" s="74"/>
      <c r="E94" s="77"/>
      <c r="G94" s="71"/>
      <c r="H94" s="77"/>
    </row>
    <row r="95" spans="1:27" s="74" customFormat="1" x14ac:dyDescent="0.2">
      <c r="A95" s="74" t="s">
        <v>322</v>
      </c>
      <c r="B95" s="74" t="s">
        <v>323</v>
      </c>
      <c r="C95" s="74" t="s">
        <v>324</v>
      </c>
      <c r="D95" s="74" t="s">
        <v>325</v>
      </c>
      <c r="E95" s="95"/>
      <c r="H95" s="95"/>
      <c r="I95" s="116" t="s">
        <v>36</v>
      </c>
      <c r="J95" s="116"/>
      <c r="K95" s="116"/>
      <c r="L95" s="116"/>
      <c r="M95" s="116" t="s">
        <v>314</v>
      </c>
      <c r="N95" s="116"/>
      <c r="O95" s="116"/>
      <c r="P95" s="116"/>
      <c r="W95" s="191"/>
      <c r="X95" s="215"/>
      <c r="Y95" s="216"/>
      <c r="Z95" s="216"/>
    </row>
    <row r="96" spans="1:27" s="74" customFormat="1" x14ac:dyDescent="0.2">
      <c r="A96" s="74" t="s">
        <v>326</v>
      </c>
      <c r="B96" s="74" t="s">
        <v>327</v>
      </c>
      <c r="C96" s="74" t="s">
        <v>328</v>
      </c>
      <c r="D96" s="74" t="s">
        <v>329</v>
      </c>
      <c r="E96" s="95"/>
      <c r="H96" s="95"/>
      <c r="I96" s="116" t="s">
        <v>36</v>
      </c>
      <c r="J96" s="116"/>
      <c r="K96" s="116"/>
      <c r="L96" s="116"/>
      <c r="M96" s="116" t="s">
        <v>314</v>
      </c>
      <c r="N96" s="116"/>
      <c r="O96" s="116"/>
      <c r="P96" s="116"/>
      <c r="W96" s="191"/>
      <c r="X96" s="215"/>
      <c r="Y96" s="216"/>
      <c r="Z96" s="216"/>
    </row>
    <row r="97" spans="1:27" x14ac:dyDescent="0.2">
      <c r="E97" s="82"/>
      <c r="H97" s="83"/>
      <c r="W97" s="190"/>
      <c r="X97" s="164">
        <f>1</f>
        <v>1</v>
      </c>
      <c r="Y97" s="165" t="str">
        <f t="shared" ref="Y97:Y108" si="6">IF(W97&lt;&gt;"",W97*X97,"")</f>
        <v/>
      </c>
      <c r="Z97" s="165" t="str">
        <f t="shared" ref="Z97:Z108" si="7">IF(AND(W97&lt;&gt;"",U97="yes"),W97*X97,"")</f>
        <v/>
      </c>
    </row>
    <row r="98" spans="1:27" ht="32" customHeight="1" x14ac:dyDescent="0.2">
      <c r="A98" s="74" t="s">
        <v>330</v>
      </c>
      <c r="B98" s="74" t="s">
        <v>331</v>
      </c>
      <c r="C98" s="75" t="s">
        <v>332</v>
      </c>
      <c r="D98" s="222" t="s">
        <v>333</v>
      </c>
      <c r="E98" s="93"/>
      <c r="F98" s="74"/>
      <c r="G98" s="74"/>
      <c r="H98" s="95"/>
      <c r="I98" s="116" t="s">
        <v>36</v>
      </c>
      <c r="J98" s="116"/>
      <c r="K98" s="116"/>
      <c r="L98" s="116"/>
      <c r="M98" s="116" t="s">
        <v>314</v>
      </c>
      <c r="N98" s="116"/>
      <c r="O98" s="116"/>
      <c r="P98" s="116"/>
      <c r="U98" s="42" t="s">
        <v>38</v>
      </c>
      <c r="W98" s="190">
        <v>27.242166519165039</v>
      </c>
      <c r="X98" s="164">
        <f>1</f>
        <v>1</v>
      </c>
      <c r="Y98" s="165">
        <f t="shared" si="6"/>
        <v>27.242166519165039</v>
      </c>
      <c r="Z98" s="165">
        <f t="shared" si="7"/>
        <v>27.242166519165039</v>
      </c>
    </row>
    <row r="99" spans="1:27" x14ac:dyDescent="0.2">
      <c r="D99" s="225"/>
      <c r="E99" s="82"/>
      <c r="H99" s="83"/>
      <c r="W99" s="190"/>
      <c r="X99" s="164">
        <f>1</f>
        <v>1</v>
      </c>
      <c r="Y99" s="165" t="str">
        <f t="shared" si="6"/>
        <v/>
      </c>
      <c r="Z99" s="165" t="str">
        <f t="shared" si="7"/>
        <v/>
      </c>
    </row>
    <row r="100" spans="1:27" ht="32" customHeight="1" x14ac:dyDescent="0.2">
      <c r="A100" s="74" t="s">
        <v>334</v>
      </c>
      <c r="B100" s="74" t="s">
        <v>335</v>
      </c>
      <c r="C100" s="75" t="s">
        <v>336</v>
      </c>
      <c r="D100" s="217" t="s">
        <v>337</v>
      </c>
      <c r="E100" s="93"/>
      <c r="F100" s="70" t="s">
        <v>338</v>
      </c>
      <c r="G100" s="70" t="s">
        <v>339</v>
      </c>
      <c r="H100" s="95"/>
      <c r="I100" s="116" t="s">
        <v>36</v>
      </c>
      <c r="J100" s="116" t="s">
        <v>292</v>
      </c>
      <c r="K100" s="116"/>
      <c r="L100" s="116"/>
      <c r="M100" s="116" t="s">
        <v>314</v>
      </c>
      <c r="N100" s="116" t="s">
        <v>340</v>
      </c>
      <c r="O100" s="116"/>
      <c r="P100" s="116"/>
      <c r="U100" s="42" t="s">
        <v>38</v>
      </c>
      <c r="W100" s="190">
        <v>25.308004379272461</v>
      </c>
      <c r="X100" s="164">
        <f>1</f>
        <v>1</v>
      </c>
      <c r="Y100" s="165">
        <f t="shared" si="6"/>
        <v>25.308004379272461</v>
      </c>
      <c r="Z100" s="165">
        <f t="shared" si="7"/>
        <v>25.308004379272461</v>
      </c>
    </row>
    <row r="101" spans="1:27" x14ac:dyDescent="0.2">
      <c r="A101" s="74" t="s">
        <v>26</v>
      </c>
      <c r="B101" s="74" t="s">
        <v>341</v>
      </c>
      <c r="C101" s="75"/>
      <c r="D101" s="69"/>
      <c r="E101" s="93"/>
      <c r="F101" s="70"/>
      <c r="G101" s="70"/>
      <c r="H101" s="95"/>
      <c r="I101" s="116"/>
      <c r="J101" s="116"/>
      <c r="K101" s="116"/>
      <c r="L101" s="116"/>
      <c r="M101" s="116"/>
      <c r="N101" s="116"/>
      <c r="O101" s="116"/>
      <c r="P101" s="116" t="s">
        <v>342</v>
      </c>
      <c r="U101" s="42" t="s">
        <v>38</v>
      </c>
      <c r="W101" s="190"/>
      <c r="X101" s="164">
        <f>1</f>
        <v>1</v>
      </c>
      <c r="Y101" s="165" t="str">
        <f t="shared" si="6"/>
        <v/>
      </c>
      <c r="Z101" s="165" t="str">
        <f t="shared" si="7"/>
        <v/>
      </c>
    </row>
    <row r="102" spans="1:27" ht="32" customHeight="1" x14ac:dyDescent="0.2">
      <c r="A102" s="74" t="s">
        <v>142</v>
      </c>
      <c r="B102" s="74" t="s">
        <v>343</v>
      </c>
      <c r="C102" s="75" t="s">
        <v>296</v>
      </c>
      <c r="D102" s="222" t="s">
        <v>297</v>
      </c>
      <c r="E102" s="93"/>
      <c r="F102" s="70"/>
      <c r="G102" s="70"/>
      <c r="H102" s="95"/>
      <c r="I102" s="116" t="s">
        <v>36</v>
      </c>
      <c r="J102" s="116"/>
      <c r="K102" s="116"/>
      <c r="L102" s="116"/>
      <c r="M102" s="116" t="s">
        <v>344</v>
      </c>
      <c r="N102" s="116"/>
      <c r="O102" s="116"/>
      <c r="P102" s="116"/>
      <c r="U102" s="42" t="s">
        <v>38</v>
      </c>
      <c r="W102" s="190">
        <v>0</v>
      </c>
      <c r="X102" s="164">
        <f>1</f>
        <v>1</v>
      </c>
      <c r="Y102" s="165">
        <f t="shared" si="6"/>
        <v>0</v>
      </c>
      <c r="Z102" s="165">
        <f t="shared" si="7"/>
        <v>0</v>
      </c>
    </row>
    <row r="103" spans="1:27" ht="32" customHeight="1" x14ac:dyDescent="0.2">
      <c r="A103" s="74" t="s">
        <v>142</v>
      </c>
      <c r="B103" s="74" t="s">
        <v>345</v>
      </c>
      <c r="C103" s="75" t="s">
        <v>300</v>
      </c>
      <c r="D103" s="222" t="s">
        <v>301</v>
      </c>
      <c r="E103" s="93"/>
      <c r="F103" s="70"/>
      <c r="G103" s="70"/>
      <c r="H103" s="95"/>
      <c r="I103" s="116" t="s">
        <v>36</v>
      </c>
      <c r="J103" s="116"/>
      <c r="K103" s="116"/>
      <c r="L103" s="116"/>
      <c r="M103" s="116" t="s">
        <v>346</v>
      </c>
      <c r="N103" s="116"/>
      <c r="O103" s="116"/>
      <c r="P103" s="116"/>
      <c r="U103" s="42" t="s">
        <v>38</v>
      </c>
      <c r="W103" s="190">
        <v>0</v>
      </c>
      <c r="X103" s="164">
        <f>1</f>
        <v>1</v>
      </c>
      <c r="Y103" s="165">
        <f t="shared" si="6"/>
        <v>0</v>
      </c>
      <c r="Z103" s="165">
        <f t="shared" si="7"/>
        <v>0</v>
      </c>
    </row>
    <row r="104" spans="1:27" ht="32" customHeight="1" x14ac:dyDescent="0.2">
      <c r="A104" s="74" t="s">
        <v>142</v>
      </c>
      <c r="B104" s="74" t="s">
        <v>347</v>
      </c>
      <c r="C104" s="75" t="s">
        <v>348</v>
      </c>
      <c r="D104" s="222" t="s">
        <v>349</v>
      </c>
      <c r="E104" s="93"/>
      <c r="F104" s="70"/>
      <c r="G104" s="70"/>
      <c r="H104" s="95"/>
      <c r="I104" s="116" t="s">
        <v>36</v>
      </c>
      <c r="J104" s="116"/>
      <c r="K104" s="116"/>
      <c r="L104" s="116"/>
      <c r="M104" s="116" t="s">
        <v>350</v>
      </c>
      <c r="N104" s="116"/>
      <c r="O104" s="116"/>
      <c r="P104" s="116"/>
      <c r="U104" s="42" t="s">
        <v>38</v>
      </c>
      <c r="W104" s="190">
        <v>0</v>
      </c>
      <c r="X104" s="164">
        <f>1</f>
        <v>1</v>
      </c>
      <c r="Y104" s="165">
        <f t="shared" si="6"/>
        <v>0</v>
      </c>
      <c r="Z104" s="165">
        <f t="shared" si="7"/>
        <v>0</v>
      </c>
    </row>
    <row r="105" spans="1:27" x14ac:dyDescent="0.2">
      <c r="E105" s="82"/>
      <c r="H105" s="83"/>
      <c r="W105" s="190"/>
      <c r="X105" s="164">
        <f>1</f>
        <v>1</v>
      </c>
      <c r="Y105" s="165" t="str">
        <f t="shared" si="6"/>
        <v/>
      </c>
      <c r="Z105" s="165" t="str">
        <f t="shared" si="7"/>
        <v/>
      </c>
    </row>
    <row r="106" spans="1:27" s="71" customFormat="1" ht="32" customHeight="1" x14ac:dyDescent="0.2">
      <c r="A106" s="71" t="s">
        <v>307</v>
      </c>
      <c r="B106" s="71" t="s">
        <v>351</v>
      </c>
      <c r="C106" s="72" t="s">
        <v>352</v>
      </c>
      <c r="D106" s="223" t="s">
        <v>353</v>
      </c>
      <c r="E106" s="73"/>
      <c r="F106" s="71" t="s">
        <v>311</v>
      </c>
      <c r="G106" s="71" t="s">
        <v>354</v>
      </c>
      <c r="H106" s="77"/>
      <c r="I106" s="115" t="s">
        <v>36</v>
      </c>
      <c r="J106" s="115"/>
      <c r="K106" s="115" t="s">
        <v>313</v>
      </c>
      <c r="L106" s="115"/>
      <c r="M106" s="115" t="s">
        <v>355</v>
      </c>
      <c r="N106" s="115"/>
      <c r="O106" s="115"/>
      <c r="P106" s="115"/>
      <c r="U106" s="71" t="s">
        <v>48</v>
      </c>
      <c r="W106" s="190">
        <v>30.828470230102539</v>
      </c>
      <c r="X106" s="164">
        <f>1</f>
        <v>1</v>
      </c>
      <c r="Y106" s="165">
        <f t="shared" si="6"/>
        <v>30.828470230102539</v>
      </c>
      <c r="Z106" s="165" t="str">
        <f t="shared" si="7"/>
        <v/>
      </c>
      <c r="AA106" s="70"/>
    </row>
    <row r="107" spans="1:27" s="71" customFormat="1" x14ac:dyDescent="0.2">
      <c r="A107" s="71" t="s">
        <v>315</v>
      </c>
      <c r="B107" s="71" t="s">
        <v>356</v>
      </c>
      <c r="C107" s="71" t="s">
        <v>317</v>
      </c>
      <c r="D107" s="224" t="s">
        <v>318</v>
      </c>
      <c r="E107" s="73"/>
      <c r="F107" s="71" t="s">
        <v>319</v>
      </c>
      <c r="G107" s="71" t="s">
        <v>320</v>
      </c>
      <c r="H107" s="77"/>
      <c r="I107" s="115" t="s">
        <v>47</v>
      </c>
      <c r="J107" s="115"/>
      <c r="K107" s="115"/>
      <c r="L107" s="115"/>
      <c r="M107" s="115" t="s">
        <v>357</v>
      </c>
      <c r="N107" s="115"/>
      <c r="O107" s="115"/>
      <c r="P107" s="115"/>
      <c r="U107" s="71" t="s">
        <v>48</v>
      </c>
      <c r="W107" s="190">
        <v>2.29411768913269</v>
      </c>
      <c r="X107" s="164">
        <f>1</f>
        <v>1</v>
      </c>
      <c r="Y107" s="165">
        <f t="shared" si="6"/>
        <v>2.29411768913269</v>
      </c>
      <c r="Z107" s="165" t="str">
        <f t="shared" si="7"/>
        <v/>
      </c>
      <c r="AA107" s="70"/>
    </row>
    <row r="108" spans="1:27" s="71" customFormat="1" x14ac:dyDescent="0.2">
      <c r="C108" s="72"/>
      <c r="D108" s="72"/>
      <c r="E108" s="73"/>
      <c r="H108" s="77"/>
      <c r="I108" s="115"/>
      <c r="J108" s="115"/>
      <c r="K108" s="115"/>
      <c r="L108" s="115"/>
      <c r="M108" s="115"/>
      <c r="N108" s="115"/>
      <c r="O108" s="115"/>
      <c r="P108" s="115"/>
      <c r="W108" s="190"/>
      <c r="X108" s="164">
        <f>1</f>
        <v>1</v>
      </c>
      <c r="Y108" s="165" t="str">
        <f t="shared" si="6"/>
        <v/>
      </c>
      <c r="Z108" s="165" t="str">
        <f t="shared" si="7"/>
        <v/>
      </c>
      <c r="AA108" s="70"/>
    </row>
    <row r="109" spans="1:27" s="71" customFormat="1" x14ac:dyDescent="0.2">
      <c r="A109" s="71" t="s">
        <v>322</v>
      </c>
      <c r="B109" s="71" t="s">
        <v>358</v>
      </c>
      <c r="C109" s="71" t="s">
        <v>324</v>
      </c>
      <c r="D109" s="287" t="s">
        <v>325</v>
      </c>
      <c r="E109" s="77"/>
      <c r="H109" s="77"/>
      <c r="I109" s="115" t="s">
        <v>36</v>
      </c>
      <c r="J109" s="115"/>
      <c r="K109" s="115"/>
      <c r="L109" s="115"/>
      <c r="M109" s="115" t="s">
        <v>355</v>
      </c>
      <c r="N109" s="115"/>
      <c r="O109" s="115"/>
      <c r="P109" s="115"/>
      <c r="W109" s="190"/>
      <c r="X109" s="164"/>
      <c r="Y109" s="165"/>
      <c r="Z109" s="165"/>
      <c r="AA109" s="70"/>
    </row>
    <row r="110" spans="1:27" s="71" customFormat="1" x14ac:dyDescent="0.2">
      <c r="A110" s="71" t="s">
        <v>326</v>
      </c>
      <c r="B110" s="71" t="s">
        <v>359</v>
      </c>
      <c r="C110" s="71" t="s">
        <v>328</v>
      </c>
      <c r="D110" s="287" t="s">
        <v>329</v>
      </c>
      <c r="E110" s="77"/>
      <c r="H110" s="77"/>
      <c r="I110" s="115" t="s">
        <v>36</v>
      </c>
      <c r="J110" s="115"/>
      <c r="K110" s="115"/>
      <c r="L110" s="115"/>
      <c r="M110" s="115" t="s">
        <v>355</v>
      </c>
      <c r="N110" s="115"/>
      <c r="O110" s="115"/>
      <c r="P110" s="115"/>
      <c r="W110" s="190"/>
      <c r="X110" s="164"/>
      <c r="Y110" s="165"/>
      <c r="Z110" s="165"/>
      <c r="AA110" s="70"/>
    </row>
    <row r="111" spans="1:27" s="71" customFormat="1" x14ac:dyDescent="0.2">
      <c r="C111" s="72"/>
      <c r="D111" s="72"/>
      <c r="E111" s="73"/>
      <c r="H111" s="77"/>
      <c r="I111" s="115"/>
      <c r="J111" s="115"/>
      <c r="K111" s="115"/>
      <c r="L111" s="115"/>
      <c r="M111" s="115"/>
      <c r="N111" s="115"/>
      <c r="O111" s="115"/>
      <c r="P111" s="115"/>
      <c r="W111" s="190"/>
      <c r="X111" s="164">
        <f>1</f>
        <v>1</v>
      </c>
      <c r="Y111" s="165" t="str">
        <f t="shared" ref="Y111:Y122" si="8">IF(W111&lt;&gt;"",W111*X111,"")</f>
        <v/>
      </c>
      <c r="Z111" s="165" t="str">
        <f t="shared" ref="Z111:Z122" si="9">IF(AND(W111&lt;&gt;"",U111="yes"),W111*X111,"")</f>
        <v/>
      </c>
      <c r="AA111" s="70"/>
    </row>
    <row r="112" spans="1:27" ht="32" customHeight="1" x14ac:dyDescent="0.2">
      <c r="A112" s="74" t="s">
        <v>330</v>
      </c>
      <c r="B112" s="74" t="s">
        <v>360</v>
      </c>
      <c r="C112" s="75" t="s">
        <v>361</v>
      </c>
      <c r="D112" s="222" t="s">
        <v>362</v>
      </c>
      <c r="E112" s="93"/>
      <c r="F112" s="74"/>
      <c r="G112" s="74"/>
      <c r="H112" s="95"/>
      <c r="I112" s="116" t="s">
        <v>36</v>
      </c>
      <c r="J112" s="116"/>
      <c r="K112" s="116"/>
      <c r="L112" s="116"/>
      <c r="M112" s="116" t="s">
        <v>355</v>
      </c>
      <c r="N112" s="116"/>
      <c r="O112" s="116"/>
      <c r="P112" s="116"/>
      <c r="U112" s="42" t="s">
        <v>38</v>
      </c>
      <c r="W112" s="190">
        <v>21.193256378173832</v>
      </c>
      <c r="X112" s="164">
        <f>1</f>
        <v>1</v>
      </c>
      <c r="Y112" s="165">
        <f t="shared" si="8"/>
        <v>21.193256378173832</v>
      </c>
      <c r="Z112" s="165">
        <f t="shared" si="9"/>
        <v>21.193256378173832</v>
      </c>
    </row>
    <row r="113" spans="1:27" x14ac:dyDescent="0.2">
      <c r="D113" s="225"/>
      <c r="E113" s="82"/>
      <c r="H113" s="83"/>
      <c r="M113" s="126"/>
      <c r="W113" s="190"/>
      <c r="X113" s="164">
        <f>1</f>
        <v>1</v>
      </c>
      <c r="Y113" s="165" t="str">
        <f t="shared" si="8"/>
        <v/>
      </c>
      <c r="Z113" s="165" t="str">
        <f t="shared" si="9"/>
        <v/>
      </c>
    </row>
    <row r="114" spans="1:27" ht="32" customHeight="1" x14ac:dyDescent="0.2">
      <c r="A114" s="74" t="s">
        <v>363</v>
      </c>
      <c r="B114" s="74" t="s">
        <v>364</v>
      </c>
      <c r="C114" s="74" t="s">
        <v>365</v>
      </c>
      <c r="D114" s="217" t="s">
        <v>366</v>
      </c>
      <c r="E114" s="95"/>
      <c r="F114" s="70" t="s">
        <v>338</v>
      </c>
      <c r="G114" s="70" t="s">
        <v>339</v>
      </c>
      <c r="H114" s="95"/>
      <c r="I114" s="116" t="s">
        <v>36</v>
      </c>
      <c r="J114" s="116" t="s">
        <v>292</v>
      </c>
      <c r="K114" s="116"/>
      <c r="L114" s="116"/>
      <c r="M114" s="116" t="s">
        <v>355</v>
      </c>
      <c r="N114" s="116" t="s">
        <v>367</v>
      </c>
      <c r="O114" s="116"/>
      <c r="P114" s="116"/>
      <c r="U114" s="42" t="s">
        <v>38</v>
      </c>
      <c r="W114" s="190">
        <v>20.229927062988281</v>
      </c>
      <c r="X114" s="164">
        <f>1</f>
        <v>1</v>
      </c>
      <c r="Y114" s="165">
        <f t="shared" si="8"/>
        <v>20.229927062988281</v>
      </c>
      <c r="Z114" s="165">
        <f t="shared" si="9"/>
        <v>20.229927062988281</v>
      </c>
    </row>
    <row r="115" spans="1:27" x14ac:dyDescent="0.2">
      <c r="A115" s="74" t="s">
        <v>26</v>
      </c>
      <c r="B115" s="74" t="s">
        <v>368</v>
      </c>
      <c r="C115" s="75"/>
      <c r="D115" s="69"/>
      <c r="E115" s="93"/>
      <c r="F115" s="70"/>
      <c r="G115" s="70"/>
      <c r="H115" s="95"/>
      <c r="I115" s="116"/>
      <c r="J115" s="116"/>
      <c r="K115" s="116"/>
      <c r="L115" s="116"/>
      <c r="M115" s="116"/>
      <c r="N115" s="116"/>
      <c r="O115" s="116"/>
      <c r="P115" s="116" t="s">
        <v>369</v>
      </c>
      <c r="U115" s="42" t="s">
        <v>38</v>
      </c>
      <c r="W115" s="190"/>
      <c r="X115" s="164">
        <f>1</f>
        <v>1</v>
      </c>
      <c r="Y115" s="165" t="str">
        <f t="shared" si="8"/>
        <v/>
      </c>
      <c r="Z115" s="165" t="str">
        <f t="shared" si="9"/>
        <v/>
      </c>
    </row>
    <row r="116" spans="1:27" ht="32" customHeight="1" x14ac:dyDescent="0.2">
      <c r="A116" s="74" t="s">
        <v>142</v>
      </c>
      <c r="B116" s="74" t="s">
        <v>370</v>
      </c>
      <c r="C116" s="75" t="s">
        <v>296</v>
      </c>
      <c r="D116" s="222" t="s">
        <v>297</v>
      </c>
      <c r="E116" s="93"/>
      <c r="F116" s="70"/>
      <c r="G116" s="70"/>
      <c r="H116" s="95"/>
      <c r="I116" s="116" t="s">
        <v>36</v>
      </c>
      <c r="J116" s="116"/>
      <c r="K116" s="116"/>
      <c r="L116" s="116"/>
      <c r="M116" s="116" t="s">
        <v>371</v>
      </c>
      <c r="N116" s="116"/>
      <c r="O116" s="116"/>
      <c r="P116" s="116"/>
      <c r="U116" s="42" t="s">
        <v>38</v>
      </c>
      <c r="W116" s="190">
        <v>0</v>
      </c>
      <c r="X116" s="164">
        <f>1</f>
        <v>1</v>
      </c>
      <c r="Y116" s="165">
        <f t="shared" si="8"/>
        <v>0</v>
      </c>
      <c r="Z116" s="165">
        <f t="shared" si="9"/>
        <v>0</v>
      </c>
    </row>
    <row r="117" spans="1:27" ht="32" customHeight="1" x14ac:dyDescent="0.2">
      <c r="A117" s="74" t="s">
        <v>142</v>
      </c>
      <c r="B117" s="74" t="s">
        <v>372</v>
      </c>
      <c r="C117" s="75" t="s">
        <v>300</v>
      </c>
      <c r="D117" s="222" t="s">
        <v>301</v>
      </c>
      <c r="E117" s="93"/>
      <c r="F117" s="70"/>
      <c r="G117" s="70"/>
      <c r="H117" s="95"/>
      <c r="I117" s="116" t="s">
        <v>36</v>
      </c>
      <c r="J117" s="116"/>
      <c r="K117" s="116"/>
      <c r="L117" s="116"/>
      <c r="M117" s="116" t="s">
        <v>373</v>
      </c>
      <c r="N117" s="116"/>
      <c r="O117" s="116"/>
      <c r="P117" s="116"/>
      <c r="U117" s="42" t="s">
        <v>38</v>
      </c>
      <c r="W117" s="190">
        <v>0</v>
      </c>
      <c r="X117" s="164">
        <f>1</f>
        <v>1</v>
      </c>
      <c r="Y117" s="165">
        <f t="shared" si="8"/>
        <v>0</v>
      </c>
      <c r="Z117" s="165">
        <f t="shared" si="9"/>
        <v>0</v>
      </c>
    </row>
    <row r="118" spans="1:27" ht="32" customHeight="1" x14ac:dyDescent="0.2">
      <c r="A118" s="74" t="s">
        <v>142</v>
      </c>
      <c r="B118" s="74" t="s">
        <v>374</v>
      </c>
      <c r="C118" s="75" t="s">
        <v>348</v>
      </c>
      <c r="D118" s="222" t="s">
        <v>349</v>
      </c>
      <c r="E118" s="93"/>
      <c r="F118" s="70"/>
      <c r="G118" s="70"/>
      <c r="H118" s="95"/>
      <c r="I118" s="116" t="s">
        <v>36</v>
      </c>
      <c r="J118" s="116"/>
      <c r="K118" s="116"/>
      <c r="L118" s="116"/>
      <c r="M118" s="116" t="s">
        <v>375</v>
      </c>
      <c r="N118" s="116"/>
      <c r="O118" s="116"/>
      <c r="P118" s="116"/>
      <c r="U118" s="42" t="s">
        <v>38</v>
      </c>
      <c r="W118" s="190">
        <v>0</v>
      </c>
      <c r="X118" s="164">
        <f>1</f>
        <v>1</v>
      </c>
      <c r="Y118" s="165">
        <f t="shared" si="8"/>
        <v>0</v>
      </c>
      <c r="Z118" s="165">
        <f t="shared" si="9"/>
        <v>0</v>
      </c>
    </row>
    <row r="119" spans="1:27" x14ac:dyDescent="0.2">
      <c r="E119" s="82"/>
      <c r="H119" s="83"/>
      <c r="W119" s="190"/>
      <c r="X119" s="164">
        <f>1</f>
        <v>1</v>
      </c>
      <c r="Y119" s="165" t="str">
        <f t="shared" si="8"/>
        <v/>
      </c>
      <c r="Z119" s="165" t="str">
        <f t="shared" si="9"/>
        <v/>
      </c>
    </row>
    <row r="120" spans="1:27" s="71" customFormat="1" ht="32" customHeight="1" x14ac:dyDescent="0.2">
      <c r="A120" s="71" t="s">
        <v>307</v>
      </c>
      <c r="B120" s="71" t="s">
        <v>376</v>
      </c>
      <c r="C120" s="72" t="s">
        <v>377</v>
      </c>
      <c r="D120" s="223" t="s">
        <v>378</v>
      </c>
      <c r="E120" s="73"/>
      <c r="F120" s="71" t="s">
        <v>311</v>
      </c>
      <c r="G120" s="71" t="s">
        <v>354</v>
      </c>
      <c r="H120" s="77"/>
      <c r="I120" s="115" t="s">
        <v>36</v>
      </c>
      <c r="J120" s="115"/>
      <c r="K120" s="115" t="s">
        <v>313</v>
      </c>
      <c r="L120" s="115"/>
      <c r="M120" s="115" t="s">
        <v>379</v>
      </c>
      <c r="N120" s="115"/>
      <c r="O120" s="115"/>
      <c r="P120" s="115"/>
      <c r="U120" s="71" t="s">
        <v>48</v>
      </c>
      <c r="W120" s="190">
        <v>29.42983245849609</v>
      </c>
      <c r="X120" s="164">
        <f>1</f>
        <v>1</v>
      </c>
      <c r="Y120" s="165">
        <f t="shared" si="8"/>
        <v>29.42983245849609</v>
      </c>
      <c r="Z120" s="165" t="str">
        <f t="shared" si="9"/>
        <v/>
      </c>
      <c r="AA120" s="70"/>
    </row>
    <row r="121" spans="1:27" s="71" customFormat="1" x14ac:dyDescent="0.2">
      <c r="A121" s="71" t="s">
        <v>315</v>
      </c>
      <c r="B121" s="71" t="s">
        <v>380</v>
      </c>
      <c r="C121" s="71" t="s">
        <v>317</v>
      </c>
      <c r="D121" s="224" t="s">
        <v>318</v>
      </c>
      <c r="E121" s="73"/>
      <c r="F121" s="71" t="s">
        <v>319</v>
      </c>
      <c r="G121" s="71" t="s">
        <v>320</v>
      </c>
      <c r="H121" s="99"/>
      <c r="I121" s="115" t="s">
        <v>47</v>
      </c>
      <c r="J121" s="115"/>
      <c r="K121" s="115"/>
      <c r="L121" s="115"/>
      <c r="M121" s="129" t="s">
        <v>381</v>
      </c>
      <c r="N121" s="115"/>
      <c r="O121" s="115"/>
      <c r="P121" s="115"/>
      <c r="U121" s="71" t="s">
        <v>48</v>
      </c>
      <c r="W121" s="190">
        <v>1.555555582046509</v>
      </c>
      <c r="X121" s="164">
        <f>1</f>
        <v>1</v>
      </c>
      <c r="Y121" s="165">
        <f t="shared" si="8"/>
        <v>1.555555582046509</v>
      </c>
      <c r="Z121" s="165" t="str">
        <f t="shared" si="9"/>
        <v/>
      </c>
      <c r="AA121" s="70"/>
    </row>
    <row r="122" spans="1:27" s="71" customFormat="1" x14ac:dyDescent="0.2">
      <c r="C122" s="72"/>
      <c r="D122" s="72"/>
      <c r="E122" s="73"/>
      <c r="H122" s="77"/>
      <c r="I122" s="115"/>
      <c r="J122" s="115"/>
      <c r="K122" s="115"/>
      <c r="L122" s="115"/>
      <c r="M122" s="115"/>
      <c r="N122" s="115"/>
      <c r="O122" s="115"/>
      <c r="P122" s="115"/>
      <c r="W122" s="190"/>
      <c r="X122" s="164">
        <f>1</f>
        <v>1</v>
      </c>
      <c r="Y122" s="165" t="str">
        <f t="shared" si="8"/>
        <v/>
      </c>
      <c r="Z122" s="165" t="str">
        <f t="shared" si="9"/>
        <v/>
      </c>
      <c r="AA122" s="70"/>
    </row>
    <row r="123" spans="1:27" s="71" customFormat="1" x14ac:dyDescent="0.2">
      <c r="A123" s="71" t="s">
        <v>322</v>
      </c>
      <c r="B123" s="71" t="s">
        <v>382</v>
      </c>
      <c r="C123" s="71" t="s">
        <v>324</v>
      </c>
      <c r="D123" s="287" t="s">
        <v>325</v>
      </c>
      <c r="E123" s="77"/>
      <c r="H123" s="77"/>
      <c r="I123" s="115" t="s">
        <v>36</v>
      </c>
      <c r="J123" s="115"/>
      <c r="K123" s="115"/>
      <c r="L123" s="115"/>
      <c r="M123" s="115" t="s">
        <v>379</v>
      </c>
      <c r="N123" s="115"/>
      <c r="O123" s="115"/>
      <c r="P123" s="115"/>
      <c r="W123" s="190"/>
      <c r="X123" s="164"/>
      <c r="Y123" s="165"/>
      <c r="Z123" s="165"/>
      <c r="AA123" s="70"/>
    </row>
    <row r="124" spans="1:27" s="71" customFormat="1" x14ac:dyDescent="0.2">
      <c r="A124" s="71" t="s">
        <v>326</v>
      </c>
      <c r="B124" s="71" t="s">
        <v>383</v>
      </c>
      <c r="C124" s="71" t="s">
        <v>328</v>
      </c>
      <c r="D124" s="287" t="s">
        <v>329</v>
      </c>
      <c r="E124" s="77"/>
      <c r="H124" s="77"/>
      <c r="I124" s="115" t="s">
        <v>36</v>
      </c>
      <c r="J124" s="115"/>
      <c r="K124" s="115"/>
      <c r="L124" s="115"/>
      <c r="M124" s="115" t="s">
        <v>379</v>
      </c>
      <c r="N124" s="115"/>
      <c r="O124" s="115"/>
      <c r="P124" s="115"/>
      <c r="W124" s="190"/>
      <c r="X124" s="164"/>
      <c r="Y124" s="165"/>
      <c r="Z124" s="165"/>
      <c r="AA124" s="70"/>
    </row>
    <row r="125" spans="1:27" s="71" customFormat="1" x14ac:dyDescent="0.2">
      <c r="C125" s="72"/>
      <c r="D125" s="72"/>
      <c r="E125" s="73"/>
      <c r="H125" s="99"/>
      <c r="I125" s="115"/>
      <c r="J125" s="115"/>
      <c r="K125" s="115"/>
      <c r="L125" s="115"/>
      <c r="M125" s="129"/>
      <c r="N125" s="115"/>
      <c r="O125" s="115"/>
      <c r="P125" s="115"/>
      <c r="W125" s="190"/>
      <c r="X125" s="164">
        <f>1</f>
        <v>1</v>
      </c>
      <c r="Y125" s="165" t="str">
        <f t="shared" ref="Y125:Y130" si="10">IF(W125&lt;&gt;"",W125*X125,"")</f>
        <v/>
      </c>
      <c r="Z125" s="165" t="str">
        <f t="shared" ref="Z125:Z130" si="11">IF(AND(W125&lt;&gt;"",U125="yes"),W125*X125,"")</f>
        <v/>
      </c>
      <c r="AA125" s="70"/>
    </row>
    <row r="126" spans="1:27" ht="32" customHeight="1" x14ac:dyDescent="0.2">
      <c r="A126" s="74" t="s">
        <v>330</v>
      </c>
      <c r="B126" s="74" t="s">
        <v>384</v>
      </c>
      <c r="C126" s="75" t="s">
        <v>385</v>
      </c>
      <c r="D126" s="222" t="s">
        <v>386</v>
      </c>
      <c r="E126" s="93"/>
      <c r="F126" s="74"/>
      <c r="G126" s="74"/>
      <c r="H126" s="95"/>
      <c r="I126" s="116" t="s">
        <v>36</v>
      </c>
      <c r="J126" s="116"/>
      <c r="K126" s="116"/>
      <c r="L126" s="116"/>
      <c r="M126" s="116" t="s">
        <v>379</v>
      </c>
      <c r="N126" s="116"/>
      <c r="O126" s="116"/>
      <c r="P126" s="116"/>
      <c r="U126" s="42" t="s">
        <v>38</v>
      </c>
      <c r="W126" s="190">
        <v>16.348396301269531</v>
      </c>
      <c r="X126" s="164">
        <f>1</f>
        <v>1</v>
      </c>
      <c r="Y126" s="165">
        <f t="shared" si="10"/>
        <v>16.348396301269531</v>
      </c>
      <c r="Z126" s="165">
        <f t="shared" si="11"/>
        <v>16.348396301269531</v>
      </c>
    </row>
    <row r="127" spans="1:27" s="71" customFormat="1" x14ac:dyDescent="0.2">
      <c r="C127" s="72"/>
      <c r="D127" s="72"/>
      <c r="E127" s="73"/>
      <c r="H127" s="77"/>
      <c r="I127" s="115"/>
      <c r="J127" s="115"/>
      <c r="K127" s="115"/>
      <c r="L127" s="115"/>
      <c r="M127" s="115"/>
      <c r="N127" s="115"/>
      <c r="O127" s="115"/>
      <c r="P127" s="115"/>
      <c r="W127" s="190"/>
      <c r="X127" s="164">
        <f>1</f>
        <v>1</v>
      </c>
      <c r="Y127" s="165" t="str">
        <f t="shared" si="10"/>
        <v/>
      </c>
      <c r="Z127" s="165" t="str">
        <f t="shared" si="11"/>
        <v/>
      </c>
      <c r="AA127" s="70"/>
    </row>
    <row r="128" spans="1:27" ht="64" customHeight="1" x14ac:dyDescent="0.2">
      <c r="A128" s="74" t="s">
        <v>387</v>
      </c>
      <c r="B128" s="74" t="s">
        <v>388</v>
      </c>
      <c r="C128" s="75" t="s">
        <v>389</v>
      </c>
      <c r="D128" s="222" t="s">
        <v>390</v>
      </c>
      <c r="E128" s="93"/>
      <c r="F128" s="74" t="s">
        <v>391</v>
      </c>
      <c r="G128" s="74" t="s">
        <v>392</v>
      </c>
      <c r="H128" s="95"/>
      <c r="I128" s="116" t="s">
        <v>36</v>
      </c>
      <c r="J128" s="116"/>
      <c r="K128" s="116" t="s">
        <v>393</v>
      </c>
      <c r="L128" s="116"/>
      <c r="M128" s="116"/>
      <c r="N128" s="116"/>
      <c r="O128" s="116"/>
      <c r="P128" s="116"/>
      <c r="U128" s="42" t="s">
        <v>38</v>
      </c>
      <c r="W128" s="190">
        <v>46.247528076171882</v>
      </c>
      <c r="X128" s="164">
        <f>1</f>
        <v>1</v>
      </c>
      <c r="Y128" s="165">
        <f t="shared" si="10"/>
        <v>46.247528076171882</v>
      </c>
      <c r="Z128" s="165">
        <f t="shared" si="11"/>
        <v>46.247528076171882</v>
      </c>
    </row>
    <row r="129" spans="1:27" x14ac:dyDescent="0.2">
      <c r="D129" s="42"/>
      <c r="E129" s="82"/>
      <c r="H129" s="83"/>
      <c r="W129" s="190"/>
      <c r="X129" s="164">
        <f>1</f>
        <v>1</v>
      </c>
      <c r="Y129" s="165" t="str">
        <f t="shared" si="10"/>
        <v/>
      </c>
      <c r="Z129" s="165" t="str">
        <f t="shared" si="11"/>
        <v/>
      </c>
    </row>
    <row r="130" spans="1:27" ht="64" customHeight="1" x14ac:dyDescent="0.2">
      <c r="A130" s="42" t="s">
        <v>68</v>
      </c>
      <c r="B130" s="42" t="s">
        <v>394</v>
      </c>
      <c r="C130" s="43" t="s">
        <v>395</v>
      </c>
      <c r="D130" s="43" t="s">
        <v>396</v>
      </c>
      <c r="E130" s="82"/>
      <c r="F130" s="42" t="s">
        <v>397</v>
      </c>
      <c r="G130" s="42" t="s">
        <v>398</v>
      </c>
      <c r="H130" s="83"/>
      <c r="I130" s="121" t="s">
        <v>47</v>
      </c>
      <c r="M130" s="121" t="s">
        <v>399</v>
      </c>
      <c r="U130" s="42" t="s">
        <v>48</v>
      </c>
      <c r="W130" s="298">
        <v>26.118782043457031</v>
      </c>
      <c r="X130" s="299">
        <f>1</f>
        <v>1</v>
      </c>
      <c r="Y130" s="300">
        <f t="shared" si="10"/>
        <v>26.118782043457031</v>
      </c>
      <c r="Z130" s="300" t="str">
        <f t="shared" si="11"/>
        <v/>
      </c>
      <c r="AA130" s="42"/>
    </row>
    <row r="131" spans="1:27" x14ac:dyDescent="0.2">
      <c r="E131" s="82"/>
      <c r="H131" s="83"/>
      <c r="W131" s="298"/>
      <c r="X131" s="299"/>
      <c r="Y131" s="300"/>
      <c r="Z131" s="300"/>
      <c r="AA131" s="42"/>
    </row>
    <row r="132" spans="1:27" s="293" customFormat="1" ht="32" customHeight="1" x14ac:dyDescent="0.2">
      <c r="A132" s="306" t="s">
        <v>49</v>
      </c>
      <c r="B132" s="306" t="s">
        <v>400</v>
      </c>
      <c r="C132" s="307" t="s">
        <v>401</v>
      </c>
      <c r="D132" s="301" t="s">
        <v>402</v>
      </c>
      <c r="E132" s="301"/>
      <c r="I132" s="302" t="s">
        <v>36</v>
      </c>
      <c r="J132" s="302"/>
      <c r="K132" s="302"/>
      <c r="L132" s="302"/>
      <c r="M132" s="312" t="s">
        <v>182</v>
      </c>
      <c r="N132" s="302"/>
      <c r="O132" s="302"/>
      <c r="P132" s="302"/>
      <c r="U132" s="293" t="s">
        <v>38</v>
      </c>
      <c r="W132" s="303"/>
      <c r="X132" s="304"/>
      <c r="Y132" s="305"/>
      <c r="Z132" s="305"/>
    </row>
    <row r="133" spans="1:27" s="293" customFormat="1" ht="16" customHeight="1" x14ac:dyDescent="0.2">
      <c r="A133" s="306" t="s">
        <v>286</v>
      </c>
      <c r="B133" s="306" t="s">
        <v>403</v>
      </c>
      <c r="C133" s="307" t="s">
        <v>404</v>
      </c>
      <c r="D133" s="301" t="s">
        <v>405</v>
      </c>
      <c r="E133" s="301"/>
      <c r="I133" s="302" t="s">
        <v>36</v>
      </c>
      <c r="J133" s="302"/>
      <c r="K133" s="302"/>
      <c r="L133" s="302"/>
      <c r="M133" s="312" t="s">
        <v>182</v>
      </c>
      <c r="N133" s="302"/>
      <c r="O133" s="302"/>
      <c r="P133" s="302"/>
      <c r="U133" s="293" t="s">
        <v>38</v>
      </c>
      <c r="W133" s="303"/>
      <c r="X133" s="304"/>
      <c r="Y133" s="305"/>
      <c r="Z133" s="305"/>
    </row>
    <row r="134" spans="1:27" s="293" customFormat="1" ht="48" customHeight="1" x14ac:dyDescent="0.2">
      <c r="A134" s="306" t="s">
        <v>406</v>
      </c>
      <c r="B134" s="306" t="s">
        <v>407</v>
      </c>
      <c r="C134" s="307" t="s">
        <v>408</v>
      </c>
      <c r="D134" s="301" t="s">
        <v>409</v>
      </c>
      <c r="E134" s="301"/>
      <c r="I134" s="302" t="s">
        <v>36</v>
      </c>
      <c r="J134" s="302"/>
      <c r="K134" s="302"/>
      <c r="L134" s="302"/>
      <c r="M134" s="312" t="s">
        <v>182</v>
      </c>
      <c r="N134" s="302"/>
      <c r="O134" s="302"/>
      <c r="P134" s="302"/>
      <c r="U134" s="293" t="s">
        <v>38</v>
      </c>
      <c r="W134" s="212"/>
      <c r="X134" s="213">
        <f>1</f>
        <v>1</v>
      </c>
      <c r="Y134" s="214" t="str">
        <f t="shared" ref="Y134:Y139" si="12">IF(W134&lt;&gt;"",W134*X134,"")</f>
        <v/>
      </c>
      <c r="Z134" s="214" t="str">
        <f t="shared" ref="Z134:Z139" si="13">IF(AND(W134&lt;&gt;"",U134="yes"),W134*X134,"")</f>
        <v/>
      </c>
      <c r="AA134" s="306"/>
    </row>
    <row r="135" spans="1:27" s="71" customFormat="1" x14ac:dyDescent="0.2">
      <c r="C135" s="72"/>
      <c r="D135" s="72"/>
      <c r="E135" s="73"/>
      <c r="H135" s="77"/>
      <c r="I135" s="115"/>
      <c r="J135" s="115"/>
      <c r="K135" s="121"/>
      <c r="L135" s="115"/>
      <c r="M135" s="115"/>
      <c r="N135" s="115"/>
      <c r="O135" s="115"/>
      <c r="P135" s="115"/>
      <c r="W135" s="190"/>
      <c r="X135" s="164">
        <f>1</f>
        <v>1</v>
      </c>
      <c r="Y135" s="165" t="str">
        <f t="shared" si="12"/>
        <v/>
      </c>
      <c r="Z135" s="165" t="str">
        <f t="shared" si="13"/>
        <v/>
      </c>
      <c r="AA135" s="70"/>
    </row>
    <row r="136" spans="1:27" ht="16" customHeight="1" thickBot="1" x14ac:dyDescent="0.25">
      <c r="A136" s="91" t="s">
        <v>137</v>
      </c>
      <c r="B136" s="91"/>
      <c r="C136" s="92"/>
      <c r="D136" s="92"/>
      <c r="E136" s="86"/>
      <c r="F136" s="91"/>
      <c r="G136" s="91"/>
      <c r="H136" s="87"/>
      <c r="I136" s="125"/>
      <c r="J136" s="125"/>
      <c r="K136" s="125"/>
      <c r="L136" s="125"/>
      <c r="M136" s="125"/>
      <c r="N136" s="125"/>
      <c r="O136" s="125"/>
      <c r="P136" s="125"/>
      <c r="W136" s="190"/>
      <c r="X136" s="70"/>
      <c r="Y136" s="165" t="str">
        <f t="shared" si="12"/>
        <v/>
      </c>
      <c r="Z136" s="165" t="str">
        <f t="shared" si="13"/>
        <v/>
      </c>
    </row>
    <row r="137" spans="1:27" s="67" customFormat="1" ht="17" customHeight="1" thickTop="1" x14ac:dyDescent="0.2">
      <c r="A137" s="64" t="s">
        <v>64</v>
      </c>
      <c r="B137" s="64" t="s">
        <v>410</v>
      </c>
      <c r="C137" s="88" t="s">
        <v>411</v>
      </c>
      <c r="D137" s="226" t="s">
        <v>412</v>
      </c>
      <c r="E137" s="65"/>
      <c r="F137" s="64"/>
      <c r="G137" s="64"/>
      <c r="H137" s="66"/>
      <c r="I137" s="119" t="s">
        <v>47</v>
      </c>
      <c r="J137" s="119"/>
      <c r="K137" s="119"/>
      <c r="L137" s="119"/>
      <c r="M137" s="119" t="s">
        <v>218</v>
      </c>
      <c r="N137" s="119"/>
      <c r="O137" s="119"/>
      <c r="P137" s="119"/>
      <c r="U137" s="42" t="s">
        <v>38</v>
      </c>
      <c r="W137" s="190"/>
      <c r="X137" s="68"/>
      <c r="Y137" s="165" t="str">
        <f t="shared" si="12"/>
        <v/>
      </c>
      <c r="Z137" s="165" t="str">
        <f t="shared" si="13"/>
        <v/>
      </c>
      <c r="AA137" s="68"/>
    </row>
    <row r="138" spans="1:27" s="43" customFormat="1" ht="64" customHeight="1" x14ac:dyDescent="0.2">
      <c r="A138" s="41" t="s">
        <v>41</v>
      </c>
      <c r="B138" s="41" t="s">
        <v>413</v>
      </c>
      <c r="C138" s="41" t="s">
        <v>414</v>
      </c>
      <c r="D138" s="222" t="s">
        <v>415</v>
      </c>
      <c r="E138" s="82"/>
      <c r="F138" s="41"/>
      <c r="G138" s="41"/>
      <c r="H138" s="82"/>
      <c r="I138" s="40"/>
      <c r="J138" s="40"/>
      <c r="K138" s="40"/>
      <c r="L138" s="40"/>
      <c r="M138" s="40"/>
      <c r="N138" s="40"/>
      <c r="O138" s="40"/>
      <c r="P138" s="40"/>
      <c r="U138" s="43" t="s">
        <v>38</v>
      </c>
      <c r="W138" s="193">
        <v>7.5</v>
      </c>
      <c r="X138" s="167">
        <f>'Additional information'!$D$18</f>
        <v>0.75</v>
      </c>
      <c r="Y138" s="166">
        <f t="shared" si="12"/>
        <v>5.625</v>
      </c>
      <c r="Z138" s="166">
        <f t="shared" si="13"/>
        <v>5.625</v>
      </c>
      <c r="AA138" s="44"/>
    </row>
    <row r="139" spans="1:27" x14ac:dyDescent="0.2">
      <c r="D139" s="225"/>
      <c r="E139" s="82"/>
      <c r="H139" s="83"/>
      <c r="U139" s="42" t="s">
        <v>38</v>
      </c>
      <c r="W139" s="190"/>
      <c r="X139" s="164">
        <f>'Additional information'!$D$18</f>
        <v>0.75</v>
      </c>
      <c r="Y139" s="165" t="str">
        <f t="shared" si="12"/>
        <v/>
      </c>
      <c r="Z139" s="165" t="str">
        <f t="shared" si="13"/>
        <v/>
      </c>
    </row>
    <row r="140" spans="1:27" ht="16" customHeight="1" x14ac:dyDescent="0.2">
      <c r="A140" s="306" t="s">
        <v>142</v>
      </c>
      <c r="B140" s="306" t="s">
        <v>416</v>
      </c>
      <c r="C140" s="307" t="s">
        <v>417</v>
      </c>
      <c r="D140" s="314" t="s">
        <v>418</v>
      </c>
      <c r="E140" s="82"/>
      <c r="H140" s="83"/>
      <c r="I140" s="121" t="s">
        <v>36</v>
      </c>
      <c r="U140" s="42" t="s">
        <v>38</v>
      </c>
      <c r="W140" s="190"/>
      <c r="Y140" s="165"/>
      <c r="Z140" s="165"/>
    </row>
    <row r="141" spans="1:27" ht="16" customHeight="1" x14ac:dyDescent="0.2">
      <c r="A141" s="306" t="s">
        <v>419</v>
      </c>
      <c r="B141" s="306" t="s">
        <v>420</v>
      </c>
      <c r="C141" s="307" t="s">
        <v>421</v>
      </c>
      <c r="D141" s="314" t="s">
        <v>422</v>
      </c>
      <c r="E141" s="82"/>
      <c r="H141" s="83"/>
      <c r="I141" s="121" t="s">
        <v>36</v>
      </c>
      <c r="M141" s="312" t="s">
        <v>423</v>
      </c>
      <c r="U141" s="42" t="s">
        <v>38</v>
      </c>
      <c r="W141" s="190"/>
      <c r="Y141" s="165"/>
      <c r="Z141" s="165"/>
    </row>
    <row r="142" spans="1:27" ht="16" customHeight="1" x14ac:dyDescent="0.2">
      <c r="A142" s="306" t="s">
        <v>424</v>
      </c>
      <c r="B142" s="306" t="s">
        <v>425</v>
      </c>
      <c r="C142" s="307" t="s">
        <v>426</v>
      </c>
      <c r="D142" s="314" t="s">
        <v>427</v>
      </c>
      <c r="E142" s="82"/>
      <c r="H142" s="83"/>
      <c r="I142" s="121" t="s">
        <v>36</v>
      </c>
      <c r="M142" s="312" t="s">
        <v>428</v>
      </c>
      <c r="U142" s="42" t="s">
        <v>38</v>
      </c>
      <c r="W142" s="190"/>
      <c r="Y142" s="165"/>
      <c r="Z142" s="165"/>
    </row>
    <row r="143" spans="1:27" ht="32" customHeight="1" x14ac:dyDescent="0.2">
      <c r="A143" s="306" t="s">
        <v>142</v>
      </c>
      <c r="B143" s="306" t="s">
        <v>429</v>
      </c>
      <c r="C143" s="307" t="s">
        <v>430</v>
      </c>
      <c r="D143" s="314"/>
      <c r="E143" s="82"/>
      <c r="H143" s="83"/>
      <c r="I143" s="121" t="s">
        <v>36</v>
      </c>
      <c r="M143" s="312" t="s">
        <v>431</v>
      </c>
      <c r="U143" s="42" t="s">
        <v>38</v>
      </c>
      <c r="W143" s="190"/>
      <c r="Y143" s="165"/>
      <c r="Z143" s="165"/>
    </row>
    <row r="144" spans="1:27" ht="16" customHeight="1" x14ac:dyDescent="0.2">
      <c r="A144" s="306" t="s">
        <v>432</v>
      </c>
      <c r="B144" s="306" t="s">
        <v>433</v>
      </c>
      <c r="C144" s="307" t="s">
        <v>434</v>
      </c>
      <c r="D144" s="314"/>
      <c r="E144" s="82"/>
      <c r="H144" s="83"/>
      <c r="I144" s="121" t="s">
        <v>36</v>
      </c>
      <c r="M144" s="312" t="s">
        <v>423</v>
      </c>
      <c r="U144" s="42" t="s">
        <v>38</v>
      </c>
      <c r="W144" s="190"/>
      <c r="Y144" s="165"/>
      <c r="Z144" s="165"/>
    </row>
    <row r="145" spans="1:27" s="70" customFormat="1" ht="16" customHeight="1" x14ac:dyDescent="0.2">
      <c r="A145" s="74" t="s">
        <v>307</v>
      </c>
      <c r="B145" s="74" t="s">
        <v>435</v>
      </c>
      <c r="C145" s="75" t="s">
        <v>436</v>
      </c>
      <c r="D145" s="217" t="s">
        <v>437</v>
      </c>
      <c r="E145" s="93"/>
      <c r="F145" s="74" t="s">
        <v>438</v>
      </c>
      <c r="G145" s="74" t="s">
        <v>439</v>
      </c>
      <c r="H145" s="95"/>
      <c r="I145" s="116" t="s">
        <v>36</v>
      </c>
      <c r="J145" s="116"/>
      <c r="K145" s="116" t="s">
        <v>440</v>
      </c>
      <c r="L145" s="116"/>
      <c r="M145" s="116"/>
      <c r="N145" s="116"/>
      <c r="O145" s="116"/>
      <c r="P145" s="116"/>
      <c r="U145" s="70" t="s">
        <v>38</v>
      </c>
      <c r="W145" s="190">
        <v>17</v>
      </c>
      <c r="X145" s="164">
        <f>'Additional information'!$D$18</f>
        <v>0.75</v>
      </c>
      <c r="Y145" s="165">
        <f t="shared" ref="Y145:Y150" si="14">IF(W145&lt;&gt;"",W145*X145,"")</f>
        <v>12.75</v>
      </c>
      <c r="Z145" s="165">
        <f t="shared" ref="Z145:Z150" si="15">IF(AND(W145&lt;&gt;"",U145="yes"),W145*X145,"")</f>
        <v>12.75</v>
      </c>
    </row>
    <row r="146" spans="1:27" s="70" customFormat="1" ht="16" customHeight="1" x14ac:dyDescent="0.2">
      <c r="A146" s="74" t="s">
        <v>441</v>
      </c>
      <c r="B146" s="74" t="s">
        <v>442</v>
      </c>
      <c r="C146" s="75" t="s">
        <v>443</v>
      </c>
      <c r="D146" s="222" t="s">
        <v>444</v>
      </c>
      <c r="E146" s="93"/>
      <c r="F146" s="74" t="s">
        <v>445</v>
      </c>
      <c r="G146" s="227" t="s">
        <v>446</v>
      </c>
      <c r="H146" s="95"/>
      <c r="I146" s="116" t="s">
        <v>36</v>
      </c>
      <c r="J146" s="116"/>
      <c r="K146" s="116"/>
      <c r="L146" s="116"/>
      <c r="M146" s="116" t="s">
        <v>447</v>
      </c>
      <c r="N146" s="116"/>
      <c r="O146" s="116"/>
      <c r="P146" s="116"/>
      <c r="U146" s="70" t="s">
        <v>38</v>
      </c>
      <c r="W146" s="190">
        <v>0</v>
      </c>
      <c r="X146" s="164">
        <f>'Additional information'!$D$18</f>
        <v>0.75</v>
      </c>
      <c r="Y146" s="165">
        <f t="shared" si="14"/>
        <v>0</v>
      </c>
      <c r="Z146" s="165">
        <f t="shared" si="15"/>
        <v>0</v>
      </c>
    </row>
    <row r="147" spans="1:27" s="67" customFormat="1" x14ac:dyDescent="0.2">
      <c r="C147" s="89"/>
      <c r="E147" s="65"/>
      <c r="H147" s="66"/>
      <c r="I147" s="120"/>
      <c r="J147" s="120"/>
      <c r="K147" s="120"/>
      <c r="L147" s="120"/>
      <c r="M147" s="120"/>
      <c r="N147" s="120"/>
      <c r="O147" s="120"/>
      <c r="P147" s="120"/>
      <c r="U147" s="42"/>
      <c r="W147" s="190"/>
      <c r="X147" s="164">
        <f>'Additional information'!$D$18</f>
        <v>0.75</v>
      </c>
      <c r="Y147" s="165" t="str">
        <f t="shared" si="14"/>
        <v/>
      </c>
      <c r="Z147" s="165" t="str">
        <f t="shared" si="15"/>
        <v/>
      </c>
      <c r="AA147" s="68"/>
    </row>
    <row r="148" spans="1:27" ht="32" customHeight="1" x14ac:dyDescent="0.2">
      <c r="A148" s="69" t="s">
        <v>448</v>
      </c>
      <c r="B148" s="69" t="s">
        <v>449</v>
      </c>
      <c r="C148" s="41" t="s">
        <v>450</v>
      </c>
      <c r="D148" s="217" t="s">
        <v>2598</v>
      </c>
      <c r="E148" s="82"/>
      <c r="F148" s="69" t="s">
        <v>451</v>
      </c>
      <c r="G148" s="69" t="s">
        <v>452</v>
      </c>
      <c r="H148" s="83"/>
      <c r="I148" s="114" t="s">
        <v>36</v>
      </c>
      <c r="J148" s="114" t="s">
        <v>121</v>
      </c>
      <c r="K148" s="114"/>
      <c r="L148" s="114"/>
      <c r="M148" s="116"/>
      <c r="N148" s="114"/>
      <c r="O148" s="114"/>
      <c r="P148" s="114"/>
      <c r="U148" s="42" t="s">
        <v>38</v>
      </c>
      <c r="W148" s="190">
        <v>27.057552337646481</v>
      </c>
      <c r="X148" s="164">
        <f>'Additional information'!$D$18</f>
        <v>0.75</v>
      </c>
      <c r="Y148" s="165">
        <f t="shared" si="14"/>
        <v>20.29316425323486</v>
      </c>
      <c r="Z148" s="165">
        <f t="shared" si="15"/>
        <v>20.29316425323486</v>
      </c>
    </row>
    <row r="149" spans="1:27" x14ac:dyDescent="0.2">
      <c r="A149" s="69" t="s">
        <v>26</v>
      </c>
      <c r="B149" s="69" t="s">
        <v>453</v>
      </c>
      <c r="C149" s="41"/>
      <c r="D149" s="69"/>
      <c r="E149" s="82"/>
      <c r="H149" s="83"/>
      <c r="I149" s="114"/>
      <c r="J149" s="114"/>
      <c r="K149" s="114"/>
      <c r="L149" s="114"/>
      <c r="M149" s="114"/>
      <c r="N149" s="114"/>
      <c r="O149" s="114"/>
      <c r="P149" s="114" t="s">
        <v>454</v>
      </c>
      <c r="U149" s="42" t="s">
        <v>38</v>
      </c>
      <c r="W149" s="190"/>
      <c r="X149" s="164">
        <f>'Additional information'!$D$18</f>
        <v>0.75</v>
      </c>
      <c r="Y149" s="165" t="str">
        <f t="shared" si="14"/>
        <v/>
      </c>
      <c r="Z149" s="165" t="str">
        <f t="shared" si="15"/>
        <v/>
      </c>
    </row>
    <row r="150" spans="1:27" ht="16" customHeight="1" x14ac:dyDescent="0.2">
      <c r="A150" s="69" t="s">
        <v>455</v>
      </c>
      <c r="B150" s="69" t="s">
        <v>456</v>
      </c>
      <c r="C150" s="41" t="s">
        <v>457</v>
      </c>
      <c r="D150" s="222" t="s">
        <v>2599</v>
      </c>
      <c r="E150" s="82"/>
      <c r="H150" s="83"/>
      <c r="I150" s="114" t="s">
        <v>36</v>
      </c>
      <c r="J150" s="114"/>
      <c r="K150" s="114"/>
      <c r="L150" s="114"/>
      <c r="M150" s="114" t="s">
        <v>458</v>
      </c>
      <c r="N150" s="114"/>
      <c r="O150" s="114"/>
      <c r="P150" s="114"/>
      <c r="U150" s="42" t="s">
        <v>38</v>
      </c>
      <c r="W150" s="190">
        <v>0</v>
      </c>
      <c r="X150" s="164">
        <f>'Additional information'!$D$18</f>
        <v>0.75</v>
      </c>
      <c r="Y150" s="165">
        <f t="shared" si="14"/>
        <v>0</v>
      </c>
      <c r="Z150" s="165">
        <f t="shared" si="15"/>
        <v>0</v>
      </c>
    </row>
    <row r="151" spans="1:27" ht="16" customHeight="1" x14ac:dyDescent="0.2">
      <c r="A151" s="306" t="s">
        <v>459</v>
      </c>
      <c r="B151" s="306" t="s">
        <v>460</v>
      </c>
      <c r="C151" s="307" t="s">
        <v>461</v>
      </c>
      <c r="D151" s="315" t="s">
        <v>462</v>
      </c>
      <c r="E151" s="82"/>
      <c r="H151" s="83"/>
      <c r="I151" s="114" t="s">
        <v>36</v>
      </c>
      <c r="J151" s="114"/>
      <c r="K151" s="114"/>
      <c r="L151" s="114"/>
      <c r="M151" s="114"/>
      <c r="N151" s="114"/>
      <c r="O151" s="114"/>
      <c r="P151" s="114"/>
      <c r="U151" s="42" t="s">
        <v>38</v>
      </c>
      <c r="W151" s="190"/>
      <c r="Y151" s="165"/>
      <c r="Z151" s="165"/>
    </row>
    <row r="152" spans="1:27" s="70" customFormat="1" x14ac:dyDescent="0.2">
      <c r="C152" s="44"/>
      <c r="D152" s="225"/>
      <c r="E152" s="93"/>
      <c r="H152" s="95"/>
      <c r="I152" s="126"/>
      <c r="J152" s="126"/>
      <c r="K152" s="126"/>
      <c r="L152" s="126"/>
      <c r="M152" s="126"/>
      <c r="N152" s="126"/>
      <c r="O152" s="126"/>
      <c r="P152" s="126"/>
      <c r="W152" s="190"/>
      <c r="X152" s="164">
        <f>'Additional information'!$D$18</f>
        <v>0.75</v>
      </c>
      <c r="Y152" s="165" t="str">
        <f t="shared" ref="Y152:Y174" si="16">IF(W152&lt;&gt;"",W152*X152,"")</f>
        <v/>
      </c>
      <c r="Z152" s="165" t="str">
        <f t="shared" ref="Z152:Z172" si="17">IF(AND(W152&lt;&gt;"",U152="yes"),W152*X152,"")</f>
        <v/>
      </c>
    </row>
    <row r="153" spans="1:27" ht="31.75" customHeight="1" x14ac:dyDescent="0.2">
      <c r="A153" s="69" t="s">
        <v>463</v>
      </c>
      <c r="B153" s="69" t="s">
        <v>464</v>
      </c>
      <c r="C153" s="69" t="s">
        <v>465</v>
      </c>
      <c r="D153" s="217" t="s">
        <v>466</v>
      </c>
      <c r="E153" s="83"/>
      <c r="H153" s="83"/>
      <c r="I153" s="114" t="s">
        <v>36</v>
      </c>
      <c r="J153" s="114"/>
      <c r="K153" s="114"/>
      <c r="L153" s="114"/>
      <c r="M153" s="114" t="s">
        <v>467</v>
      </c>
      <c r="N153" s="114"/>
      <c r="O153" s="114"/>
      <c r="P153" s="114"/>
      <c r="U153" s="42" t="s">
        <v>38</v>
      </c>
      <c r="W153" s="190">
        <v>15.95429515838623</v>
      </c>
      <c r="X153" s="164">
        <f>'Additional information'!$D$18</f>
        <v>0.75</v>
      </c>
      <c r="Y153" s="165">
        <f t="shared" si="16"/>
        <v>11.965721368789673</v>
      </c>
      <c r="Z153" s="165">
        <f t="shared" si="17"/>
        <v>11.965721368789673</v>
      </c>
    </row>
    <row r="154" spans="1:27" ht="15.75" customHeight="1" x14ac:dyDescent="0.2">
      <c r="A154" s="69" t="s">
        <v>68</v>
      </c>
      <c r="B154" s="69" t="s">
        <v>468</v>
      </c>
      <c r="C154" s="75" t="s">
        <v>469</v>
      </c>
      <c r="D154" s="41" t="s">
        <v>470</v>
      </c>
      <c r="E154" s="93"/>
      <c r="F154" s="70" t="s">
        <v>471</v>
      </c>
      <c r="G154" s="70" t="s">
        <v>472</v>
      </c>
      <c r="H154" s="83"/>
      <c r="I154" s="114" t="s">
        <v>36</v>
      </c>
      <c r="J154" s="114"/>
      <c r="K154" s="114"/>
      <c r="L154" s="114"/>
      <c r="M154" s="114" t="s">
        <v>473</v>
      </c>
      <c r="N154" s="114"/>
      <c r="O154" s="114"/>
      <c r="P154" s="114"/>
      <c r="U154" s="42" t="s">
        <v>38</v>
      </c>
      <c r="W154" s="190"/>
      <c r="X154" s="164">
        <f>'Additional information'!$D$18</f>
        <v>0.75</v>
      </c>
      <c r="Y154" s="165" t="str">
        <f t="shared" si="16"/>
        <v/>
      </c>
      <c r="Z154" s="165" t="str">
        <f t="shared" si="17"/>
        <v/>
      </c>
    </row>
    <row r="155" spans="1:27" s="71" customFormat="1" ht="15.75" customHeight="1" x14ac:dyDescent="0.2">
      <c r="C155" s="72"/>
      <c r="E155" s="73"/>
      <c r="H155" s="77"/>
      <c r="I155" s="115"/>
      <c r="J155" s="115"/>
      <c r="K155" s="115"/>
      <c r="L155" s="115"/>
      <c r="M155" s="115"/>
      <c r="N155" s="115"/>
      <c r="O155" s="115"/>
      <c r="P155" s="115"/>
      <c r="W155" s="190"/>
      <c r="X155" s="164">
        <f>'Additional information'!$D$18</f>
        <v>0.75</v>
      </c>
      <c r="Y155" s="165" t="str">
        <f t="shared" si="16"/>
        <v/>
      </c>
      <c r="Z155" s="165" t="str">
        <f t="shared" si="17"/>
        <v/>
      </c>
      <c r="AA155" s="70"/>
    </row>
    <row r="156" spans="1:27" s="71" customFormat="1" x14ac:dyDescent="0.2">
      <c r="C156" s="72"/>
      <c r="E156" s="73"/>
      <c r="G156" s="42"/>
      <c r="H156" s="77"/>
      <c r="I156" s="115"/>
      <c r="J156" s="115"/>
      <c r="K156" s="115"/>
      <c r="L156" s="115"/>
      <c r="M156" s="115"/>
      <c r="N156" s="115"/>
      <c r="O156" s="115"/>
      <c r="P156" s="115"/>
      <c r="W156" s="190"/>
      <c r="X156" s="164">
        <f>'Additional information'!$D$18</f>
        <v>0.75</v>
      </c>
      <c r="Y156" s="165" t="str">
        <f t="shared" si="16"/>
        <v/>
      </c>
      <c r="Z156" s="165" t="str">
        <f t="shared" si="17"/>
        <v/>
      </c>
      <c r="AA156" s="70"/>
    </row>
    <row r="157" spans="1:27" ht="32" customHeight="1" x14ac:dyDescent="0.2">
      <c r="A157" s="69" t="s">
        <v>330</v>
      </c>
      <c r="B157" s="69" t="s">
        <v>474</v>
      </c>
      <c r="C157" s="41" t="s">
        <v>475</v>
      </c>
      <c r="D157" s="217" t="s">
        <v>2600</v>
      </c>
      <c r="E157" s="82"/>
      <c r="F157" s="69"/>
      <c r="H157" s="83"/>
      <c r="I157" s="114" t="s">
        <v>36</v>
      </c>
      <c r="J157" s="114"/>
      <c r="K157" s="114"/>
      <c r="L157" s="114"/>
      <c r="M157" s="116" t="s">
        <v>467</v>
      </c>
      <c r="N157" s="114"/>
      <c r="O157" s="114"/>
      <c r="P157" s="114"/>
      <c r="U157" s="42" t="s">
        <v>38</v>
      </c>
      <c r="W157" s="190">
        <v>25.436874389648441</v>
      </c>
      <c r="X157" s="164">
        <f>'Additional information'!$D$18</f>
        <v>0.75</v>
      </c>
      <c r="Y157" s="165">
        <f t="shared" si="16"/>
        <v>19.077655792236332</v>
      </c>
      <c r="Z157" s="165">
        <f t="shared" si="17"/>
        <v>19.077655792236332</v>
      </c>
    </row>
    <row r="158" spans="1:27" x14ac:dyDescent="0.2">
      <c r="D158" s="225"/>
      <c r="E158" s="82"/>
      <c r="H158" s="83"/>
      <c r="M158" s="126"/>
      <c r="W158" s="190"/>
      <c r="X158" s="164">
        <f>'Additional information'!$D$18</f>
        <v>0.75</v>
      </c>
      <c r="Y158" s="165" t="str">
        <f t="shared" si="16"/>
        <v/>
      </c>
      <c r="Z158" s="165" t="str">
        <f t="shared" si="17"/>
        <v/>
      </c>
    </row>
    <row r="159" spans="1:27" ht="32" customHeight="1" x14ac:dyDescent="0.2">
      <c r="A159" s="69" t="s">
        <v>330</v>
      </c>
      <c r="B159" s="69" t="s">
        <v>476</v>
      </c>
      <c r="C159" s="41" t="s">
        <v>477</v>
      </c>
      <c r="D159" s="217" t="s">
        <v>2604</v>
      </c>
      <c r="E159" s="82"/>
      <c r="G159" s="71"/>
      <c r="H159" s="83"/>
      <c r="I159" s="114" t="s">
        <v>36</v>
      </c>
      <c r="J159" s="114"/>
      <c r="K159" s="114"/>
      <c r="L159" s="114"/>
      <c r="M159" s="116" t="s">
        <v>467</v>
      </c>
      <c r="N159" s="114"/>
      <c r="O159" s="114"/>
      <c r="P159" s="114"/>
      <c r="U159" s="42" t="s">
        <v>38</v>
      </c>
      <c r="W159" s="190">
        <v>19.364946365356449</v>
      </c>
      <c r="X159" s="164">
        <f>'Additional information'!$D$18</f>
        <v>0.75</v>
      </c>
      <c r="Y159" s="165">
        <f t="shared" si="16"/>
        <v>14.523709774017338</v>
      </c>
      <c r="Z159" s="165">
        <f t="shared" si="17"/>
        <v>14.523709774017338</v>
      </c>
    </row>
    <row r="160" spans="1:27" ht="16" customHeight="1" x14ac:dyDescent="0.2">
      <c r="A160" s="42" t="s">
        <v>307</v>
      </c>
      <c r="B160" s="42" t="s">
        <v>478</v>
      </c>
      <c r="C160" s="43" t="s">
        <v>479</v>
      </c>
      <c r="D160" s="322" t="s">
        <v>2601</v>
      </c>
      <c r="E160" s="82"/>
      <c r="F160" s="42" t="s">
        <v>480</v>
      </c>
      <c r="G160" s="42" t="s">
        <v>481</v>
      </c>
      <c r="H160" s="83"/>
      <c r="I160" s="121" t="s">
        <v>36</v>
      </c>
      <c r="K160" s="121" t="s">
        <v>440</v>
      </c>
      <c r="M160" s="121" t="s">
        <v>467</v>
      </c>
      <c r="U160" s="42" t="s">
        <v>48</v>
      </c>
      <c r="W160" s="298">
        <v>17</v>
      </c>
      <c r="X160" s="299">
        <f>'Additional information'!$D$18</f>
        <v>0.75</v>
      </c>
      <c r="Y160" s="300">
        <f t="shared" si="16"/>
        <v>12.75</v>
      </c>
      <c r="Z160" s="300" t="str">
        <f t="shared" si="17"/>
        <v/>
      </c>
      <c r="AA160" s="42"/>
    </row>
    <row r="161" spans="1:27" ht="16" customHeight="1" x14ac:dyDescent="0.2">
      <c r="A161" s="42" t="s">
        <v>482</v>
      </c>
      <c r="B161" s="42" t="s">
        <v>483</v>
      </c>
      <c r="C161" s="43" t="s">
        <v>484</v>
      </c>
      <c r="D161" s="322" t="s">
        <v>485</v>
      </c>
      <c r="E161" s="82"/>
      <c r="H161" s="83"/>
      <c r="I161" s="121" t="s">
        <v>36</v>
      </c>
      <c r="M161" s="121" t="s">
        <v>486</v>
      </c>
      <c r="U161" s="42" t="s">
        <v>48</v>
      </c>
      <c r="W161" s="298">
        <v>17</v>
      </c>
      <c r="X161" s="299">
        <f>'Additional information'!$D$18</f>
        <v>0.75</v>
      </c>
      <c r="Y161" s="300">
        <f t="shared" si="16"/>
        <v>12.75</v>
      </c>
      <c r="Z161" s="300" t="str">
        <f t="shared" si="17"/>
        <v/>
      </c>
      <c r="AA161" s="42"/>
    </row>
    <row r="162" spans="1:27" x14ac:dyDescent="0.2">
      <c r="A162" s="42" t="s">
        <v>26</v>
      </c>
      <c r="B162" s="42" t="s">
        <v>487</v>
      </c>
      <c r="D162" s="42"/>
      <c r="E162" s="82"/>
      <c r="H162" s="83"/>
      <c r="P162" s="121" t="s">
        <v>488</v>
      </c>
      <c r="U162" s="42" t="s">
        <v>48</v>
      </c>
      <c r="W162" s="298"/>
      <c r="X162" s="299">
        <f>'Additional information'!$D$18</f>
        <v>0.75</v>
      </c>
      <c r="Y162" s="300" t="str">
        <f t="shared" si="16"/>
        <v/>
      </c>
      <c r="Z162" s="300" t="str">
        <f t="shared" si="17"/>
        <v/>
      </c>
      <c r="AA162" s="42"/>
    </row>
    <row r="163" spans="1:27" ht="16" customHeight="1" x14ac:dyDescent="0.2">
      <c r="A163" s="42" t="s">
        <v>307</v>
      </c>
      <c r="B163" s="42" t="s">
        <v>489</v>
      </c>
      <c r="C163" s="43" t="s">
        <v>490</v>
      </c>
      <c r="D163" s="322" t="s">
        <v>491</v>
      </c>
      <c r="E163" s="82"/>
      <c r="F163" s="42" t="s">
        <v>492</v>
      </c>
      <c r="G163" s="42" t="s">
        <v>493</v>
      </c>
      <c r="H163" s="83"/>
      <c r="I163" s="121" t="s">
        <v>36</v>
      </c>
      <c r="M163" s="121" t="s">
        <v>494</v>
      </c>
      <c r="U163" s="42" t="s">
        <v>48</v>
      </c>
      <c r="W163" s="298">
        <v>17</v>
      </c>
      <c r="X163" s="299">
        <f>'Additional information'!$D$18</f>
        <v>0.75</v>
      </c>
      <c r="Y163" s="300">
        <f t="shared" si="16"/>
        <v>12.75</v>
      </c>
      <c r="Z163" s="300" t="str">
        <f t="shared" si="17"/>
        <v/>
      </c>
      <c r="AA163" s="42"/>
    </row>
    <row r="164" spans="1:27" ht="32" customHeight="1" x14ac:dyDescent="0.2">
      <c r="A164" s="42" t="s">
        <v>78</v>
      </c>
      <c r="B164" s="42" t="s">
        <v>495</v>
      </c>
      <c r="C164" s="43" t="s">
        <v>496</v>
      </c>
      <c r="D164" s="323" t="s">
        <v>497</v>
      </c>
      <c r="E164" s="82"/>
      <c r="F164" s="42" t="s">
        <v>492</v>
      </c>
      <c r="G164" s="42" t="s">
        <v>498</v>
      </c>
      <c r="H164" s="83"/>
      <c r="I164" s="121" t="s">
        <v>36</v>
      </c>
      <c r="K164" s="121" t="s">
        <v>440</v>
      </c>
      <c r="M164" s="121" t="s">
        <v>499</v>
      </c>
      <c r="U164" s="42" t="s">
        <v>48</v>
      </c>
      <c r="W164" s="298">
        <v>17</v>
      </c>
      <c r="X164" s="299">
        <f>'Additional information'!$D$18</f>
        <v>0.75</v>
      </c>
      <c r="Y164" s="300">
        <f t="shared" si="16"/>
        <v>12.75</v>
      </c>
      <c r="Z164" s="300" t="str">
        <f t="shared" si="17"/>
        <v/>
      </c>
      <c r="AA164" s="42"/>
    </row>
    <row r="165" spans="1:27" s="71" customFormat="1" x14ac:dyDescent="0.2">
      <c r="C165" s="72"/>
      <c r="E165" s="73"/>
      <c r="G165" s="42"/>
      <c r="H165" s="77"/>
      <c r="I165" s="115"/>
      <c r="J165" s="115"/>
      <c r="K165" s="115"/>
      <c r="L165" s="115"/>
      <c r="M165" s="115"/>
      <c r="N165" s="115"/>
      <c r="O165" s="115"/>
      <c r="P165" s="115"/>
      <c r="W165" s="190"/>
      <c r="X165" s="164">
        <f>'Additional information'!$D$18</f>
        <v>0.75</v>
      </c>
      <c r="Y165" s="165" t="str">
        <f t="shared" si="16"/>
        <v/>
      </c>
      <c r="Z165" s="165" t="str">
        <f t="shared" si="17"/>
        <v/>
      </c>
      <c r="AA165" s="70"/>
    </row>
    <row r="166" spans="1:27" ht="32" customHeight="1" x14ac:dyDescent="0.2">
      <c r="A166" s="69" t="s">
        <v>142</v>
      </c>
      <c r="B166" s="69" t="s">
        <v>500</v>
      </c>
      <c r="C166" s="41" t="s">
        <v>501</v>
      </c>
      <c r="D166" s="217" t="s">
        <v>2602</v>
      </c>
      <c r="E166" s="82"/>
      <c r="H166" s="83"/>
      <c r="I166" s="114" t="s">
        <v>36</v>
      </c>
      <c r="J166" s="114"/>
      <c r="K166" s="114"/>
      <c r="L166" s="114"/>
      <c r="M166" s="116" t="s">
        <v>502</v>
      </c>
      <c r="N166" s="114"/>
      <c r="O166" s="114"/>
      <c r="P166" s="114"/>
      <c r="U166" s="42" t="s">
        <v>38</v>
      </c>
      <c r="W166" s="190">
        <v>13.458864212036129</v>
      </c>
      <c r="X166" s="164">
        <f>'Additional information'!$D$18</f>
        <v>0.75</v>
      </c>
      <c r="Y166" s="165">
        <f t="shared" si="16"/>
        <v>10.094148159027096</v>
      </c>
      <c r="Z166" s="165">
        <f t="shared" si="17"/>
        <v>10.094148159027096</v>
      </c>
    </row>
    <row r="167" spans="1:27" ht="32" customHeight="1" x14ac:dyDescent="0.2">
      <c r="A167" s="69" t="s">
        <v>503</v>
      </c>
      <c r="B167" s="69" t="s">
        <v>504</v>
      </c>
      <c r="C167" s="41" t="s">
        <v>505</v>
      </c>
      <c r="D167" s="217" t="s">
        <v>2603</v>
      </c>
      <c r="E167" s="82"/>
      <c r="F167" s="42" t="s">
        <v>506</v>
      </c>
      <c r="G167" s="42" t="s">
        <v>507</v>
      </c>
      <c r="H167" s="83"/>
      <c r="I167" s="114" t="s">
        <v>36</v>
      </c>
      <c r="J167" s="114"/>
      <c r="K167" s="116" t="s">
        <v>508</v>
      </c>
      <c r="L167" s="114"/>
      <c r="M167" s="116" t="s">
        <v>509</v>
      </c>
      <c r="N167" s="114"/>
      <c r="O167" s="114"/>
      <c r="P167" s="114"/>
      <c r="U167" s="42" t="s">
        <v>38</v>
      </c>
      <c r="W167" s="190">
        <v>37.523288726806641</v>
      </c>
      <c r="X167" s="164">
        <f>'Additional information'!$D$18</f>
        <v>0.75</v>
      </c>
      <c r="Y167" s="165">
        <f t="shared" si="16"/>
        <v>28.14246654510498</v>
      </c>
      <c r="Z167" s="165">
        <f t="shared" si="17"/>
        <v>28.14246654510498</v>
      </c>
    </row>
    <row r="168" spans="1:27" x14ac:dyDescent="0.2">
      <c r="D168" s="42"/>
      <c r="E168" s="82"/>
      <c r="G168" s="71"/>
      <c r="H168" s="83"/>
      <c r="M168" s="126"/>
      <c r="W168" s="190"/>
      <c r="X168" s="164">
        <f>'Additional information'!$D$18</f>
        <v>0.75</v>
      </c>
      <c r="Y168" s="165" t="str">
        <f t="shared" si="16"/>
        <v/>
      </c>
      <c r="Z168" s="165" t="str">
        <f t="shared" si="17"/>
        <v/>
      </c>
    </row>
    <row r="169" spans="1:27" ht="32" customHeight="1" x14ac:dyDescent="0.2">
      <c r="A169" s="42" t="s">
        <v>510</v>
      </c>
      <c r="B169" s="42" t="s">
        <v>511</v>
      </c>
      <c r="C169" s="43" t="s">
        <v>512</v>
      </c>
      <c r="D169" s="324" t="s">
        <v>513</v>
      </c>
      <c r="E169" s="82"/>
      <c r="H169" s="83"/>
      <c r="I169" s="121" t="s">
        <v>36</v>
      </c>
      <c r="M169" s="121" t="s">
        <v>514</v>
      </c>
      <c r="U169" s="42" t="s">
        <v>48</v>
      </c>
      <c r="W169" s="298">
        <v>17</v>
      </c>
      <c r="X169" s="299">
        <f>'Additional information'!$D$18</f>
        <v>0.75</v>
      </c>
      <c r="Y169" s="300">
        <f t="shared" si="16"/>
        <v>12.75</v>
      </c>
      <c r="Z169" s="300" t="str">
        <f t="shared" si="17"/>
        <v/>
      </c>
      <c r="AA169" s="42"/>
    </row>
    <row r="170" spans="1:27" x14ac:dyDescent="0.2">
      <c r="E170" s="82"/>
      <c r="H170" s="83"/>
      <c r="M170" s="126"/>
      <c r="W170" s="190"/>
      <c r="X170" s="164">
        <f>'Additional information'!$D$18</f>
        <v>0.75</v>
      </c>
      <c r="Y170" s="165" t="str">
        <f t="shared" si="16"/>
        <v/>
      </c>
      <c r="Z170" s="165" t="str">
        <f t="shared" si="17"/>
        <v/>
      </c>
    </row>
    <row r="171" spans="1:27" ht="16" customHeight="1" thickBot="1" x14ac:dyDescent="0.25">
      <c r="A171" s="96" t="s">
        <v>137</v>
      </c>
      <c r="B171" s="96"/>
      <c r="C171" s="97"/>
      <c r="D171" s="97"/>
      <c r="E171" s="106"/>
      <c r="F171" s="228"/>
      <c r="G171" s="228"/>
      <c r="H171" s="107"/>
      <c r="I171" s="127"/>
      <c r="J171" s="127"/>
      <c r="K171" s="127"/>
      <c r="L171" s="127"/>
      <c r="M171" s="127"/>
      <c r="N171" s="127"/>
      <c r="O171" s="127"/>
      <c r="P171" s="127"/>
      <c r="W171" s="190"/>
      <c r="Y171" s="165" t="str">
        <f t="shared" si="16"/>
        <v/>
      </c>
      <c r="Z171" s="165" t="str">
        <f t="shared" si="17"/>
        <v/>
      </c>
    </row>
    <row r="172" spans="1:27" s="67" customFormat="1" ht="17" customHeight="1" thickTop="1" x14ac:dyDescent="0.2">
      <c r="A172" s="64" t="s">
        <v>64</v>
      </c>
      <c r="B172" s="64" t="s">
        <v>515</v>
      </c>
      <c r="C172" s="88" t="s">
        <v>516</v>
      </c>
      <c r="D172" s="226" t="s">
        <v>517</v>
      </c>
      <c r="E172" s="65"/>
      <c r="F172" s="64"/>
      <c r="G172" s="64"/>
      <c r="H172" s="66"/>
      <c r="I172" s="119" t="s">
        <v>47</v>
      </c>
      <c r="J172" s="119"/>
      <c r="K172" s="119"/>
      <c r="L172" s="119"/>
      <c r="M172" s="119" t="s">
        <v>518</v>
      </c>
      <c r="N172" s="119"/>
      <c r="O172" s="119"/>
      <c r="P172" s="119"/>
      <c r="U172" s="42" t="s">
        <v>38</v>
      </c>
      <c r="W172" s="190"/>
      <c r="X172" s="164"/>
      <c r="Y172" s="165" t="str">
        <f t="shared" si="16"/>
        <v/>
      </c>
      <c r="Z172" s="165" t="str">
        <f t="shared" si="17"/>
        <v/>
      </c>
      <c r="AA172" s="68"/>
    </row>
    <row r="173" spans="1:27" ht="32" customHeight="1" x14ac:dyDescent="0.2">
      <c r="A173" s="69" t="s">
        <v>142</v>
      </c>
      <c r="B173" s="69" t="s">
        <v>519</v>
      </c>
      <c r="C173" s="75" t="s">
        <v>520</v>
      </c>
      <c r="D173" s="41" t="s">
        <v>521</v>
      </c>
      <c r="E173" s="82"/>
      <c r="H173" s="83"/>
      <c r="I173" s="116" t="s">
        <v>36</v>
      </c>
      <c r="K173" s="116"/>
      <c r="L173" s="116"/>
      <c r="M173" s="116"/>
      <c r="N173" s="74"/>
      <c r="O173" s="116"/>
      <c r="P173" s="116"/>
      <c r="U173" s="42" t="s">
        <v>38</v>
      </c>
      <c r="W173" s="190">
        <v>13.55</v>
      </c>
      <c r="X173" s="164">
        <f>'Additional information'!$D$18</f>
        <v>0.75</v>
      </c>
      <c r="Y173" s="165">
        <f t="shared" si="16"/>
        <v>10.162500000000001</v>
      </c>
      <c r="Z173" s="165"/>
    </row>
    <row r="174" spans="1:27" ht="16" customHeight="1" x14ac:dyDescent="0.2">
      <c r="A174" s="69" t="s">
        <v>522</v>
      </c>
      <c r="B174" s="69" t="s">
        <v>523</v>
      </c>
      <c r="C174" s="41" t="s">
        <v>524</v>
      </c>
      <c r="D174" s="41" t="s">
        <v>525</v>
      </c>
      <c r="E174" s="82"/>
      <c r="H174" s="83"/>
      <c r="I174" s="116" t="s">
        <v>36</v>
      </c>
      <c r="J174" s="288" t="s">
        <v>121</v>
      </c>
      <c r="K174" s="116"/>
      <c r="L174" s="116"/>
      <c r="M174" s="116" t="s">
        <v>526</v>
      </c>
      <c r="N174" s="116" t="s">
        <v>527</v>
      </c>
      <c r="O174" s="116"/>
      <c r="P174" s="116"/>
      <c r="U174" s="42" t="s">
        <v>38</v>
      </c>
      <c r="W174" s="190">
        <v>13.55</v>
      </c>
      <c r="X174" s="164">
        <f>'Additional information'!$D$18</f>
        <v>0.75</v>
      </c>
      <c r="Y174" s="165">
        <f t="shared" si="16"/>
        <v>10.162500000000001</v>
      </c>
      <c r="Z174" s="165"/>
    </row>
    <row r="175" spans="1:27" x14ac:dyDescent="0.2">
      <c r="A175" s="69" t="s">
        <v>26</v>
      </c>
      <c r="B175" s="69" t="s">
        <v>528</v>
      </c>
      <c r="C175" s="41"/>
      <c r="D175" s="41"/>
      <c r="E175" s="82"/>
      <c r="H175" s="83"/>
      <c r="I175" s="116"/>
      <c r="J175" s="116"/>
      <c r="K175" s="116"/>
      <c r="L175" s="116"/>
      <c r="M175" s="116"/>
      <c r="N175" s="116"/>
      <c r="O175" s="116"/>
      <c r="P175" s="116" t="s">
        <v>529</v>
      </c>
      <c r="U175" s="42" t="s">
        <v>38</v>
      </c>
      <c r="W175" s="190"/>
      <c r="X175" s="164">
        <f>'Additional information'!$D$18</f>
        <v>0.75</v>
      </c>
      <c r="Y175" s="165"/>
      <c r="Z175" s="165"/>
    </row>
    <row r="176" spans="1:27" x14ac:dyDescent="0.2">
      <c r="A176" s="69" t="s">
        <v>26</v>
      </c>
      <c r="B176" s="69" t="s">
        <v>530</v>
      </c>
      <c r="C176" s="41"/>
      <c r="D176" s="41"/>
      <c r="E176" s="82"/>
      <c r="H176" s="83"/>
      <c r="I176" s="116"/>
      <c r="J176" s="116"/>
      <c r="K176" s="116"/>
      <c r="L176" s="116"/>
      <c r="M176" s="116"/>
      <c r="N176" s="116"/>
      <c r="O176" s="116"/>
      <c r="P176" s="116" t="s">
        <v>531</v>
      </c>
      <c r="U176" s="42" t="s">
        <v>38</v>
      </c>
      <c r="W176" s="190"/>
      <c r="X176" s="164">
        <f>'Additional information'!$D$18</f>
        <v>0.75</v>
      </c>
      <c r="Y176" s="165"/>
      <c r="Z176" s="165"/>
    </row>
    <row r="177" spans="1:27" x14ac:dyDescent="0.2">
      <c r="E177" s="82"/>
      <c r="H177" s="83"/>
      <c r="W177" s="190"/>
      <c r="X177" s="164">
        <f>'Additional information'!$D$18</f>
        <v>0.75</v>
      </c>
      <c r="Y177" s="165"/>
      <c r="Z177" s="165"/>
    </row>
    <row r="178" spans="1:27" ht="32" customHeight="1" x14ac:dyDescent="0.2">
      <c r="A178" s="69" t="s">
        <v>142</v>
      </c>
      <c r="B178" s="69" t="s">
        <v>532</v>
      </c>
      <c r="C178" s="41" t="s">
        <v>533</v>
      </c>
      <c r="D178" s="229" t="s">
        <v>534</v>
      </c>
      <c r="E178" s="82"/>
      <c r="F178" s="94"/>
      <c r="G178" s="94"/>
      <c r="H178" s="100"/>
      <c r="I178" s="114" t="s">
        <v>36</v>
      </c>
      <c r="J178" s="114"/>
      <c r="K178" s="114"/>
      <c r="L178" s="114"/>
      <c r="M178" s="114"/>
      <c r="N178" s="114"/>
      <c r="O178" s="114"/>
      <c r="P178" s="114"/>
      <c r="U178" s="42" t="s">
        <v>38</v>
      </c>
      <c r="W178" s="190">
        <v>12.68148708343506</v>
      </c>
      <c r="X178" s="164">
        <f>'Additional information'!$D$18</f>
        <v>0.75</v>
      </c>
      <c r="Y178" s="165">
        <f t="shared" ref="Y178:Y209" si="18">IF(W178&lt;&gt;"",W178*X178,"")</f>
        <v>9.5111153125762957</v>
      </c>
      <c r="Z178" s="165">
        <f t="shared" ref="Z178:Z209" si="19">IF(AND(W178&lt;&gt;"",U178="yes"),W178*X178,"")</f>
        <v>9.5111153125762957</v>
      </c>
    </row>
    <row r="179" spans="1:27" ht="32" customHeight="1" x14ac:dyDescent="0.2">
      <c r="A179" s="69" t="s">
        <v>535</v>
      </c>
      <c r="B179" s="69" t="s">
        <v>536</v>
      </c>
      <c r="C179" s="75" t="s">
        <v>537</v>
      </c>
      <c r="D179" s="229" t="s">
        <v>538</v>
      </c>
      <c r="E179" s="93"/>
      <c r="F179" s="42" t="s">
        <v>506</v>
      </c>
      <c r="G179" s="42" t="s">
        <v>539</v>
      </c>
      <c r="H179" s="83"/>
      <c r="I179" s="114" t="s">
        <v>36</v>
      </c>
      <c r="J179" s="114"/>
      <c r="K179" s="116" t="s">
        <v>540</v>
      </c>
      <c r="L179" s="114"/>
      <c r="M179" s="116" t="s">
        <v>541</v>
      </c>
      <c r="N179" s="114"/>
      <c r="O179" s="114"/>
      <c r="P179" s="114"/>
      <c r="U179" s="42" t="s">
        <v>38</v>
      </c>
      <c r="W179" s="190">
        <v>22.61360931396484</v>
      </c>
      <c r="X179" s="164">
        <f>'Additional information'!$D$18</f>
        <v>0.75</v>
      </c>
      <c r="Y179" s="165">
        <f t="shared" si="18"/>
        <v>16.960206985473629</v>
      </c>
      <c r="Z179" s="165">
        <f t="shared" si="19"/>
        <v>16.960206985473629</v>
      </c>
    </row>
    <row r="180" spans="1:27" x14ac:dyDescent="0.2">
      <c r="D180" s="230"/>
      <c r="E180" s="82"/>
      <c r="H180" s="83"/>
      <c r="M180" s="126"/>
      <c r="W180" s="190"/>
      <c r="X180" s="164">
        <f>'Additional information'!$D$18</f>
        <v>0.75</v>
      </c>
      <c r="Y180" s="165" t="str">
        <f t="shared" si="18"/>
        <v/>
      </c>
      <c r="Z180" s="165" t="str">
        <f t="shared" si="19"/>
        <v/>
      </c>
    </row>
    <row r="181" spans="1:27" ht="32" customHeight="1" x14ac:dyDescent="0.2">
      <c r="A181" s="69" t="s">
        <v>330</v>
      </c>
      <c r="B181" s="69" t="s">
        <v>542</v>
      </c>
      <c r="C181" s="75" t="s">
        <v>543</v>
      </c>
      <c r="D181" s="229" t="s">
        <v>544</v>
      </c>
      <c r="E181" s="93"/>
      <c r="F181" s="101" t="s">
        <v>545</v>
      </c>
      <c r="G181" s="101" t="s">
        <v>546</v>
      </c>
      <c r="H181" s="100"/>
      <c r="I181" s="114" t="s">
        <v>36</v>
      </c>
      <c r="J181" s="114"/>
      <c r="K181" s="114"/>
      <c r="L181" s="114"/>
      <c r="M181" s="116"/>
      <c r="N181" s="114"/>
      <c r="O181" s="114"/>
      <c r="P181" s="114"/>
      <c r="U181" s="42" t="s">
        <v>38</v>
      </c>
      <c r="W181" s="190">
        <v>21.701908111572269</v>
      </c>
      <c r="X181" s="164">
        <f>'Additional information'!$D$18</f>
        <v>0.75</v>
      </c>
      <c r="Y181" s="165">
        <f t="shared" si="18"/>
        <v>16.276431083679203</v>
      </c>
      <c r="Z181" s="165">
        <f t="shared" si="19"/>
        <v>16.276431083679203</v>
      </c>
    </row>
    <row r="182" spans="1:27" x14ac:dyDescent="0.2">
      <c r="C182" s="44"/>
      <c r="D182" s="44"/>
      <c r="E182" s="93"/>
      <c r="F182" s="94"/>
      <c r="G182" s="94"/>
      <c r="H182" s="100"/>
      <c r="M182" s="126"/>
      <c r="W182" s="190"/>
      <c r="X182" s="164">
        <f>'Additional information'!$D$18</f>
        <v>0.75</v>
      </c>
      <c r="Y182" s="165" t="str">
        <f t="shared" si="18"/>
        <v/>
      </c>
      <c r="Z182" s="165" t="str">
        <f t="shared" si="19"/>
        <v/>
      </c>
    </row>
    <row r="183" spans="1:27" ht="16" customHeight="1" thickBot="1" x14ac:dyDescent="0.25">
      <c r="A183" s="96" t="s">
        <v>137</v>
      </c>
      <c r="B183" s="96"/>
      <c r="C183" s="97"/>
      <c r="D183" s="97"/>
      <c r="E183" s="106"/>
      <c r="F183" s="96"/>
      <c r="G183" s="96"/>
      <c r="H183" s="107"/>
      <c r="I183" s="127"/>
      <c r="J183" s="127"/>
      <c r="K183" s="127"/>
      <c r="L183" s="127"/>
      <c r="M183" s="127"/>
      <c r="N183" s="127"/>
      <c r="O183" s="127"/>
      <c r="P183" s="127"/>
      <c r="W183" s="190"/>
      <c r="Y183" s="165" t="str">
        <f t="shared" si="18"/>
        <v/>
      </c>
      <c r="Z183" s="165" t="str">
        <f t="shared" si="19"/>
        <v/>
      </c>
    </row>
    <row r="184" spans="1:27" s="67" customFormat="1" ht="17" customHeight="1" thickTop="1" x14ac:dyDescent="0.2">
      <c r="A184" s="64" t="s">
        <v>64</v>
      </c>
      <c r="B184" s="64" t="s">
        <v>547</v>
      </c>
      <c r="C184" s="88" t="s">
        <v>548</v>
      </c>
      <c r="D184" s="226" t="s">
        <v>549</v>
      </c>
      <c r="E184" s="65"/>
      <c r="F184" s="64"/>
      <c r="G184" s="64"/>
      <c r="H184" s="66"/>
      <c r="I184" s="119" t="s">
        <v>47</v>
      </c>
      <c r="J184" s="119"/>
      <c r="K184" s="119"/>
      <c r="L184" s="119"/>
      <c r="M184" s="119" t="s">
        <v>550</v>
      </c>
      <c r="N184" s="119"/>
      <c r="O184" s="119"/>
      <c r="P184" s="119"/>
      <c r="U184" s="42" t="s">
        <v>38</v>
      </c>
      <c r="W184" s="190"/>
      <c r="X184" s="68"/>
      <c r="Y184" s="165" t="str">
        <f t="shared" si="18"/>
        <v/>
      </c>
      <c r="Z184" s="165" t="str">
        <f t="shared" si="19"/>
        <v/>
      </c>
      <c r="AA184" s="68"/>
    </row>
    <row r="185" spans="1:27" ht="48" customHeight="1" x14ac:dyDescent="0.2">
      <c r="A185" s="69" t="s">
        <v>41</v>
      </c>
      <c r="B185" s="69" t="s">
        <v>551</v>
      </c>
      <c r="C185" s="41" t="s">
        <v>552</v>
      </c>
      <c r="D185" s="40" t="s">
        <v>553</v>
      </c>
      <c r="E185" s="82"/>
      <c r="F185" s="69"/>
      <c r="G185" s="69"/>
      <c r="H185" s="83"/>
      <c r="I185" s="114"/>
      <c r="J185" s="114"/>
      <c r="K185" s="114"/>
      <c r="L185" s="114"/>
      <c r="M185" s="114"/>
      <c r="N185" s="114"/>
      <c r="O185" s="114"/>
      <c r="P185" s="114"/>
      <c r="U185" s="42" t="s">
        <v>38</v>
      </c>
      <c r="W185" s="190">
        <v>7.5</v>
      </c>
      <c r="X185" s="102">
        <f>'Additional information'!$D$19</f>
        <v>0.2</v>
      </c>
      <c r="Y185" s="165">
        <f t="shared" si="18"/>
        <v>1.5</v>
      </c>
      <c r="Z185" s="165">
        <f t="shared" si="19"/>
        <v>1.5</v>
      </c>
    </row>
    <row r="186" spans="1:27" s="67" customFormat="1" x14ac:dyDescent="0.2">
      <c r="C186" s="89"/>
      <c r="D186" s="230"/>
      <c r="E186" s="65"/>
      <c r="H186" s="66"/>
      <c r="I186" s="120"/>
      <c r="J186" s="120"/>
      <c r="K186" s="120"/>
      <c r="L186" s="120"/>
      <c r="M186" s="120"/>
      <c r="N186" s="120"/>
      <c r="O186" s="120"/>
      <c r="P186" s="120"/>
      <c r="U186" s="42"/>
      <c r="W186" s="190"/>
      <c r="X186" s="102">
        <f>'Additional information'!$D$19</f>
        <v>0.2</v>
      </c>
      <c r="Y186" s="165" t="str">
        <f t="shared" si="18"/>
        <v/>
      </c>
      <c r="Z186" s="165" t="str">
        <f t="shared" si="19"/>
        <v/>
      </c>
      <c r="AA186" s="68"/>
    </row>
    <row r="187" spans="1:27" ht="32" customHeight="1" x14ac:dyDescent="0.2">
      <c r="A187" s="69" t="s">
        <v>554</v>
      </c>
      <c r="B187" s="69" t="s">
        <v>555</v>
      </c>
      <c r="C187" s="41" t="s">
        <v>556</v>
      </c>
      <c r="D187" s="229" t="s">
        <v>557</v>
      </c>
      <c r="E187" s="82"/>
      <c r="F187" s="42" t="s">
        <v>558</v>
      </c>
      <c r="G187" s="42" t="s">
        <v>559</v>
      </c>
      <c r="H187" s="83"/>
      <c r="I187" s="114" t="s">
        <v>36</v>
      </c>
      <c r="J187" s="114" t="s">
        <v>292</v>
      </c>
      <c r="K187" s="114"/>
      <c r="L187" s="114"/>
      <c r="M187" s="114"/>
      <c r="N187" s="114"/>
      <c r="O187" s="114"/>
      <c r="P187" s="114"/>
      <c r="U187" s="42" t="s">
        <v>38</v>
      </c>
      <c r="W187" s="190">
        <v>20.2944221496582</v>
      </c>
      <c r="X187" s="102">
        <f>'Additional information'!$D$19</f>
        <v>0.2</v>
      </c>
      <c r="Y187" s="165">
        <f t="shared" si="18"/>
        <v>4.0588844299316404</v>
      </c>
      <c r="Z187" s="165">
        <f t="shared" si="19"/>
        <v>4.0588844299316404</v>
      </c>
    </row>
    <row r="188" spans="1:27" x14ac:dyDescent="0.2">
      <c r="A188" s="69" t="s">
        <v>26</v>
      </c>
      <c r="B188" s="69" t="s">
        <v>560</v>
      </c>
      <c r="C188" s="41"/>
      <c r="D188" s="231"/>
      <c r="E188" s="82"/>
      <c r="H188" s="83"/>
      <c r="I188" s="114"/>
      <c r="J188" s="114"/>
      <c r="K188" s="114"/>
      <c r="L188" s="114"/>
      <c r="M188" s="114"/>
      <c r="N188" s="114"/>
      <c r="O188" s="114"/>
      <c r="P188" s="114" t="s">
        <v>561</v>
      </c>
      <c r="U188" s="42" t="s">
        <v>38</v>
      </c>
      <c r="W188" s="190"/>
      <c r="X188" s="102">
        <f>'Additional information'!$D$19</f>
        <v>0.2</v>
      </c>
      <c r="Y188" s="165" t="str">
        <f t="shared" si="18"/>
        <v/>
      </c>
      <c r="Z188" s="165" t="str">
        <f t="shared" si="19"/>
        <v/>
      </c>
    </row>
    <row r="189" spans="1:27" x14ac:dyDescent="0.2">
      <c r="D189" s="42"/>
      <c r="E189" s="82"/>
      <c r="H189" s="83"/>
      <c r="M189" s="126"/>
      <c r="W189" s="190"/>
      <c r="X189" s="102">
        <f>'Additional information'!$D$19</f>
        <v>0.2</v>
      </c>
      <c r="Y189" s="165" t="str">
        <f t="shared" si="18"/>
        <v/>
      </c>
      <c r="Z189" s="165" t="str">
        <f t="shared" si="19"/>
        <v/>
      </c>
    </row>
    <row r="190" spans="1:27" ht="16" customHeight="1" x14ac:dyDescent="0.2">
      <c r="A190" s="69" t="s">
        <v>78</v>
      </c>
      <c r="B190" s="69" t="s">
        <v>562</v>
      </c>
      <c r="C190" s="41" t="s">
        <v>563</v>
      </c>
      <c r="D190" s="229" t="s">
        <v>564</v>
      </c>
      <c r="E190" s="82"/>
      <c r="F190" s="69" t="s">
        <v>565</v>
      </c>
      <c r="G190" s="69" t="s">
        <v>566</v>
      </c>
      <c r="H190" s="83"/>
      <c r="I190" s="114" t="s">
        <v>36</v>
      </c>
      <c r="J190" s="114"/>
      <c r="K190" s="114" t="s">
        <v>567</v>
      </c>
      <c r="L190" s="114"/>
      <c r="M190" s="114" t="s">
        <v>568</v>
      </c>
      <c r="N190" s="114"/>
      <c r="O190" s="114"/>
      <c r="P190" s="114"/>
      <c r="U190" s="42" t="s">
        <v>38</v>
      </c>
      <c r="W190" s="190">
        <v>18.539077758789059</v>
      </c>
      <c r="X190" s="102">
        <f>'Additional information'!$D$19</f>
        <v>0.2</v>
      </c>
      <c r="Y190" s="165">
        <f t="shared" si="18"/>
        <v>3.707815551757812</v>
      </c>
      <c r="Z190" s="165">
        <f t="shared" si="19"/>
        <v>3.707815551757812</v>
      </c>
    </row>
    <row r="191" spans="1:27" ht="16" customHeight="1" x14ac:dyDescent="0.2">
      <c r="A191" s="69" t="s">
        <v>78</v>
      </c>
      <c r="B191" s="69" t="s">
        <v>569</v>
      </c>
      <c r="C191" s="41" t="s">
        <v>570</v>
      </c>
      <c r="D191" s="229" t="s">
        <v>571</v>
      </c>
      <c r="E191" s="82"/>
      <c r="F191" s="69" t="s">
        <v>565</v>
      </c>
      <c r="G191" s="69" t="s">
        <v>566</v>
      </c>
      <c r="H191" s="83"/>
      <c r="I191" s="114" t="s">
        <v>36</v>
      </c>
      <c r="J191" s="114"/>
      <c r="K191" s="114" t="s">
        <v>567</v>
      </c>
      <c r="L191" s="114"/>
      <c r="M191" s="114" t="s">
        <v>568</v>
      </c>
      <c r="N191" s="114"/>
      <c r="O191" s="114"/>
      <c r="P191" s="114"/>
      <c r="U191" s="42" t="s">
        <v>38</v>
      </c>
      <c r="W191" s="190">
        <v>8.9158916473388672</v>
      </c>
      <c r="X191" s="102">
        <f>'Additional information'!$D$19</f>
        <v>0.2</v>
      </c>
      <c r="Y191" s="165">
        <f t="shared" si="18"/>
        <v>1.7831783294677734</v>
      </c>
      <c r="Z191" s="165">
        <f t="shared" si="19"/>
        <v>1.7831783294677734</v>
      </c>
    </row>
    <row r="192" spans="1:27" ht="16" customHeight="1" x14ac:dyDescent="0.2">
      <c r="A192" s="69" t="s">
        <v>26</v>
      </c>
      <c r="B192" s="69" t="s">
        <v>572</v>
      </c>
      <c r="C192" s="41" t="s">
        <v>573</v>
      </c>
      <c r="D192" s="69" t="s">
        <v>574</v>
      </c>
      <c r="E192" s="82"/>
      <c r="F192" s="69"/>
      <c r="G192" s="69"/>
      <c r="H192" s="83"/>
      <c r="I192" s="114" t="s">
        <v>36</v>
      </c>
      <c r="J192" s="114"/>
      <c r="K192" s="114"/>
      <c r="L192" s="114"/>
      <c r="M192" s="114" t="s">
        <v>575</v>
      </c>
      <c r="N192" s="114"/>
      <c r="O192" s="114"/>
      <c r="P192" s="114" t="s">
        <v>576</v>
      </c>
      <c r="U192" s="42" t="s">
        <v>38</v>
      </c>
      <c r="W192" s="190"/>
      <c r="X192" s="102">
        <f>'Additional information'!$D$19</f>
        <v>0.2</v>
      </c>
      <c r="Y192" s="165" t="str">
        <f t="shared" si="18"/>
        <v/>
      </c>
      <c r="Z192" s="165" t="str">
        <f t="shared" si="19"/>
        <v/>
      </c>
    </row>
    <row r="193" spans="1:27" x14ac:dyDescent="0.2">
      <c r="D193" s="42"/>
      <c r="E193" s="82"/>
      <c r="H193" s="83"/>
      <c r="W193" s="190"/>
      <c r="X193" s="102">
        <f>'Additional information'!$D$19</f>
        <v>0.2</v>
      </c>
      <c r="Y193" s="165" t="str">
        <f t="shared" si="18"/>
        <v/>
      </c>
      <c r="Z193" s="165" t="str">
        <f t="shared" si="19"/>
        <v/>
      </c>
    </row>
    <row r="194" spans="1:27" ht="16" customHeight="1" x14ac:dyDescent="0.2">
      <c r="A194" s="69" t="s">
        <v>577</v>
      </c>
      <c r="B194" s="69" t="s">
        <v>578</v>
      </c>
      <c r="C194" s="41" t="s">
        <v>579</v>
      </c>
      <c r="D194" s="229" t="s">
        <v>580</v>
      </c>
      <c r="E194" s="82"/>
      <c r="F194" s="42" t="s">
        <v>581</v>
      </c>
      <c r="G194" s="42" t="s">
        <v>582</v>
      </c>
      <c r="H194" s="83"/>
      <c r="I194" s="114" t="s">
        <v>36</v>
      </c>
      <c r="J194" s="114"/>
      <c r="K194" s="114" t="s">
        <v>583</v>
      </c>
      <c r="L194" s="114"/>
      <c r="M194" s="114" t="s">
        <v>568</v>
      </c>
      <c r="N194" s="114"/>
      <c r="O194" s="114"/>
      <c r="P194" s="114"/>
      <c r="U194" s="42" t="s">
        <v>38</v>
      </c>
      <c r="W194" s="190">
        <v>25.81001091003418</v>
      </c>
      <c r="X194" s="102">
        <f>'Additional information'!$D$19</f>
        <v>0.2</v>
      </c>
      <c r="Y194" s="165">
        <f t="shared" si="18"/>
        <v>5.1620021820068365</v>
      </c>
      <c r="Z194" s="165">
        <f t="shared" si="19"/>
        <v>5.1620021820068365</v>
      </c>
    </row>
    <row r="195" spans="1:27" x14ac:dyDescent="0.2">
      <c r="D195" s="42"/>
      <c r="E195" s="82"/>
      <c r="H195" s="83"/>
      <c r="M195" s="126"/>
      <c r="W195" s="190"/>
      <c r="X195" s="102">
        <f>'Additional information'!$D$19</f>
        <v>0.2</v>
      </c>
      <c r="Y195" s="165" t="str">
        <f t="shared" si="18"/>
        <v/>
      </c>
      <c r="Z195" s="165" t="str">
        <f t="shared" si="19"/>
        <v/>
      </c>
    </row>
    <row r="196" spans="1:27" s="71" customFormat="1" ht="16" customHeight="1" x14ac:dyDescent="0.2">
      <c r="A196" s="71" t="s">
        <v>584</v>
      </c>
      <c r="B196" s="71" t="s">
        <v>585</v>
      </c>
      <c r="C196" s="72" t="s">
        <v>586</v>
      </c>
      <c r="D196" s="232" t="s">
        <v>587</v>
      </c>
      <c r="E196" s="73"/>
      <c r="F196" s="71" t="s">
        <v>581</v>
      </c>
      <c r="G196" s="71" t="s">
        <v>582</v>
      </c>
      <c r="H196" s="77"/>
      <c r="I196" s="115" t="s">
        <v>36</v>
      </c>
      <c r="J196" s="115"/>
      <c r="K196" s="115" t="s">
        <v>540</v>
      </c>
      <c r="L196" s="115"/>
      <c r="M196" s="115"/>
      <c r="N196" s="115"/>
      <c r="O196" s="115"/>
      <c r="P196" s="115"/>
      <c r="U196" s="71" t="s">
        <v>48</v>
      </c>
      <c r="W196" s="190">
        <v>19.55319786071777</v>
      </c>
      <c r="X196" s="102">
        <f>'Additional information'!$D$19</f>
        <v>0.2</v>
      </c>
      <c r="Y196" s="165">
        <f t="shared" si="18"/>
        <v>3.9106395721435541</v>
      </c>
      <c r="Z196" s="165" t="str">
        <f t="shared" si="19"/>
        <v/>
      </c>
      <c r="AA196" s="70"/>
    </row>
    <row r="197" spans="1:27" s="71" customFormat="1" x14ac:dyDescent="0.2">
      <c r="C197" s="72"/>
      <c r="E197" s="73"/>
      <c r="H197" s="77"/>
      <c r="I197" s="115"/>
      <c r="J197" s="115"/>
      <c r="K197" s="115"/>
      <c r="L197" s="115"/>
      <c r="M197" s="115"/>
      <c r="N197" s="115"/>
      <c r="O197" s="115"/>
      <c r="P197" s="115"/>
      <c r="W197" s="190"/>
      <c r="X197" s="102">
        <f>'Additional information'!$D$19</f>
        <v>0.2</v>
      </c>
      <c r="Y197" s="165" t="str">
        <f t="shared" si="18"/>
        <v/>
      </c>
      <c r="Z197" s="165" t="str">
        <f t="shared" si="19"/>
        <v/>
      </c>
      <c r="AA197" s="70"/>
    </row>
    <row r="198" spans="1:27" ht="32" customHeight="1" x14ac:dyDescent="0.2">
      <c r="A198" s="69" t="s">
        <v>142</v>
      </c>
      <c r="B198" s="69" t="s">
        <v>588</v>
      </c>
      <c r="C198" s="41" t="s">
        <v>589</v>
      </c>
      <c r="D198" s="229" t="s">
        <v>590</v>
      </c>
      <c r="E198" s="82"/>
      <c r="H198" s="83"/>
      <c r="I198" s="114" t="s">
        <v>36</v>
      </c>
      <c r="J198" s="114"/>
      <c r="K198" s="114"/>
      <c r="L198" s="114"/>
      <c r="M198" s="116"/>
      <c r="N198" s="114"/>
      <c r="O198" s="114"/>
      <c r="P198" s="114"/>
      <c r="U198" s="42" t="s">
        <v>38</v>
      </c>
      <c r="W198" s="190">
        <v>13.613316535949711</v>
      </c>
      <c r="X198" s="102">
        <f>'Additional information'!$D$19</f>
        <v>0.2</v>
      </c>
      <c r="Y198" s="165">
        <f t="shared" si="18"/>
        <v>2.7226633071899422</v>
      </c>
      <c r="Z198" s="165">
        <f t="shared" si="19"/>
        <v>2.7226633071899422</v>
      </c>
    </row>
    <row r="199" spans="1:27" ht="32" customHeight="1" x14ac:dyDescent="0.2">
      <c r="A199" s="69" t="s">
        <v>591</v>
      </c>
      <c r="B199" s="69" t="s">
        <v>592</v>
      </c>
      <c r="C199" s="41" t="s">
        <v>593</v>
      </c>
      <c r="D199" s="229" t="s">
        <v>594</v>
      </c>
      <c r="E199" s="82"/>
      <c r="F199" s="42" t="s">
        <v>506</v>
      </c>
      <c r="G199" s="42" t="s">
        <v>595</v>
      </c>
      <c r="H199" s="83"/>
      <c r="I199" s="114" t="s">
        <v>36</v>
      </c>
      <c r="J199" s="114"/>
      <c r="K199" s="116" t="s">
        <v>540</v>
      </c>
      <c r="L199" s="114"/>
      <c r="M199" s="116" t="s">
        <v>596</v>
      </c>
      <c r="N199" s="114"/>
      <c r="O199" s="114"/>
      <c r="P199" s="114"/>
      <c r="U199" s="42" t="s">
        <v>38</v>
      </c>
      <c r="W199" s="190">
        <v>27.754648208618161</v>
      </c>
      <c r="X199" s="102">
        <f>'Additional information'!$D$19</f>
        <v>0.2</v>
      </c>
      <c r="Y199" s="165">
        <f t="shared" si="18"/>
        <v>5.5509296417236325</v>
      </c>
      <c r="Z199" s="165">
        <f t="shared" si="19"/>
        <v>5.5509296417236325</v>
      </c>
    </row>
    <row r="200" spans="1:27" x14ac:dyDescent="0.2">
      <c r="D200" s="42"/>
      <c r="E200" s="82"/>
      <c r="H200" s="83"/>
      <c r="M200" s="126"/>
      <c r="W200" s="190"/>
      <c r="X200" s="102">
        <f>'Additional information'!$D$19</f>
        <v>0.2</v>
      </c>
      <c r="Y200" s="165" t="str">
        <f t="shared" si="18"/>
        <v/>
      </c>
      <c r="Z200" s="165" t="str">
        <f t="shared" si="19"/>
        <v/>
      </c>
    </row>
    <row r="201" spans="1:27" x14ac:dyDescent="0.2">
      <c r="E201" s="82"/>
      <c r="H201" s="83"/>
      <c r="M201" s="126"/>
      <c r="W201" s="190"/>
      <c r="X201" s="102">
        <f>'Additional information'!$D$19</f>
        <v>0.2</v>
      </c>
      <c r="Y201" s="165" t="str">
        <f t="shared" si="18"/>
        <v/>
      </c>
      <c r="Z201" s="165" t="str">
        <f t="shared" si="19"/>
        <v/>
      </c>
    </row>
    <row r="202" spans="1:27" ht="16" customHeight="1" thickBot="1" x14ac:dyDescent="0.25">
      <c r="A202" s="96" t="s">
        <v>137</v>
      </c>
      <c r="B202" s="96"/>
      <c r="C202" s="97"/>
      <c r="D202" s="97"/>
      <c r="E202" s="106"/>
      <c r="F202" s="96"/>
      <c r="G202" s="96"/>
      <c r="H202" s="107"/>
      <c r="I202" s="127"/>
      <c r="J202" s="127"/>
      <c r="K202" s="127"/>
      <c r="L202" s="127"/>
      <c r="M202" s="127"/>
      <c r="N202" s="127"/>
      <c r="O202" s="127"/>
      <c r="P202" s="127"/>
      <c r="W202" s="190"/>
      <c r="Y202" s="165" t="str">
        <f t="shared" si="18"/>
        <v/>
      </c>
      <c r="Z202" s="165" t="str">
        <f t="shared" si="19"/>
        <v/>
      </c>
    </row>
    <row r="203" spans="1:27" s="67" customFormat="1" ht="17" customHeight="1" thickTop="1" x14ac:dyDescent="0.2">
      <c r="A203" s="64" t="s">
        <v>64</v>
      </c>
      <c r="B203" s="64" t="s">
        <v>597</v>
      </c>
      <c r="C203" s="88" t="s">
        <v>598</v>
      </c>
      <c r="D203" s="226" t="s">
        <v>599</v>
      </c>
      <c r="E203" s="65"/>
      <c r="F203" s="64"/>
      <c r="G203" s="64"/>
      <c r="H203" s="66"/>
      <c r="I203" s="119" t="s">
        <v>47</v>
      </c>
      <c r="J203" s="119"/>
      <c r="K203" s="119"/>
      <c r="L203" s="119"/>
      <c r="M203" s="119" t="s">
        <v>600</v>
      </c>
      <c r="N203" s="119"/>
      <c r="O203" s="119"/>
      <c r="P203" s="119"/>
      <c r="U203" s="42" t="s">
        <v>38</v>
      </c>
      <c r="W203" s="190"/>
      <c r="X203" s="164"/>
      <c r="Y203" s="165" t="str">
        <f t="shared" si="18"/>
        <v/>
      </c>
      <c r="Z203" s="165" t="str">
        <f t="shared" si="19"/>
        <v/>
      </c>
      <c r="AA203" s="68"/>
    </row>
    <row r="204" spans="1:27" s="67" customFormat="1" x14ac:dyDescent="0.2">
      <c r="C204" s="89"/>
      <c r="D204" s="89"/>
      <c r="E204" s="65"/>
      <c r="H204" s="66"/>
      <c r="I204" s="120"/>
      <c r="J204" s="120"/>
      <c r="K204" s="120"/>
      <c r="L204" s="120"/>
      <c r="M204" s="120"/>
      <c r="N204" s="120"/>
      <c r="O204" s="120"/>
      <c r="P204" s="120"/>
      <c r="U204" s="42"/>
      <c r="W204" s="190"/>
      <c r="X204" s="102">
        <f>'Additional information'!$D$19</f>
        <v>0.2</v>
      </c>
      <c r="Y204" s="165" t="str">
        <f t="shared" si="18"/>
        <v/>
      </c>
      <c r="Z204" s="165" t="str">
        <f t="shared" si="19"/>
        <v/>
      </c>
      <c r="AA204" s="68"/>
    </row>
    <row r="205" spans="1:27" s="67" customFormat="1" ht="32" customHeight="1" x14ac:dyDescent="0.2">
      <c r="A205" s="69" t="s">
        <v>601</v>
      </c>
      <c r="B205" s="69" t="s">
        <v>602</v>
      </c>
      <c r="C205" s="41" t="s">
        <v>603</v>
      </c>
      <c r="D205" s="229" t="s">
        <v>604</v>
      </c>
      <c r="E205" s="82"/>
      <c r="F205" s="101"/>
      <c r="G205" s="101"/>
      <c r="H205" s="83"/>
      <c r="I205" s="114" t="s">
        <v>36</v>
      </c>
      <c r="J205" s="114" t="s">
        <v>292</v>
      </c>
      <c r="K205" s="119"/>
      <c r="L205" s="119"/>
      <c r="M205" s="119"/>
      <c r="N205" s="119"/>
      <c r="O205" s="119"/>
      <c r="P205" s="119"/>
      <c r="U205" s="42" t="s">
        <v>38</v>
      </c>
      <c r="W205" s="190">
        <v>13.99939060211182</v>
      </c>
      <c r="X205" s="102">
        <f>'Additional information'!$D$19</f>
        <v>0.2</v>
      </c>
      <c r="Y205" s="165">
        <f t="shared" si="18"/>
        <v>2.7998781204223642</v>
      </c>
      <c r="Z205" s="165">
        <f t="shared" si="19"/>
        <v>2.7998781204223642</v>
      </c>
      <c r="AA205" s="68"/>
    </row>
    <row r="206" spans="1:27" x14ac:dyDescent="0.2">
      <c r="A206" s="69" t="s">
        <v>26</v>
      </c>
      <c r="B206" s="69" t="s">
        <v>605</v>
      </c>
      <c r="C206" s="41"/>
      <c r="D206" s="233"/>
      <c r="E206" s="82"/>
      <c r="H206" s="83"/>
      <c r="I206" s="114"/>
      <c r="J206" s="114"/>
      <c r="K206" s="114"/>
      <c r="L206" s="114"/>
      <c r="M206" s="114"/>
      <c r="N206" s="114"/>
      <c r="O206" s="114"/>
      <c r="P206" s="114" t="s">
        <v>606</v>
      </c>
      <c r="U206" s="42" t="s">
        <v>38</v>
      </c>
      <c r="W206" s="190"/>
      <c r="X206" s="102">
        <f>'Additional information'!$D$19</f>
        <v>0.2</v>
      </c>
      <c r="Y206" s="165" t="str">
        <f t="shared" si="18"/>
        <v/>
      </c>
      <c r="Z206" s="165" t="str">
        <f t="shared" si="19"/>
        <v/>
      </c>
    </row>
    <row r="207" spans="1:27" x14ac:dyDescent="0.2">
      <c r="D207" s="42"/>
      <c r="E207" s="82"/>
      <c r="H207" s="83"/>
      <c r="W207" s="190"/>
      <c r="X207" s="102">
        <f>'Additional information'!$D$19</f>
        <v>0.2</v>
      </c>
      <c r="Y207" s="165" t="str">
        <f t="shared" si="18"/>
        <v/>
      </c>
      <c r="Z207" s="165" t="str">
        <f t="shared" si="19"/>
        <v/>
      </c>
    </row>
    <row r="208" spans="1:27" ht="32" customHeight="1" x14ac:dyDescent="0.2">
      <c r="A208" s="69" t="s">
        <v>142</v>
      </c>
      <c r="B208" s="69" t="s">
        <v>607</v>
      </c>
      <c r="C208" s="41" t="s">
        <v>608</v>
      </c>
      <c r="D208" s="229" t="s">
        <v>609</v>
      </c>
      <c r="E208" s="82"/>
      <c r="H208" s="83"/>
      <c r="I208" s="114" t="s">
        <v>36</v>
      </c>
      <c r="J208" s="114"/>
      <c r="K208" s="114"/>
      <c r="L208" s="114"/>
      <c r="M208" s="114"/>
      <c r="N208" s="114"/>
      <c r="O208" s="114"/>
      <c r="P208" s="114"/>
      <c r="U208" s="42" t="s">
        <v>38</v>
      </c>
      <c r="W208" s="190">
        <v>10.25279426574707</v>
      </c>
      <c r="X208" s="102">
        <f>'Additional information'!$D$19</f>
        <v>0.2</v>
      </c>
      <c r="Y208" s="165">
        <f t="shared" si="18"/>
        <v>2.0505588531494143</v>
      </c>
      <c r="Z208" s="165">
        <f t="shared" si="19"/>
        <v>2.0505588531494143</v>
      </c>
    </row>
    <row r="209" spans="1:27" ht="32" customHeight="1" x14ac:dyDescent="0.2">
      <c r="A209" s="69" t="s">
        <v>610</v>
      </c>
      <c r="B209" s="69" t="s">
        <v>611</v>
      </c>
      <c r="C209" s="41" t="s">
        <v>612</v>
      </c>
      <c r="D209" s="229" t="s">
        <v>613</v>
      </c>
      <c r="E209" s="82"/>
      <c r="F209" s="42" t="s">
        <v>506</v>
      </c>
      <c r="G209" s="42" t="s">
        <v>614</v>
      </c>
      <c r="H209" s="83"/>
      <c r="I209" s="114" t="s">
        <v>36</v>
      </c>
      <c r="J209" s="114"/>
      <c r="K209" s="116" t="s">
        <v>540</v>
      </c>
      <c r="L209" s="116"/>
      <c r="M209" s="116" t="s">
        <v>615</v>
      </c>
      <c r="N209" s="114"/>
      <c r="O209" s="114"/>
      <c r="P209" s="114"/>
      <c r="U209" s="42" t="s">
        <v>38</v>
      </c>
      <c r="W209" s="190">
        <v>24.194343566894531</v>
      </c>
      <c r="X209" s="102">
        <f>'Additional information'!$D$19</f>
        <v>0.2</v>
      </c>
      <c r="Y209" s="165">
        <f t="shared" si="18"/>
        <v>4.8388687133789068</v>
      </c>
      <c r="Z209" s="165">
        <f t="shared" si="19"/>
        <v>4.8388687133789068</v>
      </c>
    </row>
    <row r="210" spans="1:27" x14ac:dyDescent="0.2">
      <c r="D210" s="234"/>
      <c r="E210" s="82"/>
      <c r="H210" s="83"/>
      <c r="M210" s="126"/>
      <c r="W210" s="190"/>
      <c r="X210" s="102">
        <f>'Additional information'!$D$19</f>
        <v>0.2</v>
      </c>
      <c r="Y210" s="165" t="str">
        <f t="shared" ref="Y210:Y241" si="20">IF(W210&lt;&gt;"",W210*X210,"")</f>
        <v/>
      </c>
      <c r="Z210" s="165" t="str">
        <f t="shared" ref="Z210:Z241" si="21">IF(AND(W210&lt;&gt;"",U210="yes"),W210*X210,"")</f>
        <v/>
      </c>
    </row>
    <row r="211" spans="1:27" ht="32" customHeight="1" x14ac:dyDescent="0.2">
      <c r="A211" s="69" t="s">
        <v>330</v>
      </c>
      <c r="B211" s="69" t="s">
        <v>616</v>
      </c>
      <c r="C211" s="75" t="s">
        <v>617</v>
      </c>
      <c r="D211" s="229" t="s">
        <v>618</v>
      </c>
      <c r="E211" s="82"/>
      <c r="F211" s="69" t="s">
        <v>545</v>
      </c>
      <c r="G211" s="101" t="s">
        <v>619</v>
      </c>
      <c r="H211" s="83"/>
      <c r="I211" s="114" t="s">
        <v>36</v>
      </c>
      <c r="J211" s="114"/>
      <c r="K211" s="114"/>
      <c r="L211" s="114"/>
      <c r="M211" s="116"/>
      <c r="N211" s="114"/>
      <c r="O211" s="114"/>
      <c r="P211" s="114"/>
      <c r="U211" s="42" t="s">
        <v>38</v>
      </c>
      <c r="W211" s="190">
        <v>19.321737289428711</v>
      </c>
      <c r="X211" s="102">
        <f>'Additional information'!$D$19</f>
        <v>0.2</v>
      </c>
      <c r="Y211" s="165">
        <f t="shared" si="20"/>
        <v>3.8643474578857422</v>
      </c>
      <c r="Z211" s="165">
        <f t="shared" si="21"/>
        <v>3.8643474578857422</v>
      </c>
    </row>
    <row r="212" spans="1:27" x14ac:dyDescent="0.2">
      <c r="C212" s="44"/>
      <c r="D212" s="44"/>
      <c r="E212" s="82"/>
      <c r="H212" s="83"/>
      <c r="M212" s="126"/>
      <c r="W212" s="190"/>
      <c r="X212" s="102">
        <f>'Additional information'!$D$19</f>
        <v>0.2</v>
      </c>
      <c r="Y212" s="165" t="str">
        <f t="shared" si="20"/>
        <v/>
      </c>
      <c r="Z212" s="165" t="str">
        <f t="shared" si="21"/>
        <v/>
      </c>
    </row>
    <row r="213" spans="1:27" ht="16" customHeight="1" thickBot="1" x14ac:dyDescent="0.25">
      <c r="A213" s="96" t="s">
        <v>137</v>
      </c>
      <c r="B213" s="96"/>
      <c r="C213" s="97"/>
      <c r="D213" s="97"/>
      <c r="E213" s="106"/>
      <c r="F213" s="96"/>
      <c r="G213" s="96"/>
      <c r="H213" s="107"/>
      <c r="I213" s="127"/>
      <c r="J213" s="127"/>
      <c r="K213" s="127"/>
      <c r="L213" s="127"/>
      <c r="M213" s="127"/>
      <c r="N213" s="127"/>
      <c r="O213" s="127"/>
      <c r="P213" s="127"/>
      <c r="W213" s="190"/>
      <c r="Y213" s="165" t="str">
        <f t="shared" si="20"/>
        <v/>
      </c>
      <c r="Z213" s="165" t="str">
        <f t="shared" si="21"/>
        <v/>
      </c>
    </row>
    <row r="214" spans="1:27" s="67" customFormat="1" ht="17" customHeight="1" thickTop="1" x14ac:dyDescent="0.2">
      <c r="A214" s="64" t="s">
        <v>64</v>
      </c>
      <c r="B214" s="64" t="s">
        <v>620</v>
      </c>
      <c r="C214" s="88" t="s">
        <v>621</v>
      </c>
      <c r="D214" s="226" t="s">
        <v>622</v>
      </c>
      <c r="E214" s="65"/>
      <c r="F214" s="64"/>
      <c r="G214" s="64"/>
      <c r="H214" s="66"/>
      <c r="I214" s="119" t="s">
        <v>47</v>
      </c>
      <c r="J214" s="119"/>
      <c r="K214" s="119"/>
      <c r="L214" s="119"/>
      <c r="M214" s="120" t="s">
        <v>623</v>
      </c>
      <c r="N214" s="119"/>
      <c r="O214" s="119"/>
      <c r="P214" s="119"/>
      <c r="U214" s="42" t="s">
        <v>38</v>
      </c>
      <c r="W214" s="190"/>
      <c r="X214" s="68"/>
      <c r="Y214" s="165" t="str">
        <f t="shared" si="20"/>
        <v/>
      </c>
      <c r="Z214" s="165" t="str">
        <f t="shared" si="21"/>
        <v/>
      </c>
      <c r="AA214" s="68"/>
    </row>
    <row r="215" spans="1:27" s="70" customFormat="1" ht="48" customHeight="1" x14ac:dyDescent="0.2">
      <c r="A215" s="74" t="s">
        <v>41</v>
      </c>
      <c r="B215" s="74" t="s">
        <v>624</v>
      </c>
      <c r="C215" s="75" t="s">
        <v>625</v>
      </c>
      <c r="D215" s="235" t="s">
        <v>626</v>
      </c>
      <c r="E215" s="93"/>
      <c r="H215" s="95"/>
      <c r="I215" s="116"/>
      <c r="J215" s="116"/>
      <c r="K215" s="116"/>
      <c r="L215" s="116"/>
      <c r="M215" s="116"/>
      <c r="N215" s="116"/>
      <c r="O215" s="116"/>
      <c r="P215" s="116"/>
      <c r="U215" s="70" t="s">
        <v>38</v>
      </c>
      <c r="W215" s="190">
        <v>7.5</v>
      </c>
      <c r="X215" s="102">
        <f>'Additional information'!$D$20</f>
        <v>0.05</v>
      </c>
      <c r="Y215" s="165">
        <f t="shared" si="20"/>
        <v>0.375</v>
      </c>
      <c r="Z215" s="165">
        <f t="shared" si="21"/>
        <v>0.375</v>
      </c>
    </row>
    <row r="216" spans="1:27" s="67" customFormat="1" x14ac:dyDescent="0.2">
      <c r="C216" s="89"/>
      <c r="D216" s="234"/>
      <c r="E216" s="65"/>
      <c r="H216" s="66"/>
      <c r="I216" s="120"/>
      <c r="J216" s="120"/>
      <c r="K216" s="120"/>
      <c r="L216" s="120"/>
      <c r="M216" s="120"/>
      <c r="N216" s="120"/>
      <c r="O216" s="120"/>
      <c r="P216" s="120"/>
      <c r="U216" s="42"/>
      <c r="W216" s="190"/>
      <c r="X216" s="102">
        <f>'Additional information'!$D$20</f>
        <v>0.05</v>
      </c>
      <c r="Y216" s="165" t="str">
        <f t="shared" si="20"/>
        <v/>
      </c>
      <c r="Z216" s="165" t="str">
        <f t="shared" si="21"/>
        <v/>
      </c>
      <c r="AA216" s="68"/>
    </row>
    <row r="217" spans="1:27" ht="16" customHeight="1" x14ac:dyDescent="0.2">
      <c r="A217" s="69" t="s">
        <v>627</v>
      </c>
      <c r="B217" s="69" t="s">
        <v>628</v>
      </c>
      <c r="C217" s="41" t="s">
        <v>629</v>
      </c>
      <c r="D217" s="229" t="s">
        <v>630</v>
      </c>
      <c r="E217" s="82"/>
      <c r="F217" s="42" t="s">
        <v>631</v>
      </c>
      <c r="G217" s="42" t="s">
        <v>582</v>
      </c>
      <c r="H217" s="83"/>
      <c r="I217" s="114" t="s">
        <v>36</v>
      </c>
      <c r="J217" s="114"/>
      <c r="K217" s="114" t="s">
        <v>540</v>
      </c>
      <c r="L217" s="114"/>
      <c r="M217" s="114"/>
      <c r="N217" s="114"/>
      <c r="O217" s="114"/>
      <c r="P217" s="114"/>
      <c r="U217" s="42" t="s">
        <v>38</v>
      </c>
      <c r="W217" s="190">
        <v>19.090116500854489</v>
      </c>
      <c r="X217" s="102">
        <f>'Additional information'!$D$20</f>
        <v>0.05</v>
      </c>
      <c r="Y217" s="165">
        <f t="shared" si="20"/>
        <v>0.95450582504272452</v>
      </c>
      <c r="Z217" s="165">
        <f t="shared" si="21"/>
        <v>0.95450582504272452</v>
      </c>
    </row>
    <row r="218" spans="1:27" x14ac:dyDescent="0.2">
      <c r="D218" s="230"/>
      <c r="E218" s="82"/>
      <c r="H218" s="83"/>
      <c r="W218" s="190"/>
      <c r="X218" s="102">
        <f>'Additional information'!$D$20</f>
        <v>0.05</v>
      </c>
      <c r="Y218" s="165" t="str">
        <f t="shared" si="20"/>
        <v/>
      </c>
      <c r="Z218" s="165" t="str">
        <f t="shared" si="21"/>
        <v/>
      </c>
    </row>
    <row r="219" spans="1:27" ht="48" customHeight="1" x14ac:dyDescent="0.2">
      <c r="A219" s="69" t="s">
        <v>330</v>
      </c>
      <c r="B219" s="69" t="s">
        <v>632</v>
      </c>
      <c r="C219" s="41" t="s">
        <v>633</v>
      </c>
      <c r="D219" s="229" t="s">
        <v>634</v>
      </c>
      <c r="E219" s="82"/>
      <c r="H219" s="83"/>
      <c r="I219" s="114" t="s">
        <v>36</v>
      </c>
      <c r="J219" s="114"/>
      <c r="K219" s="114"/>
      <c r="L219" s="114"/>
      <c r="M219" s="114"/>
      <c r="N219" s="114"/>
      <c r="O219" s="114"/>
      <c r="P219" s="114"/>
      <c r="U219" s="42" t="s">
        <v>38</v>
      </c>
      <c r="W219" s="190">
        <v>17.656976699829102</v>
      </c>
      <c r="X219" s="102">
        <f>'Additional information'!$D$20</f>
        <v>0.05</v>
      </c>
      <c r="Y219" s="165">
        <f t="shared" si="20"/>
        <v>0.88284883499145517</v>
      </c>
      <c r="Z219" s="165">
        <f t="shared" si="21"/>
        <v>0.88284883499145517</v>
      </c>
    </row>
    <row r="220" spans="1:27" x14ac:dyDescent="0.2">
      <c r="D220" s="234"/>
      <c r="E220" s="82"/>
      <c r="H220" s="83"/>
      <c r="W220" s="190"/>
      <c r="X220" s="102">
        <f>'Additional information'!$D$20</f>
        <v>0.05</v>
      </c>
      <c r="Y220" s="165" t="str">
        <f t="shared" si="20"/>
        <v/>
      </c>
      <c r="Z220" s="165" t="str">
        <f t="shared" si="21"/>
        <v/>
      </c>
    </row>
    <row r="221" spans="1:27" ht="32" customHeight="1" x14ac:dyDescent="0.2">
      <c r="A221" s="69" t="s">
        <v>142</v>
      </c>
      <c r="B221" s="69" t="s">
        <v>635</v>
      </c>
      <c r="C221" s="41" t="s">
        <v>636</v>
      </c>
      <c r="D221" s="229" t="s">
        <v>637</v>
      </c>
      <c r="E221" s="82"/>
      <c r="H221" s="83"/>
      <c r="I221" s="114" t="s">
        <v>36</v>
      </c>
      <c r="J221" s="114"/>
      <c r="K221" s="114"/>
      <c r="L221" s="114"/>
      <c r="M221" s="114"/>
      <c r="N221" s="114"/>
      <c r="O221" s="114"/>
      <c r="P221" s="114"/>
      <c r="U221" s="42" t="s">
        <v>38</v>
      </c>
      <c r="W221" s="191">
        <v>8.7647056579589844</v>
      </c>
      <c r="X221" s="102">
        <f>'Additional information'!$D$20</f>
        <v>0.05</v>
      </c>
      <c r="Y221" s="165">
        <f t="shared" si="20"/>
        <v>0.43823528289794922</v>
      </c>
      <c r="Z221" s="165">
        <f t="shared" si="21"/>
        <v>0.43823528289794922</v>
      </c>
    </row>
    <row r="222" spans="1:27" ht="32" customHeight="1" x14ac:dyDescent="0.2">
      <c r="A222" s="69" t="s">
        <v>638</v>
      </c>
      <c r="B222" s="69" t="s">
        <v>639</v>
      </c>
      <c r="C222" s="41" t="s">
        <v>640</v>
      </c>
      <c r="D222" s="229" t="s">
        <v>641</v>
      </c>
      <c r="E222" s="82"/>
      <c r="F222" s="42" t="s">
        <v>506</v>
      </c>
      <c r="G222" s="42" t="s">
        <v>642</v>
      </c>
      <c r="H222" s="83"/>
      <c r="I222" s="114"/>
      <c r="J222" s="114"/>
      <c r="K222" s="116" t="s">
        <v>540</v>
      </c>
      <c r="L222" s="114"/>
      <c r="M222" s="116" t="s">
        <v>643</v>
      </c>
      <c r="N222" s="114"/>
      <c r="O222" s="114"/>
      <c r="P222" s="114"/>
      <c r="U222" s="42" t="s">
        <v>38</v>
      </c>
      <c r="W222" s="191">
        <v>27.9538459777832</v>
      </c>
      <c r="X222" s="102">
        <f>'Additional information'!$D$20</f>
        <v>0.05</v>
      </c>
      <c r="Y222" s="165">
        <f t="shared" si="20"/>
        <v>1.39769229888916</v>
      </c>
      <c r="Z222" s="165">
        <f t="shared" si="21"/>
        <v>1.39769229888916</v>
      </c>
    </row>
    <row r="223" spans="1:27" ht="16" customHeight="1" x14ac:dyDescent="0.2">
      <c r="A223" s="69" t="s">
        <v>68</v>
      </c>
      <c r="B223" s="69" t="s">
        <v>644</v>
      </c>
      <c r="C223" s="75" t="s">
        <v>469</v>
      </c>
      <c r="D223" s="41" t="s">
        <v>470</v>
      </c>
      <c r="E223" s="93"/>
      <c r="F223" s="70" t="s">
        <v>471</v>
      </c>
      <c r="G223" s="70" t="s">
        <v>472</v>
      </c>
      <c r="H223" s="83"/>
      <c r="I223" s="114" t="s">
        <v>36</v>
      </c>
      <c r="J223" s="114"/>
      <c r="K223" s="114"/>
      <c r="L223" s="114"/>
      <c r="M223" s="114" t="s">
        <v>645</v>
      </c>
      <c r="N223" s="114"/>
      <c r="O223" s="114"/>
      <c r="P223" s="114"/>
      <c r="U223" s="42" t="s">
        <v>38</v>
      </c>
      <c r="W223" s="190"/>
      <c r="X223" s="102">
        <f>'Additional information'!$D$20</f>
        <v>0.05</v>
      </c>
      <c r="Y223" s="165" t="str">
        <f t="shared" si="20"/>
        <v/>
      </c>
      <c r="Z223" s="165" t="str">
        <f t="shared" si="21"/>
        <v/>
      </c>
    </row>
    <row r="224" spans="1:27" x14ac:dyDescent="0.2">
      <c r="E224" s="82"/>
      <c r="H224" s="83"/>
      <c r="W224" s="190"/>
      <c r="X224" s="102">
        <f>'Additional information'!$D$20</f>
        <v>0.05</v>
      </c>
      <c r="Y224" s="165" t="str">
        <f t="shared" si="20"/>
        <v/>
      </c>
      <c r="Z224" s="165" t="str">
        <f t="shared" si="21"/>
        <v/>
      </c>
    </row>
    <row r="225" spans="1:27" s="71" customFormat="1" ht="32" customHeight="1" x14ac:dyDescent="0.2">
      <c r="A225" s="71" t="s">
        <v>646</v>
      </c>
      <c r="B225" s="71" t="s">
        <v>647</v>
      </c>
      <c r="C225" s="72" t="s">
        <v>648</v>
      </c>
      <c r="D225" s="72" t="s">
        <v>649</v>
      </c>
      <c r="E225" s="73"/>
      <c r="F225" s="71" t="s">
        <v>631</v>
      </c>
      <c r="G225" s="71" t="s">
        <v>650</v>
      </c>
      <c r="H225" s="77"/>
      <c r="I225" s="115" t="s">
        <v>36</v>
      </c>
      <c r="J225" s="115"/>
      <c r="K225" s="115" t="s">
        <v>540</v>
      </c>
      <c r="L225" s="115"/>
      <c r="M225" s="115" t="s">
        <v>651</v>
      </c>
      <c r="N225" s="115"/>
      <c r="O225" s="115"/>
      <c r="P225" s="115"/>
      <c r="U225" s="71" t="s">
        <v>48</v>
      </c>
      <c r="W225" s="190">
        <v>21.25</v>
      </c>
      <c r="X225" s="102">
        <f>'Additional information'!$D$20</f>
        <v>0.05</v>
      </c>
      <c r="Y225" s="165">
        <f t="shared" si="20"/>
        <v>1.0625</v>
      </c>
      <c r="Z225" s="165" t="str">
        <f t="shared" si="21"/>
        <v/>
      </c>
      <c r="AA225" s="70"/>
    </row>
    <row r="226" spans="1:27" s="71" customFormat="1" x14ac:dyDescent="0.2">
      <c r="C226" s="72"/>
      <c r="D226" s="72"/>
      <c r="E226" s="73"/>
      <c r="H226" s="77"/>
      <c r="I226" s="115"/>
      <c r="J226" s="115"/>
      <c r="K226" s="115"/>
      <c r="L226" s="115"/>
      <c r="M226" s="115"/>
      <c r="N226" s="115"/>
      <c r="O226" s="115"/>
      <c r="P226" s="115"/>
      <c r="W226" s="190"/>
      <c r="X226" s="102">
        <f>'Additional information'!$D$20</f>
        <v>0.05</v>
      </c>
      <c r="Y226" s="165" t="str">
        <f t="shared" si="20"/>
        <v/>
      </c>
      <c r="Z226" s="165" t="str">
        <f t="shared" si="21"/>
        <v/>
      </c>
      <c r="AA226" s="70"/>
    </row>
    <row r="227" spans="1:27" ht="16" customHeight="1" thickBot="1" x14ac:dyDescent="0.25">
      <c r="A227" s="91" t="s">
        <v>137</v>
      </c>
      <c r="B227" s="91"/>
      <c r="C227" s="92"/>
      <c r="D227" s="92"/>
      <c r="E227" s="86"/>
      <c r="F227" s="91"/>
      <c r="G227" s="91"/>
      <c r="H227" s="87"/>
      <c r="I227" s="125"/>
      <c r="J227" s="125"/>
      <c r="K227" s="125"/>
      <c r="L227" s="125"/>
      <c r="M227" s="125"/>
      <c r="N227" s="125"/>
      <c r="O227" s="125"/>
      <c r="P227" s="125"/>
      <c r="W227" s="190"/>
      <c r="Y227" s="165" t="str">
        <f t="shared" si="20"/>
        <v/>
      </c>
      <c r="Z227" s="165" t="str">
        <f t="shared" si="21"/>
        <v/>
      </c>
    </row>
    <row r="228" spans="1:27" s="67" customFormat="1" ht="17" customHeight="1" thickTop="1" x14ac:dyDescent="0.2">
      <c r="A228" s="64" t="s">
        <v>64</v>
      </c>
      <c r="B228" s="64" t="s">
        <v>652</v>
      </c>
      <c r="C228" s="88" t="s">
        <v>653</v>
      </c>
      <c r="D228" s="226" t="s">
        <v>654</v>
      </c>
      <c r="E228" s="65"/>
      <c r="F228" s="64"/>
      <c r="G228" s="64"/>
      <c r="H228" s="66"/>
      <c r="I228" s="119" t="s">
        <v>47</v>
      </c>
      <c r="J228" s="119"/>
      <c r="K228" s="119"/>
      <c r="L228" s="119"/>
      <c r="M228" s="119" t="s">
        <v>655</v>
      </c>
      <c r="N228" s="119"/>
      <c r="O228" s="119"/>
      <c r="P228" s="119"/>
      <c r="U228" s="42" t="s">
        <v>38</v>
      </c>
      <c r="W228" s="190"/>
      <c r="X228" s="68"/>
      <c r="Y228" s="165" t="str">
        <f t="shared" si="20"/>
        <v/>
      </c>
      <c r="Z228" s="165" t="str">
        <f t="shared" si="21"/>
        <v/>
      </c>
      <c r="AA228" s="68"/>
    </row>
    <row r="229" spans="1:27" s="67" customFormat="1" x14ac:dyDescent="0.2">
      <c r="C229" s="89"/>
      <c r="D229" s="89"/>
      <c r="E229" s="65"/>
      <c r="H229" s="66"/>
      <c r="I229" s="120"/>
      <c r="J229" s="120"/>
      <c r="K229" s="120"/>
      <c r="L229" s="120"/>
      <c r="M229" s="120"/>
      <c r="N229" s="120"/>
      <c r="O229" s="120"/>
      <c r="P229" s="120"/>
      <c r="U229" s="42"/>
      <c r="W229" s="190"/>
      <c r="X229" s="102">
        <f>'Additional information'!$D$20</f>
        <v>0.05</v>
      </c>
      <c r="Y229" s="165" t="str">
        <f t="shared" si="20"/>
        <v/>
      </c>
      <c r="Z229" s="165" t="str">
        <f t="shared" si="21"/>
        <v/>
      </c>
      <c r="AA229" s="68"/>
    </row>
    <row r="230" spans="1:27" s="67" customFormat="1" ht="32" customHeight="1" x14ac:dyDescent="0.2">
      <c r="A230" s="69" t="s">
        <v>656</v>
      </c>
      <c r="B230" s="69" t="s">
        <v>657</v>
      </c>
      <c r="C230" s="41" t="s">
        <v>658</v>
      </c>
      <c r="D230" s="41" t="s">
        <v>659</v>
      </c>
      <c r="E230" s="82"/>
      <c r="F230" s="69"/>
      <c r="G230" s="69"/>
      <c r="H230" s="83"/>
      <c r="I230" s="114" t="s">
        <v>36</v>
      </c>
      <c r="J230" s="119"/>
      <c r="K230" s="119"/>
      <c r="L230" s="119"/>
      <c r="M230" s="119"/>
      <c r="N230" s="119"/>
      <c r="O230" s="119"/>
      <c r="P230" s="119"/>
      <c r="U230" s="42" t="s">
        <v>38</v>
      </c>
      <c r="W230" s="190">
        <v>14.38495540618896</v>
      </c>
      <c r="X230" s="102">
        <f>'Additional information'!$D$20</f>
        <v>0.05</v>
      </c>
      <c r="Y230" s="165">
        <f t="shared" si="20"/>
        <v>0.71924777030944798</v>
      </c>
      <c r="Z230" s="165">
        <f t="shared" si="21"/>
        <v>0.71924777030944798</v>
      </c>
      <c r="AA230" s="68"/>
    </row>
    <row r="231" spans="1:27" x14ac:dyDescent="0.2">
      <c r="A231" s="69" t="s">
        <v>26</v>
      </c>
      <c r="B231" s="69" t="s">
        <v>660</v>
      </c>
      <c r="C231" s="41"/>
      <c r="D231" s="41"/>
      <c r="E231" s="82"/>
      <c r="F231" s="69"/>
      <c r="G231" s="69"/>
      <c r="H231" s="83"/>
      <c r="I231" s="114"/>
      <c r="J231" s="114"/>
      <c r="K231" s="114"/>
      <c r="L231" s="114"/>
      <c r="M231" s="114"/>
      <c r="N231" s="114"/>
      <c r="O231" s="114"/>
      <c r="P231" s="114" t="s">
        <v>661</v>
      </c>
      <c r="U231" s="42" t="s">
        <v>38</v>
      </c>
      <c r="W231" s="190"/>
      <c r="X231" s="102">
        <f>'Additional information'!$D$20</f>
        <v>0.05</v>
      </c>
      <c r="Y231" s="165" t="str">
        <f t="shared" si="20"/>
        <v/>
      </c>
      <c r="Z231" s="165" t="str">
        <f t="shared" si="21"/>
        <v/>
      </c>
    </row>
    <row r="232" spans="1:27" ht="16" customHeight="1" x14ac:dyDescent="0.2">
      <c r="A232" s="69" t="s">
        <v>68</v>
      </c>
      <c r="B232" s="69" t="s">
        <v>662</v>
      </c>
      <c r="C232" s="75" t="s">
        <v>469</v>
      </c>
      <c r="D232" s="41" t="s">
        <v>470</v>
      </c>
      <c r="E232" s="93"/>
      <c r="F232" s="70" t="s">
        <v>471</v>
      </c>
      <c r="G232" s="70" t="s">
        <v>663</v>
      </c>
      <c r="H232" s="83"/>
      <c r="I232" s="114" t="s">
        <v>36</v>
      </c>
      <c r="J232" s="114"/>
      <c r="K232" s="114"/>
      <c r="L232" s="114"/>
      <c r="M232" s="116" t="s">
        <v>664</v>
      </c>
      <c r="N232" s="114"/>
      <c r="O232" s="114"/>
      <c r="P232" s="114"/>
      <c r="U232" s="42" t="s">
        <v>38</v>
      </c>
      <c r="W232" s="190"/>
      <c r="X232" s="102">
        <f>'Additional information'!$D$20</f>
        <v>0.05</v>
      </c>
      <c r="Y232" s="165" t="str">
        <f t="shared" si="20"/>
        <v/>
      </c>
      <c r="Z232" s="165" t="str">
        <f t="shared" si="21"/>
        <v/>
      </c>
    </row>
    <row r="233" spans="1:27" x14ac:dyDescent="0.2">
      <c r="D233" s="42"/>
      <c r="E233" s="82"/>
      <c r="H233" s="83"/>
      <c r="M233" s="126"/>
      <c r="W233" s="190"/>
      <c r="X233" s="102">
        <f>'Additional information'!$D$20</f>
        <v>0.05</v>
      </c>
      <c r="Y233" s="165" t="str">
        <f t="shared" si="20"/>
        <v/>
      </c>
      <c r="Z233" s="165" t="str">
        <f t="shared" si="21"/>
        <v/>
      </c>
    </row>
    <row r="234" spans="1:27" ht="32" customHeight="1" x14ac:dyDescent="0.2">
      <c r="A234" s="69" t="s">
        <v>142</v>
      </c>
      <c r="B234" s="69" t="s">
        <v>665</v>
      </c>
      <c r="C234" s="41" t="s">
        <v>666</v>
      </c>
      <c r="D234" s="41" t="s">
        <v>667</v>
      </c>
      <c r="E234" s="82"/>
      <c r="F234" s="69"/>
      <c r="G234" s="69"/>
      <c r="H234" s="83"/>
      <c r="I234" s="114" t="s">
        <v>36</v>
      </c>
      <c r="J234" s="114"/>
      <c r="K234" s="114"/>
      <c r="L234" s="114"/>
      <c r="M234" s="114"/>
      <c r="N234" s="114"/>
      <c r="O234" s="114"/>
      <c r="P234" s="114"/>
      <c r="U234" s="42" t="s">
        <v>38</v>
      </c>
      <c r="W234" s="190">
        <v>9.4380531311035156</v>
      </c>
      <c r="X234" s="102">
        <f>'Additional information'!$D$20</f>
        <v>0.05</v>
      </c>
      <c r="Y234" s="165">
        <f t="shared" si="20"/>
        <v>0.47190265655517583</v>
      </c>
      <c r="Z234" s="165">
        <f t="shared" si="21"/>
        <v>0.47190265655517583</v>
      </c>
    </row>
    <row r="235" spans="1:27" ht="32" customHeight="1" x14ac:dyDescent="0.2">
      <c r="A235" s="69" t="s">
        <v>668</v>
      </c>
      <c r="B235" s="69" t="s">
        <v>669</v>
      </c>
      <c r="C235" s="41" t="s">
        <v>670</v>
      </c>
      <c r="D235" s="41" t="s">
        <v>671</v>
      </c>
      <c r="E235" s="82"/>
      <c r="F235" s="69" t="s">
        <v>581</v>
      </c>
      <c r="G235" s="69" t="s">
        <v>672</v>
      </c>
      <c r="H235" s="83"/>
      <c r="I235" s="114" t="s">
        <v>36</v>
      </c>
      <c r="J235" s="114"/>
      <c r="K235" s="116" t="s">
        <v>540</v>
      </c>
      <c r="L235" s="114"/>
      <c r="M235" s="116" t="s">
        <v>673</v>
      </c>
      <c r="N235" s="114"/>
      <c r="O235" s="114"/>
      <c r="P235" s="114"/>
      <c r="U235" s="42" t="s">
        <v>38</v>
      </c>
      <c r="W235" s="190">
        <v>27.76699066162109</v>
      </c>
      <c r="X235" s="102">
        <f>'Additional information'!$D$20</f>
        <v>0.05</v>
      </c>
      <c r="Y235" s="165">
        <f t="shared" si="20"/>
        <v>1.3883495330810547</v>
      </c>
      <c r="Z235" s="165">
        <f t="shared" si="21"/>
        <v>1.3883495330810547</v>
      </c>
    </row>
    <row r="236" spans="1:27" ht="16" customHeight="1" x14ac:dyDescent="0.2">
      <c r="A236" s="69" t="s">
        <v>68</v>
      </c>
      <c r="B236" s="69" t="s">
        <v>674</v>
      </c>
      <c r="C236" s="75" t="s">
        <v>469</v>
      </c>
      <c r="D236" s="41" t="s">
        <v>470</v>
      </c>
      <c r="E236" s="93"/>
      <c r="F236" s="70" t="s">
        <v>471</v>
      </c>
      <c r="G236" s="70" t="s">
        <v>472</v>
      </c>
      <c r="H236" s="83"/>
      <c r="I236" s="114" t="s">
        <v>36</v>
      </c>
      <c r="J236" s="114"/>
      <c r="K236" s="114"/>
      <c r="L236" s="114"/>
      <c r="M236" s="116" t="s">
        <v>675</v>
      </c>
      <c r="N236" s="114"/>
      <c r="O236" s="114"/>
      <c r="P236" s="114"/>
      <c r="U236" s="42" t="s">
        <v>38</v>
      </c>
      <c r="W236" s="190"/>
      <c r="X236" s="102">
        <f>'Additional information'!$D$20</f>
        <v>0.05</v>
      </c>
      <c r="Y236" s="165" t="str">
        <f t="shared" si="20"/>
        <v/>
      </c>
      <c r="Z236" s="165" t="str">
        <f t="shared" si="21"/>
        <v/>
      </c>
    </row>
    <row r="237" spans="1:27" x14ac:dyDescent="0.2">
      <c r="E237" s="82"/>
      <c r="H237" s="83"/>
      <c r="M237" s="126"/>
      <c r="W237" s="190"/>
      <c r="X237" s="102">
        <f>'Additional information'!$D$20</f>
        <v>0.05</v>
      </c>
      <c r="Y237" s="165" t="str">
        <f t="shared" si="20"/>
        <v/>
      </c>
      <c r="Z237" s="165" t="str">
        <f t="shared" si="21"/>
        <v/>
      </c>
    </row>
    <row r="238" spans="1:27" ht="48" customHeight="1" x14ac:dyDescent="0.2">
      <c r="A238" s="69" t="s">
        <v>330</v>
      </c>
      <c r="B238" s="69" t="s">
        <v>676</v>
      </c>
      <c r="C238" s="75" t="s">
        <v>677</v>
      </c>
      <c r="D238" s="41" t="s">
        <v>678</v>
      </c>
      <c r="E238" s="82"/>
      <c r="F238" s="69" t="s">
        <v>545</v>
      </c>
      <c r="G238" s="69" t="s">
        <v>619</v>
      </c>
      <c r="H238" s="83"/>
      <c r="I238" s="114" t="s">
        <v>36</v>
      </c>
      <c r="J238" s="114"/>
      <c r="K238" s="114"/>
      <c r="L238" s="114"/>
      <c r="M238" s="116"/>
      <c r="N238" s="114"/>
      <c r="O238" s="114"/>
      <c r="P238" s="114"/>
      <c r="U238" s="42" t="s">
        <v>38</v>
      </c>
      <c r="W238" s="190">
        <v>13.705752372741699</v>
      </c>
      <c r="X238" s="102">
        <f>'Additional information'!$D$20</f>
        <v>0.05</v>
      </c>
      <c r="Y238" s="165">
        <f t="shared" si="20"/>
        <v>0.68528761863708498</v>
      </c>
      <c r="Z238" s="165">
        <f t="shared" si="21"/>
        <v>0.68528761863708498</v>
      </c>
    </row>
    <row r="239" spans="1:27" x14ac:dyDescent="0.2">
      <c r="C239" s="44"/>
      <c r="D239" s="44"/>
      <c r="E239" s="82"/>
      <c r="H239" s="83"/>
      <c r="M239" s="126"/>
      <c r="W239" s="190"/>
      <c r="X239" s="102">
        <f>'Additional information'!$D$20</f>
        <v>0.05</v>
      </c>
      <c r="Y239" s="165" t="str">
        <f t="shared" si="20"/>
        <v/>
      </c>
      <c r="Z239" s="165" t="str">
        <f t="shared" si="21"/>
        <v/>
      </c>
    </row>
    <row r="240" spans="1:27" ht="16" customHeight="1" thickBot="1" x14ac:dyDescent="0.25">
      <c r="A240" s="96" t="s">
        <v>137</v>
      </c>
      <c r="B240" s="96"/>
      <c r="C240" s="97"/>
      <c r="D240" s="97"/>
      <c r="E240" s="106"/>
      <c r="F240" s="96"/>
      <c r="G240" s="96"/>
      <c r="H240" s="107"/>
      <c r="I240" s="127"/>
      <c r="J240" s="127"/>
      <c r="K240" s="127"/>
      <c r="L240" s="127"/>
      <c r="M240" s="127"/>
      <c r="N240" s="127"/>
      <c r="O240" s="127"/>
      <c r="P240" s="127"/>
      <c r="W240" s="190"/>
      <c r="Y240" s="165" t="str">
        <f t="shared" si="20"/>
        <v/>
      </c>
      <c r="Z240" s="165" t="str">
        <f t="shared" si="21"/>
        <v/>
      </c>
    </row>
    <row r="241" spans="1:27" s="67" customFormat="1" ht="17" customHeight="1" thickTop="1" x14ac:dyDescent="0.2">
      <c r="A241" s="64" t="s">
        <v>64</v>
      </c>
      <c r="B241" s="64" t="s">
        <v>679</v>
      </c>
      <c r="C241" s="88" t="s">
        <v>680</v>
      </c>
      <c r="D241" s="226" t="s">
        <v>681</v>
      </c>
      <c r="E241" s="65"/>
      <c r="F241" s="64"/>
      <c r="G241" s="64"/>
      <c r="H241" s="66"/>
      <c r="I241" s="119" t="s">
        <v>47</v>
      </c>
      <c r="J241" s="119"/>
      <c r="K241" s="119"/>
      <c r="L241" s="119"/>
      <c r="M241" s="119" t="s">
        <v>141</v>
      </c>
      <c r="N241" s="119"/>
      <c r="O241" s="119"/>
      <c r="P241" s="119"/>
      <c r="U241" s="42" t="s">
        <v>38</v>
      </c>
      <c r="W241" s="190"/>
      <c r="X241" s="68"/>
      <c r="Y241" s="165" t="str">
        <f t="shared" si="20"/>
        <v/>
      </c>
      <c r="Z241" s="165" t="str">
        <f t="shared" si="21"/>
        <v/>
      </c>
      <c r="AA241" s="68"/>
    </row>
    <row r="242" spans="1:27" x14ac:dyDescent="0.2">
      <c r="C242" s="44"/>
      <c r="D242" s="44"/>
      <c r="E242" s="82"/>
      <c r="H242" s="83"/>
      <c r="M242" s="126"/>
      <c r="W242" s="190"/>
      <c r="X242" s="102">
        <v>1</v>
      </c>
      <c r="Y242" s="165" t="str">
        <f t="shared" ref="Y242:Y273" si="22">IF(W242&lt;&gt;"",W242*X242,"")</f>
        <v/>
      </c>
      <c r="Z242" s="165" t="str">
        <f t="shared" ref="Z242:Z273" si="23">IF(AND(W242&lt;&gt;"",U242="yes"),W242*X242,"")</f>
        <v/>
      </c>
    </row>
    <row r="243" spans="1:27" s="67" customFormat="1" ht="48" customHeight="1" x14ac:dyDescent="0.2">
      <c r="A243" s="69" t="s">
        <v>41</v>
      </c>
      <c r="B243" s="69" t="s">
        <v>682</v>
      </c>
      <c r="C243" s="41" t="s">
        <v>683</v>
      </c>
      <c r="D243" s="231" t="s">
        <v>684</v>
      </c>
      <c r="E243" s="65"/>
      <c r="H243" s="66"/>
      <c r="I243" s="119"/>
      <c r="J243" s="119"/>
      <c r="K243" s="119"/>
      <c r="L243" s="119"/>
      <c r="M243" s="119"/>
      <c r="N243" s="119"/>
      <c r="O243" s="119"/>
      <c r="P243" s="119"/>
      <c r="U243" s="42" t="s">
        <v>48</v>
      </c>
      <c r="W243" s="190"/>
      <c r="X243" s="103">
        <v>1</v>
      </c>
      <c r="Y243" s="165" t="str">
        <f t="shared" si="22"/>
        <v/>
      </c>
      <c r="Z243" s="165" t="str">
        <f t="shared" si="23"/>
        <v/>
      </c>
      <c r="AA243" s="68"/>
    </row>
    <row r="244" spans="1:27" x14ac:dyDescent="0.2">
      <c r="C244" s="44"/>
      <c r="D244" s="44"/>
      <c r="E244" s="82"/>
      <c r="H244" s="83"/>
      <c r="M244" s="126"/>
      <c r="W244" s="190"/>
      <c r="X244" s="102">
        <v>1</v>
      </c>
      <c r="Y244" s="165" t="str">
        <f t="shared" si="22"/>
        <v/>
      </c>
      <c r="Z244" s="165" t="str">
        <f t="shared" si="23"/>
        <v/>
      </c>
    </row>
    <row r="245" spans="1:27" s="67" customFormat="1" ht="16" customHeight="1" x14ac:dyDescent="0.2">
      <c r="A245" s="69" t="s">
        <v>64</v>
      </c>
      <c r="B245" s="69" t="s">
        <v>685</v>
      </c>
      <c r="C245" s="88" t="s">
        <v>686</v>
      </c>
      <c r="D245" s="5" t="s">
        <v>686</v>
      </c>
      <c r="E245" s="65"/>
      <c r="F245" s="64"/>
      <c r="G245" s="64"/>
      <c r="H245" s="66"/>
      <c r="I245" s="119"/>
      <c r="J245" s="119"/>
      <c r="K245" s="119"/>
      <c r="L245" s="119"/>
      <c r="M245" s="119"/>
      <c r="N245" s="119"/>
      <c r="O245" s="119"/>
      <c r="P245" s="119"/>
      <c r="U245" s="42"/>
      <c r="W245" s="190"/>
      <c r="X245" s="103">
        <v>1</v>
      </c>
      <c r="Y245" s="165" t="str">
        <f t="shared" si="22"/>
        <v/>
      </c>
      <c r="Z245" s="165" t="str">
        <f t="shared" si="23"/>
        <v/>
      </c>
      <c r="AA245" s="68"/>
    </row>
    <row r="246" spans="1:27" ht="32" customHeight="1" x14ac:dyDescent="0.2">
      <c r="A246" s="69" t="s">
        <v>41</v>
      </c>
      <c r="B246" s="69" t="s">
        <v>687</v>
      </c>
      <c r="C246" s="41" t="s">
        <v>688</v>
      </c>
      <c r="D246" s="41" t="s">
        <v>689</v>
      </c>
      <c r="E246" s="82"/>
      <c r="F246" s="69"/>
      <c r="G246" s="69"/>
      <c r="H246" s="83"/>
      <c r="I246" s="114" t="s">
        <v>47</v>
      </c>
      <c r="J246" s="114"/>
      <c r="K246" s="114"/>
      <c r="L246" s="114"/>
      <c r="M246" s="114"/>
      <c r="N246" s="114"/>
      <c r="O246" s="114"/>
      <c r="P246" s="114"/>
      <c r="U246" s="42" t="s">
        <v>38</v>
      </c>
      <c r="W246" s="190">
        <v>12.77690315246582</v>
      </c>
      <c r="X246" s="103">
        <v>1</v>
      </c>
      <c r="Y246" s="165">
        <f t="shared" si="22"/>
        <v>12.77690315246582</v>
      </c>
      <c r="Z246" s="165">
        <f t="shared" si="23"/>
        <v>12.77690315246582</v>
      </c>
    </row>
    <row r="247" spans="1:27" ht="48" customHeight="1" x14ac:dyDescent="0.2">
      <c r="A247" s="69" t="s">
        <v>142</v>
      </c>
      <c r="B247" s="69" t="s">
        <v>690</v>
      </c>
      <c r="C247" s="41" t="s">
        <v>691</v>
      </c>
      <c r="D247" s="229" t="s">
        <v>692</v>
      </c>
      <c r="E247" s="82"/>
      <c r="F247" s="69"/>
      <c r="G247" s="69"/>
      <c r="H247" s="83"/>
      <c r="I247" s="114" t="s">
        <v>36</v>
      </c>
      <c r="J247" s="114"/>
      <c r="K247" s="114"/>
      <c r="L247" s="114"/>
      <c r="M247" s="114"/>
      <c r="N247" s="114"/>
      <c r="O247" s="114"/>
      <c r="P247" s="114"/>
      <c r="U247" s="42" t="s">
        <v>38</v>
      </c>
      <c r="W247" s="190">
        <v>21.398605346679691</v>
      </c>
      <c r="X247" s="103">
        <v>1</v>
      </c>
      <c r="Y247" s="165">
        <f t="shared" si="22"/>
        <v>21.398605346679691</v>
      </c>
      <c r="Z247" s="165">
        <f t="shared" si="23"/>
        <v>21.398605346679691</v>
      </c>
    </row>
    <row r="248" spans="1:27" ht="48" customHeight="1" x14ac:dyDescent="0.2">
      <c r="A248" s="69" t="s">
        <v>142</v>
      </c>
      <c r="B248" s="69" t="s">
        <v>693</v>
      </c>
      <c r="C248" s="41" t="s">
        <v>694</v>
      </c>
      <c r="D248" s="229" t="s">
        <v>695</v>
      </c>
      <c r="E248" s="82"/>
      <c r="F248" s="69"/>
      <c r="G248" s="69"/>
      <c r="H248" s="83"/>
      <c r="I248" s="114" t="s">
        <v>36</v>
      </c>
      <c r="J248" s="114"/>
      <c r="K248" s="114"/>
      <c r="L248" s="114"/>
      <c r="M248" s="114"/>
      <c r="N248" s="114"/>
      <c r="O248" s="114"/>
      <c r="P248" s="114"/>
      <c r="U248" s="42" t="s">
        <v>38</v>
      </c>
      <c r="W248" s="190">
        <v>14.980740547180179</v>
      </c>
      <c r="X248" s="103">
        <v>1</v>
      </c>
      <c r="Y248" s="165">
        <f t="shared" si="22"/>
        <v>14.980740547180179</v>
      </c>
      <c r="Z248" s="165">
        <f t="shared" si="23"/>
        <v>14.980740547180179</v>
      </c>
    </row>
    <row r="249" spans="1:27" ht="48" customHeight="1" x14ac:dyDescent="0.2">
      <c r="A249" s="69" t="s">
        <v>142</v>
      </c>
      <c r="B249" s="69" t="s">
        <v>696</v>
      </c>
      <c r="C249" s="41" t="s">
        <v>697</v>
      </c>
      <c r="D249" s="229" t="s">
        <v>698</v>
      </c>
      <c r="E249" s="82"/>
      <c r="F249" s="69"/>
      <c r="G249" s="69"/>
      <c r="H249" s="83"/>
      <c r="I249" s="114" t="s">
        <v>36</v>
      </c>
      <c r="J249" s="114"/>
      <c r="K249" s="114"/>
      <c r="L249" s="114"/>
      <c r="M249" s="114"/>
      <c r="N249" s="114"/>
      <c r="O249" s="114"/>
      <c r="P249" s="114"/>
      <c r="U249" s="42" t="s">
        <v>38</v>
      </c>
      <c r="W249" s="190">
        <v>13.72302150726318</v>
      </c>
      <c r="X249" s="103">
        <v>1</v>
      </c>
      <c r="Y249" s="165">
        <f t="shared" si="22"/>
        <v>13.72302150726318</v>
      </c>
      <c r="Z249" s="165">
        <f t="shared" si="23"/>
        <v>13.72302150726318</v>
      </c>
    </row>
    <row r="250" spans="1:27" ht="48" customHeight="1" x14ac:dyDescent="0.2">
      <c r="A250" s="69" t="s">
        <v>142</v>
      </c>
      <c r="B250" s="69" t="s">
        <v>699</v>
      </c>
      <c r="C250" s="41" t="s">
        <v>700</v>
      </c>
      <c r="D250" s="229" t="s">
        <v>701</v>
      </c>
      <c r="E250" s="82"/>
      <c r="F250" s="69"/>
      <c r="G250" s="69"/>
      <c r="H250" s="83"/>
      <c r="I250" s="114" t="s">
        <v>36</v>
      </c>
      <c r="J250" s="114"/>
      <c r="K250" s="114"/>
      <c r="L250" s="114"/>
      <c r="M250" s="114"/>
      <c r="N250" s="114"/>
      <c r="O250" s="114"/>
      <c r="P250" s="114"/>
      <c r="U250" s="42" t="s">
        <v>38</v>
      </c>
      <c r="W250" s="190">
        <v>13.06220054626465</v>
      </c>
      <c r="X250" s="103">
        <v>1</v>
      </c>
      <c r="Y250" s="165">
        <f t="shared" si="22"/>
        <v>13.06220054626465</v>
      </c>
      <c r="Z250" s="165">
        <f t="shared" si="23"/>
        <v>13.06220054626465</v>
      </c>
    </row>
    <row r="251" spans="1:27" ht="48" customHeight="1" x14ac:dyDescent="0.2">
      <c r="A251" s="69" t="s">
        <v>142</v>
      </c>
      <c r="B251" s="69" t="s">
        <v>702</v>
      </c>
      <c r="C251" s="41" t="s">
        <v>703</v>
      </c>
      <c r="D251" s="229" t="s">
        <v>704</v>
      </c>
      <c r="E251" s="82"/>
      <c r="F251" s="69"/>
      <c r="G251" s="69"/>
      <c r="H251" s="83"/>
      <c r="I251" s="114" t="s">
        <v>36</v>
      </c>
      <c r="J251" s="114"/>
      <c r="K251" s="114"/>
      <c r="L251" s="114"/>
      <c r="M251" s="114"/>
      <c r="N251" s="114"/>
      <c r="O251" s="114"/>
      <c r="P251" s="114"/>
      <c r="U251" s="42" t="s">
        <v>38</v>
      </c>
      <c r="W251" s="190">
        <v>13.09532356262207</v>
      </c>
      <c r="X251" s="103">
        <v>1</v>
      </c>
      <c r="Y251" s="165">
        <f t="shared" si="22"/>
        <v>13.09532356262207</v>
      </c>
      <c r="Z251" s="165">
        <f t="shared" si="23"/>
        <v>13.09532356262207</v>
      </c>
    </row>
    <row r="252" spans="1:27" ht="48" customHeight="1" x14ac:dyDescent="0.2">
      <c r="A252" s="69" t="s">
        <v>142</v>
      </c>
      <c r="B252" s="69" t="s">
        <v>705</v>
      </c>
      <c r="C252" s="41" t="s">
        <v>706</v>
      </c>
      <c r="D252" s="233" t="s">
        <v>707</v>
      </c>
      <c r="E252" s="82"/>
      <c r="F252" s="69"/>
      <c r="G252" s="69"/>
      <c r="H252" s="83"/>
      <c r="I252" s="114" t="s">
        <v>36</v>
      </c>
      <c r="J252" s="114"/>
      <c r="K252" s="114"/>
      <c r="L252" s="114"/>
      <c r="M252" s="114"/>
      <c r="N252" s="114"/>
      <c r="O252" s="114"/>
      <c r="P252" s="114"/>
      <c r="U252" s="42" t="s">
        <v>38</v>
      </c>
      <c r="W252" s="190">
        <v>16.10101918465228</v>
      </c>
      <c r="X252" s="103">
        <v>1</v>
      </c>
      <c r="Y252" s="165">
        <f t="shared" si="22"/>
        <v>16.10101918465228</v>
      </c>
      <c r="Z252" s="165">
        <f t="shared" si="23"/>
        <v>16.10101918465228</v>
      </c>
    </row>
    <row r="253" spans="1:27" s="70" customFormat="1" ht="16" customHeight="1" x14ac:dyDescent="0.2">
      <c r="A253" s="74" t="s">
        <v>708</v>
      </c>
      <c r="B253" s="74" t="s">
        <v>709</v>
      </c>
      <c r="C253" s="75" t="s">
        <v>710</v>
      </c>
      <c r="D253" s="229" t="s">
        <v>711</v>
      </c>
      <c r="E253" s="93"/>
      <c r="F253" s="74"/>
      <c r="G253" s="74"/>
      <c r="H253" s="95"/>
      <c r="I253" s="116" t="s">
        <v>36</v>
      </c>
      <c r="J253" s="116"/>
      <c r="K253" s="116"/>
      <c r="L253" s="116"/>
      <c r="M253" s="116" t="s">
        <v>712</v>
      </c>
      <c r="N253" s="116"/>
      <c r="O253" s="116"/>
      <c r="P253" s="116"/>
      <c r="U253" s="70" t="s">
        <v>38</v>
      </c>
      <c r="W253" s="190">
        <v>11.76504325866699</v>
      </c>
      <c r="X253" s="103">
        <v>1</v>
      </c>
      <c r="Y253" s="165">
        <f t="shared" si="22"/>
        <v>11.76504325866699</v>
      </c>
      <c r="Z253" s="165">
        <f t="shared" si="23"/>
        <v>11.76504325866699</v>
      </c>
    </row>
    <row r="254" spans="1:27" s="70" customFormat="1" ht="32" customHeight="1" x14ac:dyDescent="0.2">
      <c r="A254" s="74" t="s">
        <v>142</v>
      </c>
      <c r="B254" s="74" t="s">
        <v>713</v>
      </c>
      <c r="C254" s="75" t="s">
        <v>714</v>
      </c>
      <c r="D254" s="233" t="s">
        <v>715</v>
      </c>
      <c r="E254" s="93"/>
      <c r="F254" s="74"/>
      <c r="G254" s="74"/>
      <c r="H254" s="95"/>
      <c r="I254" s="116" t="s">
        <v>36</v>
      </c>
      <c r="J254" s="116"/>
      <c r="K254" s="116"/>
      <c r="L254" s="116"/>
      <c r="M254" s="116"/>
      <c r="N254" s="116"/>
      <c r="O254" s="116"/>
      <c r="P254" s="116"/>
      <c r="U254" s="70" t="s">
        <v>38</v>
      </c>
      <c r="W254" s="190">
        <v>12.432478904724119</v>
      </c>
      <c r="X254" s="103">
        <v>1</v>
      </c>
      <c r="Y254" s="165">
        <f t="shared" si="22"/>
        <v>12.432478904724119</v>
      </c>
      <c r="Z254" s="165">
        <f t="shared" si="23"/>
        <v>12.432478904724119</v>
      </c>
    </row>
    <row r="255" spans="1:27" s="70" customFormat="1" ht="16" customHeight="1" x14ac:dyDescent="0.2">
      <c r="A255" s="74" t="s">
        <v>708</v>
      </c>
      <c r="B255" s="74" t="s">
        <v>716</v>
      </c>
      <c r="C255" s="75" t="s">
        <v>710</v>
      </c>
      <c r="D255" s="229" t="s">
        <v>711</v>
      </c>
      <c r="E255" s="93"/>
      <c r="F255" s="74"/>
      <c r="G255" s="74"/>
      <c r="H255" s="95"/>
      <c r="I255" s="116" t="s">
        <v>36</v>
      </c>
      <c r="J255" s="116"/>
      <c r="K255" s="116"/>
      <c r="L255" s="116"/>
      <c r="M255" s="116" t="s">
        <v>717</v>
      </c>
      <c r="N255" s="116"/>
      <c r="O255" s="116"/>
      <c r="P255" s="116"/>
      <c r="U255" s="70" t="s">
        <v>38</v>
      </c>
      <c r="W255" s="190">
        <v>8.9801836013793945</v>
      </c>
      <c r="X255" s="103">
        <v>1</v>
      </c>
      <c r="Y255" s="165">
        <f t="shared" si="22"/>
        <v>8.9801836013793945</v>
      </c>
      <c r="Z255" s="165">
        <f t="shared" si="23"/>
        <v>8.9801836013793945</v>
      </c>
    </row>
    <row r="256" spans="1:27" s="70" customFormat="1" ht="48" customHeight="1" x14ac:dyDescent="0.2">
      <c r="A256" s="74" t="s">
        <v>142</v>
      </c>
      <c r="B256" s="74" t="s">
        <v>718</v>
      </c>
      <c r="C256" s="75" t="s">
        <v>719</v>
      </c>
      <c r="D256" s="233" t="s">
        <v>720</v>
      </c>
      <c r="E256" s="93"/>
      <c r="F256" s="74"/>
      <c r="G256" s="74"/>
      <c r="H256" s="95"/>
      <c r="I256" s="116" t="s">
        <v>36</v>
      </c>
      <c r="J256" s="116"/>
      <c r="K256" s="116"/>
      <c r="L256" s="116"/>
      <c r="M256" s="116"/>
      <c r="N256" s="116"/>
      <c r="O256" s="116"/>
      <c r="P256" s="116"/>
      <c r="U256" s="70" t="s">
        <v>38</v>
      </c>
      <c r="W256" s="190">
        <v>11.089328765869141</v>
      </c>
      <c r="X256" s="103">
        <v>1</v>
      </c>
      <c r="Y256" s="165">
        <f t="shared" si="22"/>
        <v>11.089328765869141</v>
      </c>
      <c r="Z256" s="165">
        <f t="shared" si="23"/>
        <v>11.089328765869141</v>
      </c>
    </row>
    <row r="257" spans="1:27" s="70" customFormat="1" ht="16" customHeight="1" x14ac:dyDescent="0.2">
      <c r="A257" s="74" t="s">
        <v>708</v>
      </c>
      <c r="B257" s="74" t="s">
        <v>721</v>
      </c>
      <c r="C257" s="75" t="s">
        <v>710</v>
      </c>
      <c r="D257" s="229" t="s">
        <v>711</v>
      </c>
      <c r="E257" s="93"/>
      <c r="F257" s="74"/>
      <c r="G257" s="74"/>
      <c r="H257" s="95"/>
      <c r="I257" s="116" t="s">
        <v>36</v>
      </c>
      <c r="J257" s="116"/>
      <c r="K257" s="116"/>
      <c r="L257" s="116"/>
      <c r="M257" s="116" t="s">
        <v>722</v>
      </c>
      <c r="N257" s="116"/>
      <c r="O257" s="116"/>
      <c r="P257" s="116"/>
      <c r="U257" s="70" t="s">
        <v>38</v>
      </c>
      <c r="W257" s="190">
        <v>8.0683355331420898</v>
      </c>
      <c r="X257" s="103">
        <v>1</v>
      </c>
      <c r="Y257" s="165">
        <f t="shared" si="22"/>
        <v>8.0683355331420898</v>
      </c>
      <c r="Z257" s="165">
        <f t="shared" si="23"/>
        <v>8.0683355331420898</v>
      </c>
    </row>
    <row r="258" spans="1:27" x14ac:dyDescent="0.2">
      <c r="A258" s="74" t="s">
        <v>137</v>
      </c>
      <c r="B258" s="74"/>
      <c r="C258" s="41"/>
      <c r="D258" s="41"/>
      <c r="E258" s="82"/>
      <c r="F258" s="69"/>
      <c r="G258" s="69"/>
      <c r="H258" s="83"/>
      <c r="I258" s="114"/>
      <c r="J258" s="114"/>
      <c r="K258" s="114"/>
      <c r="L258" s="114"/>
      <c r="M258" s="114"/>
      <c r="N258" s="114"/>
      <c r="O258" s="114"/>
      <c r="P258" s="114"/>
      <c r="W258" s="190"/>
      <c r="X258" s="103">
        <v>1</v>
      </c>
      <c r="Y258" s="165" t="str">
        <f t="shared" si="22"/>
        <v/>
      </c>
      <c r="Z258" s="165" t="str">
        <f t="shared" si="23"/>
        <v/>
      </c>
    </row>
    <row r="259" spans="1:27" x14ac:dyDescent="0.2">
      <c r="A259" s="70"/>
      <c r="B259" s="70"/>
      <c r="E259" s="82"/>
      <c r="H259" s="83"/>
      <c r="W259" s="190"/>
      <c r="X259" s="103">
        <v>1</v>
      </c>
      <c r="Y259" s="165" t="str">
        <f t="shared" si="22"/>
        <v/>
      </c>
      <c r="Z259" s="165" t="str">
        <f t="shared" si="23"/>
        <v/>
      </c>
    </row>
    <row r="260" spans="1:27" s="71" customFormat="1" ht="16" customHeight="1" x14ac:dyDescent="0.2">
      <c r="A260" s="71" t="s">
        <v>64</v>
      </c>
      <c r="B260" s="71" t="s">
        <v>723</v>
      </c>
      <c r="C260" s="160" t="s">
        <v>724</v>
      </c>
      <c r="D260" s="160" t="s">
        <v>724</v>
      </c>
      <c r="E260" s="73"/>
      <c r="H260" s="77"/>
      <c r="I260" s="115"/>
      <c r="J260" s="115" t="s">
        <v>725</v>
      </c>
      <c r="K260" s="115"/>
      <c r="L260" s="115"/>
      <c r="M260" s="115"/>
      <c r="N260" s="115"/>
      <c r="O260" s="115"/>
      <c r="P260" s="115"/>
      <c r="W260" s="194"/>
      <c r="X260" s="161">
        <v>1</v>
      </c>
      <c r="Y260" s="168" t="str">
        <f t="shared" si="22"/>
        <v/>
      </c>
      <c r="Z260" s="168" t="str">
        <f t="shared" si="23"/>
        <v/>
      </c>
    </row>
    <row r="261" spans="1:27" s="71" customFormat="1" ht="80" customHeight="1" x14ac:dyDescent="0.2">
      <c r="A261" s="71" t="s">
        <v>41</v>
      </c>
      <c r="B261" s="71" t="s">
        <v>726</v>
      </c>
      <c r="C261" s="72" t="s">
        <v>727</v>
      </c>
      <c r="D261" s="236" t="s">
        <v>728</v>
      </c>
      <c r="E261" s="73"/>
      <c r="H261" s="77"/>
      <c r="I261" s="115"/>
      <c r="J261" s="115"/>
      <c r="K261" s="115"/>
      <c r="L261" s="115"/>
      <c r="M261" s="115"/>
      <c r="N261" s="115"/>
      <c r="O261" s="115"/>
      <c r="P261" s="115"/>
      <c r="U261" s="71" t="s">
        <v>48</v>
      </c>
      <c r="W261" s="194">
        <v>5.7112536430358887</v>
      </c>
      <c r="X261" s="161">
        <v>1</v>
      </c>
      <c r="Y261" s="168">
        <f t="shared" si="22"/>
        <v>5.7112536430358887</v>
      </c>
      <c r="Z261" s="168" t="str">
        <f t="shared" si="23"/>
        <v/>
      </c>
    </row>
    <row r="262" spans="1:27" s="162" customFormat="1" ht="16" customHeight="1" x14ac:dyDescent="0.2">
      <c r="A262" s="71" t="s">
        <v>729</v>
      </c>
      <c r="B262" s="71" t="s">
        <v>730</v>
      </c>
      <c r="C262" s="72" t="s">
        <v>731</v>
      </c>
      <c r="D262" s="72" t="s">
        <v>732</v>
      </c>
      <c r="E262" s="104"/>
      <c r="H262" s="105"/>
      <c r="I262" s="115" t="s">
        <v>36</v>
      </c>
      <c r="J262" s="115" t="s">
        <v>292</v>
      </c>
      <c r="K262" s="163"/>
      <c r="L262" s="163"/>
      <c r="M262" s="163"/>
      <c r="N262" s="163"/>
      <c r="O262" s="163"/>
      <c r="P262" s="163"/>
      <c r="U262" s="71" t="s">
        <v>48</v>
      </c>
      <c r="W262" s="190">
        <v>19.851530075073239</v>
      </c>
      <c r="X262" s="103">
        <v>1</v>
      </c>
      <c r="Y262" s="165">
        <f t="shared" si="22"/>
        <v>19.851530075073239</v>
      </c>
      <c r="Z262" s="165" t="str">
        <f t="shared" si="23"/>
        <v/>
      </c>
      <c r="AA262" s="70"/>
    </row>
    <row r="263" spans="1:27" s="162" customFormat="1" ht="16" customHeight="1" x14ac:dyDescent="0.2">
      <c r="A263" s="71" t="s">
        <v>729</v>
      </c>
      <c r="B263" s="71" t="s">
        <v>733</v>
      </c>
      <c r="C263" s="72" t="s">
        <v>734</v>
      </c>
      <c r="D263" s="72" t="s">
        <v>735</v>
      </c>
      <c r="E263" s="104"/>
      <c r="H263" s="105"/>
      <c r="I263" s="115" t="s">
        <v>36</v>
      </c>
      <c r="J263" s="115" t="s">
        <v>292</v>
      </c>
      <c r="K263" s="163"/>
      <c r="L263" s="163"/>
      <c r="M263" s="163"/>
      <c r="N263" s="163"/>
      <c r="O263" s="163"/>
      <c r="P263" s="163"/>
      <c r="U263" s="71" t="s">
        <v>48</v>
      </c>
      <c r="W263" s="190">
        <v>15.436671257019039</v>
      </c>
      <c r="X263" s="103">
        <v>1</v>
      </c>
      <c r="Y263" s="165">
        <f t="shared" si="22"/>
        <v>15.436671257019039</v>
      </c>
      <c r="Z263" s="165" t="str">
        <f t="shared" si="23"/>
        <v/>
      </c>
      <c r="AA263" s="70"/>
    </row>
    <row r="264" spans="1:27" s="162" customFormat="1" ht="16" customHeight="1" x14ac:dyDescent="0.2">
      <c r="A264" s="71" t="s">
        <v>729</v>
      </c>
      <c r="B264" s="71" t="s">
        <v>736</v>
      </c>
      <c r="C264" s="72" t="s">
        <v>737</v>
      </c>
      <c r="D264" s="72" t="s">
        <v>738</v>
      </c>
      <c r="E264" s="104"/>
      <c r="H264" s="105"/>
      <c r="I264" s="115" t="s">
        <v>36</v>
      </c>
      <c r="J264" s="115" t="s">
        <v>292</v>
      </c>
      <c r="K264" s="163"/>
      <c r="L264" s="163"/>
      <c r="M264" s="163"/>
      <c r="N264" s="163"/>
      <c r="O264" s="163"/>
      <c r="P264" s="163"/>
      <c r="U264" s="71" t="s">
        <v>48</v>
      </c>
      <c r="W264" s="190">
        <v>13.39993858337402</v>
      </c>
      <c r="X264" s="103">
        <v>1</v>
      </c>
      <c r="Y264" s="165">
        <f t="shared" si="22"/>
        <v>13.39993858337402</v>
      </c>
      <c r="Z264" s="165" t="str">
        <f t="shared" si="23"/>
        <v/>
      </c>
      <c r="AA264" s="70"/>
    </row>
    <row r="265" spans="1:27" s="162" customFormat="1" ht="16" customHeight="1" x14ac:dyDescent="0.2">
      <c r="A265" s="71" t="s">
        <v>729</v>
      </c>
      <c r="B265" s="71" t="s">
        <v>739</v>
      </c>
      <c r="C265" s="72" t="s">
        <v>740</v>
      </c>
      <c r="D265" s="237" t="s">
        <v>741</v>
      </c>
      <c r="E265" s="104"/>
      <c r="H265" s="105"/>
      <c r="I265" s="115" t="s">
        <v>36</v>
      </c>
      <c r="J265" s="115" t="s">
        <v>292</v>
      </c>
      <c r="K265" s="163"/>
      <c r="L265" s="163"/>
      <c r="M265" s="163"/>
      <c r="N265" s="163"/>
      <c r="O265" s="163"/>
      <c r="P265" s="163"/>
      <c r="U265" s="71" t="s">
        <v>48</v>
      </c>
      <c r="W265" s="190">
        <v>11.787801742553709</v>
      </c>
      <c r="X265" s="103">
        <v>1</v>
      </c>
      <c r="Y265" s="165">
        <f t="shared" si="22"/>
        <v>11.787801742553709</v>
      </c>
      <c r="Z265" s="165" t="str">
        <f t="shared" si="23"/>
        <v/>
      </c>
      <c r="AA265" s="70"/>
    </row>
    <row r="266" spans="1:27" s="162" customFormat="1" ht="16" customHeight="1" x14ac:dyDescent="0.2">
      <c r="A266" s="71" t="s">
        <v>729</v>
      </c>
      <c r="B266" s="71" t="s">
        <v>742</v>
      </c>
      <c r="C266" s="72" t="s">
        <v>743</v>
      </c>
      <c r="D266" s="72" t="s">
        <v>744</v>
      </c>
      <c r="E266" s="104"/>
      <c r="H266" s="105"/>
      <c r="I266" s="115" t="s">
        <v>36</v>
      </c>
      <c r="J266" s="115" t="s">
        <v>292</v>
      </c>
      <c r="K266" s="163"/>
      <c r="L266" s="163"/>
      <c r="M266" s="163"/>
      <c r="N266" s="163"/>
      <c r="O266" s="163"/>
      <c r="P266" s="163"/>
      <c r="U266" s="71" t="s">
        <v>48</v>
      </c>
      <c r="W266" s="190">
        <v>12.4080867767334</v>
      </c>
      <c r="X266" s="103">
        <v>1</v>
      </c>
      <c r="Y266" s="165">
        <f t="shared" si="22"/>
        <v>12.4080867767334</v>
      </c>
      <c r="Z266" s="165" t="str">
        <f t="shared" si="23"/>
        <v/>
      </c>
      <c r="AA266" s="70"/>
    </row>
    <row r="267" spans="1:27" s="162" customFormat="1" ht="16" customHeight="1" x14ac:dyDescent="0.2">
      <c r="A267" s="71" t="s">
        <v>729</v>
      </c>
      <c r="B267" s="71" t="s">
        <v>745</v>
      </c>
      <c r="C267" s="72" t="s">
        <v>746</v>
      </c>
      <c r="D267" s="72" t="s">
        <v>747</v>
      </c>
      <c r="E267" s="104"/>
      <c r="H267" s="105"/>
      <c r="I267" s="115" t="s">
        <v>36</v>
      </c>
      <c r="J267" s="115" t="s">
        <v>292</v>
      </c>
      <c r="K267" s="163"/>
      <c r="L267" s="163"/>
      <c r="M267" s="163"/>
      <c r="N267" s="163"/>
      <c r="O267" s="163"/>
      <c r="P267" s="163"/>
      <c r="U267" s="71" t="s">
        <v>48</v>
      </c>
      <c r="W267" s="190">
        <v>9.2894678115844727</v>
      </c>
      <c r="X267" s="103">
        <v>1</v>
      </c>
      <c r="Y267" s="165">
        <f t="shared" si="22"/>
        <v>9.2894678115844727</v>
      </c>
      <c r="Z267" s="165" t="str">
        <f t="shared" si="23"/>
        <v/>
      </c>
      <c r="AA267" s="70"/>
    </row>
    <row r="268" spans="1:27" s="162" customFormat="1" ht="32" customHeight="1" x14ac:dyDescent="0.2">
      <c r="A268" s="71" t="s">
        <v>729</v>
      </c>
      <c r="B268" s="71" t="s">
        <v>748</v>
      </c>
      <c r="C268" s="72" t="s">
        <v>749</v>
      </c>
      <c r="D268" s="72" t="s">
        <v>750</v>
      </c>
      <c r="E268" s="104"/>
      <c r="H268" s="105"/>
      <c r="I268" s="115" t="s">
        <v>36</v>
      </c>
      <c r="J268" s="115" t="s">
        <v>292</v>
      </c>
      <c r="K268" s="163"/>
      <c r="L268" s="163"/>
      <c r="M268" s="163"/>
      <c r="N268" s="163"/>
      <c r="O268" s="163"/>
      <c r="P268" s="163"/>
      <c r="U268" s="71" t="s">
        <v>48</v>
      </c>
      <c r="W268" s="190">
        <v>14.41095890410959</v>
      </c>
      <c r="X268" s="103">
        <v>1</v>
      </c>
      <c r="Y268" s="165">
        <f t="shared" si="22"/>
        <v>14.41095890410959</v>
      </c>
      <c r="Z268" s="165" t="str">
        <f t="shared" si="23"/>
        <v/>
      </c>
      <c r="AA268" s="70"/>
    </row>
    <row r="269" spans="1:27" s="162" customFormat="1" ht="16" customHeight="1" x14ac:dyDescent="0.2">
      <c r="A269" s="71" t="s">
        <v>729</v>
      </c>
      <c r="B269" s="71" t="s">
        <v>751</v>
      </c>
      <c r="C269" s="72" t="s">
        <v>752</v>
      </c>
      <c r="D269" s="72" t="s">
        <v>753</v>
      </c>
      <c r="E269" s="104"/>
      <c r="H269" s="105"/>
      <c r="I269" s="115" t="s">
        <v>36</v>
      </c>
      <c r="J269" s="115" t="s">
        <v>292</v>
      </c>
      <c r="K269" s="163"/>
      <c r="L269" s="163"/>
      <c r="M269" s="163"/>
      <c r="N269" s="163"/>
      <c r="O269" s="163"/>
      <c r="P269" s="163"/>
      <c r="U269" s="71" t="s">
        <v>48</v>
      </c>
      <c r="W269" s="190">
        <v>15.543986320495611</v>
      </c>
      <c r="X269" s="103">
        <v>1</v>
      </c>
      <c r="Y269" s="165">
        <f t="shared" si="22"/>
        <v>15.543986320495611</v>
      </c>
      <c r="Z269" s="165" t="str">
        <f t="shared" si="23"/>
        <v/>
      </c>
      <c r="AA269" s="70"/>
    </row>
    <row r="270" spans="1:27" s="162" customFormat="1" ht="16" customHeight="1" x14ac:dyDescent="0.2">
      <c r="A270" s="71" t="s">
        <v>729</v>
      </c>
      <c r="B270" s="71" t="s">
        <v>754</v>
      </c>
      <c r="C270" s="72" t="s">
        <v>755</v>
      </c>
      <c r="D270" s="72" t="s">
        <v>756</v>
      </c>
      <c r="E270" s="104"/>
      <c r="H270" s="105"/>
      <c r="I270" s="115" t="s">
        <v>36</v>
      </c>
      <c r="J270" s="115" t="s">
        <v>292</v>
      </c>
      <c r="K270" s="163"/>
      <c r="L270" s="163"/>
      <c r="M270" s="163"/>
      <c r="N270" s="163"/>
      <c r="O270" s="163"/>
      <c r="P270" s="163"/>
      <c r="U270" s="71" t="s">
        <v>48</v>
      </c>
      <c r="W270" s="190">
        <v>12</v>
      </c>
      <c r="X270" s="103">
        <v>1</v>
      </c>
      <c r="Y270" s="165">
        <f t="shared" si="22"/>
        <v>12</v>
      </c>
      <c r="Z270" s="165" t="str">
        <f t="shared" si="23"/>
        <v/>
      </c>
      <c r="AA270" s="70"/>
    </row>
    <row r="271" spans="1:27" s="162" customFormat="1" ht="32" customHeight="1" x14ac:dyDescent="0.2">
      <c r="A271" s="71" t="s">
        <v>729</v>
      </c>
      <c r="B271" s="71" t="s">
        <v>757</v>
      </c>
      <c r="C271" s="72" t="s">
        <v>758</v>
      </c>
      <c r="D271" s="72" t="s">
        <v>759</v>
      </c>
      <c r="E271" s="104"/>
      <c r="H271" s="105"/>
      <c r="I271" s="115" t="s">
        <v>36</v>
      </c>
      <c r="J271" s="115" t="s">
        <v>292</v>
      </c>
      <c r="K271" s="163"/>
      <c r="L271" s="163"/>
      <c r="M271" s="163"/>
      <c r="N271" s="163"/>
      <c r="O271" s="163"/>
      <c r="P271" s="163"/>
      <c r="U271" s="71" t="s">
        <v>48</v>
      </c>
      <c r="W271" s="190">
        <v>12.996181488037109</v>
      </c>
      <c r="X271" s="103">
        <v>1</v>
      </c>
      <c r="Y271" s="165">
        <f t="shared" si="22"/>
        <v>12.996181488037109</v>
      </c>
      <c r="Z271" s="165" t="str">
        <f t="shared" si="23"/>
        <v/>
      </c>
      <c r="AA271" s="70"/>
    </row>
    <row r="272" spans="1:27" s="162" customFormat="1" ht="16" customHeight="1" x14ac:dyDescent="0.2">
      <c r="A272" s="71" t="s">
        <v>729</v>
      </c>
      <c r="B272" s="71" t="s">
        <v>760</v>
      </c>
      <c r="C272" s="72" t="s">
        <v>761</v>
      </c>
      <c r="D272" s="72" t="s">
        <v>762</v>
      </c>
      <c r="E272" s="104"/>
      <c r="H272" s="105"/>
      <c r="I272" s="115" t="s">
        <v>36</v>
      </c>
      <c r="J272" s="115" t="s">
        <v>292</v>
      </c>
      <c r="K272" s="163"/>
      <c r="L272" s="163"/>
      <c r="M272" s="163"/>
      <c r="N272" s="163"/>
      <c r="O272" s="163"/>
      <c r="P272" s="163"/>
      <c r="U272" s="71" t="s">
        <v>48</v>
      </c>
      <c r="W272" s="190">
        <v>9.716710090637207</v>
      </c>
      <c r="X272" s="103">
        <v>1</v>
      </c>
      <c r="Y272" s="165">
        <f t="shared" si="22"/>
        <v>9.716710090637207</v>
      </c>
      <c r="Z272" s="165" t="str">
        <f t="shared" si="23"/>
        <v/>
      </c>
      <c r="AA272" s="70"/>
    </row>
    <row r="273" spans="1:27" s="162" customFormat="1" ht="16" customHeight="1" x14ac:dyDescent="0.2">
      <c r="A273" s="71" t="s">
        <v>729</v>
      </c>
      <c r="B273" s="71" t="s">
        <v>763</v>
      </c>
      <c r="C273" s="72" t="s">
        <v>764</v>
      </c>
      <c r="D273" s="72" t="s">
        <v>765</v>
      </c>
      <c r="E273" s="104"/>
      <c r="H273" s="105"/>
      <c r="I273" s="115" t="s">
        <v>36</v>
      </c>
      <c r="J273" s="115" t="s">
        <v>292</v>
      </c>
      <c r="K273" s="163"/>
      <c r="L273" s="163"/>
      <c r="M273" s="163"/>
      <c r="N273" s="163"/>
      <c r="O273" s="163"/>
      <c r="P273" s="163"/>
      <c r="U273" s="71" t="s">
        <v>48</v>
      </c>
      <c r="W273" s="190">
        <v>10.114131927490231</v>
      </c>
      <c r="X273" s="103">
        <v>1</v>
      </c>
      <c r="Y273" s="165">
        <f t="shared" si="22"/>
        <v>10.114131927490231</v>
      </c>
      <c r="Z273" s="165" t="str">
        <f t="shared" si="23"/>
        <v/>
      </c>
      <c r="AA273" s="70"/>
    </row>
    <row r="274" spans="1:27" s="162" customFormat="1" ht="16" customHeight="1" x14ac:dyDescent="0.2">
      <c r="A274" s="71" t="s">
        <v>729</v>
      </c>
      <c r="B274" s="71" t="s">
        <v>766</v>
      </c>
      <c r="C274" s="72" t="s">
        <v>767</v>
      </c>
      <c r="D274" s="72" t="s">
        <v>768</v>
      </c>
      <c r="E274" s="104"/>
      <c r="H274" s="105"/>
      <c r="I274" s="115" t="s">
        <v>36</v>
      </c>
      <c r="J274" s="115" t="s">
        <v>292</v>
      </c>
      <c r="K274" s="163"/>
      <c r="L274" s="163"/>
      <c r="M274" s="163"/>
      <c r="N274" s="163"/>
      <c r="O274" s="163"/>
      <c r="P274" s="163"/>
      <c r="U274" s="71" t="s">
        <v>48</v>
      </c>
      <c r="W274" s="190">
        <v>10.86770534515381</v>
      </c>
      <c r="X274" s="103">
        <v>1</v>
      </c>
      <c r="Y274" s="165">
        <f t="shared" ref="Y274:Y305" si="24">IF(W274&lt;&gt;"",W274*X274,"")</f>
        <v>10.86770534515381</v>
      </c>
      <c r="Z274" s="165" t="str">
        <f t="shared" ref="Z274:Z305" si="25">IF(AND(W274&lt;&gt;"",U274="yes"),W274*X274,"")</f>
        <v/>
      </c>
      <c r="AA274" s="70"/>
    </row>
    <row r="275" spans="1:27" x14ac:dyDescent="0.2">
      <c r="A275" s="71" t="s">
        <v>137</v>
      </c>
      <c r="B275" s="71"/>
      <c r="C275" s="72"/>
      <c r="D275" s="72"/>
      <c r="E275" s="82"/>
      <c r="H275" s="83"/>
      <c r="I275" s="115"/>
      <c r="W275" s="190"/>
      <c r="X275" s="103">
        <v>1</v>
      </c>
      <c r="Y275" s="165" t="str">
        <f t="shared" si="24"/>
        <v/>
      </c>
      <c r="Z275" s="165" t="str">
        <f t="shared" si="25"/>
        <v/>
      </c>
    </row>
    <row r="276" spans="1:27" x14ac:dyDescent="0.2">
      <c r="A276" s="70"/>
      <c r="B276" s="70"/>
      <c r="E276" s="82"/>
      <c r="H276" s="83"/>
      <c r="W276" s="190"/>
      <c r="X276" s="103">
        <v>1</v>
      </c>
      <c r="Y276" s="165" t="str">
        <f t="shared" si="24"/>
        <v/>
      </c>
      <c r="Z276" s="165" t="str">
        <f t="shared" si="25"/>
        <v/>
      </c>
    </row>
    <row r="277" spans="1:27" ht="16" customHeight="1" x14ac:dyDescent="0.2">
      <c r="A277" s="74" t="s">
        <v>64</v>
      </c>
      <c r="B277" s="74" t="s">
        <v>769</v>
      </c>
      <c r="C277" s="88" t="s">
        <v>770</v>
      </c>
      <c r="D277" s="88" t="s">
        <v>771</v>
      </c>
      <c r="E277" s="82"/>
      <c r="F277" s="69"/>
      <c r="G277" s="69"/>
      <c r="H277" s="83"/>
      <c r="I277" s="114"/>
      <c r="J277" s="114"/>
      <c r="K277" s="114"/>
      <c r="L277" s="114"/>
      <c r="M277" s="114"/>
      <c r="N277" s="114"/>
      <c r="O277" s="114"/>
      <c r="P277" s="114"/>
      <c r="W277" s="190"/>
      <c r="X277" s="103">
        <v>1</v>
      </c>
      <c r="Y277" s="165" t="str">
        <f t="shared" si="24"/>
        <v/>
      </c>
      <c r="Z277" s="165" t="str">
        <f t="shared" si="25"/>
        <v/>
      </c>
    </row>
    <row r="278" spans="1:27" ht="32" customHeight="1" x14ac:dyDescent="0.2">
      <c r="A278" s="69" t="s">
        <v>41</v>
      </c>
      <c r="B278" s="69" t="s">
        <v>772</v>
      </c>
      <c r="C278" s="41" t="s">
        <v>773</v>
      </c>
      <c r="D278" s="41" t="s">
        <v>774</v>
      </c>
      <c r="E278" s="82"/>
      <c r="F278" s="69"/>
      <c r="G278" s="69"/>
      <c r="H278" s="83"/>
      <c r="I278" s="114" t="s">
        <v>47</v>
      </c>
      <c r="J278" s="114"/>
      <c r="K278" s="114"/>
      <c r="L278" s="114"/>
      <c r="M278" s="114"/>
      <c r="N278" s="114"/>
      <c r="O278" s="114"/>
      <c r="P278" s="114"/>
      <c r="U278" s="42" t="s">
        <v>38</v>
      </c>
      <c r="W278" s="190"/>
      <c r="X278" s="103">
        <v>1</v>
      </c>
      <c r="Y278" s="165" t="str">
        <f t="shared" si="24"/>
        <v/>
      </c>
      <c r="Z278" s="165" t="str">
        <f t="shared" si="25"/>
        <v/>
      </c>
    </row>
    <row r="279" spans="1:27" ht="48" customHeight="1" x14ac:dyDescent="0.2">
      <c r="A279" s="69" t="s">
        <v>775</v>
      </c>
      <c r="B279" s="69" t="s">
        <v>776</v>
      </c>
      <c r="C279" s="41" t="s">
        <v>777</v>
      </c>
      <c r="D279" s="41" t="s">
        <v>778</v>
      </c>
      <c r="E279" s="82"/>
      <c r="F279" s="69" t="s">
        <v>779</v>
      </c>
      <c r="G279" s="69" t="s">
        <v>780</v>
      </c>
      <c r="H279" s="83"/>
      <c r="I279" s="114" t="s">
        <v>36</v>
      </c>
      <c r="J279" s="114"/>
      <c r="K279" s="114"/>
      <c r="L279" s="114"/>
      <c r="M279" s="114"/>
      <c r="N279" s="114"/>
      <c r="O279" s="114"/>
      <c r="P279" s="114"/>
      <c r="U279" s="42" t="s">
        <v>38</v>
      </c>
      <c r="W279" s="190">
        <v>72.295135498046875</v>
      </c>
      <c r="X279" s="103">
        <v>1</v>
      </c>
      <c r="Y279" s="165">
        <f t="shared" si="24"/>
        <v>72.295135498046875</v>
      </c>
      <c r="Z279" s="165">
        <f t="shared" si="25"/>
        <v>72.295135498046875</v>
      </c>
    </row>
    <row r="280" spans="1:27" ht="64" customHeight="1" x14ac:dyDescent="0.2">
      <c r="A280" s="69" t="s">
        <v>41</v>
      </c>
      <c r="B280" s="69" t="s">
        <v>781</v>
      </c>
      <c r="C280" s="41" t="s">
        <v>782</v>
      </c>
      <c r="D280" s="41" t="s">
        <v>783</v>
      </c>
      <c r="E280" s="82"/>
      <c r="F280" s="69"/>
      <c r="G280" s="69"/>
      <c r="H280" s="83"/>
      <c r="I280" s="114" t="s">
        <v>47</v>
      </c>
      <c r="J280" s="114"/>
      <c r="K280" s="114"/>
      <c r="L280" s="114"/>
      <c r="M280" s="114"/>
      <c r="N280" s="114"/>
      <c r="O280" s="114"/>
      <c r="P280" s="114"/>
      <c r="U280" s="42" t="s">
        <v>38</v>
      </c>
      <c r="W280" s="190">
        <v>3.7052218914031978</v>
      </c>
      <c r="X280" s="103">
        <v>1</v>
      </c>
      <c r="Y280" s="165">
        <f t="shared" si="24"/>
        <v>3.7052218914031978</v>
      </c>
      <c r="Z280" s="165">
        <f t="shared" si="25"/>
        <v>3.7052218914031978</v>
      </c>
    </row>
    <row r="281" spans="1:27" ht="16" customHeight="1" x14ac:dyDescent="0.2">
      <c r="A281" s="69" t="s">
        <v>137</v>
      </c>
      <c r="B281" s="69"/>
      <c r="C281" s="41"/>
      <c r="D281" s="41"/>
      <c r="E281" s="82"/>
      <c r="F281" s="69"/>
      <c r="G281" s="69"/>
      <c r="H281" s="83"/>
      <c r="I281" s="114"/>
      <c r="J281" s="114"/>
      <c r="K281" s="114"/>
      <c r="L281" s="114"/>
      <c r="M281" s="114"/>
      <c r="N281" s="114"/>
      <c r="O281" s="114"/>
      <c r="P281" s="114"/>
      <c r="W281" s="190"/>
      <c r="X281" s="103">
        <v>1</v>
      </c>
      <c r="Y281" s="165" t="str">
        <f t="shared" si="24"/>
        <v/>
      </c>
      <c r="Z281" s="165" t="str">
        <f t="shared" si="25"/>
        <v/>
      </c>
    </row>
    <row r="282" spans="1:27" x14ac:dyDescent="0.2">
      <c r="A282" s="70"/>
      <c r="B282" s="70"/>
      <c r="E282" s="82"/>
      <c r="H282" s="83"/>
      <c r="W282" s="190"/>
      <c r="X282" s="103">
        <v>1</v>
      </c>
      <c r="Y282" s="165" t="str">
        <f t="shared" si="24"/>
        <v/>
      </c>
      <c r="Z282" s="165" t="str">
        <f t="shared" si="25"/>
        <v/>
      </c>
    </row>
    <row r="283" spans="1:27" s="71" customFormat="1" ht="16" customHeight="1" x14ac:dyDescent="0.2">
      <c r="A283" s="71" t="s">
        <v>64</v>
      </c>
      <c r="B283" s="71" t="s">
        <v>784</v>
      </c>
      <c r="C283" s="160" t="s">
        <v>785</v>
      </c>
      <c r="D283" s="160" t="s">
        <v>786</v>
      </c>
      <c r="E283" s="73"/>
      <c r="H283" s="77"/>
      <c r="I283" s="115"/>
      <c r="J283" s="115"/>
      <c r="K283" s="115"/>
      <c r="L283" s="115"/>
      <c r="M283" s="115"/>
      <c r="N283" s="115"/>
      <c r="O283" s="115"/>
      <c r="P283" s="115"/>
      <c r="U283" s="71" t="s">
        <v>48</v>
      </c>
      <c r="W283" s="190"/>
      <c r="X283" s="103">
        <v>1</v>
      </c>
      <c r="Y283" s="165" t="str">
        <f t="shared" si="24"/>
        <v/>
      </c>
      <c r="Z283" s="165" t="str">
        <f t="shared" si="25"/>
        <v/>
      </c>
    </row>
    <row r="284" spans="1:27" s="72" customFormat="1" ht="48" customHeight="1" x14ac:dyDescent="0.2">
      <c r="A284" s="72" t="s">
        <v>41</v>
      </c>
      <c r="B284" s="72" t="s">
        <v>787</v>
      </c>
      <c r="C284" s="72" t="s">
        <v>788</v>
      </c>
      <c r="D284" s="238" t="s">
        <v>789</v>
      </c>
      <c r="E284" s="73"/>
      <c r="H284" s="73"/>
      <c r="I284" s="115" t="s">
        <v>47</v>
      </c>
      <c r="J284" s="130"/>
      <c r="K284" s="130"/>
      <c r="L284" s="115"/>
      <c r="M284" s="130"/>
      <c r="N284" s="130"/>
      <c r="O284" s="130"/>
      <c r="P284" s="130"/>
      <c r="U284" s="72" t="s">
        <v>48</v>
      </c>
      <c r="W284" s="190">
        <v>0</v>
      </c>
      <c r="X284" s="103">
        <v>1</v>
      </c>
      <c r="Y284" s="165">
        <f t="shared" si="24"/>
        <v>0</v>
      </c>
      <c r="Z284" s="165" t="str">
        <f t="shared" si="25"/>
        <v/>
      </c>
    </row>
    <row r="285" spans="1:27" s="72" customFormat="1" ht="64" customHeight="1" x14ac:dyDescent="0.2">
      <c r="A285" s="72" t="s">
        <v>78</v>
      </c>
      <c r="B285" s="72" t="s">
        <v>790</v>
      </c>
      <c r="C285" s="72" t="s">
        <v>791</v>
      </c>
      <c r="D285" s="238" t="s">
        <v>792</v>
      </c>
      <c r="E285" s="73"/>
      <c r="F285" s="71" t="s">
        <v>793</v>
      </c>
      <c r="G285" s="71" t="s">
        <v>794</v>
      </c>
      <c r="H285" s="73"/>
      <c r="I285" s="115" t="s">
        <v>36</v>
      </c>
      <c r="J285" s="130"/>
      <c r="K285" s="130" t="s">
        <v>795</v>
      </c>
      <c r="L285" s="115" t="s">
        <v>796</v>
      </c>
      <c r="M285" s="130"/>
      <c r="N285" s="130"/>
      <c r="O285" s="130"/>
      <c r="P285" s="130"/>
      <c r="U285" s="72" t="s">
        <v>48</v>
      </c>
      <c r="W285" s="190">
        <v>17</v>
      </c>
      <c r="X285" s="103">
        <v>1</v>
      </c>
      <c r="Y285" s="165">
        <f t="shared" si="24"/>
        <v>17</v>
      </c>
      <c r="Z285" s="165" t="str">
        <f t="shared" si="25"/>
        <v/>
      </c>
    </row>
    <row r="286" spans="1:27" s="72" customFormat="1" ht="64" customHeight="1" x14ac:dyDescent="0.2">
      <c r="A286" s="72" t="s">
        <v>78</v>
      </c>
      <c r="B286" s="72" t="s">
        <v>797</v>
      </c>
      <c r="C286" s="72" t="s">
        <v>798</v>
      </c>
      <c r="D286" s="238" t="s">
        <v>799</v>
      </c>
      <c r="E286" s="73"/>
      <c r="F286" s="71" t="s">
        <v>793</v>
      </c>
      <c r="G286" s="71" t="s">
        <v>794</v>
      </c>
      <c r="H286" s="73"/>
      <c r="I286" s="115" t="s">
        <v>36</v>
      </c>
      <c r="J286" s="130"/>
      <c r="K286" s="130" t="s">
        <v>795</v>
      </c>
      <c r="L286" s="115" t="s">
        <v>796</v>
      </c>
      <c r="M286" s="130"/>
      <c r="N286" s="130"/>
      <c r="O286" s="130"/>
      <c r="P286" s="130"/>
      <c r="U286" s="72" t="s">
        <v>48</v>
      </c>
      <c r="W286" s="190">
        <v>17</v>
      </c>
      <c r="X286" s="103">
        <v>1</v>
      </c>
      <c r="Y286" s="165">
        <f t="shared" si="24"/>
        <v>17</v>
      </c>
      <c r="Z286" s="165" t="str">
        <f t="shared" si="25"/>
        <v/>
      </c>
    </row>
    <row r="287" spans="1:27" s="72" customFormat="1" ht="48" customHeight="1" x14ac:dyDescent="0.2">
      <c r="A287" s="72" t="s">
        <v>78</v>
      </c>
      <c r="B287" s="72" t="s">
        <v>800</v>
      </c>
      <c r="C287" s="72" t="s">
        <v>801</v>
      </c>
      <c r="D287" s="239" t="s">
        <v>802</v>
      </c>
      <c r="E287" s="73"/>
      <c r="F287" s="71" t="s">
        <v>793</v>
      </c>
      <c r="G287" s="71" t="s">
        <v>794</v>
      </c>
      <c r="H287" s="73"/>
      <c r="I287" s="115" t="s">
        <v>36</v>
      </c>
      <c r="J287" s="130"/>
      <c r="K287" s="130" t="s">
        <v>795</v>
      </c>
      <c r="L287" s="115" t="s">
        <v>796</v>
      </c>
      <c r="M287" s="130"/>
      <c r="N287" s="130"/>
      <c r="O287" s="130"/>
      <c r="P287" s="130"/>
      <c r="U287" s="72" t="s">
        <v>48</v>
      </c>
      <c r="W287" s="190">
        <v>17</v>
      </c>
      <c r="X287" s="103">
        <v>1</v>
      </c>
      <c r="Y287" s="165">
        <f t="shared" si="24"/>
        <v>17</v>
      </c>
      <c r="Z287" s="165" t="str">
        <f t="shared" si="25"/>
        <v/>
      </c>
    </row>
    <row r="288" spans="1:27" s="72" customFormat="1" ht="48" customHeight="1" x14ac:dyDescent="0.2">
      <c r="A288" s="72" t="s">
        <v>78</v>
      </c>
      <c r="B288" s="72" t="s">
        <v>803</v>
      </c>
      <c r="C288" s="72" t="s">
        <v>804</v>
      </c>
      <c r="D288" s="239" t="s">
        <v>805</v>
      </c>
      <c r="E288" s="73"/>
      <c r="F288" s="71" t="s">
        <v>793</v>
      </c>
      <c r="G288" s="71" t="s">
        <v>794</v>
      </c>
      <c r="H288" s="73"/>
      <c r="I288" s="115" t="s">
        <v>36</v>
      </c>
      <c r="J288" s="130"/>
      <c r="K288" s="130" t="s">
        <v>795</v>
      </c>
      <c r="L288" s="115" t="s">
        <v>796</v>
      </c>
      <c r="M288" s="130"/>
      <c r="N288" s="130"/>
      <c r="O288" s="130"/>
      <c r="P288" s="130"/>
      <c r="U288" s="72" t="s">
        <v>48</v>
      </c>
      <c r="W288" s="190">
        <v>17</v>
      </c>
      <c r="X288" s="103">
        <v>1</v>
      </c>
      <c r="Y288" s="165">
        <f t="shared" si="24"/>
        <v>17</v>
      </c>
      <c r="Z288" s="165" t="str">
        <f t="shared" si="25"/>
        <v/>
      </c>
    </row>
    <row r="289" spans="1:27" s="72" customFormat="1" ht="64" customHeight="1" x14ac:dyDescent="0.2">
      <c r="A289" s="72" t="s">
        <v>78</v>
      </c>
      <c r="B289" s="72" t="s">
        <v>806</v>
      </c>
      <c r="C289" s="72" t="s">
        <v>807</v>
      </c>
      <c r="D289" s="238" t="s">
        <v>808</v>
      </c>
      <c r="E289" s="73"/>
      <c r="F289" s="71" t="s">
        <v>793</v>
      </c>
      <c r="G289" s="71" t="s">
        <v>794</v>
      </c>
      <c r="H289" s="73"/>
      <c r="I289" s="115" t="s">
        <v>36</v>
      </c>
      <c r="J289" s="130"/>
      <c r="K289" s="130" t="s">
        <v>795</v>
      </c>
      <c r="L289" s="115" t="s">
        <v>796</v>
      </c>
      <c r="M289" s="130"/>
      <c r="N289" s="130"/>
      <c r="O289" s="130"/>
      <c r="P289" s="130"/>
      <c r="U289" s="72" t="s">
        <v>48</v>
      </c>
      <c r="W289" s="190">
        <v>17</v>
      </c>
      <c r="X289" s="103">
        <v>1</v>
      </c>
      <c r="Y289" s="165">
        <f t="shared" si="24"/>
        <v>17</v>
      </c>
      <c r="Z289" s="165" t="str">
        <f t="shared" si="25"/>
        <v/>
      </c>
    </row>
    <row r="290" spans="1:27" s="72" customFormat="1" ht="64" customHeight="1" x14ac:dyDescent="0.2">
      <c r="A290" s="72" t="s">
        <v>78</v>
      </c>
      <c r="B290" s="72" t="s">
        <v>809</v>
      </c>
      <c r="C290" s="72" t="s">
        <v>810</v>
      </c>
      <c r="D290" s="238" t="s">
        <v>811</v>
      </c>
      <c r="E290" s="73"/>
      <c r="F290" s="71" t="s">
        <v>793</v>
      </c>
      <c r="G290" s="71" t="s">
        <v>794</v>
      </c>
      <c r="H290" s="73"/>
      <c r="I290" s="115" t="s">
        <v>36</v>
      </c>
      <c r="J290" s="130"/>
      <c r="K290" s="130" t="s">
        <v>795</v>
      </c>
      <c r="L290" s="115" t="s">
        <v>796</v>
      </c>
      <c r="M290" s="130"/>
      <c r="N290" s="130"/>
      <c r="O290" s="130"/>
      <c r="P290" s="130"/>
      <c r="U290" s="72" t="s">
        <v>48</v>
      </c>
      <c r="W290" s="190">
        <v>17</v>
      </c>
      <c r="X290" s="103">
        <v>1</v>
      </c>
      <c r="Y290" s="165">
        <f t="shared" si="24"/>
        <v>17</v>
      </c>
      <c r="Z290" s="165" t="str">
        <f t="shared" si="25"/>
        <v/>
      </c>
    </row>
    <row r="291" spans="1:27" s="72" customFormat="1" ht="64" customHeight="1" x14ac:dyDescent="0.2">
      <c r="A291" s="72" t="s">
        <v>78</v>
      </c>
      <c r="B291" s="72" t="s">
        <v>812</v>
      </c>
      <c r="C291" s="72" t="s">
        <v>813</v>
      </c>
      <c r="D291" s="238" t="s">
        <v>814</v>
      </c>
      <c r="E291" s="73"/>
      <c r="F291" s="71" t="s">
        <v>793</v>
      </c>
      <c r="G291" s="71" t="s">
        <v>794</v>
      </c>
      <c r="H291" s="73"/>
      <c r="I291" s="115" t="s">
        <v>36</v>
      </c>
      <c r="J291" s="130"/>
      <c r="K291" s="130" t="s">
        <v>795</v>
      </c>
      <c r="L291" s="115" t="s">
        <v>796</v>
      </c>
      <c r="M291" s="130"/>
      <c r="N291" s="130"/>
      <c r="O291" s="130"/>
      <c r="P291" s="130"/>
      <c r="U291" s="72" t="s">
        <v>48</v>
      </c>
      <c r="W291" s="190">
        <v>17</v>
      </c>
      <c r="X291" s="103">
        <v>1</v>
      </c>
      <c r="Y291" s="165">
        <f t="shared" si="24"/>
        <v>17</v>
      </c>
      <c r="Z291" s="165" t="str">
        <f t="shared" si="25"/>
        <v/>
      </c>
    </row>
    <row r="292" spans="1:27" s="72" customFormat="1" ht="64" customHeight="1" x14ac:dyDescent="0.2">
      <c r="A292" s="72" t="s">
        <v>78</v>
      </c>
      <c r="B292" s="72" t="s">
        <v>815</v>
      </c>
      <c r="C292" s="72" t="s">
        <v>816</v>
      </c>
      <c r="D292" s="238" t="s">
        <v>817</v>
      </c>
      <c r="E292" s="73"/>
      <c r="F292" s="71" t="s">
        <v>793</v>
      </c>
      <c r="G292" s="71" t="s">
        <v>794</v>
      </c>
      <c r="H292" s="73"/>
      <c r="I292" s="115" t="s">
        <v>36</v>
      </c>
      <c r="J292" s="130"/>
      <c r="K292" s="130" t="s">
        <v>795</v>
      </c>
      <c r="L292" s="115" t="s">
        <v>796</v>
      </c>
      <c r="M292" s="130"/>
      <c r="N292" s="130"/>
      <c r="O292" s="130"/>
      <c r="P292" s="130"/>
      <c r="U292" s="72" t="s">
        <v>48</v>
      </c>
      <c r="W292" s="190">
        <v>17</v>
      </c>
      <c r="X292" s="103">
        <v>1</v>
      </c>
      <c r="Y292" s="165">
        <f t="shared" si="24"/>
        <v>17</v>
      </c>
      <c r="Z292" s="165" t="str">
        <f t="shared" si="25"/>
        <v/>
      </c>
    </row>
    <row r="293" spans="1:27" s="72" customFormat="1" ht="64" customHeight="1" x14ac:dyDescent="0.2">
      <c r="A293" s="72" t="s">
        <v>78</v>
      </c>
      <c r="B293" s="72" t="s">
        <v>818</v>
      </c>
      <c r="C293" s="72" t="s">
        <v>819</v>
      </c>
      <c r="D293" s="238" t="s">
        <v>820</v>
      </c>
      <c r="E293" s="73"/>
      <c r="F293" s="71" t="s">
        <v>793</v>
      </c>
      <c r="G293" s="71" t="s">
        <v>794</v>
      </c>
      <c r="H293" s="73"/>
      <c r="I293" s="115" t="s">
        <v>36</v>
      </c>
      <c r="J293" s="130"/>
      <c r="K293" s="130" t="s">
        <v>795</v>
      </c>
      <c r="L293" s="115" t="s">
        <v>796</v>
      </c>
      <c r="M293" s="130"/>
      <c r="N293" s="130"/>
      <c r="O293" s="130"/>
      <c r="P293" s="130"/>
      <c r="U293" s="72" t="s">
        <v>48</v>
      </c>
      <c r="W293" s="190">
        <v>17</v>
      </c>
      <c r="X293" s="103">
        <v>1</v>
      </c>
      <c r="Y293" s="165">
        <f t="shared" si="24"/>
        <v>17</v>
      </c>
      <c r="Z293" s="165" t="str">
        <f t="shared" si="25"/>
        <v/>
      </c>
    </row>
    <row r="294" spans="1:27" s="71" customFormat="1" x14ac:dyDescent="0.2">
      <c r="A294" s="71" t="s">
        <v>137</v>
      </c>
      <c r="C294" s="72"/>
      <c r="D294" s="72"/>
      <c r="E294" s="73"/>
      <c r="H294" s="77"/>
      <c r="I294" s="115"/>
      <c r="J294" s="115"/>
      <c r="K294" s="115"/>
      <c r="L294" s="115"/>
      <c r="M294" s="115"/>
      <c r="N294" s="115"/>
      <c r="O294" s="115"/>
      <c r="P294" s="115"/>
      <c r="W294" s="190">
        <v>17</v>
      </c>
      <c r="X294" s="103">
        <v>1</v>
      </c>
      <c r="Y294" s="165">
        <f t="shared" si="24"/>
        <v>17</v>
      </c>
      <c r="Z294" s="165" t="str">
        <f t="shared" si="25"/>
        <v/>
      </c>
      <c r="AA294" s="70"/>
    </row>
    <row r="295" spans="1:27" s="71" customFormat="1" x14ac:dyDescent="0.2">
      <c r="C295" s="72"/>
      <c r="D295" s="72"/>
      <c r="E295" s="73"/>
      <c r="H295" s="77"/>
      <c r="I295" s="115"/>
      <c r="J295" s="115"/>
      <c r="K295" s="115"/>
      <c r="L295" s="115"/>
      <c r="M295" s="115"/>
      <c r="N295" s="115"/>
      <c r="O295" s="115"/>
      <c r="P295" s="115"/>
      <c r="W295" s="190">
        <v>17</v>
      </c>
      <c r="X295" s="103">
        <v>1</v>
      </c>
      <c r="Y295" s="165">
        <f t="shared" si="24"/>
        <v>17</v>
      </c>
      <c r="Z295" s="165" t="str">
        <f t="shared" si="25"/>
        <v/>
      </c>
      <c r="AA295" s="70"/>
    </row>
    <row r="296" spans="1:27" s="71" customFormat="1" ht="16" customHeight="1" x14ac:dyDescent="0.2">
      <c r="A296" s="71" t="s">
        <v>64</v>
      </c>
      <c r="B296" s="71" t="s">
        <v>821</v>
      </c>
      <c r="C296" s="160" t="s">
        <v>822</v>
      </c>
      <c r="D296" s="160" t="s">
        <v>822</v>
      </c>
      <c r="E296" s="73"/>
      <c r="H296" s="77"/>
      <c r="I296" s="115"/>
      <c r="J296" s="115"/>
      <c r="K296" s="115"/>
      <c r="L296" s="115"/>
      <c r="M296" s="115"/>
      <c r="N296" s="115"/>
      <c r="O296" s="115"/>
      <c r="P296" s="115"/>
      <c r="U296" s="71" t="s">
        <v>48</v>
      </c>
      <c r="W296" s="190"/>
      <c r="X296" s="103">
        <v>1</v>
      </c>
      <c r="Y296" s="165" t="str">
        <f t="shared" si="24"/>
        <v/>
      </c>
      <c r="Z296" s="165" t="str">
        <f t="shared" si="25"/>
        <v/>
      </c>
    </row>
    <row r="297" spans="1:27" s="71" customFormat="1" ht="48" customHeight="1" x14ac:dyDescent="0.2">
      <c r="A297" s="71" t="s">
        <v>41</v>
      </c>
      <c r="B297" s="71" t="s">
        <v>823</v>
      </c>
      <c r="C297" s="72" t="s">
        <v>824</v>
      </c>
      <c r="D297" s="238" t="s">
        <v>825</v>
      </c>
      <c r="E297" s="73"/>
      <c r="H297" s="77"/>
      <c r="I297" s="115" t="s">
        <v>47</v>
      </c>
      <c r="J297" s="115"/>
      <c r="K297" s="115"/>
      <c r="L297" s="115"/>
      <c r="M297" s="115"/>
      <c r="N297" s="115"/>
      <c r="O297" s="115"/>
      <c r="P297" s="115"/>
      <c r="U297" s="71" t="s">
        <v>48</v>
      </c>
      <c r="W297" s="190">
        <v>17</v>
      </c>
      <c r="X297" s="103">
        <v>1</v>
      </c>
      <c r="Y297" s="165">
        <f t="shared" si="24"/>
        <v>17</v>
      </c>
      <c r="Z297" s="165" t="str">
        <f t="shared" si="25"/>
        <v/>
      </c>
    </row>
    <row r="298" spans="1:27" s="71" customFormat="1" ht="48" customHeight="1" x14ac:dyDescent="0.2">
      <c r="A298" s="71" t="s">
        <v>78</v>
      </c>
      <c r="B298" s="71" t="s">
        <v>826</v>
      </c>
      <c r="C298" s="72" t="s">
        <v>827</v>
      </c>
      <c r="D298" s="238" t="s">
        <v>828</v>
      </c>
      <c r="E298" s="73"/>
      <c r="F298" s="71" t="s">
        <v>829</v>
      </c>
      <c r="G298" s="71" t="s">
        <v>830</v>
      </c>
      <c r="H298" s="77"/>
      <c r="I298" s="115" t="s">
        <v>36</v>
      </c>
      <c r="J298" s="115"/>
      <c r="K298" s="115" t="s">
        <v>795</v>
      </c>
      <c r="L298" s="115" t="s">
        <v>796</v>
      </c>
      <c r="M298" s="115"/>
      <c r="N298" s="115"/>
      <c r="O298" s="115"/>
      <c r="P298" s="115"/>
      <c r="U298" s="71" t="s">
        <v>48</v>
      </c>
      <c r="W298" s="190">
        <v>17</v>
      </c>
      <c r="X298" s="103">
        <v>1</v>
      </c>
      <c r="Y298" s="165">
        <f t="shared" si="24"/>
        <v>17</v>
      </c>
      <c r="Z298" s="165" t="str">
        <f t="shared" si="25"/>
        <v/>
      </c>
    </row>
    <row r="299" spans="1:27" s="71" customFormat="1" ht="48" customHeight="1" x14ac:dyDescent="0.2">
      <c r="A299" s="71" t="s">
        <v>78</v>
      </c>
      <c r="B299" s="71" t="s">
        <v>831</v>
      </c>
      <c r="C299" s="72" t="s">
        <v>832</v>
      </c>
      <c r="D299" s="238" t="s">
        <v>833</v>
      </c>
      <c r="E299" s="73"/>
      <c r="F299" s="71" t="s">
        <v>829</v>
      </c>
      <c r="G299" s="71" t="s">
        <v>830</v>
      </c>
      <c r="H299" s="77"/>
      <c r="I299" s="115" t="s">
        <v>36</v>
      </c>
      <c r="J299" s="115"/>
      <c r="K299" s="115" t="s">
        <v>795</v>
      </c>
      <c r="L299" s="115" t="s">
        <v>796</v>
      </c>
      <c r="M299" s="115"/>
      <c r="N299" s="115"/>
      <c r="O299" s="115"/>
      <c r="P299" s="115"/>
      <c r="U299" s="71" t="s">
        <v>48</v>
      </c>
      <c r="W299" s="190">
        <v>17</v>
      </c>
      <c r="X299" s="103">
        <v>1</v>
      </c>
      <c r="Y299" s="165">
        <f t="shared" si="24"/>
        <v>17</v>
      </c>
      <c r="Z299" s="165" t="str">
        <f t="shared" si="25"/>
        <v/>
      </c>
    </row>
    <row r="300" spans="1:27" s="71" customFormat="1" ht="48" customHeight="1" x14ac:dyDescent="0.2">
      <c r="A300" s="71" t="s">
        <v>78</v>
      </c>
      <c r="B300" s="71" t="s">
        <v>834</v>
      </c>
      <c r="C300" s="72" t="s">
        <v>835</v>
      </c>
      <c r="D300" s="238" t="s">
        <v>836</v>
      </c>
      <c r="E300" s="73"/>
      <c r="F300" s="71" t="s">
        <v>829</v>
      </c>
      <c r="G300" s="71" t="s">
        <v>830</v>
      </c>
      <c r="H300" s="77"/>
      <c r="I300" s="115" t="s">
        <v>36</v>
      </c>
      <c r="J300" s="115"/>
      <c r="K300" s="115" t="s">
        <v>795</v>
      </c>
      <c r="L300" s="115" t="s">
        <v>796</v>
      </c>
      <c r="M300" s="115"/>
      <c r="N300" s="115"/>
      <c r="O300" s="115"/>
      <c r="P300" s="115"/>
      <c r="U300" s="71" t="s">
        <v>48</v>
      </c>
      <c r="W300" s="190">
        <v>17</v>
      </c>
      <c r="X300" s="103">
        <v>1</v>
      </c>
      <c r="Y300" s="165">
        <f t="shared" si="24"/>
        <v>17</v>
      </c>
      <c r="Z300" s="165" t="str">
        <f t="shared" si="25"/>
        <v/>
      </c>
    </row>
    <row r="301" spans="1:27" s="71" customFormat="1" ht="48" customHeight="1" x14ac:dyDescent="0.2">
      <c r="A301" s="71" t="s">
        <v>78</v>
      </c>
      <c r="B301" s="71" t="s">
        <v>837</v>
      </c>
      <c r="C301" s="72" t="s">
        <v>838</v>
      </c>
      <c r="D301" s="238" t="s">
        <v>839</v>
      </c>
      <c r="E301" s="73"/>
      <c r="F301" s="71" t="s">
        <v>829</v>
      </c>
      <c r="G301" s="71" t="s">
        <v>830</v>
      </c>
      <c r="H301" s="77"/>
      <c r="I301" s="115" t="s">
        <v>36</v>
      </c>
      <c r="J301" s="115"/>
      <c r="K301" s="115" t="s">
        <v>795</v>
      </c>
      <c r="L301" s="115" t="s">
        <v>796</v>
      </c>
      <c r="M301" s="115"/>
      <c r="N301" s="115"/>
      <c r="O301" s="115"/>
      <c r="P301" s="115"/>
      <c r="U301" s="71" t="s">
        <v>48</v>
      </c>
      <c r="W301" s="190">
        <v>17</v>
      </c>
      <c r="X301" s="103">
        <v>1</v>
      </c>
      <c r="Y301" s="165">
        <f t="shared" si="24"/>
        <v>17</v>
      </c>
      <c r="Z301" s="165" t="str">
        <f t="shared" si="25"/>
        <v/>
      </c>
    </row>
    <row r="302" spans="1:27" s="71" customFormat="1" ht="48" customHeight="1" x14ac:dyDescent="0.2">
      <c r="A302" s="71" t="s">
        <v>78</v>
      </c>
      <c r="B302" s="71" t="s">
        <v>840</v>
      </c>
      <c r="C302" s="72" t="s">
        <v>841</v>
      </c>
      <c r="D302" s="237" t="s">
        <v>842</v>
      </c>
      <c r="E302" s="73"/>
      <c r="F302" s="71" t="s">
        <v>829</v>
      </c>
      <c r="G302" s="71" t="s">
        <v>830</v>
      </c>
      <c r="H302" s="77"/>
      <c r="I302" s="115" t="s">
        <v>36</v>
      </c>
      <c r="J302" s="115"/>
      <c r="K302" s="115" t="s">
        <v>795</v>
      </c>
      <c r="L302" s="115" t="s">
        <v>796</v>
      </c>
      <c r="M302" s="115"/>
      <c r="N302" s="115"/>
      <c r="O302" s="115"/>
      <c r="P302" s="115"/>
      <c r="U302" s="71" t="s">
        <v>48</v>
      </c>
      <c r="W302" s="190">
        <v>17</v>
      </c>
      <c r="X302" s="103">
        <v>1</v>
      </c>
      <c r="Y302" s="165">
        <f t="shared" si="24"/>
        <v>17</v>
      </c>
      <c r="Z302" s="165" t="str">
        <f t="shared" si="25"/>
        <v/>
      </c>
    </row>
    <row r="303" spans="1:27" s="71" customFormat="1" x14ac:dyDescent="0.2">
      <c r="A303" s="71" t="s">
        <v>137</v>
      </c>
      <c r="C303" s="72"/>
      <c r="D303" s="72"/>
      <c r="E303" s="73"/>
      <c r="H303" s="77"/>
      <c r="I303" s="115"/>
      <c r="J303" s="115"/>
      <c r="K303" s="115"/>
      <c r="L303" s="115"/>
      <c r="M303" s="115"/>
      <c r="N303" s="115"/>
      <c r="O303" s="115"/>
      <c r="P303" s="115"/>
      <c r="W303" s="190"/>
      <c r="X303" s="103">
        <v>1</v>
      </c>
      <c r="Y303" s="165" t="str">
        <f t="shared" si="24"/>
        <v/>
      </c>
      <c r="Z303" s="165" t="str">
        <f t="shared" si="25"/>
        <v/>
      </c>
    </row>
    <row r="304" spans="1:27" s="71" customFormat="1" x14ac:dyDescent="0.2">
      <c r="C304" s="72"/>
      <c r="D304" s="72"/>
      <c r="E304" s="73"/>
      <c r="H304" s="77"/>
      <c r="I304" s="115"/>
      <c r="J304" s="115"/>
      <c r="K304" s="115"/>
      <c r="L304" s="115"/>
      <c r="M304" s="115"/>
      <c r="N304" s="115"/>
      <c r="O304" s="115"/>
      <c r="P304" s="115"/>
      <c r="W304" s="190"/>
      <c r="X304" s="103">
        <v>1</v>
      </c>
      <c r="Y304" s="165" t="str">
        <f t="shared" si="24"/>
        <v/>
      </c>
      <c r="Z304" s="165" t="str">
        <f t="shared" si="25"/>
        <v/>
      </c>
    </row>
    <row r="305" spans="1:74" ht="16" customHeight="1" thickBot="1" x14ac:dyDescent="0.25">
      <c r="A305" s="96" t="s">
        <v>137</v>
      </c>
      <c r="B305" s="96"/>
      <c r="C305" s="97"/>
      <c r="D305" s="97"/>
      <c r="E305" s="106"/>
      <c r="F305" s="96"/>
      <c r="G305" s="96"/>
      <c r="H305" s="107"/>
      <c r="I305" s="127"/>
      <c r="J305" s="127"/>
      <c r="K305" s="127"/>
      <c r="L305" s="127"/>
      <c r="M305" s="127"/>
      <c r="N305" s="127"/>
      <c r="O305" s="127"/>
      <c r="P305" s="127"/>
      <c r="W305" s="190"/>
      <c r="Y305" s="165" t="str">
        <f t="shared" si="24"/>
        <v/>
      </c>
      <c r="Z305" s="165" t="str">
        <f t="shared" si="25"/>
        <v/>
      </c>
    </row>
    <row r="306" spans="1:74" s="67" customFormat="1" ht="15" customHeight="1" thickTop="1" x14ac:dyDescent="0.2">
      <c r="A306" s="64" t="s">
        <v>64</v>
      </c>
      <c r="B306" s="64" t="s">
        <v>843</v>
      </c>
      <c r="C306" s="88" t="s">
        <v>844</v>
      </c>
      <c r="D306" s="88" t="s">
        <v>845</v>
      </c>
      <c r="E306" s="65"/>
      <c r="F306" s="64"/>
      <c r="G306" s="64"/>
      <c r="H306" s="66"/>
      <c r="I306" s="119" t="s">
        <v>47</v>
      </c>
      <c r="J306" s="119"/>
      <c r="K306" s="119"/>
      <c r="L306" s="119"/>
      <c r="M306" s="119" t="s">
        <v>846</v>
      </c>
      <c r="N306" s="119"/>
      <c r="O306" s="119"/>
      <c r="P306" s="119"/>
      <c r="U306" s="42" t="s">
        <v>38</v>
      </c>
      <c r="W306" s="190"/>
      <c r="X306" s="68"/>
      <c r="Y306" s="165" t="str">
        <f t="shared" ref="Y306:Y314" si="26">IF(W306&lt;&gt;"",W306*X306,"")</f>
        <v/>
      </c>
      <c r="Z306" s="165" t="str">
        <f t="shared" ref="Z306:Z314" si="27">IF(AND(W306&lt;&gt;"",U306="yes"),W306*X306,"")</f>
        <v/>
      </c>
      <c r="AA306" s="68"/>
    </row>
    <row r="307" spans="1:74" s="67" customFormat="1" ht="15" customHeight="1" x14ac:dyDescent="0.2">
      <c r="C307" s="89"/>
      <c r="D307" s="89"/>
      <c r="E307" s="65"/>
      <c r="H307" s="66"/>
      <c r="I307" s="120"/>
      <c r="J307" s="120"/>
      <c r="K307" s="120"/>
      <c r="L307" s="120"/>
      <c r="M307" s="120"/>
      <c r="N307" s="120"/>
      <c r="O307" s="120"/>
      <c r="P307" s="120"/>
      <c r="U307" s="42"/>
      <c r="W307" s="190"/>
      <c r="X307" s="103">
        <v>1</v>
      </c>
      <c r="Y307" s="165" t="str">
        <f t="shared" si="26"/>
        <v/>
      </c>
      <c r="Z307" s="165" t="str">
        <f t="shared" si="27"/>
        <v/>
      </c>
      <c r="AA307" s="68"/>
    </row>
    <row r="308" spans="1:74" ht="32" customHeight="1" x14ac:dyDescent="0.2">
      <c r="A308" s="69" t="s">
        <v>142</v>
      </c>
      <c r="B308" s="69" t="s">
        <v>847</v>
      </c>
      <c r="C308" s="41" t="s">
        <v>848</v>
      </c>
      <c r="D308" s="75" t="s">
        <v>849</v>
      </c>
      <c r="E308" s="82"/>
      <c r="F308" s="69"/>
      <c r="G308" s="69"/>
      <c r="H308" s="83"/>
      <c r="I308" s="114" t="s">
        <v>36</v>
      </c>
      <c r="J308" s="114"/>
      <c r="K308" s="114"/>
      <c r="L308" s="114"/>
      <c r="M308" s="114"/>
      <c r="N308" s="114"/>
      <c r="O308" s="114"/>
      <c r="P308" s="114"/>
      <c r="U308" s="42" t="s">
        <v>38</v>
      </c>
      <c r="W308" s="190">
        <v>19.828245162963871</v>
      </c>
      <c r="X308" s="103">
        <v>1</v>
      </c>
      <c r="Y308" s="165">
        <f t="shared" si="26"/>
        <v>19.828245162963871</v>
      </c>
      <c r="Z308" s="165">
        <f t="shared" si="27"/>
        <v>19.828245162963871</v>
      </c>
    </row>
    <row r="309" spans="1:74" ht="48" customHeight="1" x14ac:dyDescent="0.2">
      <c r="A309" s="69" t="s">
        <v>850</v>
      </c>
      <c r="B309" s="69" t="s">
        <v>851</v>
      </c>
      <c r="C309" s="41" t="s">
        <v>852</v>
      </c>
      <c r="D309" s="75" t="s">
        <v>853</v>
      </c>
      <c r="E309" s="82"/>
      <c r="F309" s="69" t="s">
        <v>854</v>
      </c>
      <c r="G309" s="74" t="s">
        <v>855</v>
      </c>
      <c r="H309" s="83"/>
      <c r="I309" s="114" t="s">
        <v>36</v>
      </c>
      <c r="J309" s="114"/>
      <c r="K309" s="116" t="s">
        <v>540</v>
      </c>
      <c r="L309" s="114"/>
      <c r="M309" s="114" t="s">
        <v>856</v>
      </c>
      <c r="N309" s="114"/>
      <c r="O309" s="114"/>
      <c r="P309" s="114"/>
      <c r="U309" s="42" t="s">
        <v>38</v>
      </c>
      <c r="W309" s="190">
        <v>49.529693603515618</v>
      </c>
      <c r="X309" s="103">
        <v>1</v>
      </c>
      <c r="Y309" s="165">
        <f t="shared" si="26"/>
        <v>49.529693603515618</v>
      </c>
      <c r="Z309" s="165">
        <f t="shared" si="27"/>
        <v>49.529693603515618</v>
      </c>
    </row>
    <row r="310" spans="1:74" ht="16" customHeight="1" x14ac:dyDescent="0.2">
      <c r="A310" s="69" t="s">
        <v>68</v>
      </c>
      <c r="B310" s="69" t="s">
        <v>857</v>
      </c>
      <c r="C310" s="75" t="s">
        <v>469</v>
      </c>
      <c r="D310" s="75" t="s">
        <v>470</v>
      </c>
      <c r="E310" s="93"/>
      <c r="F310" s="70" t="s">
        <v>471</v>
      </c>
      <c r="G310" s="70" t="s">
        <v>472</v>
      </c>
      <c r="H310" s="83"/>
      <c r="I310" s="114" t="s">
        <v>36</v>
      </c>
      <c r="J310" s="114"/>
      <c r="K310" s="114"/>
      <c r="L310" s="114"/>
      <c r="M310" s="114" t="s">
        <v>858</v>
      </c>
      <c r="N310" s="114"/>
      <c r="O310" s="114"/>
      <c r="P310" s="114"/>
      <c r="U310" s="42" t="s">
        <v>38</v>
      </c>
      <c r="W310" s="190"/>
      <c r="X310" s="103">
        <v>1</v>
      </c>
      <c r="Y310" s="165" t="str">
        <f t="shared" si="26"/>
        <v/>
      </c>
      <c r="Z310" s="165" t="str">
        <f t="shared" si="27"/>
        <v/>
      </c>
    </row>
    <row r="311" spans="1:74" x14ac:dyDescent="0.2">
      <c r="D311" s="44"/>
      <c r="E311" s="82"/>
      <c r="G311" s="70"/>
      <c r="H311" s="83"/>
      <c r="W311" s="190"/>
      <c r="X311" s="103">
        <v>1</v>
      </c>
      <c r="Y311" s="165" t="str">
        <f t="shared" si="26"/>
        <v/>
      </c>
      <c r="Z311" s="165" t="str">
        <f t="shared" si="27"/>
        <v/>
      </c>
    </row>
    <row r="312" spans="1:74" s="70" customFormat="1" ht="32" customHeight="1" x14ac:dyDescent="0.2">
      <c r="A312" s="74" t="s">
        <v>859</v>
      </c>
      <c r="B312" s="74" t="s">
        <v>860</v>
      </c>
      <c r="C312" s="75" t="s">
        <v>861</v>
      </c>
      <c r="D312" s="75" t="s">
        <v>862</v>
      </c>
      <c r="E312" s="93"/>
      <c r="F312" s="74" t="s">
        <v>863</v>
      </c>
      <c r="G312" s="74" t="s">
        <v>864</v>
      </c>
      <c r="H312" s="95"/>
      <c r="I312" s="116" t="s">
        <v>36</v>
      </c>
      <c r="J312" s="116"/>
      <c r="K312" s="116" t="s">
        <v>865</v>
      </c>
      <c r="L312" s="116"/>
      <c r="M312" s="116"/>
      <c r="N312" s="116"/>
      <c r="O312" s="116"/>
      <c r="P312" s="116"/>
      <c r="U312" s="70" t="s">
        <v>48</v>
      </c>
      <c r="W312" s="190">
        <v>22.029750823974609</v>
      </c>
      <c r="X312" s="103">
        <v>1</v>
      </c>
      <c r="Y312" s="165">
        <f t="shared" si="26"/>
        <v>22.029750823974609</v>
      </c>
      <c r="Z312" s="165" t="str">
        <f t="shared" si="27"/>
        <v/>
      </c>
    </row>
    <row r="313" spans="1:74" s="70" customFormat="1" ht="16" customHeight="1" x14ac:dyDescent="0.2">
      <c r="A313" s="74" t="s">
        <v>68</v>
      </c>
      <c r="B313" s="74" t="s">
        <v>866</v>
      </c>
      <c r="C313" s="75" t="s">
        <v>469</v>
      </c>
      <c r="D313" s="75" t="s">
        <v>470</v>
      </c>
      <c r="E313" s="93"/>
      <c r="F313" s="74" t="s">
        <v>471</v>
      </c>
      <c r="G313" s="74" t="s">
        <v>472</v>
      </c>
      <c r="H313" s="95"/>
      <c r="I313" s="116" t="s">
        <v>36</v>
      </c>
      <c r="J313" s="116"/>
      <c r="K313" s="116"/>
      <c r="L313" s="116"/>
      <c r="M313" s="116" t="s">
        <v>867</v>
      </c>
      <c r="N313" s="116"/>
      <c r="O313" s="116"/>
      <c r="P313" s="116"/>
      <c r="U313" s="70" t="s">
        <v>48</v>
      </c>
      <c r="W313" s="190"/>
      <c r="X313" s="103">
        <v>1</v>
      </c>
      <c r="Y313" s="165" t="str">
        <f t="shared" si="26"/>
        <v/>
      </c>
      <c r="Z313" s="165" t="str">
        <f t="shared" si="27"/>
        <v/>
      </c>
    </row>
    <row r="314" spans="1:74" s="70" customFormat="1" ht="16" customHeight="1" x14ac:dyDescent="0.2">
      <c r="A314" s="74" t="s">
        <v>868</v>
      </c>
      <c r="B314" s="74" t="s">
        <v>869</v>
      </c>
      <c r="C314" s="75" t="s">
        <v>870</v>
      </c>
      <c r="D314" s="75" t="s">
        <v>871</v>
      </c>
      <c r="E314" s="93"/>
      <c r="F314" s="74" t="s">
        <v>872</v>
      </c>
      <c r="G314" s="74" t="s">
        <v>873</v>
      </c>
      <c r="H314" s="95"/>
      <c r="I314" s="116" t="s">
        <v>36</v>
      </c>
      <c r="J314" s="116"/>
      <c r="K314" s="116"/>
      <c r="L314" s="116"/>
      <c r="M314" s="116" t="s">
        <v>874</v>
      </c>
      <c r="N314" s="116"/>
      <c r="O314" s="116"/>
      <c r="P314" s="116"/>
      <c r="U314" s="70" t="s">
        <v>48</v>
      </c>
      <c r="W314" s="190">
        <v>17</v>
      </c>
      <c r="X314" s="103">
        <v>1</v>
      </c>
      <c r="Y314" s="165">
        <f t="shared" si="26"/>
        <v>17</v>
      </c>
      <c r="Z314" s="165" t="str">
        <f t="shared" si="27"/>
        <v/>
      </c>
    </row>
    <row r="316" spans="1:74" s="71" customFormat="1" x14ac:dyDescent="0.2">
      <c r="C316" s="72"/>
      <c r="D316" s="72"/>
      <c r="E316" s="73"/>
      <c r="H316" s="77"/>
      <c r="I316" s="115"/>
      <c r="J316" s="115"/>
      <c r="K316" s="115"/>
      <c r="L316" s="115"/>
      <c r="M316" s="115"/>
      <c r="N316" s="115"/>
      <c r="O316" s="115"/>
      <c r="P316" s="115"/>
      <c r="R316" s="42"/>
      <c r="W316" s="190"/>
      <c r="X316" s="103">
        <v>1</v>
      </c>
      <c r="Y316" s="165" t="str">
        <f>IF(W316&lt;&gt;"",W316*X316,"")</f>
        <v/>
      </c>
      <c r="Z316" s="165" t="str">
        <f>IF(AND(W316&lt;&gt;"",U316="yes"),W316*X316,"")</f>
        <v/>
      </c>
      <c r="AA316" s="70"/>
    </row>
    <row r="317" spans="1:74" ht="16" customHeight="1" x14ac:dyDescent="0.2">
      <c r="A317" s="42" t="s">
        <v>875</v>
      </c>
      <c r="B317" s="42" t="s">
        <v>876</v>
      </c>
      <c r="C317" s="43" t="s">
        <v>877</v>
      </c>
      <c r="D317" s="43" t="s">
        <v>878</v>
      </c>
      <c r="E317" s="82"/>
      <c r="F317" s="42" t="s">
        <v>879</v>
      </c>
      <c r="G317" s="42" t="s">
        <v>650</v>
      </c>
      <c r="H317" s="83"/>
      <c r="I317" s="121" t="s">
        <v>36</v>
      </c>
      <c r="K317" s="121" t="s">
        <v>540</v>
      </c>
      <c r="M317" s="121" t="s">
        <v>874</v>
      </c>
      <c r="W317" s="298"/>
      <c r="X317" s="317"/>
      <c r="Y317" s="300"/>
      <c r="Z317" s="300"/>
      <c r="AA317" s="42"/>
    </row>
    <row r="318" spans="1:74" s="316" customFormat="1" ht="16" customHeight="1" x14ac:dyDescent="0.2">
      <c r="A318" s="295" t="s">
        <v>142</v>
      </c>
      <c r="B318" s="295" t="s">
        <v>880</v>
      </c>
      <c r="C318" s="318" t="s">
        <v>881</v>
      </c>
      <c r="D318" s="318" t="s">
        <v>882</v>
      </c>
      <c r="E318" s="307"/>
      <c r="F318" s="295"/>
      <c r="G318" s="295"/>
      <c r="H318" s="306"/>
      <c r="I318" s="312" t="s">
        <v>36</v>
      </c>
      <c r="J318" s="312"/>
      <c r="K318" s="312"/>
      <c r="L318" s="312"/>
      <c r="N318" s="312"/>
      <c r="O318" s="312"/>
      <c r="P318" s="312"/>
      <c r="Q318" s="306"/>
      <c r="R318" s="306"/>
      <c r="S318" s="306"/>
      <c r="T318" s="306"/>
      <c r="U318" s="306" t="s">
        <v>38</v>
      </c>
      <c r="V318" s="306"/>
      <c r="W318" s="212"/>
      <c r="X318" s="319"/>
      <c r="Y318" s="214"/>
      <c r="Z318" s="214"/>
      <c r="AA318" s="306"/>
      <c r="AB318" s="306"/>
      <c r="AC318" s="306"/>
      <c r="AD318" s="306"/>
      <c r="AE318" s="306"/>
      <c r="AF318" s="306"/>
      <c r="AG318" s="306"/>
      <c r="AH318" s="306"/>
      <c r="AI318" s="306"/>
      <c r="AJ318" s="306"/>
      <c r="AK318" s="306"/>
      <c r="AL318" s="306"/>
      <c r="AM318" s="306"/>
      <c r="AN318" s="306"/>
      <c r="AO318" s="306"/>
      <c r="AP318" s="306"/>
      <c r="AQ318" s="306"/>
      <c r="AR318" s="306"/>
      <c r="AS318" s="306"/>
      <c r="AT318" s="306"/>
      <c r="AU318" s="306"/>
      <c r="AV318" s="306"/>
      <c r="AW318" s="306"/>
      <c r="AX318" s="306"/>
      <c r="AY318" s="306"/>
      <c r="AZ318" s="306"/>
      <c r="BA318" s="306"/>
      <c r="BB318" s="306"/>
      <c r="BC318" s="306"/>
      <c r="BD318" s="306"/>
      <c r="BE318" s="306"/>
      <c r="BF318" s="306"/>
      <c r="BG318" s="306"/>
      <c r="BH318" s="306"/>
      <c r="BI318" s="306"/>
      <c r="BJ318" s="306"/>
      <c r="BK318" s="306"/>
      <c r="BL318" s="306"/>
      <c r="BM318" s="306"/>
      <c r="BN318" s="306"/>
      <c r="BO318" s="306"/>
      <c r="BP318" s="306"/>
      <c r="BQ318" s="306"/>
      <c r="BR318" s="306"/>
      <c r="BS318" s="306"/>
      <c r="BT318" s="306"/>
      <c r="BU318" s="306"/>
      <c r="BV318" s="306"/>
    </row>
    <row r="319" spans="1:74" s="316" customFormat="1" ht="16" customHeight="1" x14ac:dyDescent="0.2">
      <c r="A319" s="306" t="s">
        <v>142</v>
      </c>
      <c r="B319" s="306" t="s">
        <v>883</v>
      </c>
      <c r="C319" s="307" t="s">
        <v>884</v>
      </c>
      <c r="D319" s="307" t="s">
        <v>885</v>
      </c>
      <c r="E319" s="307"/>
      <c r="F319" s="306"/>
      <c r="G319" s="306"/>
      <c r="H319" s="306"/>
      <c r="I319" s="313" t="s">
        <v>36</v>
      </c>
      <c r="J319" s="313"/>
      <c r="K319" s="313"/>
      <c r="L319" s="313"/>
      <c r="M319" s="312" t="s">
        <v>886</v>
      </c>
      <c r="N319" s="313"/>
      <c r="O319" s="313"/>
      <c r="P319" s="313"/>
      <c r="Q319" s="306"/>
      <c r="R319" s="306"/>
      <c r="S319" s="306"/>
      <c r="T319" s="306"/>
      <c r="U319" s="306" t="s">
        <v>38</v>
      </c>
      <c r="V319" s="306"/>
      <c r="W319" s="212"/>
      <c r="X319" s="319"/>
      <c r="Y319" s="214"/>
      <c r="Z319" s="214"/>
      <c r="AA319" s="306"/>
      <c r="AB319" s="306"/>
      <c r="AC319" s="306"/>
      <c r="AD319" s="306"/>
      <c r="AE319" s="306"/>
      <c r="AF319" s="306"/>
      <c r="AG319" s="306"/>
      <c r="AH319" s="306"/>
      <c r="AI319" s="306"/>
      <c r="AJ319" s="306"/>
      <c r="AK319" s="306"/>
      <c r="AL319" s="306"/>
      <c r="AM319" s="306"/>
      <c r="AN319" s="306"/>
      <c r="AO319" s="306"/>
      <c r="AP319" s="306"/>
      <c r="AQ319" s="306"/>
      <c r="AR319" s="306"/>
      <c r="AS319" s="306"/>
      <c r="AT319" s="306"/>
      <c r="AU319" s="306"/>
      <c r="AV319" s="306"/>
      <c r="AW319" s="306"/>
      <c r="AX319" s="306"/>
      <c r="AY319" s="306"/>
      <c r="AZ319" s="306"/>
      <c r="BA319" s="306"/>
      <c r="BB319" s="306"/>
      <c r="BC319" s="306"/>
      <c r="BD319" s="306"/>
      <c r="BE319" s="306"/>
      <c r="BF319" s="306"/>
      <c r="BG319" s="306"/>
      <c r="BH319" s="306"/>
      <c r="BI319" s="306"/>
      <c r="BJ319" s="306"/>
      <c r="BK319" s="306"/>
      <c r="BL319" s="306"/>
      <c r="BM319" s="306"/>
      <c r="BN319" s="306"/>
      <c r="BO319" s="306"/>
      <c r="BP319" s="306"/>
      <c r="BQ319" s="306"/>
      <c r="BR319" s="306"/>
      <c r="BS319" s="306"/>
      <c r="BT319" s="306"/>
      <c r="BU319" s="306"/>
      <c r="BV319" s="306"/>
    </row>
    <row r="320" spans="1:74" s="316" customFormat="1" ht="32" customHeight="1" x14ac:dyDescent="0.2">
      <c r="A320" s="306" t="s">
        <v>887</v>
      </c>
      <c r="B320" s="306" t="s">
        <v>888</v>
      </c>
      <c r="C320" s="307" t="s">
        <v>889</v>
      </c>
      <c r="D320" s="320" t="s">
        <v>890</v>
      </c>
      <c r="E320" s="307"/>
      <c r="F320" s="306"/>
      <c r="G320" s="306"/>
      <c r="H320" s="306"/>
      <c r="I320" s="313" t="s">
        <v>36</v>
      </c>
      <c r="J320" s="313"/>
      <c r="K320" s="313"/>
      <c r="L320" s="313"/>
      <c r="M320" s="312" t="s">
        <v>891</v>
      </c>
      <c r="N320" s="313"/>
      <c r="O320" s="313"/>
      <c r="P320" s="313"/>
      <c r="Q320" s="306"/>
      <c r="R320" s="306"/>
      <c r="S320" s="306"/>
      <c r="T320" s="306"/>
      <c r="U320" s="306" t="s">
        <v>38</v>
      </c>
      <c r="V320" s="306"/>
      <c r="W320" s="212"/>
      <c r="X320" s="319"/>
      <c r="Y320" s="214"/>
      <c r="Z320" s="214"/>
      <c r="AA320" s="306"/>
      <c r="AB320" s="306"/>
      <c r="AC320" s="306"/>
      <c r="AD320" s="306"/>
      <c r="AE320" s="306"/>
      <c r="AF320" s="306"/>
      <c r="AG320" s="306"/>
      <c r="AH320" s="306"/>
      <c r="AI320" s="306"/>
      <c r="AJ320" s="306"/>
      <c r="AK320" s="306"/>
      <c r="AL320" s="306"/>
      <c r="AM320" s="306"/>
      <c r="AN320" s="306"/>
      <c r="AO320" s="306"/>
      <c r="AP320" s="306"/>
      <c r="AQ320" s="306"/>
      <c r="AR320" s="306"/>
      <c r="AS320" s="306"/>
      <c r="AT320" s="306"/>
      <c r="AU320" s="306"/>
      <c r="AV320" s="306"/>
      <c r="AW320" s="306"/>
      <c r="AX320" s="306"/>
      <c r="AY320" s="306"/>
      <c r="AZ320" s="306"/>
      <c r="BA320" s="306"/>
      <c r="BB320" s="306"/>
      <c r="BC320" s="306"/>
      <c r="BD320" s="306"/>
      <c r="BE320" s="306"/>
      <c r="BF320" s="306"/>
      <c r="BG320" s="306"/>
      <c r="BH320" s="306"/>
      <c r="BI320" s="306"/>
      <c r="BJ320" s="306"/>
      <c r="BK320" s="306"/>
      <c r="BL320" s="306"/>
      <c r="BM320" s="306"/>
      <c r="BN320" s="306"/>
      <c r="BO320" s="306"/>
      <c r="BP320" s="306"/>
      <c r="BQ320" s="306"/>
      <c r="BR320" s="306"/>
      <c r="BS320" s="306"/>
      <c r="BT320" s="306"/>
      <c r="BU320" s="306"/>
      <c r="BV320" s="306"/>
    </row>
    <row r="321" spans="1:74" s="316" customFormat="1" ht="16" customHeight="1" x14ac:dyDescent="0.2">
      <c r="A321" s="306" t="s">
        <v>887</v>
      </c>
      <c r="B321" s="306" t="s">
        <v>892</v>
      </c>
      <c r="C321" s="307" t="s">
        <v>893</v>
      </c>
      <c r="D321" s="307" t="s">
        <v>894</v>
      </c>
      <c r="E321" s="307"/>
      <c r="F321" s="306"/>
      <c r="G321" s="306"/>
      <c r="H321" s="306"/>
      <c r="I321" s="313" t="s">
        <v>36</v>
      </c>
      <c r="J321" s="313"/>
      <c r="K321" s="313"/>
      <c r="L321" s="313"/>
      <c r="M321" s="312" t="s">
        <v>895</v>
      </c>
      <c r="N321" s="313"/>
      <c r="O321" s="313"/>
      <c r="P321" s="313"/>
      <c r="Q321" s="306"/>
      <c r="R321" s="306"/>
      <c r="S321" s="306"/>
      <c r="T321" s="306"/>
      <c r="U321" s="306" t="s">
        <v>38</v>
      </c>
      <c r="V321" s="306"/>
      <c r="W321" s="212"/>
      <c r="X321" s="319"/>
      <c r="Y321" s="214"/>
      <c r="Z321" s="214"/>
      <c r="AA321" s="306"/>
      <c r="AB321" s="306"/>
      <c r="AC321" s="306"/>
      <c r="AD321" s="306"/>
      <c r="AE321" s="306"/>
      <c r="AF321" s="306"/>
      <c r="AG321" s="306"/>
      <c r="AH321" s="306"/>
      <c r="AI321" s="306"/>
      <c r="AJ321" s="306"/>
      <c r="AK321" s="306"/>
      <c r="AL321" s="306"/>
      <c r="AM321" s="306"/>
      <c r="AN321" s="306"/>
      <c r="AO321" s="306"/>
      <c r="AP321" s="306"/>
      <c r="AQ321" s="306"/>
      <c r="AR321" s="306"/>
      <c r="AS321" s="306"/>
      <c r="AT321" s="306"/>
      <c r="AU321" s="306"/>
      <c r="AV321" s="306"/>
      <c r="AW321" s="306"/>
      <c r="AX321" s="306"/>
      <c r="AY321" s="306"/>
      <c r="AZ321" s="306"/>
      <c r="BA321" s="306"/>
      <c r="BB321" s="306"/>
      <c r="BC321" s="306"/>
      <c r="BD321" s="306"/>
      <c r="BE321" s="306"/>
      <c r="BF321" s="306"/>
      <c r="BG321" s="306"/>
      <c r="BH321" s="306"/>
      <c r="BI321" s="306"/>
      <c r="BJ321" s="306"/>
      <c r="BK321" s="306"/>
      <c r="BL321" s="306"/>
      <c r="BM321" s="306"/>
      <c r="BN321" s="306"/>
      <c r="BO321" s="306"/>
      <c r="BP321" s="306"/>
      <c r="BQ321" s="306"/>
      <c r="BR321" s="306"/>
      <c r="BS321" s="306"/>
      <c r="BT321" s="306"/>
      <c r="BU321" s="306"/>
      <c r="BV321" s="306"/>
    </row>
    <row r="322" spans="1:74" ht="16" customHeight="1" thickBot="1" x14ac:dyDescent="0.25">
      <c r="A322" s="96" t="s">
        <v>137</v>
      </c>
      <c r="B322" s="96"/>
      <c r="C322" s="97"/>
      <c r="D322" s="97"/>
      <c r="E322" s="106"/>
      <c r="F322" s="96"/>
      <c r="G322" s="96"/>
      <c r="H322" s="107"/>
      <c r="I322" s="127"/>
      <c r="J322" s="127"/>
      <c r="K322" s="127"/>
      <c r="L322" s="127"/>
      <c r="M322" s="127"/>
      <c r="N322" s="127"/>
      <c r="O322" s="127"/>
      <c r="P322" s="127"/>
      <c r="W322" s="190"/>
      <c r="Y322" s="165" t="str">
        <f t="shared" ref="Y322:Y338" si="28">IF(W322&lt;&gt;"",W322*X322,"")</f>
        <v/>
      </c>
      <c r="Z322" s="165" t="str">
        <f t="shared" ref="Z322:Z338" si="29">IF(AND(W322&lt;&gt;"",U322="yes"),W322*X322,"")</f>
        <v/>
      </c>
    </row>
    <row r="323" spans="1:74" s="67" customFormat="1" ht="17" customHeight="1" thickTop="1" x14ac:dyDescent="0.2">
      <c r="A323" s="64" t="s">
        <v>64</v>
      </c>
      <c r="B323" s="64" t="s">
        <v>896</v>
      </c>
      <c r="C323" s="88" t="s">
        <v>897</v>
      </c>
      <c r="D323" s="88" t="s">
        <v>898</v>
      </c>
      <c r="E323" s="65"/>
      <c r="F323" s="64"/>
      <c r="G323" s="64"/>
      <c r="H323" s="66"/>
      <c r="I323" s="119" t="s">
        <v>47</v>
      </c>
      <c r="J323" s="119"/>
      <c r="K323" s="119"/>
      <c r="L323" s="119"/>
      <c r="M323" s="119" t="s">
        <v>141</v>
      </c>
      <c r="N323" s="119"/>
      <c r="O323" s="119"/>
      <c r="P323" s="119"/>
      <c r="U323" s="42" t="s">
        <v>38</v>
      </c>
      <c r="W323" s="190"/>
      <c r="X323" s="164"/>
      <c r="Y323" s="165" t="str">
        <f t="shared" si="28"/>
        <v/>
      </c>
      <c r="Z323" s="165" t="str">
        <f t="shared" si="29"/>
        <v/>
      </c>
      <c r="AA323" s="68"/>
    </row>
    <row r="324" spans="1:74" s="67" customFormat="1" x14ac:dyDescent="0.2">
      <c r="C324" s="89"/>
      <c r="D324" s="89"/>
      <c r="E324" s="65"/>
      <c r="H324" s="66"/>
      <c r="I324" s="120"/>
      <c r="J324" s="120"/>
      <c r="K324" s="120"/>
      <c r="L324" s="120"/>
      <c r="M324" s="120"/>
      <c r="N324" s="120"/>
      <c r="O324" s="120"/>
      <c r="P324" s="120"/>
      <c r="U324" s="42"/>
      <c r="W324" s="190"/>
      <c r="X324" s="103">
        <v>1</v>
      </c>
      <c r="Y324" s="165" t="str">
        <f t="shared" si="28"/>
        <v/>
      </c>
      <c r="Z324" s="165" t="str">
        <f t="shared" si="29"/>
        <v/>
      </c>
      <c r="AA324" s="68"/>
    </row>
    <row r="325" spans="1:74" ht="32" customHeight="1" x14ac:dyDescent="0.2">
      <c r="A325" s="69" t="s">
        <v>49</v>
      </c>
      <c r="B325" s="69" t="s">
        <v>899</v>
      </c>
      <c r="C325" s="41" t="s">
        <v>900</v>
      </c>
      <c r="D325" s="229" t="s">
        <v>901</v>
      </c>
      <c r="E325" s="82"/>
      <c r="F325" s="69"/>
      <c r="G325" s="69"/>
      <c r="H325" s="83"/>
      <c r="I325" s="114" t="s">
        <v>36</v>
      </c>
      <c r="J325" s="114"/>
      <c r="K325" s="114"/>
      <c r="L325" s="114"/>
      <c r="M325" s="114"/>
      <c r="N325" s="114"/>
      <c r="O325" s="114"/>
      <c r="P325" s="114"/>
      <c r="U325" s="42" t="s">
        <v>38</v>
      </c>
      <c r="W325" s="190">
        <v>36.783046722412109</v>
      </c>
      <c r="X325" s="103">
        <v>1</v>
      </c>
      <c r="Y325" s="165">
        <f t="shared" si="28"/>
        <v>36.783046722412109</v>
      </c>
      <c r="Z325" s="165">
        <f t="shared" si="29"/>
        <v>36.783046722412109</v>
      </c>
    </row>
    <row r="326" spans="1:74" x14ac:dyDescent="0.2">
      <c r="E326" s="82"/>
      <c r="H326" s="83"/>
      <c r="W326" s="190"/>
      <c r="X326" s="103">
        <v>1</v>
      </c>
      <c r="Y326" s="165" t="str">
        <f t="shared" si="28"/>
        <v/>
      </c>
      <c r="Z326" s="165" t="str">
        <f t="shared" si="29"/>
        <v/>
      </c>
    </row>
    <row r="327" spans="1:74" s="90" customFormat="1" ht="32" customHeight="1" x14ac:dyDescent="0.2">
      <c r="A327" s="157" t="s">
        <v>142</v>
      </c>
      <c r="B327" s="157" t="s">
        <v>902</v>
      </c>
      <c r="C327" s="180" t="s">
        <v>903</v>
      </c>
      <c r="D327" s="180" t="s">
        <v>904</v>
      </c>
      <c r="E327" s="158"/>
      <c r="F327" s="157"/>
      <c r="G327" s="157"/>
      <c r="H327" s="159"/>
      <c r="I327" s="181" t="s">
        <v>36</v>
      </c>
      <c r="J327" s="181"/>
      <c r="K327" s="122"/>
      <c r="L327" s="181"/>
      <c r="M327" s="181" t="s">
        <v>905</v>
      </c>
      <c r="N327" s="122"/>
      <c r="O327" s="122"/>
      <c r="P327" s="122"/>
      <c r="U327" s="157" t="s">
        <v>906</v>
      </c>
      <c r="W327" s="190">
        <v>10</v>
      </c>
      <c r="X327" s="103">
        <v>1</v>
      </c>
      <c r="Y327" s="165">
        <f t="shared" si="28"/>
        <v>10</v>
      </c>
      <c r="Z327" s="165" t="str">
        <f t="shared" si="29"/>
        <v/>
      </c>
    </row>
    <row r="328" spans="1:74" s="90" customFormat="1" ht="16" customHeight="1" x14ac:dyDescent="0.2">
      <c r="A328" s="157" t="s">
        <v>907</v>
      </c>
      <c r="B328" s="157" t="s">
        <v>908</v>
      </c>
      <c r="C328" s="180" t="s">
        <v>909</v>
      </c>
      <c r="D328" s="180" t="s">
        <v>910</v>
      </c>
      <c r="E328" s="158"/>
      <c r="F328" s="157"/>
      <c r="G328" s="157"/>
      <c r="H328" s="159"/>
      <c r="I328" s="181" t="s">
        <v>36</v>
      </c>
      <c r="J328" s="181"/>
      <c r="K328" s="122"/>
      <c r="L328" s="181"/>
      <c r="M328" s="181" t="s">
        <v>911</v>
      </c>
      <c r="N328" s="122"/>
      <c r="O328" s="122"/>
      <c r="P328" s="122"/>
      <c r="U328" s="157" t="s">
        <v>906</v>
      </c>
      <c r="W328" s="190">
        <v>10</v>
      </c>
      <c r="X328" s="103">
        <v>1</v>
      </c>
      <c r="Y328" s="165">
        <f t="shared" si="28"/>
        <v>10</v>
      </c>
      <c r="Z328" s="165" t="str">
        <f t="shared" si="29"/>
        <v/>
      </c>
    </row>
    <row r="329" spans="1:74" s="71" customFormat="1" ht="16" customHeight="1" x14ac:dyDescent="0.2">
      <c r="A329" s="157" t="s">
        <v>68</v>
      </c>
      <c r="B329" s="157" t="s">
        <v>912</v>
      </c>
      <c r="C329" s="180" t="s">
        <v>913</v>
      </c>
      <c r="D329" s="180" t="s">
        <v>914</v>
      </c>
      <c r="E329" s="158"/>
      <c r="F329" s="157"/>
      <c r="G329" s="157"/>
      <c r="H329" s="159"/>
      <c r="I329" s="181" t="s">
        <v>36</v>
      </c>
      <c r="J329" s="181" t="s">
        <v>94</v>
      </c>
      <c r="K329" s="115" t="s">
        <v>95</v>
      </c>
      <c r="L329" s="181" t="s">
        <v>96</v>
      </c>
      <c r="M329" s="181" t="s">
        <v>911</v>
      </c>
      <c r="N329" s="115"/>
      <c r="O329" s="115"/>
      <c r="P329" s="115"/>
      <c r="U329" s="157" t="s">
        <v>906</v>
      </c>
      <c r="W329" s="190">
        <v>10</v>
      </c>
      <c r="X329" s="103">
        <v>1</v>
      </c>
      <c r="Y329" s="165">
        <f t="shared" si="28"/>
        <v>10</v>
      </c>
      <c r="Z329" s="165" t="str">
        <f t="shared" si="29"/>
        <v/>
      </c>
      <c r="AA329" s="70"/>
    </row>
    <row r="330" spans="1:74" s="71" customFormat="1" ht="16" customHeight="1" x14ac:dyDescent="0.2">
      <c r="A330" s="157" t="s">
        <v>68</v>
      </c>
      <c r="B330" s="157" t="s">
        <v>915</v>
      </c>
      <c r="C330" s="180" t="s">
        <v>916</v>
      </c>
      <c r="D330" s="180" t="s">
        <v>917</v>
      </c>
      <c r="E330" s="158"/>
      <c r="F330" s="157"/>
      <c r="G330" s="157"/>
      <c r="H330" s="159"/>
      <c r="I330" s="181" t="s">
        <v>36</v>
      </c>
      <c r="J330" s="181"/>
      <c r="K330" s="115"/>
      <c r="L330" s="181"/>
      <c r="M330" s="181" t="s">
        <v>911</v>
      </c>
      <c r="N330" s="115"/>
      <c r="O330" s="115"/>
      <c r="P330" s="115"/>
      <c r="U330" s="157" t="s">
        <v>906</v>
      </c>
      <c r="W330" s="190">
        <v>10</v>
      </c>
      <c r="X330" s="103">
        <v>1</v>
      </c>
      <c r="Y330" s="165">
        <f t="shared" si="28"/>
        <v>10</v>
      </c>
      <c r="Z330" s="165" t="str">
        <f t="shared" si="29"/>
        <v/>
      </c>
      <c r="AA330" s="70"/>
    </row>
    <row r="331" spans="1:74" s="71" customFormat="1" ht="16" customHeight="1" x14ac:dyDescent="0.2">
      <c r="A331" s="155" t="s">
        <v>918</v>
      </c>
      <c r="B331" s="155" t="s">
        <v>919</v>
      </c>
      <c r="C331" s="174" t="s">
        <v>920</v>
      </c>
      <c r="D331" s="174" t="s">
        <v>921</v>
      </c>
      <c r="E331" s="158"/>
      <c r="F331" s="155" t="s">
        <v>922</v>
      </c>
      <c r="G331" s="155" t="s">
        <v>650</v>
      </c>
      <c r="H331" s="159"/>
      <c r="I331" s="154" t="s">
        <v>36</v>
      </c>
      <c r="J331" s="154"/>
      <c r="K331" s="131"/>
      <c r="L331" s="154"/>
      <c r="M331" s="154" t="s">
        <v>905</v>
      </c>
      <c r="N331" s="124"/>
      <c r="O331" s="124"/>
      <c r="P331" s="124"/>
      <c r="U331" s="157" t="s">
        <v>97</v>
      </c>
      <c r="W331" s="190">
        <v>10</v>
      </c>
      <c r="X331" s="103">
        <v>1</v>
      </c>
      <c r="Y331" s="165">
        <f t="shared" si="28"/>
        <v>10</v>
      </c>
      <c r="Z331" s="165" t="str">
        <f t="shared" si="29"/>
        <v/>
      </c>
      <c r="AA331" s="70"/>
    </row>
    <row r="332" spans="1:74" s="71" customFormat="1" ht="32" customHeight="1" x14ac:dyDescent="0.2">
      <c r="A332" s="155" t="s">
        <v>178</v>
      </c>
      <c r="B332" s="155" t="s">
        <v>923</v>
      </c>
      <c r="C332" s="174" t="s">
        <v>924</v>
      </c>
      <c r="D332" s="174" t="s">
        <v>925</v>
      </c>
      <c r="E332" s="158"/>
      <c r="F332" s="155" t="s">
        <v>922</v>
      </c>
      <c r="G332" s="155" t="s">
        <v>650</v>
      </c>
      <c r="H332" s="159"/>
      <c r="I332" s="154" t="s">
        <v>36</v>
      </c>
      <c r="J332" s="154"/>
      <c r="K332" s="131"/>
      <c r="L332" s="154"/>
      <c r="M332" s="154" t="s">
        <v>905</v>
      </c>
      <c r="N332" s="124"/>
      <c r="O332" s="124"/>
      <c r="P332" s="124"/>
      <c r="U332" s="157" t="s">
        <v>97</v>
      </c>
      <c r="W332" s="190">
        <v>10</v>
      </c>
      <c r="X332" s="103">
        <v>1</v>
      </c>
      <c r="Y332" s="165">
        <f t="shared" si="28"/>
        <v>10</v>
      </c>
      <c r="Z332" s="165" t="str">
        <f t="shared" si="29"/>
        <v/>
      </c>
      <c r="AA332" s="70"/>
    </row>
    <row r="333" spans="1:74" s="71" customFormat="1" x14ac:dyDescent="0.2">
      <c r="C333" s="72"/>
      <c r="D333" s="72"/>
      <c r="E333" s="73"/>
      <c r="H333" s="77"/>
      <c r="I333" s="115"/>
      <c r="J333" s="115"/>
      <c r="K333" s="115"/>
      <c r="L333" s="115"/>
      <c r="M333" s="115"/>
      <c r="N333" s="115"/>
      <c r="O333" s="115"/>
      <c r="P333" s="115"/>
      <c r="W333" s="190"/>
      <c r="X333" s="103">
        <v>1</v>
      </c>
      <c r="Y333" s="165" t="str">
        <f t="shared" si="28"/>
        <v/>
      </c>
      <c r="Z333" s="165" t="str">
        <f t="shared" si="29"/>
        <v/>
      </c>
      <c r="AA333" s="70"/>
    </row>
    <row r="334" spans="1:74" ht="16" customHeight="1" x14ac:dyDescent="0.2">
      <c r="A334" s="69" t="s">
        <v>926</v>
      </c>
      <c r="B334" s="69" t="s">
        <v>927</v>
      </c>
      <c r="C334" s="41" t="s">
        <v>928</v>
      </c>
      <c r="D334" s="235" t="s">
        <v>929</v>
      </c>
      <c r="E334" s="82"/>
      <c r="F334" s="69"/>
      <c r="G334" s="69"/>
      <c r="H334" s="83"/>
      <c r="I334" s="114" t="s">
        <v>36</v>
      </c>
      <c r="J334" s="114"/>
      <c r="K334" s="114"/>
      <c r="L334" s="114"/>
      <c r="M334" s="114"/>
      <c r="N334" s="114"/>
      <c r="O334" s="114"/>
      <c r="P334" s="114"/>
      <c r="U334" s="42" t="s">
        <v>38</v>
      </c>
      <c r="W334" s="190">
        <v>3</v>
      </c>
      <c r="X334" s="103">
        <v>1</v>
      </c>
      <c r="Y334" s="165">
        <f t="shared" si="28"/>
        <v>3</v>
      </c>
      <c r="Z334" s="165">
        <f t="shared" si="29"/>
        <v>3</v>
      </c>
    </row>
    <row r="335" spans="1:74" x14ac:dyDescent="0.2">
      <c r="D335" s="42"/>
      <c r="E335" s="82"/>
      <c r="H335" s="83"/>
      <c r="W335" s="190"/>
      <c r="X335" s="103">
        <v>1</v>
      </c>
      <c r="Y335" s="165" t="str">
        <f t="shared" si="28"/>
        <v/>
      </c>
      <c r="Z335" s="165" t="str">
        <f t="shared" si="29"/>
        <v/>
      </c>
    </row>
    <row r="336" spans="1:74" ht="16" customHeight="1" x14ac:dyDescent="0.2">
      <c r="A336" s="69" t="s">
        <v>41</v>
      </c>
      <c r="B336" s="69" t="s">
        <v>930</v>
      </c>
      <c r="C336" s="41" t="s">
        <v>931</v>
      </c>
      <c r="D336" s="231" t="s">
        <v>932</v>
      </c>
      <c r="E336" s="82"/>
      <c r="F336" s="69"/>
      <c r="G336" s="69"/>
      <c r="H336" s="83"/>
      <c r="I336" s="114" t="s">
        <v>47</v>
      </c>
      <c r="J336" s="114"/>
      <c r="K336" s="114"/>
      <c r="L336" s="114"/>
      <c r="M336" s="114"/>
      <c r="N336" s="114"/>
      <c r="O336" s="114"/>
      <c r="P336" s="114"/>
      <c r="U336" s="42" t="s">
        <v>48</v>
      </c>
      <c r="W336" s="190">
        <v>0</v>
      </c>
      <c r="X336" s="103">
        <v>1</v>
      </c>
      <c r="Y336" s="165">
        <f t="shared" si="28"/>
        <v>0</v>
      </c>
      <c r="Z336" s="165" t="str">
        <f t="shared" si="29"/>
        <v/>
      </c>
    </row>
    <row r="337" spans="1:26" x14ac:dyDescent="0.2">
      <c r="E337" s="82"/>
      <c r="H337" s="83"/>
      <c r="W337" s="190"/>
      <c r="X337" s="103">
        <v>1</v>
      </c>
      <c r="Y337" s="165" t="str">
        <f t="shared" si="28"/>
        <v/>
      </c>
      <c r="Z337" s="165" t="str">
        <f t="shared" si="29"/>
        <v/>
      </c>
    </row>
    <row r="338" spans="1:26" ht="16" customHeight="1" thickBot="1" x14ac:dyDescent="0.25">
      <c r="A338" s="96" t="s">
        <v>137</v>
      </c>
      <c r="B338" s="96"/>
      <c r="C338" s="97"/>
      <c r="D338" s="97"/>
      <c r="E338" s="106"/>
      <c r="F338" s="96"/>
      <c r="G338" s="96"/>
      <c r="H338" s="107"/>
      <c r="I338" s="127"/>
      <c r="J338" s="127"/>
      <c r="K338" s="127"/>
      <c r="L338" s="127"/>
      <c r="M338" s="127"/>
      <c r="N338" s="127"/>
      <c r="O338" s="127"/>
      <c r="P338" s="127"/>
      <c r="W338" s="190"/>
      <c r="Y338" s="165" t="str">
        <f t="shared" si="28"/>
        <v/>
      </c>
      <c r="Z338" s="165" t="str">
        <f t="shared" si="29"/>
        <v/>
      </c>
    </row>
    <row r="339" spans="1:26" s="71" customFormat="1" ht="16" customHeight="1" thickTop="1" x14ac:dyDescent="0.2">
      <c r="C339" s="72"/>
      <c r="D339" s="72"/>
      <c r="E339" s="72"/>
      <c r="I339" s="115"/>
      <c r="J339" s="115"/>
      <c r="K339" s="115"/>
      <c r="L339" s="115"/>
      <c r="M339" s="115"/>
      <c r="N339" s="115"/>
      <c r="O339" s="115"/>
      <c r="P339" s="115"/>
      <c r="W339" s="190"/>
      <c r="X339" s="169"/>
      <c r="Y339" s="168"/>
    </row>
    <row r="340" spans="1:26" ht="16" customHeight="1" x14ac:dyDescent="0.2">
      <c r="A340" s="69" t="s">
        <v>933</v>
      </c>
      <c r="B340" s="69" t="s">
        <v>934</v>
      </c>
      <c r="C340" s="41" t="s">
        <v>935</v>
      </c>
      <c r="D340" s="240" t="s">
        <v>936</v>
      </c>
      <c r="F340" s="69"/>
      <c r="G340" s="69"/>
      <c r="I340" s="114" t="s">
        <v>36</v>
      </c>
      <c r="J340" s="114"/>
      <c r="K340" s="114"/>
      <c r="L340" s="114"/>
      <c r="M340" s="114" t="s">
        <v>59</v>
      </c>
      <c r="N340" s="114"/>
      <c r="O340" s="114"/>
      <c r="P340" s="114"/>
      <c r="U340" s="42" t="s">
        <v>48</v>
      </c>
      <c r="W340" s="190"/>
      <c r="Y340" s="165"/>
    </row>
    <row r="341" spans="1:26" ht="48" customHeight="1" x14ac:dyDescent="0.2">
      <c r="A341" s="69" t="s">
        <v>53</v>
      </c>
      <c r="B341" s="69" t="s">
        <v>937</v>
      </c>
      <c r="C341" s="41" t="s">
        <v>938</v>
      </c>
      <c r="D341" s="240" t="s">
        <v>939</v>
      </c>
      <c r="E341" s="186"/>
      <c r="F341" s="69"/>
      <c r="G341" s="69"/>
      <c r="H341" s="187"/>
      <c r="I341" s="114" t="s">
        <v>940</v>
      </c>
      <c r="J341" s="114"/>
      <c r="K341" s="114"/>
      <c r="L341" s="114"/>
      <c r="M341" s="114" t="s">
        <v>941</v>
      </c>
      <c r="N341" s="114"/>
      <c r="O341" s="114"/>
      <c r="P341" s="114"/>
      <c r="W341" s="190"/>
      <c r="Y341" s="165"/>
    </row>
    <row r="342" spans="1:26" s="71" customFormat="1" ht="16" customHeight="1" x14ac:dyDescent="0.2">
      <c r="A342" s="71" t="s">
        <v>68</v>
      </c>
      <c r="B342" s="71" t="s">
        <v>942</v>
      </c>
      <c r="C342" s="72" t="s">
        <v>943</v>
      </c>
      <c r="D342" s="72" t="s">
        <v>944</v>
      </c>
      <c r="E342" s="73"/>
      <c r="F342" s="71" t="s">
        <v>945</v>
      </c>
      <c r="G342" s="71" t="s">
        <v>946</v>
      </c>
      <c r="H342" s="77"/>
      <c r="I342" s="115" t="s">
        <v>47</v>
      </c>
      <c r="J342" s="115"/>
      <c r="K342" s="115"/>
      <c r="L342" s="115"/>
      <c r="M342" s="115"/>
      <c r="N342" s="115"/>
      <c r="O342" s="115"/>
      <c r="P342" s="115"/>
      <c r="U342" s="71" t="s">
        <v>48</v>
      </c>
      <c r="W342" s="190"/>
      <c r="X342" s="103"/>
      <c r="Y342" s="165"/>
      <c r="Z342" s="165" t="str">
        <f>IF(AND(W342&lt;&gt;"",U342="yes"),W342*X342,"")</f>
        <v/>
      </c>
    </row>
    <row r="343" spans="1:26" x14ac:dyDescent="0.2">
      <c r="A343" s="69" t="s">
        <v>26</v>
      </c>
      <c r="B343" s="69" t="s">
        <v>947</v>
      </c>
      <c r="C343" s="41"/>
      <c r="D343" s="41"/>
      <c r="F343" s="69"/>
      <c r="G343" s="69"/>
      <c r="I343" s="114" t="s">
        <v>47</v>
      </c>
      <c r="J343" s="114"/>
      <c r="K343" s="114"/>
      <c r="L343" s="114"/>
      <c r="M343" s="114"/>
      <c r="N343" s="114"/>
      <c r="O343" s="114"/>
      <c r="P343" s="114" t="s">
        <v>948</v>
      </c>
      <c r="U343" s="42" t="s">
        <v>48</v>
      </c>
      <c r="W343" s="190"/>
    </row>
    <row r="344" spans="1:26" x14ac:dyDescent="0.2">
      <c r="W344" s="190"/>
    </row>
    <row r="348" spans="1:26" ht="16" customHeight="1" thickBot="1" x14ac:dyDescent="0.25"/>
    <row r="349" spans="1:26" ht="17" customHeight="1" thickBot="1" x14ac:dyDescent="0.25">
      <c r="S349" s="199" t="s">
        <v>949</v>
      </c>
      <c r="T349" s="200"/>
      <c r="U349" s="200"/>
      <c r="V349" s="200"/>
      <c r="W349" s="192"/>
      <c r="X349" s="170"/>
      <c r="Y349" s="171">
        <f>(SUM(Y4:Y336)/60)</f>
        <v>30.773614288749723</v>
      </c>
      <c r="Z349" s="171">
        <f>(SUM(Z4:Z48)+AVERAGE(Z49:Z51)+SUM(Z53:Z336))/60</f>
        <v>15.047538695482137</v>
      </c>
    </row>
  </sheetData>
  <sheetProtection algorithmName="SHA-512" hashValue="wbAhHNs/edwjuC6gCjnfOFLG0q/qDVuN3/YM/Rl1aE3srVrQ9Lm1Bnkiqvw3j1J0A768ujVqChV0KjLK1dQsVg==" saltValue="DOdxD/nMYhsApj8Hul6DUQ==" spinCount="100000" sheet="1" objects="1" scenarios="1"/>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3"/>
  <sheetViews>
    <sheetView zoomScale="110" zoomScaleNormal="110" workbookViewId="0">
      <pane ySplit="1" topLeftCell="A983" activePane="bottomLeft" state="frozen"/>
      <selection pane="bottomLeft" activeCell="B1009" sqref="B1009"/>
    </sheetView>
  </sheetViews>
  <sheetFormatPr baseColWidth="10" defaultColWidth="8.83203125" defaultRowHeight="15" x14ac:dyDescent="0.2"/>
  <cols>
    <col min="1" max="1" width="21.1640625" style="2" bestFit="1" customWidth="1"/>
    <col min="2" max="2" width="30" style="2" customWidth="1"/>
    <col min="3" max="3" width="43.33203125" style="2" customWidth="1"/>
    <col min="4" max="4" width="39.33203125" style="2" customWidth="1"/>
    <col min="5" max="5" width="16.1640625" style="2" customWidth="1"/>
    <col min="6" max="6" width="8.83203125" style="2" customWidth="1"/>
    <col min="7" max="16384" width="8.83203125" style="2"/>
  </cols>
  <sheetData>
    <row r="1" spans="1:5" x14ac:dyDescent="0.2">
      <c r="A1" s="5" t="s">
        <v>950</v>
      </c>
      <c r="B1" s="5" t="s">
        <v>1</v>
      </c>
      <c r="C1" s="5" t="s">
        <v>2</v>
      </c>
      <c r="D1" s="5" t="s">
        <v>3</v>
      </c>
      <c r="E1" s="5" t="s">
        <v>951</v>
      </c>
    </row>
    <row r="2" spans="1:5" s="11" customFormat="1" x14ac:dyDescent="0.2">
      <c r="A2" s="11" t="s">
        <v>952</v>
      </c>
      <c r="B2" s="206">
        <v>1</v>
      </c>
      <c r="C2" s="206" t="s">
        <v>953</v>
      </c>
      <c r="D2" s="13" t="s">
        <v>954</v>
      </c>
      <c r="E2" s="207"/>
    </row>
    <row r="3" spans="1:5" s="11" customFormat="1" x14ac:dyDescent="0.2">
      <c r="A3" s="11" t="s">
        <v>952</v>
      </c>
      <c r="B3" s="206">
        <v>2</v>
      </c>
      <c r="C3" s="206" t="s">
        <v>955</v>
      </c>
      <c r="D3" s="13" t="s">
        <v>956</v>
      </c>
      <c r="E3" s="207"/>
    </row>
    <row r="4" spans="1:5" s="11" customFormat="1" x14ac:dyDescent="0.2">
      <c r="A4" s="11" t="s">
        <v>952</v>
      </c>
      <c r="B4" s="206">
        <v>3</v>
      </c>
      <c r="C4" s="206" t="s">
        <v>957</v>
      </c>
      <c r="D4" s="13" t="s">
        <v>958</v>
      </c>
      <c r="E4" s="207"/>
    </row>
    <row r="5" spans="1:5" s="11" customFormat="1" x14ac:dyDescent="0.2">
      <c r="A5" s="11" t="s">
        <v>952</v>
      </c>
      <c r="B5" s="206">
        <v>4</v>
      </c>
      <c r="C5" s="206" t="s">
        <v>959</v>
      </c>
      <c r="D5" s="13" t="s">
        <v>960</v>
      </c>
      <c r="E5" s="207"/>
    </row>
    <row r="6" spans="1:5" x14ac:dyDescent="0.2">
      <c r="A6" s="1"/>
      <c r="B6" s="1"/>
      <c r="C6" s="1"/>
      <c r="D6" s="1"/>
      <c r="E6" s="1"/>
    </row>
    <row r="7" spans="1:5" x14ac:dyDescent="0.2">
      <c r="A7" t="s">
        <v>33</v>
      </c>
      <c r="B7" s="2">
        <v>1</v>
      </c>
      <c r="C7" s="4" t="s">
        <v>961</v>
      </c>
      <c r="D7" s="4" t="s">
        <v>962</v>
      </c>
      <c r="E7" s="208"/>
    </row>
    <row r="8" spans="1:5" x14ac:dyDescent="0.2">
      <c r="A8" t="s">
        <v>33</v>
      </c>
      <c r="B8" s="2">
        <v>2</v>
      </c>
      <c r="C8" s="4" t="s">
        <v>963</v>
      </c>
      <c r="D8" s="4" t="s">
        <v>964</v>
      </c>
      <c r="E8" s="208"/>
    </row>
    <row r="9" spans="1:5" x14ac:dyDescent="0.2">
      <c r="A9" t="s">
        <v>33</v>
      </c>
      <c r="B9" s="2">
        <v>3</v>
      </c>
      <c r="C9" s="4" t="s">
        <v>965</v>
      </c>
      <c r="D9" s="4" t="s">
        <v>966</v>
      </c>
      <c r="E9" s="208"/>
    </row>
    <row r="11" spans="1:5" x14ac:dyDescent="0.2">
      <c r="A11" t="s">
        <v>967</v>
      </c>
      <c r="B11">
        <v>1</v>
      </c>
      <c r="C11" t="s">
        <v>968</v>
      </c>
      <c r="D11" t="s">
        <v>969</v>
      </c>
    </row>
    <row r="12" spans="1:5" x14ac:dyDescent="0.2">
      <c r="A12" t="s">
        <v>967</v>
      </c>
      <c r="B12">
        <v>2</v>
      </c>
      <c r="C12" t="s">
        <v>970</v>
      </c>
      <c r="D12" t="s">
        <v>971</v>
      </c>
    </row>
    <row r="13" spans="1:5" x14ac:dyDescent="0.2">
      <c r="A13" t="s">
        <v>967</v>
      </c>
      <c r="B13" s="15">
        <v>3</v>
      </c>
      <c r="C13" t="s">
        <v>972</v>
      </c>
      <c r="D13" t="s">
        <v>973</v>
      </c>
    </row>
    <row r="14" spans="1:5" x14ac:dyDescent="0.2">
      <c r="A14" t="s">
        <v>967</v>
      </c>
      <c r="B14" s="15">
        <v>4</v>
      </c>
      <c r="C14" t="s">
        <v>974</v>
      </c>
      <c r="D14" t="s">
        <v>975</v>
      </c>
    </row>
    <row r="16" spans="1:5" x14ac:dyDescent="0.2">
      <c r="A16" t="s">
        <v>976</v>
      </c>
      <c r="B16" t="s">
        <v>976</v>
      </c>
      <c r="C16" t="s">
        <v>976</v>
      </c>
      <c r="D16" t="s">
        <v>977</v>
      </c>
    </row>
    <row r="18" spans="1:4" x14ac:dyDescent="0.2">
      <c r="A18" t="s">
        <v>978</v>
      </c>
      <c r="B18">
        <v>1</v>
      </c>
      <c r="C18" t="s">
        <v>968</v>
      </c>
      <c r="D18" t="s">
        <v>969</v>
      </c>
    </row>
    <row r="19" spans="1:4" x14ac:dyDescent="0.2">
      <c r="A19" t="s">
        <v>978</v>
      </c>
      <c r="B19">
        <v>2</v>
      </c>
      <c r="C19" t="s">
        <v>970</v>
      </c>
      <c r="D19" t="s">
        <v>971</v>
      </c>
    </row>
    <row r="21" spans="1:4" s="8" customFormat="1" x14ac:dyDescent="0.2">
      <c r="A21" s="14" t="s">
        <v>979</v>
      </c>
      <c r="B21" s="14" t="s">
        <v>980</v>
      </c>
      <c r="C21" s="14" t="s">
        <v>981</v>
      </c>
      <c r="D21" s="14" t="s">
        <v>981</v>
      </c>
    </row>
    <row r="22" spans="1:4" s="8" customFormat="1" x14ac:dyDescent="0.2">
      <c r="A22" s="12" t="s">
        <v>979</v>
      </c>
      <c r="B22" s="12" t="s">
        <v>982</v>
      </c>
      <c r="C22" s="12" t="s">
        <v>983</v>
      </c>
      <c r="D22" s="14" t="s">
        <v>984</v>
      </c>
    </row>
    <row r="23" spans="1:4" s="8" customFormat="1" x14ac:dyDescent="0.2">
      <c r="A23" s="12" t="s">
        <v>979</v>
      </c>
      <c r="B23" s="4" t="s">
        <v>985</v>
      </c>
      <c r="C23" s="4" t="s">
        <v>985</v>
      </c>
      <c r="D23" s="4" t="s">
        <v>985</v>
      </c>
    </row>
    <row r="25" spans="1:4" x14ac:dyDescent="0.2">
      <c r="A25" t="s">
        <v>986</v>
      </c>
      <c r="B25">
        <v>1</v>
      </c>
      <c r="C25" t="s">
        <v>987</v>
      </c>
      <c r="D25" t="s">
        <v>988</v>
      </c>
    </row>
    <row r="26" spans="1:4" x14ac:dyDescent="0.2">
      <c r="A26" t="s">
        <v>986</v>
      </c>
      <c r="B26">
        <v>2</v>
      </c>
      <c r="C26" t="s">
        <v>989</v>
      </c>
      <c r="D26" t="s">
        <v>990</v>
      </c>
    </row>
    <row r="27" spans="1:4" x14ac:dyDescent="0.2">
      <c r="A27" t="s">
        <v>986</v>
      </c>
      <c r="B27" s="15">
        <v>3</v>
      </c>
      <c r="C27" s="14" t="s">
        <v>972</v>
      </c>
      <c r="D27" s="14" t="s">
        <v>973</v>
      </c>
    </row>
    <row r="28" spans="1:4" x14ac:dyDescent="0.2">
      <c r="A28" t="s">
        <v>986</v>
      </c>
      <c r="B28" s="15">
        <v>4</v>
      </c>
      <c r="C28" s="14" t="s">
        <v>974</v>
      </c>
      <c r="D28" s="14" t="s">
        <v>975</v>
      </c>
    </row>
    <row r="29" spans="1:4" x14ac:dyDescent="0.2">
      <c r="C29" s="12"/>
      <c r="D29" s="12"/>
    </row>
    <row r="30" spans="1:4" x14ac:dyDescent="0.2">
      <c r="A30" t="s">
        <v>991</v>
      </c>
      <c r="B30">
        <v>1</v>
      </c>
      <c r="C30" s="14" t="s">
        <v>992</v>
      </c>
      <c r="D30" s="14" t="s">
        <v>993</v>
      </c>
    </row>
    <row r="31" spans="1:4" x14ac:dyDescent="0.2">
      <c r="A31" t="s">
        <v>991</v>
      </c>
      <c r="B31">
        <v>2</v>
      </c>
      <c r="C31" s="2" t="s">
        <v>994</v>
      </c>
      <c r="D31" s="2" t="s">
        <v>995</v>
      </c>
    </row>
    <row r="32" spans="1:4" x14ac:dyDescent="0.2">
      <c r="A32" t="s">
        <v>991</v>
      </c>
      <c r="B32">
        <v>3</v>
      </c>
      <c r="C32" s="14" t="s">
        <v>996</v>
      </c>
      <c r="D32" s="14" t="s">
        <v>997</v>
      </c>
    </row>
    <row r="33" spans="1:4" x14ac:dyDescent="0.2">
      <c r="A33" t="s">
        <v>991</v>
      </c>
      <c r="B33">
        <v>4</v>
      </c>
      <c r="C33" s="14" t="s">
        <v>998</v>
      </c>
      <c r="D33" s="14" t="s">
        <v>971</v>
      </c>
    </row>
    <row r="34" spans="1:4" x14ac:dyDescent="0.2">
      <c r="C34" s="12"/>
    </row>
    <row r="35" spans="1:4" x14ac:dyDescent="0.2">
      <c r="A35" t="s">
        <v>999</v>
      </c>
      <c r="B35">
        <v>1</v>
      </c>
      <c r="C35" t="s">
        <v>1000</v>
      </c>
      <c r="D35" s="14" t="s">
        <v>1001</v>
      </c>
    </row>
    <row r="36" spans="1:4" x14ac:dyDescent="0.2">
      <c r="A36" t="s">
        <v>999</v>
      </c>
      <c r="B36">
        <v>2</v>
      </c>
      <c r="C36" t="s">
        <v>1002</v>
      </c>
      <c r="D36" t="s">
        <v>1003</v>
      </c>
    </row>
    <row r="37" spans="1:4" x14ac:dyDescent="0.2">
      <c r="A37" t="s">
        <v>999</v>
      </c>
      <c r="B37">
        <v>3</v>
      </c>
      <c r="C37" t="s">
        <v>1004</v>
      </c>
      <c r="D37" t="s">
        <v>1005</v>
      </c>
    </row>
    <row r="38" spans="1:4" x14ac:dyDescent="0.2">
      <c r="A38" t="s">
        <v>999</v>
      </c>
      <c r="B38">
        <v>4</v>
      </c>
      <c r="C38" t="s">
        <v>970</v>
      </c>
      <c r="D38" t="s">
        <v>971</v>
      </c>
    </row>
    <row r="39" spans="1:4" x14ac:dyDescent="0.2">
      <c r="A39" t="s">
        <v>999</v>
      </c>
      <c r="B39" s="15">
        <v>5</v>
      </c>
      <c r="C39" s="14" t="s">
        <v>972</v>
      </c>
      <c r="D39" s="14" t="s">
        <v>973</v>
      </c>
    </row>
    <row r="40" spans="1:4" x14ac:dyDescent="0.2">
      <c r="A40" t="s">
        <v>999</v>
      </c>
      <c r="B40" s="15">
        <v>6</v>
      </c>
      <c r="C40" t="s">
        <v>974</v>
      </c>
      <c r="D40" s="14" t="s">
        <v>975</v>
      </c>
    </row>
    <row r="42" spans="1:4" x14ac:dyDescent="0.2">
      <c r="A42" t="s">
        <v>1006</v>
      </c>
      <c r="B42">
        <v>1</v>
      </c>
      <c r="C42" s="14" t="s">
        <v>1007</v>
      </c>
      <c r="D42" s="14" t="s">
        <v>1008</v>
      </c>
    </row>
    <row r="43" spans="1:4" x14ac:dyDescent="0.2">
      <c r="A43" t="s">
        <v>1006</v>
      </c>
      <c r="B43">
        <v>2</v>
      </c>
      <c r="C43" s="14" t="s">
        <v>1009</v>
      </c>
      <c r="D43" s="14" t="s">
        <v>1010</v>
      </c>
    </row>
    <row r="44" spans="1:4" x14ac:dyDescent="0.2">
      <c r="A44" t="s">
        <v>1006</v>
      </c>
      <c r="B44">
        <v>3</v>
      </c>
      <c r="C44" s="14" t="s">
        <v>1011</v>
      </c>
      <c r="D44" s="14" t="s">
        <v>1012</v>
      </c>
    </row>
    <row r="45" spans="1:4" x14ac:dyDescent="0.2">
      <c r="A45" t="s">
        <v>1006</v>
      </c>
      <c r="B45">
        <v>4</v>
      </c>
      <c r="C45" s="14" t="s">
        <v>1013</v>
      </c>
      <c r="D45" s="14" t="s">
        <v>1014</v>
      </c>
    </row>
    <row r="46" spans="1:4" x14ac:dyDescent="0.2">
      <c r="A46" t="s">
        <v>1006</v>
      </c>
      <c r="B46">
        <v>5</v>
      </c>
      <c r="C46" s="14" t="s">
        <v>1015</v>
      </c>
      <c r="D46" s="14" t="s">
        <v>1016</v>
      </c>
    </row>
    <row r="47" spans="1:4" x14ac:dyDescent="0.2">
      <c r="A47" t="s">
        <v>1006</v>
      </c>
      <c r="B47" s="15">
        <v>6</v>
      </c>
      <c r="C47" t="s">
        <v>972</v>
      </c>
      <c r="D47" s="14" t="s">
        <v>973</v>
      </c>
    </row>
    <row r="48" spans="1:4" x14ac:dyDescent="0.2">
      <c r="A48" t="s">
        <v>1006</v>
      </c>
      <c r="B48" s="15">
        <v>7</v>
      </c>
      <c r="C48" t="s">
        <v>974</v>
      </c>
      <c r="D48" s="14" t="s">
        <v>975</v>
      </c>
    </row>
    <row r="49" spans="1:4" x14ac:dyDescent="0.2">
      <c r="B49" s="7"/>
    </row>
    <row r="50" spans="1:4" x14ac:dyDescent="0.2">
      <c r="A50" t="s">
        <v>1017</v>
      </c>
      <c r="B50" s="15">
        <v>1</v>
      </c>
      <c r="C50" t="s">
        <v>1018</v>
      </c>
      <c r="D50" t="s">
        <v>1019</v>
      </c>
    </row>
    <row r="51" spans="1:4" x14ac:dyDescent="0.2">
      <c r="A51" t="s">
        <v>1017</v>
      </c>
      <c r="B51" s="15">
        <v>2</v>
      </c>
      <c r="C51" t="s">
        <v>1020</v>
      </c>
      <c r="D51" t="s">
        <v>1021</v>
      </c>
    </row>
    <row r="52" spans="1:4" x14ac:dyDescent="0.2">
      <c r="A52" t="s">
        <v>1017</v>
      </c>
      <c r="B52" s="15">
        <v>3</v>
      </c>
      <c r="C52" t="s">
        <v>1022</v>
      </c>
      <c r="D52" t="s">
        <v>1023</v>
      </c>
    </row>
    <row r="53" spans="1:4" x14ac:dyDescent="0.2">
      <c r="A53" t="s">
        <v>1017</v>
      </c>
      <c r="B53" s="15">
        <v>4</v>
      </c>
      <c r="C53" t="s">
        <v>1024</v>
      </c>
      <c r="D53" t="s">
        <v>1025</v>
      </c>
    </row>
    <row r="54" spans="1:4" x14ac:dyDescent="0.2">
      <c r="A54" t="s">
        <v>1017</v>
      </c>
      <c r="B54" s="15">
        <v>5</v>
      </c>
      <c r="C54" t="s">
        <v>1026</v>
      </c>
      <c r="D54" t="s">
        <v>1027</v>
      </c>
    </row>
    <row r="55" spans="1:4" x14ac:dyDescent="0.2">
      <c r="A55" t="s">
        <v>1017</v>
      </c>
      <c r="B55" s="15">
        <v>6</v>
      </c>
      <c r="C55" t="s">
        <v>1028</v>
      </c>
      <c r="D55" t="s">
        <v>1029</v>
      </c>
    </row>
    <row r="56" spans="1:4" x14ac:dyDescent="0.2">
      <c r="A56" t="s">
        <v>1017</v>
      </c>
      <c r="B56" s="15">
        <v>7</v>
      </c>
      <c r="C56" t="s">
        <v>1030</v>
      </c>
      <c r="D56" t="s">
        <v>1031</v>
      </c>
    </row>
    <row r="57" spans="1:4" x14ac:dyDescent="0.2">
      <c r="A57" t="s">
        <v>1017</v>
      </c>
      <c r="B57" s="15">
        <v>8</v>
      </c>
      <c r="C57" t="s">
        <v>1032</v>
      </c>
      <c r="D57" t="s">
        <v>1033</v>
      </c>
    </row>
    <row r="58" spans="1:4" x14ac:dyDescent="0.2">
      <c r="A58" t="s">
        <v>1017</v>
      </c>
      <c r="B58" s="15">
        <v>9</v>
      </c>
      <c r="C58" t="s">
        <v>1034</v>
      </c>
      <c r="D58" t="s">
        <v>1035</v>
      </c>
    </row>
    <row r="59" spans="1:4" x14ac:dyDescent="0.2">
      <c r="A59" t="s">
        <v>1017</v>
      </c>
      <c r="B59" s="15">
        <v>10</v>
      </c>
      <c r="C59" t="s">
        <v>1036</v>
      </c>
      <c r="D59" t="s">
        <v>1035</v>
      </c>
    </row>
    <row r="60" spans="1:4" x14ac:dyDescent="0.2">
      <c r="A60" t="s">
        <v>1017</v>
      </c>
      <c r="B60" s="15">
        <v>11</v>
      </c>
      <c r="C60" t="s">
        <v>972</v>
      </c>
      <c r="D60" s="14" t="s">
        <v>973</v>
      </c>
    </row>
    <row r="61" spans="1:4" x14ac:dyDescent="0.2">
      <c r="A61" t="s">
        <v>1017</v>
      </c>
      <c r="B61" s="15">
        <v>12</v>
      </c>
      <c r="C61" t="s">
        <v>974</v>
      </c>
      <c r="D61" s="14" t="s">
        <v>975</v>
      </c>
    </row>
    <row r="62" spans="1:4" x14ac:dyDescent="0.2">
      <c r="B62" s="7"/>
    </row>
    <row r="63" spans="1:4" x14ac:dyDescent="0.2">
      <c r="A63" t="s">
        <v>1037</v>
      </c>
      <c r="B63" s="15">
        <v>1</v>
      </c>
      <c r="C63" t="s">
        <v>1038</v>
      </c>
      <c r="D63" t="s">
        <v>1039</v>
      </c>
    </row>
    <row r="64" spans="1:4" x14ac:dyDescent="0.2">
      <c r="A64" t="s">
        <v>1037</v>
      </c>
      <c r="B64" s="15">
        <v>2</v>
      </c>
      <c r="C64" t="s">
        <v>1040</v>
      </c>
      <c r="D64" t="s">
        <v>1041</v>
      </c>
    </row>
    <row r="65" spans="1:4" x14ac:dyDescent="0.2">
      <c r="A65" t="s">
        <v>1037</v>
      </c>
      <c r="B65" s="15">
        <v>3</v>
      </c>
      <c r="C65" t="s">
        <v>1042</v>
      </c>
      <c r="D65" t="s">
        <v>1043</v>
      </c>
    </row>
    <row r="66" spans="1:4" x14ac:dyDescent="0.2">
      <c r="A66" t="s">
        <v>1037</v>
      </c>
      <c r="B66" s="15">
        <v>4</v>
      </c>
      <c r="C66" t="s">
        <v>1044</v>
      </c>
      <c r="D66" t="s">
        <v>1045</v>
      </c>
    </row>
    <row r="67" spans="1:4" x14ac:dyDescent="0.2">
      <c r="A67" t="s">
        <v>1037</v>
      </c>
      <c r="B67" s="15">
        <v>5</v>
      </c>
      <c r="C67" t="s">
        <v>1046</v>
      </c>
      <c r="D67" t="s">
        <v>1047</v>
      </c>
    </row>
    <row r="68" spans="1:4" x14ac:dyDescent="0.2">
      <c r="A68" t="s">
        <v>1037</v>
      </c>
      <c r="B68" s="15">
        <v>6</v>
      </c>
      <c r="C68" t="s">
        <v>972</v>
      </c>
      <c r="D68" s="14" t="s">
        <v>973</v>
      </c>
    </row>
    <row r="69" spans="1:4" x14ac:dyDescent="0.2">
      <c r="A69" t="s">
        <v>1037</v>
      </c>
      <c r="B69" s="15">
        <v>7</v>
      </c>
      <c r="C69" t="s">
        <v>974</v>
      </c>
      <c r="D69" s="14" t="s">
        <v>975</v>
      </c>
    </row>
    <row r="70" spans="1:4" x14ac:dyDescent="0.2">
      <c r="B70" s="7"/>
    </row>
    <row r="71" spans="1:4" x14ac:dyDescent="0.2">
      <c r="A71" t="s">
        <v>1048</v>
      </c>
      <c r="B71" s="15">
        <v>1</v>
      </c>
      <c r="C71" t="s">
        <v>1049</v>
      </c>
      <c r="D71" t="s">
        <v>1050</v>
      </c>
    </row>
    <row r="72" spans="1:4" x14ac:dyDescent="0.2">
      <c r="A72" t="s">
        <v>1048</v>
      </c>
      <c r="B72" s="15">
        <v>2</v>
      </c>
      <c r="C72" t="s">
        <v>1051</v>
      </c>
      <c r="D72" t="s">
        <v>1052</v>
      </c>
    </row>
    <row r="73" spans="1:4" x14ac:dyDescent="0.2">
      <c r="A73" t="s">
        <v>1048</v>
      </c>
      <c r="B73" s="15">
        <v>3</v>
      </c>
      <c r="C73" t="s">
        <v>1053</v>
      </c>
      <c r="D73" t="s">
        <v>1054</v>
      </c>
    </row>
    <row r="74" spans="1:4" x14ac:dyDescent="0.2">
      <c r="A74" t="s">
        <v>1048</v>
      </c>
      <c r="B74" s="15">
        <v>4</v>
      </c>
      <c r="C74" t="s">
        <v>1055</v>
      </c>
      <c r="D74" t="s">
        <v>1056</v>
      </c>
    </row>
    <row r="75" spans="1:4" x14ac:dyDescent="0.2">
      <c r="A75" t="s">
        <v>1048</v>
      </c>
      <c r="B75" s="15">
        <v>5</v>
      </c>
      <c r="C75" t="s">
        <v>1057</v>
      </c>
      <c r="D75" t="s">
        <v>1058</v>
      </c>
    </row>
    <row r="76" spans="1:4" x14ac:dyDescent="0.2">
      <c r="A76" t="s">
        <v>1048</v>
      </c>
      <c r="B76" s="15">
        <v>6</v>
      </c>
      <c r="C76" t="s">
        <v>1059</v>
      </c>
      <c r="D76" t="s">
        <v>1060</v>
      </c>
    </row>
    <row r="77" spans="1:4" x14ac:dyDescent="0.2">
      <c r="A77" t="s">
        <v>1048</v>
      </c>
      <c r="B77" s="15">
        <v>7</v>
      </c>
      <c r="C77" t="s">
        <v>972</v>
      </c>
      <c r="D77" s="14" t="s">
        <v>973</v>
      </c>
    </row>
    <row r="78" spans="1:4" x14ac:dyDescent="0.2">
      <c r="A78" t="s">
        <v>1048</v>
      </c>
      <c r="B78" s="15">
        <v>8</v>
      </c>
      <c r="C78" t="s">
        <v>974</v>
      </c>
      <c r="D78" s="14" t="s">
        <v>975</v>
      </c>
    </row>
    <row r="80" spans="1:4" ht="21" customHeight="1" x14ac:dyDescent="0.2">
      <c r="A80" s="310" t="s">
        <v>1061</v>
      </c>
      <c r="B80" s="310">
        <v>1</v>
      </c>
      <c r="C80" s="311" t="s">
        <v>1062</v>
      </c>
      <c r="D80" s="310" t="s">
        <v>1063</v>
      </c>
    </row>
    <row r="81" spans="1:4" x14ac:dyDescent="0.2">
      <c r="A81" s="310" t="s">
        <v>1061</v>
      </c>
      <c r="B81" s="310">
        <v>2</v>
      </c>
      <c r="C81" s="311" t="s">
        <v>1064</v>
      </c>
      <c r="D81" s="310" t="s">
        <v>1065</v>
      </c>
    </row>
    <row r="82" spans="1:4" x14ac:dyDescent="0.2">
      <c r="A82" s="310" t="s">
        <v>1061</v>
      </c>
      <c r="B82" s="310">
        <v>3</v>
      </c>
      <c r="C82" s="311" t="s">
        <v>1066</v>
      </c>
      <c r="D82" s="310" t="s">
        <v>1067</v>
      </c>
    </row>
    <row r="83" spans="1:4" x14ac:dyDescent="0.2">
      <c r="A83" s="310" t="s">
        <v>1061</v>
      </c>
      <c r="B83" s="310">
        <v>4</v>
      </c>
      <c r="C83" s="311" t="s">
        <v>1068</v>
      </c>
      <c r="D83" s="310" t="s">
        <v>1069</v>
      </c>
    </row>
    <row r="84" spans="1:4" x14ac:dyDescent="0.2">
      <c r="A84" s="310" t="s">
        <v>1061</v>
      </c>
      <c r="B84" s="310">
        <v>5</v>
      </c>
      <c r="C84" s="311" t="s">
        <v>1070</v>
      </c>
      <c r="D84" s="310" t="s">
        <v>1071</v>
      </c>
    </row>
    <row r="85" spans="1:4" x14ac:dyDescent="0.2">
      <c r="A85" s="310" t="s">
        <v>1061</v>
      </c>
      <c r="B85" s="310">
        <v>6</v>
      </c>
      <c r="C85" s="311" t="s">
        <v>1072</v>
      </c>
      <c r="D85" s="310" t="s">
        <v>1073</v>
      </c>
    </row>
    <row r="86" spans="1:4" x14ac:dyDescent="0.2">
      <c r="A86" s="310" t="s">
        <v>1061</v>
      </c>
      <c r="B86" s="310">
        <v>7</v>
      </c>
      <c r="C86" s="310" t="s">
        <v>972</v>
      </c>
      <c r="D86" s="310" t="s">
        <v>973</v>
      </c>
    </row>
    <row r="87" spans="1:4" x14ac:dyDescent="0.2">
      <c r="A87" s="310" t="s">
        <v>1061</v>
      </c>
      <c r="B87" s="310">
        <v>8</v>
      </c>
      <c r="C87" s="310" t="s">
        <v>974</v>
      </c>
      <c r="D87" s="310" t="s">
        <v>975</v>
      </c>
    </row>
    <row r="88" spans="1:4" x14ac:dyDescent="0.2">
      <c r="A88" s="11"/>
      <c r="B88" s="11"/>
      <c r="C88" s="11"/>
      <c r="D88" s="11"/>
    </row>
    <row r="89" spans="1:4" x14ac:dyDescent="0.2">
      <c r="A89" s="10" t="s">
        <v>1074</v>
      </c>
      <c r="B89" s="11" t="s">
        <v>1075</v>
      </c>
      <c r="C89" s="11" t="s">
        <v>1076</v>
      </c>
      <c r="D89" s="11" t="s">
        <v>1077</v>
      </c>
    </row>
    <row r="90" spans="1:4" x14ac:dyDescent="0.2">
      <c r="A90" s="10" t="s">
        <v>1074</v>
      </c>
      <c r="B90" s="10" t="s">
        <v>1078</v>
      </c>
      <c r="C90" s="10" t="s">
        <v>1079</v>
      </c>
      <c r="D90" s="10" t="s">
        <v>1080</v>
      </c>
    </row>
    <row r="91" spans="1:4" x14ac:dyDescent="0.2">
      <c r="A91" s="10" t="s">
        <v>1074</v>
      </c>
      <c r="B91" s="10" t="s">
        <v>1081</v>
      </c>
      <c r="C91" s="10" t="s">
        <v>1082</v>
      </c>
      <c r="D91" s="10" t="s">
        <v>1083</v>
      </c>
    </row>
    <row r="92" spans="1:4" x14ac:dyDescent="0.2">
      <c r="A92" s="10" t="s">
        <v>1074</v>
      </c>
      <c r="B92" s="10" t="s">
        <v>1084</v>
      </c>
      <c r="C92" s="10" t="s">
        <v>1085</v>
      </c>
      <c r="D92" s="10" t="s">
        <v>1085</v>
      </c>
    </row>
    <row r="93" spans="1:4" x14ac:dyDescent="0.2">
      <c r="A93" s="10" t="s">
        <v>1074</v>
      </c>
      <c r="B93" s="10" t="s">
        <v>1086</v>
      </c>
      <c r="C93" s="10" t="s">
        <v>1087</v>
      </c>
      <c r="D93" s="10" t="s">
        <v>1088</v>
      </c>
    </row>
    <row r="94" spans="1:4" x14ac:dyDescent="0.2">
      <c r="A94" s="10" t="s">
        <v>1074</v>
      </c>
      <c r="B94" s="10" t="s">
        <v>1089</v>
      </c>
      <c r="C94" s="10" t="s">
        <v>1090</v>
      </c>
      <c r="D94" s="10" t="s">
        <v>1091</v>
      </c>
    </row>
    <row r="95" spans="1:4" x14ac:dyDescent="0.2">
      <c r="A95" s="10" t="s">
        <v>1074</v>
      </c>
      <c r="B95" s="10" t="s">
        <v>1092</v>
      </c>
      <c r="C95" s="10" t="s">
        <v>1093</v>
      </c>
      <c r="D95" s="10" t="s">
        <v>1094</v>
      </c>
    </row>
    <row r="96" spans="1:4" x14ac:dyDescent="0.2">
      <c r="A96" s="10" t="s">
        <v>1074</v>
      </c>
      <c r="B96" s="10" t="s">
        <v>1095</v>
      </c>
      <c r="C96" s="10" t="s">
        <v>972</v>
      </c>
      <c r="D96" s="10" t="s">
        <v>973</v>
      </c>
    </row>
    <row r="97" spans="1:4" x14ac:dyDescent="0.2">
      <c r="A97" s="10" t="s">
        <v>1074</v>
      </c>
      <c r="B97" s="10" t="s">
        <v>1096</v>
      </c>
      <c r="C97" s="10" t="s">
        <v>974</v>
      </c>
      <c r="D97" s="10" t="s">
        <v>975</v>
      </c>
    </row>
    <row r="98" spans="1:4" x14ac:dyDescent="0.2">
      <c r="A98" s="11"/>
      <c r="B98" s="11"/>
      <c r="C98" s="11"/>
      <c r="D98" s="11"/>
    </row>
    <row r="99" spans="1:4" x14ac:dyDescent="0.2">
      <c r="A99" s="10" t="s">
        <v>1097</v>
      </c>
      <c r="B99" s="10" t="s">
        <v>1098</v>
      </c>
      <c r="C99" s="10" t="s">
        <v>1099</v>
      </c>
      <c r="D99" s="10" t="s">
        <v>1100</v>
      </c>
    </row>
    <row r="100" spans="1:4" x14ac:dyDescent="0.2">
      <c r="A100" s="10" t="s">
        <v>1097</v>
      </c>
      <c r="B100" s="10" t="s">
        <v>1101</v>
      </c>
      <c r="C100" s="10" t="s">
        <v>1102</v>
      </c>
      <c r="D100" s="10" t="s">
        <v>1103</v>
      </c>
    </row>
    <row r="101" spans="1:4" x14ac:dyDescent="0.2">
      <c r="A101" s="10" t="s">
        <v>1097</v>
      </c>
      <c r="B101" s="10" t="s">
        <v>1104</v>
      </c>
      <c r="C101" s="10" t="s">
        <v>1105</v>
      </c>
      <c r="D101" s="10" t="s">
        <v>1106</v>
      </c>
    </row>
    <row r="102" spans="1:4" x14ac:dyDescent="0.2">
      <c r="A102" s="10" t="s">
        <v>1097</v>
      </c>
      <c r="B102" s="10" t="s">
        <v>1107</v>
      </c>
      <c r="C102" s="10" t="s">
        <v>1108</v>
      </c>
      <c r="D102" s="10" t="s">
        <v>1109</v>
      </c>
    </row>
    <row r="103" spans="1:4" x14ac:dyDescent="0.2">
      <c r="A103" s="10" t="s">
        <v>1097</v>
      </c>
      <c r="B103" s="10" t="s">
        <v>1110</v>
      </c>
      <c r="C103" s="10" t="s">
        <v>1111</v>
      </c>
      <c r="D103" s="10" t="s">
        <v>1112</v>
      </c>
    </row>
    <row r="104" spans="1:4" x14ac:dyDescent="0.2">
      <c r="A104" s="10" t="s">
        <v>1097</v>
      </c>
      <c r="B104" s="10" t="s">
        <v>1113</v>
      </c>
      <c r="C104" s="10" t="s">
        <v>1114</v>
      </c>
      <c r="D104" s="10" t="s">
        <v>1115</v>
      </c>
    </row>
    <row r="105" spans="1:4" x14ac:dyDescent="0.2">
      <c r="A105" s="10" t="s">
        <v>1097</v>
      </c>
      <c r="B105" s="10" t="s">
        <v>1089</v>
      </c>
      <c r="C105" s="10" t="s">
        <v>1116</v>
      </c>
      <c r="D105" s="10" t="s">
        <v>1117</v>
      </c>
    </row>
    <row r="106" spans="1:4" x14ac:dyDescent="0.2">
      <c r="A106" s="10" t="s">
        <v>1097</v>
      </c>
      <c r="B106" s="10" t="s">
        <v>1092</v>
      </c>
      <c r="C106" s="10" t="s">
        <v>1118</v>
      </c>
      <c r="D106" s="10" t="s">
        <v>1119</v>
      </c>
    </row>
    <row r="107" spans="1:4" x14ac:dyDescent="0.2">
      <c r="A107" s="10" t="s">
        <v>1097</v>
      </c>
      <c r="B107" s="10" t="s">
        <v>1095</v>
      </c>
      <c r="C107" s="10" t="s">
        <v>972</v>
      </c>
      <c r="D107" s="10" t="s">
        <v>973</v>
      </c>
    </row>
    <row r="108" spans="1:4" x14ac:dyDescent="0.2">
      <c r="A108" s="10" t="s">
        <v>1097</v>
      </c>
      <c r="B108" s="10" t="s">
        <v>1096</v>
      </c>
      <c r="C108" s="10" t="s">
        <v>974</v>
      </c>
      <c r="D108" s="10" t="s">
        <v>975</v>
      </c>
    </row>
    <row r="109" spans="1:4" x14ac:dyDescent="0.2">
      <c r="A109" s="11"/>
      <c r="B109" s="11"/>
      <c r="C109" s="11"/>
      <c r="D109" s="11" t="s">
        <v>1120</v>
      </c>
    </row>
    <row r="110" spans="1:4" x14ac:dyDescent="0.2">
      <c r="A110" s="10" t="s">
        <v>1121</v>
      </c>
      <c r="B110" s="10">
        <v>1</v>
      </c>
      <c r="C110" s="10" t="s">
        <v>1122</v>
      </c>
      <c r="D110" s="10" t="s">
        <v>1123</v>
      </c>
    </row>
    <row r="111" spans="1:4" x14ac:dyDescent="0.2">
      <c r="A111" s="10" t="s">
        <v>1121</v>
      </c>
      <c r="B111" s="10">
        <v>2</v>
      </c>
      <c r="C111" s="10" t="s">
        <v>1124</v>
      </c>
      <c r="D111" s="10" t="s">
        <v>1125</v>
      </c>
    </row>
    <row r="112" spans="1:4" x14ac:dyDescent="0.2">
      <c r="A112" s="10" t="s">
        <v>1121</v>
      </c>
      <c r="B112" s="10">
        <v>3</v>
      </c>
      <c r="C112" s="10" t="s">
        <v>1126</v>
      </c>
      <c r="D112" s="10" t="s">
        <v>1127</v>
      </c>
    </row>
    <row r="113" spans="1:4" x14ac:dyDescent="0.2">
      <c r="A113" s="10" t="s">
        <v>1121</v>
      </c>
      <c r="B113" s="10">
        <v>4</v>
      </c>
      <c r="C113" s="10" t="s">
        <v>1128</v>
      </c>
      <c r="D113" s="10" t="s">
        <v>1129</v>
      </c>
    </row>
    <row r="114" spans="1:4" x14ac:dyDescent="0.2">
      <c r="A114" s="10" t="s">
        <v>1121</v>
      </c>
      <c r="B114" s="10">
        <v>5</v>
      </c>
      <c r="C114" s="10" t="s">
        <v>1130</v>
      </c>
      <c r="D114" s="10" t="s">
        <v>1131</v>
      </c>
    </row>
    <row r="115" spans="1:4" x14ac:dyDescent="0.2">
      <c r="A115" s="10" t="s">
        <v>1121</v>
      </c>
      <c r="B115" s="10">
        <v>6</v>
      </c>
      <c r="C115" s="10" t="s">
        <v>1132</v>
      </c>
      <c r="D115" s="10" t="s">
        <v>973</v>
      </c>
    </row>
    <row r="116" spans="1:4" x14ac:dyDescent="0.2">
      <c r="A116" s="10" t="s">
        <v>1121</v>
      </c>
      <c r="B116" s="10">
        <v>7</v>
      </c>
      <c r="C116" s="10" t="s">
        <v>1133</v>
      </c>
      <c r="D116" s="10" t="s">
        <v>975</v>
      </c>
    </row>
    <row r="117" spans="1:4" x14ac:dyDescent="0.2">
      <c r="A117" s="11"/>
      <c r="B117" s="11"/>
      <c r="C117" s="11"/>
      <c r="D117" s="11"/>
    </row>
    <row r="118" spans="1:4" x14ac:dyDescent="0.2">
      <c r="A118" s="10" t="s">
        <v>1134</v>
      </c>
      <c r="B118" s="10">
        <v>1</v>
      </c>
      <c r="C118" s="10" t="s">
        <v>1135</v>
      </c>
      <c r="D118" s="10" t="s">
        <v>1136</v>
      </c>
    </row>
    <row r="119" spans="1:4" x14ac:dyDescent="0.2">
      <c r="A119" s="10" t="s">
        <v>1134</v>
      </c>
      <c r="B119" s="10">
        <v>2</v>
      </c>
      <c r="C119" s="10" t="s">
        <v>1137</v>
      </c>
      <c r="D119" s="10" t="s">
        <v>1138</v>
      </c>
    </row>
    <row r="120" spans="1:4" x14ac:dyDescent="0.2">
      <c r="A120" s="10" t="s">
        <v>1134</v>
      </c>
      <c r="B120" s="10">
        <v>3</v>
      </c>
      <c r="C120" s="10" t="s">
        <v>1139</v>
      </c>
      <c r="D120" s="10" t="s">
        <v>1140</v>
      </c>
    </row>
    <row r="121" spans="1:4" x14ac:dyDescent="0.2">
      <c r="A121" s="10" t="s">
        <v>1134</v>
      </c>
      <c r="B121" s="10">
        <v>4</v>
      </c>
      <c r="C121" s="10" t="s">
        <v>1141</v>
      </c>
      <c r="D121" s="10" t="s">
        <v>1142</v>
      </c>
    </row>
    <row r="122" spans="1:4" x14ac:dyDescent="0.2">
      <c r="A122" s="10" t="s">
        <v>1134</v>
      </c>
      <c r="B122" s="10">
        <v>5</v>
      </c>
      <c r="C122" s="10" t="s">
        <v>972</v>
      </c>
      <c r="D122" s="10" t="s">
        <v>973</v>
      </c>
    </row>
    <row r="123" spans="1:4" x14ac:dyDescent="0.2">
      <c r="A123" s="10" t="s">
        <v>1134</v>
      </c>
      <c r="B123" s="10">
        <v>6</v>
      </c>
      <c r="C123" s="10" t="s">
        <v>974</v>
      </c>
      <c r="D123" s="10" t="s">
        <v>975</v>
      </c>
    </row>
    <row r="124" spans="1:4" x14ac:dyDescent="0.2">
      <c r="A124" s="11"/>
      <c r="B124" s="11"/>
      <c r="C124" s="11"/>
      <c r="D124" s="2" t="s">
        <v>975</v>
      </c>
    </row>
    <row r="125" spans="1:4" x14ac:dyDescent="0.2">
      <c r="A125" t="s">
        <v>1143</v>
      </c>
      <c r="B125">
        <v>1</v>
      </c>
      <c r="C125" t="s">
        <v>1144</v>
      </c>
      <c r="D125" t="s">
        <v>1145</v>
      </c>
    </row>
    <row r="126" spans="1:4" x14ac:dyDescent="0.2">
      <c r="A126" t="s">
        <v>1143</v>
      </c>
      <c r="B126">
        <v>2</v>
      </c>
      <c r="C126" t="s">
        <v>1146</v>
      </c>
      <c r="D126" t="s">
        <v>1147</v>
      </c>
    </row>
    <row r="127" spans="1:4" x14ac:dyDescent="0.2">
      <c r="A127" t="s">
        <v>1143</v>
      </c>
      <c r="B127">
        <v>3</v>
      </c>
      <c r="C127" t="s">
        <v>1148</v>
      </c>
      <c r="D127" t="s">
        <v>1149</v>
      </c>
    </row>
    <row r="128" spans="1:4" x14ac:dyDescent="0.2">
      <c r="A128" t="s">
        <v>1143</v>
      </c>
      <c r="B128">
        <v>4</v>
      </c>
      <c r="C128" t="s">
        <v>1150</v>
      </c>
      <c r="D128" t="s">
        <v>1151</v>
      </c>
    </row>
    <row r="129" spans="1:4" x14ac:dyDescent="0.2">
      <c r="A129" t="s">
        <v>1143</v>
      </c>
      <c r="B129">
        <v>5</v>
      </c>
      <c r="C129" t="s">
        <v>1152</v>
      </c>
      <c r="D129" t="s">
        <v>1153</v>
      </c>
    </row>
    <row r="130" spans="1:4" x14ac:dyDescent="0.2">
      <c r="A130" t="s">
        <v>1143</v>
      </c>
      <c r="B130">
        <v>6</v>
      </c>
      <c r="C130" t="s">
        <v>1154</v>
      </c>
      <c r="D130" t="s">
        <v>1155</v>
      </c>
    </row>
    <row r="131" spans="1:4" x14ac:dyDescent="0.2">
      <c r="A131" t="s">
        <v>1143</v>
      </c>
      <c r="B131">
        <v>7</v>
      </c>
      <c r="C131" t="s">
        <v>1156</v>
      </c>
      <c r="D131" t="s">
        <v>1157</v>
      </c>
    </row>
    <row r="132" spans="1:4" x14ac:dyDescent="0.2">
      <c r="A132" t="s">
        <v>1143</v>
      </c>
      <c r="B132">
        <v>8</v>
      </c>
      <c r="C132" t="s">
        <v>1158</v>
      </c>
      <c r="D132" t="s">
        <v>1159</v>
      </c>
    </row>
    <row r="133" spans="1:4" x14ac:dyDescent="0.2">
      <c r="A133" t="s">
        <v>1143</v>
      </c>
      <c r="B133">
        <v>9</v>
      </c>
      <c r="C133" t="s">
        <v>1160</v>
      </c>
      <c r="D133" t="s">
        <v>1161</v>
      </c>
    </row>
    <row r="134" spans="1:4" x14ac:dyDescent="0.2">
      <c r="A134" t="s">
        <v>1143</v>
      </c>
      <c r="B134">
        <v>10</v>
      </c>
      <c r="C134" t="s">
        <v>1162</v>
      </c>
      <c r="D134" t="s">
        <v>1163</v>
      </c>
    </row>
    <row r="135" spans="1:4" x14ac:dyDescent="0.2">
      <c r="A135" t="s">
        <v>1143</v>
      </c>
      <c r="B135">
        <v>11</v>
      </c>
      <c r="C135" t="s">
        <v>1164</v>
      </c>
      <c r="D135" t="s">
        <v>1165</v>
      </c>
    </row>
    <row r="136" spans="1:4" x14ac:dyDescent="0.2">
      <c r="A136" t="s">
        <v>1143</v>
      </c>
      <c r="B136">
        <v>12</v>
      </c>
      <c r="C136" t="s">
        <v>1166</v>
      </c>
      <c r="D136" t="s">
        <v>1167</v>
      </c>
    </row>
    <row r="137" spans="1:4" x14ac:dyDescent="0.2">
      <c r="A137" t="s">
        <v>1143</v>
      </c>
      <c r="B137">
        <v>13</v>
      </c>
      <c r="C137" t="s">
        <v>1168</v>
      </c>
      <c r="D137" t="s">
        <v>1169</v>
      </c>
    </row>
    <row r="138" spans="1:4" x14ac:dyDescent="0.2">
      <c r="A138" t="s">
        <v>1143</v>
      </c>
      <c r="B138">
        <v>14</v>
      </c>
      <c r="C138" t="s">
        <v>1170</v>
      </c>
      <c r="D138" t="s">
        <v>1171</v>
      </c>
    </row>
    <row r="139" spans="1:4" x14ac:dyDescent="0.2">
      <c r="A139" t="s">
        <v>1143</v>
      </c>
      <c r="B139">
        <v>15</v>
      </c>
      <c r="C139" t="s">
        <v>1172</v>
      </c>
      <c r="D139" t="s">
        <v>1173</v>
      </c>
    </row>
    <row r="140" spans="1:4" x14ac:dyDescent="0.2">
      <c r="A140" t="s">
        <v>1143</v>
      </c>
      <c r="B140">
        <v>16</v>
      </c>
      <c r="C140" t="s">
        <v>1174</v>
      </c>
      <c r="D140" t="s">
        <v>1175</v>
      </c>
    </row>
    <row r="141" spans="1:4" x14ac:dyDescent="0.2">
      <c r="A141" t="s">
        <v>1143</v>
      </c>
      <c r="B141">
        <v>17</v>
      </c>
      <c r="C141" t="s">
        <v>1176</v>
      </c>
      <c r="D141" t="s">
        <v>1177</v>
      </c>
    </row>
    <row r="142" spans="1:4" x14ac:dyDescent="0.2">
      <c r="A142" t="s">
        <v>1143</v>
      </c>
      <c r="B142">
        <v>18</v>
      </c>
      <c r="C142" t="s">
        <v>1178</v>
      </c>
      <c r="D142" t="s">
        <v>1179</v>
      </c>
    </row>
    <row r="143" spans="1:4" x14ac:dyDescent="0.2">
      <c r="A143" t="s">
        <v>1143</v>
      </c>
      <c r="B143">
        <v>19</v>
      </c>
      <c r="C143" t="s">
        <v>1180</v>
      </c>
      <c r="D143" t="s">
        <v>1181</v>
      </c>
    </row>
    <row r="144" spans="1:4" x14ac:dyDescent="0.2">
      <c r="A144" t="s">
        <v>1143</v>
      </c>
      <c r="B144">
        <v>20</v>
      </c>
      <c r="C144" t="s">
        <v>974</v>
      </c>
      <c r="D144" t="s">
        <v>975</v>
      </c>
    </row>
    <row r="146" spans="1:4" x14ac:dyDescent="0.2">
      <c r="A146" t="s">
        <v>1182</v>
      </c>
      <c r="B146">
        <v>1</v>
      </c>
      <c r="C146" t="s">
        <v>987</v>
      </c>
      <c r="D146" t="s">
        <v>988</v>
      </c>
    </row>
    <row r="147" spans="1:4" x14ac:dyDescent="0.2">
      <c r="A147" t="s">
        <v>1182</v>
      </c>
      <c r="B147">
        <v>2</v>
      </c>
      <c r="C147" t="s">
        <v>989</v>
      </c>
      <c r="D147" t="s">
        <v>990</v>
      </c>
    </row>
    <row r="148" spans="1:4" x14ac:dyDescent="0.2">
      <c r="A148" t="s">
        <v>1182</v>
      </c>
      <c r="B148">
        <v>3</v>
      </c>
      <c r="C148" t="s">
        <v>1183</v>
      </c>
      <c r="D148" t="s">
        <v>1184</v>
      </c>
    </row>
    <row r="149" spans="1:4" x14ac:dyDescent="0.2">
      <c r="A149" t="s">
        <v>1182</v>
      </c>
      <c r="B149">
        <v>4</v>
      </c>
      <c r="C149" t="s">
        <v>972</v>
      </c>
      <c r="D149" t="s">
        <v>973</v>
      </c>
    </row>
    <row r="150" spans="1:4" x14ac:dyDescent="0.2">
      <c r="A150" t="s">
        <v>1182</v>
      </c>
      <c r="B150">
        <v>5</v>
      </c>
      <c r="C150" t="s">
        <v>974</v>
      </c>
      <c r="D150" t="s">
        <v>975</v>
      </c>
    </row>
    <row r="152" spans="1:4" x14ac:dyDescent="0.2">
      <c r="A152" t="s">
        <v>1185</v>
      </c>
      <c r="B152">
        <v>1</v>
      </c>
      <c r="C152" t="s">
        <v>1186</v>
      </c>
      <c r="D152" s="2" t="s">
        <v>1187</v>
      </c>
    </row>
    <row r="153" spans="1:4" x14ac:dyDescent="0.2">
      <c r="A153" t="s">
        <v>1185</v>
      </c>
      <c r="B153">
        <v>2</v>
      </c>
      <c r="C153" t="s">
        <v>1188</v>
      </c>
      <c r="D153" s="2" t="s">
        <v>1189</v>
      </c>
    </row>
    <row r="154" spans="1:4" x14ac:dyDescent="0.2">
      <c r="A154" t="s">
        <v>1185</v>
      </c>
      <c r="B154">
        <v>3</v>
      </c>
      <c r="C154" t="s">
        <v>1190</v>
      </c>
      <c r="D154" s="2" t="s">
        <v>1191</v>
      </c>
    </row>
    <row r="155" spans="1:4" x14ac:dyDescent="0.2">
      <c r="A155" t="s">
        <v>1185</v>
      </c>
      <c r="B155">
        <v>4</v>
      </c>
      <c r="C155" t="s">
        <v>972</v>
      </c>
      <c r="D155" t="s">
        <v>973</v>
      </c>
    </row>
    <row r="156" spans="1:4" x14ac:dyDescent="0.2">
      <c r="A156" t="s">
        <v>1185</v>
      </c>
      <c r="B156">
        <v>5</v>
      </c>
      <c r="C156" t="s">
        <v>974</v>
      </c>
      <c r="D156" t="s">
        <v>975</v>
      </c>
    </row>
    <row r="158" spans="1:4" x14ac:dyDescent="0.2">
      <c r="A158" t="s">
        <v>1192</v>
      </c>
      <c r="B158">
        <v>1</v>
      </c>
      <c r="C158" t="s">
        <v>1193</v>
      </c>
      <c r="D158" t="s">
        <v>1194</v>
      </c>
    </row>
    <row r="159" spans="1:4" x14ac:dyDescent="0.2">
      <c r="A159" t="s">
        <v>1192</v>
      </c>
      <c r="B159">
        <v>2</v>
      </c>
      <c r="C159" t="s">
        <v>1195</v>
      </c>
      <c r="D159" t="s">
        <v>1196</v>
      </c>
    </row>
    <row r="160" spans="1:4" x14ac:dyDescent="0.2">
      <c r="A160" t="s">
        <v>1192</v>
      </c>
      <c r="B160">
        <v>3</v>
      </c>
      <c r="C160" t="s">
        <v>1197</v>
      </c>
      <c r="D160" t="s">
        <v>1198</v>
      </c>
    </row>
    <row r="161" spans="1:4" x14ac:dyDescent="0.2">
      <c r="A161" t="s">
        <v>1192</v>
      </c>
      <c r="B161">
        <v>4</v>
      </c>
      <c r="C161" t="s">
        <v>1199</v>
      </c>
      <c r="D161" t="s">
        <v>1200</v>
      </c>
    </row>
    <row r="162" spans="1:4" x14ac:dyDescent="0.2">
      <c r="A162" t="s">
        <v>1192</v>
      </c>
      <c r="B162">
        <v>5</v>
      </c>
      <c r="C162" t="s">
        <v>1201</v>
      </c>
      <c r="D162" t="s">
        <v>1202</v>
      </c>
    </row>
    <row r="163" spans="1:4" x14ac:dyDescent="0.2">
      <c r="A163" t="s">
        <v>1192</v>
      </c>
      <c r="B163" s="15">
        <v>6</v>
      </c>
      <c r="C163" t="s">
        <v>972</v>
      </c>
      <c r="D163" t="s">
        <v>973</v>
      </c>
    </row>
    <row r="164" spans="1:4" x14ac:dyDescent="0.2">
      <c r="A164" t="s">
        <v>1192</v>
      </c>
      <c r="B164" s="15">
        <v>7</v>
      </c>
      <c r="C164" t="s">
        <v>974</v>
      </c>
      <c r="D164" t="s">
        <v>975</v>
      </c>
    </row>
    <row r="166" spans="1:4" s="12" customFormat="1" x14ac:dyDescent="0.2">
      <c r="A166" s="14" t="s">
        <v>1203</v>
      </c>
      <c r="B166">
        <v>1</v>
      </c>
      <c r="C166" t="s">
        <v>1144</v>
      </c>
      <c r="D166" t="s">
        <v>1145</v>
      </c>
    </row>
    <row r="167" spans="1:4" s="12" customFormat="1" x14ac:dyDescent="0.2">
      <c r="A167" s="14" t="s">
        <v>1203</v>
      </c>
      <c r="B167">
        <v>2</v>
      </c>
      <c r="C167" t="s">
        <v>1146</v>
      </c>
      <c r="D167" t="s">
        <v>1204</v>
      </c>
    </row>
    <row r="168" spans="1:4" s="12" customFormat="1" x14ac:dyDescent="0.2">
      <c r="A168" s="14" t="s">
        <v>1203</v>
      </c>
      <c r="B168">
        <v>3</v>
      </c>
      <c r="C168" t="s">
        <v>1148</v>
      </c>
      <c r="D168" t="s">
        <v>1149</v>
      </c>
    </row>
    <row r="169" spans="1:4" s="12" customFormat="1" x14ac:dyDescent="0.2">
      <c r="A169" s="14" t="s">
        <v>1203</v>
      </c>
      <c r="B169">
        <v>4</v>
      </c>
      <c r="C169" t="s">
        <v>1150</v>
      </c>
      <c r="D169" t="s">
        <v>1205</v>
      </c>
    </row>
    <row r="170" spans="1:4" s="12" customFormat="1" x14ac:dyDescent="0.2">
      <c r="A170" s="14" t="s">
        <v>1203</v>
      </c>
      <c r="B170">
        <v>5</v>
      </c>
      <c r="C170" t="s">
        <v>1152</v>
      </c>
      <c r="D170" t="s">
        <v>1153</v>
      </c>
    </row>
    <row r="171" spans="1:4" s="12" customFormat="1" x14ac:dyDescent="0.2">
      <c r="A171" s="14" t="s">
        <v>1203</v>
      </c>
      <c r="B171">
        <v>6</v>
      </c>
      <c r="C171" t="s">
        <v>1154</v>
      </c>
      <c r="D171" t="s">
        <v>1206</v>
      </c>
    </row>
    <row r="172" spans="1:4" s="12" customFormat="1" x14ac:dyDescent="0.2">
      <c r="A172" s="14" t="s">
        <v>1203</v>
      </c>
      <c r="B172">
        <v>7</v>
      </c>
      <c r="C172" t="s">
        <v>1156</v>
      </c>
      <c r="D172" t="s">
        <v>1207</v>
      </c>
    </row>
    <row r="173" spans="1:4" s="12" customFormat="1" x14ac:dyDescent="0.2">
      <c r="A173" s="14" t="s">
        <v>1203</v>
      </c>
      <c r="B173">
        <v>8</v>
      </c>
      <c r="C173" t="s">
        <v>1158</v>
      </c>
      <c r="D173" t="s">
        <v>1159</v>
      </c>
    </row>
    <row r="174" spans="1:4" s="12" customFormat="1" x14ac:dyDescent="0.2">
      <c r="A174" s="14" t="s">
        <v>1203</v>
      </c>
      <c r="B174">
        <v>9</v>
      </c>
      <c r="C174" t="s">
        <v>1160</v>
      </c>
      <c r="D174" t="s">
        <v>1161</v>
      </c>
    </row>
    <row r="175" spans="1:4" s="12" customFormat="1" x14ac:dyDescent="0.2">
      <c r="A175" s="14" t="s">
        <v>1203</v>
      </c>
      <c r="B175">
        <v>10</v>
      </c>
      <c r="C175" t="s">
        <v>1162</v>
      </c>
      <c r="D175" t="s">
        <v>1208</v>
      </c>
    </row>
    <row r="176" spans="1:4" s="12" customFormat="1" x14ac:dyDescent="0.2">
      <c r="A176" s="14" t="s">
        <v>1203</v>
      </c>
      <c r="B176">
        <v>11</v>
      </c>
      <c r="C176" t="s">
        <v>1164</v>
      </c>
      <c r="D176" t="s">
        <v>1209</v>
      </c>
    </row>
    <row r="177" spans="1:4" s="12" customFormat="1" x14ac:dyDescent="0.2">
      <c r="A177" s="14" t="s">
        <v>1203</v>
      </c>
      <c r="B177">
        <v>12</v>
      </c>
      <c r="C177" t="s">
        <v>1166</v>
      </c>
      <c r="D177" t="s">
        <v>1210</v>
      </c>
    </row>
    <row r="178" spans="1:4" s="12" customFormat="1" x14ac:dyDescent="0.2">
      <c r="A178" s="14" t="s">
        <v>1203</v>
      </c>
      <c r="B178">
        <v>13</v>
      </c>
      <c r="C178" t="s">
        <v>1168</v>
      </c>
      <c r="D178" t="s">
        <v>1169</v>
      </c>
    </row>
    <row r="179" spans="1:4" s="12" customFormat="1" x14ac:dyDescent="0.2">
      <c r="A179" s="14" t="s">
        <v>1203</v>
      </c>
      <c r="B179">
        <v>14</v>
      </c>
      <c r="C179" t="s">
        <v>1170</v>
      </c>
      <c r="D179" t="s">
        <v>1211</v>
      </c>
    </row>
    <row r="180" spans="1:4" s="12" customFormat="1" x14ac:dyDescent="0.2">
      <c r="A180" s="14" t="s">
        <v>1203</v>
      </c>
      <c r="B180" s="14">
        <v>15</v>
      </c>
      <c r="C180" s="14" t="s">
        <v>1172</v>
      </c>
      <c r="D180" t="s">
        <v>1173</v>
      </c>
    </row>
    <row r="181" spans="1:4" s="12" customFormat="1" x14ac:dyDescent="0.2">
      <c r="A181" s="14" t="s">
        <v>1203</v>
      </c>
      <c r="B181" s="14">
        <v>16</v>
      </c>
      <c r="C181" s="14" t="s">
        <v>1174</v>
      </c>
      <c r="D181" t="s">
        <v>1175</v>
      </c>
    </row>
    <row r="182" spans="1:4" s="12" customFormat="1" x14ac:dyDescent="0.2">
      <c r="A182" s="14" t="s">
        <v>1203</v>
      </c>
      <c r="B182" s="14">
        <v>17</v>
      </c>
      <c r="C182" s="14" t="s">
        <v>1176</v>
      </c>
      <c r="D182" t="s">
        <v>1212</v>
      </c>
    </row>
    <row r="183" spans="1:4" s="12" customFormat="1" x14ac:dyDescent="0.2">
      <c r="A183" s="14" t="s">
        <v>1203</v>
      </c>
      <c r="B183" s="14">
        <v>18</v>
      </c>
      <c r="C183" s="14" t="s">
        <v>1213</v>
      </c>
      <c r="D183" t="s">
        <v>1179</v>
      </c>
    </row>
    <row r="184" spans="1:4" s="12" customFormat="1" x14ac:dyDescent="0.2">
      <c r="A184" s="14" t="s">
        <v>1203</v>
      </c>
      <c r="B184" s="14">
        <v>19</v>
      </c>
      <c r="C184" s="14" t="s">
        <v>1214</v>
      </c>
      <c r="D184" s="14" t="s">
        <v>1215</v>
      </c>
    </row>
    <row r="185" spans="1:4" s="12" customFormat="1" x14ac:dyDescent="0.2">
      <c r="A185" s="14" t="s">
        <v>1203</v>
      </c>
      <c r="B185" s="15">
        <v>20</v>
      </c>
      <c r="C185" s="14" t="s">
        <v>972</v>
      </c>
      <c r="D185" t="s">
        <v>973</v>
      </c>
    </row>
    <row r="186" spans="1:4" s="12" customFormat="1" x14ac:dyDescent="0.2">
      <c r="A186" s="14" t="s">
        <v>1203</v>
      </c>
      <c r="B186" s="15">
        <v>21</v>
      </c>
      <c r="C186" s="14" t="s">
        <v>974</v>
      </c>
      <c r="D186" t="s">
        <v>975</v>
      </c>
    </row>
    <row r="187" spans="1:4" s="12" customFormat="1" x14ac:dyDescent="0.2"/>
    <row r="188" spans="1:4" s="12" customFormat="1" x14ac:dyDescent="0.2">
      <c r="A188" s="14" t="s">
        <v>1216</v>
      </c>
      <c r="B188">
        <v>1</v>
      </c>
      <c r="C188" t="s">
        <v>1144</v>
      </c>
      <c r="D188" t="s">
        <v>1145</v>
      </c>
    </row>
    <row r="189" spans="1:4" s="12" customFormat="1" x14ac:dyDescent="0.2">
      <c r="A189" s="14" t="s">
        <v>1216</v>
      </c>
      <c r="B189">
        <v>2</v>
      </c>
      <c r="C189" t="s">
        <v>1146</v>
      </c>
      <c r="D189" t="s">
        <v>1204</v>
      </c>
    </row>
    <row r="190" spans="1:4" s="12" customFormat="1" x14ac:dyDescent="0.2">
      <c r="A190" s="14" t="s">
        <v>1216</v>
      </c>
      <c r="B190">
        <v>3</v>
      </c>
      <c r="C190" t="s">
        <v>1148</v>
      </c>
      <c r="D190" t="s">
        <v>1149</v>
      </c>
    </row>
    <row r="191" spans="1:4" s="12" customFormat="1" x14ac:dyDescent="0.2">
      <c r="A191" s="14" t="s">
        <v>1216</v>
      </c>
      <c r="B191">
        <v>4</v>
      </c>
      <c r="C191" t="s">
        <v>1150</v>
      </c>
      <c r="D191" t="s">
        <v>1205</v>
      </c>
    </row>
    <row r="192" spans="1:4" s="12" customFormat="1" x14ac:dyDescent="0.2">
      <c r="A192" s="14" t="s">
        <v>1216</v>
      </c>
      <c r="B192">
        <v>5</v>
      </c>
      <c r="C192" t="s">
        <v>1152</v>
      </c>
      <c r="D192" t="s">
        <v>1153</v>
      </c>
    </row>
    <row r="193" spans="1:4" s="12" customFormat="1" x14ac:dyDescent="0.2">
      <c r="A193" s="14" t="s">
        <v>1216</v>
      </c>
      <c r="B193">
        <v>6</v>
      </c>
      <c r="C193" t="s">
        <v>1154</v>
      </c>
      <c r="D193" t="s">
        <v>1206</v>
      </c>
    </row>
    <row r="194" spans="1:4" s="12" customFormat="1" x14ac:dyDescent="0.2">
      <c r="A194" s="14" t="s">
        <v>1216</v>
      </c>
      <c r="B194">
        <v>7</v>
      </c>
      <c r="C194" t="s">
        <v>1156</v>
      </c>
      <c r="D194" t="s">
        <v>1207</v>
      </c>
    </row>
    <row r="195" spans="1:4" s="12" customFormat="1" x14ac:dyDescent="0.2">
      <c r="A195" s="14" t="s">
        <v>1216</v>
      </c>
      <c r="B195">
        <v>8</v>
      </c>
      <c r="C195" t="s">
        <v>1158</v>
      </c>
      <c r="D195" t="s">
        <v>1159</v>
      </c>
    </row>
    <row r="196" spans="1:4" s="12" customFormat="1" x14ac:dyDescent="0.2">
      <c r="A196" s="14" t="s">
        <v>1216</v>
      </c>
      <c r="B196">
        <v>9</v>
      </c>
      <c r="C196" t="s">
        <v>1160</v>
      </c>
      <c r="D196" t="s">
        <v>1161</v>
      </c>
    </row>
    <row r="197" spans="1:4" s="12" customFormat="1" x14ac:dyDescent="0.2">
      <c r="A197" s="14" t="s">
        <v>1216</v>
      </c>
      <c r="B197">
        <v>10</v>
      </c>
      <c r="C197" t="s">
        <v>1162</v>
      </c>
      <c r="D197" t="s">
        <v>1208</v>
      </c>
    </row>
    <row r="198" spans="1:4" s="12" customFormat="1" x14ac:dyDescent="0.2">
      <c r="A198" s="14" t="s">
        <v>1216</v>
      </c>
      <c r="B198">
        <v>11</v>
      </c>
      <c r="C198" t="s">
        <v>1164</v>
      </c>
      <c r="D198" t="s">
        <v>1209</v>
      </c>
    </row>
    <row r="199" spans="1:4" s="12" customFormat="1" x14ac:dyDescent="0.2">
      <c r="A199" s="14" t="s">
        <v>1216</v>
      </c>
      <c r="B199">
        <v>12</v>
      </c>
      <c r="C199" t="s">
        <v>1166</v>
      </c>
      <c r="D199" t="s">
        <v>1210</v>
      </c>
    </row>
    <row r="200" spans="1:4" s="12" customFormat="1" x14ac:dyDescent="0.2">
      <c r="A200" s="14" t="s">
        <v>1216</v>
      </c>
      <c r="B200">
        <v>13</v>
      </c>
      <c r="C200" t="s">
        <v>1168</v>
      </c>
      <c r="D200" t="s">
        <v>1169</v>
      </c>
    </row>
    <row r="201" spans="1:4" s="12" customFormat="1" x14ac:dyDescent="0.2">
      <c r="A201" s="14" t="s">
        <v>1216</v>
      </c>
      <c r="B201">
        <v>14</v>
      </c>
      <c r="C201" t="s">
        <v>1170</v>
      </c>
      <c r="D201" t="s">
        <v>1211</v>
      </c>
    </row>
    <row r="202" spans="1:4" s="12" customFormat="1" x14ac:dyDescent="0.2">
      <c r="A202" s="14" t="s">
        <v>1216</v>
      </c>
      <c r="B202" s="14">
        <v>15</v>
      </c>
      <c r="C202" s="14" t="s">
        <v>1172</v>
      </c>
      <c r="D202" t="s">
        <v>1173</v>
      </c>
    </row>
    <row r="203" spans="1:4" s="12" customFormat="1" x14ac:dyDescent="0.2">
      <c r="A203" s="14" t="s">
        <v>1216</v>
      </c>
      <c r="B203" s="14">
        <v>16</v>
      </c>
      <c r="C203" s="14" t="s">
        <v>1174</v>
      </c>
      <c r="D203" t="s">
        <v>1175</v>
      </c>
    </row>
    <row r="204" spans="1:4" s="12" customFormat="1" x14ac:dyDescent="0.2">
      <c r="A204" s="14" t="s">
        <v>1216</v>
      </c>
      <c r="B204" s="14">
        <v>17</v>
      </c>
      <c r="C204" s="14" t="s">
        <v>1176</v>
      </c>
      <c r="D204" t="s">
        <v>1212</v>
      </c>
    </row>
    <row r="205" spans="1:4" s="12" customFormat="1" x14ac:dyDescent="0.2">
      <c r="A205" s="14" t="s">
        <v>1216</v>
      </c>
      <c r="B205" s="14">
        <v>18</v>
      </c>
      <c r="C205" s="14" t="s">
        <v>1217</v>
      </c>
      <c r="D205" t="s">
        <v>1179</v>
      </c>
    </row>
    <row r="206" spans="1:4" s="12" customFormat="1" x14ac:dyDescent="0.2">
      <c r="A206" s="14" t="s">
        <v>1216</v>
      </c>
      <c r="B206" s="14">
        <v>19</v>
      </c>
      <c r="C206" s="14" t="s">
        <v>1218</v>
      </c>
      <c r="D206" s="14" t="s">
        <v>1215</v>
      </c>
    </row>
    <row r="207" spans="1:4" s="12" customFormat="1" x14ac:dyDescent="0.2">
      <c r="A207" s="14" t="s">
        <v>1216</v>
      </c>
      <c r="B207" s="15">
        <v>20</v>
      </c>
      <c r="C207" s="14" t="s">
        <v>972</v>
      </c>
      <c r="D207" t="s">
        <v>973</v>
      </c>
    </row>
    <row r="208" spans="1:4" s="12" customFormat="1" x14ac:dyDescent="0.2">
      <c r="A208" s="14" t="s">
        <v>1216</v>
      </c>
      <c r="B208" s="15">
        <v>21</v>
      </c>
      <c r="C208" s="14" t="s">
        <v>974</v>
      </c>
      <c r="D208" t="s">
        <v>975</v>
      </c>
    </row>
    <row r="209" spans="1:4" s="9" customFormat="1" x14ac:dyDescent="0.2"/>
    <row r="210" spans="1:4" x14ac:dyDescent="0.2">
      <c r="A210" t="s">
        <v>388</v>
      </c>
      <c r="B210" t="s">
        <v>1219</v>
      </c>
      <c r="C210" t="s">
        <v>1220</v>
      </c>
      <c r="D210" t="s">
        <v>1221</v>
      </c>
    </row>
    <row r="211" spans="1:4" x14ac:dyDescent="0.2">
      <c r="A211" t="s">
        <v>388</v>
      </c>
      <c r="B211" t="s">
        <v>1222</v>
      </c>
      <c r="C211" t="s">
        <v>1223</v>
      </c>
      <c r="D211" t="s">
        <v>1224</v>
      </c>
    </row>
    <row r="212" spans="1:4" x14ac:dyDescent="0.2">
      <c r="A212" t="s">
        <v>388</v>
      </c>
      <c r="B212" t="s">
        <v>1225</v>
      </c>
      <c r="C212" t="s">
        <v>1226</v>
      </c>
      <c r="D212" t="s">
        <v>1227</v>
      </c>
    </row>
    <row r="213" spans="1:4" x14ac:dyDescent="0.2">
      <c r="A213" t="s">
        <v>388</v>
      </c>
      <c r="B213" t="s">
        <v>1228</v>
      </c>
      <c r="C213" t="s">
        <v>1229</v>
      </c>
      <c r="D213" t="s">
        <v>1230</v>
      </c>
    </row>
    <row r="214" spans="1:4" x14ac:dyDescent="0.2">
      <c r="A214" t="s">
        <v>388</v>
      </c>
      <c r="B214" t="s">
        <v>1231</v>
      </c>
      <c r="C214" t="s">
        <v>1232</v>
      </c>
      <c r="D214" t="s">
        <v>1233</v>
      </c>
    </row>
    <row r="215" spans="1:4" x14ac:dyDescent="0.2">
      <c r="A215" t="s">
        <v>388</v>
      </c>
      <c r="B215" t="s">
        <v>1234</v>
      </c>
      <c r="C215" t="s">
        <v>1235</v>
      </c>
      <c r="D215" t="s">
        <v>1236</v>
      </c>
    </row>
    <row r="216" spans="1:4" x14ac:dyDescent="0.2">
      <c r="A216" t="s">
        <v>388</v>
      </c>
      <c r="B216" t="s">
        <v>1237</v>
      </c>
      <c r="C216" t="s">
        <v>1238</v>
      </c>
      <c r="D216" t="s">
        <v>1239</v>
      </c>
    </row>
    <row r="217" spans="1:4" x14ac:dyDescent="0.2">
      <c r="A217" t="s">
        <v>388</v>
      </c>
      <c r="B217" t="s">
        <v>1240</v>
      </c>
      <c r="C217" t="s">
        <v>1241</v>
      </c>
      <c r="D217" t="s">
        <v>1242</v>
      </c>
    </row>
    <row r="218" spans="1:4" x14ac:dyDescent="0.2">
      <c r="A218" t="s">
        <v>388</v>
      </c>
      <c r="B218" t="s">
        <v>1243</v>
      </c>
      <c r="C218" t="s">
        <v>1244</v>
      </c>
      <c r="D218" t="s">
        <v>1245</v>
      </c>
    </row>
    <row r="219" spans="1:4" x14ac:dyDescent="0.2">
      <c r="A219" t="s">
        <v>388</v>
      </c>
      <c r="B219" t="s">
        <v>1246</v>
      </c>
      <c r="C219" t="s">
        <v>1247</v>
      </c>
      <c r="D219" t="s">
        <v>1248</v>
      </c>
    </row>
    <row r="220" spans="1:4" x14ac:dyDescent="0.2">
      <c r="A220" t="s">
        <v>388</v>
      </c>
      <c r="B220" t="s">
        <v>1249</v>
      </c>
      <c r="C220" t="s">
        <v>1250</v>
      </c>
      <c r="D220" t="s">
        <v>1251</v>
      </c>
    </row>
    <row r="221" spans="1:4" x14ac:dyDescent="0.2">
      <c r="A221" t="s">
        <v>388</v>
      </c>
      <c r="B221" t="s">
        <v>1252</v>
      </c>
      <c r="C221" t="s">
        <v>1253</v>
      </c>
      <c r="D221" t="s">
        <v>1254</v>
      </c>
    </row>
    <row r="222" spans="1:4" x14ac:dyDescent="0.2">
      <c r="A222" t="s">
        <v>388</v>
      </c>
      <c r="B222" t="s">
        <v>1255</v>
      </c>
      <c r="C222" t="s">
        <v>1256</v>
      </c>
      <c r="D222" t="s">
        <v>1257</v>
      </c>
    </row>
    <row r="223" spans="1:4" x14ac:dyDescent="0.2">
      <c r="A223" t="s">
        <v>388</v>
      </c>
      <c r="B223" t="s">
        <v>1258</v>
      </c>
      <c r="C223" t="s">
        <v>1259</v>
      </c>
      <c r="D223" t="s">
        <v>1260</v>
      </c>
    </row>
    <row r="224" spans="1:4" x14ac:dyDescent="0.2">
      <c r="A224" t="s">
        <v>388</v>
      </c>
      <c r="B224" t="s">
        <v>1261</v>
      </c>
      <c r="C224" t="s">
        <v>1262</v>
      </c>
      <c r="D224" t="s">
        <v>1263</v>
      </c>
    </row>
    <row r="225" spans="1:4" x14ac:dyDescent="0.2">
      <c r="A225" t="s">
        <v>388</v>
      </c>
      <c r="B225" t="s">
        <v>1264</v>
      </c>
      <c r="C225" t="s">
        <v>1265</v>
      </c>
      <c r="D225" t="s">
        <v>1266</v>
      </c>
    </row>
    <row r="226" spans="1:4" x14ac:dyDescent="0.2">
      <c r="A226" t="s">
        <v>388</v>
      </c>
      <c r="B226" t="s">
        <v>1267</v>
      </c>
      <c r="C226" t="s">
        <v>1268</v>
      </c>
      <c r="D226" t="s">
        <v>1269</v>
      </c>
    </row>
    <row r="227" spans="1:4" x14ac:dyDescent="0.2">
      <c r="A227" t="s">
        <v>388</v>
      </c>
      <c r="B227" t="s">
        <v>1270</v>
      </c>
      <c r="C227" t="s">
        <v>1271</v>
      </c>
      <c r="D227" t="s">
        <v>1272</v>
      </c>
    </row>
    <row r="228" spans="1:4" x14ac:dyDescent="0.2">
      <c r="A228" t="s">
        <v>388</v>
      </c>
      <c r="B228" t="s">
        <v>1273</v>
      </c>
      <c r="C228" t="s">
        <v>1274</v>
      </c>
      <c r="D228" t="s">
        <v>1275</v>
      </c>
    </row>
    <row r="229" spans="1:4" x14ac:dyDescent="0.2">
      <c r="A229" t="s">
        <v>388</v>
      </c>
      <c r="B229" t="s">
        <v>1276</v>
      </c>
      <c r="C229" t="s">
        <v>1277</v>
      </c>
      <c r="D229" t="s">
        <v>1278</v>
      </c>
    </row>
    <row r="230" spans="1:4" x14ac:dyDescent="0.2">
      <c r="A230" t="s">
        <v>388</v>
      </c>
      <c r="B230" t="s">
        <v>1279</v>
      </c>
      <c r="C230" t="s">
        <v>1280</v>
      </c>
      <c r="D230" t="s">
        <v>1281</v>
      </c>
    </row>
    <row r="231" spans="1:4" x14ac:dyDescent="0.2">
      <c r="A231" t="s">
        <v>388</v>
      </c>
      <c r="B231" t="s">
        <v>1282</v>
      </c>
      <c r="C231" t="s">
        <v>1283</v>
      </c>
      <c r="D231" t="s">
        <v>1284</v>
      </c>
    </row>
    <row r="232" spans="1:4" x14ac:dyDescent="0.2">
      <c r="A232" t="s">
        <v>388</v>
      </c>
      <c r="B232" t="s">
        <v>1285</v>
      </c>
      <c r="C232" t="s">
        <v>1286</v>
      </c>
      <c r="D232" t="s">
        <v>1287</v>
      </c>
    </row>
    <row r="233" spans="1:4" x14ac:dyDescent="0.2">
      <c r="A233" t="s">
        <v>388</v>
      </c>
      <c r="B233" t="s">
        <v>1288</v>
      </c>
      <c r="C233" t="s">
        <v>1289</v>
      </c>
      <c r="D233" t="s">
        <v>1290</v>
      </c>
    </row>
    <row r="234" spans="1:4" x14ac:dyDescent="0.2">
      <c r="A234" t="s">
        <v>388</v>
      </c>
      <c r="B234" t="s">
        <v>1291</v>
      </c>
      <c r="C234" t="s">
        <v>1292</v>
      </c>
      <c r="D234" t="s">
        <v>1293</v>
      </c>
    </row>
    <row r="235" spans="1:4" x14ac:dyDescent="0.2">
      <c r="A235" t="s">
        <v>388</v>
      </c>
      <c r="B235" t="s">
        <v>1095</v>
      </c>
      <c r="C235" t="s">
        <v>972</v>
      </c>
      <c r="D235" t="s">
        <v>973</v>
      </c>
    </row>
    <row r="236" spans="1:4" x14ac:dyDescent="0.2">
      <c r="A236" t="s">
        <v>388</v>
      </c>
      <c r="B236" t="s">
        <v>1096</v>
      </c>
      <c r="C236" t="s">
        <v>974</v>
      </c>
      <c r="D236" t="s">
        <v>975</v>
      </c>
    </row>
    <row r="238" spans="1:4" x14ac:dyDescent="0.2">
      <c r="A238" t="s">
        <v>1294</v>
      </c>
      <c r="B238" t="s">
        <v>1295</v>
      </c>
      <c r="C238" t="s">
        <v>1296</v>
      </c>
      <c r="D238" t="s">
        <v>1297</v>
      </c>
    </row>
    <row r="239" spans="1:4" x14ac:dyDescent="0.2">
      <c r="A239" t="s">
        <v>1294</v>
      </c>
      <c r="B239" t="s">
        <v>1298</v>
      </c>
      <c r="C239" t="s">
        <v>1299</v>
      </c>
      <c r="D239" t="s">
        <v>1300</v>
      </c>
    </row>
    <row r="240" spans="1:4" x14ac:dyDescent="0.2">
      <c r="A240" t="s">
        <v>1294</v>
      </c>
      <c r="B240" t="s">
        <v>1301</v>
      </c>
      <c r="C240" t="s">
        <v>1302</v>
      </c>
      <c r="D240" t="s">
        <v>1303</v>
      </c>
    </row>
    <row r="241" spans="1:4" x14ac:dyDescent="0.2">
      <c r="A241" t="s">
        <v>1294</v>
      </c>
      <c r="B241" t="s">
        <v>1304</v>
      </c>
      <c r="C241" t="s">
        <v>1305</v>
      </c>
      <c r="D241" t="s">
        <v>1306</v>
      </c>
    </row>
    <row r="242" spans="1:4" x14ac:dyDescent="0.2">
      <c r="A242" t="s">
        <v>1294</v>
      </c>
      <c r="B242" t="s">
        <v>1307</v>
      </c>
      <c r="C242" t="s">
        <v>1308</v>
      </c>
      <c r="D242" t="s">
        <v>1309</v>
      </c>
    </row>
    <row r="243" spans="1:4" x14ac:dyDescent="0.2">
      <c r="A243" t="s">
        <v>1294</v>
      </c>
      <c r="B243" t="s">
        <v>1310</v>
      </c>
      <c r="C243" t="s">
        <v>1311</v>
      </c>
      <c r="D243" t="s">
        <v>1312</v>
      </c>
    </row>
    <row r="244" spans="1:4" x14ac:dyDescent="0.2">
      <c r="A244" t="s">
        <v>1294</v>
      </c>
      <c r="B244" t="s">
        <v>1313</v>
      </c>
      <c r="C244" t="s">
        <v>1314</v>
      </c>
      <c r="D244" t="s">
        <v>1315</v>
      </c>
    </row>
    <row r="245" spans="1:4" x14ac:dyDescent="0.2">
      <c r="A245" t="s">
        <v>1294</v>
      </c>
      <c r="B245" t="s">
        <v>1316</v>
      </c>
      <c r="C245" t="s">
        <v>1317</v>
      </c>
      <c r="D245" t="s">
        <v>1318</v>
      </c>
    </row>
    <row r="246" spans="1:4" x14ac:dyDescent="0.2">
      <c r="A246" t="s">
        <v>1294</v>
      </c>
      <c r="B246" t="s">
        <v>1089</v>
      </c>
      <c r="C246" t="s">
        <v>1319</v>
      </c>
      <c r="D246" t="s">
        <v>1320</v>
      </c>
    </row>
    <row r="247" spans="1:4" x14ac:dyDescent="0.2">
      <c r="A247" t="s">
        <v>1294</v>
      </c>
      <c r="B247" t="s">
        <v>1092</v>
      </c>
      <c r="C247" t="s">
        <v>1321</v>
      </c>
      <c r="D247" t="s">
        <v>1322</v>
      </c>
    </row>
    <row r="248" spans="1:4" x14ac:dyDescent="0.2">
      <c r="A248" t="s">
        <v>1294</v>
      </c>
      <c r="B248" t="s">
        <v>1095</v>
      </c>
      <c r="C248" t="s">
        <v>972</v>
      </c>
      <c r="D248" t="s">
        <v>973</v>
      </c>
    </row>
    <row r="249" spans="1:4" x14ac:dyDescent="0.2">
      <c r="A249" t="s">
        <v>1294</v>
      </c>
      <c r="B249" t="s">
        <v>1096</v>
      </c>
      <c r="C249" t="s">
        <v>974</v>
      </c>
      <c r="D249" t="s">
        <v>975</v>
      </c>
    </row>
    <row r="251" spans="1:4" s="11" customFormat="1" x14ac:dyDescent="0.2">
      <c r="A251" s="14" t="s">
        <v>1323</v>
      </c>
      <c r="B251" s="14">
        <v>1</v>
      </c>
      <c r="C251" s="14" t="s">
        <v>1324</v>
      </c>
      <c r="D251" s="14" t="s">
        <v>1324</v>
      </c>
    </row>
    <row r="252" spans="1:4" s="11" customFormat="1" x14ac:dyDescent="0.2">
      <c r="A252" s="14" t="s">
        <v>1323</v>
      </c>
      <c r="B252" s="14">
        <v>2</v>
      </c>
      <c r="C252" s="14" t="s">
        <v>1325</v>
      </c>
      <c r="D252" s="14" t="s">
        <v>1325</v>
      </c>
    </row>
    <row r="253" spans="1:4" s="11" customFormat="1" x14ac:dyDescent="0.2">
      <c r="A253" s="14" t="s">
        <v>1323</v>
      </c>
      <c r="B253" s="14">
        <v>3</v>
      </c>
      <c r="C253" s="14" t="s">
        <v>1326</v>
      </c>
      <c r="D253" s="14" t="s">
        <v>1327</v>
      </c>
    </row>
    <row r="254" spans="1:4" s="11" customFormat="1" x14ac:dyDescent="0.2">
      <c r="A254" s="14" t="s">
        <v>1323</v>
      </c>
      <c r="B254" s="14">
        <v>4</v>
      </c>
      <c r="C254" s="14" t="s">
        <v>1328</v>
      </c>
      <c r="D254" s="14" t="s">
        <v>1329</v>
      </c>
    </row>
    <row r="255" spans="1:4" s="11" customFormat="1" x14ac:dyDescent="0.2">
      <c r="A255" s="12" t="s">
        <v>1323</v>
      </c>
      <c r="B255" s="12">
        <v>5</v>
      </c>
      <c r="C255" s="179" t="s">
        <v>1330</v>
      </c>
      <c r="D255" s="179" t="s">
        <v>1331</v>
      </c>
    </row>
    <row r="256" spans="1:4" s="11" customFormat="1" x14ac:dyDescent="0.2"/>
    <row r="257" spans="1:4" s="12" customFormat="1" x14ac:dyDescent="0.2">
      <c r="A257" s="14" t="s">
        <v>1332</v>
      </c>
      <c r="B257" s="14">
        <v>1</v>
      </c>
      <c r="C257" s="14" t="s">
        <v>1333</v>
      </c>
      <c r="D257" s="14" t="s">
        <v>1334</v>
      </c>
    </row>
    <row r="258" spans="1:4" s="12" customFormat="1" x14ac:dyDescent="0.2">
      <c r="A258" s="14" t="s">
        <v>1332</v>
      </c>
      <c r="B258" s="14">
        <v>2</v>
      </c>
      <c r="C258" s="14" t="s">
        <v>1335</v>
      </c>
      <c r="D258" s="14" t="s">
        <v>1336</v>
      </c>
    </row>
    <row r="259" spans="1:4" s="11" customFormat="1" x14ac:dyDescent="0.2"/>
    <row r="260" spans="1:4" s="11" customFormat="1" x14ac:dyDescent="0.2">
      <c r="A260" s="14" t="s">
        <v>1337</v>
      </c>
      <c r="B260" s="14">
        <v>1</v>
      </c>
      <c r="C260" s="14" t="s">
        <v>1338</v>
      </c>
      <c r="D260" s="14" t="s">
        <v>1339</v>
      </c>
    </row>
    <row r="261" spans="1:4" s="11" customFormat="1" x14ac:dyDescent="0.2">
      <c r="A261" s="14" t="s">
        <v>1337</v>
      </c>
      <c r="B261" s="14">
        <v>2</v>
      </c>
      <c r="C261" s="14" t="s">
        <v>1340</v>
      </c>
      <c r="D261" s="14" t="s">
        <v>1341</v>
      </c>
    </row>
    <row r="262" spans="1:4" s="11" customFormat="1" x14ac:dyDescent="0.2">
      <c r="A262" s="14" t="s">
        <v>1337</v>
      </c>
      <c r="B262" s="14">
        <v>3</v>
      </c>
      <c r="C262" s="14" t="s">
        <v>1342</v>
      </c>
      <c r="D262" s="14" t="s">
        <v>1343</v>
      </c>
    </row>
    <row r="263" spans="1:4" s="11" customFormat="1" x14ac:dyDescent="0.2">
      <c r="A263" s="14" t="s">
        <v>1337</v>
      </c>
      <c r="B263" s="14">
        <v>4</v>
      </c>
      <c r="C263" s="14" t="s">
        <v>1344</v>
      </c>
      <c r="D263" s="14" t="s">
        <v>1345</v>
      </c>
    </row>
    <row r="264" spans="1:4" s="11" customFormat="1" x14ac:dyDescent="0.2">
      <c r="A264" s="14" t="s">
        <v>1337</v>
      </c>
      <c r="B264" s="14">
        <v>5</v>
      </c>
      <c r="C264" s="14" t="s">
        <v>1346</v>
      </c>
      <c r="D264" s="14" t="s">
        <v>1347</v>
      </c>
    </row>
    <row r="265" spans="1:4" s="11" customFormat="1" x14ac:dyDescent="0.2">
      <c r="A265" s="14" t="s">
        <v>1337</v>
      </c>
      <c r="B265" s="14">
        <v>6</v>
      </c>
      <c r="C265" s="14" t="s">
        <v>1319</v>
      </c>
      <c r="D265" s="14" t="s">
        <v>1320</v>
      </c>
    </row>
    <row r="266" spans="1:4" s="11" customFormat="1" x14ac:dyDescent="0.2">
      <c r="A266" s="14" t="s">
        <v>1337</v>
      </c>
      <c r="B266" s="14">
        <v>7</v>
      </c>
      <c r="C266" s="14" t="s">
        <v>972</v>
      </c>
      <c r="D266" s="14" t="s">
        <v>973</v>
      </c>
    </row>
    <row r="267" spans="1:4" s="11" customFormat="1" x14ac:dyDescent="0.2">
      <c r="A267" s="14" t="s">
        <v>1337</v>
      </c>
      <c r="B267" s="14">
        <v>8</v>
      </c>
      <c r="C267" s="14" t="s">
        <v>974</v>
      </c>
      <c r="D267" s="14" t="s">
        <v>975</v>
      </c>
    </row>
    <row r="269" spans="1:4" s="11" customFormat="1" x14ac:dyDescent="0.2">
      <c r="A269" s="10" t="s">
        <v>1348</v>
      </c>
      <c r="B269" s="10">
        <v>1</v>
      </c>
      <c r="C269" s="10" t="s">
        <v>1349</v>
      </c>
      <c r="D269" s="2" t="s">
        <v>1350</v>
      </c>
    </row>
    <row r="270" spans="1:4" s="11" customFormat="1" x14ac:dyDescent="0.2">
      <c r="A270" s="10" t="s">
        <v>1348</v>
      </c>
      <c r="B270" s="10">
        <v>2</v>
      </c>
      <c r="C270" s="10" t="s">
        <v>1351</v>
      </c>
      <c r="D270" s="2" t="s">
        <v>1352</v>
      </c>
    </row>
    <row r="271" spans="1:4" s="11" customFormat="1" x14ac:dyDescent="0.2">
      <c r="A271" s="10" t="s">
        <v>1348</v>
      </c>
      <c r="B271" s="10">
        <v>3</v>
      </c>
      <c r="C271" s="10" t="s">
        <v>1353</v>
      </c>
      <c r="D271" s="2" t="s">
        <v>1354</v>
      </c>
    </row>
    <row r="272" spans="1:4" s="11" customFormat="1" x14ac:dyDescent="0.2">
      <c r="A272" s="10" t="s">
        <v>1348</v>
      </c>
      <c r="B272" s="10">
        <v>4</v>
      </c>
      <c r="C272" s="10" t="s">
        <v>1355</v>
      </c>
      <c r="D272" s="2" t="s">
        <v>1356</v>
      </c>
    </row>
    <row r="273" spans="1:5" s="11" customFormat="1" x14ac:dyDescent="0.2">
      <c r="A273" s="10" t="s">
        <v>1348</v>
      </c>
      <c r="B273" s="10">
        <v>5</v>
      </c>
      <c r="C273" s="10" t="s">
        <v>1357</v>
      </c>
      <c r="D273" s="2" t="s">
        <v>1358</v>
      </c>
    </row>
    <row r="274" spans="1:5" s="11" customFormat="1" x14ac:dyDescent="0.2">
      <c r="A274" s="10" t="s">
        <v>1348</v>
      </c>
      <c r="B274" s="10">
        <v>6</v>
      </c>
      <c r="C274" s="10" t="s">
        <v>972</v>
      </c>
      <c r="D274" s="2" t="s">
        <v>973</v>
      </c>
    </row>
    <row r="275" spans="1:5" s="11" customFormat="1" x14ac:dyDescent="0.2">
      <c r="A275" s="10" t="s">
        <v>1348</v>
      </c>
      <c r="B275" s="10">
        <v>7</v>
      </c>
      <c r="C275" s="10" t="s">
        <v>974</v>
      </c>
      <c r="D275" s="2" t="s">
        <v>975</v>
      </c>
    </row>
    <row r="276" spans="1:5" x14ac:dyDescent="0.2">
      <c r="E276" s="11"/>
    </row>
    <row r="277" spans="1:5" s="11" customFormat="1" x14ac:dyDescent="0.2">
      <c r="A277" s="10" t="s">
        <v>1359</v>
      </c>
      <c r="B277" s="10" t="s">
        <v>1360</v>
      </c>
      <c r="C277" s="10" t="s">
        <v>1361</v>
      </c>
      <c r="D277" s="10" t="s">
        <v>1362</v>
      </c>
    </row>
    <row r="278" spans="1:5" s="11" customFormat="1" x14ac:dyDescent="0.2">
      <c r="A278" s="10" t="s">
        <v>1359</v>
      </c>
      <c r="B278" s="10" t="s">
        <v>1363</v>
      </c>
      <c r="C278" s="10" t="s">
        <v>1364</v>
      </c>
      <c r="D278" s="10" t="s">
        <v>1365</v>
      </c>
    </row>
    <row r="279" spans="1:5" s="11" customFormat="1" x14ac:dyDescent="0.2">
      <c r="A279" s="10" t="s">
        <v>1359</v>
      </c>
      <c r="B279" s="10" t="s">
        <v>1366</v>
      </c>
      <c r="C279" s="10" t="s">
        <v>1367</v>
      </c>
      <c r="D279" s="10" t="s">
        <v>1368</v>
      </c>
    </row>
    <row r="280" spans="1:5" s="11" customFormat="1" x14ac:dyDescent="0.2">
      <c r="A280" s="10" t="s">
        <v>1359</v>
      </c>
      <c r="B280" s="10" t="s">
        <v>1369</v>
      </c>
      <c r="C280" s="10" t="s">
        <v>1370</v>
      </c>
      <c r="D280" s="10" t="s">
        <v>1371</v>
      </c>
    </row>
    <row r="281" spans="1:5" s="11" customFormat="1" x14ac:dyDescent="0.2">
      <c r="A281" s="10" t="s">
        <v>1359</v>
      </c>
      <c r="B281" s="10" t="s">
        <v>1372</v>
      </c>
      <c r="C281" s="10" t="s">
        <v>1373</v>
      </c>
      <c r="D281" s="10" t="s">
        <v>1374</v>
      </c>
    </row>
    <row r="282" spans="1:5" s="11" customFormat="1" x14ac:dyDescent="0.2">
      <c r="A282" s="10" t="s">
        <v>1359</v>
      </c>
      <c r="B282" s="10" t="s">
        <v>1375</v>
      </c>
      <c r="C282" s="10" t="s">
        <v>1376</v>
      </c>
      <c r="D282" s="10" t="s">
        <v>1377</v>
      </c>
    </row>
    <row r="283" spans="1:5" s="11" customFormat="1" x14ac:dyDescent="0.2">
      <c r="A283" s="10" t="s">
        <v>1359</v>
      </c>
      <c r="B283" s="11" t="s">
        <v>1378</v>
      </c>
      <c r="C283" s="10" t="s">
        <v>1379</v>
      </c>
      <c r="D283" s="10" t="s">
        <v>1380</v>
      </c>
    </row>
    <row r="284" spans="1:5" s="11" customFormat="1" x14ac:dyDescent="0.2">
      <c r="A284" s="10" t="s">
        <v>1359</v>
      </c>
      <c r="B284" s="10" t="s">
        <v>1089</v>
      </c>
      <c r="C284" s="10" t="s">
        <v>1381</v>
      </c>
      <c r="D284" s="10" t="s">
        <v>1382</v>
      </c>
    </row>
    <row r="285" spans="1:5" s="11" customFormat="1" x14ac:dyDescent="0.2">
      <c r="A285" s="10" t="s">
        <v>1359</v>
      </c>
      <c r="B285" s="10" t="s">
        <v>1095</v>
      </c>
      <c r="C285" s="10" t="s">
        <v>972</v>
      </c>
      <c r="D285" s="10" t="s">
        <v>973</v>
      </c>
    </row>
    <row r="286" spans="1:5" s="11" customFormat="1" x14ac:dyDescent="0.2">
      <c r="A286" s="10" t="s">
        <v>1359</v>
      </c>
      <c r="B286" s="10" t="s">
        <v>1096</v>
      </c>
      <c r="C286" s="10" t="s">
        <v>974</v>
      </c>
      <c r="D286" s="10" t="s">
        <v>975</v>
      </c>
    </row>
    <row r="288" spans="1:5" x14ac:dyDescent="0.2">
      <c r="A288" s="10" t="s">
        <v>1383</v>
      </c>
      <c r="B288" s="10">
        <v>1</v>
      </c>
      <c r="C288" s="10" t="s">
        <v>1384</v>
      </c>
      <c r="D288" s="10" t="s">
        <v>1385</v>
      </c>
    </row>
    <row r="289" spans="1:5" x14ac:dyDescent="0.2">
      <c r="A289" s="10" t="s">
        <v>1383</v>
      </c>
      <c r="B289" s="10">
        <v>2</v>
      </c>
      <c r="C289" s="10" t="s">
        <v>1386</v>
      </c>
      <c r="D289" s="10" t="s">
        <v>1386</v>
      </c>
    </row>
    <row r="290" spans="1:5" x14ac:dyDescent="0.2">
      <c r="A290" s="10" t="s">
        <v>1383</v>
      </c>
      <c r="B290" s="10">
        <v>3</v>
      </c>
      <c r="C290" s="10" t="s">
        <v>1387</v>
      </c>
      <c r="D290" s="10" t="s">
        <v>1388</v>
      </c>
    </row>
    <row r="291" spans="1:5" x14ac:dyDescent="0.2">
      <c r="A291" s="10" t="s">
        <v>1383</v>
      </c>
      <c r="B291" s="10">
        <v>4</v>
      </c>
      <c r="C291" s="10" t="s">
        <v>1389</v>
      </c>
      <c r="D291" s="10" t="s">
        <v>1390</v>
      </c>
    </row>
    <row r="292" spans="1:5" x14ac:dyDescent="0.2">
      <c r="A292" s="10" t="s">
        <v>1383</v>
      </c>
      <c r="B292" s="10">
        <v>5</v>
      </c>
      <c r="C292" s="10" t="s">
        <v>1391</v>
      </c>
      <c r="D292" s="10" t="s">
        <v>1392</v>
      </c>
    </row>
    <row r="293" spans="1:5" x14ac:dyDescent="0.2">
      <c r="A293" s="10" t="s">
        <v>1383</v>
      </c>
      <c r="B293" s="10">
        <v>6</v>
      </c>
      <c r="C293" s="10" t="s">
        <v>1393</v>
      </c>
      <c r="D293" s="10" t="s">
        <v>1394</v>
      </c>
    </row>
    <row r="294" spans="1:5" x14ac:dyDescent="0.2">
      <c r="A294" s="10" t="s">
        <v>1383</v>
      </c>
      <c r="B294" s="10">
        <v>7</v>
      </c>
      <c r="C294" s="10" t="s">
        <v>1395</v>
      </c>
      <c r="D294" s="10" t="s">
        <v>1396</v>
      </c>
    </row>
    <row r="295" spans="1:5" x14ac:dyDescent="0.2">
      <c r="A295" s="10" t="s">
        <v>1383</v>
      </c>
      <c r="B295" s="10">
        <v>8</v>
      </c>
      <c r="C295" s="10" t="s">
        <v>1397</v>
      </c>
      <c r="D295" s="10" t="s">
        <v>1398</v>
      </c>
    </row>
    <row r="296" spans="1:5" x14ac:dyDescent="0.2">
      <c r="A296" s="10" t="s">
        <v>1383</v>
      </c>
      <c r="B296" s="10">
        <v>9</v>
      </c>
      <c r="C296" s="10" t="s">
        <v>1319</v>
      </c>
      <c r="D296" s="10" t="s">
        <v>1320</v>
      </c>
    </row>
    <row r="298" spans="1:5" x14ac:dyDescent="0.2">
      <c r="A298" s="14" t="s">
        <v>1399</v>
      </c>
      <c r="B298" s="14" t="s">
        <v>1400</v>
      </c>
      <c r="C298" s="14" t="s">
        <v>1401</v>
      </c>
      <c r="D298" t="s">
        <v>1248</v>
      </c>
      <c r="E298" s="11"/>
    </row>
    <row r="299" spans="1:5" x14ac:dyDescent="0.2">
      <c r="A299" s="14" t="s">
        <v>1399</v>
      </c>
      <c r="B299" s="14" t="s">
        <v>1402</v>
      </c>
      <c r="C299" s="14" t="s">
        <v>1403</v>
      </c>
      <c r="D299" t="s">
        <v>1404</v>
      </c>
      <c r="E299" s="11"/>
    </row>
    <row r="300" spans="1:5" x14ac:dyDescent="0.2">
      <c r="A300" s="14" t="s">
        <v>1399</v>
      </c>
      <c r="B300" s="14" t="s">
        <v>1405</v>
      </c>
      <c r="C300" s="14" t="s">
        <v>1406</v>
      </c>
      <c r="D300" t="s">
        <v>1407</v>
      </c>
      <c r="E300" s="11"/>
    </row>
    <row r="301" spans="1:5" x14ac:dyDescent="0.2">
      <c r="A301" s="14" t="s">
        <v>1399</v>
      </c>
      <c r="B301" s="14" t="s">
        <v>1408</v>
      </c>
      <c r="C301" s="14" t="s">
        <v>1409</v>
      </c>
      <c r="D301" t="s">
        <v>1410</v>
      </c>
      <c r="E301" s="11"/>
    </row>
    <row r="302" spans="1:5" x14ac:dyDescent="0.2">
      <c r="A302" s="14" t="s">
        <v>1399</v>
      </c>
      <c r="B302" s="14" t="s">
        <v>1411</v>
      </c>
      <c r="C302" s="14" t="s">
        <v>1412</v>
      </c>
      <c r="D302" t="s">
        <v>1413</v>
      </c>
      <c r="E302" s="11"/>
    </row>
    <row r="303" spans="1:5" x14ac:dyDescent="0.2">
      <c r="A303" s="14" t="s">
        <v>1399</v>
      </c>
      <c r="B303" s="14" t="s">
        <v>1414</v>
      </c>
      <c r="C303" s="14" t="s">
        <v>1415</v>
      </c>
      <c r="D303" t="s">
        <v>1416</v>
      </c>
      <c r="E303" s="11"/>
    </row>
    <row r="304" spans="1:5" x14ac:dyDescent="0.2">
      <c r="A304" s="14" t="s">
        <v>1399</v>
      </c>
      <c r="B304" s="14" t="s">
        <v>1417</v>
      </c>
      <c r="C304" s="14" t="s">
        <v>1418</v>
      </c>
      <c r="D304" t="s">
        <v>1419</v>
      </c>
      <c r="E304" s="11"/>
    </row>
    <row r="305" spans="1:5" x14ac:dyDescent="0.2">
      <c r="A305" s="14" t="s">
        <v>1399</v>
      </c>
      <c r="B305" s="14" t="s">
        <v>1420</v>
      </c>
      <c r="C305" s="14" t="s">
        <v>1421</v>
      </c>
      <c r="D305" t="s">
        <v>1422</v>
      </c>
      <c r="E305" s="11"/>
    </row>
    <row r="306" spans="1:5" x14ac:dyDescent="0.2">
      <c r="A306" s="14" t="s">
        <v>1399</v>
      </c>
      <c r="B306" s="14" t="s">
        <v>1423</v>
      </c>
      <c r="C306" s="14" t="s">
        <v>1424</v>
      </c>
      <c r="D306" t="s">
        <v>1425</v>
      </c>
      <c r="E306" s="11"/>
    </row>
    <row r="307" spans="1:5" x14ac:dyDescent="0.2">
      <c r="A307" s="14" t="s">
        <v>1399</v>
      </c>
      <c r="B307" s="14" t="s">
        <v>1426</v>
      </c>
      <c r="C307" s="14" t="s">
        <v>1427</v>
      </c>
      <c r="D307" t="s">
        <v>1428</v>
      </c>
      <c r="E307" s="11"/>
    </row>
    <row r="308" spans="1:5" x14ac:dyDescent="0.2">
      <c r="A308" s="14" t="s">
        <v>1399</v>
      </c>
      <c r="B308" s="14" t="s">
        <v>1429</v>
      </c>
      <c r="C308" s="14" t="s">
        <v>1430</v>
      </c>
      <c r="D308" t="s">
        <v>1431</v>
      </c>
      <c r="E308" s="11"/>
    </row>
    <row r="309" spans="1:5" x14ac:dyDescent="0.2">
      <c r="A309" s="14" t="s">
        <v>1399</v>
      </c>
      <c r="B309" s="14" t="s">
        <v>1432</v>
      </c>
      <c r="C309" s="14" t="s">
        <v>1433</v>
      </c>
      <c r="D309" t="s">
        <v>1434</v>
      </c>
      <c r="E309" s="11"/>
    </row>
    <row r="310" spans="1:5" x14ac:dyDescent="0.2">
      <c r="A310" s="14" t="s">
        <v>1399</v>
      </c>
      <c r="B310" s="14" t="s">
        <v>1435</v>
      </c>
      <c r="C310" s="14" t="s">
        <v>1436</v>
      </c>
      <c r="D310" t="s">
        <v>1437</v>
      </c>
      <c r="E310" s="11"/>
    </row>
    <row r="311" spans="1:5" x14ac:dyDescent="0.2">
      <c r="A311" s="14" t="s">
        <v>1399</v>
      </c>
      <c r="B311" s="14" t="s">
        <v>1438</v>
      </c>
      <c r="C311" s="14" t="s">
        <v>1439</v>
      </c>
      <c r="D311" t="s">
        <v>1440</v>
      </c>
      <c r="E311" s="11"/>
    </row>
    <row r="312" spans="1:5" x14ac:dyDescent="0.2">
      <c r="A312" s="14" t="s">
        <v>1399</v>
      </c>
      <c r="B312" s="14" t="s">
        <v>1441</v>
      </c>
      <c r="C312" s="14" t="s">
        <v>1442</v>
      </c>
      <c r="D312" s="2" t="s">
        <v>1443</v>
      </c>
    </row>
    <row r="313" spans="1:5" x14ac:dyDescent="0.2">
      <c r="A313" s="14" t="s">
        <v>1399</v>
      </c>
      <c r="B313" s="14" t="s">
        <v>1089</v>
      </c>
      <c r="C313" s="14" t="s">
        <v>1381</v>
      </c>
      <c r="D313" t="s">
        <v>1382</v>
      </c>
      <c r="E313" s="11"/>
    </row>
    <row r="314" spans="1:5" x14ac:dyDescent="0.2">
      <c r="A314" s="14" t="s">
        <v>1399</v>
      </c>
      <c r="B314" s="14" t="s">
        <v>1095</v>
      </c>
      <c r="C314" s="14" t="s">
        <v>972</v>
      </c>
      <c r="D314" t="s">
        <v>973</v>
      </c>
    </row>
    <row r="315" spans="1:5" x14ac:dyDescent="0.2">
      <c r="A315" s="14" t="s">
        <v>1399</v>
      </c>
      <c r="B315" s="14" t="s">
        <v>1096</v>
      </c>
      <c r="C315" s="14" t="s">
        <v>974</v>
      </c>
      <c r="D315" t="s">
        <v>975</v>
      </c>
    </row>
    <row r="317" spans="1:5" s="11" customFormat="1" x14ac:dyDescent="0.2">
      <c r="A317" s="10" t="s">
        <v>1444</v>
      </c>
      <c r="B317" s="10">
        <v>1</v>
      </c>
      <c r="C317" s="10" t="s">
        <v>1445</v>
      </c>
      <c r="D317" s="10" t="s">
        <v>1446</v>
      </c>
    </row>
    <row r="318" spans="1:5" s="11" customFormat="1" x14ac:dyDescent="0.2">
      <c r="A318" s="10" t="s">
        <v>1444</v>
      </c>
      <c r="B318" s="10">
        <v>2</v>
      </c>
      <c r="C318" s="10" t="s">
        <v>1447</v>
      </c>
      <c r="D318" s="10" t="s">
        <v>1448</v>
      </c>
    </row>
    <row r="319" spans="1:5" s="11" customFormat="1" x14ac:dyDescent="0.2">
      <c r="A319" s="10" t="s">
        <v>1444</v>
      </c>
      <c r="B319" s="10">
        <v>3</v>
      </c>
      <c r="C319" s="10" t="s">
        <v>1449</v>
      </c>
      <c r="D319" s="10" t="s">
        <v>1450</v>
      </c>
    </row>
    <row r="320" spans="1:5" s="11" customFormat="1" x14ac:dyDescent="0.2">
      <c r="A320" s="10" t="s">
        <v>1444</v>
      </c>
      <c r="B320" s="10">
        <v>4</v>
      </c>
      <c r="C320" s="10" t="s">
        <v>1451</v>
      </c>
      <c r="D320" s="10" t="s">
        <v>1452</v>
      </c>
    </row>
    <row r="321" spans="1:5" s="11" customFormat="1" x14ac:dyDescent="0.2">
      <c r="A321" s="10" t="s">
        <v>1444</v>
      </c>
      <c r="B321" s="10">
        <v>5</v>
      </c>
      <c r="C321" s="10" t="s">
        <v>1453</v>
      </c>
      <c r="D321" s="10" t="s">
        <v>1454</v>
      </c>
    </row>
    <row r="322" spans="1:5" s="11" customFormat="1" x14ac:dyDescent="0.2">
      <c r="A322" s="10" t="s">
        <v>1444</v>
      </c>
      <c r="B322" s="10">
        <v>6</v>
      </c>
      <c r="C322" s="10" t="s">
        <v>1455</v>
      </c>
      <c r="D322" s="10" t="s">
        <v>1456</v>
      </c>
    </row>
    <row r="323" spans="1:5" s="11" customFormat="1" x14ac:dyDescent="0.2">
      <c r="A323" s="10" t="s">
        <v>1444</v>
      </c>
      <c r="B323" s="10">
        <v>7</v>
      </c>
      <c r="C323" s="10" t="s">
        <v>972</v>
      </c>
      <c r="D323" s="10" t="s">
        <v>973</v>
      </c>
    </row>
    <row r="324" spans="1:5" x14ac:dyDescent="0.2">
      <c r="A324" s="10" t="s">
        <v>1444</v>
      </c>
      <c r="B324" s="10">
        <v>8</v>
      </c>
      <c r="C324" s="10" t="s">
        <v>974</v>
      </c>
      <c r="D324" s="10" t="s">
        <v>975</v>
      </c>
      <c r="E324" s="11"/>
    </row>
    <row r="326" spans="1:5" x14ac:dyDescent="0.2">
      <c r="A326" t="s">
        <v>1457</v>
      </c>
      <c r="B326" t="s">
        <v>1458</v>
      </c>
      <c r="C326" t="s">
        <v>1459</v>
      </c>
      <c r="D326" t="s">
        <v>1460</v>
      </c>
      <c r="E326" s="11"/>
    </row>
    <row r="327" spans="1:5" x14ac:dyDescent="0.2">
      <c r="A327" t="s">
        <v>1457</v>
      </c>
      <c r="B327" t="s">
        <v>1461</v>
      </c>
      <c r="C327" t="s">
        <v>1462</v>
      </c>
      <c r="D327" t="s">
        <v>1463</v>
      </c>
      <c r="E327" s="11"/>
    </row>
    <row r="328" spans="1:5" x14ac:dyDescent="0.2">
      <c r="A328" t="s">
        <v>1457</v>
      </c>
      <c r="B328" t="s">
        <v>1464</v>
      </c>
      <c r="C328" t="s">
        <v>1465</v>
      </c>
      <c r="D328" t="s">
        <v>1466</v>
      </c>
      <c r="E328" s="11"/>
    </row>
    <row r="329" spans="1:5" x14ac:dyDescent="0.2">
      <c r="A329" t="s">
        <v>1457</v>
      </c>
      <c r="B329" t="s">
        <v>1467</v>
      </c>
      <c r="C329" t="s">
        <v>1468</v>
      </c>
      <c r="D329" t="s">
        <v>1469</v>
      </c>
      <c r="E329" s="11"/>
    </row>
    <row r="330" spans="1:5" x14ac:dyDescent="0.2">
      <c r="A330" t="s">
        <v>1457</v>
      </c>
      <c r="B330" t="s">
        <v>1470</v>
      </c>
      <c r="C330" t="s">
        <v>1471</v>
      </c>
      <c r="D330" t="s">
        <v>1472</v>
      </c>
      <c r="E330" s="11"/>
    </row>
    <row r="331" spans="1:5" x14ac:dyDescent="0.2">
      <c r="A331" t="s">
        <v>1457</v>
      </c>
      <c r="B331" t="s">
        <v>1473</v>
      </c>
      <c r="C331" t="s">
        <v>1474</v>
      </c>
      <c r="D331" t="s">
        <v>1475</v>
      </c>
      <c r="E331" s="11"/>
    </row>
    <row r="332" spans="1:5" x14ac:dyDescent="0.2">
      <c r="A332" t="s">
        <v>1457</v>
      </c>
      <c r="B332" t="s">
        <v>1476</v>
      </c>
      <c r="C332" t="s">
        <v>1477</v>
      </c>
      <c r="D332" t="s">
        <v>1478</v>
      </c>
      <c r="E332" s="11"/>
    </row>
    <row r="333" spans="1:5" x14ac:dyDescent="0.2">
      <c r="A333" t="s">
        <v>1457</v>
      </c>
      <c r="B333" t="s">
        <v>1089</v>
      </c>
      <c r="C333" t="s">
        <v>1381</v>
      </c>
      <c r="D333" t="s">
        <v>1382</v>
      </c>
      <c r="E333" s="11"/>
    </row>
    <row r="334" spans="1:5" x14ac:dyDescent="0.2">
      <c r="A334" t="s">
        <v>1457</v>
      </c>
      <c r="B334" t="s">
        <v>1095</v>
      </c>
      <c r="C334" t="s">
        <v>972</v>
      </c>
      <c r="D334" t="s">
        <v>973</v>
      </c>
      <c r="E334" s="11"/>
    </row>
    <row r="335" spans="1:5" x14ac:dyDescent="0.2">
      <c r="A335" t="s">
        <v>1457</v>
      </c>
      <c r="B335" t="s">
        <v>1096</v>
      </c>
      <c r="C335" t="s">
        <v>974</v>
      </c>
      <c r="D335" t="s">
        <v>975</v>
      </c>
      <c r="E335" s="11"/>
    </row>
    <row r="337" spans="1:5" x14ac:dyDescent="0.2">
      <c r="A337" t="s">
        <v>560</v>
      </c>
      <c r="B337">
        <v>1</v>
      </c>
      <c r="C337" t="s">
        <v>1479</v>
      </c>
      <c r="D337" t="s">
        <v>1480</v>
      </c>
    </row>
    <row r="338" spans="1:5" x14ac:dyDescent="0.2">
      <c r="A338" t="s">
        <v>560</v>
      </c>
      <c r="B338">
        <v>2</v>
      </c>
      <c r="C338" t="s">
        <v>1481</v>
      </c>
      <c r="D338" t="s">
        <v>1482</v>
      </c>
    </row>
    <row r="339" spans="1:5" x14ac:dyDescent="0.2">
      <c r="A339" t="s">
        <v>560</v>
      </c>
      <c r="B339">
        <v>3</v>
      </c>
      <c r="C339" t="s">
        <v>1483</v>
      </c>
      <c r="D339" t="s">
        <v>1484</v>
      </c>
    </row>
    <row r="340" spans="1:5" x14ac:dyDescent="0.2">
      <c r="A340" t="s">
        <v>560</v>
      </c>
      <c r="B340">
        <v>4</v>
      </c>
      <c r="C340" t="s">
        <v>1485</v>
      </c>
      <c r="D340" t="s">
        <v>1486</v>
      </c>
    </row>
    <row r="341" spans="1:5" x14ac:dyDescent="0.2">
      <c r="A341" t="s">
        <v>560</v>
      </c>
      <c r="B341">
        <v>5</v>
      </c>
      <c r="C341" t="s">
        <v>1487</v>
      </c>
      <c r="D341" t="s">
        <v>1488</v>
      </c>
    </row>
    <row r="342" spans="1:5" x14ac:dyDescent="0.2">
      <c r="A342" t="s">
        <v>560</v>
      </c>
      <c r="B342">
        <v>6</v>
      </c>
      <c r="C342" t="s">
        <v>1489</v>
      </c>
      <c r="D342" t="s">
        <v>1490</v>
      </c>
    </row>
    <row r="343" spans="1:5" x14ac:dyDescent="0.2">
      <c r="A343" t="s">
        <v>560</v>
      </c>
      <c r="B343">
        <v>7</v>
      </c>
      <c r="C343" t="s">
        <v>1491</v>
      </c>
      <c r="D343" t="s">
        <v>1492</v>
      </c>
    </row>
    <row r="344" spans="1:5" x14ac:dyDescent="0.2">
      <c r="A344" t="s">
        <v>560</v>
      </c>
      <c r="B344">
        <v>8</v>
      </c>
      <c r="C344" t="s">
        <v>1493</v>
      </c>
      <c r="D344" t="s">
        <v>1494</v>
      </c>
    </row>
    <row r="345" spans="1:5" x14ac:dyDescent="0.2">
      <c r="A345" t="s">
        <v>560</v>
      </c>
      <c r="B345">
        <v>9</v>
      </c>
      <c r="C345" t="s">
        <v>1381</v>
      </c>
      <c r="D345" t="s">
        <v>1382</v>
      </c>
    </row>
    <row r="346" spans="1:5" x14ac:dyDescent="0.2">
      <c r="A346" t="s">
        <v>560</v>
      </c>
      <c r="B346" s="15">
        <v>10</v>
      </c>
      <c r="C346" t="s">
        <v>972</v>
      </c>
      <c r="D346" t="s">
        <v>973</v>
      </c>
    </row>
    <row r="347" spans="1:5" x14ac:dyDescent="0.2">
      <c r="A347" t="s">
        <v>560</v>
      </c>
      <c r="B347" s="15">
        <v>11</v>
      </c>
      <c r="C347" t="s">
        <v>974</v>
      </c>
      <c r="D347" t="s">
        <v>975</v>
      </c>
    </row>
    <row r="349" spans="1:5" x14ac:dyDescent="0.2">
      <c r="A349" t="s">
        <v>1495</v>
      </c>
      <c r="B349" t="s">
        <v>1496</v>
      </c>
      <c r="C349" t="s">
        <v>1497</v>
      </c>
      <c r="D349" t="s">
        <v>1498</v>
      </c>
      <c r="E349" s="11"/>
    </row>
    <row r="350" spans="1:5" x14ac:dyDescent="0.2">
      <c r="A350" t="s">
        <v>1495</v>
      </c>
      <c r="B350" t="s">
        <v>1499</v>
      </c>
      <c r="C350" t="s">
        <v>1500</v>
      </c>
      <c r="D350" t="s">
        <v>1501</v>
      </c>
      <c r="E350" s="11"/>
    </row>
    <row r="351" spans="1:5" x14ac:dyDescent="0.2">
      <c r="A351" t="s">
        <v>1495</v>
      </c>
      <c r="B351" t="s">
        <v>1502</v>
      </c>
      <c r="C351" t="s">
        <v>1503</v>
      </c>
      <c r="D351" t="s">
        <v>1504</v>
      </c>
      <c r="E351" s="11"/>
    </row>
    <row r="352" spans="1:5" x14ac:dyDescent="0.2">
      <c r="A352" t="s">
        <v>1495</v>
      </c>
      <c r="B352" t="s">
        <v>1505</v>
      </c>
      <c r="C352" t="s">
        <v>1506</v>
      </c>
      <c r="D352" t="s">
        <v>1507</v>
      </c>
      <c r="E352" s="11"/>
    </row>
    <row r="353" spans="1:5" x14ac:dyDescent="0.2">
      <c r="A353" t="s">
        <v>1495</v>
      </c>
      <c r="B353" t="s">
        <v>1508</v>
      </c>
      <c r="C353" t="s">
        <v>1509</v>
      </c>
      <c r="D353" t="s">
        <v>1510</v>
      </c>
      <c r="E353" s="11"/>
    </row>
    <row r="354" spans="1:5" x14ac:dyDescent="0.2">
      <c r="A354" t="s">
        <v>1495</v>
      </c>
      <c r="B354" t="s">
        <v>1511</v>
      </c>
      <c r="C354" t="s">
        <v>1512</v>
      </c>
      <c r="D354" t="s">
        <v>1513</v>
      </c>
      <c r="E354" s="11"/>
    </row>
    <row r="355" spans="1:5" x14ac:dyDescent="0.2">
      <c r="A355" t="s">
        <v>1495</v>
      </c>
      <c r="B355" t="s">
        <v>1514</v>
      </c>
      <c r="C355" t="s">
        <v>1515</v>
      </c>
      <c r="D355" t="s">
        <v>1516</v>
      </c>
      <c r="E355" s="11"/>
    </row>
    <row r="356" spans="1:5" x14ac:dyDescent="0.2">
      <c r="A356" t="s">
        <v>1495</v>
      </c>
      <c r="B356" t="s">
        <v>1517</v>
      </c>
      <c r="C356" t="s">
        <v>1518</v>
      </c>
      <c r="D356" t="s">
        <v>1519</v>
      </c>
      <c r="E356" s="11"/>
    </row>
    <row r="357" spans="1:5" x14ac:dyDescent="0.2">
      <c r="A357" t="s">
        <v>1495</v>
      </c>
      <c r="B357" t="s">
        <v>1520</v>
      </c>
      <c r="C357" t="s">
        <v>1521</v>
      </c>
      <c r="D357" t="s">
        <v>1522</v>
      </c>
      <c r="E357" s="11"/>
    </row>
    <row r="358" spans="1:5" x14ac:dyDescent="0.2">
      <c r="A358" t="s">
        <v>1495</v>
      </c>
      <c r="B358" t="s">
        <v>1523</v>
      </c>
      <c r="C358" t="s">
        <v>1524</v>
      </c>
      <c r="D358" t="s">
        <v>1525</v>
      </c>
      <c r="E358" s="11"/>
    </row>
    <row r="359" spans="1:5" x14ac:dyDescent="0.2">
      <c r="A359" t="s">
        <v>1495</v>
      </c>
      <c r="B359" t="s">
        <v>1526</v>
      </c>
      <c r="C359" t="s">
        <v>1527</v>
      </c>
      <c r="D359" t="s">
        <v>1528</v>
      </c>
      <c r="E359" s="11"/>
    </row>
    <row r="360" spans="1:5" x14ac:dyDescent="0.2">
      <c r="A360" t="s">
        <v>1495</v>
      </c>
      <c r="B360" t="s">
        <v>1529</v>
      </c>
      <c r="C360" t="s">
        <v>1381</v>
      </c>
      <c r="D360" t="s">
        <v>1382</v>
      </c>
      <c r="E360" s="11"/>
    </row>
    <row r="361" spans="1:5" x14ac:dyDescent="0.2">
      <c r="A361" t="s">
        <v>1495</v>
      </c>
      <c r="B361" t="s">
        <v>1530</v>
      </c>
      <c r="C361" t="s">
        <v>972</v>
      </c>
      <c r="D361" t="s">
        <v>973</v>
      </c>
      <c r="E361" s="11"/>
    </row>
    <row r="362" spans="1:5" ht="14.25" customHeight="1" x14ac:dyDescent="0.2">
      <c r="A362" t="s">
        <v>1495</v>
      </c>
      <c r="B362" t="s">
        <v>1531</v>
      </c>
      <c r="C362" t="s">
        <v>974</v>
      </c>
      <c r="D362" t="s">
        <v>975</v>
      </c>
      <c r="E362" s="11"/>
    </row>
    <row r="363" spans="1:5" ht="14.25" customHeight="1" x14ac:dyDescent="0.2">
      <c r="E363" s="11"/>
    </row>
    <row r="364" spans="1:5" s="11" customFormat="1" ht="14.25" customHeight="1" x14ac:dyDescent="0.2">
      <c r="A364" s="10" t="s">
        <v>1532</v>
      </c>
      <c r="B364" s="10" t="s">
        <v>1533</v>
      </c>
      <c r="C364" s="10" t="s">
        <v>1534</v>
      </c>
      <c r="D364" s="10" t="s">
        <v>1535</v>
      </c>
    </row>
    <row r="365" spans="1:5" s="11" customFormat="1" ht="14.25" customHeight="1" x14ac:dyDescent="0.2">
      <c r="A365" s="10" t="s">
        <v>1532</v>
      </c>
      <c r="B365" s="10" t="s">
        <v>1536</v>
      </c>
      <c r="C365" s="10" t="s">
        <v>1537</v>
      </c>
      <c r="D365" s="10" t="s">
        <v>1538</v>
      </c>
    </row>
    <row r="366" spans="1:5" s="11" customFormat="1" ht="14.25" customHeight="1" x14ac:dyDescent="0.2">
      <c r="A366" s="10" t="s">
        <v>1532</v>
      </c>
      <c r="B366" s="10" t="s">
        <v>1539</v>
      </c>
      <c r="C366" s="10" t="s">
        <v>1540</v>
      </c>
      <c r="D366" s="10" t="s">
        <v>1541</v>
      </c>
    </row>
    <row r="367" spans="1:5" s="11" customFormat="1" ht="14.25" customHeight="1" x14ac:dyDescent="0.2">
      <c r="A367" s="10" t="s">
        <v>1532</v>
      </c>
      <c r="B367" s="10" t="s">
        <v>1542</v>
      </c>
      <c r="C367" s="10" t="s">
        <v>1543</v>
      </c>
      <c r="D367" s="10" t="s">
        <v>1544</v>
      </c>
    </row>
    <row r="368" spans="1:5" s="11" customFormat="1" ht="14.25" customHeight="1" x14ac:dyDescent="0.2">
      <c r="A368" s="10" t="s">
        <v>1532</v>
      </c>
      <c r="B368" s="10" t="s">
        <v>1545</v>
      </c>
      <c r="C368" s="10" t="s">
        <v>1546</v>
      </c>
      <c r="D368" s="10" t="s">
        <v>1547</v>
      </c>
    </row>
    <row r="369" spans="1:5" s="11" customFormat="1" ht="14.25" customHeight="1" x14ac:dyDescent="0.2">
      <c r="A369" s="10" t="s">
        <v>1532</v>
      </c>
      <c r="B369" s="10" t="s">
        <v>1089</v>
      </c>
      <c r="C369" s="10" t="s">
        <v>1548</v>
      </c>
      <c r="D369" s="10" t="s">
        <v>1382</v>
      </c>
    </row>
    <row r="370" spans="1:5" s="11" customFormat="1" ht="14.25" customHeight="1" x14ac:dyDescent="0.2">
      <c r="A370" s="10" t="s">
        <v>1532</v>
      </c>
      <c r="B370" s="10" t="s">
        <v>1095</v>
      </c>
      <c r="C370" s="10" t="s">
        <v>972</v>
      </c>
      <c r="D370" s="10" t="s">
        <v>973</v>
      </c>
    </row>
    <row r="371" spans="1:5" s="11" customFormat="1" ht="14.25" customHeight="1" x14ac:dyDescent="0.2">
      <c r="A371" s="10" t="s">
        <v>1532</v>
      </c>
      <c r="B371" s="10" t="s">
        <v>1096</v>
      </c>
      <c r="C371" s="10" t="s">
        <v>974</v>
      </c>
      <c r="D371" s="10" t="s">
        <v>975</v>
      </c>
    </row>
    <row r="372" spans="1:5" ht="14.25" customHeight="1" x14ac:dyDescent="0.2"/>
    <row r="373" spans="1:5" x14ac:dyDescent="0.2">
      <c r="A373" t="s">
        <v>1549</v>
      </c>
      <c r="B373" t="s">
        <v>1550</v>
      </c>
      <c r="C373" t="s">
        <v>1551</v>
      </c>
      <c r="D373" t="s">
        <v>1552</v>
      </c>
      <c r="E373" s="11"/>
    </row>
    <row r="374" spans="1:5" x14ac:dyDescent="0.2">
      <c r="A374" t="s">
        <v>1549</v>
      </c>
      <c r="B374" t="s">
        <v>1553</v>
      </c>
      <c r="C374" t="s">
        <v>1554</v>
      </c>
      <c r="D374" t="s">
        <v>1555</v>
      </c>
      <c r="E374" s="11"/>
    </row>
    <row r="375" spans="1:5" x14ac:dyDescent="0.2">
      <c r="A375" t="s">
        <v>1549</v>
      </c>
      <c r="B375" t="s">
        <v>1556</v>
      </c>
      <c r="C375" t="s">
        <v>1557</v>
      </c>
      <c r="D375" t="s">
        <v>1558</v>
      </c>
      <c r="E375" s="11"/>
    </row>
    <row r="376" spans="1:5" x14ac:dyDescent="0.2">
      <c r="A376" t="s">
        <v>1549</v>
      </c>
      <c r="B376" t="s">
        <v>1559</v>
      </c>
      <c r="C376" t="s">
        <v>1560</v>
      </c>
      <c r="D376" t="s">
        <v>1561</v>
      </c>
      <c r="E376" s="11"/>
    </row>
    <row r="377" spans="1:5" x14ac:dyDescent="0.2">
      <c r="A377" t="s">
        <v>1549</v>
      </c>
      <c r="B377" t="s">
        <v>1562</v>
      </c>
      <c r="C377" t="s">
        <v>1563</v>
      </c>
      <c r="D377" t="s">
        <v>1564</v>
      </c>
      <c r="E377" s="11"/>
    </row>
    <row r="378" spans="1:5" x14ac:dyDescent="0.2">
      <c r="A378" t="s">
        <v>1549</v>
      </c>
      <c r="B378" t="s">
        <v>1565</v>
      </c>
      <c r="C378" t="s">
        <v>1566</v>
      </c>
      <c r="D378" t="s">
        <v>1567</v>
      </c>
      <c r="E378" s="11"/>
    </row>
    <row r="379" spans="1:5" x14ac:dyDescent="0.2">
      <c r="A379" t="s">
        <v>1549</v>
      </c>
      <c r="B379" t="s">
        <v>1568</v>
      </c>
      <c r="C379" t="s">
        <v>1569</v>
      </c>
      <c r="D379" t="s">
        <v>1570</v>
      </c>
      <c r="E379" s="11"/>
    </row>
    <row r="380" spans="1:5" x14ac:dyDescent="0.2">
      <c r="A380" t="s">
        <v>1549</v>
      </c>
      <c r="B380" t="s">
        <v>1571</v>
      </c>
      <c r="C380" t="s">
        <v>1572</v>
      </c>
      <c r="D380" t="s">
        <v>1573</v>
      </c>
      <c r="E380" s="11"/>
    </row>
    <row r="381" spans="1:5" x14ac:dyDescent="0.2">
      <c r="A381" t="s">
        <v>1549</v>
      </c>
      <c r="B381" t="s">
        <v>1441</v>
      </c>
      <c r="C381" t="s">
        <v>1442</v>
      </c>
      <c r="D381" t="s">
        <v>1443</v>
      </c>
      <c r="E381" s="11"/>
    </row>
    <row r="382" spans="1:5" x14ac:dyDescent="0.2">
      <c r="A382" t="s">
        <v>1549</v>
      </c>
      <c r="B382" t="s">
        <v>1423</v>
      </c>
      <c r="C382" t="s">
        <v>1424</v>
      </c>
      <c r="D382" t="s">
        <v>1425</v>
      </c>
      <c r="E382" s="11"/>
    </row>
    <row r="383" spans="1:5" x14ac:dyDescent="0.2">
      <c r="A383" t="s">
        <v>1549</v>
      </c>
      <c r="B383" t="s">
        <v>1089</v>
      </c>
      <c r="C383" t="s">
        <v>1381</v>
      </c>
      <c r="D383" t="s">
        <v>1382</v>
      </c>
    </row>
    <row r="384" spans="1:5" x14ac:dyDescent="0.2">
      <c r="A384" t="s">
        <v>1549</v>
      </c>
      <c r="B384" t="s">
        <v>1095</v>
      </c>
      <c r="C384" t="s">
        <v>972</v>
      </c>
      <c r="D384" t="s">
        <v>973</v>
      </c>
    </row>
    <row r="385" spans="1:4" x14ac:dyDescent="0.2">
      <c r="A385" t="s">
        <v>1549</v>
      </c>
      <c r="B385" t="s">
        <v>1096</v>
      </c>
      <c r="C385" t="s">
        <v>974</v>
      </c>
      <c r="D385" t="s">
        <v>975</v>
      </c>
    </row>
    <row r="387" spans="1:4" x14ac:dyDescent="0.2">
      <c r="A387" s="10" t="s">
        <v>1574</v>
      </c>
      <c r="B387" s="10">
        <v>1</v>
      </c>
      <c r="C387" s="10" t="s">
        <v>1479</v>
      </c>
      <c r="D387" s="10" t="s">
        <v>1480</v>
      </c>
    </row>
    <row r="388" spans="1:4" x14ac:dyDescent="0.2">
      <c r="A388" s="10" t="s">
        <v>1574</v>
      </c>
      <c r="B388" s="10">
        <v>2</v>
      </c>
      <c r="C388" s="10" t="s">
        <v>1481</v>
      </c>
      <c r="D388" s="10" t="s">
        <v>1482</v>
      </c>
    </row>
    <row r="389" spans="1:4" x14ac:dyDescent="0.2">
      <c r="A389" s="10" t="s">
        <v>1574</v>
      </c>
      <c r="B389" s="10">
        <v>3</v>
      </c>
      <c r="C389" s="10" t="s">
        <v>1483</v>
      </c>
      <c r="D389" s="10" t="s">
        <v>1484</v>
      </c>
    </row>
    <row r="390" spans="1:4" x14ac:dyDescent="0.2">
      <c r="A390" s="10" t="s">
        <v>1574</v>
      </c>
      <c r="B390" s="10">
        <v>4</v>
      </c>
      <c r="C390" s="10" t="s">
        <v>1485</v>
      </c>
      <c r="D390" s="10" t="s">
        <v>1486</v>
      </c>
    </row>
    <row r="391" spans="1:4" x14ac:dyDescent="0.2">
      <c r="A391" s="10" t="s">
        <v>1574</v>
      </c>
      <c r="B391" s="10">
        <v>5</v>
      </c>
      <c r="C391" s="10" t="s">
        <v>1487</v>
      </c>
      <c r="D391" s="10" t="s">
        <v>1488</v>
      </c>
    </row>
    <row r="392" spans="1:4" x14ac:dyDescent="0.2">
      <c r="A392" s="10" t="s">
        <v>1574</v>
      </c>
      <c r="B392" s="10">
        <v>6</v>
      </c>
      <c r="C392" s="10" t="s">
        <v>1489</v>
      </c>
      <c r="D392" s="10" t="s">
        <v>1490</v>
      </c>
    </row>
    <row r="393" spans="1:4" x14ac:dyDescent="0.2">
      <c r="A393" s="10" t="s">
        <v>1574</v>
      </c>
      <c r="B393" s="10">
        <v>7</v>
      </c>
      <c r="C393" s="10" t="s">
        <v>1491</v>
      </c>
      <c r="D393" s="10" t="s">
        <v>1492</v>
      </c>
    </row>
    <row r="394" spans="1:4" x14ac:dyDescent="0.2">
      <c r="A394" s="10" t="s">
        <v>1574</v>
      </c>
      <c r="B394" s="10">
        <v>8</v>
      </c>
      <c r="C394" s="10" t="s">
        <v>1493</v>
      </c>
      <c r="D394" s="10" t="s">
        <v>1494</v>
      </c>
    </row>
    <row r="395" spans="1:4" x14ac:dyDescent="0.2">
      <c r="A395" s="10" t="s">
        <v>1574</v>
      </c>
      <c r="B395" s="10">
        <v>9</v>
      </c>
      <c r="C395" s="10" t="s">
        <v>1381</v>
      </c>
      <c r="D395" s="10" t="s">
        <v>1382</v>
      </c>
    </row>
    <row r="396" spans="1:4" x14ac:dyDescent="0.2">
      <c r="A396" s="10" t="s">
        <v>1574</v>
      </c>
      <c r="B396" s="10">
        <v>666</v>
      </c>
      <c r="C396" s="10" t="s">
        <v>1575</v>
      </c>
      <c r="D396" s="10" t="s">
        <v>1576</v>
      </c>
    </row>
    <row r="397" spans="1:4" x14ac:dyDescent="0.2">
      <c r="A397" s="10" t="s">
        <v>1574</v>
      </c>
      <c r="B397" s="10">
        <v>10</v>
      </c>
      <c r="C397" s="10" t="s">
        <v>972</v>
      </c>
      <c r="D397" s="10" t="s">
        <v>973</v>
      </c>
    </row>
    <row r="398" spans="1:4" x14ac:dyDescent="0.2">
      <c r="A398" s="10" t="s">
        <v>1574</v>
      </c>
      <c r="B398" s="10">
        <v>11</v>
      </c>
      <c r="C398" s="10" t="s">
        <v>974</v>
      </c>
      <c r="D398" s="10" t="s">
        <v>975</v>
      </c>
    </row>
    <row r="399" spans="1:4" x14ac:dyDescent="0.2">
      <c r="B399" s="7"/>
    </row>
    <row r="400" spans="1:4" x14ac:dyDescent="0.2">
      <c r="A400" t="s">
        <v>1577</v>
      </c>
      <c r="B400">
        <v>1</v>
      </c>
      <c r="C400" t="s">
        <v>1479</v>
      </c>
      <c r="D400" t="s">
        <v>1480</v>
      </c>
    </row>
    <row r="401" spans="1:5" x14ac:dyDescent="0.2">
      <c r="A401" t="s">
        <v>1577</v>
      </c>
      <c r="B401">
        <v>2</v>
      </c>
      <c r="C401" t="s">
        <v>1481</v>
      </c>
      <c r="D401" t="s">
        <v>1482</v>
      </c>
    </row>
    <row r="402" spans="1:5" x14ac:dyDescent="0.2">
      <c r="A402" t="s">
        <v>1577</v>
      </c>
      <c r="B402">
        <v>3</v>
      </c>
      <c r="C402" t="s">
        <v>1483</v>
      </c>
      <c r="D402" t="s">
        <v>1484</v>
      </c>
    </row>
    <row r="403" spans="1:5" x14ac:dyDescent="0.2">
      <c r="A403" t="s">
        <v>1577</v>
      </c>
      <c r="B403">
        <v>4</v>
      </c>
      <c r="C403" s="14" t="s">
        <v>1485</v>
      </c>
      <c r="D403" s="14" t="s">
        <v>1486</v>
      </c>
    </row>
    <row r="404" spans="1:5" x14ac:dyDescent="0.2">
      <c r="A404" t="s">
        <v>1577</v>
      </c>
      <c r="B404">
        <v>5</v>
      </c>
      <c r="C404" t="s">
        <v>1578</v>
      </c>
      <c r="D404" t="s">
        <v>1488</v>
      </c>
    </row>
    <row r="405" spans="1:5" x14ac:dyDescent="0.2">
      <c r="A405" t="s">
        <v>1577</v>
      </c>
      <c r="B405">
        <v>6</v>
      </c>
      <c r="C405" t="s">
        <v>1489</v>
      </c>
      <c r="D405" t="s">
        <v>1490</v>
      </c>
    </row>
    <row r="406" spans="1:5" x14ac:dyDescent="0.2">
      <c r="A406" t="s">
        <v>1577</v>
      </c>
      <c r="B406">
        <v>7</v>
      </c>
      <c r="C406" t="s">
        <v>1579</v>
      </c>
      <c r="D406" t="s">
        <v>1492</v>
      </c>
    </row>
    <row r="407" spans="1:5" x14ac:dyDescent="0.2">
      <c r="A407" t="s">
        <v>1577</v>
      </c>
      <c r="B407">
        <v>8</v>
      </c>
      <c r="C407" t="s">
        <v>1493</v>
      </c>
      <c r="D407" t="s">
        <v>1494</v>
      </c>
    </row>
    <row r="408" spans="1:5" x14ac:dyDescent="0.2">
      <c r="A408" t="s">
        <v>1577</v>
      </c>
      <c r="B408">
        <v>9</v>
      </c>
      <c r="C408" t="s">
        <v>1580</v>
      </c>
      <c r="D408" t="s">
        <v>1581</v>
      </c>
    </row>
    <row r="409" spans="1:5" x14ac:dyDescent="0.2">
      <c r="A409" t="s">
        <v>1577</v>
      </c>
      <c r="B409">
        <v>10</v>
      </c>
      <c r="C409" t="s">
        <v>1582</v>
      </c>
      <c r="D409" t="s">
        <v>1583</v>
      </c>
    </row>
    <row r="410" spans="1:5" x14ac:dyDescent="0.2">
      <c r="A410" t="s">
        <v>1577</v>
      </c>
      <c r="B410">
        <v>11</v>
      </c>
      <c r="C410" t="s">
        <v>1584</v>
      </c>
      <c r="D410" t="s">
        <v>1585</v>
      </c>
    </row>
    <row r="411" spans="1:5" x14ac:dyDescent="0.2">
      <c r="A411" t="s">
        <v>1577</v>
      </c>
      <c r="B411" s="15">
        <v>12</v>
      </c>
      <c r="C411" t="s">
        <v>972</v>
      </c>
      <c r="D411" t="s">
        <v>973</v>
      </c>
    </row>
    <row r="412" spans="1:5" x14ac:dyDescent="0.2">
      <c r="A412" t="s">
        <v>1577</v>
      </c>
      <c r="B412" s="15">
        <v>13</v>
      </c>
      <c r="C412" t="s">
        <v>974</v>
      </c>
      <c r="D412" t="s">
        <v>975</v>
      </c>
    </row>
    <row r="414" spans="1:5" ht="16" customHeight="1" x14ac:dyDescent="0.2">
      <c r="A414" t="s">
        <v>1586</v>
      </c>
      <c r="B414" t="s">
        <v>1458</v>
      </c>
      <c r="C414" t="s">
        <v>1459</v>
      </c>
      <c r="D414" t="s">
        <v>1460</v>
      </c>
      <c r="E414" s="11"/>
    </row>
    <row r="415" spans="1:5" ht="16" customHeight="1" x14ac:dyDescent="0.2">
      <c r="A415" t="s">
        <v>1586</v>
      </c>
      <c r="B415" t="s">
        <v>1461</v>
      </c>
      <c r="C415" t="s">
        <v>1587</v>
      </c>
      <c r="D415" t="s">
        <v>1588</v>
      </c>
      <c r="E415" s="11"/>
    </row>
    <row r="416" spans="1:5" ht="16" customHeight="1" x14ac:dyDescent="0.2">
      <c r="A416" t="s">
        <v>1586</v>
      </c>
      <c r="B416" t="s">
        <v>1464</v>
      </c>
      <c r="C416" t="s">
        <v>1589</v>
      </c>
      <c r="D416" t="s">
        <v>1466</v>
      </c>
      <c r="E416" s="11"/>
    </row>
    <row r="417" spans="1:5" ht="16" customHeight="1" x14ac:dyDescent="0.2">
      <c r="A417" t="s">
        <v>1586</v>
      </c>
      <c r="B417" t="s">
        <v>1467</v>
      </c>
      <c r="C417" t="s">
        <v>1468</v>
      </c>
      <c r="D417" t="s">
        <v>1469</v>
      </c>
      <c r="E417" s="11"/>
    </row>
    <row r="418" spans="1:5" ht="16" customHeight="1" x14ac:dyDescent="0.2">
      <c r="A418" t="s">
        <v>1586</v>
      </c>
      <c r="B418" t="s">
        <v>1470</v>
      </c>
      <c r="C418" t="s">
        <v>1471</v>
      </c>
      <c r="D418" t="s">
        <v>1590</v>
      </c>
      <c r="E418" s="11"/>
    </row>
    <row r="419" spans="1:5" ht="16" customHeight="1" x14ac:dyDescent="0.2">
      <c r="A419" t="s">
        <v>1586</v>
      </c>
      <c r="B419" t="s">
        <v>1591</v>
      </c>
      <c r="C419" t="s">
        <v>1592</v>
      </c>
      <c r="D419" t="s">
        <v>1593</v>
      </c>
      <c r="E419" s="11"/>
    </row>
    <row r="420" spans="1:5" ht="16" customHeight="1" x14ac:dyDescent="0.2">
      <c r="A420" t="s">
        <v>1586</v>
      </c>
      <c r="B420" t="s">
        <v>1473</v>
      </c>
      <c r="C420" t="s">
        <v>1594</v>
      </c>
      <c r="D420" t="s">
        <v>1595</v>
      </c>
      <c r="E420" s="11"/>
    </row>
    <row r="421" spans="1:5" ht="16" customHeight="1" x14ac:dyDescent="0.2">
      <c r="A421" t="s">
        <v>1586</v>
      </c>
      <c r="B421" t="s">
        <v>1476</v>
      </c>
      <c r="C421" t="s">
        <v>1477</v>
      </c>
      <c r="D421" t="s">
        <v>1478</v>
      </c>
      <c r="E421" s="11"/>
    </row>
    <row r="422" spans="1:5" ht="16" customHeight="1" x14ac:dyDescent="0.2">
      <c r="A422" t="s">
        <v>1586</v>
      </c>
      <c r="B422" t="s">
        <v>1089</v>
      </c>
      <c r="C422" t="s">
        <v>1381</v>
      </c>
      <c r="D422" t="s">
        <v>1382</v>
      </c>
    </row>
    <row r="423" spans="1:5" ht="16" customHeight="1" x14ac:dyDescent="0.2">
      <c r="A423" t="s">
        <v>1586</v>
      </c>
      <c r="B423" t="s">
        <v>1095</v>
      </c>
      <c r="C423" t="s">
        <v>972</v>
      </c>
      <c r="D423" t="s">
        <v>973</v>
      </c>
    </row>
    <row r="424" spans="1:5" ht="16" customHeight="1" x14ac:dyDescent="0.2">
      <c r="A424" t="s">
        <v>1586</v>
      </c>
      <c r="B424" t="s">
        <v>1096</v>
      </c>
      <c r="C424" t="s">
        <v>974</v>
      </c>
      <c r="D424" t="s">
        <v>975</v>
      </c>
    </row>
    <row r="425" spans="1:5" ht="16" customHeight="1" x14ac:dyDescent="0.2"/>
    <row r="426" spans="1:5" x14ac:dyDescent="0.2">
      <c r="A426" t="s">
        <v>1596</v>
      </c>
      <c r="B426" t="s">
        <v>1597</v>
      </c>
      <c r="C426" t="s">
        <v>1598</v>
      </c>
      <c r="D426" t="s">
        <v>1599</v>
      </c>
      <c r="E426" s="11"/>
    </row>
    <row r="427" spans="1:5" x14ac:dyDescent="0.2">
      <c r="A427" t="s">
        <v>1596</v>
      </c>
      <c r="B427" t="s">
        <v>1600</v>
      </c>
      <c r="C427" t="s">
        <v>1601</v>
      </c>
      <c r="D427" t="s">
        <v>1602</v>
      </c>
      <c r="E427" s="11"/>
    </row>
    <row r="428" spans="1:5" x14ac:dyDescent="0.2">
      <c r="A428" t="s">
        <v>1596</v>
      </c>
      <c r="B428" t="s">
        <v>1603</v>
      </c>
      <c r="C428" t="s">
        <v>1604</v>
      </c>
      <c r="D428" t="s">
        <v>1605</v>
      </c>
      <c r="E428" s="11"/>
    </row>
    <row r="429" spans="1:5" x14ac:dyDescent="0.2">
      <c r="A429" t="s">
        <v>1596</v>
      </c>
      <c r="B429" t="s">
        <v>1606</v>
      </c>
      <c r="C429" t="s">
        <v>1607</v>
      </c>
      <c r="D429" t="s">
        <v>1607</v>
      </c>
      <c r="E429" s="11"/>
    </row>
    <row r="430" spans="1:5" x14ac:dyDescent="0.2">
      <c r="A430" t="s">
        <v>1596</v>
      </c>
      <c r="B430" t="s">
        <v>1095</v>
      </c>
      <c r="C430" t="s">
        <v>972</v>
      </c>
      <c r="D430" t="s">
        <v>973</v>
      </c>
      <c r="E430" s="11"/>
    </row>
    <row r="431" spans="1:5" x14ac:dyDescent="0.2">
      <c r="A431" t="s">
        <v>1596</v>
      </c>
      <c r="B431" t="s">
        <v>1096</v>
      </c>
      <c r="C431" t="s">
        <v>974</v>
      </c>
      <c r="D431" t="s">
        <v>975</v>
      </c>
      <c r="E431" s="11"/>
    </row>
    <row r="433" spans="1:5" x14ac:dyDescent="0.2">
      <c r="A433" t="s">
        <v>1608</v>
      </c>
      <c r="B433" t="s">
        <v>1609</v>
      </c>
      <c r="C433" t="s">
        <v>1610</v>
      </c>
      <c r="D433" t="s">
        <v>1611</v>
      </c>
      <c r="E433" s="11"/>
    </row>
    <row r="434" spans="1:5" x14ac:dyDescent="0.2">
      <c r="A434" t="s">
        <v>1608</v>
      </c>
      <c r="B434" t="s">
        <v>1612</v>
      </c>
      <c r="C434" t="s">
        <v>1613</v>
      </c>
      <c r="D434" t="s">
        <v>1614</v>
      </c>
      <c r="E434" s="11"/>
    </row>
    <row r="435" spans="1:5" x14ac:dyDescent="0.2">
      <c r="A435" t="s">
        <v>1608</v>
      </c>
      <c r="B435" t="s">
        <v>1615</v>
      </c>
      <c r="C435" t="s">
        <v>1616</v>
      </c>
      <c r="D435" t="s">
        <v>1617</v>
      </c>
      <c r="E435" s="11"/>
    </row>
    <row r="436" spans="1:5" x14ac:dyDescent="0.2">
      <c r="A436" t="s">
        <v>1608</v>
      </c>
      <c r="B436" t="s">
        <v>1618</v>
      </c>
      <c r="C436" t="s">
        <v>1619</v>
      </c>
      <c r="D436" t="s">
        <v>1620</v>
      </c>
      <c r="E436" s="11"/>
    </row>
    <row r="437" spans="1:5" x14ac:dyDescent="0.2">
      <c r="A437" t="s">
        <v>1608</v>
      </c>
      <c r="B437" t="s">
        <v>1621</v>
      </c>
      <c r="C437" t="s">
        <v>1622</v>
      </c>
      <c r="D437" t="s">
        <v>1623</v>
      </c>
      <c r="E437" s="11"/>
    </row>
    <row r="438" spans="1:5" x14ac:dyDescent="0.2">
      <c r="A438" t="s">
        <v>1608</v>
      </c>
      <c r="B438" t="s">
        <v>1624</v>
      </c>
      <c r="C438" t="s">
        <v>1625</v>
      </c>
      <c r="D438" t="s">
        <v>1626</v>
      </c>
      <c r="E438" s="11"/>
    </row>
    <row r="439" spans="1:5" x14ac:dyDescent="0.2">
      <c r="A439" t="s">
        <v>1608</v>
      </c>
      <c r="B439" s="2" t="s">
        <v>1627</v>
      </c>
      <c r="C439" t="s">
        <v>1628</v>
      </c>
      <c r="D439" t="s">
        <v>1629</v>
      </c>
      <c r="E439" s="11"/>
    </row>
    <row r="440" spans="1:5" x14ac:dyDescent="0.2">
      <c r="A440" t="s">
        <v>1608</v>
      </c>
      <c r="B440" t="s">
        <v>1630</v>
      </c>
      <c r="C440" t="s">
        <v>1631</v>
      </c>
      <c r="D440" t="s">
        <v>1632</v>
      </c>
      <c r="E440" s="11"/>
    </row>
    <row r="441" spans="1:5" x14ac:dyDescent="0.2">
      <c r="A441" t="s">
        <v>1608</v>
      </c>
      <c r="B441" t="s">
        <v>1089</v>
      </c>
      <c r="C441" t="s">
        <v>1319</v>
      </c>
      <c r="D441" t="s">
        <v>1633</v>
      </c>
    </row>
    <row r="442" spans="1:5" x14ac:dyDescent="0.2">
      <c r="A442" t="s">
        <v>1608</v>
      </c>
      <c r="B442" t="s">
        <v>1095</v>
      </c>
      <c r="C442" t="s">
        <v>972</v>
      </c>
      <c r="D442" t="s">
        <v>973</v>
      </c>
    </row>
    <row r="443" spans="1:5" x14ac:dyDescent="0.2">
      <c r="A443" t="s">
        <v>1608</v>
      </c>
      <c r="B443" t="s">
        <v>1096</v>
      </c>
      <c r="C443" t="s">
        <v>974</v>
      </c>
      <c r="D443" t="s">
        <v>975</v>
      </c>
    </row>
    <row r="445" spans="1:5" s="11" customFormat="1" x14ac:dyDescent="0.2">
      <c r="A445" s="10" t="s">
        <v>1634</v>
      </c>
      <c r="B445" s="10" t="s">
        <v>1635</v>
      </c>
      <c r="C445" s="10" t="s">
        <v>1636</v>
      </c>
      <c r="D445" s="10" t="s">
        <v>1637</v>
      </c>
    </row>
    <row r="446" spans="1:5" s="11" customFormat="1" x14ac:dyDescent="0.2">
      <c r="A446" s="10" t="s">
        <v>1634</v>
      </c>
      <c r="B446" s="10" t="s">
        <v>1638</v>
      </c>
      <c r="C446" s="10" t="s">
        <v>1639</v>
      </c>
      <c r="D446" s="10" t="s">
        <v>1640</v>
      </c>
    </row>
    <row r="447" spans="1:5" s="11" customFormat="1" x14ac:dyDescent="0.2">
      <c r="A447" s="10" t="s">
        <v>1634</v>
      </c>
      <c r="B447" s="10" t="s">
        <v>1641</v>
      </c>
      <c r="C447" s="10" t="s">
        <v>1642</v>
      </c>
      <c r="D447" s="10" t="s">
        <v>1643</v>
      </c>
    </row>
    <row r="448" spans="1:5" s="11" customFormat="1" x14ac:dyDescent="0.2">
      <c r="A448" s="10" t="s">
        <v>1634</v>
      </c>
      <c r="B448" s="10" t="s">
        <v>1644</v>
      </c>
      <c r="C448" s="10" t="s">
        <v>1645</v>
      </c>
      <c r="D448" s="10" t="s">
        <v>1646</v>
      </c>
    </row>
    <row r="449" spans="1:5" s="11" customFormat="1" x14ac:dyDescent="0.2">
      <c r="A449" s="10" t="s">
        <v>1634</v>
      </c>
      <c r="B449" s="10" t="s">
        <v>1618</v>
      </c>
      <c r="C449" s="10" t="s">
        <v>1647</v>
      </c>
      <c r="D449" s="10" t="s">
        <v>1648</v>
      </c>
    </row>
    <row r="450" spans="1:5" s="11" customFormat="1" x14ac:dyDescent="0.2">
      <c r="A450" s="10" t="s">
        <v>1634</v>
      </c>
      <c r="B450" s="10" t="s">
        <v>1649</v>
      </c>
      <c r="C450" s="10" t="s">
        <v>1650</v>
      </c>
      <c r="D450" s="10" t="s">
        <v>1651</v>
      </c>
    </row>
    <row r="451" spans="1:5" s="11" customFormat="1" x14ac:dyDescent="0.2">
      <c r="A451" s="10" t="s">
        <v>1634</v>
      </c>
      <c r="B451" s="10" t="s">
        <v>1624</v>
      </c>
      <c r="C451" s="10" t="s">
        <v>1652</v>
      </c>
      <c r="D451" s="10" t="s">
        <v>1653</v>
      </c>
    </row>
    <row r="452" spans="1:5" s="11" customFormat="1" x14ac:dyDescent="0.2">
      <c r="A452" s="10" t="s">
        <v>1634</v>
      </c>
      <c r="B452" s="10" t="s">
        <v>1089</v>
      </c>
      <c r="C452" s="10" t="s">
        <v>1319</v>
      </c>
      <c r="D452" s="10" t="s">
        <v>1320</v>
      </c>
    </row>
    <row r="453" spans="1:5" s="11" customFormat="1" x14ac:dyDescent="0.2">
      <c r="A453" s="10" t="s">
        <v>1634</v>
      </c>
      <c r="B453" s="10" t="s">
        <v>1095</v>
      </c>
      <c r="C453" s="10" t="s">
        <v>972</v>
      </c>
      <c r="D453" s="10" t="s">
        <v>973</v>
      </c>
    </row>
    <row r="454" spans="1:5" s="11" customFormat="1" x14ac:dyDescent="0.2">
      <c r="A454" s="10" t="s">
        <v>1634</v>
      </c>
      <c r="B454" s="10" t="s">
        <v>1096</v>
      </c>
      <c r="C454" s="10" t="s">
        <v>974</v>
      </c>
      <c r="D454" s="10" t="s">
        <v>975</v>
      </c>
    </row>
    <row r="456" spans="1:5" x14ac:dyDescent="0.2">
      <c r="A456" t="s">
        <v>1654</v>
      </c>
      <c r="B456">
        <v>1</v>
      </c>
      <c r="C456" t="s">
        <v>1655</v>
      </c>
      <c r="D456" t="s">
        <v>1656</v>
      </c>
    </row>
    <row r="457" spans="1:5" x14ac:dyDescent="0.2">
      <c r="A457" t="s">
        <v>1654</v>
      </c>
      <c r="B457">
        <v>2</v>
      </c>
      <c r="C457" t="s">
        <v>1657</v>
      </c>
      <c r="D457" t="s">
        <v>1658</v>
      </c>
    </row>
    <row r="458" spans="1:5" x14ac:dyDescent="0.2">
      <c r="A458" t="s">
        <v>1654</v>
      </c>
      <c r="B458">
        <v>3</v>
      </c>
      <c r="C458" t="s">
        <v>1659</v>
      </c>
      <c r="D458" t="s">
        <v>1660</v>
      </c>
    </row>
    <row r="459" spans="1:5" x14ac:dyDescent="0.2">
      <c r="A459" t="s">
        <v>1654</v>
      </c>
      <c r="B459">
        <v>4</v>
      </c>
      <c r="C459" t="s">
        <v>1661</v>
      </c>
      <c r="D459" t="s">
        <v>1662</v>
      </c>
    </row>
    <row r="460" spans="1:5" x14ac:dyDescent="0.2">
      <c r="A460" t="s">
        <v>1654</v>
      </c>
      <c r="B460">
        <v>5</v>
      </c>
      <c r="C460" t="s">
        <v>1319</v>
      </c>
      <c r="D460" t="s">
        <v>1320</v>
      </c>
    </row>
    <row r="461" spans="1:5" x14ac:dyDescent="0.2">
      <c r="A461" t="s">
        <v>1654</v>
      </c>
      <c r="B461" s="15">
        <v>6</v>
      </c>
      <c r="C461" t="s">
        <v>972</v>
      </c>
      <c r="D461" t="s">
        <v>973</v>
      </c>
    </row>
    <row r="462" spans="1:5" x14ac:dyDescent="0.2">
      <c r="A462" t="s">
        <v>1654</v>
      </c>
      <c r="B462" s="15">
        <v>7</v>
      </c>
      <c r="C462" t="s">
        <v>1663</v>
      </c>
      <c r="D462" t="s">
        <v>975</v>
      </c>
    </row>
    <row r="464" spans="1:5" x14ac:dyDescent="0.2">
      <c r="A464" t="s">
        <v>1664</v>
      </c>
      <c r="B464" t="s">
        <v>1458</v>
      </c>
      <c r="C464" t="s">
        <v>1459</v>
      </c>
      <c r="D464" t="s">
        <v>1460</v>
      </c>
      <c r="E464" s="11"/>
    </row>
    <row r="465" spans="1:5" x14ac:dyDescent="0.2">
      <c r="A465" t="s">
        <v>1664</v>
      </c>
      <c r="B465" t="s">
        <v>1461</v>
      </c>
      <c r="C465" t="s">
        <v>1665</v>
      </c>
      <c r="D465" t="s">
        <v>1666</v>
      </c>
      <c r="E465" s="11"/>
    </row>
    <row r="466" spans="1:5" x14ac:dyDescent="0.2">
      <c r="A466" t="s">
        <v>1664</v>
      </c>
      <c r="B466" t="s">
        <v>1464</v>
      </c>
      <c r="C466" t="s">
        <v>1667</v>
      </c>
      <c r="D466" t="s">
        <v>1668</v>
      </c>
      <c r="E466" s="11"/>
    </row>
    <row r="467" spans="1:5" x14ac:dyDescent="0.2">
      <c r="A467" t="s">
        <v>1664</v>
      </c>
      <c r="B467" t="s">
        <v>1467</v>
      </c>
      <c r="C467" t="s">
        <v>1669</v>
      </c>
      <c r="D467" t="s">
        <v>1469</v>
      </c>
      <c r="E467" s="11"/>
    </row>
    <row r="468" spans="1:5" x14ac:dyDescent="0.2">
      <c r="A468" t="s">
        <v>1664</v>
      </c>
      <c r="B468" t="s">
        <v>1670</v>
      </c>
      <c r="C468" t="s">
        <v>1471</v>
      </c>
      <c r="D468" t="s">
        <v>1590</v>
      </c>
      <c r="E468" s="11"/>
    </row>
    <row r="469" spans="1:5" x14ac:dyDescent="0.2">
      <c r="A469" t="s">
        <v>1664</v>
      </c>
      <c r="B469" t="s">
        <v>1473</v>
      </c>
      <c r="C469" t="s">
        <v>1671</v>
      </c>
      <c r="D469" t="s">
        <v>1672</v>
      </c>
      <c r="E469" s="11"/>
    </row>
    <row r="470" spans="1:5" x14ac:dyDescent="0.2">
      <c r="A470" t="s">
        <v>1664</v>
      </c>
      <c r="B470" t="s">
        <v>1476</v>
      </c>
      <c r="C470" t="s">
        <v>1673</v>
      </c>
      <c r="D470" t="s">
        <v>1478</v>
      </c>
      <c r="E470" s="11"/>
    </row>
    <row r="471" spans="1:5" x14ac:dyDescent="0.2">
      <c r="A471" t="s">
        <v>1664</v>
      </c>
      <c r="B471" t="s">
        <v>1089</v>
      </c>
      <c r="C471" t="s">
        <v>1381</v>
      </c>
      <c r="D471" t="s">
        <v>1382</v>
      </c>
    </row>
    <row r="472" spans="1:5" x14ac:dyDescent="0.2">
      <c r="A472" t="s">
        <v>1664</v>
      </c>
      <c r="B472" t="s">
        <v>1095</v>
      </c>
      <c r="C472" t="s">
        <v>972</v>
      </c>
      <c r="D472" t="s">
        <v>973</v>
      </c>
    </row>
    <row r="473" spans="1:5" x14ac:dyDescent="0.2">
      <c r="A473" t="s">
        <v>1664</v>
      </c>
      <c r="B473" t="s">
        <v>1096</v>
      </c>
      <c r="C473" t="s">
        <v>974</v>
      </c>
      <c r="D473" t="s">
        <v>975</v>
      </c>
    </row>
    <row r="475" spans="1:5" x14ac:dyDescent="0.2">
      <c r="A475" t="s">
        <v>1674</v>
      </c>
      <c r="B475">
        <v>1</v>
      </c>
      <c r="C475" t="s">
        <v>1675</v>
      </c>
      <c r="D475" t="s">
        <v>1676</v>
      </c>
    </row>
    <row r="476" spans="1:5" x14ac:dyDescent="0.2">
      <c r="A476" t="s">
        <v>1674</v>
      </c>
      <c r="B476">
        <v>2</v>
      </c>
      <c r="C476" t="s">
        <v>1677</v>
      </c>
      <c r="D476" t="s">
        <v>1678</v>
      </c>
    </row>
    <row r="477" spans="1:5" x14ac:dyDescent="0.2">
      <c r="A477" t="s">
        <v>1674</v>
      </c>
      <c r="B477">
        <v>3</v>
      </c>
      <c r="C477" t="s">
        <v>1679</v>
      </c>
      <c r="D477" t="s">
        <v>1680</v>
      </c>
    </row>
    <row r="478" spans="1:5" x14ac:dyDescent="0.2">
      <c r="A478" t="s">
        <v>1674</v>
      </c>
      <c r="B478">
        <v>4</v>
      </c>
      <c r="C478" t="s">
        <v>1681</v>
      </c>
      <c r="D478" t="s">
        <v>973</v>
      </c>
    </row>
    <row r="479" spans="1:5" x14ac:dyDescent="0.2">
      <c r="A479" t="s">
        <v>1674</v>
      </c>
      <c r="B479" s="15">
        <v>5</v>
      </c>
      <c r="C479" t="s">
        <v>974</v>
      </c>
      <c r="D479" t="s">
        <v>975</v>
      </c>
    </row>
    <row r="481" spans="1:4" x14ac:dyDescent="0.2">
      <c r="A481" t="s">
        <v>1682</v>
      </c>
      <c r="B481">
        <v>1</v>
      </c>
      <c r="C481" t="s">
        <v>968</v>
      </c>
      <c r="D481" t="s">
        <v>969</v>
      </c>
    </row>
    <row r="482" spans="1:4" x14ac:dyDescent="0.2">
      <c r="A482" t="s">
        <v>1682</v>
      </c>
      <c r="B482">
        <v>2</v>
      </c>
      <c r="C482" t="s">
        <v>1683</v>
      </c>
      <c r="D482" t="s">
        <v>1684</v>
      </c>
    </row>
    <row r="483" spans="1:4" x14ac:dyDescent="0.2">
      <c r="A483" t="s">
        <v>1682</v>
      </c>
      <c r="B483">
        <v>3</v>
      </c>
      <c r="C483" t="s">
        <v>1685</v>
      </c>
      <c r="D483" t="s">
        <v>1686</v>
      </c>
    </row>
    <row r="484" spans="1:4" x14ac:dyDescent="0.2">
      <c r="A484" t="s">
        <v>1682</v>
      </c>
      <c r="B484">
        <v>4</v>
      </c>
      <c r="C484" t="s">
        <v>1687</v>
      </c>
      <c r="D484" t="s">
        <v>1688</v>
      </c>
    </row>
    <row r="485" spans="1:4" x14ac:dyDescent="0.2">
      <c r="A485" t="s">
        <v>1682</v>
      </c>
      <c r="B485" s="15">
        <v>5</v>
      </c>
      <c r="C485" t="s">
        <v>972</v>
      </c>
      <c r="D485" t="s">
        <v>973</v>
      </c>
    </row>
    <row r="486" spans="1:4" x14ac:dyDescent="0.2">
      <c r="A486" t="s">
        <v>1682</v>
      </c>
      <c r="B486" s="15">
        <v>6</v>
      </c>
      <c r="C486" t="s">
        <v>974</v>
      </c>
      <c r="D486" t="s">
        <v>975</v>
      </c>
    </row>
    <row r="488" spans="1:4" x14ac:dyDescent="0.2">
      <c r="A488" t="s">
        <v>776</v>
      </c>
      <c r="B488" t="s">
        <v>1689</v>
      </c>
      <c r="C488" t="s">
        <v>1690</v>
      </c>
      <c r="D488" t="s">
        <v>1691</v>
      </c>
    </row>
    <row r="489" spans="1:4" x14ac:dyDescent="0.2">
      <c r="A489" t="s">
        <v>776</v>
      </c>
      <c r="B489" t="s">
        <v>1692</v>
      </c>
      <c r="C489" t="s">
        <v>1693</v>
      </c>
      <c r="D489" t="s">
        <v>1694</v>
      </c>
    </row>
    <row r="490" spans="1:4" x14ac:dyDescent="0.2">
      <c r="A490" t="s">
        <v>776</v>
      </c>
      <c r="B490" t="s">
        <v>1695</v>
      </c>
      <c r="C490" t="s">
        <v>1696</v>
      </c>
      <c r="D490" t="s">
        <v>1697</v>
      </c>
    </row>
    <row r="491" spans="1:4" x14ac:dyDescent="0.2">
      <c r="A491" t="s">
        <v>776</v>
      </c>
      <c r="B491" t="s">
        <v>1698</v>
      </c>
      <c r="C491" t="s">
        <v>1699</v>
      </c>
      <c r="D491" t="s">
        <v>1700</v>
      </c>
    </row>
    <row r="492" spans="1:4" x14ac:dyDescent="0.2">
      <c r="A492" t="s">
        <v>776</v>
      </c>
      <c r="B492" t="s">
        <v>1701</v>
      </c>
      <c r="C492" t="s">
        <v>1702</v>
      </c>
      <c r="D492" t="s">
        <v>1703</v>
      </c>
    </row>
    <row r="493" spans="1:4" x14ac:dyDescent="0.2">
      <c r="A493" t="s">
        <v>776</v>
      </c>
      <c r="B493" t="s">
        <v>1704</v>
      </c>
      <c r="C493" t="s">
        <v>1580</v>
      </c>
      <c r="D493" t="s">
        <v>1581</v>
      </c>
    </row>
    <row r="494" spans="1:4" x14ac:dyDescent="0.2">
      <c r="A494" t="s">
        <v>776</v>
      </c>
      <c r="B494" t="s">
        <v>1705</v>
      </c>
      <c r="C494" t="s">
        <v>1706</v>
      </c>
      <c r="D494" t="s">
        <v>1707</v>
      </c>
    </row>
    <row r="495" spans="1:4" x14ac:dyDescent="0.2">
      <c r="A495" t="s">
        <v>776</v>
      </c>
      <c r="B495" t="s">
        <v>1708</v>
      </c>
      <c r="C495" t="s">
        <v>1709</v>
      </c>
      <c r="D495" t="s">
        <v>1710</v>
      </c>
    </row>
    <row r="496" spans="1:4" x14ac:dyDescent="0.2">
      <c r="A496" t="s">
        <v>776</v>
      </c>
      <c r="B496" t="s">
        <v>1711</v>
      </c>
      <c r="C496" t="s">
        <v>1712</v>
      </c>
      <c r="D496" t="s">
        <v>1713</v>
      </c>
    </row>
    <row r="497" spans="1:5" x14ac:dyDescent="0.2">
      <c r="A497" t="s">
        <v>776</v>
      </c>
      <c r="B497" t="s">
        <v>1714</v>
      </c>
      <c r="C497" t="s">
        <v>1715</v>
      </c>
      <c r="D497" t="s">
        <v>1716</v>
      </c>
    </row>
    <row r="498" spans="1:5" x14ac:dyDescent="0.2">
      <c r="A498" t="s">
        <v>776</v>
      </c>
      <c r="B498" t="s">
        <v>1717</v>
      </c>
      <c r="C498" t="s">
        <v>1718</v>
      </c>
      <c r="D498" t="s">
        <v>1719</v>
      </c>
    </row>
    <row r="499" spans="1:5" x14ac:dyDescent="0.2">
      <c r="A499" t="s">
        <v>776</v>
      </c>
      <c r="B499" t="s">
        <v>1720</v>
      </c>
      <c r="C499" t="s">
        <v>1721</v>
      </c>
      <c r="D499" t="s">
        <v>1722</v>
      </c>
    </row>
    <row r="501" spans="1:5" x14ac:dyDescent="0.2">
      <c r="A501" t="s">
        <v>1723</v>
      </c>
      <c r="B501" t="s">
        <v>1724</v>
      </c>
      <c r="C501" t="s">
        <v>1725</v>
      </c>
      <c r="D501" t="s">
        <v>1726</v>
      </c>
      <c r="E501" s="11"/>
    </row>
    <row r="502" spans="1:5" x14ac:dyDescent="0.2">
      <c r="A502" t="s">
        <v>1723</v>
      </c>
      <c r="B502" t="s">
        <v>1727</v>
      </c>
      <c r="C502" t="s">
        <v>1728</v>
      </c>
      <c r="D502" t="s">
        <v>1729</v>
      </c>
      <c r="E502" s="11"/>
    </row>
    <row r="503" spans="1:5" x14ac:dyDescent="0.2">
      <c r="A503" t="s">
        <v>1723</v>
      </c>
      <c r="B503" t="s">
        <v>1730</v>
      </c>
      <c r="C503" t="s">
        <v>1731</v>
      </c>
      <c r="D503" t="s">
        <v>1732</v>
      </c>
      <c r="E503" s="11"/>
    </row>
    <row r="504" spans="1:5" x14ac:dyDescent="0.2">
      <c r="A504" t="s">
        <v>1723</v>
      </c>
      <c r="B504" t="s">
        <v>1733</v>
      </c>
      <c r="C504" t="s">
        <v>1734</v>
      </c>
      <c r="D504" t="s">
        <v>1735</v>
      </c>
      <c r="E504" s="11"/>
    </row>
    <row r="505" spans="1:5" x14ac:dyDescent="0.2">
      <c r="A505" t="s">
        <v>1723</v>
      </c>
      <c r="B505" t="s">
        <v>1736</v>
      </c>
      <c r="C505" t="s">
        <v>1737</v>
      </c>
      <c r="D505" t="s">
        <v>1738</v>
      </c>
      <c r="E505" s="11"/>
    </row>
    <row r="506" spans="1:5" x14ac:dyDescent="0.2">
      <c r="A506" t="s">
        <v>1723</v>
      </c>
      <c r="B506" t="s">
        <v>1739</v>
      </c>
      <c r="C506" t="s">
        <v>1740</v>
      </c>
      <c r="D506" t="s">
        <v>1741</v>
      </c>
      <c r="E506" s="11"/>
    </row>
    <row r="507" spans="1:5" x14ac:dyDescent="0.2">
      <c r="A507" t="s">
        <v>1723</v>
      </c>
      <c r="B507" t="s">
        <v>585</v>
      </c>
      <c r="C507" t="s">
        <v>1742</v>
      </c>
      <c r="D507" t="s">
        <v>1743</v>
      </c>
      <c r="E507" s="11"/>
    </row>
    <row r="508" spans="1:5" x14ac:dyDescent="0.2">
      <c r="A508" t="s">
        <v>1723</v>
      </c>
      <c r="B508" t="s">
        <v>1744</v>
      </c>
      <c r="C508" t="s">
        <v>1745</v>
      </c>
      <c r="D508" t="s">
        <v>1746</v>
      </c>
      <c r="E508" s="11"/>
    </row>
    <row r="509" spans="1:5" x14ac:dyDescent="0.2">
      <c r="A509" t="s">
        <v>1723</v>
      </c>
      <c r="B509" t="s">
        <v>1747</v>
      </c>
      <c r="C509" t="s">
        <v>1748</v>
      </c>
      <c r="D509" t="s">
        <v>1749</v>
      </c>
      <c r="E509" s="11"/>
    </row>
    <row r="510" spans="1:5" x14ac:dyDescent="0.2">
      <c r="A510" t="s">
        <v>1723</v>
      </c>
      <c r="B510" t="s">
        <v>1750</v>
      </c>
      <c r="C510" t="s">
        <v>1751</v>
      </c>
      <c r="D510" t="s">
        <v>1752</v>
      </c>
      <c r="E510" s="11"/>
    </row>
    <row r="511" spans="1:5" x14ac:dyDescent="0.2">
      <c r="A511" t="s">
        <v>1723</v>
      </c>
      <c r="B511" t="s">
        <v>1753</v>
      </c>
      <c r="C511" t="s">
        <v>1754</v>
      </c>
      <c r="D511" t="s">
        <v>1755</v>
      </c>
      <c r="E511" s="11"/>
    </row>
    <row r="512" spans="1:5" x14ac:dyDescent="0.2">
      <c r="A512" t="s">
        <v>1723</v>
      </c>
      <c r="B512" t="s">
        <v>1756</v>
      </c>
      <c r="C512" t="s">
        <v>1757</v>
      </c>
      <c r="D512" t="s">
        <v>1758</v>
      </c>
      <c r="E512" s="11"/>
    </row>
    <row r="513" spans="1:5" x14ac:dyDescent="0.2">
      <c r="A513" t="s">
        <v>1723</v>
      </c>
      <c r="B513" t="s">
        <v>1759</v>
      </c>
      <c r="C513" t="s">
        <v>1760</v>
      </c>
      <c r="D513" t="s">
        <v>1761</v>
      </c>
      <c r="E513" s="11"/>
    </row>
    <row r="514" spans="1:5" x14ac:dyDescent="0.2">
      <c r="A514" t="s">
        <v>1723</v>
      </c>
      <c r="B514" t="s">
        <v>1762</v>
      </c>
      <c r="C514" t="s">
        <v>1763</v>
      </c>
      <c r="D514" t="s">
        <v>1764</v>
      </c>
      <c r="E514" s="11"/>
    </row>
    <row r="515" spans="1:5" x14ac:dyDescent="0.2">
      <c r="A515" t="s">
        <v>1723</v>
      </c>
      <c r="B515" t="s">
        <v>1765</v>
      </c>
      <c r="C515" t="s">
        <v>1766</v>
      </c>
      <c r="D515" t="s">
        <v>1767</v>
      </c>
      <c r="E515" s="11"/>
    </row>
    <row r="516" spans="1:5" x14ac:dyDescent="0.2">
      <c r="A516" t="s">
        <v>1723</v>
      </c>
      <c r="B516" t="s">
        <v>1768</v>
      </c>
      <c r="C516" t="s">
        <v>1769</v>
      </c>
      <c r="D516" t="s">
        <v>1770</v>
      </c>
      <c r="E516" s="11"/>
    </row>
    <row r="517" spans="1:5" x14ac:dyDescent="0.2">
      <c r="A517" t="s">
        <v>1723</v>
      </c>
      <c r="B517" t="s">
        <v>1089</v>
      </c>
      <c r="C517" t="s">
        <v>1319</v>
      </c>
      <c r="D517" t="s">
        <v>1320</v>
      </c>
    </row>
    <row r="518" spans="1:5" x14ac:dyDescent="0.2">
      <c r="A518" t="s">
        <v>1723</v>
      </c>
      <c r="B518" t="s">
        <v>1095</v>
      </c>
      <c r="C518" t="s">
        <v>972</v>
      </c>
      <c r="D518" t="s">
        <v>973</v>
      </c>
    </row>
    <row r="519" spans="1:5" x14ac:dyDescent="0.2">
      <c r="A519" t="s">
        <v>1723</v>
      </c>
      <c r="B519" t="s">
        <v>1096</v>
      </c>
      <c r="C519" t="s">
        <v>974</v>
      </c>
      <c r="D519" t="s">
        <v>975</v>
      </c>
    </row>
    <row r="521" spans="1:5" x14ac:dyDescent="0.2">
      <c r="A521" t="s">
        <v>1771</v>
      </c>
      <c r="B521" s="2" t="s">
        <v>1724</v>
      </c>
      <c r="C521" s="2" t="s">
        <v>1725</v>
      </c>
      <c r="D521" t="s">
        <v>1726</v>
      </c>
      <c r="E521" s="11"/>
    </row>
    <row r="522" spans="1:5" x14ac:dyDescent="0.2">
      <c r="A522" t="s">
        <v>1771</v>
      </c>
      <c r="B522" s="2" t="s">
        <v>1727</v>
      </c>
      <c r="C522" s="2" t="s">
        <v>1772</v>
      </c>
      <c r="D522" t="s">
        <v>1773</v>
      </c>
      <c r="E522" s="11"/>
    </row>
    <row r="523" spans="1:5" x14ac:dyDescent="0.2">
      <c r="A523" t="s">
        <v>1771</v>
      </c>
      <c r="B523" s="2" t="s">
        <v>1730</v>
      </c>
      <c r="C523" s="2" t="s">
        <v>1774</v>
      </c>
      <c r="D523" t="s">
        <v>1775</v>
      </c>
      <c r="E523" s="11"/>
    </row>
    <row r="524" spans="1:5" x14ac:dyDescent="0.2">
      <c r="A524" t="s">
        <v>1771</v>
      </c>
      <c r="B524" t="s">
        <v>1776</v>
      </c>
      <c r="C524" t="s">
        <v>1777</v>
      </c>
      <c r="D524" t="s">
        <v>1778</v>
      </c>
      <c r="E524" s="11"/>
    </row>
    <row r="525" spans="1:5" x14ac:dyDescent="0.2">
      <c r="A525" t="s">
        <v>1771</v>
      </c>
      <c r="B525" t="s">
        <v>1779</v>
      </c>
      <c r="C525" t="s">
        <v>1780</v>
      </c>
      <c r="D525" t="s">
        <v>1781</v>
      </c>
      <c r="E525" s="11"/>
    </row>
    <row r="526" spans="1:5" x14ac:dyDescent="0.2">
      <c r="A526" t="s">
        <v>1771</v>
      </c>
      <c r="B526" t="s">
        <v>1782</v>
      </c>
      <c r="C526" t="s">
        <v>1783</v>
      </c>
      <c r="D526" t="s">
        <v>1784</v>
      </c>
      <c r="E526" s="11"/>
    </row>
    <row r="527" spans="1:5" x14ac:dyDescent="0.2">
      <c r="A527" t="s">
        <v>1771</v>
      </c>
      <c r="B527" t="s">
        <v>1785</v>
      </c>
      <c r="C527" t="s">
        <v>1763</v>
      </c>
      <c r="D527" t="s">
        <v>1764</v>
      </c>
      <c r="E527" s="11"/>
    </row>
    <row r="528" spans="1:5" x14ac:dyDescent="0.2">
      <c r="A528" t="s">
        <v>1771</v>
      </c>
      <c r="B528" t="s">
        <v>1786</v>
      </c>
      <c r="C528" t="s">
        <v>1769</v>
      </c>
      <c r="D528" t="s">
        <v>1787</v>
      </c>
      <c r="E528" s="11"/>
    </row>
    <row r="529" spans="1:5" x14ac:dyDescent="0.2">
      <c r="A529" t="s">
        <v>1771</v>
      </c>
      <c r="B529" t="s">
        <v>1089</v>
      </c>
      <c r="C529" t="s">
        <v>1319</v>
      </c>
      <c r="D529" t="s">
        <v>1320</v>
      </c>
      <c r="E529" s="11"/>
    </row>
    <row r="530" spans="1:5" x14ac:dyDescent="0.2">
      <c r="A530" t="s">
        <v>1771</v>
      </c>
      <c r="B530" t="s">
        <v>1092</v>
      </c>
      <c r="C530" t="s">
        <v>1788</v>
      </c>
      <c r="D530" t="s">
        <v>1789</v>
      </c>
      <c r="E530" s="11"/>
    </row>
    <row r="531" spans="1:5" x14ac:dyDescent="0.2">
      <c r="A531" t="s">
        <v>1771</v>
      </c>
      <c r="B531" t="s">
        <v>1095</v>
      </c>
      <c r="C531" t="s">
        <v>1681</v>
      </c>
      <c r="D531" t="s">
        <v>973</v>
      </c>
    </row>
    <row r="532" spans="1:5" x14ac:dyDescent="0.2">
      <c r="A532" t="s">
        <v>1771</v>
      </c>
      <c r="B532" t="s">
        <v>1096</v>
      </c>
      <c r="C532" t="s">
        <v>974</v>
      </c>
      <c r="D532" t="s">
        <v>975</v>
      </c>
    </row>
    <row r="534" spans="1:5" x14ac:dyDescent="0.2">
      <c r="A534" s="2" t="s">
        <v>1790</v>
      </c>
      <c r="B534" s="2">
        <v>1</v>
      </c>
      <c r="C534" s="2" t="s">
        <v>968</v>
      </c>
      <c r="D534" s="2" t="s">
        <v>969</v>
      </c>
      <c r="E534" s="11"/>
    </row>
    <row r="535" spans="1:5" x14ac:dyDescent="0.2">
      <c r="A535" s="2" t="s">
        <v>1790</v>
      </c>
      <c r="B535" s="2">
        <v>2</v>
      </c>
      <c r="C535" s="2" t="s">
        <v>1791</v>
      </c>
      <c r="D535" s="2" t="s">
        <v>1792</v>
      </c>
      <c r="E535" s="11"/>
    </row>
    <row r="536" spans="1:5" x14ac:dyDescent="0.2">
      <c r="A536" s="2" t="s">
        <v>1790</v>
      </c>
      <c r="B536" s="2">
        <v>3</v>
      </c>
      <c r="C536" s="2" t="s">
        <v>1793</v>
      </c>
      <c r="D536" s="2" t="s">
        <v>1794</v>
      </c>
      <c r="E536" s="11"/>
    </row>
    <row r="537" spans="1:5" x14ac:dyDescent="0.2">
      <c r="A537" s="2" t="s">
        <v>1790</v>
      </c>
      <c r="B537" s="2">
        <v>4</v>
      </c>
      <c r="C537" s="2" t="s">
        <v>1795</v>
      </c>
      <c r="D537" s="2" t="s">
        <v>1796</v>
      </c>
      <c r="E537" s="11"/>
    </row>
    <row r="538" spans="1:5" x14ac:dyDescent="0.2">
      <c r="A538" s="2" t="s">
        <v>1790</v>
      </c>
      <c r="B538" s="2">
        <v>5</v>
      </c>
      <c r="C538" s="2" t="s">
        <v>1797</v>
      </c>
      <c r="D538" s="2" t="s">
        <v>1798</v>
      </c>
      <c r="E538" s="11"/>
    </row>
    <row r="539" spans="1:5" x14ac:dyDescent="0.2">
      <c r="A539" s="2" t="s">
        <v>1790</v>
      </c>
      <c r="B539" s="2">
        <v>6</v>
      </c>
      <c r="C539" s="2" t="s">
        <v>1799</v>
      </c>
      <c r="D539" s="2" t="s">
        <v>1800</v>
      </c>
      <c r="E539" s="11"/>
    </row>
    <row r="540" spans="1:5" x14ac:dyDescent="0.2">
      <c r="A540" s="2" t="s">
        <v>1790</v>
      </c>
      <c r="B540" s="2">
        <v>7</v>
      </c>
      <c r="C540" s="2" t="s">
        <v>972</v>
      </c>
      <c r="D540" t="s">
        <v>973</v>
      </c>
      <c r="E540" s="11"/>
    </row>
    <row r="541" spans="1:5" x14ac:dyDescent="0.2">
      <c r="A541" s="2" t="s">
        <v>1790</v>
      </c>
      <c r="B541" s="2">
        <v>8</v>
      </c>
      <c r="C541" s="2" t="s">
        <v>974</v>
      </c>
      <c r="D541" t="s">
        <v>975</v>
      </c>
      <c r="E541" s="11"/>
    </row>
    <row r="542" spans="1:5" x14ac:dyDescent="0.2">
      <c r="E542" s="11"/>
    </row>
    <row r="543" spans="1:5" x14ac:dyDescent="0.2">
      <c r="A543" s="2" t="s">
        <v>1801</v>
      </c>
      <c r="B543" s="2" t="s">
        <v>1802</v>
      </c>
      <c r="C543" s="2" t="s">
        <v>1803</v>
      </c>
      <c r="D543" s="2" t="s">
        <v>1803</v>
      </c>
      <c r="E543" s="11"/>
    </row>
    <row r="544" spans="1:5" x14ac:dyDescent="0.2">
      <c r="A544" s="2" t="s">
        <v>1801</v>
      </c>
      <c r="B544" s="2" t="s">
        <v>1804</v>
      </c>
      <c r="C544" s="2" t="s">
        <v>1805</v>
      </c>
      <c r="D544" s="2" t="s">
        <v>1806</v>
      </c>
      <c r="E544" s="11"/>
    </row>
    <row r="545" spans="1:5" x14ac:dyDescent="0.2">
      <c r="A545" s="2" t="s">
        <v>1801</v>
      </c>
      <c r="B545" s="2" t="s">
        <v>1807</v>
      </c>
      <c r="C545" s="2" t="s">
        <v>1808</v>
      </c>
      <c r="D545" s="2" t="s">
        <v>1809</v>
      </c>
      <c r="E545" s="11"/>
    </row>
    <row r="546" spans="1:5" x14ac:dyDescent="0.2">
      <c r="A546" s="2" t="s">
        <v>1801</v>
      </c>
      <c r="B546" s="2" t="s">
        <v>1375</v>
      </c>
      <c r="C546" s="2" t="s">
        <v>1810</v>
      </c>
      <c r="D546" s="2" t="s">
        <v>1811</v>
      </c>
      <c r="E546" s="11"/>
    </row>
    <row r="547" spans="1:5" x14ac:dyDescent="0.2">
      <c r="A547" s="2" t="s">
        <v>1801</v>
      </c>
      <c r="B547" s="2" t="s">
        <v>1369</v>
      </c>
      <c r="C547" s="2" t="s">
        <v>1812</v>
      </c>
      <c r="D547" s="2" t="s">
        <v>1813</v>
      </c>
      <c r="E547" s="11"/>
    </row>
    <row r="548" spans="1:5" x14ac:dyDescent="0.2">
      <c r="A548" s="2" t="s">
        <v>1801</v>
      </c>
      <c r="B548" s="2" t="s">
        <v>1095</v>
      </c>
      <c r="C548" s="2" t="s">
        <v>972</v>
      </c>
      <c r="D548" t="s">
        <v>973</v>
      </c>
      <c r="E548" s="11"/>
    </row>
    <row r="549" spans="1:5" x14ac:dyDescent="0.2">
      <c r="A549" s="2" t="s">
        <v>1801</v>
      </c>
      <c r="B549" s="2" t="s">
        <v>1096</v>
      </c>
      <c r="C549" s="2" t="s">
        <v>974</v>
      </c>
      <c r="D549" t="s">
        <v>975</v>
      </c>
    </row>
    <row r="551" spans="1:5" x14ac:dyDescent="0.2">
      <c r="A551" t="s">
        <v>1814</v>
      </c>
      <c r="B551">
        <v>1</v>
      </c>
      <c r="C551" t="s">
        <v>1815</v>
      </c>
      <c r="D551" t="s">
        <v>1816</v>
      </c>
    </row>
    <row r="552" spans="1:5" x14ac:dyDescent="0.2">
      <c r="A552" t="s">
        <v>1814</v>
      </c>
      <c r="B552">
        <v>2</v>
      </c>
      <c r="C552" t="s">
        <v>1817</v>
      </c>
      <c r="D552" t="s">
        <v>1818</v>
      </c>
    </row>
    <row r="553" spans="1:5" x14ac:dyDescent="0.2">
      <c r="A553" t="s">
        <v>1814</v>
      </c>
      <c r="B553">
        <v>3</v>
      </c>
      <c r="C553" t="s">
        <v>1819</v>
      </c>
      <c r="D553" t="s">
        <v>1820</v>
      </c>
    </row>
    <row r="554" spans="1:5" x14ac:dyDescent="0.2">
      <c r="A554" t="s">
        <v>1814</v>
      </c>
      <c r="B554">
        <v>4</v>
      </c>
      <c r="C554" t="s">
        <v>1821</v>
      </c>
      <c r="D554" t="s">
        <v>1822</v>
      </c>
    </row>
    <row r="555" spans="1:5" x14ac:dyDescent="0.2">
      <c r="A555" t="s">
        <v>1814</v>
      </c>
      <c r="B555">
        <v>5</v>
      </c>
      <c r="C555" t="s">
        <v>1823</v>
      </c>
      <c r="D555" t="s">
        <v>1320</v>
      </c>
    </row>
    <row r="556" spans="1:5" x14ac:dyDescent="0.2">
      <c r="A556" t="s">
        <v>1814</v>
      </c>
      <c r="B556">
        <v>6</v>
      </c>
      <c r="C556" t="s">
        <v>972</v>
      </c>
      <c r="D556" t="s">
        <v>973</v>
      </c>
    </row>
    <row r="557" spans="1:5" x14ac:dyDescent="0.2">
      <c r="A557" t="s">
        <v>1814</v>
      </c>
      <c r="B557">
        <v>7</v>
      </c>
      <c r="C557" t="s">
        <v>974</v>
      </c>
      <c r="D557" t="s">
        <v>975</v>
      </c>
    </row>
    <row r="559" spans="1:5" x14ac:dyDescent="0.2">
      <c r="A559" t="s">
        <v>1824</v>
      </c>
      <c r="B559" t="s">
        <v>1825</v>
      </c>
      <c r="C559" t="s">
        <v>1826</v>
      </c>
      <c r="D559" t="s">
        <v>1827</v>
      </c>
    </row>
    <row r="560" spans="1:5" x14ac:dyDescent="0.2">
      <c r="A560" t="s">
        <v>1824</v>
      </c>
      <c r="B560" t="s">
        <v>1828</v>
      </c>
      <c r="C560" t="s">
        <v>1829</v>
      </c>
      <c r="D560" t="s">
        <v>1830</v>
      </c>
    </row>
    <row r="561" spans="1:5" x14ac:dyDescent="0.2">
      <c r="A561" t="s">
        <v>1824</v>
      </c>
      <c r="B561" t="s">
        <v>1831</v>
      </c>
      <c r="C561" t="s">
        <v>1832</v>
      </c>
      <c r="D561" t="s">
        <v>1833</v>
      </c>
    </row>
    <row r="562" spans="1:5" x14ac:dyDescent="0.2">
      <c r="A562" t="s">
        <v>1824</v>
      </c>
      <c r="B562" t="s">
        <v>1834</v>
      </c>
      <c r="C562" t="s">
        <v>1835</v>
      </c>
      <c r="D562" t="s">
        <v>1836</v>
      </c>
    </row>
    <row r="563" spans="1:5" x14ac:dyDescent="0.2">
      <c r="A563" t="s">
        <v>1824</v>
      </c>
      <c r="B563" t="s">
        <v>1837</v>
      </c>
      <c r="C563" t="s">
        <v>1838</v>
      </c>
      <c r="D563" t="s">
        <v>1839</v>
      </c>
    </row>
    <row r="564" spans="1:5" x14ac:dyDescent="0.2">
      <c r="A564" t="s">
        <v>1824</v>
      </c>
      <c r="B564" t="s">
        <v>1840</v>
      </c>
      <c r="C564" t="s">
        <v>1841</v>
      </c>
      <c r="D564" t="s">
        <v>1842</v>
      </c>
    </row>
    <row r="565" spans="1:5" x14ac:dyDescent="0.2">
      <c r="A565" t="s">
        <v>1824</v>
      </c>
      <c r="B565" t="s">
        <v>1843</v>
      </c>
      <c r="C565" t="s">
        <v>1844</v>
      </c>
      <c r="D565" t="s">
        <v>1845</v>
      </c>
    </row>
    <row r="567" spans="1:5" x14ac:dyDescent="0.2">
      <c r="A567" t="s">
        <v>933</v>
      </c>
      <c r="B567" t="s">
        <v>1846</v>
      </c>
      <c r="C567" t="s">
        <v>1847</v>
      </c>
      <c r="D567" t="s">
        <v>1848</v>
      </c>
    </row>
    <row r="568" spans="1:5" x14ac:dyDescent="0.2">
      <c r="A568" t="s">
        <v>933</v>
      </c>
      <c r="B568" t="s">
        <v>1849</v>
      </c>
      <c r="C568" t="s">
        <v>1850</v>
      </c>
      <c r="D568" t="s">
        <v>1851</v>
      </c>
    </row>
    <row r="569" spans="1:5" x14ac:dyDescent="0.2">
      <c r="A569" t="s">
        <v>933</v>
      </c>
      <c r="B569" t="s">
        <v>1852</v>
      </c>
      <c r="C569" t="s">
        <v>1853</v>
      </c>
      <c r="D569" t="s">
        <v>1854</v>
      </c>
    </row>
    <row r="571" spans="1:5" x14ac:dyDescent="0.2">
      <c r="A571" s="308" t="s">
        <v>1855</v>
      </c>
      <c r="B571" s="308" t="s">
        <v>1856</v>
      </c>
      <c r="C571" s="308" t="s">
        <v>1857</v>
      </c>
      <c r="D571" s="308" t="s">
        <v>1858</v>
      </c>
    </row>
    <row r="572" spans="1:5" x14ac:dyDescent="0.2">
      <c r="A572" s="308" t="s">
        <v>1855</v>
      </c>
      <c r="B572" s="308" t="s">
        <v>1859</v>
      </c>
      <c r="C572" s="308" t="s">
        <v>1860</v>
      </c>
      <c r="D572" s="308" t="s">
        <v>1861</v>
      </c>
      <c r="E572" s="8"/>
    </row>
    <row r="573" spans="1:5" x14ac:dyDescent="0.2">
      <c r="A573" s="308" t="s">
        <v>1855</v>
      </c>
      <c r="B573" s="308" t="s">
        <v>1862</v>
      </c>
      <c r="C573" s="308" t="s">
        <v>1863</v>
      </c>
      <c r="D573" s="308" t="s">
        <v>1864</v>
      </c>
    </row>
    <row r="574" spans="1:5" x14ac:dyDescent="0.2">
      <c r="A574" s="308" t="s">
        <v>1855</v>
      </c>
      <c r="B574" s="308" t="s">
        <v>1865</v>
      </c>
      <c r="C574" s="308" t="s">
        <v>1866</v>
      </c>
      <c r="D574" s="308" t="s">
        <v>1867</v>
      </c>
    </row>
    <row r="575" spans="1:5" x14ac:dyDescent="0.2">
      <c r="A575" s="308" t="s">
        <v>1855</v>
      </c>
      <c r="B575" s="308" t="s">
        <v>1868</v>
      </c>
      <c r="C575" s="308" t="s">
        <v>1869</v>
      </c>
      <c r="D575" s="308" t="s">
        <v>1870</v>
      </c>
    </row>
    <row r="576" spans="1:5" x14ac:dyDescent="0.2">
      <c r="A576" s="308" t="s">
        <v>1855</v>
      </c>
      <c r="B576" s="308" t="s">
        <v>1871</v>
      </c>
      <c r="C576" s="308" t="s">
        <v>1872</v>
      </c>
      <c r="D576" s="308" t="s">
        <v>1873</v>
      </c>
    </row>
    <row r="577" spans="1:4" x14ac:dyDescent="0.2">
      <c r="A577" s="308" t="s">
        <v>1855</v>
      </c>
      <c r="B577" s="308" t="s">
        <v>1874</v>
      </c>
      <c r="C577" s="308" t="s">
        <v>1875</v>
      </c>
      <c r="D577" s="331" t="s">
        <v>1876</v>
      </c>
    </row>
    <row r="578" spans="1:4" x14ac:dyDescent="0.2">
      <c r="A578" s="308" t="s">
        <v>1855</v>
      </c>
      <c r="B578" s="308" t="s">
        <v>1877</v>
      </c>
      <c r="C578" s="308" t="s">
        <v>1878</v>
      </c>
      <c r="D578" s="308" t="s">
        <v>1879</v>
      </c>
    </row>
    <row r="579" spans="1:4" x14ac:dyDescent="0.2">
      <c r="A579" s="308" t="s">
        <v>1855</v>
      </c>
      <c r="B579" s="308" t="s">
        <v>1880</v>
      </c>
      <c r="C579" s="308" t="s">
        <v>1881</v>
      </c>
      <c r="D579" s="308" t="s">
        <v>1882</v>
      </c>
    </row>
    <row r="581" spans="1:4" x14ac:dyDescent="0.2">
      <c r="A581" s="308" t="s">
        <v>1883</v>
      </c>
      <c r="B581" s="308" t="s">
        <v>1884</v>
      </c>
      <c r="C581" s="308" t="s">
        <v>1885</v>
      </c>
      <c r="D581" s="331" t="s">
        <v>1886</v>
      </c>
    </row>
    <row r="582" spans="1:4" x14ac:dyDescent="0.2">
      <c r="A582" s="308" t="s">
        <v>1883</v>
      </c>
      <c r="B582" s="308" t="s">
        <v>1887</v>
      </c>
      <c r="C582" s="308" t="s">
        <v>1888</v>
      </c>
      <c r="D582" s="308" t="s">
        <v>1889</v>
      </c>
    </row>
    <row r="583" spans="1:4" x14ac:dyDescent="0.2">
      <c r="A583" s="308" t="s">
        <v>1883</v>
      </c>
      <c r="B583" s="308" t="s">
        <v>1890</v>
      </c>
      <c r="C583" s="308" t="s">
        <v>1891</v>
      </c>
      <c r="D583" s="308" t="s">
        <v>1892</v>
      </c>
    </row>
    <row r="584" spans="1:4" x14ac:dyDescent="0.2">
      <c r="A584" s="308" t="s">
        <v>1883</v>
      </c>
      <c r="B584" s="308" t="s">
        <v>1893</v>
      </c>
      <c r="C584" s="308" t="s">
        <v>1894</v>
      </c>
      <c r="D584" s="308" t="s">
        <v>1895</v>
      </c>
    </row>
    <row r="585" spans="1:4" x14ac:dyDescent="0.2">
      <c r="A585" s="308" t="s">
        <v>1883</v>
      </c>
      <c r="B585" s="308" t="s">
        <v>1896</v>
      </c>
      <c r="C585" s="308" t="s">
        <v>1897</v>
      </c>
      <c r="D585" s="331" t="s">
        <v>1898</v>
      </c>
    </row>
    <row r="587" spans="1:4" x14ac:dyDescent="0.2">
      <c r="A587" s="308" t="s">
        <v>1899</v>
      </c>
      <c r="B587" s="308" t="s">
        <v>1900</v>
      </c>
      <c r="C587" s="308" t="s">
        <v>1901</v>
      </c>
      <c r="D587" s="308" t="s">
        <v>1902</v>
      </c>
    </row>
    <row r="588" spans="1:4" x14ac:dyDescent="0.2">
      <c r="A588" s="308" t="s">
        <v>1899</v>
      </c>
      <c r="B588" s="308" t="s">
        <v>1903</v>
      </c>
      <c r="C588" s="331" t="s">
        <v>1904</v>
      </c>
      <c r="D588" s="331" t="s">
        <v>1905</v>
      </c>
    </row>
    <row r="589" spans="1:4" x14ac:dyDescent="0.2">
      <c r="A589" s="308" t="s">
        <v>1899</v>
      </c>
      <c r="B589" s="308" t="s">
        <v>1906</v>
      </c>
      <c r="C589" s="308" t="s">
        <v>1907</v>
      </c>
      <c r="D589" s="308" t="s">
        <v>1908</v>
      </c>
    </row>
    <row r="590" spans="1:4" x14ac:dyDescent="0.2">
      <c r="A590" s="308" t="s">
        <v>1899</v>
      </c>
      <c r="B590" s="308" t="s">
        <v>1909</v>
      </c>
      <c r="C590" s="308" t="s">
        <v>1910</v>
      </c>
      <c r="D590" s="308" t="s">
        <v>1911</v>
      </c>
    </row>
    <row r="591" spans="1:4" x14ac:dyDescent="0.2">
      <c r="A591" s="308" t="s">
        <v>1899</v>
      </c>
      <c r="B591" s="308" t="s">
        <v>1912</v>
      </c>
      <c r="C591" s="308" t="s">
        <v>1913</v>
      </c>
      <c r="D591" s="308" t="s">
        <v>1914</v>
      </c>
    </row>
    <row r="592" spans="1:4" x14ac:dyDescent="0.2">
      <c r="A592" s="308" t="s">
        <v>1899</v>
      </c>
      <c r="B592" s="308" t="s">
        <v>1536</v>
      </c>
      <c r="C592" s="308" t="s">
        <v>1915</v>
      </c>
      <c r="D592" s="308" t="s">
        <v>1916</v>
      </c>
    </row>
    <row r="593" spans="1:4" x14ac:dyDescent="0.2">
      <c r="A593" s="308" t="s">
        <v>1899</v>
      </c>
      <c r="B593" s="308" t="s">
        <v>1917</v>
      </c>
      <c r="C593" s="308" t="s">
        <v>1918</v>
      </c>
      <c r="D593" s="308" t="s">
        <v>1919</v>
      </c>
    </row>
    <row r="595" spans="1:4" x14ac:dyDescent="0.2">
      <c r="A595" s="308" t="s">
        <v>1920</v>
      </c>
      <c r="B595" s="308" t="s">
        <v>1921</v>
      </c>
      <c r="C595" s="308" t="s">
        <v>1922</v>
      </c>
      <c r="D595" s="308" t="s">
        <v>1923</v>
      </c>
    </row>
    <row r="596" spans="1:4" x14ac:dyDescent="0.2">
      <c r="A596" s="308" t="s">
        <v>1920</v>
      </c>
      <c r="B596" s="308" t="s">
        <v>1924</v>
      </c>
      <c r="C596" s="308" t="s">
        <v>1925</v>
      </c>
      <c r="D596" s="308" t="s">
        <v>1926</v>
      </c>
    </row>
    <row r="597" spans="1:4" x14ac:dyDescent="0.2">
      <c r="A597" s="308" t="s">
        <v>1920</v>
      </c>
      <c r="B597" s="308" t="s">
        <v>1927</v>
      </c>
      <c r="C597" s="308" t="s">
        <v>1928</v>
      </c>
      <c r="D597" s="308" t="s">
        <v>1929</v>
      </c>
    </row>
    <row r="598" spans="1:4" x14ac:dyDescent="0.2">
      <c r="A598" s="308" t="s">
        <v>1920</v>
      </c>
      <c r="B598" s="308" t="s">
        <v>1930</v>
      </c>
      <c r="C598" s="308" t="s">
        <v>1931</v>
      </c>
      <c r="D598" s="308" t="s">
        <v>1932</v>
      </c>
    </row>
    <row r="600" spans="1:4" x14ac:dyDescent="0.2">
      <c r="A600" s="308" t="s">
        <v>1933</v>
      </c>
      <c r="B600" s="308" t="s">
        <v>1934</v>
      </c>
      <c r="C600" s="308" t="s">
        <v>1935</v>
      </c>
      <c r="D600" s="308" t="s">
        <v>1936</v>
      </c>
    </row>
    <row r="601" spans="1:4" x14ac:dyDescent="0.2">
      <c r="A601" s="308" t="s">
        <v>1933</v>
      </c>
      <c r="B601" s="308" t="s">
        <v>1937</v>
      </c>
      <c r="C601" s="308" t="s">
        <v>1938</v>
      </c>
      <c r="D601" s="308" t="s">
        <v>1939</v>
      </c>
    </row>
    <row r="602" spans="1:4" x14ac:dyDescent="0.2">
      <c r="A602" s="308" t="s">
        <v>1933</v>
      </c>
      <c r="B602" s="308" t="s">
        <v>1940</v>
      </c>
      <c r="C602" s="308" t="s">
        <v>1941</v>
      </c>
      <c r="D602" s="308" t="s">
        <v>1942</v>
      </c>
    </row>
    <row r="603" spans="1:4" x14ac:dyDescent="0.2">
      <c r="A603" s="308" t="s">
        <v>1933</v>
      </c>
      <c r="B603" s="308" t="s">
        <v>1943</v>
      </c>
      <c r="C603" s="308" t="s">
        <v>1944</v>
      </c>
      <c r="D603" s="308" t="s">
        <v>1945</v>
      </c>
    </row>
    <row r="605" spans="1:4" x14ac:dyDescent="0.2">
      <c r="A605" s="308" t="s">
        <v>1946</v>
      </c>
      <c r="B605" s="308" t="s">
        <v>1947</v>
      </c>
      <c r="C605" s="308" t="s">
        <v>1948</v>
      </c>
      <c r="D605" s="308" t="s">
        <v>1949</v>
      </c>
    </row>
    <row r="606" spans="1:4" x14ac:dyDescent="0.2">
      <c r="A606" s="308" t="s">
        <v>1946</v>
      </c>
      <c r="B606" s="334" t="s">
        <v>1950</v>
      </c>
      <c r="C606" s="331" t="s">
        <v>1951</v>
      </c>
      <c r="D606" s="331" t="s">
        <v>1952</v>
      </c>
    </row>
    <row r="607" spans="1:4" x14ac:dyDescent="0.2">
      <c r="A607" s="308" t="s">
        <v>1946</v>
      </c>
      <c r="B607" s="331" t="s">
        <v>1953</v>
      </c>
      <c r="C607" s="331" t="s">
        <v>1954</v>
      </c>
      <c r="D607" s="331" t="s">
        <v>1955</v>
      </c>
    </row>
    <row r="608" spans="1:4" x14ac:dyDescent="0.2">
      <c r="A608" s="308" t="s">
        <v>1946</v>
      </c>
      <c r="B608" s="308" t="s">
        <v>1956</v>
      </c>
      <c r="C608" s="308" t="s">
        <v>1957</v>
      </c>
      <c r="D608" s="308" t="s">
        <v>1958</v>
      </c>
    </row>
    <row r="609" spans="1:4" x14ac:dyDescent="0.2">
      <c r="A609" s="308" t="s">
        <v>1946</v>
      </c>
      <c r="B609" s="308" t="s">
        <v>1959</v>
      </c>
      <c r="C609" s="308" t="s">
        <v>1960</v>
      </c>
      <c r="D609" s="308" t="s">
        <v>1961</v>
      </c>
    </row>
    <row r="610" spans="1:4" x14ac:dyDescent="0.2">
      <c r="A610" s="308" t="s">
        <v>1946</v>
      </c>
      <c r="B610" s="308" t="s">
        <v>1962</v>
      </c>
      <c r="C610" s="308" t="s">
        <v>1963</v>
      </c>
      <c r="D610" s="308" t="s">
        <v>1964</v>
      </c>
    </row>
    <row r="612" spans="1:4" x14ac:dyDescent="0.2">
      <c r="A612" s="308" t="s">
        <v>1965</v>
      </c>
      <c r="B612" s="308" t="s">
        <v>1966</v>
      </c>
      <c r="C612" s="308" t="s">
        <v>1967</v>
      </c>
      <c r="D612" s="308" t="s">
        <v>1968</v>
      </c>
    </row>
    <row r="613" spans="1:4" x14ac:dyDescent="0.2">
      <c r="A613" s="308" t="s">
        <v>1965</v>
      </c>
      <c r="B613" s="308" t="s">
        <v>1969</v>
      </c>
      <c r="C613" s="308" t="s">
        <v>1970</v>
      </c>
      <c r="D613" s="308" t="s">
        <v>1971</v>
      </c>
    </row>
    <row r="614" spans="1:4" x14ac:dyDescent="0.2">
      <c r="A614" s="308" t="s">
        <v>1965</v>
      </c>
      <c r="B614" s="308" t="s">
        <v>1972</v>
      </c>
      <c r="C614" s="308" t="s">
        <v>1973</v>
      </c>
      <c r="D614" s="308" t="s">
        <v>1974</v>
      </c>
    </row>
    <row r="615" spans="1:4" x14ac:dyDescent="0.2">
      <c r="A615" s="308" t="s">
        <v>1965</v>
      </c>
      <c r="B615" s="308" t="s">
        <v>1975</v>
      </c>
      <c r="C615" s="308" t="s">
        <v>1976</v>
      </c>
      <c r="D615" s="308" t="s">
        <v>1977</v>
      </c>
    </row>
    <row r="617" spans="1:4" x14ac:dyDescent="0.2">
      <c r="A617" s="308" t="s">
        <v>1978</v>
      </c>
      <c r="B617" s="308" t="s">
        <v>1979</v>
      </c>
      <c r="C617" s="308" t="s">
        <v>1980</v>
      </c>
      <c r="D617" s="308" t="s">
        <v>1981</v>
      </c>
    </row>
    <row r="618" spans="1:4" x14ac:dyDescent="0.2">
      <c r="A618" s="308" t="s">
        <v>1978</v>
      </c>
      <c r="B618" s="308" t="s">
        <v>1982</v>
      </c>
      <c r="C618" s="308" t="s">
        <v>1983</v>
      </c>
      <c r="D618" s="308" t="s">
        <v>1984</v>
      </c>
    </row>
    <row r="619" spans="1:4" x14ac:dyDescent="0.2">
      <c r="A619" s="308" t="s">
        <v>1978</v>
      </c>
      <c r="B619" s="308" t="s">
        <v>1985</v>
      </c>
      <c r="C619" s="308" t="s">
        <v>1986</v>
      </c>
      <c r="D619" s="308" t="s">
        <v>1987</v>
      </c>
    </row>
    <row r="621" spans="1:4" x14ac:dyDescent="0.2">
      <c r="A621" s="308" t="s">
        <v>1988</v>
      </c>
      <c r="B621" s="308" t="s">
        <v>1989</v>
      </c>
      <c r="C621" s="308" t="s">
        <v>1990</v>
      </c>
      <c r="D621" s="308" t="s">
        <v>1991</v>
      </c>
    </row>
    <row r="622" spans="1:4" x14ac:dyDescent="0.2">
      <c r="A622" s="308" t="s">
        <v>1988</v>
      </c>
      <c r="B622" s="308" t="s">
        <v>1992</v>
      </c>
      <c r="C622" s="308" t="s">
        <v>1993</v>
      </c>
      <c r="D622" s="308" t="s">
        <v>1994</v>
      </c>
    </row>
    <row r="623" spans="1:4" x14ac:dyDescent="0.2">
      <c r="A623" s="308" t="s">
        <v>1988</v>
      </c>
      <c r="B623" s="308" t="s">
        <v>1995</v>
      </c>
      <c r="C623" s="308" t="s">
        <v>1996</v>
      </c>
      <c r="D623" s="308" t="s">
        <v>1997</v>
      </c>
    </row>
    <row r="624" spans="1:4" x14ac:dyDescent="0.2">
      <c r="A624" s="308" t="s">
        <v>1988</v>
      </c>
      <c r="B624" s="308" t="s">
        <v>1998</v>
      </c>
      <c r="C624" s="308" t="s">
        <v>1999</v>
      </c>
      <c r="D624" s="308" t="s">
        <v>2000</v>
      </c>
    </row>
    <row r="625" spans="1:4" x14ac:dyDescent="0.2">
      <c r="A625" s="308" t="s">
        <v>1988</v>
      </c>
      <c r="B625" s="308" t="s">
        <v>2001</v>
      </c>
      <c r="C625" s="308" t="s">
        <v>2002</v>
      </c>
      <c r="D625" s="308" t="s">
        <v>2003</v>
      </c>
    </row>
    <row r="626" spans="1:4" x14ac:dyDescent="0.2">
      <c r="A626" s="308" t="s">
        <v>1988</v>
      </c>
      <c r="B626" s="308" t="s">
        <v>2004</v>
      </c>
      <c r="C626" s="308" t="s">
        <v>2005</v>
      </c>
      <c r="D626" s="308" t="s">
        <v>2006</v>
      </c>
    </row>
    <row r="627" spans="1:4" x14ac:dyDescent="0.2">
      <c r="A627" s="308" t="s">
        <v>1988</v>
      </c>
      <c r="B627" s="308" t="s">
        <v>2007</v>
      </c>
      <c r="C627" s="308" t="s">
        <v>2008</v>
      </c>
      <c r="D627" s="308" t="s">
        <v>2009</v>
      </c>
    </row>
    <row r="628" spans="1:4" x14ac:dyDescent="0.2">
      <c r="A628" s="308" t="s">
        <v>1988</v>
      </c>
      <c r="B628" s="308" t="s">
        <v>2010</v>
      </c>
      <c r="C628" s="308" t="s">
        <v>2011</v>
      </c>
      <c r="D628" s="308" t="s">
        <v>2012</v>
      </c>
    </row>
    <row r="629" spans="1:4" x14ac:dyDescent="0.2">
      <c r="A629" s="308" t="s">
        <v>1988</v>
      </c>
      <c r="B629" s="308" t="s">
        <v>2013</v>
      </c>
      <c r="C629" s="308" t="s">
        <v>2014</v>
      </c>
      <c r="D629" s="308" t="s">
        <v>2015</v>
      </c>
    </row>
    <row r="631" spans="1:4" x14ac:dyDescent="0.2">
      <c r="A631" s="308" t="s">
        <v>2016</v>
      </c>
      <c r="B631" s="308" t="s">
        <v>2017</v>
      </c>
      <c r="C631" s="308" t="s">
        <v>2018</v>
      </c>
      <c r="D631" s="308" t="s">
        <v>2019</v>
      </c>
    </row>
    <row r="632" spans="1:4" x14ac:dyDescent="0.2">
      <c r="A632" s="308" t="s">
        <v>2016</v>
      </c>
      <c r="B632" s="308" t="s">
        <v>2020</v>
      </c>
      <c r="C632" s="308" t="s">
        <v>2021</v>
      </c>
      <c r="D632" s="308" t="s">
        <v>2022</v>
      </c>
    </row>
    <row r="633" spans="1:4" x14ac:dyDescent="0.2">
      <c r="A633" s="308" t="s">
        <v>2016</v>
      </c>
      <c r="B633" s="308" t="s">
        <v>2023</v>
      </c>
      <c r="C633" s="308" t="s">
        <v>2024</v>
      </c>
      <c r="D633" s="308" t="s">
        <v>2025</v>
      </c>
    </row>
    <row r="634" spans="1:4" x14ac:dyDescent="0.2">
      <c r="A634" s="308" t="s">
        <v>2016</v>
      </c>
      <c r="B634" s="308" t="s">
        <v>2026</v>
      </c>
      <c r="C634" s="308" t="s">
        <v>2027</v>
      </c>
      <c r="D634" s="308" t="s">
        <v>2028</v>
      </c>
    </row>
    <row r="635" spans="1:4" x14ac:dyDescent="0.2">
      <c r="A635" s="308" t="s">
        <v>2016</v>
      </c>
      <c r="B635" s="308" t="s">
        <v>2029</v>
      </c>
      <c r="C635" s="308" t="s">
        <v>2030</v>
      </c>
      <c r="D635" s="308" t="s">
        <v>2031</v>
      </c>
    </row>
    <row r="637" spans="1:4" x14ac:dyDescent="0.2">
      <c r="A637" s="308" t="s">
        <v>2032</v>
      </c>
      <c r="B637" s="308" t="s">
        <v>2033</v>
      </c>
      <c r="C637" s="308" t="s">
        <v>2034</v>
      </c>
      <c r="D637" s="308" t="s">
        <v>2035</v>
      </c>
    </row>
    <row r="638" spans="1:4" x14ac:dyDescent="0.2">
      <c r="A638" s="308" t="s">
        <v>2032</v>
      </c>
      <c r="B638" s="308" t="s">
        <v>2036</v>
      </c>
      <c r="C638" s="308" t="s">
        <v>2037</v>
      </c>
      <c r="D638" s="308" t="s">
        <v>2038</v>
      </c>
    </row>
    <row r="639" spans="1:4" x14ac:dyDescent="0.2">
      <c r="A639" s="308" t="s">
        <v>2032</v>
      </c>
      <c r="B639" s="308" t="s">
        <v>2039</v>
      </c>
      <c r="C639" s="308" t="s">
        <v>2040</v>
      </c>
      <c r="D639" s="308" t="s">
        <v>2041</v>
      </c>
    </row>
    <row r="640" spans="1:4" x14ac:dyDescent="0.2">
      <c r="A640" s="308" t="s">
        <v>2032</v>
      </c>
      <c r="B640" s="308" t="s">
        <v>2042</v>
      </c>
      <c r="C640" s="308" t="s">
        <v>2043</v>
      </c>
      <c r="D640" s="308" t="s">
        <v>2044</v>
      </c>
    </row>
    <row r="641" spans="1:4" x14ac:dyDescent="0.2">
      <c r="A641" s="308" t="s">
        <v>2032</v>
      </c>
      <c r="B641" s="308" t="s">
        <v>1095</v>
      </c>
      <c r="C641" s="308" t="s">
        <v>2045</v>
      </c>
      <c r="D641" s="308" t="s">
        <v>2046</v>
      </c>
    </row>
    <row r="643" spans="1:4" x14ac:dyDescent="0.2">
      <c r="A643" s="308" t="s">
        <v>933</v>
      </c>
      <c r="B643" s="308"/>
      <c r="C643" s="308" t="s">
        <v>2047</v>
      </c>
      <c r="D643" s="308" t="s">
        <v>2048</v>
      </c>
    </row>
    <row r="644" spans="1:4" x14ac:dyDescent="0.2">
      <c r="A644" s="308" t="s">
        <v>933</v>
      </c>
      <c r="B644" s="308"/>
      <c r="C644" s="308" t="s">
        <v>2049</v>
      </c>
      <c r="D644" s="308" t="s">
        <v>2050</v>
      </c>
    </row>
    <row r="645" spans="1:4" x14ac:dyDescent="0.2">
      <c r="A645" s="308" t="s">
        <v>933</v>
      </c>
      <c r="B645" s="308"/>
      <c r="C645" s="308" t="s">
        <v>2051</v>
      </c>
      <c r="D645" s="308" t="s">
        <v>2052</v>
      </c>
    </row>
    <row r="646" spans="1:4" x14ac:dyDescent="0.2">
      <c r="A646" s="308" t="s">
        <v>933</v>
      </c>
      <c r="B646" s="308"/>
      <c r="C646" s="308" t="s">
        <v>2053</v>
      </c>
      <c r="D646" s="308" t="s">
        <v>2054</v>
      </c>
    </row>
    <row r="647" spans="1:4" x14ac:dyDescent="0.2">
      <c r="A647" s="308" t="s">
        <v>933</v>
      </c>
      <c r="B647" s="308"/>
      <c r="C647" s="308" t="s">
        <v>2055</v>
      </c>
      <c r="D647" s="308" t="s">
        <v>2056</v>
      </c>
    </row>
    <row r="649" spans="1:4" x14ac:dyDescent="0.2">
      <c r="A649" s="310" t="s">
        <v>2057</v>
      </c>
      <c r="B649" s="310"/>
      <c r="C649" s="310" t="s">
        <v>2058</v>
      </c>
      <c r="D649" s="308" t="s">
        <v>2059</v>
      </c>
    </row>
    <row r="650" spans="1:4" x14ac:dyDescent="0.2">
      <c r="A650" s="310" t="s">
        <v>2057</v>
      </c>
      <c r="B650" s="310"/>
      <c r="C650" s="310" t="s">
        <v>2060</v>
      </c>
      <c r="D650" s="308" t="s">
        <v>2061</v>
      </c>
    </row>
    <row r="651" spans="1:4" x14ac:dyDescent="0.2">
      <c r="A651" s="310" t="s">
        <v>2057</v>
      </c>
      <c r="B651" s="310"/>
      <c r="C651" s="310" t="s">
        <v>2062</v>
      </c>
      <c r="D651" s="308" t="s">
        <v>2063</v>
      </c>
    </row>
    <row r="652" spans="1:4" x14ac:dyDescent="0.2">
      <c r="A652" s="310" t="s">
        <v>2057</v>
      </c>
      <c r="B652" s="310"/>
      <c r="C652" s="310" t="s">
        <v>2064</v>
      </c>
      <c r="D652" s="308" t="s">
        <v>2065</v>
      </c>
    </row>
    <row r="653" spans="1:4" x14ac:dyDescent="0.2">
      <c r="A653" s="310"/>
      <c r="B653" s="310"/>
      <c r="C653" s="310"/>
      <c r="D653" s="308"/>
    </row>
    <row r="654" spans="1:4" x14ac:dyDescent="0.2">
      <c r="A654" s="310" t="s">
        <v>2066</v>
      </c>
      <c r="B654" s="310"/>
      <c r="C654" s="310"/>
      <c r="D654" s="308"/>
    </row>
    <row r="655" spans="1:4" x14ac:dyDescent="0.2">
      <c r="A655" s="310" t="s">
        <v>2066</v>
      </c>
      <c r="B655" s="310"/>
      <c r="C655" s="310" t="s">
        <v>2067</v>
      </c>
      <c r="D655" s="308" t="s">
        <v>2068</v>
      </c>
    </row>
    <row r="656" spans="1:4" x14ac:dyDescent="0.2">
      <c r="A656" s="310" t="s">
        <v>2066</v>
      </c>
      <c r="B656" s="310"/>
      <c r="C656" s="310" t="s">
        <v>2069</v>
      </c>
      <c r="D656" s="308" t="s">
        <v>2070</v>
      </c>
    </row>
    <row r="657" spans="1:4" x14ac:dyDescent="0.2">
      <c r="A657" s="310" t="s">
        <v>2066</v>
      </c>
      <c r="B657" s="310"/>
      <c r="C657" s="310" t="s">
        <v>2071</v>
      </c>
      <c r="D657" s="308" t="s">
        <v>2072</v>
      </c>
    </row>
    <row r="658" spans="1:4" x14ac:dyDescent="0.2">
      <c r="A658" s="310" t="s">
        <v>2066</v>
      </c>
      <c r="B658" s="310"/>
      <c r="C658" s="310" t="s">
        <v>2073</v>
      </c>
      <c r="D658" s="308" t="s">
        <v>2074</v>
      </c>
    </row>
    <row r="659" spans="1:4" x14ac:dyDescent="0.2">
      <c r="A659" s="310" t="s">
        <v>2066</v>
      </c>
      <c r="B659" s="310"/>
      <c r="C659" s="310" t="s">
        <v>2075</v>
      </c>
      <c r="D659" s="308" t="s">
        <v>2076</v>
      </c>
    </row>
    <row r="660" spans="1:4" x14ac:dyDescent="0.2">
      <c r="A660" s="310" t="s">
        <v>2066</v>
      </c>
      <c r="B660" s="310"/>
      <c r="C660" s="310" t="s">
        <v>2077</v>
      </c>
      <c r="D660" s="308" t="s">
        <v>2078</v>
      </c>
    </row>
    <row r="662" spans="1:4" x14ac:dyDescent="0.2">
      <c r="A662" s="310" t="s">
        <v>2079</v>
      </c>
      <c r="B662" s="310" t="s">
        <v>2080</v>
      </c>
      <c r="C662" s="310" t="s">
        <v>2081</v>
      </c>
      <c r="D662" s="308" t="s">
        <v>2082</v>
      </c>
    </row>
    <row r="663" spans="1:4" x14ac:dyDescent="0.2">
      <c r="A663" s="310" t="s">
        <v>2079</v>
      </c>
      <c r="B663" s="310" t="s">
        <v>2083</v>
      </c>
      <c r="C663" s="310" t="s">
        <v>2084</v>
      </c>
      <c r="D663" s="308" t="s">
        <v>2085</v>
      </c>
    </row>
    <row r="664" spans="1:4" x14ac:dyDescent="0.2">
      <c r="A664" s="310" t="s">
        <v>2079</v>
      </c>
      <c r="B664" s="310" t="s">
        <v>2086</v>
      </c>
      <c r="C664" s="310" t="s">
        <v>2087</v>
      </c>
      <c r="D664" s="308" t="s">
        <v>2088</v>
      </c>
    </row>
    <row r="665" spans="1:4" x14ac:dyDescent="0.2">
      <c r="A665" s="310" t="s">
        <v>2079</v>
      </c>
      <c r="B665" s="310" t="s">
        <v>2089</v>
      </c>
      <c r="C665" s="310" t="s">
        <v>2089</v>
      </c>
      <c r="D665" s="308" t="s">
        <v>2090</v>
      </c>
    </row>
    <row r="666" spans="1:4" x14ac:dyDescent="0.2">
      <c r="A666" s="310" t="s">
        <v>2079</v>
      </c>
      <c r="B666" s="310" t="s">
        <v>2091</v>
      </c>
      <c r="C666" s="310" t="s">
        <v>2091</v>
      </c>
      <c r="D666" s="308" t="s">
        <v>2092</v>
      </c>
    </row>
    <row r="667" spans="1:4" x14ac:dyDescent="0.2">
      <c r="A667" s="310" t="s">
        <v>2079</v>
      </c>
      <c r="B667" s="310" t="s">
        <v>2093</v>
      </c>
      <c r="C667" s="310" t="s">
        <v>2094</v>
      </c>
      <c r="D667" s="308" t="s">
        <v>2095</v>
      </c>
    </row>
    <row r="668" spans="1:4" x14ac:dyDescent="0.2">
      <c r="A668" s="310" t="s">
        <v>2079</v>
      </c>
      <c r="B668" s="310" t="s">
        <v>1089</v>
      </c>
      <c r="C668" s="310" t="s">
        <v>1089</v>
      </c>
      <c r="D668" s="308" t="s">
        <v>2096</v>
      </c>
    </row>
    <row r="670" spans="1:4" x14ac:dyDescent="0.2">
      <c r="A670" s="316" t="s">
        <v>2097</v>
      </c>
      <c r="B670" s="316" t="s">
        <v>2098</v>
      </c>
      <c r="C670" s="316" t="s">
        <v>2099</v>
      </c>
      <c r="D670" s="308" t="s">
        <v>2100</v>
      </c>
    </row>
    <row r="671" spans="1:4" x14ac:dyDescent="0.2">
      <c r="A671" s="316" t="s">
        <v>2097</v>
      </c>
      <c r="B671" s="316" t="s">
        <v>2101</v>
      </c>
      <c r="C671" s="316" t="s">
        <v>2102</v>
      </c>
      <c r="D671" s="308" t="s">
        <v>2103</v>
      </c>
    </row>
    <row r="672" spans="1:4" x14ac:dyDescent="0.2">
      <c r="A672" s="316" t="s">
        <v>2097</v>
      </c>
      <c r="B672" s="316" t="s">
        <v>2104</v>
      </c>
      <c r="C672" s="316" t="s">
        <v>2105</v>
      </c>
      <c r="D672" s="308" t="s">
        <v>2106</v>
      </c>
    </row>
    <row r="673" spans="1:4" x14ac:dyDescent="0.2">
      <c r="A673" s="316" t="s">
        <v>2097</v>
      </c>
      <c r="B673" s="316" t="s">
        <v>2107</v>
      </c>
      <c r="C673" s="316" t="s">
        <v>2108</v>
      </c>
      <c r="D673" s="308" t="s">
        <v>2109</v>
      </c>
    </row>
    <row r="674" spans="1:4" x14ac:dyDescent="0.2">
      <c r="A674" s="308" t="s">
        <v>2097</v>
      </c>
      <c r="B674" s="308" t="s">
        <v>2110</v>
      </c>
      <c r="C674" s="308" t="s">
        <v>2111</v>
      </c>
      <c r="D674" s="308" t="s">
        <v>2112</v>
      </c>
    </row>
    <row r="675" spans="1:4" x14ac:dyDescent="0.2">
      <c r="A675" s="308" t="s">
        <v>2097</v>
      </c>
      <c r="B675" s="308" t="s">
        <v>2113</v>
      </c>
      <c r="C675" s="308" t="s">
        <v>2114</v>
      </c>
      <c r="D675" s="308" t="s">
        <v>2115</v>
      </c>
    </row>
    <row r="677" spans="1:4" x14ac:dyDescent="0.2">
      <c r="A677" s="310" t="s">
        <v>2116</v>
      </c>
      <c r="B677" s="310" t="s">
        <v>2117</v>
      </c>
      <c r="C677" s="310" t="s">
        <v>2118</v>
      </c>
      <c r="D677" s="308" t="s">
        <v>2119</v>
      </c>
    </row>
    <row r="678" spans="1:4" x14ac:dyDescent="0.2">
      <c r="A678" s="310" t="s">
        <v>2116</v>
      </c>
      <c r="B678" s="310" t="s">
        <v>2120</v>
      </c>
      <c r="C678" s="310" t="s">
        <v>2121</v>
      </c>
      <c r="D678" s="308" t="s">
        <v>2122</v>
      </c>
    </row>
    <row r="679" spans="1:4" x14ac:dyDescent="0.2">
      <c r="A679" s="310" t="s">
        <v>2116</v>
      </c>
      <c r="B679" s="310" t="s">
        <v>2123</v>
      </c>
      <c r="C679" s="310" t="s">
        <v>2124</v>
      </c>
      <c r="D679" s="331" t="s">
        <v>2125</v>
      </c>
    </row>
    <row r="680" spans="1:4" x14ac:dyDescent="0.2">
      <c r="A680" s="310" t="s">
        <v>2116</v>
      </c>
      <c r="B680" s="310" t="s">
        <v>2126</v>
      </c>
      <c r="C680" s="310" t="s">
        <v>2127</v>
      </c>
      <c r="D680" s="308" t="s">
        <v>2128</v>
      </c>
    </row>
    <row r="681" spans="1:4" x14ac:dyDescent="0.2">
      <c r="A681" s="310" t="s">
        <v>2116</v>
      </c>
      <c r="B681" s="310" t="s">
        <v>2129</v>
      </c>
      <c r="C681" s="310" t="s">
        <v>2130</v>
      </c>
      <c r="D681" s="308" t="s">
        <v>2131</v>
      </c>
    </row>
    <row r="682" spans="1:4" x14ac:dyDescent="0.2">
      <c r="A682" s="310" t="s">
        <v>2116</v>
      </c>
      <c r="B682" s="310" t="s">
        <v>1089</v>
      </c>
      <c r="C682" s="310" t="s">
        <v>1089</v>
      </c>
      <c r="D682" s="308" t="s">
        <v>2132</v>
      </c>
    </row>
    <row r="683" spans="1:4" x14ac:dyDescent="0.2">
      <c r="A683" s="310"/>
      <c r="B683" s="310"/>
      <c r="C683" s="310"/>
      <c r="D683" s="308"/>
    </row>
    <row r="684" spans="1:4" x14ac:dyDescent="0.2">
      <c r="A684" s="310" t="s">
        <v>2133</v>
      </c>
      <c r="B684" s="310" t="s">
        <v>2117</v>
      </c>
      <c r="C684" s="310" t="s">
        <v>2134</v>
      </c>
      <c r="D684" s="308" t="s">
        <v>2135</v>
      </c>
    </row>
    <row r="685" spans="1:4" x14ac:dyDescent="0.2">
      <c r="A685" s="310" t="s">
        <v>2133</v>
      </c>
      <c r="B685" s="310" t="s">
        <v>2136</v>
      </c>
      <c r="C685" s="310" t="s">
        <v>2137</v>
      </c>
      <c r="D685" s="308" t="s">
        <v>2138</v>
      </c>
    </row>
    <row r="686" spans="1:4" x14ac:dyDescent="0.2">
      <c r="A686" s="310" t="s">
        <v>2133</v>
      </c>
      <c r="B686" s="310" t="s">
        <v>2139</v>
      </c>
      <c r="C686" s="310" t="s">
        <v>2140</v>
      </c>
      <c r="D686" s="308" t="s">
        <v>2141</v>
      </c>
    </row>
    <row r="687" spans="1:4" x14ac:dyDescent="0.2">
      <c r="A687" s="310" t="s">
        <v>2133</v>
      </c>
      <c r="B687" s="310" t="s">
        <v>2142</v>
      </c>
      <c r="C687" s="310" t="s">
        <v>2143</v>
      </c>
      <c r="D687" s="308" t="s">
        <v>2144</v>
      </c>
    </row>
    <row r="688" spans="1:4" x14ac:dyDescent="0.2">
      <c r="A688" s="310" t="s">
        <v>2133</v>
      </c>
      <c r="B688" s="310" t="s">
        <v>2145</v>
      </c>
      <c r="C688" s="310" t="s">
        <v>2146</v>
      </c>
      <c r="D688" s="308" t="s">
        <v>2147</v>
      </c>
    </row>
    <row r="689" spans="1:4" x14ac:dyDescent="0.2">
      <c r="A689" s="310"/>
      <c r="B689" s="310"/>
      <c r="C689" s="310"/>
      <c r="D689" s="308"/>
    </row>
    <row r="690" spans="1:4" x14ac:dyDescent="0.2">
      <c r="A690" s="310" t="s">
        <v>2148</v>
      </c>
      <c r="B690" s="310" t="s">
        <v>2149</v>
      </c>
      <c r="C690" s="310" t="s">
        <v>2150</v>
      </c>
      <c r="D690" s="308" t="s">
        <v>2151</v>
      </c>
    </row>
    <row r="691" spans="1:4" x14ac:dyDescent="0.2">
      <c r="A691" s="310" t="s">
        <v>2148</v>
      </c>
      <c r="B691" s="310" t="s">
        <v>2152</v>
      </c>
      <c r="C691" s="310" t="s">
        <v>2153</v>
      </c>
      <c r="D691" s="332" t="s">
        <v>2154</v>
      </c>
    </row>
    <row r="692" spans="1:4" x14ac:dyDescent="0.2">
      <c r="A692" s="310" t="s">
        <v>2148</v>
      </c>
      <c r="B692" s="310" t="s">
        <v>2155</v>
      </c>
      <c r="C692" s="310" t="s">
        <v>2156</v>
      </c>
      <c r="D692" s="308" t="s">
        <v>2157</v>
      </c>
    </row>
    <row r="693" spans="1:4" x14ac:dyDescent="0.2">
      <c r="A693" s="310" t="s">
        <v>2148</v>
      </c>
      <c r="B693" s="310" t="s">
        <v>1089</v>
      </c>
      <c r="C693" s="310" t="s">
        <v>1381</v>
      </c>
      <c r="D693" s="308" t="s">
        <v>1382</v>
      </c>
    </row>
    <row r="695" spans="1:4" x14ac:dyDescent="0.2">
      <c r="A695" s="308" t="s">
        <v>2158</v>
      </c>
      <c r="B695" s="308">
        <v>1</v>
      </c>
      <c r="C695" s="308" t="s">
        <v>2159</v>
      </c>
      <c r="D695" s="321" t="s">
        <v>2160</v>
      </c>
    </row>
    <row r="696" spans="1:4" x14ac:dyDescent="0.2">
      <c r="A696" s="308" t="s">
        <v>2158</v>
      </c>
      <c r="B696" s="308">
        <v>2</v>
      </c>
      <c r="C696" s="308" t="s">
        <v>2161</v>
      </c>
      <c r="D696" s="321" t="s">
        <v>2162</v>
      </c>
    </row>
    <row r="697" spans="1:4" x14ac:dyDescent="0.2">
      <c r="A697" s="308" t="s">
        <v>2158</v>
      </c>
      <c r="B697" s="308">
        <v>3</v>
      </c>
      <c r="C697" s="308" t="s">
        <v>2163</v>
      </c>
      <c r="D697" s="321" t="s">
        <v>2164</v>
      </c>
    </row>
    <row r="698" spans="1:4" x14ac:dyDescent="0.2">
      <c r="A698" s="308" t="s">
        <v>2158</v>
      </c>
      <c r="B698" s="308">
        <v>4</v>
      </c>
      <c r="C698" s="308" t="s">
        <v>2165</v>
      </c>
      <c r="D698" s="321" t="s">
        <v>2166</v>
      </c>
    </row>
    <row r="699" spans="1:4" x14ac:dyDescent="0.2">
      <c r="A699" s="308" t="s">
        <v>2158</v>
      </c>
      <c r="B699" s="308">
        <v>5</v>
      </c>
      <c r="C699" s="308" t="s">
        <v>2167</v>
      </c>
      <c r="D699" s="321" t="s">
        <v>2168</v>
      </c>
    </row>
    <row r="700" spans="1:4" x14ac:dyDescent="0.2">
      <c r="A700" s="308" t="s">
        <v>2158</v>
      </c>
      <c r="B700" s="308">
        <v>6</v>
      </c>
      <c r="C700" s="308" t="s">
        <v>2169</v>
      </c>
      <c r="D700" s="321" t="s">
        <v>2170</v>
      </c>
    </row>
    <row r="701" spans="1:4" x14ac:dyDescent="0.2">
      <c r="A701" s="308" t="s">
        <v>2158</v>
      </c>
      <c r="B701" s="308">
        <v>7</v>
      </c>
      <c r="C701" s="308" t="s">
        <v>2171</v>
      </c>
      <c r="D701" s="321" t="s">
        <v>2172</v>
      </c>
    </row>
    <row r="702" spans="1:4" x14ac:dyDescent="0.2">
      <c r="A702" s="308" t="s">
        <v>2158</v>
      </c>
      <c r="B702" s="308">
        <v>8</v>
      </c>
      <c r="C702" s="308" t="s">
        <v>2173</v>
      </c>
      <c r="D702" s="321" t="s">
        <v>2174</v>
      </c>
    </row>
    <row r="704" spans="1:4" x14ac:dyDescent="0.2">
      <c r="A704" s="308" t="s">
        <v>2175</v>
      </c>
      <c r="B704" s="308" t="s">
        <v>2176</v>
      </c>
      <c r="C704" s="308" t="s">
        <v>2177</v>
      </c>
      <c r="D704" s="340" t="s">
        <v>2178</v>
      </c>
    </row>
    <row r="705" spans="1:4" x14ac:dyDescent="0.2">
      <c r="A705" s="308" t="s">
        <v>2175</v>
      </c>
      <c r="B705" s="308" t="s">
        <v>2179</v>
      </c>
      <c r="C705" s="308" t="s">
        <v>2180</v>
      </c>
      <c r="D705" s="340" t="s">
        <v>2181</v>
      </c>
    </row>
    <row r="706" spans="1:4" x14ac:dyDescent="0.2">
      <c r="A706" s="308" t="s">
        <v>2175</v>
      </c>
      <c r="B706" s="308" t="s">
        <v>2182</v>
      </c>
      <c r="C706" s="308" t="s">
        <v>2183</v>
      </c>
      <c r="D706" s="340" t="s">
        <v>2184</v>
      </c>
    </row>
    <row r="707" spans="1:4" x14ac:dyDescent="0.2">
      <c r="A707" s="308" t="s">
        <v>2175</v>
      </c>
      <c r="B707" s="308" t="s">
        <v>2185</v>
      </c>
      <c r="C707" s="308" t="s">
        <v>2186</v>
      </c>
      <c r="D707" s="340" t="s">
        <v>2187</v>
      </c>
    </row>
    <row r="708" spans="1:4" x14ac:dyDescent="0.2">
      <c r="A708" s="308" t="s">
        <v>2175</v>
      </c>
      <c r="B708" s="308" t="s">
        <v>2188</v>
      </c>
      <c r="C708" s="308" t="s">
        <v>2189</v>
      </c>
      <c r="D708" s="340" t="s">
        <v>2190</v>
      </c>
    </row>
    <row r="709" spans="1:4" x14ac:dyDescent="0.2">
      <c r="A709" s="308" t="s">
        <v>2175</v>
      </c>
      <c r="B709" s="308" t="s">
        <v>2191</v>
      </c>
      <c r="C709" s="308" t="s">
        <v>2192</v>
      </c>
      <c r="D709" s="340" t="s">
        <v>2193</v>
      </c>
    </row>
    <row r="710" spans="1:4" x14ac:dyDescent="0.2">
      <c r="A710" s="308" t="s">
        <v>2175</v>
      </c>
      <c r="B710" s="308" t="s">
        <v>1089</v>
      </c>
      <c r="C710" s="308" t="s">
        <v>2194</v>
      </c>
      <c r="D710" s="340" t="s">
        <v>2195</v>
      </c>
    </row>
    <row r="712" spans="1:4" x14ac:dyDescent="0.2">
      <c r="A712" t="s">
        <v>2196</v>
      </c>
      <c r="B712" t="s">
        <v>2197</v>
      </c>
      <c r="C712" t="s">
        <v>2198</v>
      </c>
      <c r="D712" t="s">
        <v>2199</v>
      </c>
    </row>
    <row r="713" spans="1:4" x14ac:dyDescent="0.2">
      <c r="A713" t="s">
        <v>2196</v>
      </c>
      <c r="B713" t="s">
        <v>2200</v>
      </c>
      <c r="C713" t="s">
        <v>2201</v>
      </c>
      <c r="D713" t="s">
        <v>2202</v>
      </c>
    </row>
    <row r="714" spans="1:4" x14ac:dyDescent="0.2">
      <c r="A714" t="s">
        <v>2196</v>
      </c>
      <c r="B714" t="s">
        <v>2203</v>
      </c>
      <c r="C714" t="s">
        <v>2204</v>
      </c>
      <c r="D714" t="s">
        <v>2205</v>
      </c>
    </row>
    <row r="715" spans="1:4" x14ac:dyDescent="0.2">
      <c r="A715" t="s">
        <v>2196</v>
      </c>
      <c r="B715" t="s">
        <v>2206</v>
      </c>
      <c r="C715" t="s">
        <v>2207</v>
      </c>
      <c r="D715" t="s">
        <v>2208</v>
      </c>
    </row>
    <row r="716" spans="1:4" x14ac:dyDescent="0.2">
      <c r="A716" t="s">
        <v>2196</v>
      </c>
      <c r="B716" t="s">
        <v>2209</v>
      </c>
      <c r="C716" t="s">
        <v>2210</v>
      </c>
      <c r="D716" t="s">
        <v>2211</v>
      </c>
    </row>
    <row r="717" spans="1:4" x14ac:dyDescent="0.2">
      <c r="A717" t="s">
        <v>2196</v>
      </c>
      <c r="B717" t="s">
        <v>2212</v>
      </c>
      <c r="C717" t="s">
        <v>2213</v>
      </c>
      <c r="D717" t="s">
        <v>2214</v>
      </c>
    </row>
    <row r="718" spans="1:4" x14ac:dyDescent="0.2">
      <c r="A718" t="s">
        <v>2196</v>
      </c>
      <c r="B718" t="s">
        <v>2215</v>
      </c>
      <c r="C718" t="s">
        <v>2216</v>
      </c>
      <c r="D718" t="s">
        <v>2217</v>
      </c>
    </row>
    <row r="719" spans="1:4" x14ac:dyDescent="0.2">
      <c r="A719" t="s">
        <v>2196</v>
      </c>
      <c r="B719" t="s">
        <v>2218</v>
      </c>
      <c r="C719" t="s">
        <v>2219</v>
      </c>
      <c r="D719" t="s">
        <v>2220</v>
      </c>
    </row>
    <row r="720" spans="1:4" x14ac:dyDescent="0.2">
      <c r="A720" t="s">
        <v>2196</v>
      </c>
      <c r="B720" t="s">
        <v>2221</v>
      </c>
      <c r="C720" t="s">
        <v>2222</v>
      </c>
      <c r="D720" t="s">
        <v>2223</v>
      </c>
    </row>
    <row r="721" spans="1:4" x14ac:dyDescent="0.2">
      <c r="A721" t="s">
        <v>2196</v>
      </c>
      <c r="B721" t="s">
        <v>2224</v>
      </c>
      <c r="C721" t="s">
        <v>2225</v>
      </c>
      <c r="D721" t="s">
        <v>2226</v>
      </c>
    </row>
    <row r="722" spans="1:4" x14ac:dyDescent="0.2">
      <c r="A722" t="s">
        <v>2196</v>
      </c>
      <c r="B722" t="s">
        <v>2227</v>
      </c>
      <c r="C722" t="s">
        <v>2228</v>
      </c>
      <c r="D722" t="s">
        <v>2229</v>
      </c>
    </row>
    <row r="723" spans="1:4" x14ac:dyDescent="0.2">
      <c r="A723" t="s">
        <v>2196</v>
      </c>
      <c r="B723" t="s">
        <v>2230</v>
      </c>
      <c r="C723" t="s">
        <v>2231</v>
      </c>
      <c r="D723" t="s">
        <v>2232</v>
      </c>
    </row>
    <row r="724" spans="1:4" x14ac:dyDescent="0.2">
      <c r="A724" t="s">
        <v>2196</v>
      </c>
      <c r="B724" t="s">
        <v>2233</v>
      </c>
      <c r="C724" t="s">
        <v>2234</v>
      </c>
      <c r="D724" t="s">
        <v>2235</v>
      </c>
    </row>
    <row r="725" spans="1:4" x14ac:dyDescent="0.2">
      <c r="A725" t="s">
        <v>2196</v>
      </c>
      <c r="B725" t="s">
        <v>2236</v>
      </c>
      <c r="C725" t="s">
        <v>2237</v>
      </c>
      <c r="D725" t="s">
        <v>2238</v>
      </c>
    </row>
    <row r="726" spans="1:4" x14ac:dyDescent="0.2">
      <c r="A726" t="s">
        <v>2196</v>
      </c>
      <c r="B726" t="s">
        <v>2239</v>
      </c>
      <c r="C726" t="s">
        <v>2240</v>
      </c>
      <c r="D726" t="s">
        <v>2241</v>
      </c>
    </row>
    <row r="727" spans="1:4" x14ac:dyDescent="0.2">
      <c r="A727" t="s">
        <v>2196</v>
      </c>
      <c r="B727" t="s">
        <v>2242</v>
      </c>
      <c r="C727" t="s">
        <v>2243</v>
      </c>
      <c r="D727" t="s">
        <v>2244</v>
      </c>
    </row>
    <row r="728" spans="1:4" x14ac:dyDescent="0.2">
      <c r="A728" t="s">
        <v>2196</v>
      </c>
      <c r="B728" t="s">
        <v>2245</v>
      </c>
      <c r="C728" t="s">
        <v>2246</v>
      </c>
      <c r="D728" t="s">
        <v>2247</v>
      </c>
    </row>
    <row r="729" spans="1:4" x14ac:dyDescent="0.2">
      <c r="A729" t="s">
        <v>2196</v>
      </c>
      <c r="B729" t="s">
        <v>2248</v>
      </c>
      <c r="C729" t="s">
        <v>2249</v>
      </c>
      <c r="D729" t="s">
        <v>2250</v>
      </c>
    </row>
    <row r="730" spans="1:4" x14ac:dyDescent="0.2">
      <c r="A730" t="s">
        <v>2196</v>
      </c>
      <c r="B730" t="s">
        <v>2251</v>
      </c>
      <c r="C730" t="s">
        <v>2252</v>
      </c>
      <c r="D730" t="s">
        <v>2253</v>
      </c>
    </row>
    <row r="731" spans="1:4" x14ac:dyDescent="0.2">
      <c r="A731" t="s">
        <v>2196</v>
      </c>
      <c r="B731" t="s">
        <v>2254</v>
      </c>
      <c r="C731" t="s">
        <v>2255</v>
      </c>
      <c r="D731" t="s">
        <v>2256</v>
      </c>
    </row>
    <row r="732" spans="1:4" x14ac:dyDescent="0.2">
      <c r="A732" t="s">
        <v>2196</v>
      </c>
      <c r="B732" t="s">
        <v>2257</v>
      </c>
      <c r="C732" t="s">
        <v>2258</v>
      </c>
      <c r="D732" t="s">
        <v>2259</v>
      </c>
    </row>
    <row r="733" spans="1:4" x14ac:dyDescent="0.2">
      <c r="A733" t="s">
        <v>2196</v>
      </c>
      <c r="B733" t="s">
        <v>2260</v>
      </c>
      <c r="C733" t="s">
        <v>2261</v>
      </c>
      <c r="D733" t="s">
        <v>2262</v>
      </c>
    </row>
    <row r="734" spans="1:4" x14ac:dyDescent="0.2">
      <c r="A734" t="s">
        <v>2196</v>
      </c>
      <c r="B734" t="s">
        <v>2263</v>
      </c>
      <c r="C734" t="s">
        <v>2264</v>
      </c>
      <c r="D734" t="s">
        <v>2265</v>
      </c>
    </row>
    <row r="735" spans="1:4" x14ac:dyDescent="0.2">
      <c r="A735" t="s">
        <v>2196</v>
      </c>
      <c r="B735" t="s">
        <v>2266</v>
      </c>
      <c r="C735" t="s">
        <v>2267</v>
      </c>
      <c r="D735" t="s">
        <v>2268</v>
      </c>
    </row>
    <row r="736" spans="1:4" x14ac:dyDescent="0.2">
      <c r="A736" t="s">
        <v>2196</v>
      </c>
      <c r="B736" t="s">
        <v>2269</v>
      </c>
      <c r="C736" t="s">
        <v>2270</v>
      </c>
      <c r="D736" t="s">
        <v>2271</v>
      </c>
    </row>
    <row r="737" spans="1:4" x14ac:dyDescent="0.2">
      <c r="A737" t="s">
        <v>2196</v>
      </c>
      <c r="B737" t="s">
        <v>2272</v>
      </c>
      <c r="C737" t="s">
        <v>2273</v>
      </c>
      <c r="D737" t="s">
        <v>2274</v>
      </c>
    </row>
    <row r="738" spans="1:4" x14ac:dyDescent="0.2">
      <c r="A738" t="s">
        <v>2196</v>
      </c>
      <c r="B738" t="s">
        <v>2275</v>
      </c>
      <c r="C738" t="s">
        <v>2276</v>
      </c>
      <c r="D738" t="s">
        <v>2277</v>
      </c>
    </row>
    <row r="739" spans="1:4" x14ac:dyDescent="0.2">
      <c r="A739" t="s">
        <v>2196</v>
      </c>
      <c r="B739" t="s">
        <v>2278</v>
      </c>
      <c r="C739" t="s">
        <v>2279</v>
      </c>
      <c r="D739" t="s">
        <v>2280</v>
      </c>
    </row>
    <row r="740" spans="1:4" x14ac:dyDescent="0.2">
      <c r="A740" t="s">
        <v>2196</v>
      </c>
      <c r="B740" t="s">
        <v>2281</v>
      </c>
      <c r="C740" t="s">
        <v>2282</v>
      </c>
      <c r="D740" t="s">
        <v>2283</v>
      </c>
    </row>
    <row r="741" spans="1:4" x14ac:dyDescent="0.2">
      <c r="A741" t="s">
        <v>2196</v>
      </c>
      <c r="B741" t="s">
        <v>2284</v>
      </c>
      <c r="C741" t="s">
        <v>2285</v>
      </c>
      <c r="D741" t="s">
        <v>2286</v>
      </c>
    </row>
    <row r="742" spans="1:4" x14ac:dyDescent="0.2">
      <c r="A742" t="s">
        <v>2196</v>
      </c>
      <c r="B742" t="s">
        <v>2287</v>
      </c>
      <c r="C742" t="s">
        <v>2288</v>
      </c>
      <c r="D742" t="s">
        <v>2289</v>
      </c>
    </row>
    <row r="743" spans="1:4" x14ac:dyDescent="0.2">
      <c r="A743" t="s">
        <v>2196</v>
      </c>
      <c r="B743" t="s">
        <v>2290</v>
      </c>
      <c r="C743" t="s">
        <v>2291</v>
      </c>
      <c r="D743" t="s">
        <v>2292</v>
      </c>
    </row>
    <row r="744" spans="1:4" x14ac:dyDescent="0.2">
      <c r="A744" t="s">
        <v>2196</v>
      </c>
      <c r="B744" t="s">
        <v>2293</v>
      </c>
      <c r="C744" t="s">
        <v>2294</v>
      </c>
      <c r="D744" t="s">
        <v>2294</v>
      </c>
    </row>
    <row r="745" spans="1:4" x14ac:dyDescent="0.2">
      <c r="A745" t="s">
        <v>2196</v>
      </c>
      <c r="B745" t="s">
        <v>2295</v>
      </c>
      <c r="C745" t="s">
        <v>2296</v>
      </c>
      <c r="D745" t="s">
        <v>2297</v>
      </c>
    </row>
    <row r="746" spans="1:4" x14ac:dyDescent="0.2">
      <c r="A746" t="s">
        <v>2196</v>
      </c>
      <c r="B746" t="s">
        <v>2298</v>
      </c>
      <c r="C746" t="s">
        <v>2299</v>
      </c>
      <c r="D746" t="s">
        <v>2300</v>
      </c>
    </row>
    <row r="747" spans="1:4" x14ac:dyDescent="0.2">
      <c r="A747" t="s">
        <v>2196</v>
      </c>
      <c r="B747" t="s">
        <v>2301</v>
      </c>
      <c r="C747" t="s">
        <v>2302</v>
      </c>
      <c r="D747" t="s">
        <v>2303</v>
      </c>
    </row>
    <row r="748" spans="1:4" x14ac:dyDescent="0.2">
      <c r="A748" t="s">
        <v>2196</v>
      </c>
      <c r="B748" t="s">
        <v>2304</v>
      </c>
      <c r="C748" t="s">
        <v>2305</v>
      </c>
      <c r="D748" t="s">
        <v>2306</v>
      </c>
    </row>
    <row r="749" spans="1:4" x14ac:dyDescent="0.2">
      <c r="A749" t="s">
        <v>2196</v>
      </c>
      <c r="B749" t="s">
        <v>2307</v>
      </c>
      <c r="C749" t="s">
        <v>2308</v>
      </c>
      <c r="D749" t="s">
        <v>2309</v>
      </c>
    </row>
    <row r="750" spans="1:4" x14ac:dyDescent="0.2">
      <c r="A750" t="s">
        <v>2196</v>
      </c>
      <c r="B750" t="s">
        <v>2310</v>
      </c>
      <c r="C750" t="s">
        <v>2311</v>
      </c>
      <c r="D750" t="s">
        <v>2312</v>
      </c>
    </row>
    <row r="751" spans="1:4" x14ac:dyDescent="0.2">
      <c r="A751" t="s">
        <v>2196</v>
      </c>
      <c r="B751" t="s">
        <v>2313</v>
      </c>
      <c r="C751" t="s">
        <v>2314</v>
      </c>
      <c r="D751" t="s">
        <v>2315</v>
      </c>
    </row>
    <row r="752" spans="1:4" x14ac:dyDescent="0.2">
      <c r="A752" t="s">
        <v>2196</v>
      </c>
      <c r="B752" t="s">
        <v>2316</v>
      </c>
      <c r="C752" t="s">
        <v>2317</v>
      </c>
      <c r="D752" t="s">
        <v>2318</v>
      </c>
    </row>
    <row r="753" spans="1:4" x14ac:dyDescent="0.2">
      <c r="A753" t="s">
        <v>2196</v>
      </c>
      <c r="B753" t="s">
        <v>2319</v>
      </c>
      <c r="C753" t="s">
        <v>2320</v>
      </c>
      <c r="D753" t="s">
        <v>2321</v>
      </c>
    </row>
    <row r="754" spans="1:4" x14ac:dyDescent="0.2">
      <c r="A754" t="s">
        <v>2196</v>
      </c>
      <c r="B754" t="s">
        <v>2322</v>
      </c>
      <c r="C754" t="s">
        <v>2323</v>
      </c>
      <c r="D754" t="s">
        <v>2324</v>
      </c>
    </row>
    <row r="755" spans="1:4" x14ac:dyDescent="0.2">
      <c r="A755" t="s">
        <v>2196</v>
      </c>
      <c r="B755" t="s">
        <v>2325</v>
      </c>
      <c r="C755" t="s">
        <v>2326</v>
      </c>
      <c r="D755" t="s">
        <v>2326</v>
      </c>
    </row>
    <row r="756" spans="1:4" x14ac:dyDescent="0.2">
      <c r="A756" t="s">
        <v>2196</v>
      </c>
      <c r="B756" t="s">
        <v>2327</v>
      </c>
      <c r="C756" t="s">
        <v>2328</v>
      </c>
      <c r="D756" t="s">
        <v>2329</v>
      </c>
    </row>
    <row r="757" spans="1:4" x14ac:dyDescent="0.2">
      <c r="A757" t="s">
        <v>2196</v>
      </c>
      <c r="B757" t="s">
        <v>2330</v>
      </c>
      <c r="C757" t="s">
        <v>2331</v>
      </c>
      <c r="D757" t="s">
        <v>2332</v>
      </c>
    </row>
    <row r="758" spans="1:4" x14ac:dyDescent="0.2">
      <c r="A758" t="s">
        <v>2196</v>
      </c>
      <c r="B758" t="s">
        <v>2333</v>
      </c>
      <c r="C758" t="s">
        <v>2334</v>
      </c>
      <c r="D758" t="s">
        <v>2335</v>
      </c>
    </row>
    <row r="759" spans="1:4" x14ac:dyDescent="0.2">
      <c r="A759" t="s">
        <v>2196</v>
      </c>
      <c r="B759" t="s">
        <v>2336</v>
      </c>
      <c r="C759" t="s">
        <v>2337</v>
      </c>
      <c r="D759" t="s">
        <v>2338</v>
      </c>
    </row>
    <row r="760" spans="1:4" x14ac:dyDescent="0.2">
      <c r="A760" t="s">
        <v>2196</v>
      </c>
      <c r="B760" t="s">
        <v>2339</v>
      </c>
      <c r="C760" t="s">
        <v>2340</v>
      </c>
      <c r="D760" t="s">
        <v>2340</v>
      </c>
    </row>
    <row r="761" spans="1:4" x14ac:dyDescent="0.2">
      <c r="A761" t="s">
        <v>2196</v>
      </c>
      <c r="B761" t="s">
        <v>2341</v>
      </c>
      <c r="C761" t="s">
        <v>2342</v>
      </c>
      <c r="D761" t="s">
        <v>2343</v>
      </c>
    </row>
    <row r="762" spans="1:4" x14ac:dyDescent="0.2">
      <c r="A762" t="s">
        <v>2196</v>
      </c>
      <c r="B762" t="s">
        <v>2344</v>
      </c>
      <c r="C762" t="s">
        <v>2345</v>
      </c>
      <c r="D762" t="s">
        <v>2346</v>
      </c>
    </row>
    <row r="763" spans="1:4" x14ac:dyDescent="0.2">
      <c r="A763" t="s">
        <v>2196</v>
      </c>
      <c r="B763" t="s">
        <v>2347</v>
      </c>
      <c r="C763" t="s">
        <v>2348</v>
      </c>
      <c r="D763" t="s">
        <v>2349</v>
      </c>
    </row>
    <row r="764" spans="1:4" x14ac:dyDescent="0.2">
      <c r="A764" t="s">
        <v>2196</v>
      </c>
      <c r="B764" t="s">
        <v>2350</v>
      </c>
      <c r="C764" t="s">
        <v>2351</v>
      </c>
      <c r="D764" t="s">
        <v>2352</v>
      </c>
    </row>
    <row r="765" spans="1:4" x14ac:dyDescent="0.2">
      <c r="A765" t="s">
        <v>2196</v>
      </c>
      <c r="B765" t="s">
        <v>2353</v>
      </c>
      <c r="C765" t="s">
        <v>2354</v>
      </c>
      <c r="D765" t="s">
        <v>2355</v>
      </c>
    </row>
    <row r="766" spans="1:4" x14ac:dyDescent="0.2">
      <c r="A766" t="s">
        <v>2196</v>
      </c>
      <c r="B766" t="s">
        <v>2356</v>
      </c>
      <c r="C766" t="s">
        <v>2357</v>
      </c>
      <c r="D766" t="s">
        <v>2358</v>
      </c>
    </row>
    <row r="767" spans="1:4" x14ac:dyDescent="0.2">
      <c r="A767" t="s">
        <v>2196</v>
      </c>
      <c r="B767" t="s">
        <v>2359</v>
      </c>
      <c r="C767" t="s">
        <v>2360</v>
      </c>
      <c r="D767" t="s">
        <v>2361</v>
      </c>
    </row>
    <row r="768" spans="1:4" x14ac:dyDescent="0.2">
      <c r="A768" t="s">
        <v>2196</v>
      </c>
      <c r="B768" t="s">
        <v>2362</v>
      </c>
      <c r="C768" t="s">
        <v>2363</v>
      </c>
      <c r="D768" t="s">
        <v>2363</v>
      </c>
    </row>
    <row r="769" spans="1:4" x14ac:dyDescent="0.2">
      <c r="A769" t="s">
        <v>2196</v>
      </c>
      <c r="B769" t="s">
        <v>2364</v>
      </c>
      <c r="C769" t="s">
        <v>2365</v>
      </c>
      <c r="D769" t="s">
        <v>2366</v>
      </c>
    </row>
    <row r="770" spans="1:4" x14ac:dyDescent="0.2">
      <c r="A770" t="s">
        <v>2196</v>
      </c>
      <c r="B770" t="s">
        <v>2367</v>
      </c>
      <c r="C770" t="s">
        <v>2368</v>
      </c>
      <c r="D770" t="s">
        <v>2369</v>
      </c>
    </row>
    <row r="771" spans="1:4" x14ac:dyDescent="0.2">
      <c r="A771" t="s">
        <v>2196</v>
      </c>
      <c r="B771" t="s">
        <v>2370</v>
      </c>
      <c r="C771" t="s">
        <v>2371</v>
      </c>
      <c r="D771" t="s">
        <v>2372</v>
      </c>
    </row>
    <row r="772" spans="1:4" x14ac:dyDescent="0.2">
      <c r="A772" t="s">
        <v>2196</v>
      </c>
      <c r="B772" t="s">
        <v>2373</v>
      </c>
      <c r="C772" t="s">
        <v>2374</v>
      </c>
      <c r="D772" t="s">
        <v>2375</v>
      </c>
    </row>
    <row r="773" spans="1:4" x14ac:dyDescent="0.2">
      <c r="A773" t="s">
        <v>2196</v>
      </c>
      <c r="B773" t="s">
        <v>2376</v>
      </c>
      <c r="C773" t="s">
        <v>2377</v>
      </c>
      <c r="D773" t="s">
        <v>2378</v>
      </c>
    </row>
    <row r="774" spans="1:4" x14ac:dyDescent="0.2">
      <c r="A774" t="s">
        <v>2196</v>
      </c>
      <c r="B774" t="s">
        <v>2379</v>
      </c>
      <c r="C774" t="s">
        <v>2380</v>
      </c>
      <c r="D774" t="s">
        <v>2381</v>
      </c>
    </row>
    <row r="775" spans="1:4" x14ac:dyDescent="0.2">
      <c r="A775" t="s">
        <v>2196</v>
      </c>
      <c r="B775" t="s">
        <v>2382</v>
      </c>
      <c r="C775" t="s">
        <v>2383</v>
      </c>
      <c r="D775" t="s">
        <v>2384</v>
      </c>
    </row>
    <row r="776" spans="1:4" x14ac:dyDescent="0.2">
      <c r="A776" t="s">
        <v>2196</v>
      </c>
      <c r="B776" t="s">
        <v>2385</v>
      </c>
      <c r="C776" t="s">
        <v>2386</v>
      </c>
      <c r="D776" t="s">
        <v>2387</v>
      </c>
    </row>
    <row r="777" spans="1:4" x14ac:dyDescent="0.2">
      <c r="A777" t="s">
        <v>2196</v>
      </c>
      <c r="B777" t="s">
        <v>2388</v>
      </c>
      <c r="C777" t="s">
        <v>2389</v>
      </c>
      <c r="D777" t="s">
        <v>2390</v>
      </c>
    </row>
    <row r="778" spans="1:4" x14ac:dyDescent="0.2">
      <c r="A778" t="s">
        <v>2196</v>
      </c>
      <c r="B778" t="s">
        <v>2391</v>
      </c>
      <c r="C778" t="s">
        <v>2392</v>
      </c>
      <c r="D778" t="s">
        <v>2393</v>
      </c>
    </row>
    <row r="779" spans="1:4" x14ac:dyDescent="0.2">
      <c r="A779" t="s">
        <v>2196</v>
      </c>
      <c r="B779" t="s">
        <v>2394</v>
      </c>
      <c r="C779" t="s">
        <v>2395</v>
      </c>
      <c r="D779" t="s">
        <v>2396</v>
      </c>
    </row>
    <row r="780" spans="1:4" x14ac:dyDescent="0.2">
      <c r="A780" t="s">
        <v>2196</v>
      </c>
      <c r="B780" t="s">
        <v>2397</v>
      </c>
      <c r="C780" t="s">
        <v>2398</v>
      </c>
      <c r="D780" t="s">
        <v>2399</v>
      </c>
    </row>
    <row r="781" spans="1:4" x14ac:dyDescent="0.2">
      <c r="A781" t="s">
        <v>2196</v>
      </c>
      <c r="B781" t="s">
        <v>2400</v>
      </c>
      <c r="C781" t="s">
        <v>2401</v>
      </c>
      <c r="D781" t="s">
        <v>2402</v>
      </c>
    </row>
    <row r="782" spans="1:4" x14ac:dyDescent="0.2">
      <c r="A782" t="s">
        <v>2196</v>
      </c>
      <c r="B782" t="s">
        <v>2403</v>
      </c>
      <c r="C782" t="s">
        <v>2404</v>
      </c>
      <c r="D782" t="s">
        <v>2405</v>
      </c>
    </row>
    <row r="783" spans="1:4" x14ac:dyDescent="0.2">
      <c r="A783" t="s">
        <v>2196</v>
      </c>
      <c r="B783" t="s">
        <v>2406</v>
      </c>
      <c r="C783" t="s">
        <v>2407</v>
      </c>
      <c r="D783" t="s">
        <v>2408</v>
      </c>
    </row>
    <row r="784" spans="1:4" x14ac:dyDescent="0.2">
      <c r="A784" t="s">
        <v>2196</v>
      </c>
      <c r="B784" t="s">
        <v>2409</v>
      </c>
      <c r="C784" t="s">
        <v>2410</v>
      </c>
      <c r="D784" t="s">
        <v>2411</v>
      </c>
    </row>
    <row r="785" spans="1:4" x14ac:dyDescent="0.2">
      <c r="A785" t="s">
        <v>2196</v>
      </c>
      <c r="B785" t="s">
        <v>2412</v>
      </c>
      <c r="C785" t="s">
        <v>2413</v>
      </c>
      <c r="D785" t="s">
        <v>2414</v>
      </c>
    </row>
    <row r="786" spans="1:4" x14ac:dyDescent="0.2">
      <c r="A786" t="s">
        <v>2196</v>
      </c>
      <c r="B786" t="s">
        <v>2415</v>
      </c>
      <c r="C786" t="s">
        <v>2416</v>
      </c>
      <c r="D786" t="s">
        <v>2417</v>
      </c>
    </row>
    <row r="787" spans="1:4" x14ac:dyDescent="0.2">
      <c r="A787" t="s">
        <v>2196</v>
      </c>
      <c r="B787" t="s">
        <v>2418</v>
      </c>
      <c r="C787" t="s">
        <v>2419</v>
      </c>
      <c r="D787" t="s">
        <v>2420</v>
      </c>
    </row>
    <row r="788" spans="1:4" x14ac:dyDescent="0.2">
      <c r="A788" t="s">
        <v>2196</v>
      </c>
      <c r="B788" t="s">
        <v>2421</v>
      </c>
      <c r="C788" t="s">
        <v>2422</v>
      </c>
      <c r="D788" t="s">
        <v>2423</v>
      </c>
    </row>
    <row r="789" spans="1:4" x14ac:dyDescent="0.2">
      <c r="A789" t="s">
        <v>2196</v>
      </c>
      <c r="B789" t="s">
        <v>2424</v>
      </c>
      <c r="C789" t="s">
        <v>2425</v>
      </c>
      <c r="D789" t="s">
        <v>2426</v>
      </c>
    </row>
    <row r="790" spans="1:4" x14ac:dyDescent="0.2">
      <c r="A790" t="s">
        <v>2196</v>
      </c>
      <c r="B790" t="s">
        <v>2427</v>
      </c>
      <c r="C790" t="s">
        <v>2428</v>
      </c>
      <c r="D790" t="s">
        <v>2429</v>
      </c>
    </row>
    <row r="791" spans="1:4" x14ac:dyDescent="0.2">
      <c r="A791" t="s">
        <v>2196</v>
      </c>
      <c r="B791" t="s">
        <v>2430</v>
      </c>
      <c r="C791" t="s">
        <v>2431</v>
      </c>
      <c r="D791" t="s">
        <v>2432</v>
      </c>
    </row>
    <row r="792" spans="1:4" x14ac:dyDescent="0.2">
      <c r="A792" t="s">
        <v>2196</v>
      </c>
      <c r="B792" t="s">
        <v>2433</v>
      </c>
      <c r="C792" t="s">
        <v>2434</v>
      </c>
      <c r="D792" t="s">
        <v>2435</v>
      </c>
    </row>
    <row r="793" spans="1:4" x14ac:dyDescent="0.2">
      <c r="A793" t="s">
        <v>2196</v>
      </c>
      <c r="B793" t="s">
        <v>2436</v>
      </c>
      <c r="C793" t="s">
        <v>2437</v>
      </c>
      <c r="D793" t="s">
        <v>2438</v>
      </c>
    </row>
    <row r="794" spans="1:4" x14ac:dyDescent="0.2">
      <c r="A794" t="s">
        <v>2196</v>
      </c>
      <c r="B794" t="s">
        <v>2439</v>
      </c>
      <c r="C794" t="s">
        <v>2440</v>
      </c>
      <c r="D794" t="s">
        <v>2441</v>
      </c>
    </row>
    <row r="795" spans="1:4" x14ac:dyDescent="0.2">
      <c r="A795" t="s">
        <v>2196</v>
      </c>
      <c r="B795" t="s">
        <v>2442</v>
      </c>
      <c r="C795" t="s">
        <v>2443</v>
      </c>
      <c r="D795" t="s">
        <v>2444</v>
      </c>
    </row>
    <row r="796" spans="1:4" x14ac:dyDescent="0.2">
      <c r="A796" t="s">
        <v>2196</v>
      </c>
      <c r="B796" t="s">
        <v>2445</v>
      </c>
      <c r="C796" t="s">
        <v>2446</v>
      </c>
      <c r="D796" t="s">
        <v>2447</v>
      </c>
    </row>
    <row r="797" spans="1:4" x14ac:dyDescent="0.2">
      <c r="A797" t="s">
        <v>2196</v>
      </c>
      <c r="B797" t="s">
        <v>2448</v>
      </c>
      <c r="C797" t="s">
        <v>2449</v>
      </c>
      <c r="D797" t="s">
        <v>2449</v>
      </c>
    </row>
    <row r="798" spans="1:4" x14ac:dyDescent="0.2">
      <c r="A798" t="s">
        <v>2196</v>
      </c>
      <c r="B798" t="s">
        <v>2450</v>
      </c>
      <c r="C798" t="s">
        <v>2451</v>
      </c>
      <c r="D798" t="s">
        <v>2452</v>
      </c>
    </row>
    <row r="799" spans="1:4" x14ac:dyDescent="0.2">
      <c r="A799" t="s">
        <v>2196</v>
      </c>
      <c r="B799" t="s">
        <v>2453</v>
      </c>
      <c r="C799" t="s">
        <v>2454</v>
      </c>
      <c r="D799" t="s">
        <v>2455</v>
      </c>
    </row>
    <row r="800" spans="1:4" x14ac:dyDescent="0.2">
      <c r="A800" t="s">
        <v>2196</v>
      </c>
      <c r="B800" t="s">
        <v>2456</v>
      </c>
      <c r="C800" t="s">
        <v>2457</v>
      </c>
      <c r="D800" t="s">
        <v>2457</v>
      </c>
    </row>
    <row r="801" spans="1:4" x14ac:dyDescent="0.2">
      <c r="A801" t="s">
        <v>2196</v>
      </c>
      <c r="B801" t="s">
        <v>2458</v>
      </c>
      <c r="C801" t="s">
        <v>2459</v>
      </c>
      <c r="D801" t="s">
        <v>2460</v>
      </c>
    </row>
    <row r="802" spans="1:4" x14ac:dyDescent="0.2">
      <c r="A802" t="s">
        <v>2196</v>
      </c>
      <c r="B802" t="s">
        <v>2461</v>
      </c>
      <c r="C802" t="s">
        <v>2462</v>
      </c>
      <c r="D802" t="s">
        <v>2463</v>
      </c>
    </row>
    <row r="803" spans="1:4" x14ac:dyDescent="0.2">
      <c r="A803" t="s">
        <v>2196</v>
      </c>
      <c r="B803" t="s">
        <v>2464</v>
      </c>
      <c r="C803" t="s">
        <v>2465</v>
      </c>
      <c r="D803" t="s">
        <v>2466</v>
      </c>
    </row>
    <row r="804" spans="1:4" x14ac:dyDescent="0.2">
      <c r="A804" t="s">
        <v>2196</v>
      </c>
      <c r="B804" t="s">
        <v>2467</v>
      </c>
      <c r="C804" t="s">
        <v>2468</v>
      </c>
      <c r="D804" t="s">
        <v>2469</v>
      </c>
    </row>
    <row r="806" spans="1:4" x14ac:dyDescent="0.2">
      <c r="A806" t="s">
        <v>2470</v>
      </c>
      <c r="B806" t="s">
        <v>2197</v>
      </c>
      <c r="C806" t="s">
        <v>2198</v>
      </c>
      <c r="D806" t="s">
        <v>2199</v>
      </c>
    </row>
    <row r="807" spans="1:4" x14ac:dyDescent="0.2">
      <c r="A807" t="s">
        <v>2470</v>
      </c>
      <c r="B807" t="s">
        <v>2200</v>
      </c>
      <c r="C807" t="s">
        <v>2201</v>
      </c>
      <c r="D807" t="s">
        <v>2202</v>
      </c>
    </row>
    <row r="808" spans="1:4" x14ac:dyDescent="0.2">
      <c r="A808" t="s">
        <v>2470</v>
      </c>
      <c r="B808" t="s">
        <v>2203</v>
      </c>
      <c r="C808" t="s">
        <v>2204</v>
      </c>
      <c r="D808" t="s">
        <v>2205</v>
      </c>
    </row>
    <row r="809" spans="1:4" x14ac:dyDescent="0.2">
      <c r="A809" t="s">
        <v>2470</v>
      </c>
      <c r="B809" t="s">
        <v>2206</v>
      </c>
      <c r="C809" t="s">
        <v>2207</v>
      </c>
      <c r="D809" t="s">
        <v>2208</v>
      </c>
    </row>
    <row r="810" spans="1:4" x14ac:dyDescent="0.2">
      <c r="A810" t="s">
        <v>2470</v>
      </c>
      <c r="B810" t="s">
        <v>2209</v>
      </c>
      <c r="C810" t="s">
        <v>2210</v>
      </c>
      <c r="D810" t="s">
        <v>2211</v>
      </c>
    </row>
    <row r="811" spans="1:4" x14ac:dyDescent="0.2">
      <c r="A811" t="s">
        <v>2470</v>
      </c>
      <c r="B811" t="s">
        <v>2212</v>
      </c>
      <c r="C811" t="s">
        <v>2213</v>
      </c>
      <c r="D811" t="s">
        <v>2214</v>
      </c>
    </row>
    <row r="812" spans="1:4" x14ac:dyDescent="0.2">
      <c r="A812" t="s">
        <v>2470</v>
      </c>
      <c r="B812" t="s">
        <v>2215</v>
      </c>
      <c r="C812" t="s">
        <v>2216</v>
      </c>
      <c r="D812" t="s">
        <v>2217</v>
      </c>
    </row>
    <row r="813" spans="1:4" x14ac:dyDescent="0.2">
      <c r="A813" t="s">
        <v>2470</v>
      </c>
      <c r="B813" t="s">
        <v>2218</v>
      </c>
      <c r="C813" t="s">
        <v>2219</v>
      </c>
      <c r="D813" t="s">
        <v>2220</v>
      </c>
    </row>
    <row r="814" spans="1:4" x14ac:dyDescent="0.2">
      <c r="A814" t="s">
        <v>2470</v>
      </c>
      <c r="B814" t="s">
        <v>2221</v>
      </c>
      <c r="C814" t="s">
        <v>2222</v>
      </c>
      <c r="D814" t="s">
        <v>2223</v>
      </c>
    </row>
    <row r="815" spans="1:4" x14ac:dyDescent="0.2">
      <c r="A815" t="s">
        <v>2470</v>
      </c>
      <c r="B815" t="s">
        <v>2224</v>
      </c>
      <c r="C815" t="s">
        <v>2225</v>
      </c>
      <c r="D815" t="s">
        <v>2226</v>
      </c>
    </row>
    <row r="816" spans="1:4" x14ac:dyDescent="0.2">
      <c r="A816" t="s">
        <v>2470</v>
      </c>
      <c r="B816" t="s">
        <v>2227</v>
      </c>
      <c r="C816" t="s">
        <v>2228</v>
      </c>
      <c r="D816" t="s">
        <v>2229</v>
      </c>
    </row>
    <row r="817" spans="1:4" x14ac:dyDescent="0.2">
      <c r="A817" t="s">
        <v>2470</v>
      </c>
      <c r="B817" t="s">
        <v>2230</v>
      </c>
      <c r="C817" t="s">
        <v>2231</v>
      </c>
      <c r="D817" t="s">
        <v>2232</v>
      </c>
    </row>
    <row r="818" spans="1:4" x14ac:dyDescent="0.2">
      <c r="A818" t="s">
        <v>2470</v>
      </c>
      <c r="B818" t="s">
        <v>2233</v>
      </c>
      <c r="C818" t="s">
        <v>2234</v>
      </c>
      <c r="D818" t="s">
        <v>2235</v>
      </c>
    </row>
    <row r="819" spans="1:4" x14ac:dyDescent="0.2">
      <c r="A819" t="s">
        <v>2470</v>
      </c>
      <c r="B819" t="s">
        <v>2236</v>
      </c>
      <c r="C819" t="s">
        <v>2237</v>
      </c>
      <c r="D819" t="s">
        <v>2238</v>
      </c>
    </row>
    <row r="820" spans="1:4" x14ac:dyDescent="0.2">
      <c r="A820" t="s">
        <v>2470</v>
      </c>
      <c r="B820" t="s">
        <v>2239</v>
      </c>
      <c r="C820" t="s">
        <v>2240</v>
      </c>
      <c r="D820" t="s">
        <v>2241</v>
      </c>
    </row>
    <row r="821" spans="1:4" x14ac:dyDescent="0.2">
      <c r="A821" t="s">
        <v>2470</v>
      </c>
      <c r="B821" t="s">
        <v>2242</v>
      </c>
      <c r="C821" t="s">
        <v>2243</v>
      </c>
      <c r="D821" t="s">
        <v>2244</v>
      </c>
    </row>
    <row r="822" spans="1:4" x14ac:dyDescent="0.2">
      <c r="A822" t="s">
        <v>2470</v>
      </c>
      <c r="B822" t="s">
        <v>2245</v>
      </c>
      <c r="C822" t="s">
        <v>2246</v>
      </c>
      <c r="D822" t="s">
        <v>2247</v>
      </c>
    </row>
    <row r="823" spans="1:4" x14ac:dyDescent="0.2">
      <c r="A823" t="s">
        <v>2470</v>
      </c>
      <c r="B823" t="s">
        <v>2248</v>
      </c>
      <c r="C823" t="s">
        <v>2249</v>
      </c>
      <c r="D823" t="s">
        <v>2250</v>
      </c>
    </row>
    <row r="824" spans="1:4" x14ac:dyDescent="0.2">
      <c r="A824" t="s">
        <v>2470</v>
      </c>
      <c r="B824" t="s">
        <v>2251</v>
      </c>
      <c r="C824" t="s">
        <v>2252</v>
      </c>
      <c r="D824" t="s">
        <v>2253</v>
      </c>
    </row>
    <row r="825" spans="1:4" x14ac:dyDescent="0.2">
      <c r="A825" t="s">
        <v>2470</v>
      </c>
      <c r="B825" t="s">
        <v>2254</v>
      </c>
      <c r="C825" t="s">
        <v>2255</v>
      </c>
      <c r="D825" t="s">
        <v>2256</v>
      </c>
    </row>
    <row r="826" spans="1:4" x14ac:dyDescent="0.2">
      <c r="A826" t="s">
        <v>2470</v>
      </c>
      <c r="B826" t="s">
        <v>2257</v>
      </c>
      <c r="C826" t="s">
        <v>2258</v>
      </c>
      <c r="D826" t="s">
        <v>2259</v>
      </c>
    </row>
    <row r="827" spans="1:4" x14ac:dyDescent="0.2">
      <c r="A827" t="s">
        <v>2470</v>
      </c>
      <c r="B827" t="s">
        <v>2260</v>
      </c>
      <c r="C827" t="s">
        <v>2261</v>
      </c>
      <c r="D827" t="s">
        <v>2262</v>
      </c>
    </row>
    <row r="828" spans="1:4" x14ac:dyDescent="0.2">
      <c r="A828" t="s">
        <v>2470</v>
      </c>
      <c r="B828" t="s">
        <v>2263</v>
      </c>
      <c r="C828" t="s">
        <v>2264</v>
      </c>
      <c r="D828" t="s">
        <v>2265</v>
      </c>
    </row>
    <row r="829" spans="1:4" x14ac:dyDescent="0.2">
      <c r="A829" t="s">
        <v>2470</v>
      </c>
      <c r="B829" t="s">
        <v>2266</v>
      </c>
      <c r="C829" t="s">
        <v>2267</v>
      </c>
      <c r="D829" t="s">
        <v>2268</v>
      </c>
    </row>
    <row r="830" spans="1:4" x14ac:dyDescent="0.2">
      <c r="A830" t="s">
        <v>2470</v>
      </c>
      <c r="B830" t="s">
        <v>2269</v>
      </c>
      <c r="C830" t="s">
        <v>2270</v>
      </c>
      <c r="D830" t="s">
        <v>2271</v>
      </c>
    </row>
    <row r="831" spans="1:4" x14ac:dyDescent="0.2">
      <c r="A831" t="s">
        <v>2470</v>
      </c>
      <c r="B831" t="s">
        <v>2272</v>
      </c>
      <c r="C831" t="s">
        <v>2273</v>
      </c>
      <c r="D831" t="s">
        <v>2274</v>
      </c>
    </row>
    <row r="832" spans="1:4" x14ac:dyDescent="0.2">
      <c r="A832" t="s">
        <v>2470</v>
      </c>
      <c r="B832" t="s">
        <v>2275</v>
      </c>
      <c r="C832" t="s">
        <v>2276</v>
      </c>
      <c r="D832" t="s">
        <v>2277</v>
      </c>
    </row>
    <row r="833" spans="1:4" x14ac:dyDescent="0.2">
      <c r="A833" t="s">
        <v>2470</v>
      </c>
      <c r="B833" t="s">
        <v>2278</v>
      </c>
      <c r="C833" t="s">
        <v>2279</v>
      </c>
      <c r="D833" t="s">
        <v>2280</v>
      </c>
    </row>
    <row r="834" spans="1:4" x14ac:dyDescent="0.2">
      <c r="A834" t="s">
        <v>2470</v>
      </c>
      <c r="B834" t="s">
        <v>2281</v>
      </c>
      <c r="C834" t="s">
        <v>2282</v>
      </c>
      <c r="D834" t="s">
        <v>2283</v>
      </c>
    </row>
    <row r="835" spans="1:4" x14ac:dyDescent="0.2">
      <c r="A835" t="s">
        <v>2470</v>
      </c>
      <c r="B835" t="s">
        <v>2284</v>
      </c>
      <c r="C835" t="s">
        <v>2285</v>
      </c>
      <c r="D835" t="s">
        <v>2286</v>
      </c>
    </row>
    <row r="836" spans="1:4" x14ac:dyDescent="0.2">
      <c r="A836" t="s">
        <v>2470</v>
      </c>
      <c r="B836" t="s">
        <v>2287</v>
      </c>
      <c r="C836" t="s">
        <v>2288</v>
      </c>
      <c r="D836" t="s">
        <v>2289</v>
      </c>
    </row>
    <row r="837" spans="1:4" x14ac:dyDescent="0.2">
      <c r="A837" t="s">
        <v>2470</v>
      </c>
      <c r="B837" t="s">
        <v>2290</v>
      </c>
      <c r="C837" t="s">
        <v>2291</v>
      </c>
      <c r="D837" t="s">
        <v>2292</v>
      </c>
    </row>
    <row r="838" spans="1:4" x14ac:dyDescent="0.2">
      <c r="A838" t="s">
        <v>2470</v>
      </c>
      <c r="B838" t="s">
        <v>2293</v>
      </c>
      <c r="C838" t="s">
        <v>2294</v>
      </c>
      <c r="D838" t="s">
        <v>2294</v>
      </c>
    </row>
    <row r="839" spans="1:4" x14ac:dyDescent="0.2">
      <c r="A839" t="s">
        <v>2470</v>
      </c>
      <c r="B839" t="s">
        <v>2295</v>
      </c>
      <c r="C839" t="s">
        <v>2296</v>
      </c>
      <c r="D839" t="s">
        <v>2297</v>
      </c>
    </row>
    <row r="840" spans="1:4" x14ac:dyDescent="0.2">
      <c r="A840" t="s">
        <v>2470</v>
      </c>
      <c r="B840" t="s">
        <v>2298</v>
      </c>
      <c r="C840" t="s">
        <v>2299</v>
      </c>
      <c r="D840" t="s">
        <v>2300</v>
      </c>
    </row>
    <row r="841" spans="1:4" x14ac:dyDescent="0.2">
      <c r="A841" t="s">
        <v>2470</v>
      </c>
      <c r="B841" t="s">
        <v>2301</v>
      </c>
      <c r="C841" t="s">
        <v>2302</v>
      </c>
      <c r="D841" t="s">
        <v>2303</v>
      </c>
    </row>
    <row r="842" spans="1:4" x14ac:dyDescent="0.2">
      <c r="A842" t="s">
        <v>2470</v>
      </c>
      <c r="B842" t="s">
        <v>2304</v>
      </c>
      <c r="C842" t="s">
        <v>2305</v>
      </c>
      <c r="D842" t="s">
        <v>2306</v>
      </c>
    </row>
    <row r="843" spans="1:4" x14ac:dyDescent="0.2">
      <c r="A843" t="s">
        <v>2470</v>
      </c>
      <c r="B843" t="s">
        <v>2307</v>
      </c>
      <c r="C843" t="s">
        <v>2308</v>
      </c>
      <c r="D843" t="s">
        <v>2309</v>
      </c>
    </row>
    <row r="844" spans="1:4" x14ac:dyDescent="0.2">
      <c r="A844" t="s">
        <v>2470</v>
      </c>
      <c r="B844" t="s">
        <v>2310</v>
      </c>
      <c r="C844" t="s">
        <v>2311</v>
      </c>
      <c r="D844" t="s">
        <v>2312</v>
      </c>
    </row>
    <row r="845" spans="1:4" x14ac:dyDescent="0.2">
      <c r="A845" t="s">
        <v>2470</v>
      </c>
      <c r="B845" t="s">
        <v>2313</v>
      </c>
      <c r="C845" t="s">
        <v>2314</v>
      </c>
      <c r="D845" t="s">
        <v>2315</v>
      </c>
    </row>
    <row r="846" spans="1:4" x14ac:dyDescent="0.2">
      <c r="A846" t="s">
        <v>2470</v>
      </c>
      <c r="B846" t="s">
        <v>2316</v>
      </c>
      <c r="C846" t="s">
        <v>2317</v>
      </c>
      <c r="D846" t="s">
        <v>2318</v>
      </c>
    </row>
    <row r="847" spans="1:4" x14ac:dyDescent="0.2">
      <c r="A847" t="s">
        <v>2470</v>
      </c>
      <c r="B847" t="s">
        <v>2319</v>
      </c>
      <c r="C847" t="s">
        <v>2320</v>
      </c>
      <c r="D847" t="s">
        <v>2321</v>
      </c>
    </row>
    <row r="848" spans="1:4" x14ac:dyDescent="0.2">
      <c r="A848" t="s">
        <v>2470</v>
      </c>
      <c r="B848" t="s">
        <v>2322</v>
      </c>
      <c r="C848" t="s">
        <v>2323</v>
      </c>
      <c r="D848" t="s">
        <v>2324</v>
      </c>
    </row>
    <row r="849" spans="1:4" x14ac:dyDescent="0.2">
      <c r="A849" t="s">
        <v>2470</v>
      </c>
      <c r="B849" t="s">
        <v>2325</v>
      </c>
      <c r="C849" t="s">
        <v>2326</v>
      </c>
      <c r="D849" t="s">
        <v>2326</v>
      </c>
    </row>
    <row r="850" spans="1:4" x14ac:dyDescent="0.2">
      <c r="A850" t="s">
        <v>2470</v>
      </c>
      <c r="B850" t="s">
        <v>2327</v>
      </c>
      <c r="C850" t="s">
        <v>2328</v>
      </c>
      <c r="D850" t="s">
        <v>2329</v>
      </c>
    </row>
    <row r="851" spans="1:4" x14ac:dyDescent="0.2">
      <c r="A851" t="s">
        <v>2470</v>
      </c>
      <c r="B851" t="s">
        <v>2330</v>
      </c>
      <c r="C851" t="s">
        <v>2331</v>
      </c>
      <c r="D851" t="s">
        <v>2332</v>
      </c>
    </row>
    <row r="852" spans="1:4" x14ac:dyDescent="0.2">
      <c r="A852" t="s">
        <v>2470</v>
      </c>
      <c r="B852" t="s">
        <v>2333</v>
      </c>
      <c r="C852" t="s">
        <v>2334</v>
      </c>
      <c r="D852" t="s">
        <v>2335</v>
      </c>
    </row>
    <row r="853" spans="1:4" x14ac:dyDescent="0.2">
      <c r="A853" t="s">
        <v>2470</v>
      </c>
      <c r="B853" t="s">
        <v>2336</v>
      </c>
      <c r="C853" t="s">
        <v>2337</v>
      </c>
      <c r="D853" t="s">
        <v>2338</v>
      </c>
    </row>
    <row r="854" spans="1:4" x14ac:dyDescent="0.2">
      <c r="A854" t="s">
        <v>2470</v>
      </c>
      <c r="B854" t="s">
        <v>2339</v>
      </c>
      <c r="C854" t="s">
        <v>2340</v>
      </c>
      <c r="D854" t="s">
        <v>2340</v>
      </c>
    </row>
    <row r="855" spans="1:4" x14ac:dyDescent="0.2">
      <c r="A855" t="s">
        <v>2470</v>
      </c>
      <c r="B855" t="s">
        <v>2341</v>
      </c>
      <c r="C855" t="s">
        <v>2342</v>
      </c>
      <c r="D855" t="s">
        <v>2343</v>
      </c>
    </row>
    <row r="856" spans="1:4" x14ac:dyDescent="0.2">
      <c r="A856" t="s">
        <v>2470</v>
      </c>
      <c r="B856" t="s">
        <v>2344</v>
      </c>
      <c r="C856" t="s">
        <v>2345</v>
      </c>
      <c r="D856" t="s">
        <v>2346</v>
      </c>
    </row>
    <row r="857" spans="1:4" x14ac:dyDescent="0.2">
      <c r="A857" t="s">
        <v>2470</v>
      </c>
      <c r="B857" t="s">
        <v>2347</v>
      </c>
      <c r="C857" t="s">
        <v>2348</v>
      </c>
      <c r="D857" t="s">
        <v>2349</v>
      </c>
    </row>
    <row r="858" spans="1:4" x14ac:dyDescent="0.2">
      <c r="A858" t="s">
        <v>2470</v>
      </c>
      <c r="B858" t="s">
        <v>2350</v>
      </c>
      <c r="C858" t="s">
        <v>2351</v>
      </c>
      <c r="D858" t="s">
        <v>2352</v>
      </c>
    </row>
    <row r="859" spans="1:4" x14ac:dyDescent="0.2">
      <c r="A859" t="s">
        <v>2470</v>
      </c>
      <c r="B859" t="s">
        <v>2353</v>
      </c>
      <c r="C859" t="s">
        <v>2354</v>
      </c>
      <c r="D859" t="s">
        <v>2355</v>
      </c>
    </row>
    <row r="860" spans="1:4" x14ac:dyDescent="0.2">
      <c r="A860" t="s">
        <v>2470</v>
      </c>
      <c r="B860" t="s">
        <v>2356</v>
      </c>
      <c r="C860" t="s">
        <v>2357</v>
      </c>
      <c r="D860" t="s">
        <v>2358</v>
      </c>
    </row>
    <row r="861" spans="1:4" x14ac:dyDescent="0.2">
      <c r="A861" t="s">
        <v>2470</v>
      </c>
      <c r="B861" t="s">
        <v>2359</v>
      </c>
      <c r="C861" t="s">
        <v>2360</v>
      </c>
      <c r="D861" t="s">
        <v>2361</v>
      </c>
    </row>
    <row r="862" spans="1:4" x14ac:dyDescent="0.2">
      <c r="A862" t="s">
        <v>2470</v>
      </c>
      <c r="B862" t="s">
        <v>2362</v>
      </c>
      <c r="C862" t="s">
        <v>2363</v>
      </c>
      <c r="D862" t="s">
        <v>2363</v>
      </c>
    </row>
    <row r="863" spans="1:4" x14ac:dyDescent="0.2">
      <c r="A863" t="s">
        <v>2470</v>
      </c>
      <c r="B863" t="s">
        <v>2364</v>
      </c>
      <c r="C863" t="s">
        <v>2365</v>
      </c>
      <c r="D863" t="s">
        <v>2366</v>
      </c>
    </row>
    <row r="864" spans="1:4" x14ac:dyDescent="0.2">
      <c r="A864" t="s">
        <v>2470</v>
      </c>
      <c r="B864" t="s">
        <v>2367</v>
      </c>
      <c r="C864" t="s">
        <v>2368</v>
      </c>
      <c r="D864" t="s">
        <v>2369</v>
      </c>
    </row>
    <row r="865" spans="1:4" x14ac:dyDescent="0.2">
      <c r="A865" t="s">
        <v>2470</v>
      </c>
      <c r="B865" t="s">
        <v>2370</v>
      </c>
      <c r="C865" t="s">
        <v>2371</v>
      </c>
      <c r="D865" t="s">
        <v>2372</v>
      </c>
    </row>
    <row r="866" spans="1:4" x14ac:dyDescent="0.2">
      <c r="A866" t="s">
        <v>2470</v>
      </c>
      <c r="B866" t="s">
        <v>2373</v>
      </c>
      <c r="C866" t="s">
        <v>2374</v>
      </c>
      <c r="D866" t="s">
        <v>2375</v>
      </c>
    </row>
    <row r="867" spans="1:4" x14ac:dyDescent="0.2">
      <c r="A867" t="s">
        <v>2470</v>
      </c>
      <c r="B867" t="s">
        <v>2376</v>
      </c>
      <c r="C867" t="s">
        <v>2377</v>
      </c>
      <c r="D867" t="s">
        <v>2378</v>
      </c>
    </row>
    <row r="868" spans="1:4" x14ac:dyDescent="0.2">
      <c r="A868" t="s">
        <v>2470</v>
      </c>
      <c r="B868" t="s">
        <v>2379</v>
      </c>
      <c r="C868" t="s">
        <v>2380</v>
      </c>
      <c r="D868" t="s">
        <v>2381</v>
      </c>
    </row>
    <row r="869" spans="1:4" x14ac:dyDescent="0.2">
      <c r="A869" t="s">
        <v>2470</v>
      </c>
      <c r="B869" t="s">
        <v>2382</v>
      </c>
      <c r="C869" t="s">
        <v>2383</v>
      </c>
      <c r="D869" t="s">
        <v>2384</v>
      </c>
    </row>
    <row r="870" spans="1:4" x14ac:dyDescent="0.2">
      <c r="A870" t="s">
        <v>2470</v>
      </c>
      <c r="B870" t="s">
        <v>2385</v>
      </c>
      <c r="C870" t="s">
        <v>2386</v>
      </c>
      <c r="D870" t="s">
        <v>2387</v>
      </c>
    </row>
    <row r="871" spans="1:4" x14ac:dyDescent="0.2">
      <c r="A871" t="s">
        <v>2470</v>
      </c>
      <c r="B871" t="s">
        <v>2388</v>
      </c>
      <c r="C871" t="s">
        <v>2389</v>
      </c>
      <c r="D871" t="s">
        <v>2390</v>
      </c>
    </row>
    <row r="872" spans="1:4" x14ac:dyDescent="0.2">
      <c r="A872" t="s">
        <v>2470</v>
      </c>
      <c r="B872" t="s">
        <v>2391</v>
      </c>
      <c r="C872" t="s">
        <v>2392</v>
      </c>
      <c r="D872" t="s">
        <v>2393</v>
      </c>
    </row>
    <row r="873" spans="1:4" x14ac:dyDescent="0.2">
      <c r="A873" t="s">
        <v>2470</v>
      </c>
      <c r="B873" t="s">
        <v>2394</v>
      </c>
      <c r="C873" t="s">
        <v>2395</v>
      </c>
      <c r="D873" t="s">
        <v>2396</v>
      </c>
    </row>
    <row r="874" spans="1:4" x14ac:dyDescent="0.2">
      <c r="A874" t="s">
        <v>2470</v>
      </c>
      <c r="B874" t="s">
        <v>2397</v>
      </c>
      <c r="C874" t="s">
        <v>2398</v>
      </c>
      <c r="D874" t="s">
        <v>2399</v>
      </c>
    </row>
    <row r="875" spans="1:4" x14ac:dyDescent="0.2">
      <c r="A875" t="s">
        <v>2470</v>
      </c>
      <c r="B875" t="s">
        <v>2400</v>
      </c>
      <c r="C875" t="s">
        <v>2401</v>
      </c>
      <c r="D875" t="s">
        <v>2402</v>
      </c>
    </row>
    <row r="876" spans="1:4" x14ac:dyDescent="0.2">
      <c r="A876" t="s">
        <v>2470</v>
      </c>
      <c r="B876" t="s">
        <v>2403</v>
      </c>
      <c r="C876" t="s">
        <v>2404</v>
      </c>
      <c r="D876" t="s">
        <v>2405</v>
      </c>
    </row>
    <row r="877" spans="1:4" x14ac:dyDescent="0.2">
      <c r="A877" t="s">
        <v>2470</v>
      </c>
      <c r="B877" t="s">
        <v>2406</v>
      </c>
      <c r="C877" t="s">
        <v>2407</v>
      </c>
      <c r="D877" t="s">
        <v>2408</v>
      </c>
    </row>
    <row r="878" spans="1:4" x14ac:dyDescent="0.2">
      <c r="A878" t="s">
        <v>2470</v>
      </c>
      <c r="B878" t="s">
        <v>2409</v>
      </c>
      <c r="C878" t="s">
        <v>2410</v>
      </c>
      <c r="D878" t="s">
        <v>2411</v>
      </c>
    </row>
    <row r="879" spans="1:4" x14ac:dyDescent="0.2">
      <c r="A879" t="s">
        <v>2470</v>
      </c>
      <c r="B879" t="s">
        <v>2412</v>
      </c>
      <c r="C879" t="s">
        <v>2413</v>
      </c>
      <c r="D879" t="s">
        <v>2414</v>
      </c>
    </row>
    <row r="880" spans="1:4" x14ac:dyDescent="0.2">
      <c r="A880" t="s">
        <v>2470</v>
      </c>
      <c r="B880" t="s">
        <v>2415</v>
      </c>
      <c r="C880" t="s">
        <v>2416</v>
      </c>
      <c r="D880" t="s">
        <v>2417</v>
      </c>
    </row>
    <row r="881" spans="1:4" x14ac:dyDescent="0.2">
      <c r="A881" t="s">
        <v>2470</v>
      </c>
      <c r="B881" t="s">
        <v>2418</v>
      </c>
      <c r="C881" t="s">
        <v>2419</v>
      </c>
      <c r="D881" t="s">
        <v>2420</v>
      </c>
    </row>
    <row r="882" spans="1:4" x14ac:dyDescent="0.2">
      <c r="A882" t="s">
        <v>2470</v>
      </c>
      <c r="B882" t="s">
        <v>2421</v>
      </c>
      <c r="C882" t="s">
        <v>2422</v>
      </c>
      <c r="D882" t="s">
        <v>2423</v>
      </c>
    </row>
    <row r="883" spans="1:4" x14ac:dyDescent="0.2">
      <c r="A883" t="s">
        <v>2470</v>
      </c>
      <c r="B883" t="s">
        <v>2424</v>
      </c>
      <c r="C883" t="s">
        <v>2425</v>
      </c>
      <c r="D883" t="s">
        <v>2426</v>
      </c>
    </row>
    <row r="884" spans="1:4" x14ac:dyDescent="0.2">
      <c r="A884" t="s">
        <v>2470</v>
      </c>
      <c r="B884" t="s">
        <v>2427</v>
      </c>
      <c r="C884" t="s">
        <v>2428</v>
      </c>
      <c r="D884" t="s">
        <v>2429</v>
      </c>
    </row>
    <row r="885" spans="1:4" x14ac:dyDescent="0.2">
      <c r="A885" t="s">
        <v>2470</v>
      </c>
      <c r="B885" t="s">
        <v>2430</v>
      </c>
      <c r="C885" t="s">
        <v>2431</v>
      </c>
      <c r="D885" t="s">
        <v>2432</v>
      </c>
    </row>
    <row r="886" spans="1:4" x14ac:dyDescent="0.2">
      <c r="A886" t="s">
        <v>2470</v>
      </c>
      <c r="B886" t="s">
        <v>2433</v>
      </c>
      <c r="C886" t="s">
        <v>2434</v>
      </c>
      <c r="D886" t="s">
        <v>2435</v>
      </c>
    </row>
    <row r="887" spans="1:4" x14ac:dyDescent="0.2">
      <c r="A887" t="s">
        <v>2470</v>
      </c>
      <c r="B887" t="s">
        <v>2436</v>
      </c>
      <c r="C887" t="s">
        <v>2437</v>
      </c>
      <c r="D887" t="s">
        <v>2438</v>
      </c>
    </row>
    <row r="888" spans="1:4" x14ac:dyDescent="0.2">
      <c r="A888" t="s">
        <v>2470</v>
      </c>
      <c r="B888" t="s">
        <v>2439</v>
      </c>
      <c r="C888" t="s">
        <v>2440</v>
      </c>
      <c r="D888" t="s">
        <v>2441</v>
      </c>
    </row>
    <row r="889" spans="1:4" x14ac:dyDescent="0.2">
      <c r="A889" t="s">
        <v>2470</v>
      </c>
      <c r="B889" t="s">
        <v>2442</v>
      </c>
      <c r="C889" t="s">
        <v>2443</v>
      </c>
      <c r="D889" t="s">
        <v>2444</v>
      </c>
    </row>
    <row r="890" spans="1:4" x14ac:dyDescent="0.2">
      <c r="A890" t="s">
        <v>2470</v>
      </c>
      <c r="B890" t="s">
        <v>2445</v>
      </c>
      <c r="C890" t="s">
        <v>2446</v>
      </c>
      <c r="D890" t="s">
        <v>2447</v>
      </c>
    </row>
    <row r="891" spans="1:4" x14ac:dyDescent="0.2">
      <c r="A891" t="s">
        <v>2470</v>
      </c>
      <c r="B891" t="s">
        <v>2448</v>
      </c>
      <c r="C891" t="s">
        <v>2449</v>
      </c>
      <c r="D891" t="s">
        <v>2449</v>
      </c>
    </row>
    <row r="892" spans="1:4" x14ac:dyDescent="0.2">
      <c r="A892" t="s">
        <v>2470</v>
      </c>
      <c r="B892" t="s">
        <v>2450</v>
      </c>
      <c r="C892" t="s">
        <v>2451</v>
      </c>
      <c r="D892" t="s">
        <v>2452</v>
      </c>
    </row>
    <row r="893" spans="1:4" x14ac:dyDescent="0.2">
      <c r="A893" t="s">
        <v>2470</v>
      </c>
      <c r="B893" t="s">
        <v>2453</v>
      </c>
      <c r="C893" t="s">
        <v>2454</v>
      </c>
      <c r="D893" t="s">
        <v>2455</v>
      </c>
    </row>
    <row r="894" spans="1:4" x14ac:dyDescent="0.2">
      <c r="A894" t="s">
        <v>2470</v>
      </c>
      <c r="B894" t="s">
        <v>2456</v>
      </c>
      <c r="C894" t="s">
        <v>2457</v>
      </c>
      <c r="D894" t="s">
        <v>2457</v>
      </c>
    </row>
    <row r="895" spans="1:4" x14ac:dyDescent="0.2">
      <c r="A895" t="s">
        <v>2470</v>
      </c>
      <c r="B895" t="s">
        <v>2458</v>
      </c>
      <c r="C895" t="s">
        <v>2459</v>
      </c>
      <c r="D895" t="s">
        <v>2460</v>
      </c>
    </row>
    <row r="896" spans="1:4" x14ac:dyDescent="0.2">
      <c r="A896" t="s">
        <v>2470</v>
      </c>
      <c r="B896" t="s">
        <v>2471</v>
      </c>
      <c r="C896" t="s">
        <v>2472</v>
      </c>
      <c r="D896" t="s">
        <v>2473</v>
      </c>
    </row>
    <row r="897" spans="1:4" x14ac:dyDescent="0.2">
      <c r="A897" t="s">
        <v>2470</v>
      </c>
      <c r="B897" t="s">
        <v>2464</v>
      </c>
      <c r="C897" t="s">
        <v>2465</v>
      </c>
      <c r="D897" t="s">
        <v>2466</v>
      </c>
    </row>
    <row r="898" spans="1:4" x14ac:dyDescent="0.2">
      <c r="A898" t="s">
        <v>2470</v>
      </c>
      <c r="B898" t="s">
        <v>2467</v>
      </c>
      <c r="C898" t="s">
        <v>2468</v>
      </c>
      <c r="D898" t="s">
        <v>2469</v>
      </c>
    </row>
    <row r="900" spans="1:4" x14ac:dyDescent="0.2">
      <c r="A900" t="s">
        <v>2474</v>
      </c>
      <c r="B900" t="s">
        <v>2197</v>
      </c>
      <c r="C900" t="s">
        <v>2198</v>
      </c>
      <c r="D900" t="s">
        <v>2199</v>
      </c>
    </row>
    <row r="901" spans="1:4" x14ac:dyDescent="0.2">
      <c r="A901" t="s">
        <v>2474</v>
      </c>
      <c r="B901" t="s">
        <v>2200</v>
      </c>
      <c r="C901" t="s">
        <v>2201</v>
      </c>
      <c r="D901" t="s">
        <v>2202</v>
      </c>
    </row>
    <row r="902" spans="1:4" x14ac:dyDescent="0.2">
      <c r="A902" t="s">
        <v>2474</v>
      </c>
      <c r="B902" t="s">
        <v>2203</v>
      </c>
      <c r="C902" t="s">
        <v>2204</v>
      </c>
      <c r="D902" t="s">
        <v>2205</v>
      </c>
    </row>
    <row r="903" spans="1:4" x14ac:dyDescent="0.2">
      <c r="A903" t="s">
        <v>2474</v>
      </c>
      <c r="B903" t="s">
        <v>2206</v>
      </c>
      <c r="C903" t="s">
        <v>2207</v>
      </c>
      <c r="D903" t="s">
        <v>2208</v>
      </c>
    </row>
    <row r="904" spans="1:4" x14ac:dyDescent="0.2">
      <c r="A904" t="s">
        <v>2474</v>
      </c>
      <c r="B904" t="s">
        <v>2209</v>
      </c>
      <c r="C904" t="s">
        <v>2210</v>
      </c>
      <c r="D904" t="s">
        <v>2211</v>
      </c>
    </row>
    <row r="905" spans="1:4" x14ac:dyDescent="0.2">
      <c r="A905" t="s">
        <v>2474</v>
      </c>
      <c r="B905" t="s">
        <v>2212</v>
      </c>
      <c r="C905" t="s">
        <v>2213</v>
      </c>
      <c r="D905" t="s">
        <v>2214</v>
      </c>
    </row>
    <row r="906" spans="1:4" x14ac:dyDescent="0.2">
      <c r="A906" t="s">
        <v>2474</v>
      </c>
      <c r="B906" t="s">
        <v>2215</v>
      </c>
      <c r="C906" t="s">
        <v>2216</v>
      </c>
      <c r="D906" t="s">
        <v>2217</v>
      </c>
    </row>
    <row r="907" spans="1:4" x14ac:dyDescent="0.2">
      <c r="A907" t="s">
        <v>2474</v>
      </c>
      <c r="B907" t="s">
        <v>2218</v>
      </c>
      <c r="C907" t="s">
        <v>2219</v>
      </c>
      <c r="D907" t="s">
        <v>2220</v>
      </c>
    </row>
    <row r="908" spans="1:4" x14ac:dyDescent="0.2">
      <c r="A908" t="s">
        <v>2474</v>
      </c>
      <c r="B908" t="s">
        <v>2221</v>
      </c>
      <c r="C908" t="s">
        <v>2222</v>
      </c>
      <c r="D908" t="s">
        <v>2223</v>
      </c>
    </row>
    <row r="909" spans="1:4" x14ac:dyDescent="0.2">
      <c r="A909" t="s">
        <v>2474</v>
      </c>
      <c r="B909" t="s">
        <v>2224</v>
      </c>
      <c r="C909" t="s">
        <v>2225</v>
      </c>
      <c r="D909" t="s">
        <v>2226</v>
      </c>
    </row>
    <row r="910" spans="1:4" x14ac:dyDescent="0.2">
      <c r="A910" t="s">
        <v>2474</v>
      </c>
      <c r="B910" t="s">
        <v>2227</v>
      </c>
      <c r="C910" t="s">
        <v>2228</v>
      </c>
      <c r="D910" t="s">
        <v>2229</v>
      </c>
    </row>
    <row r="911" spans="1:4" x14ac:dyDescent="0.2">
      <c r="A911" t="s">
        <v>2474</v>
      </c>
      <c r="B911" t="s">
        <v>2230</v>
      </c>
      <c r="C911" t="s">
        <v>2231</v>
      </c>
      <c r="D911" t="s">
        <v>2232</v>
      </c>
    </row>
    <row r="912" spans="1:4" x14ac:dyDescent="0.2">
      <c r="A912" t="s">
        <v>2474</v>
      </c>
      <c r="B912" t="s">
        <v>2233</v>
      </c>
      <c r="C912" t="s">
        <v>2234</v>
      </c>
      <c r="D912" t="s">
        <v>2235</v>
      </c>
    </row>
    <row r="913" spans="1:4" x14ac:dyDescent="0.2">
      <c r="A913" t="s">
        <v>2474</v>
      </c>
      <c r="B913" t="s">
        <v>2236</v>
      </c>
      <c r="C913" t="s">
        <v>2237</v>
      </c>
      <c r="D913" t="s">
        <v>2238</v>
      </c>
    </row>
    <row r="914" spans="1:4" x14ac:dyDescent="0.2">
      <c r="A914" t="s">
        <v>2474</v>
      </c>
      <c r="B914" t="s">
        <v>2239</v>
      </c>
      <c r="C914" t="s">
        <v>2240</v>
      </c>
      <c r="D914" t="s">
        <v>2241</v>
      </c>
    </row>
    <row r="915" spans="1:4" x14ac:dyDescent="0.2">
      <c r="A915" t="s">
        <v>2474</v>
      </c>
      <c r="B915" t="s">
        <v>2242</v>
      </c>
      <c r="C915" t="s">
        <v>2243</v>
      </c>
      <c r="D915" t="s">
        <v>2244</v>
      </c>
    </row>
    <row r="916" spans="1:4" x14ac:dyDescent="0.2">
      <c r="A916" t="s">
        <v>2474</v>
      </c>
      <c r="B916" t="s">
        <v>2245</v>
      </c>
      <c r="C916" t="s">
        <v>2246</v>
      </c>
      <c r="D916" t="s">
        <v>2247</v>
      </c>
    </row>
    <row r="917" spans="1:4" x14ac:dyDescent="0.2">
      <c r="A917" t="s">
        <v>2474</v>
      </c>
      <c r="B917" t="s">
        <v>2248</v>
      </c>
      <c r="C917" t="s">
        <v>2249</v>
      </c>
      <c r="D917" t="s">
        <v>2250</v>
      </c>
    </row>
    <row r="918" spans="1:4" x14ac:dyDescent="0.2">
      <c r="A918" t="s">
        <v>2474</v>
      </c>
      <c r="B918" t="s">
        <v>2251</v>
      </c>
      <c r="C918" t="s">
        <v>2252</v>
      </c>
      <c r="D918" t="s">
        <v>2253</v>
      </c>
    </row>
    <row r="919" spans="1:4" x14ac:dyDescent="0.2">
      <c r="A919" t="s">
        <v>2474</v>
      </c>
      <c r="B919" t="s">
        <v>2254</v>
      </c>
      <c r="C919" t="s">
        <v>2255</v>
      </c>
      <c r="D919" t="s">
        <v>2256</v>
      </c>
    </row>
    <row r="920" spans="1:4" x14ac:dyDescent="0.2">
      <c r="A920" t="s">
        <v>2474</v>
      </c>
      <c r="B920" t="s">
        <v>2257</v>
      </c>
      <c r="C920" t="s">
        <v>2258</v>
      </c>
      <c r="D920" t="s">
        <v>2259</v>
      </c>
    </row>
    <row r="921" spans="1:4" x14ac:dyDescent="0.2">
      <c r="A921" t="s">
        <v>2474</v>
      </c>
      <c r="B921" t="s">
        <v>2260</v>
      </c>
      <c r="C921" t="s">
        <v>2261</v>
      </c>
      <c r="D921" t="s">
        <v>2262</v>
      </c>
    </row>
    <row r="922" spans="1:4" x14ac:dyDescent="0.2">
      <c r="A922" t="s">
        <v>2474</v>
      </c>
      <c r="B922" t="s">
        <v>2263</v>
      </c>
      <c r="C922" t="s">
        <v>2264</v>
      </c>
      <c r="D922" t="s">
        <v>2265</v>
      </c>
    </row>
    <row r="923" spans="1:4" x14ac:dyDescent="0.2">
      <c r="A923" t="s">
        <v>2474</v>
      </c>
      <c r="B923" t="s">
        <v>2266</v>
      </c>
      <c r="C923" t="s">
        <v>2267</v>
      </c>
      <c r="D923" t="s">
        <v>2268</v>
      </c>
    </row>
    <row r="924" spans="1:4" x14ac:dyDescent="0.2">
      <c r="A924" t="s">
        <v>2474</v>
      </c>
      <c r="B924" t="s">
        <v>2269</v>
      </c>
      <c r="C924" t="s">
        <v>2270</v>
      </c>
      <c r="D924" t="s">
        <v>2271</v>
      </c>
    </row>
    <row r="925" spans="1:4" x14ac:dyDescent="0.2">
      <c r="A925" t="s">
        <v>2474</v>
      </c>
      <c r="B925" t="s">
        <v>2272</v>
      </c>
      <c r="C925" t="s">
        <v>2273</v>
      </c>
      <c r="D925" t="s">
        <v>2274</v>
      </c>
    </row>
    <row r="926" spans="1:4" x14ac:dyDescent="0.2">
      <c r="A926" t="s">
        <v>2474</v>
      </c>
      <c r="B926" t="s">
        <v>2275</v>
      </c>
      <c r="C926" t="s">
        <v>2276</v>
      </c>
      <c r="D926" t="s">
        <v>2277</v>
      </c>
    </row>
    <row r="927" spans="1:4" x14ac:dyDescent="0.2">
      <c r="A927" t="s">
        <v>2474</v>
      </c>
      <c r="B927" t="s">
        <v>2278</v>
      </c>
      <c r="C927" t="s">
        <v>2279</v>
      </c>
      <c r="D927" t="s">
        <v>2280</v>
      </c>
    </row>
    <row r="928" spans="1:4" x14ac:dyDescent="0.2">
      <c r="A928" t="s">
        <v>2474</v>
      </c>
      <c r="B928" t="s">
        <v>2281</v>
      </c>
      <c r="C928" t="s">
        <v>2282</v>
      </c>
      <c r="D928" t="s">
        <v>2283</v>
      </c>
    </row>
    <row r="929" spans="1:4" x14ac:dyDescent="0.2">
      <c r="A929" t="s">
        <v>2474</v>
      </c>
      <c r="B929" t="s">
        <v>2284</v>
      </c>
      <c r="C929" t="s">
        <v>2285</v>
      </c>
      <c r="D929" t="s">
        <v>2286</v>
      </c>
    </row>
    <row r="930" spans="1:4" x14ac:dyDescent="0.2">
      <c r="A930" t="s">
        <v>2474</v>
      </c>
      <c r="B930" t="s">
        <v>2287</v>
      </c>
      <c r="C930" t="s">
        <v>2288</v>
      </c>
      <c r="D930" t="s">
        <v>2289</v>
      </c>
    </row>
    <row r="931" spans="1:4" x14ac:dyDescent="0.2">
      <c r="A931" t="s">
        <v>2474</v>
      </c>
      <c r="B931" t="s">
        <v>2290</v>
      </c>
      <c r="C931" t="s">
        <v>2291</v>
      </c>
      <c r="D931" t="s">
        <v>2292</v>
      </c>
    </row>
    <row r="932" spans="1:4" x14ac:dyDescent="0.2">
      <c r="A932" t="s">
        <v>2474</v>
      </c>
      <c r="B932" t="s">
        <v>2293</v>
      </c>
      <c r="C932" t="s">
        <v>2294</v>
      </c>
      <c r="D932" t="s">
        <v>2294</v>
      </c>
    </row>
    <row r="933" spans="1:4" x14ac:dyDescent="0.2">
      <c r="A933" t="s">
        <v>2474</v>
      </c>
      <c r="B933" t="s">
        <v>2295</v>
      </c>
      <c r="C933" t="s">
        <v>2296</v>
      </c>
      <c r="D933" t="s">
        <v>2297</v>
      </c>
    </row>
    <row r="934" spans="1:4" x14ac:dyDescent="0.2">
      <c r="A934" t="s">
        <v>2474</v>
      </c>
      <c r="B934" t="s">
        <v>2298</v>
      </c>
      <c r="C934" t="s">
        <v>2299</v>
      </c>
      <c r="D934" t="s">
        <v>2300</v>
      </c>
    </row>
    <row r="935" spans="1:4" x14ac:dyDescent="0.2">
      <c r="A935" t="s">
        <v>2474</v>
      </c>
      <c r="B935" t="s">
        <v>2301</v>
      </c>
      <c r="C935" t="s">
        <v>2302</v>
      </c>
      <c r="D935" t="s">
        <v>2303</v>
      </c>
    </row>
    <row r="936" spans="1:4" x14ac:dyDescent="0.2">
      <c r="A936" t="s">
        <v>2474</v>
      </c>
      <c r="B936" t="s">
        <v>2304</v>
      </c>
      <c r="C936" t="s">
        <v>2305</v>
      </c>
      <c r="D936" t="s">
        <v>2306</v>
      </c>
    </row>
    <row r="937" spans="1:4" x14ac:dyDescent="0.2">
      <c r="A937" t="s">
        <v>2474</v>
      </c>
      <c r="B937" t="s">
        <v>2307</v>
      </c>
      <c r="C937" t="s">
        <v>2308</v>
      </c>
      <c r="D937" t="s">
        <v>2309</v>
      </c>
    </row>
    <row r="938" spans="1:4" x14ac:dyDescent="0.2">
      <c r="A938" t="s">
        <v>2474</v>
      </c>
      <c r="B938" t="s">
        <v>2310</v>
      </c>
      <c r="C938" t="s">
        <v>2311</v>
      </c>
      <c r="D938" t="s">
        <v>2312</v>
      </c>
    </row>
    <row r="939" spans="1:4" x14ac:dyDescent="0.2">
      <c r="A939" t="s">
        <v>2474</v>
      </c>
      <c r="B939" t="s">
        <v>2313</v>
      </c>
      <c r="C939" t="s">
        <v>2314</v>
      </c>
      <c r="D939" t="s">
        <v>2315</v>
      </c>
    </row>
    <row r="940" spans="1:4" x14ac:dyDescent="0.2">
      <c r="A940" t="s">
        <v>2474</v>
      </c>
      <c r="B940" t="s">
        <v>2316</v>
      </c>
      <c r="C940" t="s">
        <v>2317</v>
      </c>
      <c r="D940" t="s">
        <v>2318</v>
      </c>
    </row>
    <row r="941" spans="1:4" x14ac:dyDescent="0.2">
      <c r="A941" t="s">
        <v>2474</v>
      </c>
      <c r="B941" t="s">
        <v>2319</v>
      </c>
      <c r="C941" t="s">
        <v>2320</v>
      </c>
      <c r="D941" t="s">
        <v>2321</v>
      </c>
    </row>
    <row r="942" spans="1:4" x14ac:dyDescent="0.2">
      <c r="A942" t="s">
        <v>2474</v>
      </c>
      <c r="B942" t="s">
        <v>2322</v>
      </c>
      <c r="C942" t="s">
        <v>2323</v>
      </c>
      <c r="D942" t="s">
        <v>2324</v>
      </c>
    </row>
    <row r="943" spans="1:4" x14ac:dyDescent="0.2">
      <c r="A943" t="s">
        <v>2474</v>
      </c>
      <c r="B943" t="s">
        <v>2325</v>
      </c>
      <c r="C943" t="s">
        <v>2326</v>
      </c>
      <c r="D943" t="s">
        <v>2326</v>
      </c>
    </row>
    <row r="944" spans="1:4" x14ac:dyDescent="0.2">
      <c r="A944" t="s">
        <v>2474</v>
      </c>
      <c r="B944" t="s">
        <v>2327</v>
      </c>
      <c r="C944" t="s">
        <v>2328</v>
      </c>
      <c r="D944" t="s">
        <v>2329</v>
      </c>
    </row>
    <row r="945" spans="1:4" x14ac:dyDescent="0.2">
      <c r="A945" t="s">
        <v>2474</v>
      </c>
      <c r="B945" t="s">
        <v>2330</v>
      </c>
      <c r="C945" t="s">
        <v>2331</v>
      </c>
      <c r="D945" t="s">
        <v>2332</v>
      </c>
    </row>
    <row r="946" spans="1:4" x14ac:dyDescent="0.2">
      <c r="A946" t="s">
        <v>2474</v>
      </c>
      <c r="B946" t="s">
        <v>2333</v>
      </c>
      <c r="C946" t="s">
        <v>2334</v>
      </c>
      <c r="D946" t="s">
        <v>2335</v>
      </c>
    </row>
    <row r="947" spans="1:4" x14ac:dyDescent="0.2">
      <c r="A947" t="s">
        <v>2474</v>
      </c>
      <c r="B947" t="s">
        <v>2336</v>
      </c>
      <c r="C947" t="s">
        <v>2337</v>
      </c>
      <c r="D947" t="s">
        <v>2338</v>
      </c>
    </row>
    <row r="948" spans="1:4" x14ac:dyDescent="0.2">
      <c r="A948" t="s">
        <v>2474</v>
      </c>
      <c r="B948" t="s">
        <v>2339</v>
      </c>
      <c r="C948" t="s">
        <v>2340</v>
      </c>
      <c r="D948" t="s">
        <v>2340</v>
      </c>
    </row>
    <row r="949" spans="1:4" x14ac:dyDescent="0.2">
      <c r="A949" t="s">
        <v>2474</v>
      </c>
      <c r="B949" t="s">
        <v>2341</v>
      </c>
      <c r="C949" t="s">
        <v>2342</v>
      </c>
      <c r="D949" t="s">
        <v>2343</v>
      </c>
    </row>
    <row r="950" spans="1:4" x14ac:dyDescent="0.2">
      <c r="A950" t="s">
        <v>2474</v>
      </c>
      <c r="B950" t="s">
        <v>2344</v>
      </c>
      <c r="C950" t="s">
        <v>2345</v>
      </c>
      <c r="D950" t="s">
        <v>2346</v>
      </c>
    </row>
    <row r="951" spans="1:4" x14ac:dyDescent="0.2">
      <c r="A951" t="s">
        <v>2474</v>
      </c>
      <c r="B951" t="s">
        <v>2347</v>
      </c>
      <c r="C951" t="s">
        <v>2348</v>
      </c>
      <c r="D951" t="s">
        <v>2349</v>
      </c>
    </row>
    <row r="952" spans="1:4" x14ac:dyDescent="0.2">
      <c r="A952" t="s">
        <v>2474</v>
      </c>
      <c r="B952" t="s">
        <v>2350</v>
      </c>
      <c r="C952" t="s">
        <v>2351</v>
      </c>
      <c r="D952" t="s">
        <v>2352</v>
      </c>
    </row>
    <row r="953" spans="1:4" x14ac:dyDescent="0.2">
      <c r="A953" t="s">
        <v>2474</v>
      </c>
      <c r="B953" t="s">
        <v>2353</v>
      </c>
      <c r="C953" t="s">
        <v>2354</v>
      </c>
      <c r="D953" t="s">
        <v>2355</v>
      </c>
    </row>
    <row r="954" spans="1:4" x14ac:dyDescent="0.2">
      <c r="A954" t="s">
        <v>2474</v>
      </c>
      <c r="B954" t="s">
        <v>2356</v>
      </c>
      <c r="C954" t="s">
        <v>2357</v>
      </c>
      <c r="D954" t="s">
        <v>2358</v>
      </c>
    </row>
    <row r="955" spans="1:4" x14ac:dyDescent="0.2">
      <c r="A955" t="s">
        <v>2474</v>
      </c>
      <c r="B955" t="s">
        <v>2359</v>
      </c>
      <c r="C955" t="s">
        <v>2360</v>
      </c>
      <c r="D955" t="s">
        <v>2361</v>
      </c>
    </row>
    <row r="956" spans="1:4" x14ac:dyDescent="0.2">
      <c r="A956" t="s">
        <v>2474</v>
      </c>
      <c r="B956" t="s">
        <v>2362</v>
      </c>
      <c r="C956" t="s">
        <v>2363</v>
      </c>
      <c r="D956" t="s">
        <v>2363</v>
      </c>
    </row>
    <row r="957" spans="1:4" x14ac:dyDescent="0.2">
      <c r="A957" t="s">
        <v>2474</v>
      </c>
      <c r="B957" t="s">
        <v>2364</v>
      </c>
      <c r="C957" t="s">
        <v>2365</v>
      </c>
      <c r="D957" t="s">
        <v>2366</v>
      </c>
    </row>
    <row r="958" spans="1:4" x14ac:dyDescent="0.2">
      <c r="A958" t="s">
        <v>2474</v>
      </c>
      <c r="B958" t="s">
        <v>2367</v>
      </c>
      <c r="C958" t="s">
        <v>2368</v>
      </c>
      <c r="D958" t="s">
        <v>2369</v>
      </c>
    </row>
    <row r="959" spans="1:4" x14ac:dyDescent="0.2">
      <c r="A959" t="s">
        <v>2474</v>
      </c>
      <c r="B959" t="s">
        <v>2370</v>
      </c>
      <c r="C959" t="s">
        <v>2371</v>
      </c>
      <c r="D959" t="s">
        <v>2372</v>
      </c>
    </row>
    <row r="960" spans="1:4" x14ac:dyDescent="0.2">
      <c r="A960" t="s">
        <v>2474</v>
      </c>
      <c r="B960" t="s">
        <v>2373</v>
      </c>
      <c r="C960" t="s">
        <v>2374</v>
      </c>
      <c r="D960" t="s">
        <v>2375</v>
      </c>
    </row>
    <row r="961" spans="1:4" x14ac:dyDescent="0.2">
      <c r="A961" t="s">
        <v>2474</v>
      </c>
      <c r="B961" t="s">
        <v>2376</v>
      </c>
      <c r="C961" t="s">
        <v>2377</v>
      </c>
      <c r="D961" t="s">
        <v>2378</v>
      </c>
    </row>
    <row r="962" spans="1:4" x14ac:dyDescent="0.2">
      <c r="A962" t="s">
        <v>2474</v>
      </c>
      <c r="B962" t="s">
        <v>2379</v>
      </c>
      <c r="C962" t="s">
        <v>2380</v>
      </c>
      <c r="D962" t="s">
        <v>2381</v>
      </c>
    </row>
    <row r="963" spans="1:4" x14ac:dyDescent="0.2">
      <c r="A963" t="s">
        <v>2474</v>
      </c>
      <c r="B963" t="s">
        <v>2382</v>
      </c>
      <c r="C963" t="s">
        <v>2383</v>
      </c>
      <c r="D963" t="s">
        <v>2384</v>
      </c>
    </row>
    <row r="964" spans="1:4" x14ac:dyDescent="0.2">
      <c r="A964" t="s">
        <v>2474</v>
      </c>
      <c r="B964" t="s">
        <v>2385</v>
      </c>
      <c r="C964" t="s">
        <v>2386</v>
      </c>
      <c r="D964" t="s">
        <v>2387</v>
      </c>
    </row>
    <row r="965" spans="1:4" x14ac:dyDescent="0.2">
      <c r="A965" t="s">
        <v>2474</v>
      </c>
      <c r="B965" t="s">
        <v>2388</v>
      </c>
      <c r="C965" t="s">
        <v>2389</v>
      </c>
      <c r="D965" t="s">
        <v>2390</v>
      </c>
    </row>
    <row r="966" spans="1:4" x14ac:dyDescent="0.2">
      <c r="A966" t="s">
        <v>2474</v>
      </c>
      <c r="B966" t="s">
        <v>2391</v>
      </c>
      <c r="C966" t="s">
        <v>2392</v>
      </c>
      <c r="D966" t="s">
        <v>2393</v>
      </c>
    </row>
    <row r="967" spans="1:4" x14ac:dyDescent="0.2">
      <c r="A967" t="s">
        <v>2474</v>
      </c>
      <c r="B967" t="s">
        <v>2394</v>
      </c>
      <c r="C967" t="s">
        <v>2395</v>
      </c>
      <c r="D967" t="s">
        <v>2396</v>
      </c>
    </row>
    <row r="968" spans="1:4" x14ac:dyDescent="0.2">
      <c r="A968" t="s">
        <v>2474</v>
      </c>
      <c r="B968" t="s">
        <v>2397</v>
      </c>
      <c r="C968" t="s">
        <v>2398</v>
      </c>
      <c r="D968" t="s">
        <v>2399</v>
      </c>
    </row>
    <row r="969" spans="1:4" x14ac:dyDescent="0.2">
      <c r="A969" t="s">
        <v>2474</v>
      </c>
      <c r="B969" t="s">
        <v>2400</v>
      </c>
      <c r="C969" t="s">
        <v>2401</v>
      </c>
      <c r="D969" t="s">
        <v>2402</v>
      </c>
    </row>
    <row r="970" spans="1:4" x14ac:dyDescent="0.2">
      <c r="A970" t="s">
        <v>2474</v>
      </c>
      <c r="B970" t="s">
        <v>2403</v>
      </c>
      <c r="C970" t="s">
        <v>2404</v>
      </c>
      <c r="D970" t="s">
        <v>2405</v>
      </c>
    </row>
    <row r="971" spans="1:4" x14ac:dyDescent="0.2">
      <c r="A971" t="s">
        <v>2474</v>
      </c>
      <c r="B971" t="s">
        <v>2406</v>
      </c>
      <c r="C971" t="s">
        <v>2407</v>
      </c>
      <c r="D971" t="s">
        <v>2408</v>
      </c>
    </row>
    <row r="972" spans="1:4" x14ac:dyDescent="0.2">
      <c r="A972" t="s">
        <v>2474</v>
      </c>
      <c r="B972" t="s">
        <v>2409</v>
      </c>
      <c r="C972" t="s">
        <v>2410</v>
      </c>
      <c r="D972" t="s">
        <v>2411</v>
      </c>
    </row>
    <row r="973" spans="1:4" x14ac:dyDescent="0.2">
      <c r="A973" t="s">
        <v>2474</v>
      </c>
      <c r="B973" t="s">
        <v>2412</v>
      </c>
      <c r="C973" t="s">
        <v>2413</v>
      </c>
      <c r="D973" t="s">
        <v>2414</v>
      </c>
    </row>
    <row r="974" spans="1:4" x14ac:dyDescent="0.2">
      <c r="A974" t="s">
        <v>2474</v>
      </c>
      <c r="B974" t="s">
        <v>2415</v>
      </c>
      <c r="C974" t="s">
        <v>2416</v>
      </c>
      <c r="D974" t="s">
        <v>2417</v>
      </c>
    </row>
    <row r="975" spans="1:4" x14ac:dyDescent="0.2">
      <c r="A975" t="s">
        <v>2474</v>
      </c>
      <c r="B975" t="s">
        <v>2418</v>
      </c>
      <c r="C975" t="s">
        <v>2419</v>
      </c>
      <c r="D975" t="s">
        <v>2420</v>
      </c>
    </row>
    <row r="976" spans="1:4" x14ac:dyDescent="0.2">
      <c r="A976" t="s">
        <v>2474</v>
      </c>
      <c r="B976" t="s">
        <v>2421</v>
      </c>
      <c r="C976" t="s">
        <v>2422</v>
      </c>
      <c r="D976" t="s">
        <v>2423</v>
      </c>
    </row>
    <row r="977" spans="1:4" x14ac:dyDescent="0.2">
      <c r="A977" t="s">
        <v>2474</v>
      </c>
      <c r="B977" t="s">
        <v>2424</v>
      </c>
      <c r="C977" t="s">
        <v>2425</v>
      </c>
      <c r="D977" t="s">
        <v>2426</v>
      </c>
    </row>
    <row r="978" spans="1:4" x14ac:dyDescent="0.2">
      <c r="A978" t="s">
        <v>2474</v>
      </c>
      <c r="B978" t="s">
        <v>2427</v>
      </c>
      <c r="C978" t="s">
        <v>2428</v>
      </c>
      <c r="D978" t="s">
        <v>2429</v>
      </c>
    </row>
    <row r="979" spans="1:4" x14ac:dyDescent="0.2">
      <c r="A979" t="s">
        <v>2474</v>
      </c>
      <c r="B979" t="s">
        <v>2430</v>
      </c>
      <c r="C979" t="s">
        <v>2431</v>
      </c>
      <c r="D979" t="s">
        <v>2432</v>
      </c>
    </row>
    <row r="980" spans="1:4" x14ac:dyDescent="0.2">
      <c r="A980" t="s">
        <v>2474</v>
      </c>
      <c r="B980" t="s">
        <v>2433</v>
      </c>
      <c r="C980" t="s">
        <v>2434</v>
      </c>
      <c r="D980" t="s">
        <v>2435</v>
      </c>
    </row>
    <row r="981" spans="1:4" x14ac:dyDescent="0.2">
      <c r="A981" t="s">
        <v>2474</v>
      </c>
      <c r="B981" t="s">
        <v>2436</v>
      </c>
      <c r="C981" t="s">
        <v>2437</v>
      </c>
      <c r="D981" t="s">
        <v>2438</v>
      </c>
    </row>
    <row r="982" spans="1:4" x14ac:dyDescent="0.2">
      <c r="A982" t="s">
        <v>2474</v>
      </c>
      <c r="B982" t="s">
        <v>2439</v>
      </c>
      <c r="C982" t="s">
        <v>2440</v>
      </c>
      <c r="D982" t="s">
        <v>2441</v>
      </c>
    </row>
    <row r="983" spans="1:4" x14ac:dyDescent="0.2">
      <c r="A983" t="s">
        <v>2474</v>
      </c>
      <c r="B983" t="s">
        <v>2442</v>
      </c>
      <c r="C983" t="s">
        <v>2443</v>
      </c>
      <c r="D983" t="s">
        <v>2444</v>
      </c>
    </row>
    <row r="984" spans="1:4" x14ac:dyDescent="0.2">
      <c r="A984" t="s">
        <v>2474</v>
      </c>
      <c r="B984" t="s">
        <v>2445</v>
      </c>
      <c r="C984" t="s">
        <v>2446</v>
      </c>
      <c r="D984" t="s">
        <v>2447</v>
      </c>
    </row>
    <row r="985" spans="1:4" x14ac:dyDescent="0.2">
      <c r="A985" t="s">
        <v>2474</v>
      </c>
      <c r="B985" t="s">
        <v>2448</v>
      </c>
      <c r="C985" t="s">
        <v>2449</v>
      </c>
      <c r="D985" t="s">
        <v>2449</v>
      </c>
    </row>
    <row r="986" spans="1:4" x14ac:dyDescent="0.2">
      <c r="A986" t="s">
        <v>2474</v>
      </c>
      <c r="B986" t="s">
        <v>2450</v>
      </c>
      <c r="C986" t="s">
        <v>2451</v>
      </c>
      <c r="D986" t="s">
        <v>2452</v>
      </c>
    </row>
    <row r="987" spans="1:4" x14ac:dyDescent="0.2">
      <c r="A987" t="s">
        <v>2474</v>
      </c>
      <c r="B987" t="s">
        <v>2453</v>
      </c>
      <c r="C987" t="s">
        <v>2454</v>
      </c>
      <c r="D987" t="s">
        <v>2455</v>
      </c>
    </row>
    <row r="988" spans="1:4" x14ac:dyDescent="0.2">
      <c r="A988" t="s">
        <v>2474</v>
      </c>
      <c r="B988" t="s">
        <v>2456</v>
      </c>
      <c r="C988" t="s">
        <v>2457</v>
      </c>
      <c r="D988" t="s">
        <v>2457</v>
      </c>
    </row>
    <row r="989" spans="1:4" x14ac:dyDescent="0.2">
      <c r="A989" t="s">
        <v>2474</v>
      </c>
      <c r="B989" t="s">
        <v>2458</v>
      </c>
      <c r="C989" t="s">
        <v>2459</v>
      </c>
      <c r="D989" t="s">
        <v>2460</v>
      </c>
    </row>
    <row r="990" spans="1:4" x14ac:dyDescent="0.2">
      <c r="A990" t="s">
        <v>2474</v>
      </c>
      <c r="B990" t="s">
        <v>2464</v>
      </c>
      <c r="C990" t="s">
        <v>2465</v>
      </c>
      <c r="D990" t="s">
        <v>2466</v>
      </c>
    </row>
    <row r="991" spans="1:4" x14ac:dyDescent="0.2">
      <c r="A991" t="s">
        <v>2474</v>
      </c>
      <c r="B991" t="s">
        <v>2467</v>
      </c>
      <c r="C991" t="s">
        <v>2468</v>
      </c>
      <c r="D991" t="s">
        <v>2469</v>
      </c>
    </row>
    <row r="993" spans="1:5" x14ac:dyDescent="0.2">
      <c r="A993" t="s">
        <v>2596</v>
      </c>
      <c r="B993" t="s">
        <v>2476</v>
      </c>
      <c r="C993" t="s">
        <v>2477</v>
      </c>
    </row>
    <row r="995" spans="1:5" x14ac:dyDescent="0.2">
      <c r="A995" t="s">
        <v>2597</v>
      </c>
      <c r="B995" t="s">
        <v>2479</v>
      </c>
      <c r="C995" t="s">
        <v>2480</v>
      </c>
      <c r="E995" t="s">
        <v>2476</v>
      </c>
    </row>
    <row r="996" spans="1:5" x14ac:dyDescent="0.2">
      <c r="A996" t="s">
        <v>2597</v>
      </c>
      <c r="B996" t="s">
        <v>2481</v>
      </c>
      <c r="C996" t="s">
        <v>2482</v>
      </c>
      <c r="E996" t="s">
        <v>2476</v>
      </c>
    </row>
    <row r="997" spans="1:5" x14ac:dyDescent="0.2">
      <c r="A997" t="s">
        <v>2597</v>
      </c>
      <c r="B997" t="s">
        <v>2483</v>
      </c>
      <c r="C997" t="s">
        <v>2484</v>
      </c>
      <c r="E997" t="s">
        <v>2476</v>
      </c>
    </row>
    <row r="998" spans="1:5" x14ac:dyDescent="0.2">
      <c r="A998" t="s">
        <v>2597</v>
      </c>
      <c r="B998" t="s">
        <v>2485</v>
      </c>
      <c r="C998" t="s">
        <v>2486</v>
      </c>
      <c r="E998" t="s">
        <v>2476</v>
      </c>
    </row>
    <row r="999" spans="1:5" x14ac:dyDescent="0.2">
      <c r="A999" t="s">
        <v>2597</v>
      </c>
      <c r="B999" t="s">
        <v>2487</v>
      </c>
      <c r="C999" t="s">
        <v>2488</v>
      </c>
      <c r="E999" t="s">
        <v>2476</v>
      </c>
    </row>
    <row r="1000" spans="1:5" x14ac:dyDescent="0.2">
      <c r="A1000" t="s">
        <v>2597</v>
      </c>
      <c r="B1000" t="s">
        <v>2489</v>
      </c>
      <c r="C1000" t="s">
        <v>2490</v>
      </c>
      <c r="E1000" t="s">
        <v>2476</v>
      </c>
    </row>
    <row r="1001" spans="1:5" x14ac:dyDescent="0.2">
      <c r="A1001" t="s">
        <v>2597</v>
      </c>
      <c r="B1001" t="s">
        <v>2491</v>
      </c>
      <c r="C1001" t="s">
        <v>2492</v>
      </c>
      <c r="E1001" t="s">
        <v>2476</v>
      </c>
    </row>
    <row r="1002" spans="1:5" x14ac:dyDescent="0.2">
      <c r="A1002" t="s">
        <v>2597</v>
      </c>
      <c r="B1002" t="s">
        <v>2493</v>
      </c>
      <c r="C1002" t="s">
        <v>2494</v>
      </c>
      <c r="E1002" t="s">
        <v>2476</v>
      </c>
    </row>
    <row r="1003" spans="1:5" x14ac:dyDescent="0.2">
      <c r="A1003" t="s">
        <v>2597</v>
      </c>
      <c r="B1003" t="s">
        <v>2495</v>
      </c>
      <c r="C1003" t="s">
        <v>2496</v>
      </c>
      <c r="E1003" t="s">
        <v>2476</v>
      </c>
    </row>
  </sheetData>
  <sheetProtection algorithmName="SHA-512" hashValue="xd0zqxjuY1XCNO8g7d3Jk2TszfgRp0CjVy3oCPiqcodA2ITpYrIKT65+d2ohc0SQe9/jKwviAj1rn6lWtA4JUA==" saltValue="X5QdtpdxBc6a+1QdSh/pUg==" spinCount="100000" sheet="1" objects="1" scenarios="1"/>
  <phoneticPr fontId="30" type="noConversion"/>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 sqref="B3"/>
    </sheetView>
  </sheetViews>
  <sheetFormatPr baseColWidth="10" defaultColWidth="8.83203125" defaultRowHeight="15" x14ac:dyDescent="0.2"/>
  <cols>
    <col min="1" max="4" width="28.1640625" style="2" customWidth="1"/>
    <col min="5" max="5" width="8.83203125" style="2" customWidth="1"/>
    <col min="6" max="16384" width="8.83203125" style="2"/>
  </cols>
  <sheetData>
    <row r="1" spans="1:4" s="1" customFormat="1" x14ac:dyDescent="0.2">
      <c r="A1" s="5" t="s">
        <v>2497</v>
      </c>
      <c r="B1" s="5" t="s">
        <v>2498</v>
      </c>
      <c r="C1" s="5" t="s">
        <v>2499</v>
      </c>
      <c r="D1" s="5" t="s">
        <v>2500</v>
      </c>
    </row>
    <row r="2" spans="1:4" x14ac:dyDescent="0.2">
      <c r="A2" s="2" t="s">
        <v>2501</v>
      </c>
      <c r="B2" s="3" t="s">
        <v>2502</v>
      </c>
      <c r="C2" t="s">
        <v>38</v>
      </c>
      <c r="D2" s="2" t="s">
        <v>2503</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7" sqref="C7"/>
    </sheetView>
  </sheetViews>
  <sheetFormatPr baseColWidth="10" defaultColWidth="10.83203125" defaultRowHeight="15" x14ac:dyDescent="0.2"/>
  <cols>
    <col min="1" max="2" width="10.83203125" style="137" customWidth="1"/>
    <col min="3" max="3" width="15.1640625" style="151" customWidth="1"/>
    <col min="4" max="4" width="10.83203125" style="152" customWidth="1"/>
    <col min="5" max="5" width="28.6640625" style="153" customWidth="1"/>
    <col min="6" max="6" width="32" style="153" customWidth="1"/>
    <col min="7" max="7" width="10.83203125" style="137" customWidth="1"/>
    <col min="8" max="16384" width="10.83203125" style="137"/>
  </cols>
  <sheetData>
    <row r="2" spans="2:6" x14ac:dyDescent="0.2">
      <c r="C2" s="138"/>
      <c r="D2" s="139"/>
      <c r="E2" s="140"/>
      <c r="F2" s="140"/>
    </row>
    <row r="3" spans="2:6" ht="32" customHeight="1" x14ac:dyDescent="0.2">
      <c r="B3" s="141"/>
      <c r="C3" s="142" t="s">
        <v>2504</v>
      </c>
      <c r="D3" s="143" t="s">
        <v>2505</v>
      </c>
      <c r="E3" s="144" t="s">
        <v>2506</v>
      </c>
      <c r="F3" s="144" t="s">
        <v>2507</v>
      </c>
    </row>
    <row r="4" spans="2:6" ht="16" customHeight="1" x14ac:dyDescent="0.2">
      <c r="B4" s="141"/>
      <c r="C4" s="6" t="s">
        <v>2508</v>
      </c>
      <c r="D4" s="145" t="s">
        <v>2197</v>
      </c>
      <c r="E4" s="146" t="s">
        <v>2198</v>
      </c>
      <c r="F4" s="146" t="s">
        <v>2199</v>
      </c>
    </row>
    <row r="5" spans="2:6" ht="16" customHeight="1" x14ac:dyDescent="0.2">
      <c r="B5" s="141"/>
      <c r="C5" s="6"/>
      <c r="D5" s="145" t="s">
        <v>2233</v>
      </c>
      <c r="E5" s="146" t="s">
        <v>2234</v>
      </c>
      <c r="F5" s="146" t="s">
        <v>2235</v>
      </c>
    </row>
    <row r="6" spans="2:6" ht="16" customHeight="1" x14ac:dyDescent="0.2">
      <c r="B6" s="141"/>
      <c r="C6" s="6" t="s">
        <v>2508</v>
      </c>
      <c r="D6" s="145" t="s">
        <v>2200</v>
      </c>
      <c r="E6" s="146" t="s">
        <v>2201</v>
      </c>
      <c r="F6" s="146" t="s">
        <v>2202</v>
      </c>
    </row>
    <row r="7" spans="2:6" ht="16" customHeight="1" x14ac:dyDescent="0.2">
      <c r="B7" s="141"/>
      <c r="C7" s="6" t="s">
        <v>2508</v>
      </c>
      <c r="D7" s="145" t="s">
        <v>2203</v>
      </c>
      <c r="E7" s="146" t="s">
        <v>2204</v>
      </c>
      <c r="F7" s="146" t="s">
        <v>2205</v>
      </c>
    </row>
    <row r="8" spans="2:6" ht="16" customHeight="1" x14ac:dyDescent="0.2">
      <c r="B8" s="141"/>
      <c r="C8" s="6" t="s">
        <v>2508</v>
      </c>
      <c r="D8" s="145" t="s">
        <v>2206</v>
      </c>
      <c r="E8" s="146" t="s">
        <v>2207</v>
      </c>
      <c r="F8" s="146" t="s">
        <v>2208</v>
      </c>
    </row>
    <row r="9" spans="2:6" ht="16" customHeight="1" x14ac:dyDescent="0.2">
      <c r="B9" s="141"/>
      <c r="C9" s="6"/>
      <c r="D9" s="145" t="s">
        <v>2236</v>
      </c>
      <c r="E9" s="146" t="s">
        <v>2237</v>
      </c>
      <c r="F9" s="146" t="s">
        <v>2238</v>
      </c>
    </row>
    <row r="10" spans="2:6" ht="16" customHeight="1" x14ac:dyDescent="0.2">
      <c r="B10" s="141"/>
      <c r="C10" s="188"/>
      <c r="D10" s="145" t="s">
        <v>2239</v>
      </c>
      <c r="E10" s="147" t="s">
        <v>2240</v>
      </c>
      <c r="F10" s="147" t="s">
        <v>2241</v>
      </c>
    </row>
    <row r="11" spans="2:6" ht="16" customHeight="1" x14ac:dyDescent="0.2">
      <c r="B11" s="141"/>
      <c r="C11" s="6" t="s">
        <v>2508</v>
      </c>
      <c r="D11" s="145" t="s">
        <v>2209</v>
      </c>
      <c r="E11" s="146" t="s">
        <v>2210</v>
      </c>
      <c r="F11" s="146" t="s">
        <v>2211</v>
      </c>
    </row>
    <row r="12" spans="2:6" ht="16" customHeight="1" x14ac:dyDescent="0.2">
      <c r="B12" s="141"/>
      <c r="C12" s="6" t="s">
        <v>2508</v>
      </c>
      <c r="D12" s="145" t="s">
        <v>2212</v>
      </c>
      <c r="E12" s="146" t="s">
        <v>2213</v>
      </c>
      <c r="F12" s="146" t="s">
        <v>2214</v>
      </c>
    </row>
    <row r="13" spans="2:6" ht="16" customHeight="1" x14ac:dyDescent="0.2">
      <c r="B13" s="141"/>
      <c r="C13" s="6"/>
      <c r="D13" s="145" t="s">
        <v>2242</v>
      </c>
      <c r="E13" s="146" t="s">
        <v>2243</v>
      </c>
      <c r="F13" s="146" t="s">
        <v>2244</v>
      </c>
    </row>
    <row r="14" spans="2:6" ht="16" customHeight="1" x14ac:dyDescent="0.2">
      <c r="B14" s="141"/>
      <c r="C14" s="6"/>
      <c r="D14" s="145" t="s">
        <v>2245</v>
      </c>
      <c r="E14" s="146" t="s">
        <v>2246</v>
      </c>
      <c r="F14" s="146" t="s">
        <v>2247</v>
      </c>
    </row>
    <row r="15" spans="2:6" ht="16" customHeight="1" x14ac:dyDescent="0.2">
      <c r="B15" s="141"/>
      <c r="C15" s="6"/>
      <c r="D15" s="145" t="s">
        <v>2248</v>
      </c>
      <c r="E15" s="146" t="s">
        <v>2249</v>
      </c>
      <c r="F15" s="146" t="s">
        <v>2250</v>
      </c>
    </row>
    <row r="16" spans="2:6" ht="16" customHeight="1" x14ac:dyDescent="0.2">
      <c r="B16" s="141"/>
      <c r="C16" s="6"/>
      <c r="D16" s="145" t="s">
        <v>2251</v>
      </c>
      <c r="E16" s="146" t="s">
        <v>2252</v>
      </c>
      <c r="F16" s="146" t="s">
        <v>2253</v>
      </c>
    </row>
    <row r="17" spans="2:6" ht="16" customHeight="1" x14ac:dyDescent="0.2">
      <c r="B17" s="141"/>
      <c r="C17" s="188"/>
      <c r="D17" s="145" t="s">
        <v>2254</v>
      </c>
      <c r="E17" s="147" t="s">
        <v>2255</v>
      </c>
      <c r="F17" s="147" t="s">
        <v>2256</v>
      </c>
    </row>
    <row r="18" spans="2:6" ht="16" customHeight="1" x14ac:dyDescent="0.2">
      <c r="B18" s="141"/>
      <c r="C18" s="6" t="s">
        <v>2508</v>
      </c>
      <c r="D18" s="145" t="s">
        <v>2215</v>
      </c>
      <c r="E18" s="146" t="s">
        <v>2216</v>
      </c>
      <c r="F18" s="146" t="s">
        <v>2217</v>
      </c>
    </row>
    <row r="19" spans="2:6" ht="16" customHeight="1" x14ac:dyDescent="0.2">
      <c r="B19" s="141"/>
      <c r="C19" s="6"/>
      <c r="D19" s="145" t="s">
        <v>2257</v>
      </c>
      <c r="E19" s="146" t="s">
        <v>2258</v>
      </c>
      <c r="F19" s="146" t="s">
        <v>2259</v>
      </c>
    </row>
    <row r="20" spans="2:6" ht="16" customHeight="1" x14ac:dyDescent="0.2">
      <c r="B20" s="141"/>
      <c r="C20" s="6"/>
      <c r="D20" s="145" t="s">
        <v>2260</v>
      </c>
      <c r="E20" s="146" t="s">
        <v>2261</v>
      </c>
      <c r="F20" s="146" t="s">
        <v>2262</v>
      </c>
    </row>
    <row r="21" spans="2:6" ht="16" customHeight="1" x14ac:dyDescent="0.2">
      <c r="B21" s="141"/>
      <c r="C21" s="6" t="s">
        <v>2508</v>
      </c>
      <c r="D21" s="145" t="s">
        <v>2218</v>
      </c>
      <c r="E21" s="146" t="s">
        <v>2219</v>
      </c>
      <c r="F21" s="146" t="s">
        <v>2220</v>
      </c>
    </row>
    <row r="22" spans="2:6" ht="16" customHeight="1" x14ac:dyDescent="0.2">
      <c r="B22" s="141"/>
      <c r="C22" s="6"/>
      <c r="D22" s="145" t="s">
        <v>2263</v>
      </c>
      <c r="E22" s="146" t="s">
        <v>2264</v>
      </c>
      <c r="F22" s="146" t="s">
        <v>2265</v>
      </c>
    </row>
    <row r="23" spans="2:6" ht="16" customHeight="1" x14ac:dyDescent="0.2">
      <c r="B23" s="141"/>
      <c r="C23" s="6"/>
      <c r="D23" s="145" t="s">
        <v>2266</v>
      </c>
      <c r="E23" s="146" t="s">
        <v>2267</v>
      </c>
      <c r="F23" s="146" t="s">
        <v>2268</v>
      </c>
    </row>
    <row r="24" spans="2:6" ht="16" customHeight="1" x14ac:dyDescent="0.2">
      <c r="B24" s="141"/>
      <c r="C24" s="6"/>
      <c r="D24" s="145" t="s">
        <v>2269</v>
      </c>
      <c r="E24" s="146" t="s">
        <v>2270</v>
      </c>
      <c r="F24" s="146" t="s">
        <v>2271</v>
      </c>
    </row>
    <row r="25" spans="2:6" ht="16" customHeight="1" x14ac:dyDescent="0.2">
      <c r="B25" s="141"/>
      <c r="C25" s="188"/>
      <c r="D25" s="145" t="s">
        <v>2272</v>
      </c>
      <c r="E25" s="147" t="s">
        <v>2273</v>
      </c>
      <c r="F25" s="147" t="s">
        <v>2274</v>
      </c>
    </row>
    <row r="26" spans="2:6" ht="16" customHeight="1" x14ac:dyDescent="0.2">
      <c r="B26" s="141"/>
      <c r="C26" s="6"/>
      <c r="D26" s="145" t="s">
        <v>2275</v>
      </c>
      <c r="E26" s="146" t="s">
        <v>2276</v>
      </c>
      <c r="F26" s="146" t="s">
        <v>2277</v>
      </c>
    </row>
    <row r="27" spans="2:6" ht="16" customHeight="1" x14ac:dyDescent="0.2">
      <c r="B27" s="141"/>
      <c r="C27" s="6"/>
      <c r="D27" s="145" t="s">
        <v>2281</v>
      </c>
      <c r="E27" s="146" t="s">
        <v>2282</v>
      </c>
      <c r="F27" s="146" t="s">
        <v>2283</v>
      </c>
    </row>
    <row r="28" spans="2:6" ht="16" customHeight="1" x14ac:dyDescent="0.2">
      <c r="B28" s="141"/>
      <c r="C28" s="6"/>
      <c r="D28" s="145" t="s">
        <v>2284</v>
      </c>
      <c r="E28" s="146" t="s">
        <v>2285</v>
      </c>
      <c r="F28" s="146" t="s">
        <v>2286</v>
      </c>
    </row>
    <row r="29" spans="2:6" ht="16" customHeight="1" x14ac:dyDescent="0.2">
      <c r="B29" s="141"/>
      <c r="C29" s="6"/>
      <c r="D29" s="145" t="s">
        <v>2287</v>
      </c>
      <c r="E29" s="146" t="s">
        <v>2288</v>
      </c>
      <c r="F29" s="146" t="s">
        <v>2289</v>
      </c>
    </row>
    <row r="30" spans="2:6" ht="16" customHeight="1" x14ac:dyDescent="0.2">
      <c r="B30" s="141"/>
      <c r="C30" s="6"/>
      <c r="D30" s="145" t="s">
        <v>2290</v>
      </c>
      <c r="E30" s="146" t="s">
        <v>2291</v>
      </c>
      <c r="F30" s="146" t="s">
        <v>2292</v>
      </c>
    </row>
    <row r="31" spans="2:6" ht="16" customHeight="1" x14ac:dyDescent="0.2">
      <c r="B31" s="141"/>
      <c r="C31" s="6"/>
      <c r="D31" s="145" t="s">
        <v>2293</v>
      </c>
      <c r="E31" s="146" t="s">
        <v>2294</v>
      </c>
      <c r="F31" s="146" t="s">
        <v>2294</v>
      </c>
    </row>
    <row r="32" spans="2:6" ht="16" customHeight="1" x14ac:dyDescent="0.2">
      <c r="B32" s="141"/>
      <c r="C32" s="6"/>
      <c r="D32" s="145" t="s">
        <v>2295</v>
      </c>
      <c r="E32" s="146" t="s">
        <v>2296</v>
      </c>
      <c r="F32" s="146" t="s">
        <v>2297</v>
      </c>
    </row>
    <row r="33" spans="2:6" ht="32" customHeight="1" x14ac:dyDescent="0.2">
      <c r="B33" s="141"/>
      <c r="C33" s="6"/>
      <c r="D33" s="145" t="s">
        <v>2298</v>
      </c>
      <c r="E33" s="146" t="s">
        <v>2299</v>
      </c>
      <c r="F33" s="146" t="s">
        <v>2300</v>
      </c>
    </row>
    <row r="34" spans="2:6" ht="16" customHeight="1" x14ac:dyDescent="0.2">
      <c r="B34" s="141"/>
      <c r="C34" s="6"/>
      <c r="D34" s="145" t="s">
        <v>2278</v>
      </c>
      <c r="E34" s="146" t="s">
        <v>2279</v>
      </c>
      <c r="F34" s="146" t="s">
        <v>2280</v>
      </c>
    </row>
    <row r="35" spans="2:6" ht="16" customHeight="1" x14ac:dyDescent="0.2">
      <c r="B35" s="141"/>
      <c r="C35" s="188"/>
      <c r="D35" s="145" t="s">
        <v>2301</v>
      </c>
      <c r="E35" s="147" t="s">
        <v>2302</v>
      </c>
      <c r="F35" s="147" t="s">
        <v>2303</v>
      </c>
    </row>
    <row r="36" spans="2:6" ht="16" customHeight="1" x14ac:dyDescent="0.2">
      <c r="B36" s="141"/>
      <c r="C36" s="6"/>
      <c r="D36" s="145" t="s">
        <v>2304</v>
      </c>
      <c r="E36" s="146" t="s">
        <v>2305</v>
      </c>
      <c r="F36" s="146" t="s">
        <v>2306</v>
      </c>
    </row>
    <row r="37" spans="2:6" ht="16" customHeight="1" x14ac:dyDescent="0.2">
      <c r="B37" s="141"/>
      <c r="C37" s="6"/>
      <c r="D37" s="145" t="s">
        <v>2313</v>
      </c>
      <c r="E37" s="146" t="s">
        <v>2314</v>
      </c>
      <c r="F37" s="146" t="s">
        <v>2315</v>
      </c>
    </row>
    <row r="38" spans="2:6" ht="16" customHeight="1" x14ac:dyDescent="0.2">
      <c r="B38" s="141"/>
      <c r="C38" s="6"/>
      <c r="D38" s="145" t="s">
        <v>2316</v>
      </c>
      <c r="E38" s="146" t="s">
        <v>2317</v>
      </c>
      <c r="F38" s="146" t="s">
        <v>2318</v>
      </c>
    </row>
    <row r="39" spans="2:6" ht="16" customHeight="1" x14ac:dyDescent="0.2">
      <c r="B39" s="141"/>
      <c r="C39" s="6"/>
      <c r="D39" s="145" t="s">
        <v>2319</v>
      </c>
      <c r="E39" s="146" t="s">
        <v>2320</v>
      </c>
      <c r="F39" s="146" t="s">
        <v>2321</v>
      </c>
    </row>
    <row r="40" spans="2:6" ht="16" customHeight="1" x14ac:dyDescent="0.2">
      <c r="B40" s="141"/>
      <c r="C40" s="6"/>
      <c r="D40" s="145" t="s">
        <v>2322</v>
      </c>
      <c r="E40" s="146" t="s">
        <v>2323</v>
      </c>
      <c r="F40" s="146" t="s">
        <v>2324</v>
      </c>
    </row>
    <row r="41" spans="2:6" ht="16" customHeight="1" x14ac:dyDescent="0.2">
      <c r="B41" s="141"/>
      <c r="C41" s="6"/>
      <c r="D41" s="145" t="s">
        <v>2325</v>
      </c>
      <c r="E41" s="146" t="s">
        <v>2326</v>
      </c>
      <c r="F41" s="146" t="s">
        <v>2326</v>
      </c>
    </row>
    <row r="42" spans="2:6" ht="16" customHeight="1" x14ac:dyDescent="0.2">
      <c r="B42" s="141"/>
      <c r="C42" s="6"/>
      <c r="D42" s="145" t="s">
        <v>2327</v>
      </c>
      <c r="E42" s="146" t="s">
        <v>2328</v>
      </c>
      <c r="F42" s="146" t="s">
        <v>2329</v>
      </c>
    </row>
    <row r="43" spans="2:6" ht="16" customHeight="1" x14ac:dyDescent="0.2">
      <c r="B43" s="141"/>
      <c r="C43" s="6"/>
      <c r="D43" s="145" t="s">
        <v>2330</v>
      </c>
      <c r="E43" s="146" t="s">
        <v>2331</v>
      </c>
      <c r="F43" s="146" t="s">
        <v>2332</v>
      </c>
    </row>
    <row r="44" spans="2:6" ht="16" customHeight="1" x14ac:dyDescent="0.2">
      <c r="B44" s="141"/>
      <c r="C44" s="6"/>
      <c r="D44" s="145" t="s">
        <v>2333</v>
      </c>
      <c r="E44" s="146" t="s">
        <v>2334</v>
      </c>
      <c r="F44" s="146" t="s">
        <v>2335</v>
      </c>
    </row>
    <row r="45" spans="2:6" ht="16" customHeight="1" x14ac:dyDescent="0.2">
      <c r="B45" s="141"/>
      <c r="C45" s="6"/>
      <c r="D45" s="145" t="s">
        <v>2307</v>
      </c>
      <c r="E45" s="146" t="s">
        <v>2308</v>
      </c>
      <c r="F45" s="146" t="s">
        <v>2309</v>
      </c>
    </row>
    <row r="46" spans="2:6" ht="16" customHeight="1" x14ac:dyDescent="0.2">
      <c r="B46" s="141"/>
      <c r="C46" s="6"/>
      <c r="D46" s="145" t="s">
        <v>2310</v>
      </c>
      <c r="E46" s="146" t="s">
        <v>2311</v>
      </c>
      <c r="F46" s="146" t="s">
        <v>2312</v>
      </c>
    </row>
    <row r="47" spans="2:6" ht="16" customHeight="1" x14ac:dyDescent="0.2">
      <c r="B47" s="141"/>
      <c r="C47" s="188"/>
      <c r="D47" s="145" t="s">
        <v>2336</v>
      </c>
      <c r="E47" s="147" t="s">
        <v>2337</v>
      </c>
      <c r="F47" s="147" t="s">
        <v>2338</v>
      </c>
    </row>
    <row r="48" spans="2:6" ht="16" customHeight="1" x14ac:dyDescent="0.2">
      <c r="B48" s="141"/>
      <c r="C48" s="6"/>
      <c r="D48" s="145" t="s">
        <v>2339</v>
      </c>
      <c r="E48" s="146" t="s">
        <v>2340</v>
      </c>
      <c r="F48" s="146" t="s">
        <v>2340</v>
      </c>
    </row>
    <row r="49" spans="2:6" ht="16" customHeight="1" x14ac:dyDescent="0.2">
      <c r="B49" s="141"/>
      <c r="C49" s="6"/>
      <c r="D49" s="145" t="s">
        <v>2341</v>
      </c>
      <c r="E49" s="146" t="s">
        <v>2342</v>
      </c>
      <c r="F49" s="146" t="s">
        <v>2343</v>
      </c>
    </row>
    <row r="50" spans="2:6" ht="16" customHeight="1" x14ac:dyDescent="0.2">
      <c r="B50" s="141"/>
      <c r="C50" s="6"/>
      <c r="D50" s="145" t="s">
        <v>2344</v>
      </c>
      <c r="E50" s="146" t="s">
        <v>2345</v>
      </c>
      <c r="F50" s="146" t="s">
        <v>2346</v>
      </c>
    </row>
    <row r="51" spans="2:6" ht="16" customHeight="1" x14ac:dyDescent="0.2">
      <c r="B51" s="141"/>
      <c r="C51" s="6"/>
      <c r="D51" s="145" t="s">
        <v>2347</v>
      </c>
      <c r="E51" s="146" t="s">
        <v>2348</v>
      </c>
      <c r="F51" s="146" t="s">
        <v>2349</v>
      </c>
    </row>
    <row r="52" spans="2:6" ht="16" customHeight="1" x14ac:dyDescent="0.2">
      <c r="B52" s="141"/>
      <c r="C52" s="188"/>
      <c r="D52" s="145" t="s">
        <v>2350</v>
      </c>
      <c r="E52" s="147" t="s">
        <v>2351</v>
      </c>
      <c r="F52" s="147" t="s">
        <v>2352</v>
      </c>
    </row>
    <row r="53" spans="2:6" ht="16" customHeight="1" x14ac:dyDescent="0.2">
      <c r="B53" s="141"/>
      <c r="C53" s="6"/>
      <c r="D53" s="145" t="s">
        <v>2353</v>
      </c>
      <c r="E53" s="146" t="s">
        <v>2354</v>
      </c>
      <c r="F53" s="146" t="s">
        <v>2355</v>
      </c>
    </row>
    <row r="54" spans="2:6" ht="16" customHeight="1" x14ac:dyDescent="0.2">
      <c r="B54" s="141"/>
      <c r="C54" s="6" t="s">
        <v>2508</v>
      </c>
      <c r="D54" s="145" t="s">
        <v>2221</v>
      </c>
      <c r="E54" s="146" t="s">
        <v>2222</v>
      </c>
      <c r="F54" s="146" t="s">
        <v>2223</v>
      </c>
    </row>
    <row r="55" spans="2:6" ht="16" customHeight="1" x14ac:dyDescent="0.2">
      <c r="B55" s="141"/>
      <c r="C55" s="6" t="s">
        <v>2508</v>
      </c>
      <c r="D55" s="145" t="s">
        <v>2224</v>
      </c>
      <c r="E55" s="146" t="s">
        <v>2225</v>
      </c>
      <c r="F55" s="146" t="s">
        <v>2226</v>
      </c>
    </row>
    <row r="56" spans="2:6" ht="16" customHeight="1" x14ac:dyDescent="0.2">
      <c r="B56" s="141"/>
      <c r="C56" s="6"/>
      <c r="D56" s="145" t="s">
        <v>2382</v>
      </c>
      <c r="E56" s="146" t="s">
        <v>2383</v>
      </c>
      <c r="F56" s="146" t="s">
        <v>2384</v>
      </c>
    </row>
    <row r="57" spans="2:6" ht="16" customHeight="1" x14ac:dyDescent="0.2">
      <c r="B57" s="141"/>
      <c r="C57" s="6"/>
      <c r="D57" s="145" t="s">
        <v>2385</v>
      </c>
      <c r="E57" s="146" t="s">
        <v>2386</v>
      </c>
      <c r="F57" s="146" t="s">
        <v>2387</v>
      </c>
    </row>
    <row r="58" spans="2:6" ht="16" customHeight="1" x14ac:dyDescent="0.2">
      <c r="B58" s="141"/>
      <c r="C58" s="6"/>
      <c r="D58" s="145" t="s">
        <v>2388</v>
      </c>
      <c r="E58" s="146" t="s">
        <v>2389</v>
      </c>
      <c r="F58" s="146" t="s">
        <v>2390</v>
      </c>
    </row>
    <row r="59" spans="2:6" ht="16" customHeight="1" x14ac:dyDescent="0.2">
      <c r="B59" s="141"/>
      <c r="C59" s="6"/>
      <c r="D59" s="145" t="s">
        <v>2391</v>
      </c>
      <c r="E59" s="146" t="s">
        <v>2392</v>
      </c>
      <c r="F59" s="146" t="s">
        <v>2393</v>
      </c>
    </row>
    <row r="60" spans="2:6" ht="16" customHeight="1" x14ac:dyDescent="0.2">
      <c r="B60" s="141"/>
      <c r="C60" s="6"/>
      <c r="D60" s="145" t="s">
        <v>2394</v>
      </c>
      <c r="E60" s="146" t="s">
        <v>2395</v>
      </c>
      <c r="F60" s="146" t="s">
        <v>2396</v>
      </c>
    </row>
    <row r="61" spans="2:6" ht="16" customHeight="1" x14ac:dyDescent="0.2">
      <c r="B61" s="141"/>
      <c r="C61" s="6"/>
      <c r="D61" s="145" t="s">
        <v>2397</v>
      </c>
      <c r="E61" s="146" t="s">
        <v>2398</v>
      </c>
      <c r="F61" s="146" t="s">
        <v>2399</v>
      </c>
    </row>
    <row r="62" spans="2:6" ht="16" customHeight="1" x14ac:dyDescent="0.2">
      <c r="B62" s="141"/>
      <c r="C62" s="6"/>
      <c r="D62" s="145" t="s">
        <v>2356</v>
      </c>
      <c r="E62" s="146" t="s">
        <v>2357</v>
      </c>
      <c r="F62" s="146" t="s">
        <v>2358</v>
      </c>
    </row>
    <row r="63" spans="2:6" ht="16" customHeight="1" x14ac:dyDescent="0.2">
      <c r="B63" s="141"/>
      <c r="C63" s="6"/>
      <c r="D63" s="145" t="s">
        <v>2359</v>
      </c>
      <c r="E63" s="146" t="s">
        <v>2360</v>
      </c>
      <c r="F63" s="146" t="s">
        <v>2361</v>
      </c>
    </row>
    <row r="64" spans="2:6" ht="16" customHeight="1" x14ac:dyDescent="0.2">
      <c r="B64" s="141"/>
      <c r="C64" s="6"/>
      <c r="D64" s="145" t="s">
        <v>2362</v>
      </c>
      <c r="E64" s="146" t="s">
        <v>2363</v>
      </c>
      <c r="F64" s="146" t="s">
        <v>2363</v>
      </c>
    </row>
    <row r="65" spans="2:6" ht="16" customHeight="1" x14ac:dyDescent="0.2">
      <c r="B65" s="141"/>
      <c r="C65" s="6"/>
      <c r="D65" s="145" t="s">
        <v>2364</v>
      </c>
      <c r="E65" s="146" t="s">
        <v>2365</v>
      </c>
      <c r="F65" s="146" t="s">
        <v>2366</v>
      </c>
    </row>
    <row r="66" spans="2:6" ht="16" customHeight="1" x14ac:dyDescent="0.2">
      <c r="B66" s="141"/>
      <c r="C66" s="6"/>
      <c r="D66" s="145" t="s">
        <v>2367</v>
      </c>
      <c r="E66" s="146" t="s">
        <v>2368</v>
      </c>
      <c r="F66" s="146" t="s">
        <v>2369</v>
      </c>
    </row>
    <row r="67" spans="2:6" ht="16" customHeight="1" x14ac:dyDescent="0.2">
      <c r="B67" s="141"/>
      <c r="C67" s="6"/>
      <c r="D67" s="145" t="s">
        <v>2370</v>
      </c>
      <c r="E67" s="146" t="s">
        <v>2371</v>
      </c>
      <c r="F67" s="146" t="s">
        <v>2372</v>
      </c>
    </row>
    <row r="68" spans="2:6" ht="16" customHeight="1" x14ac:dyDescent="0.2">
      <c r="B68" s="141"/>
      <c r="C68" s="6"/>
      <c r="D68" s="145" t="s">
        <v>2373</v>
      </c>
      <c r="E68" s="146" t="s">
        <v>2374</v>
      </c>
      <c r="F68" s="146" t="s">
        <v>2375</v>
      </c>
    </row>
    <row r="69" spans="2:6" ht="16" customHeight="1" x14ac:dyDescent="0.2">
      <c r="B69" s="141"/>
      <c r="C69" s="6"/>
      <c r="D69" s="145" t="s">
        <v>2376</v>
      </c>
      <c r="E69" s="146" t="s">
        <v>2377</v>
      </c>
      <c r="F69" s="146" t="s">
        <v>2378</v>
      </c>
    </row>
    <row r="70" spans="2:6" ht="16" customHeight="1" x14ac:dyDescent="0.2">
      <c r="B70" s="141"/>
      <c r="C70" s="6"/>
      <c r="D70" s="145" t="s">
        <v>2379</v>
      </c>
      <c r="E70" s="146" t="s">
        <v>2380</v>
      </c>
      <c r="F70" s="146" t="s">
        <v>2381</v>
      </c>
    </row>
    <row r="71" spans="2:6" ht="16" customHeight="1" x14ac:dyDescent="0.2">
      <c r="B71" s="141"/>
      <c r="C71" s="188"/>
      <c r="D71" s="145" t="s">
        <v>2400</v>
      </c>
      <c r="E71" s="147" t="s">
        <v>2401</v>
      </c>
      <c r="F71" s="147" t="s">
        <v>2402</v>
      </c>
    </row>
    <row r="72" spans="2:6" ht="16" customHeight="1" x14ac:dyDescent="0.2">
      <c r="B72" s="141"/>
      <c r="C72" s="6"/>
      <c r="D72" s="145" t="s">
        <v>2403</v>
      </c>
      <c r="E72" s="146" t="s">
        <v>2404</v>
      </c>
      <c r="F72" s="146" t="s">
        <v>2405</v>
      </c>
    </row>
    <row r="73" spans="2:6" ht="16" customHeight="1" x14ac:dyDescent="0.2">
      <c r="B73" s="141"/>
      <c r="C73" s="6" t="s">
        <v>2508</v>
      </c>
      <c r="D73" s="145" t="s">
        <v>2227</v>
      </c>
      <c r="E73" s="146" t="s">
        <v>2228</v>
      </c>
      <c r="F73" s="146" t="s">
        <v>2229</v>
      </c>
    </row>
    <row r="74" spans="2:6" ht="16" customHeight="1" x14ac:dyDescent="0.2">
      <c r="B74" s="141"/>
      <c r="C74" s="6"/>
      <c r="D74" s="145" t="s">
        <v>2406</v>
      </c>
      <c r="E74" s="146" t="s">
        <v>2407</v>
      </c>
      <c r="F74" s="146" t="s">
        <v>2408</v>
      </c>
    </row>
    <row r="75" spans="2:6" ht="16" customHeight="1" x14ac:dyDescent="0.2">
      <c r="B75" s="141"/>
      <c r="C75" s="6"/>
      <c r="D75" s="145" t="s">
        <v>2409</v>
      </c>
      <c r="E75" s="146" t="s">
        <v>2410</v>
      </c>
      <c r="F75" s="146" t="s">
        <v>2411</v>
      </c>
    </row>
    <row r="76" spans="2:6" ht="16" customHeight="1" x14ac:dyDescent="0.2">
      <c r="B76" s="141"/>
      <c r="C76" s="6"/>
      <c r="D76" s="145" t="s">
        <v>2412</v>
      </c>
      <c r="E76" s="146" t="s">
        <v>2413</v>
      </c>
      <c r="F76" s="146" t="s">
        <v>2414</v>
      </c>
    </row>
    <row r="77" spans="2:6" ht="16" customHeight="1" x14ac:dyDescent="0.2">
      <c r="B77" s="141"/>
      <c r="C77" s="6"/>
      <c r="D77" s="145" t="s">
        <v>2415</v>
      </c>
      <c r="E77" s="146" t="s">
        <v>2416</v>
      </c>
      <c r="F77" s="146" t="s">
        <v>2417</v>
      </c>
    </row>
    <row r="78" spans="2:6" ht="16" customHeight="1" x14ac:dyDescent="0.2">
      <c r="B78" s="141"/>
      <c r="C78" s="6"/>
      <c r="D78" s="145" t="s">
        <v>2418</v>
      </c>
      <c r="E78" s="146" t="s">
        <v>2419</v>
      </c>
      <c r="F78" s="146" t="s">
        <v>2420</v>
      </c>
    </row>
    <row r="79" spans="2:6" ht="16" customHeight="1" x14ac:dyDescent="0.2">
      <c r="B79" s="141"/>
      <c r="C79" s="6"/>
      <c r="D79" s="145" t="s">
        <v>2421</v>
      </c>
      <c r="E79" s="146" t="s">
        <v>2422</v>
      </c>
      <c r="F79" s="146" t="s">
        <v>2423</v>
      </c>
    </row>
    <row r="80" spans="2:6" ht="16" customHeight="1" x14ac:dyDescent="0.2">
      <c r="B80" s="141"/>
      <c r="C80" s="188"/>
      <c r="D80" s="145" t="s">
        <v>2424</v>
      </c>
      <c r="E80" s="147" t="s">
        <v>2425</v>
      </c>
      <c r="F80" s="147" t="s">
        <v>2426</v>
      </c>
    </row>
    <row r="81" spans="2:6" ht="16" customHeight="1" x14ac:dyDescent="0.2">
      <c r="B81" s="141"/>
      <c r="C81" s="6"/>
      <c r="D81" s="145" t="s">
        <v>2427</v>
      </c>
      <c r="E81" s="146" t="s">
        <v>2428</v>
      </c>
      <c r="F81" s="146" t="s">
        <v>2429</v>
      </c>
    </row>
    <row r="82" spans="2:6" ht="16" customHeight="1" x14ac:dyDescent="0.2">
      <c r="B82" s="141"/>
      <c r="C82" s="6" t="s">
        <v>2508</v>
      </c>
      <c r="D82" s="145" t="s">
        <v>2230</v>
      </c>
      <c r="E82" s="146" t="s">
        <v>2231</v>
      </c>
      <c r="F82" s="146" t="s">
        <v>2232</v>
      </c>
    </row>
    <row r="83" spans="2:6" ht="16" customHeight="1" x14ac:dyDescent="0.2">
      <c r="B83" s="141"/>
      <c r="C83" s="6"/>
      <c r="D83" s="145" t="s">
        <v>2430</v>
      </c>
      <c r="E83" s="146" t="s">
        <v>2431</v>
      </c>
      <c r="F83" s="146" t="s">
        <v>2432</v>
      </c>
    </row>
    <row r="84" spans="2:6" ht="16" customHeight="1" x14ac:dyDescent="0.2">
      <c r="B84" s="141"/>
      <c r="C84" s="6"/>
      <c r="D84" s="145" t="s">
        <v>2433</v>
      </c>
      <c r="E84" s="146" t="s">
        <v>2434</v>
      </c>
      <c r="F84" s="146" t="s">
        <v>2435</v>
      </c>
    </row>
    <row r="85" spans="2:6" ht="16" customHeight="1" x14ac:dyDescent="0.2">
      <c r="B85" s="141"/>
      <c r="C85" s="6"/>
      <c r="D85" s="145" t="s">
        <v>2436</v>
      </c>
      <c r="E85" s="146" t="s">
        <v>2437</v>
      </c>
      <c r="F85" s="146" t="s">
        <v>2438</v>
      </c>
    </row>
    <row r="86" spans="2:6" ht="16" customHeight="1" x14ac:dyDescent="0.2">
      <c r="B86" s="141"/>
      <c r="C86" s="188"/>
      <c r="D86" s="145" t="s">
        <v>2439</v>
      </c>
      <c r="E86" s="147" t="s">
        <v>2440</v>
      </c>
      <c r="F86" s="147" t="s">
        <v>2441</v>
      </c>
    </row>
    <row r="87" spans="2:6" ht="16" customHeight="1" x14ac:dyDescent="0.2">
      <c r="B87" s="141"/>
      <c r="C87" s="6"/>
      <c r="D87" s="145" t="s">
        <v>2442</v>
      </c>
      <c r="E87" s="146" t="s">
        <v>2443</v>
      </c>
      <c r="F87" s="146" t="s">
        <v>2444</v>
      </c>
    </row>
    <row r="88" spans="2:6" ht="16" customHeight="1" x14ac:dyDescent="0.2">
      <c r="B88" s="141"/>
      <c r="C88" s="6"/>
      <c r="D88" s="145" t="s">
        <v>2445</v>
      </c>
      <c r="E88" s="146" t="s">
        <v>2446</v>
      </c>
      <c r="F88" s="146" t="s">
        <v>2447</v>
      </c>
    </row>
    <row r="89" spans="2:6" ht="16" customHeight="1" x14ac:dyDescent="0.2">
      <c r="B89" s="141"/>
      <c r="C89" s="6"/>
      <c r="D89" s="145" t="s">
        <v>2448</v>
      </c>
      <c r="E89" s="146" t="s">
        <v>2449</v>
      </c>
      <c r="F89" s="146" t="s">
        <v>2449</v>
      </c>
    </row>
    <row r="90" spans="2:6" ht="16" customHeight="1" x14ac:dyDescent="0.2">
      <c r="B90" s="141"/>
      <c r="C90" s="6"/>
      <c r="D90" s="145" t="s">
        <v>2450</v>
      </c>
      <c r="E90" s="146" t="s">
        <v>2451</v>
      </c>
      <c r="F90" s="146" t="s">
        <v>2452</v>
      </c>
    </row>
    <row r="91" spans="2:6" ht="16" customHeight="1" x14ac:dyDescent="0.2">
      <c r="B91" s="141"/>
      <c r="C91" s="6"/>
      <c r="D91" s="145" t="s">
        <v>2453</v>
      </c>
      <c r="E91" s="146" t="s">
        <v>2454</v>
      </c>
      <c r="F91" s="146" t="s">
        <v>2455</v>
      </c>
    </row>
    <row r="92" spans="2:6" ht="16" customHeight="1" x14ac:dyDescent="0.2">
      <c r="B92" s="141"/>
      <c r="C92" s="6"/>
      <c r="D92" s="145" t="s">
        <v>2456</v>
      </c>
      <c r="E92" s="146" t="s">
        <v>2457</v>
      </c>
      <c r="F92" s="146" t="s">
        <v>2457</v>
      </c>
    </row>
    <row r="93" spans="2:6" ht="16" customHeight="1" x14ac:dyDescent="0.2">
      <c r="B93" s="141"/>
      <c r="C93" s="188"/>
      <c r="D93" s="145" t="s">
        <v>2458</v>
      </c>
      <c r="E93" s="147" t="s">
        <v>2459</v>
      </c>
      <c r="F93" s="147" t="s">
        <v>2460</v>
      </c>
    </row>
    <row r="94" spans="2:6" x14ac:dyDescent="0.2">
      <c r="C94" s="148"/>
      <c r="D94" s="149"/>
      <c r="E94" s="150"/>
      <c r="F94" s="150"/>
    </row>
  </sheetData>
  <sheetProtection algorithmName="SHA-512" hashValue="2UPrnJvsGcft/GJTZXaKNjx8DPI7GQr9yYIKZKJjV0y/JNhJNsqQ9eZP9Xl4MYCl0m7DKUFjvB1azkWE+gXWpA==" saltValue="ERjlw+drhOAcTmHMpa+mIA=="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E14" sqref="E14"/>
    </sheetView>
  </sheetViews>
  <sheetFormatPr baseColWidth="10" defaultColWidth="10.83203125" defaultRowHeight="16" x14ac:dyDescent="0.2"/>
  <cols>
    <col min="1" max="1" width="10.83203125" style="16" customWidth="1"/>
    <col min="2" max="2" width="8.83203125" style="16" customWidth="1"/>
    <col min="3" max="3" width="27.6640625" style="16" customWidth="1"/>
    <col min="4" max="5" width="20.83203125" style="16" customWidth="1"/>
    <col min="6" max="7" width="46.5" style="39" customWidth="1"/>
    <col min="8" max="8" width="20.83203125" style="255" customWidth="1"/>
    <col min="9" max="9" width="20.83203125" style="16" customWidth="1"/>
    <col min="10" max="10" width="10.83203125" style="16" customWidth="1"/>
    <col min="11" max="16384" width="10.83203125" style="16"/>
  </cols>
  <sheetData>
    <row r="1" spans="1:11" ht="17" customHeight="1" thickBot="1" x14ac:dyDescent="0.25">
      <c r="C1" s="17"/>
      <c r="D1" s="17"/>
      <c r="E1" s="17"/>
      <c r="F1" s="35"/>
      <c r="G1" s="35"/>
      <c r="H1" s="253"/>
      <c r="I1" s="17"/>
    </row>
    <row r="2" spans="1:11" s="39" customFormat="1" ht="17" customHeight="1" thickBot="1" x14ac:dyDescent="0.25">
      <c r="A2" s="58"/>
      <c r="B2" s="59"/>
      <c r="C2" s="60" t="s">
        <v>2509</v>
      </c>
      <c r="D2" s="61" t="s">
        <v>2510</v>
      </c>
      <c r="E2" s="241" t="s">
        <v>2511</v>
      </c>
      <c r="F2" s="243" t="s">
        <v>2512</v>
      </c>
      <c r="G2" s="36" t="s">
        <v>2513</v>
      </c>
      <c r="H2" s="256" t="s">
        <v>2514</v>
      </c>
      <c r="I2" s="62" t="s">
        <v>2515</v>
      </c>
      <c r="J2" s="63"/>
    </row>
    <row r="3" spans="1:11" ht="62.5" customHeight="1" x14ac:dyDescent="0.2">
      <c r="A3" s="18"/>
      <c r="B3" s="345" t="s">
        <v>2516</v>
      </c>
      <c r="C3" s="45" t="s">
        <v>2517</v>
      </c>
      <c r="D3" s="325" t="s">
        <v>2518</v>
      </c>
      <c r="E3" s="267" t="s">
        <v>2518</v>
      </c>
      <c r="F3" s="244" t="s">
        <v>2519</v>
      </c>
      <c r="G3" s="182" t="s">
        <v>2520</v>
      </c>
      <c r="H3" s="257" t="s">
        <v>2521</v>
      </c>
      <c r="I3" s="284" t="s">
        <v>2521</v>
      </c>
      <c r="J3" s="19"/>
    </row>
    <row r="4" spans="1:11" ht="31.75" customHeight="1" x14ac:dyDescent="0.2">
      <c r="A4" s="18"/>
      <c r="B4" s="342"/>
      <c r="C4" s="27" t="s">
        <v>2522</v>
      </c>
      <c r="D4" s="178">
        <v>18</v>
      </c>
      <c r="E4" s="268">
        <v>18</v>
      </c>
      <c r="F4" s="184" t="s">
        <v>2523</v>
      </c>
      <c r="G4" s="183" t="s">
        <v>2524</v>
      </c>
      <c r="H4" s="258">
        <v>18</v>
      </c>
      <c r="I4" s="285">
        <v>18</v>
      </c>
      <c r="J4" s="19"/>
    </row>
    <row r="5" spans="1:11" ht="43.5" customHeight="1" x14ac:dyDescent="0.2">
      <c r="A5" s="18"/>
      <c r="B5" s="342"/>
      <c r="C5" s="28" t="s">
        <v>2525</v>
      </c>
      <c r="D5" s="326" t="s">
        <v>2475</v>
      </c>
      <c r="E5" s="268" t="s">
        <v>2475</v>
      </c>
      <c r="F5" s="184" t="s">
        <v>2526</v>
      </c>
      <c r="G5" s="183" t="s">
        <v>2527</v>
      </c>
      <c r="H5" s="259" t="s">
        <v>2528</v>
      </c>
      <c r="I5" s="286" t="s">
        <v>2528</v>
      </c>
      <c r="J5" s="19"/>
    </row>
    <row r="6" spans="1:11" ht="48" customHeight="1" x14ac:dyDescent="0.2">
      <c r="A6" s="18"/>
      <c r="B6" s="342"/>
      <c r="C6" s="29" t="s">
        <v>2529</v>
      </c>
      <c r="D6" s="326" t="s">
        <v>2478</v>
      </c>
      <c r="E6" s="268" t="s">
        <v>2478</v>
      </c>
      <c r="F6" s="184" t="s">
        <v>2530</v>
      </c>
      <c r="G6" s="184" t="s">
        <v>2531</v>
      </c>
      <c r="H6" s="260" t="s">
        <v>2532</v>
      </c>
      <c r="I6" s="282" t="s">
        <v>2532</v>
      </c>
      <c r="J6" s="19"/>
    </row>
    <row r="7" spans="1:11" s="205" customFormat="1" ht="96" customHeight="1" x14ac:dyDescent="0.2">
      <c r="A7" s="201"/>
      <c r="B7" s="342"/>
      <c r="C7" s="202" t="s">
        <v>2533</v>
      </c>
      <c r="D7" s="270" t="s">
        <v>2534</v>
      </c>
      <c r="E7" s="269" t="s">
        <v>2535</v>
      </c>
      <c r="F7" s="184" t="s">
        <v>2536</v>
      </c>
      <c r="G7" s="203" t="s">
        <v>2537</v>
      </c>
      <c r="H7" s="260" t="s">
        <v>2538</v>
      </c>
      <c r="I7" s="283" t="s">
        <v>2539</v>
      </c>
      <c r="J7" s="204"/>
    </row>
    <row r="8" spans="1:11" ht="80" customHeight="1" x14ac:dyDescent="0.2">
      <c r="A8" s="18"/>
      <c r="B8" s="342"/>
      <c r="C8" s="29" t="s">
        <v>2540</v>
      </c>
      <c r="D8" s="326" t="s">
        <v>2541</v>
      </c>
      <c r="E8" s="326" t="s">
        <v>2542</v>
      </c>
      <c r="F8" s="185" t="s">
        <v>2543</v>
      </c>
      <c r="G8" s="185" t="s">
        <v>2544</v>
      </c>
      <c r="H8" s="261" t="s">
        <v>2545</v>
      </c>
      <c r="I8" s="20" t="s">
        <v>2546</v>
      </c>
      <c r="J8" s="19"/>
      <c r="K8" s="335"/>
    </row>
    <row r="9" spans="1:11" ht="96" customHeight="1" x14ac:dyDescent="0.2">
      <c r="A9" s="18"/>
      <c r="B9" s="342"/>
      <c r="C9" s="29" t="s">
        <v>2547</v>
      </c>
      <c r="D9" s="271" t="s">
        <v>2548</v>
      </c>
      <c r="E9" s="269" t="s">
        <v>2549</v>
      </c>
      <c r="F9" s="185" t="s">
        <v>2550</v>
      </c>
      <c r="G9" s="185" t="s">
        <v>2551</v>
      </c>
      <c r="H9" s="261" t="s">
        <v>2552</v>
      </c>
      <c r="I9" s="282" t="s">
        <v>2553</v>
      </c>
      <c r="J9" s="19"/>
    </row>
    <row r="10" spans="1:11" s="205" customFormat="1" ht="58" customHeight="1" x14ac:dyDescent="0.2">
      <c r="A10" s="201"/>
      <c r="B10" s="342"/>
      <c r="C10" s="210" t="s">
        <v>2554</v>
      </c>
      <c r="D10" s="336"/>
      <c r="E10" s="336"/>
      <c r="F10" s="245" t="s">
        <v>2555</v>
      </c>
      <c r="G10" s="22" t="s">
        <v>2556</v>
      </c>
      <c r="H10" s="261" t="s">
        <v>2557</v>
      </c>
      <c r="I10" s="209" t="s">
        <v>2557</v>
      </c>
      <c r="J10" s="204"/>
    </row>
    <row r="11" spans="1:11" s="205" customFormat="1" ht="50.25" customHeight="1" thickBot="1" x14ac:dyDescent="0.25">
      <c r="A11" s="201"/>
      <c r="B11" s="343"/>
      <c r="C11" s="211" t="s">
        <v>2558</v>
      </c>
      <c r="D11" s="337"/>
      <c r="E11" s="272"/>
      <c r="F11" s="246" t="s">
        <v>2559</v>
      </c>
      <c r="G11" s="21" t="s">
        <v>2560</v>
      </c>
      <c r="H11" s="262">
        <v>0.2</v>
      </c>
      <c r="I11" s="281">
        <v>0.2</v>
      </c>
      <c r="J11" s="204"/>
    </row>
    <row r="12" spans="1:11" ht="32" customHeight="1" x14ac:dyDescent="0.2">
      <c r="A12" s="18"/>
      <c r="B12" s="341" t="s">
        <v>2561</v>
      </c>
      <c r="C12" s="30" t="s">
        <v>2562</v>
      </c>
      <c r="D12" s="327" t="s">
        <v>2563</v>
      </c>
      <c r="E12" s="268" t="s">
        <v>2563</v>
      </c>
      <c r="F12" s="265" t="s">
        <v>2564</v>
      </c>
      <c r="G12" s="37" t="s">
        <v>2565</v>
      </c>
      <c r="H12" s="259" t="s">
        <v>2566</v>
      </c>
      <c r="I12" s="279" t="s">
        <v>2566</v>
      </c>
      <c r="J12" s="19"/>
    </row>
    <row r="13" spans="1:11" ht="112" customHeight="1" x14ac:dyDescent="0.2">
      <c r="A13" s="18"/>
      <c r="B13" s="342"/>
      <c r="C13" s="133" t="s">
        <v>2567</v>
      </c>
      <c r="D13" s="338">
        <v>1</v>
      </c>
      <c r="E13" s="268">
        <v>1</v>
      </c>
      <c r="F13" s="266" t="s">
        <v>2568</v>
      </c>
      <c r="G13" s="134" t="s">
        <v>2569</v>
      </c>
      <c r="H13" s="261">
        <v>5</v>
      </c>
      <c r="I13" s="280">
        <v>5</v>
      </c>
      <c r="J13" s="34"/>
      <c r="K13" s="55"/>
    </row>
    <row r="14" spans="1:11" ht="149.5" customHeight="1" x14ac:dyDescent="0.2">
      <c r="A14" s="18"/>
      <c r="B14" s="342"/>
      <c r="C14" s="133" t="s">
        <v>2570</v>
      </c>
      <c r="D14" s="338">
        <v>2000000</v>
      </c>
      <c r="E14" s="268">
        <v>2000000</v>
      </c>
      <c r="F14" s="266" t="s">
        <v>2571</v>
      </c>
      <c r="G14" s="22" t="s">
        <v>2572</v>
      </c>
      <c r="H14" s="261">
        <v>1200000</v>
      </c>
      <c r="I14" s="280">
        <v>1200000</v>
      </c>
      <c r="J14" s="19"/>
    </row>
    <row r="15" spans="1:11" ht="48" customHeight="1" x14ac:dyDescent="0.2">
      <c r="A15" s="18"/>
      <c r="B15" s="342"/>
      <c r="C15" s="57" t="s">
        <v>2573</v>
      </c>
      <c r="D15" s="25" t="s">
        <v>2574</v>
      </c>
      <c r="E15" s="25" t="s">
        <v>2575</v>
      </c>
      <c r="F15" s="247" t="s">
        <v>2576</v>
      </c>
      <c r="G15" s="22" t="s">
        <v>2577</v>
      </c>
      <c r="H15" s="261" t="s">
        <v>2578</v>
      </c>
      <c r="I15" s="20" t="s">
        <v>2579</v>
      </c>
      <c r="J15" s="19"/>
    </row>
    <row r="16" spans="1:11" ht="49" customHeight="1" thickBot="1" x14ac:dyDescent="0.25">
      <c r="A16" s="18"/>
      <c r="B16" s="343"/>
      <c r="C16" s="132" t="s">
        <v>2580</v>
      </c>
      <c r="D16" s="328" t="s">
        <v>2581</v>
      </c>
      <c r="E16" s="26" t="s">
        <v>2581</v>
      </c>
      <c r="F16" s="248" t="s">
        <v>2582</v>
      </c>
      <c r="G16" s="23" t="s">
        <v>2583</v>
      </c>
      <c r="H16" s="263" t="s">
        <v>2584</v>
      </c>
      <c r="I16" s="136" t="s">
        <v>2585</v>
      </c>
      <c r="J16" s="19"/>
    </row>
    <row r="17" spans="1:10" s="56" customFormat="1" ht="5.5" customHeight="1" thickBot="1" x14ac:dyDescent="0.25">
      <c r="A17" s="50"/>
      <c r="B17" s="51"/>
      <c r="C17" s="52"/>
      <c r="D17" s="135"/>
      <c r="E17" s="242"/>
      <c r="F17" s="249"/>
      <c r="G17" s="53"/>
      <c r="H17" s="264"/>
      <c r="I17" s="54"/>
      <c r="J17" s="55"/>
    </row>
    <row r="18" spans="1:10" ht="192" customHeight="1" x14ac:dyDescent="0.2">
      <c r="A18" s="18"/>
      <c r="B18" s="344" t="s">
        <v>2586</v>
      </c>
      <c r="C18" s="46" t="s">
        <v>2587</v>
      </c>
      <c r="D18" s="175">
        <v>0.75</v>
      </c>
      <c r="E18" s="339">
        <v>0.75</v>
      </c>
      <c r="F18" s="250" t="s">
        <v>2588</v>
      </c>
      <c r="G18" s="47" t="s">
        <v>2589</v>
      </c>
      <c r="H18" s="273">
        <v>0.91</v>
      </c>
      <c r="I18" s="274">
        <v>0.91</v>
      </c>
      <c r="J18" s="19"/>
    </row>
    <row r="19" spans="1:10" ht="176" customHeight="1" x14ac:dyDescent="0.2">
      <c r="A19" s="18"/>
      <c r="B19" s="342"/>
      <c r="C19" s="31" t="s">
        <v>2590</v>
      </c>
      <c r="D19" s="176">
        <v>0.2</v>
      </c>
      <c r="E19" s="339">
        <v>0.2</v>
      </c>
      <c r="F19" s="251" t="s">
        <v>2591</v>
      </c>
      <c r="G19" s="48" t="s">
        <v>2592</v>
      </c>
      <c r="H19" s="275">
        <v>0.91</v>
      </c>
      <c r="I19" s="276">
        <v>0.91</v>
      </c>
      <c r="J19" s="19"/>
    </row>
    <row r="20" spans="1:10" ht="141" customHeight="1" thickBot="1" x14ac:dyDescent="0.25">
      <c r="A20" s="18"/>
      <c r="B20" s="343"/>
      <c r="C20" s="32" t="s">
        <v>2593</v>
      </c>
      <c r="D20" s="177">
        <v>0.05</v>
      </c>
      <c r="E20" s="339">
        <v>0.05</v>
      </c>
      <c r="F20" s="252" t="s">
        <v>2594</v>
      </c>
      <c r="G20" s="49" t="s">
        <v>2595</v>
      </c>
      <c r="H20" s="277">
        <v>0.05</v>
      </c>
      <c r="I20" s="278">
        <v>0.05</v>
      </c>
      <c r="J20" s="19"/>
    </row>
    <row r="21" spans="1:10" x14ac:dyDescent="0.2">
      <c r="B21" s="24"/>
      <c r="C21" s="24"/>
      <c r="D21" s="24"/>
      <c r="E21" s="24"/>
      <c r="F21" s="38"/>
      <c r="G21" s="38"/>
      <c r="H21" s="254"/>
      <c r="I21" s="24"/>
    </row>
  </sheetData>
  <sheetProtection algorithmName="SHA-512" hashValue="3Ji3U1iYB+VC/eawvq4YSRXgQUvHoSCOLj/Gj0rrdSd6aV/dyxQ75C01VkXKopd8VDRlkVmEytZl7y+bQodPjw==" saltValue="Ne7HugRdisWVNFOCJnym8A==" spinCount="100000" sheet="1" objects="1" scenarios="1"/>
  <mergeCells count="3">
    <mergeCell ref="B12:B16"/>
    <mergeCell ref="B18:B20"/>
    <mergeCell ref="B3:B11"/>
  </mergeCells>
  <dataValidations count="4">
    <dataValidation type="list" showInputMessage="1" showErrorMessage="1" sqref="E7" xr:uid="{00000000-0002-0000-0400-000000000000}">
      <formula1>"last year,a normal year"</formula1>
    </dataValidation>
    <dataValidation type="list" showInputMessage="1" showErrorMessage="1" sqref="D10:E10" xr:uid="{00000000-0002-0000-0400-000001000000}">
      <formula1>"Not yet in season,Land preparation,Planting,Early growing,Growing,Maturing,Harvesting,Recently finished "</formula1>
    </dataValidation>
    <dataValidation type="list" showInputMessage="1" showErrorMessage="1" sqref="D7" xr:uid="{00000000-0002-0000-0400-000002000000}">
      <formula1>"une année normale, l'année dernière"</formula1>
    </dataValidation>
    <dataValidation type="list" showInputMessage="1" showErrorMessage="1" sqref="D9" xr:uid="{00000000-0002-0000-0400-000003000000}">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Microsoft Office User</cp:lastModifiedBy>
  <dcterms:created xsi:type="dcterms:W3CDTF">2021-01-05T14:16:30Z</dcterms:created>
  <dcterms:modified xsi:type="dcterms:W3CDTF">2023-07-16T22:10:25Z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2023-07-16T21:52:41Z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4c089424-3503-4329-9e7c-7c3c56a5a3ff</vt:lpwstr>
  </property>
  <property fmtid="{D5CDD505-2E9C-101B-9397-08002B2CF9AE}" pid="8" name="MSIP_Label_46ec50b2-b191-4ad7-ba82-7deb0436e358_ContentBits">
    <vt:lpwstr>0</vt:lpwstr>
  </property>
</Properties>
</file>