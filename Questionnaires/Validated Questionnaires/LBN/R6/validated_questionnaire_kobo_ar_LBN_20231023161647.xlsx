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LBN/R6/"/>
    </mc:Choice>
  </mc:AlternateContent>
  <xr:revisionPtr revIDLastSave="0" documentId="13_ncr:1_{6F4FB9D8-DF43-CA44-A0C8-98250BB97299}" xr6:coauthVersionLast="47" xr6:coauthVersionMax="47" xr10:uidLastSave="{00000000-0000-0000-0000-000000000000}"/>
  <bookViews>
    <workbookView xWindow="0" yWindow="500" windowWidth="33600" windowHeight="19580"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 r="E19" i="5"/>
  <c r="E18" i="5"/>
  <c r="E14" i="5"/>
  <c r="E13" i="5"/>
  <c r="E11" i="5"/>
  <c r="E9" i="5"/>
  <c r="E4" i="5"/>
  <c r="E3" i="5"/>
  <c r="Z300" i="1"/>
  <c r="Z297" i="1"/>
  <c r="Y297" i="1"/>
  <c r="Z296" i="1"/>
  <c r="Y296" i="1"/>
  <c r="Z295" i="1"/>
  <c r="Y295" i="1"/>
  <c r="Z294" i="1"/>
  <c r="Y294" i="1"/>
  <c r="Z293" i="1"/>
  <c r="Y293" i="1"/>
  <c r="Z292" i="1"/>
  <c r="Y292" i="1"/>
  <c r="Z291" i="1"/>
  <c r="Y291" i="1"/>
  <c r="Z290" i="1"/>
  <c r="Y290" i="1"/>
  <c r="Z289" i="1"/>
  <c r="Y289" i="1"/>
  <c r="Z288" i="1"/>
  <c r="Y288" i="1"/>
  <c r="Z287" i="1"/>
  <c r="Y287" i="1"/>
  <c r="Z286" i="1"/>
  <c r="Y286" i="1"/>
  <c r="Z285" i="1"/>
  <c r="Y285"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0" i="1"/>
  <c r="Y240" i="1"/>
  <c r="Z239" i="1"/>
  <c r="Y239" i="1"/>
  <c r="Z238" i="1"/>
  <c r="Y238" i="1"/>
  <c r="Z237" i="1"/>
  <c r="Y237" i="1"/>
  <c r="Z236" i="1"/>
  <c r="Y236" i="1"/>
  <c r="Z235" i="1"/>
  <c r="Y235" i="1"/>
  <c r="Z234" i="1"/>
  <c r="Y234" i="1"/>
  <c r="Z233"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Z219" i="1"/>
  <c r="Y219" i="1"/>
  <c r="Z218" i="1"/>
  <c r="Y218" i="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X205" i="1"/>
  <c r="X204" i="1"/>
  <c r="Z204" i="1" s="1"/>
  <c r="Z203" i="1"/>
  <c r="Y203" i="1"/>
  <c r="X203" i="1"/>
  <c r="Z202" i="1"/>
  <c r="Y202" i="1"/>
  <c r="X202" i="1"/>
  <c r="Z201" i="1"/>
  <c r="X201" i="1"/>
  <c r="Y201" i="1" s="1"/>
  <c r="Y200" i="1"/>
  <c r="X200" i="1"/>
  <c r="Z200" i="1" s="1"/>
  <c r="Z199" i="1"/>
  <c r="Y199" i="1"/>
  <c r="X199" i="1"/>
  <c r="Z198" i="1"/>
  <c r="Y198" i="1"/>
  <c r="X198" i="1"/>
  <c r="Z197" i="1"/>
  <c r="Y197" i="1"/>
  <c r="X197" i="1"/>
  <c r="Z196" i="1"/>
  <c r="Y196" i="1"/>
  <c r="X196" i="1"/>
  <c r="Z195" i="1"/>
  <c r="Y195" i="1"/>
  <c r="X195" i="1"/>
  <c r="Z194" i="1"/>
  <c r="Y194" i="1"/>
  <c r="Z193" i="1"/>
  <c r="Y193" i="1"/>
  <c r="Z192" i="1"/>
  <c r="Y192" i="1"/>
  <c r="X192" i="1"/>
  <c r="Z191" i="1"/>
  <c r="Y191" i="1"/>
  <c r="X191" i="1"/>
  <c r="Z190" i="1"/>
  <c r="Y190" i="1"/>
  <c r="X190" i="1"/>
  <c r="Z189" i="1"/>
  <c r="Y189" i="1"/>
  <c r="X189" i="1"/>
  <c r="Z188" i="1"/>
  <c r="Y188" i="1"/>
  <c r="X188" i="1"/>
  <c r="Y187" i="1"/>
  <c r="X187" i="1"/>
  <c r="Z187" i="1" s="1"/>
  <c r="Y186" i="1"/>
  <c r="X186" i="1"/>
  <c r="Z186" i="1" s="1"/>
  <c r="Z185" i="1"/>
  <c r="Y185" i="1"/>
  <c r="X185" i="1"/>
  <c r="Z184" i="1"/>
  <c r="Y184" i="1"/>
  <c r="X184" i="1"/>
  <c r="Z183" i="1"/>
  <c r="Y183" i="1"/>
  <c r="X183" i="1"/>
  <c r="X182" i="1"/>
  <c r="Z182" i="1" s="1"/>
  <c r="Z181" i="1"/>
  <c r="Y181" i="1"/>
  <c r="X181" i="1"/>
  <c r="X180" i="1"/>
  <c r="Z180" i="1" s="1"/>
  <c r="Z179" i="1"/>
  <c r="Y179" i="1"/>
  <c r="Z178" i="1"/>
  <c r="Y178" i="1"/>
  <c r="Z177" i="1"/>
  <c r="Y177" i="1"/>
  <c r="X177" i="1"/>
  <c r="X176" i="1"/>
  <c r="Z176" i="1" s="1"/>
  <c r="Z175" i="1"/>
  <c r="Y175" i="1"/>
  <c r="X175" i="1"/>
  <c r="X174" i="1"/>
  <c r="Z174" i="1" s="1"/>
  <c r="Z173" i="1"/>
  <c r="Y173" i="1"/>
  <c r="X173" i="1"/>
  <c r="Z172" i="1"/>
  <c r="Y172" i="1"/>
  <c r="X172" i="1"/>
  <c r="Z171" i="1"/>
  <c r="Y171" i="1"/>
  <c r="X171" i="1"/>
  <c r="Z170" i="1"/>
  <c r="Y170" i="1"/>
  <c r="X170" i="1"/>
  <c r="Z169" i="1"/>
  <c r="Y169" i="1"/>
  <c r="X169" i="1"/>
  <c r="Z168" i="1"/>
  <c r="Y168" i="1"/>
  <c r="Z167" i="1"/>
  <c r="Y167" i="1"/>
  <c r="Z165" i="1"/>
  <c r="Y165" i="1"/>
  <c r="Z160" i="1"/>
  <c r="X160" i="1"/>
  <c r="Y160" i="1" s="1"/>
  <c r="Z159" i="1"/>
  <c r="X159" i="1"/>
  <c r="Z158" i="1"/>
  <c r="Y158" i="1"/>
  <c r="Z157" i="1"/>
  <c r="Y157" i="1"/>
  <c r="X157" i="1"/>
  <c r="Z156" i="1"/>
  <c r="Y156" i="1"/>
  <c r="X156" i="1"/>
  <c r="Z155" i="1"/>
  <c r="Y155" i="1"/>
  <c r="X155" i="1"/>
  <c r="Z154" i="1"/>
  <c r="X154" i="1"/>
  <c r="Y154" i="1" s="1"/>
  <c r="Z153" i="1"/>
  <c r="Y153" i="1"/>
  <c r="X153" i="1"/>
  <c r="Z152" i="1"/>
  <c r="Y152" i="1"/>
  <c r="X152" i="1"/>
  <c r="Z151" i="1"/>
  <c r="Y151" i="1"/>
  <c r="X151" i="1"/>
  <c r="Z150" i="1"/>
  <c r="Y150" i="1"/>
  <c r="X150" i="1"/>
  <c r="Z149" i="1"/>
  <c r="Y149" i="1"/>
  <c r="X149" i="1"/>
  <c r="X148" i="1"/>
  <c r="Z148" i="1" s="1"/>
  <c r="Z147" i="1"/>
  <c r="Y147" i="1"/>
  <c r="X147" i="1"/>
  <c r="Z146" i="1"/>
  <c r="Y146" i="1"/>
  <c r="X146" i="1"/>
  <c r="Z145" i="1"/>
  <c r="Y145" i="1"/>
  <c r="X145" i="1"/>
  <c r="Z144" i="1"/>
  <c r="Y144" i="1"/>
  <c r="X144" i="1"/>
  <c r="X143" i="1"/>
  <c r="Z143" i="1" s="1"/>
  <c r="Z142" i="1"/>
  <c r="Y142" i="1"/>
  <c r="Z141" i="1"/>
  <c r="Y141" i="1"/>
  <c r="Z140" i="1"/>
  <c r="Y140" i="1"/>
  <c r="X140" i="1"/>
  <c r="Z139" i="1"/>
  <c r="Y139" i="1"/>
  <c r="X139" i="1"/>
  <c r="Z138" i="1"/>
  <c r="Y138" i="1"/>
  <c r="X138" i="1"/>
  <c r="X137" i="1"/>
  <c r="Z137" i="1" s="1"/>
  <c r="Z136" i="1"/>
  <c r="Y136" i="1"/>
  <c r="X136" i="1"/>
  <c r="X135" i="1"/>
  <c r="X134" i="1"/>
  <c r="X133" i="1"/>
  <c r="Y132" i="1"/>
  <c r="X132" i="1"/>
  <c r="Y131" i="1"/>
  <c r="X131" i="1"/>
  <c r="Z130" i="1"/>
  <c r="Y130" i="1"/>
  <c r="Z129" i="1"/>
  <c r="Y129" i="1"/>
  <c r="Z126" i="1"/>
  <c r="Y126" i="1"/>
  <c r="X126" i="1"/>
  <c r="Z124" i="1"/>
  <c r="X124" i="1"/>
  <c r="Z123" i="1"/>
  <c r="Y123" i="1"/>
  <c r="X123" i="1"/>
  <c r="Z122" i="1"/>
  <c r="Y122" i="1"/>
  <c r="X122" i="1"/>
  <c r="Z121" i="1"/>
  <c r="Y121" i="1"/>
  <c r="X121" i="1"/>
  <c r="Z120" i="1"/>
  <c r="X120" i="1"/>
  <c r="Y120" i="1" s="1"/>
  <c r="X119" i="1"/>
  <c r="Z119" i="1" s="1"/>
  <c r="Z118" i="1"/>
  <c r="Y118" i="1"/>
  <c r="X118" i="1"/>
  <c r="Y117" i="1"/>
  <c r="X117" i="1"/>
  <c r="Z117" i="1" s="1"/>
  <c r="Z116" i="1"/>
  <c r="Y116" i="1"/>
  <c r="X116" i="1"/>
  <c r="Z115" i="1"/>
  <c r="Y115" i="1"/>
  <c r="X115" i="1"/>
  <c r="Z114" i="1"/>
  <c r="Y114" i="1"/>
  <c r="X114" i="1"/>
  <c r="Z113" i="1"/>
  <c r="X113" i="1"/>
  <c r="Y113" i="1" s="1"/>
  <c r="Z112" i="1"/>
  <c r="Y112" i="1"/>
  <c r="X112" i="1"/>
  <c r="Z111" i="1"/>
  <c r="Y111" i="1"/>
  <c r="X111" i="1"/>
  <c r="Y110" i="1"/>
  <c r="X110" i="1"/>
  <c r="Z110" i="1" s="1"/>
  <c r="Z109" i="1"/>
  <c r="Y109" i="1"/>
  <c r="X109" i="1"/>
  <c r="Z108" i="1"/>
  <c r="Y108" i="1"/>
  <c r="X108" i="1"/>
  <c r="Z107" i="1"/>
  <c r="Y107" i="1"/>
  <c r="X107" i="1"/>
  <c r="Z106" i="1"/>
  <c r="Y106" i="1"/>
  <c r="X106" i="1"/>
  <c r="Z105" i="1"/>
  <c r="Y105" i="1"/>
  <c r="X105" i="1"/>
  <c r="Z104" i="1"/>
  <c r="X104" i="1"/>
  <c r="Y104" i="1" s="1"/>
  <c r="X103" i="1"/>
  <c r="Z103" i="1" s="1"/>
  <c r="Z102" i="1"/>
  <c r="Y102" i="1"/>
  <c r="X102" i="1"/>
  <c r="Y101" i="1"/>
  <c r="X101" i="1"/>
  <c r="Z101" i="1" s="1"/>
  <c r="Z100" i="1"/>
  <c r="Y100" i="1"/>
  <c r="Z99" i="1"/>
  <c r="Y99" i="1"/>
  <c r="Z98" i="1"/>
  <c r="Y98" i="1"/>
  <c r="X98" i="1"/>
  <c r="Z97" i="1"/>
  <c r="Y97" i="1"/>
  <c r="X97" i="1"/>
  <c r="Z96" i="1"/>
  <c r="Y96" i="1"/>
  <c r="X96" i="1"/>
  <c r="Z95" i="1"/>
  <c r="Y95" i="1"/>
  <c r="X95" i="1"/>
  <c r="Z94" i="1"/>
  <c r="X94" i="1"/>
  <c r="Y94" i="1" s="1"/>
  <c r="Z93" i="1"/>
  <c r="Y93" i="1"/>
  <c r="X93" i="1"/>
  <c r="Z90" i="1"/>
  <c r="Y90" i="1"/>
  <c r="X90" i="1"/>
  <c r="Z89" i="1"/>
  <c r="Y89" i="1"/>
  <c r="X89" i="1"/>
  <c r="X88" i="1"/>
  <c r="Z88" i="1" s="1"/>
  <c r="Z87" i="1"/>
  <c r="Y87" i="1"/>
  <c r="X87" i="1"/>
  <c r="Y86" i="1"/>
  <c r="X86" i="1"/>
  <c r="Z86" i="1" s="1"/>
  <c r="Z85" i="1"/>
  <c r="Y85" i="1"/>
  <c r="X85" i="1"/>
  <c r="Z84" i="1"/>
  <c r="Y84" i="1"/>
  <c r="X84" i="1"/>
  <c r="Z83" i="1"/>
  <c r="Y83" i="1"/>
  <c r="X83" i="1"/>
  <c r="Z82" i="1"/>
  <c r="Y82" i="1"/>
  <c r="X82" i="1"/>
  <c r="Z81" i="1"/>
  <c r="Y81" i="1"/>
  <c r="X81" i="1"/>
  <c r="Z78" i="1"/>
  <c r="Y78" i="1"/>
  <c r="X78" i="1"/>
  <c r="Z77" i="1"/>
  <c r="Y77" i="1"/>
  <c r="X77" i="1"/>
  <c r="Z76" i="1"/>
  <c r="Y76" i="1"/>
  <c r="X76" i="1"/>
  <c r="Y75" i="1"/>
  <c r="X75" i="1"/>
  <c r="Z75" i="1" s="1"/>
  <c r="Z74" i="1"/>
  <c r="Y74" i="1"/>
  <c r="X74" i="1"/>
  <c r="Z73" i="1"/>
  <c r="Y73" i="1"/>
  <c r="X73" i="1"/>
  <c r="X72" i="1"/>
  <c r="Z72" i="1" s="1"/>
  <c r="Z71" i="1"/>
  <c r="Y71" i="1"/>
  <c r="X71" i="1"/>
  <c r="X70" i="1"/>
  <c r="Z70" i="1" s="1"/>
  <c r="Z69" i="1"/>
  <c r="Y69" i="1"/>
  <c r="X69" i="1"/>
  <c r="Z65" i="1"/>
  <c r="Y65" i="1"/>
  <c r="X65" i="1"/>
  <c r="X64" i="1"/>
  <c r="Z64" i="1" s="1"/>
  <c r="Z63" i="1"/>
  <c r="Y63" i="1"/>
  <c r="X63" i="1"/>
  <c r="Z62" i="1"/>
  <c r="Y62" i="1"/>
  <c r="X62" i="1"/>
  <c r="Z61" i="1"/>
  <c r="Y61" i="1"/>
  <c r="X61" i="1"/>
  <c r="X60" i="1"/>
  <c r="Z60" i="1" s="1"/>
  <c r="Z59" i="1"/>
  <c r="Y59" i="1"/>
  <c r="X59" i="1"/>
  <c r="Z58" i="1"/>
  <c r="Y58" i="1"/>
  <c r="X58" i="1"/>
  <c r="Z57" i="1"/>
  <c r="Y57" i="1"/>
  <c r="X57" i="1"/>
  <c r="Z56" i="1"/>
  <c r="Y56" i="1"/>
  <c r="X56" i="1"/>
  <c r="Z55" i="1"/>
  <c r="Y55" i="1"/>
  <c r="Z53" i="1"/>
  <c r="Y53" i="1"/>
  <c r="Z52" i="1"/>
  <c r="X52" i="1"/>
  <c r="Y52" i="1" s="1"/>
  <c r="X51" i="1"/>
  <c r="Z51" i="1" s="1"/>
  <c r="Z50" i="1"/>
  <c r="Y50" i="1"/>
  <c r="X50" i="1"/>
  <c r="Y49" i="1"/>
  <c r="X49" i="1"/>
  <c r="Z49" i="1" s="1"/>
  <c r="Z48" i="1"/>
  <c r="Y48" i="1"/>
  <c r="X48" i="1"/>
  <c r="Z47" i="1"/>
  <c r="Y47" i="1"/>
  <c r="X47" i="1"/>
  <c r="Z45" i="1"/>
  <c r="Y45" i="1"/>
  <c r="X45" i="1"/>
  <c r="Z44" i="1"/>
  <c r="Y44" i="1"/>
  <c r="Z43" i="1"/>
  <c r="Y43" i="1"/>
  <c r="Z38" i="1"/>
  <c r="Y38" i="1"/>
  <c r="Z37" i="1"/>
  <c r="Y37" i="1"/>
  <c r="X37" i="1"/>
  <c r="Z36" i="1"/>
  <c r="Y36" i="1"/>
  <c r="X36" i="1"/>
  <c r="Z35" i="1"/>
  <c r="Y35" i="1"/>
  <c r="X35" i="1"/>
  <c r="Z34" i="1"/>
  <c r="Y34" i="1"/>
  <c r="X34" i="1"/>
  <c r="Z33" i="1"/>
  <c r="Y33" i="1"/>
  <c r="X33" i="1"/>
  <c r="Z32" i="1"/>
  <c r="Y32" i="1"/>
  <c r="X32" i="1"/>
  <c r="Z31" i="1"/>
  <c r="X31" i="1"/>
  <c r="Y31" i="1" s="1"/>
  <c r="Z30" i="1"/>
  <c r="Y30" i="1"/>
  <c r="X30" i="1"/>
  <c r="Z29" i="1"/>
  <c r="X29" i="1"/>
  <c r="Y29" i="1" s="1"/>
  <c r="Z28" i="1"/>
  <c r="Y28" i="1"/>
  <c r="X28" i="1"/>
  <c r="X27" i="1"/>
  <c r="Z27" i="1" s="1"/>
  <c r="Z26" i="1"/>
  <c r="Y26" i="1"/>
  <c r="X26" i="1"/>
  <c r="Z25" i="1"/>
  <c r="Y25" i="1"/>
  <c r="X25" i="1"/>
  <c r="X24" i="1"/>
  <c r="Z24" i="1" s="1"/>
  <c r="Z23" i="1"/>
  <c r="Y23" i="1"/>
  <c r="Z22" i="1"/>
  <c r="Y22" i="1"/>
  <c r="Z18" i="1"/>
  <c r="Y18" i="1"/>
  <c r="Z17" i="1"/>
  <c r="Y17" i="1"/>
  <c r="X17" i="1"/>
  <c r="Z16" i="1"/>
  <c r="Y16" i="1"/>
  <c r="Z11" i="1"/>
  <c r="Y11" i="1"/>
  <c r="Z10" i="1"/>
  <c r="Y10" i="1"/>
  <c r="AA9" i="1"/>
  <c r="Z9" i="1"/>
  <c r="Y9" i="1"/>
  <c r="Z5" i="1"/>
  <c r="Y5" i="1"/>
  <c r="Z4" i="1"/>
  <c r="Y4" i="1"/>
  <c r="Z3" i="1"/>
  <c r="Y3" i="1"/>
  <c r="Z2" i="1"/>
  <c r="Y2" i="1"/>
  <c r="Z307" i="1" l="1"/>
  <c r="Y60" i="1"/>
  <c r="Y103" i="1"/>
  <c r="Y119" i="1"/>
  <c r="Y27" i="1"/>
  <c r="Y70" i="1"/>
  <c r="Y88" i="1"/>
  <c r="Y174" i="1"/>
  <c r="Y180" i="1"/>
  <c r="Y51" i="1"/>
  <c r="Y24" i="1"/>
  <c r="Y307" i="1" s="1"/>
  <c r="Y72" i="1"/>
  <c r="Y148" i="1"/>
  <c r="Y176" i="1"/>
  <c r="Y182" i="1"/>
  <c r="Y204" i="1"/>
  <c r="Y64" i="1"/>
  <c r="Y137" i="1"/>
  <c r="Y143" i="1"/>
</calcChain>
</file>

<file path=xl/sharedStrings.xml><?xml version="1.0" encoding="utf-8"?>
<sst xmlns="http://schemas.openxmlformats.org/spreadsheetml/2006/main" count="5088" uniqueCount="2307">
  <si>
    <t>type</t>
  </si>
  <si>
    <t>name</t>
  </si>
  <si>
    <t>label::English (en)</t>
  </si>
  <si>
    <t>label::Arabic (ar)</t>
  </si>
  <si>
    <t>label::</t>
  </si>
  <si>
    <t>hint::English (en)</t>
  </si>
  <si>
    <t>hint::Arabic (ar)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</si>
  <si>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</si>
  <si>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</si>
  <si>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</si>
  <si>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</si>
  <si>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</si>
  <si>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</si>
  <si>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</si>
  <si>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</si>
  <si>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</si>
  <si>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</si>
  <si>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</si>
  <si>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</si>
  <si>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</si>
  <si>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</si>
  <si>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</si>
  <si>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</si>
  <si>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</si>
  <si>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</si>
  <si>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</si>
  <si>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</si>
  <si>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</si>
  <si>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</si>
  <si>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</si>
  <si>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</si>
  <si>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</si>
  <si>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text</t>
  </si>
  <si>
    <t>o_enumerator_otherspecify</t>
  </si>
  <si>
    <t>If other, specify.</t>
  </si>
  <si>
    <t>إذا كانت الإجابة "غير ذلك"، حدد.</t>
  </si>
  <si>
    <t>[OPERATOR: RECORD THE OPEN RESPONSE GIVEN IN FEW WORDS. ENTER 888 FOR DON'T KNOW AND 999 FOR REFUSED]</t>
  </si>
  <si>
    <t>[المُشغل: سجل في بضع كلمات الاستجابة المفتوحة المعطاة . أدخل 888 للا أعرف و 999 في حالة الرفض.]</t>
  </si>
  <si>
    <t>true</t>
  </si>
  <si>
    <t>selected(${enumerator}, 'other')</t>
  </si>
  <si>
    <t>yes</t>
  </si>
  <si>
    <t>select_one enumerator</t>
  </si>
  <si>
    <t>enumerator</t>
  </si>
  <si>
    <t>Name of enumerator</t>
  </si>
  <si>
    <t>اسم جامع البيانات</t>
  </si>
  <si>
    <t>enumerator_</t>
  </si>
  <si>
    <t>jr:choice-name(${enumerator},'${enumerator}')</t>
  </si>
  <si>
    <t>phone_number</t>
  </si>
  <si>
    <t>Input the phone number that you are contacting:</t>
  </si>
  <si>
    <t>أدخل رقم الهاتف الذي تتصل به:</t>
  </si>
  <si>
    <t>use the format XXXXXXXX</t>
  </si>
  <si>
    <t>إستخدم التنسيق التالي  XXXXXXXX</t>
  </si>
  <si>
    <t>numbers</t>
  </si>
  <si>
    <t>regex(.,’^[0-9]{8}$’)</t>
  </si>
  <si>
    <t>Please enter the telephone number in the correct format.</t>
  </si>
  <si>
    <t>o_HI</t>
  </si>
  <si>
    <t>Please insert the HI number</t>
  </si>
  <si>
    <t>الرجاء إدخال الرقم التسلسلي</t>
  </si>
  <si>
    <t>regex(.,’^[0-9]{1,4}$’)</t>
  </si>
  <si>
    <t>Please enter the HI number (at least one digit and maximum 4 digits)</t>
  </si>
  <si>
    <t>select_one calldispo</t>
  </si>
  <si>
    <t>calldispo</t>
  </si>
  <si>
    <t>Call status:</t>
  </si>
  <si>
    <t xml:space="preserve">حالة المكالمة: </t>
  </si>
  <si>
    <t>begin_group</t>
  </si>
  <si>
    <t>callstat</t>
  </si>
  <si>
    <t>${calldispo} = '1'</t>
  </si>
  <si>
    <t>note</t>
  </si>
  <si>
    <t>introduction</t>
  </si>
  <si>
    <t>Hello sir/ma'am, my name is ${enumerator_} and I am calling on behalf of the humanitarian organization called Food and Agriculture Organization of the United Nations (FAO), we are conducting a survey on households' ability to access food in your area and the impact of economic shocks and other shocks. I would like to ask you some questions about your household.
The survey usually takes 20 minutes to complete. Any information that you provide will be kept strictly confidential, only used for the purpose of the survey and will not be shown to other people. No personal identifying information will be collected.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</si>
  <si>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مرحبًا سيدي / سيدتي ، اسمي ${enumerator_}. اتصل بك نيابة عن منظمة إنسانية تسمى منظمة الأغذية والزراعة للأمم المتحدة (الفاو). نجري دراسة استقصائية حول قدرة الأسر على الوصول إلى الغذاء في منطقتك و تأثير الصدمات الاقتصادية والصدمات الأخرى. أود أن أطرح عليك بعض الأسئلة حول أسرتك.
يستغرق الاستبيان عادةً 20 دقيقة. سيتم الاحتفاظ بسرية تامة بأي معلومات تقدمها ، ولن يتم استخدامها إلا لغرض الدراسة ولن يتم عرضها لأشخاص آخرين. لن يتم جمع أي معلومات تعريف شخصية.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</si>
  <si>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[INSTRUCTIONS: ADDRESS QUESTIONS FROM RESPONDENT, IF ANY.]</t>
  </si>
  <si>
    <t>[تعليمات: أجب عن أسئلة المُجيب ، إن وجدت]</t>
  </si>
  <si>
    <t>false</t>
  </si>
  <si>
    <t>no</t>
  </si>
  <si>
    <t>select_one yesno</t>
  </si>
  <si>
    <t>resp_agree</t>
  </si>
  <si>
    <t>Are you interested in participating in this survey?</t>
  </si>
  <si>
    <t>هل لديك رغبة في بالمشاركة في هذه الدراسة؟</t>
  </si>
  <si>
    <t>Refusal</t>
  </si>
  <si>
    <t>Thank you for your time, you will be removed from today's survey.</t>
  </si>
  <si>
    <t>شكراً جزيلاً على وقتك، سنقوم بحذف إسمك من دراسة اليوم.</t>
  </si>
  <si>
    <t>${resp_agree} = '2'</t>
  </si>
  <si>
    <t>datetime</t>
  </si>
  <si>
    <t>WhenCallBack</t>
  </si>
  <si>
    <t>When would it be a good time to call you back?</t>
  </si>
  <si>
    <t>ما هو الوقت المناسب لمعاودة الاتصال بك؟</t>
  </si>
  <si>
    <t>[RECORD HH/MM/DD/MM OF CALLBACK]</t>
  </si>
  <si>
    <t>[سجل الساعة / الدقيقة / التاريخ / الشهر لمعاودة الاتصال]</t>
  </si>
  <si>
    <t>${resp_agree} = '3'</t>
  </si>
  <si>
    <t>CallbackMessageEN</t>
  </si>
  <si>
    <t>Thank you, we will call you back at the time and date requested. Thank you again and have a great day!</t>
  </si>
  <si>
    <t>شكرًا لك ، سنعاود الاتصال بك في الوقت والتاريخ اللذين اقترحتهما. شكرا لك مرة أخرى، طاب يومك!</t>
  </si>
  <si>
    <t>[OPERATOR: ENTER CALL NOTES BELOW, WHO YOU SPOKE TO AND WHAT THEY SAID]</t>
  </si>
  <si>
    <t>[المُشغل: أدخل الملاحظات من المكالمة أدناه ، مع من تحدثت وماذا قالوا]</t>
  </si>
  <si>
    <t>end_group</t>
  </si>
  <si>
    <t>eligibility</t>
  </si>
  <si>
    <t>ELIGIBILITY CRITERIA</t>
  </si>
  <si>
    <t>معايير الأهلية</t>
  </si>
  <si>
    <t>${resp_agree} = '1'</t>
  </si>
  <si>
    <t>resp_firstname</t>
  </si>
  <si>
    <t>What is your first name?</t>
  </si>
  <si>
    <t>ما اسمك؟</t>
  </si>
  <si>
    <t>[INSTRUCTIONS: RECORD THE RESPONDENT'S FIRST NAME. ENTER 999 FOR REFUSED]</t>
  </si>
  <si>
    <t>[تعليمات: سجل اسم المجيب. أدخل 999 في حالة الرفض]</t>
  </si>
  <si>
    <t>resp_lastname</t>
  </si>
  <si>
    <t>What is your last name?</t>
  </si>
  <si>
    <t>ما هو اسم عائلتك؟</t>
  </si>
  <si>
    <t>[INSTRUCTIONS: RECORD THE RESPONDENT'S LAST NAME. ENTER 999 FOR REFUSED]</t>
  </si>
  <si>
    <t>[تعليمات: سجل اسم عائلة المجيب. أدخل 999 في حالة الرفض]</t>
  </si>
  <si>
    <t>integer</t>
  </si>
  <si>
    <t>resp_age</t>
  </si>
  <si>
    <t>How old are you?</t>
  </si>
  <si>
    <t>كم عمرك؟</t>
  </si>
  <si>
    <t>[INSTRUCTIONS: RECORD AGE IN NUMBER OF YEARS. ROUND UP TO NEAREST WHOLE NUMBER. IF THE RESPONDENT GIVES BIRTH YEAR, REPEAT THE QUESTION. ENTER 888 FOR DON'T KNOW.]</t>
  </si>
  <si>
    <t>[تعليمات: سجل العمر في عدد السنوات. قم بالتقريب لأقرب رقم كامل. إذا أعطى المجيب سنة الميلاد ، فكرر السؤال. أدخل 888 إذا كان الجواب لا أعرف]</t>
  </si>
  <si>
    <t>(. &gt;= 18 and . &lt;= 100) or . = 888</t>
  </si>
  <si>
    <t>select_one gender</t>
  </si>
  <si>
    <t>resp_gender</t>
  </si>
  <si>
    <t>What is the gender of the respondent?</t>
  </si>
  <si>
    <t>ما هو جنس المجيب؟</t>
  </si>
  <si>
    <t>[INSTRUCTIONS: DO NOT ASK THIS QUESTION OUT LOUD. SELECT THE GENDER OF THE RESPONDENT.]</t>
  </si>
  <si>
    <t>[تعليمات: لا تطرح هذا السؤال. حدد جنس المجيب]</t>
  </si>
  <si>
    <t>phone_number_personal</t>
  </si>
  <si>
    <t>What is your phone number?</t>
  </si>
  <si>
    <t>ما هو رقم هاتفك؟</t>
  </si>
  <si>
    <t>Please enter the telephone number in the correct format, e.g. xxxxxxxx</t>
  </si>
  <si>
    <t>yes - panel</t>
  </si>
  <si>
    <t>select_one admin1</t>
  </si>
  <si>
    <t>adm1_pcode</t>
  </si>
  <si>
    <t>Currently, in which Governorate does your household reside?</t>
  </si>
  <si>
    <t>حاليًا ، في أي محافظة تقيم أسرتك؟</t>
  </si>
  <si>
    <t>[HINT: HOUSEHOLD CONSISTS OF ALL MEMBERS LIVING TOGETHER, SHARING RESOURCES &amp; EATING FROM THE SAME POT.]</t>
  </si>
  <si>
    <t>[ملحوظة: تتكون الأسرة من جميع الأعضاء الذين يعيشون معًا ، ويتشاركون الموارد ويأكلون من نفس القدر]</t>
  </si>
  <si>
    <t>autocomplete</t>
  </si>
  <si>
    <t>adm1_name</t>
  </si>
  <si>
    <t>jr:choice-name(${adm1_pcode},'${adm1_pcode}')</t>
  </si>
  <si>
    <t>select_one admin2</t>
  </si>
  <si>
    <t xml:space="preserve">adm2_pcode </t>
  </si>
  <si>
    <t>Currently, in which District does your household reside?</t>
  </si>
  <si>
    <t>حاليًا ، في أي قضاء تقيم أسرتك؟</t>
  </si>
  <si>
    <t>my_filter_admin=${adm1_pcode}</t>
  </si>
  <si>
    <t>adm2_name</t>
  </si>
  <si>
    <t>jr:choice-name(${adm2_pcode},'${adm2_pcode}')</t>
  </si>
  <si>
    <t>select_one agricactivity</t>
  </si>
  <si>
    <t>hh_agricactivity</t>
  </si>
  <si>
    <t>Has anybody in your household produced crops or livestock for household consumption or for sale in the past 12 months, including household members currently away for transhumance?</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</si>
  <si>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</si>
  <si>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</si>
  <si>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</si>
  <si>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select_multiple sustainable_agripractices</t>
  </si>
  <si>
    <t>o_sustainable_agripractices</t>
  </si>
  <si>
    <t>What type of agricultural practices is your household using?</t>
  </si>
  <si>
    <t>ما نوع الممارسات الزراعية التي تعتمدها أسرتك؟</t>
  </si>
  <si>
    <t xml:space="preserve">[INSTRUCTIONS: MULTIPLE RESPONSES POSSIBLE. SELECT OPTION(S) THAT BEST FIT THE INFORMATION PROVIDED BY THE RESPONDENTS.] </t>
  </si>
  <si>
    <t>[المُشغل: عدة استجابات محتملة. حدد الخيار (الخيارات) الأنسب للمعلومات .المقدمة من المجيب.]).</t>
  </si>
  <si>
    <t>${hh_agricactivity}='1' or ${hh_agricactivity}='2' or ${hh_agricactivity}='3'</t>
  </si>
  <si>
    <t>select_one yes_no</t>
  </si>
  <si>
    <t>o_cooperative_association</t>
  </si>
  <si>
    <t>Are you a member of an agricultural cooperative and/or association?</t>
  </si>
  <si>
    <t>هل أنت عضو في تعاونية و / أو جمعية زراعية؟</t>
  </si>
  <si>
    <t>[OPERATOR: SINGLE RESPONSE.]</t>
  </si>
  <si>
    <t>[المشغل: استجابة واحدة.]</t>
  </si>
  <si>
    <t>select_one hh_agric_checktime</t>
  </si>
  <si>
    <t>o_hh_agric_checktime</t>
  </si>
  <si>
    <t>For how long has your household stopped agricultural activities?</t>
  </si>
  <si>
    <t>منذ متى توقفت أسرتك عن الأنشطة الزراعية؟</t>
  </si>
  <si>
    <t>[INSTRUCTIONS: SINGLE RESPONSE.]</t>
  </si>
  <si>
    <t>${hh_agricactivity}='4'</t>
  </si>
  <si>
    <t>o_hh_agric_stopped</t>
  </si>
  <si>
    <t>Are you willing to resume agricultural activity ?</t>
  </si>
  <si>
    <t>هل تنوي استئناف النشاط الزراعي؟</t>
  </si>
  <si>
    <t xml:space="preserve">${hh_agricactivity}='4' </t>
  </si>
  <si>
    <t>select_one hh_agric_checkresume</t>
  </si>
  <si>
    <t>o_hh_agric_checkresume</t>
  </si>
  <si>
    <t>When is your household going to resume agricultural activities?</t>
  </si>
  <si>
    <t>متى ستستأنف أسرتك الأنشطة الزراعية؟</t>
  </si>
  <si>
    <t>${hh_agricactivity}='4' and ${o_hh_agric_stopped}='1'</t>
  </si>
  <si>
    <t>generalInfo</t>
  </si>
  <si>
    <t>GENERAL INFORMATION</t>
  </si>
  <si>
    <t>معلومات عامة</t>
  </si>
  <si>
    <t>${resp_agree} = '1' and ${hh_agricactivity} != '5' and ${hh_agricactivity} != '6'</t>
  </si>
  <si>
    <t>resp_id</t>
  </si>
  <si>
    <t>Are you the head of household?</t>
  </si>
  <si>
    <t>هل أنت رب الأسرة ؟</t>
  </si>
  <si>
    <t>hh_gender</t>
  </si>
  <si>
    <t xml:space="preserve">Is the head of your household male or female? </t>
  </si>
  <si>
    <t>هل رب أسرتك ذكر أم أنثى؟</t>
  </si>
  <si>
    <t>${resp_id} != '1'</t>
  </si>
  <si>
    <t>select_one edu</t>
  </si>
  <si>
    <t>hh_education</t>
  </si>
  <si>
    <t xml:space="preserve">What is the educational level attained by the head of household? </t>
  </si>
  <si>
    <t>ما هو المستوى التعليمي الذي وصل إليه رب الأسرة؟</t>
  </si>
  <si>
    <t>select_one water</t>
  </si>
  <si>
    <t>hh_wealth_water</t>
  </si>
  <si>
    <t>Where does the water that you drink at home come from?</t>
  </si>
  <si>
    <t>من أين تأتي المياه التي تشربونها في المنزل؟</t>
  </si>
  <si>
    <t>hh_size</t>
  </si>
  <si>
    <t>How many people are part of the household?</t>
  </si>
  <si>
    <t>كم عدد الأشخاص الذين هم جزء من الأسرة؟</t>
  </si>
  <si>
    <t>[INSTRUCTIONS: RECORD NUMBER OF MEMBERS IN HOUSEHOLD. ENTER 888 FOR DON'T KNOW &amp; 999 FOR REFUSED.]
[HINT: TO BE A PART OF THE SAME HOUSEHOLD, MEMBERS MUST LIVE UNDER THE SAME ROOF, SHARE THE SAME RESOURCES &amp; EAT FROM THE SAME POT.]</t>
  </si>
  <si>
    <t>[تعليمات: سجل عدد أعضاء الأسرة. أدخل 888 للا أعرف و 999 في حالة الرفض]
[ملحوظة: لكي يكونوا جزءًا من نفس الأسرة، يجب أن يكون جميع الاعضاء يعيشون تحت سقف منزل واحد، و يتشاركون نفس الموارد و يأكلون من نفس القدر]</t>
  </si>
  <si>
    <t xml:space="preserve">(. &gt;= 1 and . &lt;= 50) or . = 888 or . = 999 </t>
  </si>
  <si>
    <t>o_hh_agrigender</t>
  </si>
  <si>
    <t>Are females of the household also engaged in the agricultural-related activities of the household?</t>
  </si>
  <si>
    <t>هل تعمل نساء الأسرة أيضًا في الانشطة الزراعية؟</t>
  </si>
  <si>
    <t>select_multiple femaleagricactivity</t>
  </si>
  <si>
    <t>o_femaleagricactivity</t>
  </si>
  <si>
    <t>What types of agricultural activities are females contributing
to in the agricultural household?</t>
  </si>
  <si>
    <t xml:space="preserve"> ما هي أنواع الأنشطة الزراعية التي تساهم بها النساء في اسرتك الزراعية؟</t>
  </si>
  <si>
    <t>[INSTRUCTIONS: MULTIPLE RESPONSES POSSIBLE. SELECT OPTION(S) THAT BEST FIT THE INFORMATION PROVIDED BY THE RESPONDENTS.]</t>
  </si>
  <si>
    <t>[المُشغل: عدة استجابات محتملة. حدد الخيار (الخيارات) الأنسب للمعلومات المقدمة من المجيب.]</t>
  </si>
  <si>
    <t xml:space="preserve">${o_hh_agrigender} = 1 </t>
  </si>
  <si>
    <t>o_femaleagricactivity_otherspecify</t>
  </si>
  <si>
    <t>إذا كانت الإجابة "آخر"، حدد.</t>
  </si>
  <si>
    <t>[INSTRUCTIONS: RECORD THE OPEN RESPONSE GIVEN IN FEW WORDS. ENTER 888 FOR DON'T KNOW AND 999 FOR REFUSED]</t>
  </si>
  <si>
    <t xml:space="preserve">selected(${o_femaleagricactivity}, 'other') </t>
  </si>
  <si>
    <t>Income_Shocks_group</t>
  </si>
  <si>
    <t>INCOME SOURCES, LIVELIHOODS AND SHOCKS</t>
  </si>
  <si>
    <t>مصادر الدخل وسبل العيش والصدمات</t>
  </si>
  <si>
    <t>select_one incomesource1</t>
  </si>
  <si>
    <t>income_main</t>
  </si>
  <si>
    <t>What was your household's main source of income in the past 3 months?</t>
  </si>
  <si>
    <t>ما كان مصدر الدخل الرئيسي لأسرتك في الأشهر الثلاثة الماضية؟</t>
  </si>
  <si>
    <t>[INSTRUCTIONS: REFUSED OPTIONS SHOULD BE AVOIDED AS MUCH AS POSSIBLE.]</t>
  </si>
  <si>
    <t>[تعليمات: يجب تجنب الخيار "رفض الإجابة" قدر الإمكان]</t>
  </si>
  <si>
    <t>minimal</t>
  </si>
  <si>
    <t>incomemain</t>
  </si>
  <si>
    <t>jr:choice-name(${income_main},'${income_main}')</t>
  </si>
  <si>
    <t>income_main_crop_check</t>
  </si>
  <si>
    <t xml:space="preserve">Are the crops sold also produced by you or anyone in your household? </t>
  </si>
  <si>
    <t>هل تم إنتاج المحاصيل التي تبيعها أنت أو أي شخص في منزلك أيضًا؟</t>
  </si>
  <si>
    <t xml:space="preserve">${income_main} = '1' or ${income_main} = '2' or ${income_main} = '3' </t>
  </si>
  <si>
    <t>income_main_ls_check</t>
  </si>
  <si>
    <t xml:space="preserve">Are the livestock or livestock products sold also produced by you or anyone in your household? </t>
  </si>
  <si>
    <t>هل تم إنتاج المواشي ومنتجاتها التي تبيعها أنت أو أي شخص في منزلك أيضًا؟</t>
  </si>
  <si>
    <t>${income_main} = '4'</t>
  </si>
  <si>
    <t>income_main_fish_check</t>
  </si>
  <si>
    <t>Are the fish or aquatic products sold also captured/harvested by you or anyone in your household?</t>
  </si>
  <si>
    <t>هل الأسماك أو المنتجات المائية التي تُباع تم أيضًا صيدها أو جمعها بواسطتك أو أي شخص في منزلك؟</t>
  </si>
  <si>
    <t>${income_main} = '6'</t>
  </si>
  <si>
    <t>select_one gender_inc_1</t>
  </si>
  <si>
    <t>income_main_gender</t>
  </si>
  <si>
    <t xml:space="preserve">What is the gender of the household member(s) generating income from this source? </t>
  </si>
  <si>
    <t xml:space="preserve">ما هو جنس الفرد ( الأفراد ) داخل الاسرة الذين يحصلون علي الدخل من هذا المصدر ؟ </t>
  </si>
  <si>
    <t>${income_main} != '19' and ${income_main} != '20'</t>
  </si>
  <si>
    <t>select_one gender_inc_2</t>
  </si>
  <si>
    <t>income_main_control</t>
  </si>
  <si>
    <t xml:space="preserve">Who controls the revenue that is earned from this source? </t>
  </si>
  <si>
    <t>من المتحكم فى الدخل الذي تكسبه الاسرة من هذا المصدر ؟</t>
  </si>
  <si>
    <t>select_one change</t>
  </si>
  <si>
    <t>income_main_comp</t>
  </si>
  <si>
    <t>[HINT: COMPARISON IN DOLLAR TERMS BY REFERRING TO LAST YEAR.]
[OPERATOR: SINGLE RESPONSE.]</t>
  </si>
  <si>
    <t>[ملحوظة: المقارنة بالدولار  بالرجوع إلى .العام الماضي]
[المشغل: استجابة واحدة.]</t>
  </si>
  <si>
    <t>select_one incomesource2</t>
  </si>
  <si>
    <t>income_sec</t>
  </si>
  <si>
    <t>What was your household's second most important source of income in the past 3 months?</t>
  </si>
  <si>
    <t>ما هو ثاني أهم مصدر دخل لأسرتك فى الثلاثة أشهر الماضية ؟</t>
  </si>
  <si>
    <t>[INSTRUCTIONS: DON'T KNOW AND REFUSED OPTIONS SHOULD BE AVOIDED AS MUCH AS POSSIBLE.]</t>
  </si>
  <si>
    <t>[تعليمات: يجب تجنب خيارات الإجابة "لا أعرف" و "رفض الإجابة" قدر الإمكان]</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</si>
  <si>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</si>
  <si>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</si>
  <si>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</si>
  <si>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</si>
  <si>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</si>
  <si>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</si>
  <si>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</si>
  <si>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</si>
  <si>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</si>
  <si>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income_sec_gender</t>
  </si>
  <si>
    <t xml:space="preserve">${income_main} != '19' and ${income_main} != '20' and ${income_sec} != '19' and ${income_sec} != '20' and ${income_sec} != '21' </t>
  </si>
  <si>
    <t>income_sec_control</t>
  </si>
  <si>
    <t>income_sec_comp</t>
  </si>
  <si>
    <t>select_one incomesource3</t>
  </si>
  <si>
    <t>income_third</t>
  </si>
  <si>
    <t>What was your household's third most important source of income in the past 3 months?</t>
  </si>
  <si>
    <t>ما هو ثالث أهم مصدر دخل لأسرتك فى الثلاثة أشهر الماضية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</si>
  <si>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</si>
  <si>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</si>
  <si>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</si>
  <si>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</si>
  <si>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</si>
  <si>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</si>
  <si>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</si>
  <si>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</si>
  <si>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</si>
  <si>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income_third_gender</t>
  </si>
  <si>
    <t xml:space="preserve">${income_main} != '19' and ${income_main} != '20' and ${income_sec} != '19' and ${income_sec} != '20' and ${income_sec} != '21' and ${income_third} != '19' and ${income_third} != '20' and ${income_third} != '21' </t>
  </si>
  <si>
    <t>income_third_control</t>
  </si>
  <si>
    <t>income_third_comp</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</si>
  <si>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</si>
  <si>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</si>
  <si>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</si>
  <si>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</si>
  <si>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[INSTRUCTIONS: SELECT RELEVANT SHOCKS EXPERIENCED BY THE HOUSEHOLD. MULTIPLE RESPONSES POSSIBLE. REFER TO ECONOMIC SHOCKS, CROP AND LIVESTOCK SHOCKS, INTRA-HOUSEHOLD SHOCK, NATURAL HAZARDS AND HUMAN-INDUCED HAZARDS.]</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</si>
  <si>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</si>
  <si>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if(selected(.,'noshock') or selected(.,'dk') or selected(.,'ref'), count-selected(.) = 1, count-selected(.) &gt;= 1)</t>
  </si>
  <si>
    <t>CropProduction_group</t>
  </si>
  <si>
    <t>CROP PRODUCTION</t>
  </si>
  <si>
    <t>إنتاج المحاصيل</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</si>
  <si>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</si>
  <si>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</si>
  <si>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Current season.</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</si>
  <si>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 </t>
  </si>
  <si>
    <t>decimal</t>
  </si>
  <si>
    <t>crp_landsize_num</t>
  </si>
  <si>
    <t>What is the total size of the land you can cultivate?</t>
  </si>
  <si>
    <t>ما هو الحجم الإجمالي للأرض التي يمكنك زراعتها؟</t>
  </si>
  <si>
    <t>[INSTRUCTIONS: RECORD THE TOTAL LAND SIZE PROVIDED BY THE RESPONDENT. WRITE 888 FOR DON'T KNOW AND 999 FOR REFUSED. MEASUREMENT UNIT WILL BE SPECIFIED IN THE FOLLOWING QUESTION.]</t>
  </si>
  <si>
    <t>[تعليمات: سجل إجمالي حجم الأرض الذي ذكره المجيب. اكتب 888 للا أعرف و 999 في حالة الرفض. سيتم تحديد وحدة القياس في السؤال التالي]</t>
  </si>
  <si>
    <t>. &gt;= 0</t>
  </si>
  <si>
    <t>select_one landsize_unit</t>
  </si>
  <si>
    <t>crp_landsize_unit</t>
  </si>
  <si>
    <t xml:space="preserve">Unit of measurement for land size: </t>
  </si>
  <si>
    <t>وحدة قياس مساحة الارض:</t>
  </si>
  <si>
    <t>[INSTRUCTIONS: DO NOT READ QUESTION. SELECT UNIT OF MEASUREMENT IN WHICH LAND SIZE WAS PROVIDED.]</t>
  </si>
  <si>
    <t>[تعليمات: لا تقرأ السؤال. حدد وحدة القياس لمساحة الأرض]</t>
  </si>
  <si>
    <t>${crp_landsize_num} != 888 and ${crp_landsize_num} != 999</t>
  </si>
  <si>
    <t>select_one crop</t>
  </si>
  <si>
    <t>crp_main</t>
  </si>
  <si>
    <t>What is the main crop that your household grows for food or income generation in Current season, if any?</t>
  </si>
  <si>
    <t>ما هو المحصول الرئيسي الذي تزرعه أسرتك من أجل الغذاء وتوليد الدخل في موسم الموسم
 الحالي  ، إن وجد؟</t>
  </si>
  <si>
    <t>[INSTRUCTIONS: "NO CROP PRODUCTION" APPEARS AT THE END OF THE LIST OF OPTIONS.]</t>
  </si>
  <si>
    <t>[تعليمات: "لا إنتاج للمحصول" في آخر الخيارات في النهاية]</t>
  </si>
  <si>
    <t>crpmain</t>
  </si>
  <si>
    <t>jr:choice-name(${crp_main},'${crp_main}')</t>
  </si>
  <si>
    <t>select_one cropcheck</t>
  </si>
  <si>
    <t>crp_main_check</t>
  </si>
  <si>
    <t>Why did you not produce any crops in Current season?</t>
  </si>
  <si>
    <t>لماذا لم تنتج أي محاصيل في الموسم
 الحالي ؟</t>
  </si>
  <si>
    <t>${crp_main}='777'</t>
  </si>
  <si>
    <t>select_one irrigation</t>
  </si>
  <si>
    <t>crp_irrig_source</t>
  </si>
  <si>
    <t xml:space="preserve">Where do you normally and mainly obtain water for the production of ${crpmain}? </t>
  </si>
  <si>
    <t>كيف  تحصل عادة على الماء لري ${crpmain} بشكل رئيسي؟</t>
  </si>
  <si>
    <t>${crp_main} != '777' and ${crp_main} != '888' and ${crp_main} != '999'</t>
  </si>
  <si>
    <t>crp_irrig_source_otherspecify</t>
  </si>
  <si>
    <t>[تعليمات: سجل في بضع كلمات الاستجابة المفتوحة المعطاة . أدخل 888 للا أعرف و 999 في حالة الرفض]</t>
  </si>
  <si>
    <t>${crp_irrig_source}='6' and (${crp_main} != '777' and ${crp_main} != '888' and ${crp_main} != '999')</t>
  </si>
  <si>
    <t xml:space="preserve">select_multiple seedsupply </t>
  </si>
  <si>
    <t>crp_seed</t>
  </si>
  <si>
    <t xml:space="preserve">Who do you normally procure your seeds from? </t>
  </si>
  <si>
    <t>من أين تحصل عادة على البذور؟</t>
  </si>
  <si>
    <t>[INSTRUCTIONS: MULTIPLE RESPONSES POSSIBLE.]</t>
  </si>
  <si>
    <t>[تعليمات: احتمال وجود عدة استجابات]</t>
  </si>
  <si>
    <t>if(selected(., 'ref') or selected(., 'dk'), count-selected(.) = 1, count-selected(.) &gt;= 1)</t>
  </si>
  <si>
    <t>crp_area_change</t>
  </si>
  <si>
    <t>crp_harv_change</t>
  </si>
  <si>
    <t>crp_proddif</t>
  </si>
  <si>
    <t>Has your household faced any significant difficulty ***in terms of crop production*** in Current season?</t>
  </si>
  <si>
    <t>هل واجهت أسرتك أي صعوبة ***في إنتاج المحاصيل*** في الموسم
 الحالي ؟</t>
  </si>
  <si>
    <t>${crp_main} != '888' and ${crp_main} != '999' and ${crp_main_check} != 1</t>
  </si>
  <si>
    <t>select_multiple cropproddiff</t>
  </si>
  <si>
    <t>crp_proddif_</t>
  </si>
  <si>
    <t>Which difficulties has your household faced with crop production in Current season?</t>
  </si>
  <si>
    <t>ما الصعوبات التي واجهتها أسرتك في إنتاج المحاصيل في الموسم
 الحالي ؟</t>
  </si>
  <si>
    <t>[تعليمات: عدة استجابات محتملة. حدد الخيار (الخيارات) الأنسب للمعلومات المقدمة من المجيب]</t>
  </si>
  <si>
    <t>${crp_proddif} = '1' and (${crp_main} != '888' and ${crp_main} != '999' and ${crp_main_check} != 1)</t>
  </si>
  <si>
    <t>select_one storage</t>
  </si>
  <si>
    <t>crp_storage</t>
  </si>
  <si>
    <t>Last year, what proportion of your ${crpmain} stock did you lose [to pests, rotting, mould, etc.] after the harvest?</t>
  </si>
  <si>
    <t>في العام الماضي ، ما هي نسبة مخزونك التي خسرتها (بسبب الآفات ، والتعفن ، والعفن ، وما إلى ذلك) من إجمالي ${crpmain} المخزن؟</t>
  </si>
  <si>
    <t>${crp_main} != '888' and ${crp_main} != '999' and ${crp_main} != '777'</t>
  </si>
  <si>
    <t>select_multiple crop2</t>
  </si>
  <si>
    <t>crp_all</t>
  </si>
  <si>
    <t>Do you cultivate any other crops aside from ${crpmain}, and if so which ones?</t>
  </si>
  <si>
    <t>هل تزرع أي محاصيل أخرى غير ${crpmain} ، وإذا كان الأمر كذلك فما هي؟</t>
  </si>
  <si>
    <t>[INSTRUCTIONS: "No other crops" APPEARS AT THE END OF THE LIST OF OPTIONS. SELECT ALL CROPS LISTED BY THE RESPONDENT.]</t>
  </si>
  <si>
    <t>[تعليمات: "لا محاصيل أخرى" تظهر في نهاية قائمة الخيارات. حدد جميع المحاصيل التي ذكرها المجيب]</t>
  </si>
  <si>
    <t>if(selected(., '888') or selected(., '999') or selected(.,'666'), count-selected(.) = 1, count-selected(.) &gt;= 1)</t>
  </si>
  <si>
    <t>not(selected(${crp_main}, name))</t>
  </si>
  <si>
    <t>o_cropping_change</t>
  </si>
  <si>
    <t>Have you changed your cropping pattern as a result of recent economic events?</t>
  </si>
  <si>
    <t>هل قمت بتغيير انواع  المحاصيل التي كنت تزرعها نتيجة للأحداث الاقتصادية الأخيرة؟</t>
  </si>
  <si>
    <t>[OPERATOR: SINGLE RESPONSE]</t>
  </si>
  <si>
    <t>o_crp_substitute</t>
  </si>
  <si>
    <t>If so, what was the main crop that you used to grow previously, instead of ${crpmain}?</t>
  </si>
  <si>
    <t>إذا كان الأمر كذلك ، فما هو المحصول الرئيسي الذي كنت تزرعه سابقا، بدلاً من ${crpmain}؟</t>
  </si>
  <si>
    <t>${o_cropping_change} != '2' and ${o_cropping_change} != '3' and ${o_cropping_change} != '4' and ${crp_main} != '888' and ${crp_main} != '999' and ${crp_main} != '777'</t>
  </si>
  <si>
    <t>crpsubstitute</t>
  </si>
  <si>
    <t>jr:choice-name(${o_crp_substitute},'${o_crp_substitute}')</t>
  </si>
  <si>
    <t>select_multiple reason_crop_change</t>
  </si>
  <si>
    <t>o_reason_crop_change</t>
  </si>
  <si>
    <t>What were the reasons for changing the crop type that you used to cultivate?</t>
  </si>
  <si>
    <t>ما هي أسباب تغيير انواع  المحاصيل التي كنت تزرعها؟</t>
  </si>
  <si>
    <t>CropSales_group</t>
  </si>
  <si>
    <t>CROP MARKETING</t>
  </si>
  <si>
    <t>تسويق المحاصيل</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</si>
  <si>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</si>
  <si>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</si>
  <si>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</si>
  <si>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هل ${crpmain} هو المحصول الرئيسي الذي بعته خلال * الأشهر الثلاثة الماضية *؟</t>
  </si>
  <si>
    <t>select_one crop3</t>
  </si>
  <si>
    <t>crp_sales_main_2</t>
  </si>
  <si>
    <t>What was the main crop that you sold over the *last 3 months*?</t>
  </si>
  <si>
    <t>ما هو المحصول الرئيسي الذي بعته خلال * الأشهر الثلاثة الماضية *؟</t>
  </si>
  <si>
    <t>${crp_sales_main_1}='2'</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</si>
  <si>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</si>
  <si>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</si>
  <si>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</si>
  <si>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</si>
  <si>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</si>
  <si>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</si>
  <si>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هل واجهت أسرتك أي صعوبة خلال الأشهر الثلاثة الماضية في **بيع** ${crp_sales_main}؟</t>
  </si>
  <si>
    <t>select_multiple cropsalesdiff</t>
  </si>
  <si>
    <t>crp_saledif</t>
  </si>
  <si>
    <t xml:space="preserve">Which difficulties has your household faced in the last 3 months selling your ${crp_sales_main}? </t>
  </si>
  <si>
    <t>ما الصعوبات التي واجهتها أسرتك في الأشهر الثلاثة الماضية عند بيع ${crp_sales_main}؟</t>
  </si>
  <si>
    <t>if(selected(., 'dk') or selected(., 'ref'), count-selected(.) = 1, count-selected(.) &gt;= 1)</t>
  </si>
  <si>
    <t xml:space="preserve">${crp_salesdif} = '1' </t>
  </si>
  <si>
    <t>crp_salesprice</t>
  </si>
  <si>
    <t>[HINT: COMPARISON IN DOLLARS TERM BY REFERRING TO LAST YEAR.]
[OPERATOR: SINGLE RESPONSE.]</t>
  </si>
  <si>
    <t>Livestock_group</t>
  </si>
  <si>
    <t>LIVESTOCK PRODUCTION</t>
  </si>
  <si>
    <t>إنتاج الماشية</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</si>
  <si>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</si>
  <si>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</si>
  <si>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</si>
  <si>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سنطرح عليك الآن بعض الأسئلة حول إنتاج الماشية التي تنطبق عليك وعلى أي شخص في أسرتك يشارك في إنتاج الماشية أو بيعها.</t>
  </si>
  <si>
    <t>select_one lsmain</t>
  </si>
  <si>
    <t>ls_main</t>
  </si>
  <si>
    <t>What was the main animal raised by your household for food or income generation in the last 12 months?</t>
  </si>
  <si>
    <t>ما هو الحيوان الرئيسي الذي قامت أسرتك بتربيته من أجل الغذاء وتوليد الدخل خلال الاثني عشر شهرًا الماضية؟</t>
  </si>
  <si>
    <t xml:space="preserve"> [OPERATOR: SINGLE RESPONSE. ASK ABOUT THE MOST IMPORTANT ANIMAL ONLY.] [HINT: DON'T FORGET TO PROBE ABOUT TRANSHUMANCE - MOVING LIVESTOCK FROM ONE GRAZING GROUND TO ANOTHER. SELECT "Other" IF RESPONDENT ANSWERS BEES.]</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</si>
  <si>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</si>
  <si>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lsmain</t>
  </si>
  <si>
    <t>jr:choice-name(${ls_main},'${ls_main}')</t>
  </si>
  <si>
    <t>ls_num_lastyr</t>
  </si>
  <si>
    <t>How many ${lsmain} did you have at the same time last year?</t>
  </si>
  <si>
    <t>كم ${lsmain} كان لديك في نفس الوقت من العام الماضي؟</t>
  </si>
  <si>
    <t>[INSTRUCTIONS: RECORD THE NUMBER OF ANIMALS. ENTER 888 FOR DON'T KNOW AND 999 FOR REFUSED.]</t>
  </si>
  <si>
    <t>[تعليمات: سجل عدد الحيوانات. أدخل 888 للا أعرف و 999 في حالة الرفض]</t>
  </si>
  <si>
    <t xml:space="preserve">. &gt;= 0 </t>
  </si>
  <si>
    <t>${ls_main} != '10' or ${ls_main} != '11'</t>
  </si>
  <si>
    <t>ls_num_now</t>
  </si>
  <si>
    <t>How many ${lsmain} do you have now?</t>
  </si>
  <si>
    <t>كم ${lsmain} لديك الآن؟</t>
  </si>
  <si>
    <t>ls_num_diff</t>
  </si>
  <si>
    <t xml:space="preserve">Change in ${lsmain}: </t>
  </si>
  <si>
    <t xml:space="preserve">التغيير في ${lsmain}: </t>
  </si>
  <si>
    <t>(${ls_main} != '10' or ${ls_main} != '11') and (${ls_num_lastyr} != '888' and ${ls_num_lastyr} != '999' and ${ls_num_now} != '888' and ${ls_num_now} != '999')</t>
  </si>
  <si>
    <t>${ls_num_now} - ${ls_num_lastyr}</t>
  </si>
  <si>
    <t>select_multiple lsnum</t>
  </si>
  <si>
    <t>ls_num</t>
  </si>
  <si>
    <t>Why did the number of livestock change?</t>
  </si>
  <si>
    <t>لماذا تغير عدد الماشية؟</t>
  </si>
  <si>
    <t>if(selected(., 'inc_dec_dk') or selected(., 'inc_dec_ref'), count-selected(.) = 1, count-selected(.) &gt;= 1)</t>
  </si>
  <si>
    <t>select_multiple lsfood</t>
  </si>
  <si>
    <t>ls_feed</t>
  </si>
  <si>
    <t xml:space="preserve">Where do you usually access feed for your ${lsmain}? </t>
  </si>
  <si>
    <t>من أين تحصل على الغذاء ل ${lsmain} ؟</t>
  </si>
  <si>
    <t>ls_proddif</t>
  </si>
  <si>
    <t>Has your household faced any significant difficulty with livestock production over the last 3 months?</t>
  </si>
  <si>
    <t>هل واجهت أسرتك أي صعوبة في إنتاج الماشية خلال الأشهر الثلاثة الماضية؟</t>
  </si>
  <si>
    <t>select_multiple lsproddiff</t>
  </si>
  <si>
    <t>ls_proddif_</t>
  </si>
  <si>
    <t>Which difficulties has your household faced with livestock production in the last 3 months?</t>
  </si>
  <si>
    <t>ما الصعوبات التي واجهتها أسرتك في إنتاج الماشية في الأشهر الثلاثة الماضية؟</t>
  </si>
  <si>
    <t>${ls_proddif}='1'</t>
  </si>
  <si>
    <t>select_one feed_type</t>
  </si>
  <si>
    <t>o_feed_type</t>
  </si>
  <si>
    <t>What is the primary type of ${lsmain} feed?</t>
  </si>
  <si>
    <t>ما هو نوع العلف الرئيسي المستخدم لتغذية ${lsmain}؟</t>
  </si>
  <si>
    <t xml:space="preserve"> [المشغل: استجابة واحدة.]
</t>
  </si>
  <si>
    <t>o_growing_own_feed</t>
  </si>
  <si>
    <t>Do you usually grow livestock feed?</t>
  </si>
  <si>
    <t>هل تزرع عادةً علف الماشية؟</t>
  </si>
  <si>
    <t>select_multiple lsmain2</t>
  </si>
  <si>
    <t>ls_all</t>
  </si>
  <si>
    <t>Do you own any other livestock aside from ${lsmain}, and if so which ones?</t>
  </si>
  <si>
    <t>هل تملك أي ماشية أخرى غير ${lsmain} ، وإذا كان الأمر كذلك فما هي؟</t>
  </si>
  <si>
    <t>[INSTRUCTIONS: "No other livestock" APPEARS AT THE END OF THE LIST OF OPTIONS. SELECT ALL LIVESTOCK LISTED BY THE RESPONDENT.]</t>
  </si>
  <si>
    <t>[تعليمات: "لا مواشي أخرى" موجودة في خيارات الإجابة الأخيرة. حدد كل الحيوانات المدرجة]</t>
  </si>
  <si>
    <t>if(selected(., '10') or selected(., '11') or selected(.,'666'), count-selected(.) = 1, count-selected(.) &gt;= 1)</t>
  </si>
  <si>
    <t>${ls_main} != '10' and ${ls_main} != '11'</t>
  </si>
  <si>
    <t>not(selected(${ls_main}, name))</t>
  </si>
  <si>
    <t>o_herd_change</t>
  </si>
  <si>
    <t>Have you changed the composition of your herd/flock as a result of recent economic events?</t>
  </si>
  <si>
    <t>هل قمت بتغيير تكوين القطيع (نواع الحيوانات) نتيجة الأحداث الاقتصادية الأخيرة؟</t>
  </si>
  <si>
    <t>select_multiple reason_herd_change</t>
  </si>
  <si>
    <t>o_reason_herd_change</t>
  </si>
  <si>
    <t>If so, for what reason?</t>
  </si>
  <si>
    <t>إذا كان الأمر كذلك ، فما  السبب؟</t>
  </si>
  <si>
    <t xml:space="preserve">${o_herd_change} != '2' and ${o_herd_change} != '3' and ${o_herd_change} != '4' </t>
  </si>
  <si>
    <t>o_ls_mortality</t>
  </si>
  <si>
    <t>Did you experience unusually livestock mortality in the last three months?</t>
  </si>
  <si>
    <t>هل عانيت من نفوق الماشية بشكل غير عادي في الأشهر الثلاثة الماضية؟</t>
  </si>
  <si>
    <t>select_multiple reason_ls_mortality</t>
  </si>
  <si>
    <t>o_reason_ls_mortality</t>
  </si>
  <si>
    <t>إذا كان الأمر كذلك ، فما السبب؟</t>
  </si>
  <si>
    <t xml:space="preserve">${o_ls_mortality} != '2' and ${o_ls_mortality} != '3' and ${o_ls_mortality} != '4' </t>
  </si>
  <si>
    <t>o_reason_ls_mortality_otherspecify</t>
  </si>
  <si>
    <t>If other, specify</t>
  </si>
  <si>
    <t>إذا كانت الإجابة "آخر"، حدد</t>
  </si>
  <si>
    <t xml:space="preserve">selected(${o_reason_ls_mortality}, 'other') </t>
  </si>
  <si>
    <t>o_ls_mortality_lastyear</t>
  </si>
  <si>
    <t>Did you experience similar livestock mortality last year?</t>
  </si>
  <si>
    <t>هل واجهت نفوقًا مماثلًا للماشية العام الماضي؟</t>
  </si>
  <si>
    <t>LivestockSales_group</t>
  </si>
  <si>
    <t xml:space="preserve">LIVESTOCK &amp; LIVESTOCK PRODUCT MARKETING </t>
  </si>
  <si>
    <t>تسويق الماشية و المنتجات الحيوانية</t>
  </si>
  <si>
    <t>${resp_agree} = '1' and (${income_main}='4' or ${income_sec}='4' or ${income_third}='4')</t>
  </si>
  <si>
    <t>select_one salesmain</t>
  </si>
  <si>
    <t>ls_salesmain</t>
  </si>
  <si>
    <t>What was the main livestock or livestock product sold by the household in the last 3 months?</t>
  </si>
  <si>
    <t>ما كان نوع الماشية الأساسي أو المنتج الحيواني الرئيسي الذي باعته أسرتك في الأشهر الثلاثة الماضية؟</t>
  </si>
  <si>
    <t>lssalesmain</t>
  </si>
  <si>
    <t>jr:choice-name(${ls_salesmain},'${ls_salesmain}')</t>
  </si>
  <si>
    <t>ls_salesdif</t>
  </si>
  <si>
    <t>Has your household faced any significant difficulty in the last 3 months selling your ${lssalesmain}?</t>
  </si>
  <si>
    <t>هل واجهت أسرتك أي صعوبة خلال الأشهر الثلاثة الماضية في بيع ${lssalesmain}؟</t>
  </si>
  <si>
    <t>select_multiple lssalesdif</t>
  </si>
  <si>
    <t>ls_salesdif_</t>
  </si>
  <si>
    <t>What difficulties has your household faced in the last 3 months selling your ${lssalesmain}?</t>
  </si>
  <si>
    <t xml:space="preserve"> ما الصعوبات التي واجهتها أسرتك خلال الأشهر الثلاثة الماضية في بيع ${lssalesmain}؟</t>
  </si>
  <si>
    <t xml:space="preserve">${ls_salesdif} = '1' </t>
  </si>
  <si>
    <t>ls_salesprice</t>
  </si>
  <si>
    <t>Fishing_group</t>
  </si>
  <si>
    <t>FISHING / AQUACULTURE PRODUCTION</t>
  </si>
  <si>
    <t>إنتاج الأسماك وتربية الأحياء المائية</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</si>
  <si>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</si>
  <si>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</si>
  <si>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</si>
  <si>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t>
  </si>
  <si>
    <t>select_multiple fishactivity</t>
  </si>
  <si>
    <t>fish_main</t>
  </si>
  <si>
    <t>What type of fishing activity does your household generally practice?</t>
  </si>
  <si>
    <t>ما نوع نشاط الصيد الذي تمارسه أسرتك بشكل عام؟</t>
  </si>
  <si>
    <t>[INSTRUCTIONS: MUTIPLE RESPONSES POSSIBLE.]</t>
  </si>
  <si>
    <t>fish_change</t>
  </si>
  <si>
    <t>How does your fish catch [farmed] in the last 3 months [last harvest] compare to the same period [harvest] last year?</t>
  </si>
  <si>
    <t>كيف يتم إنتاج الأسماك [زراعتها] في الأشهر الثلاثة الماضية [آخر حصاد] مقارنة بنفس الفترة [الحصاد] في العام الماضي؟</t>
  </si>
  <si>
    <t>fish_proddif</t>
  </si>
  <si>
    <t>Has your household faced any significant difficulty with fish catch / harvest / farming in the last 3 months?</t>
  </si>
  <si>
    <t>هل واجهت أسرتك أي صعوبة كبيرة في صيد الأسماك أو حصادها أو تربيتها خلال الأشهر الثلاثة الماضية؟</t>
  </si>
  <si>
    <t>select_multiple fishproddiff</t>
  </si>
  <si>
    <t>fish_proddif_</t>
  </si>
  <si>
    <t>Which difficulties has your household faced with fish catch / harvest / farming in the last 3 months?</t>
  </si>
  <si>
    <t>ما الصعوبات التي واجهتها أسرتك في صيد الأسماك و / أو حصادها في الأشهر الثلاثة الماضية؟</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</si>
  <si>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</si>
  <si>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</si>
  <si>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</si>
  <si>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</si>
  <si>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</si>
  <si>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</si>
  <si>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ما هي مواد الصيد أو المدخلات التي واجهت أسرتك صعوبة في الوصول إليها خلال الأشهر الثلاثة الماضية؟</t>
  </si>
  <si>
    <t>${fish_proddif} = '1' and selected(${fish_proddif_}, 'input_access')</t>
  </si>
  <si>
    <t>fish_inputdif_otherspecify</t>
  </si>
  <si>
    <t>${fish_inputdif} = 'other'</t>
  </si>
  <si>
    <t>FishSales_group</t>
  </si>
  <si>
    <t xml:space="preserve">FISHING / AQUACULTURE MARKETING </t>
  </si>
  <si>
    <t>تسويق الأسماك وتربية الأحياء المائية</t>
  </si>
  <si>
    <t>${resp_agree} = '1' and (${income_main}='6' or ${income_sec}='6' or ${income_third}='6')</t>
  </si>
  <si>
    <t>select_one fishsales</t>
  </si>
  <si>
    <t>fish_salesmain</t>
  </si>
  <si>
    <t>What was the main fish or aquatic product sold by your household in the last 3 months?</t>
  </si>
  <si>
    <t>ما هو السمك أو المنتج المائي الرئيسي الذي باعته أسرتك في الأشهر الثلاثة الماضية؟</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</si>
  <si>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</si>
  <si>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</si>
  <si>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</si>
  <si>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</si>
  <si>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</si>
  <si>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</si>
  <si>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هل واجهت أسرتك أي صعوبة خلال الأشهر الثلاثة الماضية في بيع  و تسويق  ${fishsalesmain}؟</t>
  </si>
  <si>
    <t>select_multiple fishsalesdif</t>
  </si>
  <si>
    <t>fish_saledif</t>
  </si>
  <si>
    <t>What difficulties has your household faced in the last 3 months selling your ${fishsalesmain}?</t>
  </si>
  <si>
    <t>ما الصعوبات التي واجهتها أسرتك في الأشهر الثلاثة الماضية في بيع ${fishsalesmain}؟</t>
  </si>
  <si>
    <t xml:space="preserve">${fish_salesdif} = '1' </t>
  </si>
  <si>
    <t>fish_salesdif_otherspecify</t>
  </si>
  <si>
    <t>selected(${fish_saledif}, 'other')</t>
  </si>
  <si>
    <t>fish_salesprice</t>
  </si>
  <si>
    <t>[INSTRUCTIONS: INSIST ON THE MAIN PRODUCT MENTIONED.]</t>
  </si>
  <si>
    <t>[تعليمات: قم بالإصرار على المنتج الرئيسي المذكور]</t>
  </si>
  <si>
    <t>FSI</t>
  </si>
  <si>
    <t>FOOD SECURITY INDICATORS</t>
  </si>
  <si>
    <t>مؤشرات الأمن الغذائي</t>
  </si>
  <si>
    <t>intro_foodsec</t>
  </si>
  <si>
    <t>Now I would like to ask you some questions about food consumption, food utilization and coping mechanisms. Make sure to refer to the correct time period for each set of questions.</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</si>
  <si>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</si>
  <si>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grp_fies</t>
  </si>
  <si>
    <t>FIES</t>
  </si>
  <si>
    <t>fies_intro</t>
  </si>
  <si>
    <t xml:space="preserve">The first set of questions refers to experiences faced by your or any of your household members over the past 30 days. </t>
  </si>
  <si>
    <t>تشير المجموعة الأولى من الأسئلة إلى التجارب التي واجهتها أنت أو أي فرد من أفراد أسرتك خلال الثلاثين يومًا الماضية.</t>
  </si>
  <si>
    <t>fies_worried</t>
  </si>
  <si>
    <t>During the *last 30 days*, was there a time when you or others in your household were **worried about not having enough food to eat** because of lack of money or other resources?</t>
  </si>
  <si>
    <t>خلال *الثلاثين يومًا الماضية* ، هل حدث أن كنت أنت أو الآخرين في اسرتك قلقين بأنه لن يتوفر لكم الطعام الكافي لتأكلوا بسبب نقص النقود أو المصادر الأخرى؟</t>
  </si>
  <si>
    <t>fies_healthy</t>
  </si>
  <si>
    <t>During the *last 30 days*, was there a time when you or others in your household were **unable to eat healthy and nutritious food** because of lack of money or other resources?</t>
  </si>
  <si>
    <t xml:space="preserve">خلال *الثلاثين يومًا الماضية* ، هل حدث أن لم يكن باستطاعتك أنت أو الآخرين في اسرتك أكل طعام صحي ومغذي بسبب نقص النقود أو المصادر الأخرى؟ </t>
  </si>
  <si>
    <t>fies_fewfoods</t>
  </si>
  <si>
    <t>During the *last 30 days*, was there a time when you or others in your household **ate only a few kinds of foods** because of lack of money or other resources?</t>
  </si>
  <si>
    <t xml:space="preserve">خلال *الثلاثين يومًا الماضية* ، هل حدث أن أنت أو الآخرين في اسرتك أكلتم أنواعاً قليلةً من الأطعمة بسبب نقص النقود أو المصادر الأخرى ؟ </t>
  </si>
  <si>
    <t>fies_skipped</t>
  </si>
  <si>
    <t>During the *last 30 days*, was there a time when you or others in your household **had to skip a meal** because of lack of money or other resources to get food?</t>
  </si>
  <si>
    <t>خلال *الثلاثين يومًا الماضية* ، هل كان عليك أنت أو الآخرين في اسرتك أن تتخلوا عن وجبة طعام بسبب نقص النقود أو المصادر الأخرى للحصول على الطعام ؟</t>
  </si>
  <si>
    <t>fies_ateless</t>
  </si>
  <si>
    <t>During the *last 30 days*, was there a time when you or others in your household **ate less than you thought you should** because of lack of money or other resources?</t>
  </si>
  <si>
    <t xml:space="preserve">خلال *الثلاثين يومًا الماضية* ، هل حدث أن أكلت أنت أو الآخرين في اسرتك أقل مما اعتقدت أنكم يجب أن تأكلوا بسبب نقص النقود أو المصادر الأخرى؟  </t>
  </si>
  <si>
    <t>fies_ranout</t>
  </si>
  <si>
    <t>In the *past 30 days*, was there ever **no food to eat of any kind** in your house because of lack of resources to get food?</t>
  </si>
  <si>
    <t xml:space="preserve">خلال *الثلاثين يومًا الماضية* ، هل حدث أن لم يكن هنالك أي طعام لتأكله من أي نوع في منزلك  (نفد الطعام في منزلك) بسبب نقص الموارد للحصول على الطعام؟ </t>
  </si>
  <si>
    <t>select_one frequency</t>
  </si>
  <si>
    <t>fies_ranout_hhs</t>
  </si>
  <si>
    <t xml:space="preserve">How often did this happen? </t>
  </si>
  <si>
    <t>كم مرة حدث ذلك؟</t>
  </si>
  <si>
    <t>${fies_ranout} = '1'</t>
  </si>
  <si>
    <t>fies_hungry</t>
  </si>
  <si>
    <t>In the *past 30 days*, did you or any household member ever **go to sleep at night hungry**because there was not enough food?</t>
  </si>
  <si>
    <t xml:space="preserve">خلال *الثلاثين يومًا الماضية* ، هل سبق لك أو لأي فرد من أفراد أسرتك أن تنام ليلاً وأنت جائعاً بسبب عدم وجود ما يكفي من الطعام؟ </t>
  </si>
  <si>
    <t>fies_hungry_hhs</t>
  </si>
  <si>
    <t>${fies_hungry} = '1'</t>
  </si>
  <si>
    <t>fies_whlday</t>
  </si>
  <si>
    <t>In the *past 30 days*, did you or any household member ever **go a whole day and night without eating anything at all** because there was not enough food?</t>
  </si>
  <si>
    <t>خلال *الثلاثين يومًا الماضية* ، هل بقيت أنت أو أي فرد من أفراد أسرتك يومًا كاملاً ليلاً ونهارًا دون تناول أي شيء على الإطلاق بسبب عدم وجود ما يكفي من الطعام؟</t>
  </si>
  <si>
    <t>fies_whlday_hhs</t>
  </si>
  <si>
    <t>${fies_whlday} = '1'</t>
  </si>
  <si>
    <t>grp_lcsi</t>
  </si>
  <si>
    <t>LCSI</t>
  </si>
  <si>
    <t>field-list</t>
  </si>
  <si>
    <t>copingstrategies</t>
  </si>
  <si>
    <t xml:space="preserve">Now I would like to ask you about the 2nd set of questions on coping strategies, referring to the *past 30 days*. Think about whether you or anyone in your household had to resort to the following strategies that you would otherwise avoid because you **did not have enough food or money to feed the household members**. </t>
  </si>
  <si>
    <t>الآن أود أن أسألك عن المجموعة الثانية من الأسئلة حول استراتيجيات المواجهة ، بالإشارة إلى *الثلاثين يومًا الماضية*. فكر فيما إذا كان عليك أنت أو أي شخص في أسرتك اللجوء إلى الاستراتيجيات التالية التي قد تتجنبها لولا ذلك لأنك ** لم يكن لديك ما يكفي من الطعام أو المال لإطعام أفراد الأسرة **</t>
  </si>
  <si>
    <t>select_one coping</t>
  </si>
  <si>
    <t>cs_stress_hh_assets</t>
  </si>
  <si>
    <t>**Sell household assets/goods** (radio, furniture, television, jewelry etc.)</t>
  </si>
  <si>
    <t>بيع أصول / سلع منزلية (راديو ، أثاث ، تلفزيون ، مجوهرات ، إلخ)</t>
  </si>
  <si>
    <t>cs_stress_spent_savings</t>
  </si>
  <si>
    <t>**Spend savings**</t>
  </si>
  <si>
    <t>إنفاق مدخرات</t>
  </si>
  <si>
    <t>cs_stress_sold_more_animals</t>
  </si>
  <si>
    <t>**Sell more animals (non-reproductive) than usual**</t>
  </si>
  <si>
    <t>بيع حيوانات (غير تناسلية) أكثر من المعتاد</t>
  </si>
  <si>
    <t>cs_stress_credit</t>
  </si>
  <si>
    <t>**Purchase food on credit or borrowed food**</t>
  </si>
  <si>
    <t xml:space="preserve"> شراء الطعام عن طريق الائتمان أو اقتراض الطعام</t>
  </si>
  <si>
    <t>cs_stress_borrowed_money</t>
  </si>
  <si>
    <t>**Borrow money**</t>
  </si>
  <si>
    <t>اقتراض المال</t>
  </si>
  <si>
    <t>cs_stress_changed_school</t>
  </si>
  <si>
    <t>**Move children to less expensive school**</t>
  </si>
  <si>
    <t>نقل أطفاله إلى مدرسة أقل تكلفة</t>
  </si>
  <si>
    <t>cs_crisis_sold_prod_assets</t>
  </si>
  <si>
    <t>**Sell productive assets or means of transport** (sewing machine, wheelbarrow, bicycle, car, etc.)</t>
  </si>
  <si>
    <t>بيع أصول منتجة أو وسائل نقل (ماكينة خياطة ، عربة يد ، دراجة ، سيارة ، إلخ)</t>
  </si>
  <si>
    <t>cs_crisis_no_school</t>
  </si>
  <si>
    <t>**Withdraw children from school**</t>
  </si>
  <si>
    <t>سحب أطفاله من المدرسة</t>
  </si>
  <si>
    <t>cs_crisis_reduced_health_exp</t>
  </si>
  <si>
    <t>**Reduce expenses on health** (including drugs)</t>
  </si>
  <si>
    <t>تقليل النفقات على الصحة (بما في ذلك الأدوية)</t>
  </si>
  <si>
    <t>cs_crisis_decr_agric_input_exp</t>
  </si>
  <si>
    <t>**Decrease expenditures on fertilizer, pesticide, fodder, animal feed, veterinary care, etc.**</t>
  </si>
  <si>
    <t>تقليل الإنفاق على الأسمدة ومبيدات الآفات والأعلاف والأعلاف الحيوانية والرعاية البيطرية وما إلى ذلك</t>
  </si>
  <si>
    <t>cs_emergency_sold_house</t>
  </si>
  <si>
    <t>**Sell house or last piece of land**</t>
  </si>
  <si>
    <t>بيع منزل او آخر قطعة ارض</t>
  </si>
  <si>
    <t>cs_emergency_sold_last_female</t>
  </si>
  <si>
    <t>**Sell last female animals**</t>
  </si>
  <si>
    <t>بيع آخر إناث الحيوانات</t>
  </si>
  <si>
    <t>cs_emergency_hh_migration</t>
  </si>
  <si>
    <t>**Migrate with the entire household**</t>
  </si>
  <si>
    <t xml:space="preserve">الهجرة مع الأسرة بأكملها </t>
  </si>
  <si>
    <t>grp_hdds</t>
  </si>
  <si>
    <t>HDDS</t>
  </si>
  <si>
    <t>hdds_intro</t>
  </si>
  <si>
    <t>Now I would like to ask you about a set of questions on food consumption, referring to the *24 hours of yesterday*.</t>
  </si>
  <si>
    <t>الآن أود أن أسألك عن المجموعة الثالثة من الأسئلة حول استهلاك الغذاء ، بالإشارة إلى*24 ساعة أمس*.</t>
  </si>
  <si>
    <t>select_multiple hdds</t>
  </si>
  <si>
    <t>hdds</t>
  </si>
  <si>
    <t>Please describe the foods (meals and snacks) that you or any household member ate or drank at home yesterday (in the *24 hours of yesterday*: breakfast, lunch, dinner and snacks).</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</si>
  <si>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</si>
  <si>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[INSTRUCTIONS: SELECT ALL FOOD GROUPS CONSUMED IN THE 24 HOURS OF YESTERDAY AS THE RESPONDENT ANSWERS. MULTIPLE RESPONSES POSSIBLE.]</t>
  </si>
  <si>
    <t>[تعليمات: حدد كل المجموعات الغذائية المستهلكة خلال الـ 24 ساعة الماضية كإجابة للمُجيب. ردود متعددة ممكنة]</t>
  </si>
  <si>
    <t>hdds_confirmation</t>
  </si>
  <si>
    <t>[INSTRUCTIONS: Remember to probe for snacks, special foods given to children or pregnant women, ingredients in mixed dishes. At the end, probe for any food groups not specified.]</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</si>
  <si>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</si>
  <si>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grp_fcs</t>
  </si>
  <si>
    <t>FCS</t>
  </si>
  <si>
    <t>fcs_intro</t>
  </si>
  <si>
    <t>Now I would like to ask you about the foods and drinks your household ate or drank in  *the last 7 days* during the day and at night [breakfast, lunch, dinner, snacks].</t>
  </si>
  <si>
    <t>الآن أود أن أسألك عن الأطعمة والمشروبات التي أكلتها أو شربتها أسرتك في *آخر 7 أيام* خلال النهار والليل [الإفطار ، والغداء ، والعشاء ، والوجبات الخفيفة]</t>
  </si>
  <si>
    <t>fcs_staple_days</t>
  </si>
  <si>
    <t>How many days over *the last 7 days*, did members of your household eat **starches, roots and tubers** such as rice, maize, pasta, bread, sorghum, millet, potato, yam, cassava, white sweet potato?</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</si>
  <si>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t>
  </si>
  <si>
    <t>[INSTRUCTIONS: RECORD NUMBER OF DAYS 0 - 7. IF CONSUMED ONLY IN SMALL QUANTITY, DO NOT INCLUDE.]</t>
  </si>
  <si>
    <t>[تعليمات: سجل عدد الأيام من صفر إلى 7. إذا تم تناول هذه الأطعمة بكميات صغيرة فقط ، فلا تقم بتضمينها]</t>
  </si>
  <si>
    <t>.&gt;= 0 and .&lt;=7</t>
  </si>
  <si>
    <t>The answer must be between 0 and 7 days</t>
  </si>
  <si>
    <t>fcs_pulses_days</t>
  </si>
  <si>
    <t>How many days over *the last 7 days*, did members of your household eat** pulses and nuts such as beans, lentils, cowpeas, soybean, pigeon peas and peanuts or other nuts**?</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</si>
  <si>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t>
  </si>
  <si>
    <t>fcs_vegetables_days</t>
  </si>
  <si>
    <t>How many days over *the last 7 days*, did members of your household eat **vegetables or leaves** such as eggplants, zucchini, haricots, cabbages and/or other leaves/vegetables?</t>
  </si>
  <si>
    <t>كم يومًا خلال *السبعة أيام الماضية* ، أكل أفراد أسرتك **خضروات أو خضار ورقية** مثل  باذنجان، كوسة، لوبياء، ملفوف و / أو خضار ورقية / خضروات أخرى؟</t>
  </si>
  <si>
    <t>fcs_fruit_days</t>
  </si>
  <si>
    <t>How many days over *the last 7 days*, did members of your household eat **fruit** such as apples, bananas, oranges, grapes, apricots, peaches and/or other fruits?</t>
  </si>
  <si>
    <t>كم يومًا خلال *السبعة أيام الماضية* ، تناول أفراد أسرتك **فواكه** مثل التفاح والموز والبرنقال والعنب والمشمش والدراق و / أو غيرها من الفواكه؟</t>
  </si>
  <si>
    <t>fcs_meat_fish_days</t>
  </si>
  <si>
    <t>How many days over *the last 7 days*, did members of your household eat **meat, eggs or fish** [any type of meat or fish including insects, birds, bush meat, seafood, or organs]?</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</si>
  <si>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t>
  </si>
  <si>
    <t>fcs_dairy_days</t>
  </si>
  <si>
    <t>How many days over *the last 7 days*, did members of your household consume fresh milk, sour milk, yogurt, cheese or other **dairy products** [excluding margarine/butter or small amounts of milk for tea/ coffee]?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</si>
  <si>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t>
  </si>
  <si>
    <t>fcs_sugar_days</t>
  </si>
  <si>
    <t>How many days over *the last 7 days*, did members of your household consume **sugar or sweets** such as sugar, honey, jam, cakes, candy, cookies, pastries, cakes and other sweets and sugary drinks?</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</si>
  <si>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t>
  </si>
  <si>
    <t>fcs_oil_days</t>
  </si>
  <si>
    <t>How many days over *the last 7 days*, did members of your household eat **oil/fat/butter** such as vegetable oil, palm oil, groundnut oil, margarine, other fats / oil?</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</si>
  <si>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t>
  </si>
  <si>
    <t>fcs_condiments_days</t>
  </si>
  <si>
    <t>How many days over *the last 7 days*, did members of your household eat **spices or condiments** such as tea, coffee, cocoa, salt, garlic, spices, yeast, meat fish as a condiment or small amounts of milk for tea or coffee?</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</si>
  <si>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t>
  </si>
  <si>
    <t>grp_rcsi</t>
  </si>
  <si>
    <t>rCSI</t>
  </si>
  <si>
    <t>rcsi_intro</t>
  </si>
  <si>
    <t>Now I will ask you about the number of days, in *the last 7 days*, during which the household has done some of the actions that I will mention to cope with the lack of food or money to buy food.</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</si>
  <si>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t>
  </si>
  <si>
    <t>rcsi_less_preferred_foods</t>
  </si>
  <si>
    <t xml:space="preserve">In *the past 7 days*, how many days did your household **rely on less preferred or less expensive food** due to lack of food/money?  </t>
  </si>
  <si>
    <t>في *الأيام السبعة الماضية* ، كم عدد الأيام التي اعتمدت فيها أسرتك على **طعام أقل تفضيلًا أو أقل تكلفة** بسبب نقص الطعام / المال؟</t>
  </si>
  <si>
    <t>[INSTRUCTIONS: RECORD NUMBER OF DAYS 0 - 7]</t>
  </si>
  <si>
    <t>[تعليمات: سجل عدد الأيام من صفر إلى 7]</t>
  </si>
  <si>
    <t>rcsi_borrowed_food</t>
  </si>
  <si>
    <t xml:space="preserve">In the *past 7 days*, how many days did your household **borrow food, or rely on help from a friend or relative** due to lack of food or money to buy food? </t>
  </si>
  <si>
    <t>في *الأيام السبعة الماضية* ، كم عدد الأيام التي **استعارت فيها أسرتك الطعام ، أو اعتمدت على المساعدة من صديق أو قريب** بسبب نقص الطعام أو المال لشراء الطعام؟</t>
  </si>
  <si>
    <t>rcsi_reduce_number_meals</t>
  </si>
  <si>
    <t>In the past 7 days, how many days did your household **reduce the number of meals eaten in a day** due to lack of food or money to buy food?</t>
  </si>
  <si>
    <t>في *الأيام السبعة الماضية* ، كم عدد الأيام التي **قللت فيها أسرتك عدد الوجبات التي يتم تناولها في اليوم** بسبب نقص الطعام أو المال لشراء الطعام؟</t>
  </si>
  <si>
    <t>rcsi_limit_portions</t>
  </si>
  <si>
    <t xml:space="preserve">In the *past 7 days*, how many days did your household **limit portion sizes at mealtime** due to lack of food or money to buy food? </t>
  </si>
  <si>
    <t>في *الأيام السبعة الماضية* ، كم عدد الأيام التي **حددت فيها أسرتك أحجام الحصص في وقت الوجبة** بسبب نقص الطعام أو المال لشراء الطعام؟</t>
  </si>
  <si>
    <t>rcsi_restrict_adult_consumpt</t>
  </si>
  <si>
    <t>In the *past 7 days*, how many days did your household **restrict consumption by adults so children could eat**, due to lack of food or money to buy food?</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</si>
  <si>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t>
  </si>
  <si>
    <t>Assisstance_group</t>
  </si>
  <si>
    <t>NEEDS ASSISTANCE</t>
  </si>
  <si>
    <t>مساعدة لتلبية الإحتياجات</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</si>
  <si>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</si>
  <si>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</si>
  <si>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</si>
  <si>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</si>
  <si>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select_multiple needs</t>
  </si>
  <si>
    <t>need_</t>
  </si>
  <si>
    <t>What are your household's greatest needs for assistance for your household's agricultural activities [including crop, livestock or fisheries/aquaculture production activities] over the next 3 to 6 months?</t>
  </si>
  <si>
    <t>ما هي أكبر احتياجات أسرتك للمساعدة في إنتاج المحاصيل أو الماشية أو مصايد الأسماك / تربية الأحياء المائية خلال الأشهر الثلاثة إلى الستة المقبلة؟</t>
  </si>
  <si>
    <t>[INSTRUCTIONS: MULTIPLE RESPONSE. DO NOT READ THE OPTIONS.]</t>
  </si>
  <si>
    <t>[تعليمات: عدة استجابات محتملة. لا تقرأ الخيارات إذا كان ذلك ممكنًا]</t>
  </si>
  <si>
    <t>${need} = 1</t>
  </si>
  <si>
    <t>need_otherspecify</t>
  </si>
  <si>
    <t>selected(${need_}, 'other')</t>
  </si>
  <si>
    <t>select_multiple needreceived</t>
  </si>
  <si>
    <t>need_received</t>
  </si>
  <si>
    <t>Has your household received any assistance in the last 3 months, and if so, which kind?</t>
  </si>
  <si>
    <t>هل تلقت أسرتك أي مساعدة خلال الأشهر الثلاثة الماضية ، وإذا كان الأمر كذلك ، فمن أي نوع؟</t>
  </si>
  <si>
    <t>[INSTRUCTIONS: READ OUT ANSWER OPTIONS. MULTIPLE RESPONSES POSSIBLE.]</t>
  </si>
  <si>
    <t>[تعليمات: اقرأ الخيارات. إمكانية الاستجابة المتعددة]</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</si>
  <si>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</si>
  <si>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</si>
  <si>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</si>
  <si>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</si>
  <si>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</si>
  <si>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</si>
  <si>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 xml:space="preserve">هل كنت راضيا عن جودة المساعدة التي قدمت لكم ؟ </t>
  </si>
  <si>
    <t>[INSTRUCTIONS: QUALITY OF ASSISTANCE IN TERMS OF SUFFICIENT ASSISTANCE FOR PRODUCTION OR SALES DIFFICULTY TO BE OVERCOME.]</t>
  </si>
  <si>
    <t>[تعليمات: جودة المساعدة من حيث كفاية المساعدة للتغلب على صعوبات الانتاج أو البيع]</t>
  </si>
  <si>
    <t>${need_received} != 'dk' and ${need_received} != 'ref' and ${need_received} != 'none'</t>
  </si>
  <si>
    <t>select_multiple provider</t>
  </si>
  <si>
    <t>assistance</t>
  </si>
  <si>
    <t>Who provided your household with this assistance?</t>
  </si>
  <si>
    <t xml:space="preserve">من قام بتقديم تلك المساعدة لاسرتك ؟ </t>
  </si>
  <si>
    <t>[INSTRUCTIONS: MULTIPLE RESPONSES.]</t>
  </si>
  <si>
    <t>closing</t>
  </si>
  <si>
    <t>CLOSING</t>
  </si>
  <si>
    <t>إغلاق</t>
  </si>
  <si>
    <t>callback</t>
  </si>
  <si>
    <t>Your answers will help us to understand and respond to your community needs. May we call you in a few months?</t>
  </si>
  <si>
    <t>ستساعدنا إجاباتك على فهم احتياجات مجتمعك والاستجابة لها. هل يمكننا الاتصال بك مرة أخرى في غضون بضعة أشهر؟</t>
  </si>
  <si>
    <t>select_multiple week</t>
  </si>
  <si>
    <t>future_int_day</t>
  </si>
  <si>
    <t>For future interviews, in which day(s) can I call you?</t>
  </si>
  <si>
    <t>للمقابلات المستقبلية ، في أي يوم (أيام) يمكنني الاتصال بك؟</t>
  </si>
  <si>
    <t>[INSTRUCTIONS: MULTIPLE ANSWERS POSSIBLE.]</t>
  </si>
  <si>
    <t>${callback} = '1'</t>
  </si>
  <si>
    <t>select_multiple time</t>
  </si>
  <si>
    <t>future_int_time</t>
  </si>
  <si>
    <t>For future interviews, at what time(s) can I call you?</t>
  </si>
  <si>
    <t>للمقابلات المستقبلية ، في أي وقت (أوقات) يمكنني الاتصال بك؟</t>
  </si>
  <si>
    <t>select_one language</t>
  </si>
  <si>
    <t>language2</t>
  </si>
  <si>
    <t xml:space="preserve">Select the language that was mostly used to complete the interview. </t>
  </si>
  <si>
    <t>حدد اللغة التي تم استخدامها في الغالب لإكمال المقابلة.</t>
  </si>
  <si>
    <t>closeout</t>
  </si>
  <si>
    <t xml:space="preserve">Thank you for your time. The interview has come to an end. </t>
  </si>
  <si>
    <t>شكرا لك على وقتك. انتهت المقابلة.</t>
  </si>
  <si>
    <t>time</t>
  </si>
  <si>
    <t>Interview_End_Time</t>
  </si>
  <si>
    <t>Interview End Time</t>
  </si>
  <si>
    <t>وقت انتهاء المقابلة</t>
  </si>
  <si>
    <t>enum_notes</t>
  </si>
  <si>
    <t>Enter any notes or feedback from this survey:</t>
  </si>
  <si>
    <t>أدخل أي ملاحظات  من هذا الاستطلاع:</t>
  </si>
  <si>
    <t xml:space="preserve">Leave empty if there are no comments. </t>
  </si>
  <si>
    <t>اتركه فارغا إذا لم تكن هناك تعليقات.</t>
  </si>
  <si>
    <t>__version__</t>
  </si>
  <si>
    <t>'vfVbKi5bfYAnEzqoBsXTzQ'</t>
  </si>
  <si>
    <t xml:space="preserve">AVERAGE ESTIMATED DURATION </t>
  </si>
  <si>
    <t>list_name</t>
  </si>
  <si>
    <t>my_filter_admin</t>
  </si>
  <si>
    <t>Someone answers</t>
  </si>
  <si>
    <t>يجيب شخص ما</t>
  </si>
  <si>
    <t>Answering machine</t>
  </si>
  <si>
    <t>جهاز الرد الالي</t>
  </si>
  <si>
    <t>No answer</t>
  </si>
  <si>
    <t>لا اجابة</t>
  </si>
  <si>
    <t>Hang up or refusal</t>
  </si>
  <si>
    <t>إنهاء المكالمة أو الرفض</t>
  </si>
  <si>
    <t>Disconnected</t>
  </si>
  <si>
    <t>انقطع الاتصال</t>
  </si>
  <si>
    <t>yes_no</t>
  </si>
  <si>
    <t>Yes</t>
  </si>
  <si>
    <t>نعم</t>
  </si>
  <si>
    <t>No</t>
  </si>
  <si>
    <t>لا</t>
  </si>
  <si>
    <t>DON'T KNOW</t>
  </si>
  <si>
    <t>لا أعرف</t>
  </si>
  <si>
    <t>REFUSED</t>
  </si>
  <si>
    <t>رفض الإجابة</t>
  </si>
  <si>
    <t>continue</t>
  </si>
  <si>
    <t>تابع</t>
  </si>
  <si>
    <t>yesno</t>
  </si>
  <si>
    <t>Not now</t>
  </si>
  <si>
    <t>ليس الآن</t>
  </si>
  <si>
    <t>language</t>
  </si>
  <si>
    <t>ar</t>
  </si>
  <si>
    <t>Arabic</t>
  </si>
  <si>
    <t>العربية</t>
  </si>
  <si>
    <t>gender</t>
  </si>
  <si>
    <t>Male</t>
  </si>
  <si>
    <t>ذكر</t>
  </si>
  <si>
    <t>Female</t>
  </si>
  <si>
    <t>أنثى</t>
  </si>
  <si>
    <t>contact_info</t>
  </si>
  <si>
    <t>YES - mine</t>
  </si>
  <si>
    <t>نعم - لي</t>
  </si>
  <si>
    <t>YES - other household member</t>
  </si>
  <si>
    <t>نعم - فرد اخر من أفراد الأسرة</t>
  </si>
  <si>
    <t>YES - friend or relative (non-household member)</t>
  </si>
  <si>
    <t>نعم - أحد الأقارب او الاصدقاء [ ليس فردا من أفراد الأسرة]</t>
  </si>
  <si>
    <t>NO</t>
  </si>
  <si>
    <t>agricactivity</t>
  </si>
  <si>
    <t xml:space="preserve">Yes - crop production </t>
  </si>
  <si>
    <t>نعم - إنتاج المحاصيل</t>
  </si>
  <si>
    <t>Yes - livestock production</t>
  </si>
  <si>
    <t>نعم - إنتاج الماشية</t>
  </si>
  <si>
    <t xml:space="preserve">Yes - both crop and livestock production </t>
  </si>
  <si>
    <t>نعم - كل من إنتاج المحاصيل والماشية</t>
  </si>
  <si>
    <t>edu</t>
  </si>
  <si>
    <t>None or did not complete primary school</t>
  </si>
  <si>
    <t>لا شيء أو لم يكمل المرحلة الابتدائية</t>
  </si>
  <si>
    <t>Completed primary school</t>
  </si>
  <si>
    <t>أكمل المرحلة الابتدائية</t>
  </si>
  <si>
    <t>Completed secondary school</t>
  </si>
  <si>
    <t>أكمل المرحلة الثانوية</t>
  </si>
  <si>
    <t>Completed higher education [University / College] degree</t>
  </si>
  <si>
    <t>أكمل درجة تعليم عالي [جامعة / كلية]</t>
  </si>
  <si>
    <t>Religious or informal education only</t>
  </si>
  <si>
    <t>تربية دينية أو غير رسمية فقط</t>
  </si>
  <si>
    <t>water</t>
  </si>
  <si>
    <t>Private tap from piped water</t>
  </si>
  <si>
    <t>صنبور خاص من مياه الأنابيب</t>
  </si>
  <si>
    <t>Public tap</t>
  </si>
  <si>
    <t>صنبور عام</t>
  </si>
  <si>
    <t>Protected well</t>
  </si>
  <si>
    <t>بئر محمي</t>
  </si>
  <si>
    <t>Bottled water</t>
  </si>
  <si>
    <t>المياه المعبأة</t>
  </si>
  <si>
    <t>Other safe source</t>
  </si>
  <si>
    <t>مصدر آمن آخر</t>
  </si>
  <si>
    <t>River</t>
  </si>
  <si>
    <t>نهر</t>
  </si>
  <si>
    <t>Unprotected well</t>
  </si>
  <si>
    <t>بئر غير محمي</t>
  </si>
  <si>
    <t>Spring water</t>
  </si>
  <si>
    <t>مياه الينابيع</t>
  </si>
  <si>
    <t>Surface water [e.g. canal, ponds, dams]</t>
  </si>
  <si>
    <t>قناة أو مياه سطحية أخرى</t>
  </si>
  <si>
    <t>Other unsafe source</t>
  </si>
  <si>
    <t>مصدر آخر غير آمن</t>
  </si>
  <si>
    <t>incomesource1</t>
  </si>
  <si>
    <t>Production and sale of staple crops</t>
  </si>
  <si>
    <t>إنتاج وبيع المحاصيل الأساسية</t>
  </si>
  <si>
    <t xml:space="preserve">Production and sale of vegetables or fruit </t>
  </si>
  <si>
    <t>إنتاج وبيع الخضار أو الفاكهة</t>
  </si>
  <si>
    <t>Production and sale of cashcrops</t>
  </si>
  <si>
    <t>إنتاج وبيع المحاصيل النقدية</t>
  </si>
  <si>
    <t xml:space="preserve">Production and sale of livestock or livestock products </t>
  </si>
  <si>
    <t>إنتاج وبيع الحيوانات الأليفة أو منتجاتها</t>
  </si>
  <si>
    <t>Production and sale of honey and bee products</t>
  </si>
  <si>
    <t xml:space="preserve">انتاج و بيع العسل أو منتجات النحل </t>
  </si>
  <si>
    <t>Production and sale of fish or aquatic products</t>
  </si>
  <si>
    <t>إنتاج وبيع الأسماك أو منتجات المنتجات المائية</t>
  </si>
  <si>
    <t>Collection and sale of natural resources (including forestry or bush products)</t>
  </si>
  <si>
    <t>جمع وبيع منتجات الغابات أو الأحراش</t>
  </si>
  <si>
    <t>Agricultural trade EXCLUDING producers (formal or informal)</t>
  </si>
  <si>
    <t>التجارة الزراعية الرسمية و غير الرسمية باستثناء المنتجين</t>
  </si>
  <si>
    <t xml:space="preserve">Daily wage on farms and other casual employment in agricultural sector </t>
  </si>
  <si>
    <t>الأجر اليومي في المزارع وغيرها من العمالة العرضية في قطاع الزراعة</t>
  </si>
  <si>
    <t xml:space="preserve">Stable employment in agricultural sector </t>
  </si>
  <si>
    <t>العمالة المستقرة في القطاع الزراعي</t>
  </si>
  <si>
    <t>Non-agricultural self-employed or liberal profession, doctor, architect, lawyer, including restaurant</t>
  </si>
  <si>
    <t>العاملين لحسابهم الخاص غير الزراعيين أو المهنة الحرة / طبيب / مهندس معماري / محامٍ / بما في ذلك مطعم</t>
  </si>
  <si>
    <t>Off-farm daily wages and other non-agricultural casual employment</t>
  </si>
  <si>
    <t>الأجور اليومية خارج المزرعة وغيرها من العمالة العرضية غير الزراعية</t>
  </si>
  <si>
    <t>Stable employment in non-agricultural sector</t>
  </si>
  <si>
    <t>العمالة المستقرة في القطاع غير الزراعي</t>
  </si>
  <si>
    <t xml:space="preserve">Public employment </t>
  </si>
  <si>
    <t>الوظائف العامة</t>
  </si>
  <si>
    <t>Income not derived from work / Charity</t>
  </si>
  <si>
    <t xml:space="preserve">الدخل غير المستمد من العمل / الاعمال الخيرية </t>
  </si>
  <si>
    <t>Income not derived from work / Welfare transfer, pension, humanitarian aid</t>
  </si>
  <si>
    <t>الدخل غير المستمد من العمل / المدفوعات التحويلية ، المعاش التقاعدي ، المساعدات الإنسانية</t>
  </si>
  <si>
    <t>Income not derived from work / Remittances</t>
  </si>
  <si>
    <t>الدخل غير المستمد من العمل / التحويلات</t>
  </si>
  <si>
    <t xml:space="preserve">Income not derived from work / Income from other rents                                                                                                                                              </t>
  </si>
  <si>
    <t>الدخل غير المستمد من العمل / الدخل من الإيجارات الأخرى</t>
  </si>
  <si>
    <t>No income source in the last 3 months and used exclusively savings / debts</t>
  </si>
  <si>
    <t>لم يكن هناك مصدر دخل خلال الأشهر الثلاثة الماضية واستخدمت المدخرات أو الدين حصريًا</t>
  </si>
  <si>
    <t>gender_inc_1</t>
  </si>
  <si>
    <t>Joint (both male &amp; female)</t>
  </si>
  <si>
    <t>مختلط ( ذكر و أنثى )</t>
  </si>
  <si>
    <t>gender_inc_2</t>
  </si>
  <si>
    <t>Male household member(s)</t>
  </si>
  <si>
    <t>الافراد الذكور</t>
  </si>
  <si>
    <t>Female household member(s)</t>
  </si>
  <si>
    <t>الافراد الاناث</t>
  </si>
  <si>
    <t>Joint household members (both female &amp; male)</t>
  </si>
  <si>
    <t>كلا من الذكور و الاناث</t>
  </si>
  <si>
    <t>change</t>
  </si>
  <si>
    <t>A lot more [increased by more than 50%]</t>
  </si>
  <si>
    <t>أكثر بكثير [زاد بنسبة تزيد عن 50٪]</t>
  </si>
  <si>
    <t>Slightly more</t>
  </si>
  <si>
    <t>أكثر قليلا</t>
  </si>
  <si>
    <t>Same</t>
  </si>
  <si>
    <t>نفس الشيء</t>
  </si>
  <si>
    <t>Slightly less</t>
  </si>
  <si>
    <t>أقل قليلاً</t>
  </si>
  <si>
    <t xml:space="preserve">A lot less [less than half as much] </t>
  </si>
  <si>
    <t>أقل بكثير [أقل من نصف الكمية]</t>
  </si>
  <si>
    <t>incomesource2</t>
  </si>
  <si>
    <t>Income not derived from work / Income from other rents</t>
  </si>
  <si>
    <t>No second most important source of income</t>
  </si>
  <si>
    <t xml:space="preserve">لم يكن هناك مصدر دخل ثانٍ </t>
  </si>
  <si>
    <t>incomesource3</t>
  </si>
  <si>
    <t xml:space="preserve">Income not derived from work / Income from other rents                                </t>
  </si>
  <si>
    <t>No third most important source of income</t>
  </si>
  <si>
    <t>لم يكن هناك مصدر دخل ثالث</t>
  </si>
  <si>
    <t>noshock</t>
  </si>
  <si>
    <t>No shock</t>
  </si>
  <si>
    <t>لا صدمة</t>
  </si>
  <si>
    <t>sicknessordeathofhh</t>
  </si>
  <si>
    <t>Sickness or accident or death of household member[s] [sickness of breadwinner / unusually high medical expenditure / funeral expenses / death of breadwinner]</t>
  </si>
  <si>
    <t>مرض أو حادث أو وفاة أحد أفراد الأسرة [مرض العائل / النفقات الطبية المرتفعة بشكل غير عادي / نفقات الجنازة / وفاة العائل]</t>
  </si>
  <si>
    <t>lostemplorwork</t>
  </si>
  <si>
    <t>Lost employment or working opportunities [not due to illness/accident]</t>
  </si>
  <si>
    <t>فرص العمل أو العمل المفقودة [ليس بسبب مرض / حادث]</t>
  </si>
  <si>
    <t>otherintrahhshock</t>
  </si>
  <si>
    <t>Other intra-household shock</t>
  </si>
  <si>
    <t>صدمة أخرى داخل الأسرة</t>
  </si>
  <si>
    <t>higherfoodprices</t>
  </si>
  <si>
    <t>Unusually high food prices</t>
  </si>
  <si>
    <t>أسعار المواد الغذائية أعلى بكثير من المعتاد</t>
  </si>
  <si>
    <t>higherfuelprices</t>
  </si>
  <si>
    <t>Unusually high fuel prices or transport prices</t>
  </si>
  <si>
    <t>أسعار الوقود  أو أسعار النقل أعلى بكثير من المعتاد</t>
  </si>
  <si>
    <t>mvtrestrict</t>
  </si>
  <si>
    <t>Population movement restrictions [e.g. due to epidemic or infrastructure damage]</t>
  </si>
  <si>
    <t>القيود المفروضة على حركة السكان [على سبيل المثال بسبب الوباء أو تلف البنية التحتية]</t>
  </si>
  <si>
    <t>othereconomicshock</t>
  </si>
  <si>
    <t xml:space="preserve">Other economic shock </t>
  </si>
  <si>
    <t>صدمة اقتصادية أخرى</t>
  </si>
  <si>
    <t>pestoutbreak</t>
  </si>
  <si>
    <t>Pest outbreak</t>
  </si>
  <si>
    <t>تفشي الآفات</t>
  </si>
  <si>
    <t>plantdisease</t>
  </si>
  <si>
    <t>Plant disease</t>
  </si>
  <si>
    <t>أمراض نباتية</t>
  </si>
  <si>
    <t>animaldisease</t>
  </si>
  <si>
    <t>Animal disease [affecting many animals] or death</t>
  </si>
  <si>
    <t>أمراض حيوانية تصيب العديد من الحيوانات أو تتسبب بنفقها</t>
  </si>
  <si>
    <t>napasture</t>
  </si>
  <si>
    <t>Lack of physical access to pasture</t>
  </si>
  <si>
    <t xml:space="preserve">عدم إمكانية الوصول للمراعي </t>
  </si>
  <si>
    <t>othercropandlivests</t>
  </si>
  <si>
    <t>Other crop and livestock shock</t>
  </si>
  <si>
    <t>صدمة أخرى للمحاصيل والماشية</t>
  </si>
  <si>
    <t>coldtemporhail</t>
  </si>
  <si>
    <t>Cold temperatures or hail</t>
  </si>
  <si>
    <t>درجات الحرارة الباردة أو البرد</t>
  </si>
  <si>
    <t>flood</t>
  </si>
  <si>
    <t>Flood / riverbank erosion</t>
  </si>
  <si>
    <t>الفيضانات / تآكل ضفاف الأنهار</t>
  </si>
  <si>
    <t>hurricane</t>
  </si>
  <si>
    <t>Hurricane / cyclone / tornado</t>
  </si>
  <si>
    <t xml:space="preserve">إعصار </t>
  </si>
  <si>
    <t>drought</t>
  </si>
  <si>
    <t>Drought / heat stress</t>
  </si>
  <si>
    <t>الجفاف / الإجهاد الحراري</t>
  </si>
  <si>
    <t>earthquake</t>
  </si>
  <si>
    <t>Earthquake</t>
  </si>
  <si>
    <t>زلزال</t>
  </si>
  <si>
    <t>landslides</t>
  </si>
  <si>
    <t>Landslides</t>
  </si>
  <si>
    <t>الانهيارات الارضية</t>
  </si>
  <si>
    <t>firenatural</t>
  </si>
  <si>
    <t>Fire from natural disaster</t>
  </si>
  <si>
    <t>حريق مسبب من كارثة طبيعية</t>
  </si>
  <si>
    <t>othernathazard</t>
  </si>
  <si>
    <t>Other natural hazard</t>
  </si>
  <si>
    <t>مخاطر طبيعية أخرى</t>
  </si>
  <si>
    <t>violenceinsecconf</t>
  </si>
  <si>
    <t>Violence and insecurity / conflict</t>
  </si>
  <si>
    <t>العنف وانعدام الأمن / النزاع</t>
  </si>
  <si>
    <t>theftofprodassets</t>
  </si>
  <si>
    <t>Theft of production assets [land / livestock / tools / etc]</t>
  </si>
  <si>
    <t>سرقة أصول الإنتاج [الأرض / الماشية / الأدوات / إلخ]</t>
  </si>
  <si>
    <t>firemanmade</t>
  </si>
  <si>
    <t>Fire from man-made disaster</t>
  </si>
  <si>
    <t>حريق مسبب من كارثة من صنع الإنسان</t>
  </si>
  <si>
    <t>othermanmadehazard</t>
  </si>
  <si>
    <t>Other human-induced hazard</t>
  </si>
  <si>
    <t>مخاطر أخرى من صنع الإنسان</t>
  </si>
  <si>
    <t>dk</t>
  </si>
  <si>
    <t>ref</t>
  </si>
  <si>
    <t>landsize_unit</t>
  </si>
  <si>
    <t>Acres</t>
  </si>
  <si>
    <t>فدان</t>
  </si>
  <si>
    <t>Hectares</t>
  </si>
  <si>
    <t>هكتار</t>
  </si>
  <si>
    <t>Square meters</t>
  </si>
  <si>
    <t>متر مربع</t>
  </si>
  <si>
    <t>Square feet</t>
  </si>
  <si>
    <t>قدم مربع</t>
  </si>
  <si>
    <t>cropcheck</t>
  </si>
  <si>
    <t xml:space="preserve">Don’t usually produce during this season </t>
  </si>
  <si>
    <t>لا أنتج عادة محاصيل خلال هذا الموسم</t>
  </si>
  <si>
    <t>Wasn't able to produce (e.g. due to difficulties)</t>
  </si>
  <si>
    <t>لم أتمكن من إنتاج المحاصيل (على سبيل المثال بسبب الصعوبات)</t>
  </si>
  <si>
    <t>irrigation</t>
  </si>
  <si>
    <t>Rainfed</t>
  </si>
  <si>
    <t>بعلي (لا يوجد نظام ري)</t>
  </si>
  <si>
    <t>Groundwater</t>
  </si>
  <si>
    <t>مياه جوفية</t>
  </si>
  <si>
    <t>Natural surface water [river, lake, stream, pond, etc.]</t>
  </si>
  <si>
    <t>مياه سطحية طبيعية ( نهر / بحيرة / بركة مياه / إلخ )</t>
  </si>
  <si>
    <t>Constructed water point [canal, dam, etc.]</t>
  </si>
  <si>
    <t>نقطة مياه منشأة ( قناة / سد / إلخ)</t>
  </si>
  <si>
    <t>Public water supply system [e.g. tap water]</t>
  </si>
  <si>
    <t>نظام تزويد مياه عام ( ماء الصنبور علي سبيل المثال )</t>
  </si>
  <si>
    <t>Other [specify]</t>
  </si>
  <si>
    <t>آخر [حدد]</t>
  </si>
  <si>
    <t>seedsupply</t>
  </si>
  <si>
    <t>ownprod</t>
  </si>
  <si>
    <t>Own production</t>
  </si>
  <si>
    <t>الإنتاج الخاص</t>
  </si>
  <si>
    <t>market</t>
  </si>
  <si>
    <t>Local market or agro-input shop / dealer</t>
  </si>
  <si>
    <t>اشتريها من السوق أو متجر المدخلات الزراعية</t>
  </si>
  <si>
    <t>company</t>
  </si>
  <si>
    <t>Private seed company</t>
  </si>
  <si>
    <t>اشتريها  من شركة بذور خاصة</t>
  </si>
  <si>
    <t>ngo</t>
  </si>
  <si>
    <t>NGOs</t>
  </si>
  <si>
    <t>المنظمات الغير حكومية</t>
  </si>
  <si>
    <t>organized_community</t>
  </si>
  <si>
    <t>Community seed banks / farmer networks / farmers' association / etc.</t>
  </si>
  <si>
    <t>بنوك البذور المجتمعية / شبكات المزارعين / إلخ</t>
  </si>
  <si>
    <t>gov</t>
  </si>
  <si>
    <t>Government [e.g. MoA]</t>
  </si>
  <si>
    <t>الحكومة ( وزارة الزراعة علي سبيل المثال )</t>
  </si>
  <si>
    <t>relatives_friends</t>
  </si>
  <si>
    <t>Relatives or friends</t>
  </si>
  <si>
    <t>الاقارب أو الاصدقاء</t>
  </si>
  <si>
    <t>other</t>
  </si>
  <si>
    <t>Other</t>
  </si>
  <si>
    <t>آخر</t>
  </si>
  <si>
    <t>cropproddiff</t>
  </si>
  <si>
    <t>plant_disease</t>
  </si>
  <si>
    <t xml:space="preserve">Plant disease </t>
  </si>
  <si>
    <t>مرض نباتي</t>
  </si>
  <si>
    <t>pest_outbreak</t>
  </si>
  <si>
    <t>Pest outbreak [including birds]</t>
  </si>
  <si>
    <t>تفشي الافات ( بما في ذلك الطيور )</t>
  </si>
  <si>
    <t>animal_grazing</t>
  </si>
  <si>
    <t>Uncontrolled animal grazing</t>
  </si>
  <si>
    <t>رعي الحيوانات الغير منضبط</t>
  </si>
  <si>
    <t>access_plot</t>
  </si>
  <si>
    <t>Access to plot</t>
  </si>
  <si>
    <t>الوصول إلى قطعة الأرض</t>
  </si>
  <si>
    <t>access_fertilize</t>
  </si>
  <si>
    <t>Access to fertilizer [not available on markets or prices too high]</t>
  </si>
  <si>
    <t>الوصول إلى الأسمدة [غير متوفرة في الأسواق أو أن اسعارها مرتفعة جداً]</t>
  </si>
  <si>
    <t>seed_quality</t>
  </si>
  <si>
    <t>Access to quality seeds</t>
  </si>
  <si>
    <t>الوصول الي البذور الجيدة</t>
  </si>
  <si>
    <t>seed_quantity</t>
  </si>
  <si>
    <t>Access to enough seeds [not available on markets or prices too high]</t>
  </si>
  <si>
    <t>الوصول إلى ما يكفي من البذور [غير متوفرة في الأسواق أو أن اسعارها مرتفعة جداً]</t>
  </si>
  <si>
    <t>access_pesticide</t>
  </si>
  <si>
    <t>Access to pesticides</t>
  </si>
  <si>
    <t>الوصول إلى المبيدات الحشرية</t>
  </si>
  <si>
    <t>access_labour</t>
  </si>
  <si>
    <t>Access to manpower labour</t>
  </si>
  <si>
    <t>الوصول إلى العمالة أو القوى العاملة</t>
  </si>
  <si>
    <t>access_machinery</t>
  </si>
  <si>
    <t>Access to machinery, tools or animals for ploughing</t>
  </si>
  <si>
    <t>الوصول إلى آلات أو أدوات أو حيوانات للحراثة</t>
  </si>
  <si>
    <t>access_fuel</t>
  </si>
  <si>
    <t>Access to fuel or electricity to power agricultural equipment</t>
  </si>
  <si>
    <t>الحصول على الوقود أو الكهرباء لتشغيل المعدات الزراعية</t>
  </si>
  <si>
    <t>soil_erosion</t>
  </si>
  <si>
    <t>Soil erosion</t>
  </si>
  <si>
    <t>تعرية التربة</t>
  </si>
  <si>
    <t>lack_irrigation</t>
  </si>
  <si>
    <t xml:space="preserve">Not enough irrigation or rainfall water </t>
  </si>
  <si>
    <t>عدم كفاية مياه الري أو مياه الأمطار</t>
  </si>
  <si>
    <t>excess_water</t>
  </si>
  <si>
    <t>Too much irrigation or water</t>
  </si>
  <si>
    <t>زيادة مياه الري</t>
  </si>
  <si>
    <t>access_credit</t>
  </si>
  <si>
    <t>Access to credit</t>
  </si>
  <si>
    <t>الحصول على تمويل</t>
  </si>
  <si>
    <t>storage</t>
  </si>
  <si>
    <t>None</t>
  </si>
  <si>
    <t>لا شيء</t>
  </si>
  <si>
    <t>A little</t>
  </si>
  <si>
    <t>قليلا</t>
  </si>
  <si>
    <t>An important part of it, but less than half</t>
  </si>
  <si>
    <t>جزء مهم منه ولكن أقل من النصف</t>
  </si>
  <si>
    <t>Most of it [half or more]</t>
  </si>
  <si>
    <t>معظمها [نصف أو أكثر]</t>
  </si>
  <si>
    <t>Almost everything</t>
  </si>
  <si>
    <t>كل شيء تقريبا</t>
  </si>
  <si>
    <t>Everything</t>
  </si>
  <si>
    <t>كل شيء</t>
  </si>
  <si>
    <t>cropsalesdiff</t>
  </si>
  <si>
    <t>marketing_cost</t>
  </si>
  <si>
    <t>High transportation or other marketing costs</t>
  </si>
  <si>
    <t>ارتفاع تكاليف النقل أو تكاليف التسويق الأخرى</t>
  </si>
  <si>
    <t>damage_losses</t>
  </si>
  <si>
    <t>Damages and losses due to storage difficulties and/or difficulty accessing the market [e.g. insecurity, poor infrastructure, etc.]</t>
  </si>
  <si>
    <t>الاضرار و الخسائر نتيجة صعوبات التخزين و صعوبة الوصول الي السوق ( انعدام الامن / البنية التحتية الفقيرة و غيرها )</t>
  </si>
  <si>
    <t>low_demand</t>
  </si>
  <si>
    <t xml:space="preserve">Lack of demand from usual traders or buyers </t>
  </si>
  <si>
    <t>قلة الطلب من المشترين و التجار المعتادين</t>
  </si>
  <si>
    <t>pay_delay</t>
  </si>
  <si>
    <t>Payment delays from traders / buyers</t>
  </si>
  <si>
    <t>تأخر المدفوعات من التجار و المشترين</t>
  </si>
  <si>
    <t>low_price</t>
  </si>
  <si>
    <t>Low selling prices [e.g. compared to input prices / inflation]</t>
  </si>
  <si>
    <t>انخفاض أسعار البيع ( مقارنة باسعار المدخلات / التضخم علي سبيل المثال )</t>
  </si>
  <si>
    <t>processing</t>
  </si>
  <si>
    <t>Difficulty processing product [lack of processing inputs / equipment / etc]</t>
  </si>
  <si>
    <t xml:space="preserve">صعوبة معالجة المنتج (قلة مدخلات المعالجة ، المعدات و غيرها ) </t>
  </si>
  <si>
    <t>competition</t>
  </si>
  <si>
    <t>Market flooded with products</t>
  </si>
  <si>
    <t>تشبع السوق بالمنتجات</t>
  </si>
  <si>
    <t>Cattle [cow / beef / veal / yak / buffalo]</t>
  </si>
  <si>
    <t>البقر [بقرة / ثور / عجل  / ياك / جاموس]</t>
  </si>
  <si>
    <t>Goat</t>
  </si>
  <si>
    <t>الماعز</t>
  </si>
  <si>
    <t>Sheep</t>
  </si>
  <si>
    <t>الأغنام</t>
  </si>
  <si>
    <t>Swine [swine / boar / hog / etc]</t>
  </si>
  <si>
    <t>الخنازير [خنزير / خنزير بري / إلخ]</t>
  </si>
  <si>
    <t>Equine [donkey / horse / etc]</t>
  </si>
  <si>
    <t>الحمير/ الأحصنة</t>
  </si>
  <si>
    <t>Small domesticated mammals [rabbits / minks / guinea pigs / etc]</t>
  </si>
  <si>
    <t>الثدييات المستأنسة الصغيرة [الأرانب / المنك / خنازير غينيا / إلخ]</t>
  </si>
  <si>
    <t>Poultry [chicken / guineafowl / duck / quail / turkey / etc]</t>
  </si>
  <si>
    <t>دواجن [دجاج / دجاج غينيا / بطة / سمان / ديك رومي / إلخ]</t>
  </si>
  <si>
    <t>Camelids</t>
  </si>
  <si>
    <t>الإبل</t>
  </si>
  <si>
    <t>lsnum</t>
  </si>
  <si>
    <t>no_change</t>
  </si>
  <si>
    <t>No significant change in livestock number</t>
  </si>
  <si>
    <t>لا تغيير ملحوظ في عدد الماشية</t>
  </si>
  <si>
    <t>inc_less_sales</t>
  </si>
  <si>
    <t>Did not sell as many</t>
  </si>
  <si>
    <t>لم نتمكن البيع بنفس المقدار</t>
  </si>
  <si>
    <t>inc_more_birth</t>
  </si>
  <si>
    <t>Many more were born</t>
  </si>
  <si>
    <t>زيادة عدد المواليد</t>
  </si>
  <si>
    <t>inc_more_acquired</t>
  </si>
  <si>
    <t>Purchased or bartered more animals this year</t>
  </si>
  <si>
    <t>شراء أو مقايضة المزيد من الحيوانات هذا العام</t>
  </si>
  <si>
    <t>inc_received_free</t>
  </si>
  <si>
    <t>Received animals for free [restocking, gift]</t>
  </si>
  <si>
    <t>إستلام حيوانات مجانًا [إعادة تخزين / هدية]</t>
  </si>
  <si>
    <t>dec_poor_health</t>
  </si>
  <si>
    <t>Animal death due to malnutrition, drought, lack of feed</t>
  </si>
  <si>
    <t>وفاة الحيوانات نتيجة سوء التغذية / الجفاف / قلة الغذاء</t>
  </si>
  <si>
    <t>dec_death</t>
  </si>
  <si>
    <t>Animal death due to other factors [e.g. diseases, parasites, injury]</t>
  </si>
  <si>
    <t>وفاة الحيوانات نتيجة عوامل أخرى ( الامراض / الطفيليات / الإصابات علي سبيل المثال )</t>
  </si>
  <si>
    <t>dec_sales_good_price</t>
  </si>
  <si>
    <t>Sold more than usual because of good prices</t>
  </si>
  <si>
    <t>بيعت أكثر من المعتاد بسبب الأسعار الجيدة</t>
  </si>
  <si>
    <t>dec_sales_distress</t>
  </si>
  <si>
    <t>Sold more than usual because of distress sales [unable to feed animal, need money urgently for household basic needs even if sales were unsustainable]</t>
  </si>
  <si>
    <t>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t>
  </si>
  <si>
    <t>dec_escape_stolen</t>
  </si>
  <si>
    <t>Animal escaped or was lost or stolen</t>
  </si>
  <si>
    <t>هروب الحيوانات أو فقدانها أو سرقتها</t>
  </si>
  <si>
    <t>dec_consumed</t>
  </si>
  <si>
    <t>Killed or gave away more animals than usual for household consumption or celebrations [marriage, funerals, etc]</t>
  </si>
  <si>
    <t>قتل أو توزيع حيوانات أكثر من المعتاد للاستهلاك المنزلي أو للاحتفالات [زواج / جنازات / إلخ]</t>
  </si>
  <si>
    <t>inc_dec_other</t>
  </si>
  <si>
    <t>inc_dec_dk</t>
  </si>
  <si>
    <t>inc_dec_ref</t>
  </si>
  <si>
    <t>lsfood</t>
  </si>
  <si>
    <t>open_pasture</t>
  </si>
  <si>
    <t>Open pasture</t>
  </si>
  <si>
    <t>المرعى المفتوح</t>
  </si>
  <si>
    <t>common_pasture</t>
  </si>
  <si>
    <t>Community-managed pasture land</t>
  </si>
  <si>
    <t>أراضي المراعي التي يديرها المجتمع</t>
  </si>
  <si>
    <t>self_produced</t>
  </si>
  <si>
    <t>Owned or rented field or self-produced fodder</t>
  </si>
  <si>
    <t>الحقول المملوكة أو المؤجرة أو الأعلاف المنتجة ذاتيا</t>
  </si>
  <si>
    <t>purchased</t>
  </si>
  <si>
    <t>Purchase feed or fodder at the market</t>
  </si>
  <si>
    <t>شراء العلف من الأسواق</t>
  </si>
  <si>
    <t>free_dist</t>
  </si>
  <si>
    <t>Free distribution</t>
  </si>
  <si>
    <t>التوزيع المجاني</t>
  </si>
  <si>
    <t xml:space="preserve">Other </t>
  </si>
  <si>
    <t>lsproddiff</t>
  </si>
  <si>
    <t>feed_purchase</t>
  </si>
  <si>
    <t>Difficulty to purchase feed [prices or access to market]</t>
  </si>
  <si>
    <t>صعوبة شراء العلف [الأسعار أو الوصول إلى السوق]</t>
  </si>
  <si>
    <t>access_pasture</t>
  </si>
  <si>
    <t>Access to pasture</t>
  </si>
  <si>
    <t>الوصول إلى المراعي</t>
  </si>
  <si>
    <t>access_water</t>
  </si>
  <si>
    <t>Access to water</t>
  </si>
  <si>
    <t>الحصول على الماء</t>
  </si>
  <si>
    <t>vet_serv</t>
  </si>
  <si>
    <t>Access to veterinary services [vaccinations, treatments, spraying, advisory etc]</t>
  </si>
  <si>
    <t>الحصول على الخدمات البيطرية ( التطعيمات / العلاج / نصائح الرش و غيرها )</t>
  </si>
  <si>
    <t>vet_input</t>
  </si>
  <si>
    <t>Access to veterinary inputs [medicine for animals / tools for animal health / etc]</t>
  </si>
  <si>
    <t>الوصول إلى المدخلات البيطرية [أدوية للحيوانات / أدوات لصحة الحيوان / إلخ]</t>
  </si>
  <si>
    <t>diseases</t>
  </si>
  <si>
    <t>Livestock diseases or injury</t>
  </si>
  <si>
    <t>أمراض الماشية أو الموت</t>
  </si>
  <si>
    <t>theft</t>
  </si>
  <si>
    <t>Livestock theft</t>
  </si>
  <si>
    <t>سرقة المواشي</t>
  </si>
  <si>
    <t>access_market</t>
  </si>
  <si>
    <t>Access to livestock market to buy young animals</t>
  </si>
  <si>
    <t>الوصول إلى سوق المواشي لشراء الحيوانات الصغيرة العمر</t>
  </si>
  <si>
    <t>الحصول على الائتمان</t>
  </si>
  <si>
    <t>الوصول إلى القوى العاملة</t>
  </si>
  <si>
    <t>lsmain2</t>
  </si>
  <si>
    <t>No other livestock</t>
  </si>
  <si>
    <t>لا مواشي أخرى</t>
  </si>
  <si>
    <t>salesmain</t>
  </si>
  <si>
    <t>البقر [بقرة / ثور / عجل / ياك / جاموس]</t>
  </si>
  <si>
    <t>Equine [donkey / horse / etc.]</t>
  </si>
  <si>
    <t>Poultry [chicken / guineafowl / duck / quail / turkey / etc.]</t>
  </si>
  <si>
    <t>Eggs</t>
  </si>
  <si>
    <t>البيض</t>
  </si>
  <si>
    <t>Milk or dairy products</t>
  </si>
  <si>
    <t>الحليب أو مشتقاته</t>
  </si>
  <si>
    <t>Skin or leather or wool</t>
  </si>
  <si>
    <t>الجلد أو الصوف</t>
  </si>
  <si>
    <t>lssalesdif</t>
  </si>
  <si>
    <t xml:space="preserve">Damage and losses during transportation or difficulty accessing the market </t>
  </si>
  <si>
    <t>الأضرار والخسائر أثناء النقل أو صعوبة الوصول إلى السوق</t>
  </si>
  <si>
    <t>Lack of demand from usual traders or buyers</t>
  </si>
  <si>
    <t>انخفاض الطلب من التجار و المشترين المعتادين</t>
  </si>
  <si>
    <t>أسعار بيع منخفضة [على سبيل المثال مقارنة بأسعار المدخلات / التضخم]</t>
  </si>
  <si>
    <t>slaughterhouse</t>
  </si>
  <si>
    <t>Closure of slaughterhouses or difficulties accessing slaughterhouses</t>
  </si>
  <si>
    <t>إغلاق المسالخ أو صعوبة الوصول إلى المسالخ</t>
  </si>
  <si>
    <t>Difficulties processing product other than closure of slaughterhouse [lack of access to processing inputs / equipment / etc]</t>
  </si>
  <si>
    <t>صعوبات في معالجة المنتج بخلاف إغلاق المسلخ [تعثر الوصول إلى مدخلات المعالجة / المعدات / إلخ]</t>
  </si>
  <si>
    <t>fishactivity</t>
  </si>
  <si>
    <t>coastal</t>
  </si>
  <si>
    <t>Near coastal, delta, lagoon fishing</t>
  </si>
  <si>
    <t>الصيد الساحلي بالقرب من الساحل و الدلتا و البحيرات</t>
  </si>
  <si>
    <t>offshore_sea</t>
  </si>
  <si>
    <t>Offshore sea fishing</t>
  </si>
  <si>
    <t>الصيد البحري المفتوح</t>
  </si>
  <si>
    <t>freshwater</t>
  </si>
  <si>
    <t>Freshwater fishing [in lakes, reservoirs, ponds, rivers, or wetlands]</t>
  </si>
  <si>
    <t>صيد الأسماك في المياه العذبة [على سبيل المثال البحيرات والبرك والأنهار]</t>
  </si>
  <si>
    <t>aquaculture</t>
  </si>
  <si>
    <t>Aquaculture</t>
  </si>
  <si>
    <t>تربية الأحياء المائية</t>
  </si>
  <si>
    <t>fishproddiff</t>
  </si>
  <si>
    <t>find_fish</t>
  </si>
  <si>
    <t>Fish is more difficult to find than in previous years in the same season [fishing]</t>
  </si>
  <si>
    <t>يصعب العثور على الأسماك مقارنة بالسنوات السابقة في نفس الموسم</t>
  </si>
  <si>
    <t>pests</t>
  </si>
  <si>
    <t>Fish pests and diseases [aquaculture]</t>
  </si>
  <si>
    <t>الآفات و الامراض السمكية ( تربية الاحياء السمكية)</t>
  </si>
  <si>
    <t>access_area</t>
  </si>
  <si>
    <t>Access to fishing or aquaculture area [e.g. due to weather conditions]</t>
  </si>
  <si>
    <t>الوصول الي الاسماك أو مناطق تربية الاحياء المائية ( بسبب الطقس أو مشاكل امنية علي سبيل المثال)</t>
  </si>
  <si>
    <t>fuel</t>
  </si>
  <si>
    <t>Access to fuel [prices higher or not available]</t>
  </si>
  <si>
    <t>الحصول على الوقود [أسعار أعلى أو غير متوفرة]</t>
  </si>
  <si>
    <t>input_access</t>
  </si>
  <si>
    <t>Access to other fishing or culture inputs [prices higher or not available]</t>
  </si>
  <si>
    <t>الوصول إلى مواد الصيد و- أو غيرها من المدخلات [أسعار أعلى أو غير متوفرة]</t>
  </si>
  <si>
    <t>labour</t>
  </si>
  <si>
    <t>Access to labour or crew labour [prices higher or not available]</t>
  </si>
  <si>
    <t>الوصول إلى العمالة أو طاقم العمل [أسعار أعلى أو غير متوفرة]</t>
  </si>
  <si>
    <t>infrastructure</t>
  </si>
  <si>
    <t>Damage or destruction of infrastructure [ponds, cages, ports, landing sites]</t>
  </si>
  <si>
    <t>إتلاف أو تدمير البنية التحتية [الأحواض والأقفاص والموانئ ومواقع الإنزال]</t>
  </si>
  <si>
    <t>damage_equip</t>
  </si>
  <si>
    <t>Damage or destruction of boats or gears</t>
  </si>
  <si>
    <t>إتلاف أو تدمير القوارب و المعدات</t>
  </si>
  <si>
    <t>fishinput</t>
  </si>
  <si>
    <t>bait_feed</t>
  </si>
  <si>
    <t>Feed or bait</t>
  </si>
  <si>
    <t>العلف أو الطعم</t>
  </si>
  <si>
    <t>fingerling</t>
  </si>
  <si>
    <t>Fingerling</t>
  </si>
  <si>
    <t>الاسماك اليافعة ( صغار الاسماك )</t>
  </si>
  <si>
    <t>gear</t>
  </si>
  <si>
    <t>Fishing gear [e.g. rods, hooks, nets]</t>
  </si>
  <si>
    <t>معدات الصيد [الشبك ، الخطاف ، القضبان علي سبيل المثال]</t>
  </si>
  <si>
    <t>ice</t>
  </si>
  <si>
    <t>Ice</t>
  </si>
  <si>
    <t>الجليد (الثلج)</t>
  </si>
  <si>
    <t>Fuel</t>
  </si>
  <si>
    <t>الوقود</t>
  </si>
  <si>
    <t>boatrepairs</t>
  </si>
  <si>
    <t>Equipment repairs [including boats] or spare parts</t>
  </si>
  <si>
    <t>اصلاح المعدات بما فيها القوارب و قطع الغيار</t>
  </si>
  <si>
    <t>Labour</t>
  </si>
  <si>
    <t>العمالة</t>
  </si>
  <si>
    <t>fishsales</t>
  </si>
  <si>
    <t>Fresh product [any kind, including invertebrates]</t>
  </si>
  <si>
    <t>المنتج الطازج [أي نوع، بما في ذلك اللافقاريات]</t>
  </si>
  <si>
    <t>Preserved product [including dry, smoked, fermented, salted]</t>
  </si>
  <si>
    <t>المنتج المحفوظ [بما في ذلك الجاف، المدخن، المخمر، المملح]</t>
  </si>
  <si>
    <t>Frozen product</t>
  </si>
  <si>
    <t>المنتج المجمد</t>
  </si>
  <si>
    <t>Canned product</t>
  </si>
  <si>
    <t>المنتج المعلب</t>
  </si>
  <si>
    <t>fishsalesdif</t>
  </si>
  <si>
    <t>Deterioration and losses due to storage difficulties or delays or inability to physically access markets</t>
  </si>
  <si>
    <t>الأضرار والخسائر الناتجة عن صعوبات في التخزين أو التأخير أو عدم القدرة على الوصول  إلى الأسواق</t>
  </si>
  <si>
    <t>Lack of demand from usual buyers/traders</t>
  </si>
  <si>
    <t>قلة الطلب من التجار أو المشترين المعتادين</t>
  </si>
  <si>
    <t xml:space="preserve">Payment delays from traders/buyers </t>
  </si>
  <si>
    <t xml:space="preserve">تأخر المدفوعات من التجار و المشترين </t>
  </si>
  <si>
    <t>low_prices</t>
  </si>
  <si>
    <t>Difficulties processing product [lack of access to processing inputs / equipment / etc]</t>
  </si>
  <si>
    <t>صعوبات في معالجة المنتج [تعثر الوصول إلى مدخلات المعالجة / المعدات / إلخ]</t>
  </si>
  <si>
    <t>Market flooded with product</t>
  </si>
  <si>
    <t xml:space="preserve">آخر </t>
  </si>
  <si>
    <t>frequency</t>
  </si>
  <si>
    <t>Rarely (1-2 times in the past 30 days)</t>
  </si>
  <si>
    <t>نادرًا (مرة إلى مرتين في الثلاثين يومًا الماضية)</t>
  </si>
  <si>
    <t>Sometimes (3-10 times in the past 30 days)</t>
  </si>
  <si>
    <t>في بعض الأحيان (3-10 مرات في الثلاثين يومًا الماضية)</t>
  </si>
  <si>
    <t>Often (more than 10 times in the last 30 days)</t>
  </si>
  <si>
    <t>في كثير من الأحيان (أكثر من 10 مرات في آخر 30 يومًا)</t>
  </si>
  <si>
    <t xml:space="preserve">DON'T KNOW </t>
  </si>
  <si>
    <t>coping</t>
  </si>
  <si>
    <t>No - because it wasn’t necessary</t>
  </si>
  <si>
    <t>لا - لأنه لم يكن ذلك ضرورياً</t>
  </si>
  <si>
    <t>No - because you already sold those assets or did this activity within the last 12 months and you cannot continue to do it</t>
  </si>
  <si>
    <t>لا - لأننا بعنا تلك الأصول من قبل أو لجأنا إلى هذه الإستراتيجية خلال الـ 12 شهرًا الماضية ولا يمكننا الاستمرار في القيام بذلك</t>
  </si>
  <si>
    <t>Not applicable</t>
  </si>
  <si>
    <t>لا ينطبق</t>
  </si>
  <si>
    <t>cereals</t>
  </si>
  <si>
    <t>Cereals [wheat / rice /barley/ spaghetti /burgul/ bread or any other locally available grain]</t>
  </si>
  <si>
    <t>الحبوب [ القمح / الأرز/شعير / السباغيتي/البرغل / الخبز أو أي حبوب أخرى متوفرة محليًا]</t>
  </si>
  <si>
    <t>rootstubers</t>
  </si>
  <si>
    <t>Roots and tubers [sugar beets/ white sweet potato / potato or other tubers]</t>
  </si>
  <si>
    <t>الجذور والدرنات [الشمندر/ البطاطا الحلوة البيضاء / البطاطا أو درنات أخرى]</t>
  </si>
  <si>
    <t>vegetables</t>
  </si>
  <si>
    <t>Vegetables [all]</t>
  </si>
  <si>
    <t>الخضار [الكل]</t>
  </si>
  <si>
    <t>fruits</t>
  </si>
  <si>
    <t>Fruit [all]</t>
  </si>
  <si>
    <t>الفواكه [الكل]</t>
  </si>
  <si>
    <t>meat</t>
  </si>
  <si>
    <t>Meat, poultry and offal [beef / pork / lamb /goat / chicken /wild game/ birds / liver / kidney / heart / or other organ meats]</t>
  </si>
  <si>
    <t>اللحوم / الدواجن ومخلفاتها [لحم البقر / لحم الخنزير / لحم الغنم / لحم الماعز  / الدجاج /الطرائد البريّة/ العصافير / الكبد / الكلى / القلب / أو غيرها من لحوم الأعضاء]</t>
  </si>
  <si>
    <t>eggs</t>
  </si>
  <si>
    <t>fish</t>
  </si>
  <si>
    <t>Fish or shellfish [fresh/canned or other seafood]</t>
  </si>
  <si>
    <t>الأسماك أو المحار [الأسماك الطازجة/المعلّبة او  غيرها]</t>
  </si>
  <si>
    <t>legumes</t>
  </si>
  <si>
    <t>Legumes, nuts and seeds [beans/favabeans/chickpeas/ peas / peanut / lentils / almond / and/or other nuts]</t>
  </si>
  <si>
    <t>البقوليات والمكسرات [الفول / الفاصوليا/الحمص/ البازلاء / الفول السوداني / العدس / اللوز / المكسرات الأخرى]</t>
  </si>
  <si>
    <t>milkdairy</t>
  </si>
  <si>
    <t>Milk and other dairy products [fresh milk / yogurt / cheese / other dairy products]</t>
  </si>
  <si>
    <t>الحليب ومنتجات الألبان الأخرى [حليب طازج / لبن رائب / جبن / منتجات ألبان أخرى]</t>
  </si>
  <si>
    <t>oils</t>
  </si>
  <si>
    <t>Oil/fat / butter [cooking / butter / margarine / fat/oil / other oil]</t>
  </si>
  <si>
    <t>الزيوت والدهون [ الزبدة / المارجرين / الدهون / الزيت / الزيوت الأخرى]</t>
  </si>
  <si>
    <t>sugar</t>
  </si>
  <si>
    <t>Sugar or sugary products [honey / jam / candy / biscuits / pastries / cakes and other sweet products]</t>
  </si>
  <si>
    <t>السكر أو المنتجات السكرية [عسل / مربى / حلوى / شوكولاتة / بسكويت / حلو / كيك ومنتجات حلوة أخرى]</t>
  </si>
  <si>
    <t>condiments</t>
  </si>
  <si>
    <t>Condiments [salt / Chicken or meat stock/garlic /zaatar (with sesame and sumac) spices / yeast or baking powder / tomato or tomato sauce], coffee, tea</t>
  </si>
  <si>
    <t>التوابل [ الملح /مرقة الدجاج أو اللّحم/ الثوم/ زعتر(مع السمسم و السمّاق) / البهارات / الخميرة / مسحوق الخبز (بكنج باودر) / الطماطم أو صلصة الطماطم] والقهوة و الشاي</t>
  </si>
  <si>
    <t>needs</t>
  </si>
  <si>
    <t>food</t>
  </si>
  <si>
    <t>Food</t>
  </si>
  <si>
    <t>الطعام</t>
  </si>
  <si>
    <t>cash</t>
  </si>
  <si>
    <t>Cash</t>
  </si>
  <si>
    <t xml:space="preserve">المساعدة النقدية </t>
  </si>
  <si>
    <t>vouchers_fair</t>
  </si>
  <si>
    <t>Vouchers or input trade fairs</t>
  </si>
  <si>
    <t xml:space="preserve">قسائم المشتريات </t>
  </si>
  <si>
    <t>crop_inputs</t>
  </si>
  <si>
    <t>Inputs for crop and/or vegetable production [e.g. seeds, fertilizer, tools]</t>
  </si>
  <si>
    <t xml:space="preserve">مدخلات انتاج المحاصيل و الخضروات [على سبيل المثال البذور و الاسمدة و المعدات] </t>
  </si>
  <si>
    <t>crop_infrastructure</t>
  </si>
  <si>
    <t>Infrastructure for crop and/or vegetable production [e.g. irrigation, canal rehabilitation, pumps]</t>
  </si>
  <si>
    <t>البنية التحتية لانتاج المحاصيل و الخضروات [على سبيل المثال الري، اعادة تأهيل قنوات الري و المضخات]</t>
  </si>
  <si>
    <t>crop_knowledge</t>
  </si>
  <si>
    <t>Training &amp; technical knowledge/advice for crop production</t>
  </si>
  <si>
    <t xml:space="preserve">التدريبات المهنية و المعرفة / النصائح التقنية لإنتاج المحاصيل </t>
  </si>
  <si>
    <t>Livestock feed [fodder or supplementary feed]</t>
  </si>
  <si>
    <t>أعلاف الحيوانات [علف أو علف تكميلي]</t>
  </si>
  <si>
    <t>ls_vet_service</t>
  </si>
  <si>
    <t>Veterinary services [e.g. vaccination, dips, deworming]</t>
  </si>
  <si>
    <t>الخدمات البيطرية [على سبيل المثال التطعيم والتخلص من الديدان]</t>
  </si>
  <si>
    <t>ls_infrastructure</t>
  </si>
  <si>
    <t>Infrastructure for livestock [e.g. water points, transhumance corridors, shelter, health points]</t>
  </si>
  <si>
    <t>البنية التحتية لانتاج الماشية [على سبيل المثال نقاط المياه ، ممرات التنقل الرعوي ، المأوى ، النقاط الصحية]</t>
  </si>
  <si>
    <t>ls_knowledge</t>
  </si>
  <si>
    <t>Training &amp; technical knowledge/advice for livestock production</t>
  </si>
  <si>
    <t xml:space="preserve">التدريبات المهنية و المعرفة / النصائح التقنية لانتاج الماشية </t>
  </si>
  <si>
    <t>fish_inputs</t>
  </si>
  <si>
    <t>Inputs for fishing or aquaculture production</t>
  </si>
  <si>
    <t xml:space="preserve"> المدخلات لانتاج الاسماك و تربية الاحياء المائية</t>
  </si>
  <si>
    <t>fish_infrastructure</t>
  </si>
  <si>
    <t>Infrastructure for fisheries or aquaculture production [e.g. rehabilitation of port; repair of ponds]</t>
  </si>
  <si>
    <t>البنية التحتية لانتاج مصايد الاسماك و تربية الاحياء المائية  [اعادة تأهيل الموانيء و اصلاح البرك علي سبيل المثال]</t>
  </si>
  <si>
    <t>fish_knowledge</t>
  </si>
  <si>
    <t>Training &amp; technical knowledge/advice for fisheries or aquaculture production</t>
  </si>
  <si>
    <t>التدريبات المهنية و المعرفة / النصائح التقنية لانتاج مصايد الاسماك و تربية الاحياء المائية</t>
  </si>
  <si>
    <t>env_infra_rehab</t>
  </si>
  <si>
    <t>Environmental or infrastructure rehabilitation [community-wide]</t>
  </si>
  <si>
    <t xml:space="preserve">اعادة ترميم البنية التحتية و البيئية ( علي نطاق مجتمعي ) </t>
  </si>
  <si>
    <t>cold_storage</t>
  </si>
  <si>
    <t>Cold storage</t>
  </si>
  <si>
    <t>التخزين البارد</t>
  </si>
  <si>
    <t>marketing_supp</t>
  </si>
  <si>
    <t>Marketing or sales support [e.g. public procurement]</t>
  </si>
  <si>
    <t>دعم المبيعات أو التسويق [المشتريات العامة علي سبيل المثال]</t>
  </si>
  <si>
    <t>needreceived</t>
  </si>
  <si>
    <t>الغذاء</t>
  </si>
  <si>
    <t xml:space="preserve">Cash </t>
  </si>
  <si>
    <t xml:space="preserve">مساعدة نقدية </t>
  </si>
  <si>
    <t>Vouchers/input trade fairs</t>
  </si>
  <si>
    <t>قسائم المشتريات</t>
  </si>
  <si>
    <t>crop_assist</t>
  </si>
  <si>
    <t>Crop and/or vegetable production assistance</t>
  </si>
  <si>
    <t>مساعدة لانتاج المحاصيل و الخضروات</t>
  </si>
  <si>
    <t>ls_assist</t>
  </si>
  <si>
    <t>Livestock assistance</t>
  </si>
  <si>
    <t xml:space="preserve">مساعدة لانتاج الماشية </t>
  </si>
  <si>
    <t>fish_assist</t>
  </si>
  <si>
    <t>Fisheries and/or aquaculture assistance</t>
  </si>
  <si>
    <t xml:space="preserve">مساعدة لانتاج مصايد الاسماك و تربية الاحياء المائية </t>
  </si>
  <si>
    <t>rehabilitation</t>
  </si>
  <si>
    <t xml:space="preserve">اعادة تأهيل البنية التحتية و البيئية علي نطاق مجتمعي </t>
  </si>
  <si>
    <t>sales_support</t>
  </si>
  <si>
    <t>دعم المبيعات أو التسويق [المشتريات العامة على سبيل المثال]</t>
  </si>
  <si>
    <t>none</t>
  </si>
  <si>
    <t>No assistance received</t>
  </si>
  <si>
    <t>لم تتلق المساعدة</t>
  </si>
  <si>
    <t>assist_quality</t>
  </si>
  <si>
    <t>No - not received on time</t>
  </si>
  <si>
    <t>لا - لم يتم استلامها في الوقت المحدد</t>
  </si>
  <si>
    <t>No - did not meet my needs</t>
  </si>
  <si>
    <t>لا - لم تلبي احتياجاتي</t>
  </si>
  <si>
    <t>No - quantity was not sufficient</t>
  </si>
  <si>
    <t>لا - الكمية لم تكن كافية</t>
  </si>
  <si>
    <t>No - there was a problem with the provider</t>
  </si>
  <si>
    <t>لا - حدثت مشكلة مع المزود</t>
  </si>
  <si>
    <t>No - there was a malfunction of the in-kind assistance provided [e.g. poor quality tools]</t>
  </si>
  <si>
    <t>لا - حدث خلل في المساعدة العينية المقدمة [على سبيل المثال أدوات ذات جودة رديئة]</t>
  </si>
  <si>
    <t>provider</t>
  </si>
  <si>
    <t>fao</t>
  </si>
  <si>
    <t>FAO</t>
  </si>
  <si>
    <t xml:space="preserve">منطمة الاغذية و الزراعة للأمم المتحدة </t>
  </si>
  <si>
    <t>wfp</t>
  </si>
  <si>
    <t>WFP</t>
  </si>
  <si>
    <t>برنامج الغذاء العالمي</t>
  </si>
  <si>
    <t>otherun</t>
  </si>
  <si>
    <t>Other UN agencies</t>
  </si>
  <si>
    <t>منظمات أخرى تابعة للامم المتحدة</t>
  </si>
  <si>
    <t>Government</t>
  </si>
  <si>
    <t>جهات حكومية</t>
  </si>
  <si>
    <t>Non-governmental/local organization</t>
  </si>
  <si>
    <t xml:space="preserve">منظمة محلية / غير حكومية </t>
  </si>
  <si>
    <t>week</t>
  </si>
  <si>
    <t>mon</t>
  </si>
  <si>
    <t>Monday</t>
  </si>
  <si>
    <t>الاثنين</t>
  </si>
  <si>
    <t>tues</t>
  </si>
  <si>
    <t>Tuesday</t>
  </si>
  <si>
    <t>الثلاثاء</t>
  </si>
  <si>
    <t>wed</t>
  </si>
  <si>
    <t>Wednesday</t>
  </si>
  <si>
    <t>الأربعاء</t>
  </si>
  <si>
    <t>thurs</t>
  </si>
  <si>
    <t>Thursday</t>
  </si>
  <si>
    <t>الخميس</t>
  </si>
  <si>
    <t>fri</t>
  </si>
  <si>
    <t>Friday</t>
  </si>
  <si>
    <t>الجمعة</t>
  </si>
  <si>
    <t>sat</t>
  </si>
  <si>
    <t>Saturday</t>
  </si>
  <si>
    <t>السبت</t>
  </si>
  <si>
    <t>sun</t>
  </si>
  <si>
    <t>Sunday</t>
  </si>
  <si>
    <t>الأحد</t>
  </si>
  <si>
    <t>morn</t>
  </si>
  <si>
    <t>Mornings</t>
  </si>
  <si>
    <t>الصباح</t>
  </si>
  <si>
    <t>aft</t>
  </si>
  <si>
    <t>Afternoons</t>
  </si>
  <si>
    <t>بعد الظهر</t>
  </si>
  <si>
    <t>eve</t>
  </si>
  <si>
    <t>Evenings</t>
  </si>
  <si>
    <t>المساء</t>
  </si>
  <si>
    <t>hh_agric_checkresume</t>
  </si>
  <si>
    <t xml:space="preserve">In 1-3 months </t>
  </si>
  <si>
    <t>في 1-3 أشهر</t>
  </si>
  <si>
    <t>In 3-6 months</t>
  </si>
  <si>
    <t>في 3-6 شهور</t>
  </si>
  <si>
    <t>In 6-12 months</t>
  </si>
  <si>
    <t>في 6-12 شهرًا</t>
  </si>
  <si>
    <t>After 1 year</t>
  </si>
  <si>
    <t>بعد سنة</t>
  </si>
  <si>
    <t>hh_agric_checktime</t>
  </si>
  <si>
    <t>1-3 months ago</t>
  </si>
  <si>
    <t>منذ 1-3 أشهر</t>
  </si>
  <si>
    <t>3-6 months ago</t>
  </si>
  <si>
    <t>منذ 3-6 أشهر</t>
  </si>
  <si>
    <t>6-12 months ago</t>
  </si>
  <si>
    <t>منذ 6-12 شهرًا</t>
  </si>
  <si>
    <t>More than 1 year ago</t>
  </si>
  <si>
    <t>منذ أكثر من عام</t>
  </si>
  <si>
    <t>reason_crop_change</t>
  </si>
  <si>
    <t>lackinputs</t>
  </si>
  <si>
    <t>Lack of available inputs for usual crops</t>
  </si>
  <si>
    <t>نقص المدخلات الزراعيّة المتاحة للمحاصيل المعتادة</t>
  </si>
  <si>
    <t>lackmoney</t>
  </si>
  <si>
    <t>Lack of money to buy usual crop inputs</t>
  </si>
  <si>
    <t>نقص في المال لشراء المدخلات الزراعيّة للمحاصيل المعتادة</t>
  </si>
  <si>
    <t>fuelneeds</t>
  </si>
  <si>
    <t>Fuel needs for usual crop too high [due to higher prices at current]</t>
  </si>
  <si>
    <t>احتياجات الوقود للمحاصيل المعتادة مرتفعة للغاية [بسبب ارتفاع الأسعار بالقيمة الحالية]</t>
  </si>
  <si>
    <t>crops_cheaper</t>
  </si>
  <si>
    <t>New crop inputs cheaper</t>
  </si>
  <si>
    <t>المدخلات الزراعيّة للمحاصيل الجديدة اقل كلفة</t>
  </si>
  <si>
    <t>crops_lesswork</t>
  </si>
  <si>
    <t>New crops use less work on field</t>
  </si>
  <si>
    <t>تتطلّب المحاصيل الجديدة عملاً أقل في الحقل</t>
  </si>
  <si>
    <t>crops_lessfuel</t>
  </si>
  <si>
    <t>New crops use less fuel to cultivate</t>
  </si>
  <si>
    <t>تتطلّب المحاصيل الجديدة وقودًا أقل للزراعة</t>
  </si>
  <si>
    <t>crops_lesswater</t>
  </si>
  <si>
    <t>New crops need less water on field</t>
  </si>
  <si>
    <t>تحتاج المحاصيل الجديدة إلى كميات أقل من المياه في الحقل</t>
  </si>
  <si>
    <t>crops_highervalue</t>
  </si>
  <si>
    <t>New crops have higher value for sale</t>
  </si>
  <si>
    <t>المحاصيل الجديدة لها قيمة أعلى في البيع</t>
  </si>
  <si>
    <t>crops_fastgrowing</t>
  </si>
  <si>
    <t>New crops are growing faster</t>
  </si>
  <si>
    <t>تنمو المحاصيل الجديدة بشكل أسرع</t>
  </si>
  <si>
    <t>climatechanged</t>
  </si>
  <si>
    <t>The climate in my area has changed and the new crop is more adapted</t>
  </si>
  <si>
    <t>لقد تغير المناخ في منطقتي وأصبح المحصول الجديد أكثر تكيّفًا</t>
  </si>
  <si>
    <t>OTHER</t>
  </si>
  <si>
    <t>sustainable_agripractices</t>
  </si>
  <si>
    <t>Traditional</t>
  </si>
  <si>
    <t>Traditional practices: Farming methods based on local knowledge (with or without using agrochemical inputs)</t>
  </si>
  <si>
    <t>الزراعة البلدية:الزراعة القائمة على المعرفة المحلية (مع أو بدون استخدام الكيماويات الزراعية)</t>
  </si>
  <si>
    <t>Conventional</t>
  </si>
  <si>
    <t>Conventional practices: Farming methods relying on chemical pesticides and synthetic fertilizers or concentrated feeding operations</t>
  </si>
  <si>
    <t>الزراعة التقليدية:الزراعة التي تعتمد على المبيدات الكيماوية والأسمدة الاصطناعية أو عمليات التّغذية المركّزة</t>
  </si>
  <si>
    <t>Organic</t>
  </si>
  <si>
    <t xml:space="preserve">Organic practices: Farming methods relying on biological pest control and organic fertilizers (with or without organic certification) </t>
  </si>
  <si>
    <t>الزراعة العضوية: الزراعة التي تعتمد على المكافحة البيولوجية للآفات والأسمدة العضوية (مع أو بدون شهادة عضوية)</t>
  </si>
  <si>
    <t>femaleagricactivity</t>
  </si>
  <si>
    <t>crpprod</t>
  </si>
  <si>
    <t>Crop production</t>
  </si>
  <si>
    <t>animprod</t>
  </si>
  <si>
    <t>Animal production</t>
  </si>
  <si>
    <t>إنتاج حيواني</t>
  </si>
  <si>
    <t>honybees</t>
  </si>
  <si>
    <t>Honeybees production</t>
  </si>
  <si>
    <t>إنتاج  العسل</t>
  </si>
  <si>
    <t>fishprod</t>
  </si>
  <si>
    <t>Fisheries production</t>
  </si>
  <si>
    <t>إنتاج الأسماك</t>
  </si>
  <si>
    <t>processagriprod</t>
  </si>
  <si>
    <t>Processing of agricultural products</t>
  </si>
  <si>
    <t>تحويل او تصنيع المنتجات الزراعية</t>
  </si>
  <si>
    <t>Other - specify</t>
  </si>
  <si>
    <t xml:space="preserve"> أخر - حدد </t>
  </si>
  <si>
    <t>feed_type</t>
  </si>
  <si>
    <t>Roughages_feed</t>
  </si>
  <si>
    <t xml:space="preserve">Roughages (such as pasture forage, hay and silage) </t>
  </si>
  <si>
    <t>الأعلاف الغليظة (مثل علف المرعى ، القشّ ، و العلف الأخضر المخمّر)</t>
  </si>
  <si>
    <t>Concentrate_feed</t>
  </si>
  <si>
    <t xml:space="preserve">Concentrate (such as grains rich in energy and/or proteins and supplements) </t>
  </si>
  <si>
    <t>الأعلاف المركزة (مثل الحبوب الغنية بالطاقة و / أو البروتينات والمكملات)</t>
  </si>
  <si>
    <t>Mixed_feed</t>
  </si>
  <si>
    <t>Mixed (a mixture of both roughages and concentrates)</t>
  </si>
  <si>
    <t>الأعلاف المختلطة (هي مزيجًا من الأعلاف الغليظة و المركّزة)</t>
  </si>
  <si>
    <t>reason_herd_change</t>
  </si>
  <si>
    <t>natural_enviro_appropriate</t>
  </si>
  <si>
    <t>The natural environment around me (ex. Pasture) has become more appropriate to the new species</t>
  </si>
  <si>
    <t>أصبحت البيئة الطبيعية من حولي (مثل المراعي) أكثر ملاءمة للأنواع الجديدة</t>
  </si>
  <si>
    <t>eco_enviro_appropriate</t>
  </si>
  <si>
    <t>The economic environment (ex. availability of inputs) has become more appropriate to the new species</t>
  </si>
  <si>
    <t>أصبحت البيئة الاقتصادية (مثل توافر المدخلات) أكثر ملاءمة للأنواع الجديدة</t>
  </si>
  <si>
    <t>disinvestment</t>
  </si>
  <si>
    <t>Disinvestment: the new species immobilizes less capital</t>
  </si>
  <si>
    <t xml:space="preserve">تقليل الاستثمار: الأنواع الجديدة تتطلب تجميد  رأس مال أقل </t>
  </si>
  <si>
    <t>investment</t>
  </si>
  <si>
    <t>Investment: the new species requires more capital, for higher returns</t>
  </si>
  <si>
    <t>الاستثمار: تتطلّب الأنواع الجديدة المزيد من رأس المال لتحقيق عوائد أعلى</t>
  </si>
  <si>
    <t>newspecies_lesswork</t>
  </si>
  <si>
    <t>New species use less work</t>
  </si>
  <si>
    <t>الأنواع الجديدة تتطلّب عملا أقلّ</t>
  </si>
  <si>
    <t>newspecies_sellsmore</t>
  </si>
  <si>
    <t>New species sells more</t>
  </si>
  <si>
    <t>الأنواع الجديدة تباع أكثر</t>
  </si>
  <si>
    <t>رفض اللإجابة</t>
  </si>
  <si>
    <t>reason_ls_mortality</t>
  </si>
  <si>
    <t>long_drought</t>
  </si>
  <si>
    <t>Long drought</t>
  </si>
  <si>
    <t>جفاف لفترة طويلة</t>
  </si>
  <si>
    <t>Flooding</t>
  </si>
  <si>
    <t>الفيضانات</t>
  </si>
  <si>
    <t>waterscarcity</t>
  </si>
  <si>
    <t>Water scarcity and shortage</t>
  </si>
  <si>
    <t>شح ونقص المياه</t>
  </si>
  <si>
    <t>recent_animaldisease</t>
  </si>
  <si>
    <t>Recent animal diseases outbreak</t>
  </si>
  <si>
    <t>تفشي الامراض الحيوانية في الآونة الأخيرة</t>
  </si>
  <si>
    <t>Other (specify)</t>
  </si>
  <si>
    <t>آخر (حدد)</t>
  </si>
  <si>
    <t>crop</t>
  </si>
  <si>
    <t>1.2</t>
  </si>
  <si>
    <t>Wheat</t>
  </si>
  <si>
    <t>القمح</t>
  </si>
  <si>
    <t>1.6</t>
  </si>
  <si>
    <t>Barley</t>
  </si>
  <si>
    <t>الشعير</t>
  </si>
  <si>
    <t>2.2</t>
  </si>
  <si>
    <t>Potatoe</t>
  </si>
  <si>
    <t>البطاطا</t>
  </si>
  <si>
    <t>5.1</t>
  </si>
  <si>
    <t>Tomatoes</t>
  </si>
  <si>
    <t>الطماطم</t>
  </si>
  <si>
    <t>6.2</t>
  </si>
  <si>
    <t>Lemon</t>
  </si>
  <si>
    <t>الليمون</t>
  </si>
  <si>
    <t>7.11</t>
  </si>
  <si>
    <t>Grapes</t>
  </si>
  <si>
    <t>العنب</t>
  </si>
  <si>
    <t>7.12</t>
  </si>
  <si>
    <t>Olives</t>
  </si>
  <si>
    <t>الزيتون</t>
  </si>
  <si>
    <t>7.13</t>
  </si>
  <si>
    <t>Apple</t>
  </si>
  <si>
    <t>التفاح</t>
  </si>
  <si>
    <t>7.16</t>
  </si>
  <si>
    <t>Peach/nectarine</t>
  </si>
  <si>
    <t>الدراق / النكتارين</t>
  </si>
  <si>
    <t>10.5</t>
  </si>
  <si>
    <t>Tobacco</t>
  </si>
  <si>
    <t>التبغ</t>
  </si>
  <si>
    <t>1.1</t>
  </si>
  <si>
    <t>Rice</t>
  </si>
  <si>
    <t>الرز</t>
  </si>
  <si>
    <t>1.3</t>
  </si>
  <si>
    <t>Millet</t>
  </si>
  <si>
    <t>الدخن</t>
  </si>
  <si>
    <t>1.4</t>
  </si>
  <si>
    <t>Sorghum</t>
  </si>
  <si>
    <t>الذرة الرفيعة</t>
  </si>
  <si>
    <t>1.5</t>
  </si>
  <si>
    <t>Maize</t>
  </si>
  <si>
    <t>الذرة</t>
  </si>
  <si>
    <t>1.99</t>
  </si>
  <si>
    <t>Other Cereal</t>
  </si>
  <si>
    <t>الحبوب الأخرى</t>
  </si>
  <si>
    <t>2.1</t>
  </si>
  <si>
    <t>Cassava</t>
  </si>
  <si>
    <t>الكسافا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</si>
  <si>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</si>
  <si>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</si>
  <si>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</si>
  <si>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</si>
  <si>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</si>
  <si>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</si>
  <si>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</si>
  <si>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</si>
  <si>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</si>
  <si>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</si>
  <si>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</si>
  <si>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</si>
  <si>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</si>
  <si>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</si>
  <si>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</si>
  <si>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</si>
  <si>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</si>
  <si>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</si>
  <si>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</si>
  <si>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</si>
  <si>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</si>
  <si>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</si>
  <si>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</si>
  <si>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</si>
  <si>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</si>
  <si>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</si>
  <si>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</si>
  <si>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</si>
  <si>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</si>
  <si>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</si>
  <si>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</si>
  <si>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</si>
  <si>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</si>
  <si>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</si>
  <si>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</si>
  <si>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</si>
  <si>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</si>
  <si>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</si>
  <si>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</si>
  <si>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</si>
  <si>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</si>
  <si>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</si>
  <si>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4.101</t>
  </si>
  <si>
    <t>Cauliflower</t>
  </si>
  <si>
    <t>القرنبيط</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</si>
  <si>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</si>
  <si>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</si>
  <si>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</si>
  <si>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</si>
  <si>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</si>
  <si>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</si>
  <si>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</si>
  <si>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</si>
  <si>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</si>
  <si>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</si>
  <si>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</si>
  <si>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</si>
  <si>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</si>
  <si>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</si>
  <si>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</si>
  <si>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</si>
  <si>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</si>
  <si>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</si>
  <si>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</si>
  <si>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</si>
  <si>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</si>
  <si>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4.99</t>
  </si>
  <si>
    <t>Other leafy vegetables</t>
  </si>
  <si>
    <t>الخضار الورقية الأخرى</t>
  </si>
  <si>
    <t>5.101</t>
  </si>
  <si>
    <t>Green peas</t>
  </si>
  <si>
    <t>البازلاء الخضراء</t>
  </si>
  <si>
    <t>5.11</t>
  </si>
  <si>
    <t>Fava beans green</t>
  </si>
  <si>
    <t>الفول الأخضر</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</si>
  <si>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</si>
  <si>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</si>
  <si>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</si>
  <si>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</si>
  <si>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</si>
  <si>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</si>
  <si>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</si>
  <si>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</si>
  <si>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</si>
  <si>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</si>
  <si>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</si>
  <si>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</si>
  <si>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</si>
  <si>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</si>
  <si>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</si>
  <si>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</si>
  <si>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</si>
  <si>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</si>
  <si>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</si>
  <si>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</si>
  <si>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</si>
  <si>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</si>
  <si>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</si>
  <si>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</si>
  <si>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5.99</t>
  </si>
  <si>
    <t>Other non leafy vegs</t>
  </si>
  <si>
    <t>الخضار غير الورقية الأخرى</t>
  </si>
  <si>
    <t>6.1</t>
  </si>
  <si>
    <t>Orange</t>
  </si>
  <si>
    <t>البرتقال</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</si>
  <si>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</si>
  <si>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</si>
  <si>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</si>
  <si>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</si>
  <si>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</si>
  <si>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</si>
  <si>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</si>
  <si>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</si>
  <si>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</si>
  <si>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</si>
  <si>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</si>
  <si>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</si>
  <si>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7.101</t>
  </si>
  <si>
    <t>Figs</t>
  </si>
  <si>
    <t>التين</t>
  </si>
  <si>
    <t>7.14</t>
  </si>
  <si>
    <t>Apricot</t>
  </si>
  <si>
    <t>المشمش</t>
  </si>
  <si>
    <t>7.15</t>
  </si>
  <si>
    <t>Cherries</t>
  </si>
  <si>
    <t>الكرز</t>
  </si>
  <si>
    <t>7.17</t>
  </si>
  <si>
    <t>Strawberries</t>
  </si>
  <si>
    <t>الفراولة</t>
  </si>
  <si>
    <t>7.18</t>
  </si>
  <si>
    <t>Melon (Cantaloupe)</t>
  </si>
  <si>
    <t>الشمام</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</si>
  <si>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</si>
  <si>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</si>
  <si>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</si>
  <si>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</si>
  <si>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</si>
  <si>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</si>
  <si>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</si>
  <si>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</si>
  <si>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</si>
  <si>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</si>
  <si>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</si>
  <si>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</si>
  <si>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</si>
  <si>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</si>
  <si>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</si>
  <si>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</si>
  <si>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</si>
  <si>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</si>
  <si>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</si>
  <si>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</si>
  <si>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</si>
  <si>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</si>
  <si>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</si>
  <si>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</si>
  <si>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</si>
  <si>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</si>
  <si>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</si>
  <si>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</si>
  <si>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</si>
  <si>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</si>
  <si>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</si>
  <si>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</si>
  <si>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</si>
  <si>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</si>
  <si>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</si>
  <si>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</si>
  <si>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</si>
  <si>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</si>
  <si>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</si>
  <si>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</si>
  <si>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</si>
  <si>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</si>
  <si>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</si>
  <si>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</si>
  <si>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</si>
  <si>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</si>
  <si>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</si>
  <si>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</si>
  <si>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</si>
  <si>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</si>
  <si>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</si>
  <si>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</si>
  <si>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</si>
  <si>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</si>
  <si>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</si>
  <si>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</si>
  <si>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</si>
  <si>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</si>
  <si>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</si>
  <si>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</si>
  <si>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</si>
  <si>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</si>
  <si>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</si>
  <si>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</si>
  <si>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</si>
  <si>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</si>
  <si>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</si>
  <si>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</si>
  <si>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</si>
  <si>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</si>
  <si>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</si>
  <si>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</si>
  <si>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</si>
  <si>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</si>
  <si>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</si>
  <si>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</si>
  <si>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</si>
  <si>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</si>
  <si>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</si>
  <si>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</si>
  <si>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</si>
  <si>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</si>
  <si>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</si>
  <si>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</si>
  <si>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10.6</t>
  </si>
  <si>
    <t>Qat</t>
  </si>
  <si>
    <t>القات</t>
  </si>
  <si>
    <t>10.99</t>
  </si>
  <si>
    <t>Other non-food cash crop</t>
  </si>
  <si>
    <t xml:space="preserve"> المحاصيل النقدية غير الغذائية الأخرى </t>
  </si>
  <si>
    <t>777</t>
  </si>
  <si>
    <t>No crop production</t>
  </si>
  <si>
    <t>لا إنتاج للمحصول</t>
  </si>
  <si>
    <t>888</t>
  </si>
  <si>
    <t>Don't know</t>
  </si>
  <si>
    <t>999</t>
  </si>
  <si>
    <t>Refused</t>
  </si>
  <si>
    <t>crop2</t>
  </si>
  <si>
    <t>666</t>
  </si>
  <si>
    <t>No other crop</t>
  </si>
  <si>
    <t>لا محاصيل أخرى</t>
  </si>
  <si>
    <t>crop3</t>
  </si>
  <si>
    <t>admin1</t>
  </si>
  <si>
    <t>LB1</t>
  </si>
  <si>
    <t>Beirut</t>
  </si>
  <si>
    <t>بيروت</t>
  </si>
  <si>
    <t>LB2</t>
  </si>
  <si>
    <t>Bekaa</t>
  </si>
  <si>
    <t>البقاع</t>
  </si>
  <si>
    <t>LB3</t>
  </si>
  <si>
    <t>Mount Lebanon</t>
  </si>
  <si>
    <t>جبل لبنان</t>
  </si>
  <si>
    <t>LB4</t>
  </si>
  <si>
    <t>El Nabatieh</t>
  </si>
  <si>
    <t>النبطية</t>
  </si>
  <si>
    <t>LB5</t>
  </si>
  <si>
    <t>North</t>
  </si>
  <si>
    <t>الشمال</t>
  </si>
  <si>
    <t>LB6</t>
  </si>
  <si>
    <t>South</t>
  </si>
  <si>
    <t>الجنوب</t>
  </si>
  <si>
    <t>LB7</t>
  </si>
  <si>
    <t>Akkar</t>
  </si>
  <si>
    <t>عكار</t>
  </si>
  <si>
    <t>LB8</t>
  </si>
  <si>
    <t>Baalbek-El Hermel</t>
  </si>
  <si>
    <t>بعلبك الهرمل</t>
  </si>
  <si>
    <t>admin2</t>
  </si>
  <si>
    <t>LB11</t>
  </si>
  <si>
    <t>LB21</t>
  </si>
  <si>
    <t>Baalbek</t>
  </si>
  <si>
    <t>بعلبك</t>
  </si>
  <si>
    <t>LB22</t>
  </si>
  <si>
    <t>El Hermel</t>
  </si>
  <si>
    <t> الهرمل</t>
  </si>
  <si>
    <t>LB23</t>
  </si>
  <si>
    <t>Rachaya</t>
  </si>
  <si>
    <t>راشيا</t>
  </si>
  <si>
    <t>LB24</t>
  </si>
  <si>
    <t>West Bekaa</t>
  </si>
  <si>
    <t>البقاع الغربي</t>
  </si>
  <si>
    <t>LB25</t>
  </si>
  <si>
    <t>Zahle</t>
  </si>
  <si>
    <t>زحلة</t>
  </si>
  <si>
    <t>LB31</t>
  </si>
  <si>
    <t>Aley</t>
  </si>
  <si>
    <t>عاليه</t>
  </si>
  <si>
    <t>LB32</t>
  </si>
  <si>
    <t>Baabda</t>
  </si>
  <si>
    <t>بعبدا</t>
  </si>
  <si>
    <t>LB33</t>
  </si>
  <si>
    <t>Chouf</t>
  </si>
  <si>
    <t> الشوف</t>
  </si>
  <si>
    <t>LB34</t>
  </si>
  <si>
    <t>Jbeil</t>
  </si>
  <si>
    <t>جبيل</t>
  </si>
  <si>
    <t>LB35</t>
  </si>
  <si>
    <t>Kesrwane</t>
  </si>
  <si>
    <t xml:space="preserve"> كسروان</t>
  </si>
  <si>
    <t>LB36</t>
  </si>
  <si>
    <t>El Meten</t>
  </si>
  <si>
    <t>المتن</t>
  </si>
  <si>
    <t>LB41</t>
  </si>
  <si>
    <t>Bent Jbeil</t>
  </si>
  <si>
    <t>بنت جبيل</t>
  </si>
  <si>
    <t>LB42</t>
  </si>
  <si>
    <t>Hasbaya</t>
  </si>
  <si>
    <t>حاصبيا</t>
  </si>
  <si>
    <t>LB43</t>
  </si>
  <si>
    <t>Marjaayoun</t>
  </si>
  <si>
    <t>مرجعيون</t>
  </si>
  <si>
    <t>LB44</t>
  </si>
  <si>
    <t>LB51</t>
  </si>
  <si>
    <t>LB52</t>
  </si>
  <si>
    <t>El Batroun</t>
  </si>
  <si>
    <t>البترون</t>
  </si>
  <si>
    <t>LB53</t>
  </si>
  <si>
    <t>Bcharre</t>
  </si>
  <si>
    <t> بشري</t>
  </si>
  <si>
    <t>LB54</t>
  </si>
  <si>
    <t>El Koura</t>
  </si>
  <si>
    <t>الكورة</t>
  </si>
  <si>
    <t>LB55</t>
  </si>
  <si>
    <t>El Minieh-Dennie</t>
  </si>
  <si>
    <t>المنية الضنية</t>
  </si>
  <si>
    <t>LB56</t>
  </si>
  <si>
    <t>Tripoli</t>
  </si>
  <si>
    <t>طرابلس</t>
  </si>
  <si>
    <t>LB57</t>
  </si>
  <si>
    <t>Zgharta</t>
  </si>
  <si>
    <t>زغرتا</t>
  </si>
  <si>
    <t>LB61</t>
  </si>
  <si>
    <t>Saida</t>
  </si>
  <si>
    <t>صيدا</t>
  </si>
  <si>
    <t>LB62</t>
  </si>
  <si>
    <t>Jezzine</t>
  </si>
  <si>
    <t>جزين</t>
  </si>
  <si>
    <t>LB63</t>
  </si>
  <si>
    <t>Sour</t>
  </si>
  <si>
    <t>صور</t>
  </si>
  <si>
    <t>Ahmad Zeindine</t>
  </si>
  <si>
    <t>احمد زين الدين</t>
  </si>
  <si>
    <t>Amani Basma</t>
  </si>
  <si>
    <t>اماني بسمة</t>
  </si>
  <si>
    <t>Ibrahim Dib</t>
  </si>
  <si>
    <t>إبراهيم ديب</t>
  </si>
  <si>
    <t>Bassem Houmani</t>
  </si>
  <si>
    <t>باسم حوماني</t>
  </si>
  <si>
    <t>Bashar Choukeir</t>
  </si>
  <si>
    <t>بشار شقير</t>
  </si>
  <si>
    <t>Bilal Hammoud</t>
  </si>
  <si>
    <t>بلال حمود</t>
  </si>
  <si>
    <t>Pierre Nassar</t>
  </si>
  <si>
    <t>بيار نصار</t>
  </si>
  <si>
    <t>Jean Sarkis</t>
  </si>
  <si>
    <t>جان سركيس</t>
  </si>
  <si>
    <t>Jean Mrad</t>
  </si>
  <si>
    <t>جان مراد</t>
  </si>
  <si>
    <t>Jamal Alchaar</t>
  </si>
  <si>
    <t>جمال الشعار</t>
  </si>
  <si>
    <t>Georges Roustom</t>
  </si>
  <si>
    <t>جورج رستم</t>
  </si>
  <si>
    <t>Jihan Hamad</t>
  </si>
  <si>
    <t>جيهان حمد</t>
  </si>
  <si>
    <t>Habbouba Rhayyem</t>
  </si>
  <si>
    <t>حبوبة رحيم</t>
  </si>
  <si>
    <t>Khalil Akel</t>
  </si>
  <si>
    <t>خليل عقل</t>
  </si>
  <si>
    <t>Darine Masaad</t>
  </si>
  <si>
    <t xml:space="preserve">دارين مسعد </t>
  </si>
  <si>
    <t>Dana haidar</t>
  </si>
  <si>
    <t>دانا حيدر</t>
  </si>
  <si>
    <t>Doumoua Sweydan</t>
  </si>
  <si>
    <t>دموع سويدان</t>
  </si>
  <si>
    <t>Rashad Chamas</t>
  </si>
  <si>
    <t>رشاد شمص</t>
  </si>
  <si>
    <t>Rima Seifdine</t>
  </si>
  <si>
    <t>ريما سيف الدين</t>
  </si>
  <si>
    <t>Rima Mhanna</t>
  </si>
  <si>
    <t>ريما مهنا</t>
  </si>
  <si>
    <t>Ziad Bahmad</t>
  </si>
  <si>
    <t>زياد بحمد</t>
  </si>
  <si>
    <t>Zaynab Rammal</t>
  </si>
  <si>
    <t>زينب رمال</t>
  </si>
  <si>
    <t>Zeina Al Hassan</t>
  </si>
  <si>
    <t>زينة الحسن</t>
  </si>
  <si>
    <t>Sahar Nader</t>
  </si>
  <si>
    <t>سحر ناضر</t>
  </si>
  <si>
    <t>Salam Sbeity</t>
  </si>
  <si>
    <t>سلام سبيتي</t>
  </si>
  <si>
    <t>Samar Srouj</t>
  </si>
  <si>
    <t>سمر سروج</t>
  </si>
  <si>
    <t>Abdel Kader Yehya</t>
  </si>
  <si>
    <t>عبد القادر يحيى</t>
  </si>
  <si>
    <t>Ali Baalbaki</t>
  </si>
  <si>
    <t>علي بعلبكي</t>
  </si>
  <si>
    <t>Ali Haydar</t>
  </si>
  <si>
    <t>علي حيدر</t>
  </si>
  <si>
    <t>Ali Trad</t>
  </si>
  <si>
    <t>علي طراد</t>
  </si>
  <si>
    <t>Ali Yassine</t>
  </si>
  <si>
    <t>علي ياسين</t>
  </si>
  <si>
    <t>Ghazi Naserldin</t>
  </si>
  <si>
    <t>غازي ناصر الدين</t>
  </si>
  <si>
    <t>Fatima Taleb</t>
  </si>
  <si>
    <t>فاطمة طالب</t>
  </si>
  <si>
    <t>Fatima Meslmani</t>
  </si>
  <si>
    <t>فاطمة مسلماني</t>
  </si>
  <si>
    <t>Fayez Ahmed</t>
  </si>
  <si>
    <t>فايز أحمد</t>
  </si>
  <si>
    <t>Farah Khazem</t>
  </si>
  <si>
    <t>فرح خازم</t>
  </si>
  <si>
    <t>Farida Hajj Chhadeh</t>
  </si>
  <si>
    <t>فريدة حاج شحادة</t>
  </si>
  <si>
    <t>Fouad Adwiyeh</t>
  </si>
  <si>
    <t>فؤاد عدوية</t>
  </si>
  <si>
    <t>Fouad Wansa</t>
  </si>
  <si>
    <t>فؤاد ونسة</t>
  </si>
  <si>
    <t>Carla Abdou</t>
  </si>
  <si>
    <t>كارلا عبدو</t>
  </si>
  <si>
    <t>Christin Sahwe</t>
  </si>
  <si>
    <t>كريستسن صهوي</t>
  </si>
  <si>
    <t>Louay Jaydah</t>
  </si>
  <si>
    <t>لؤي جيدا</t>
  </si>
  <si>
    <t>Marlein Derjani</t>
  </si>
  <si>
    <t>مارلين درجاني</t>
  </si>
  <si>
    <t>Maguie El Hajj</t>
  </si>
  <si>
    <t>ماغي الحاج</t>
  </si>
  <si>
    <t>Maher Bourji</t>
  </si>
  <si>
    <t>ماهر برجي</t>
  </si>
  <si>
    <t>Mhamad Al Adroaa</t>
  </si>
  <si>
    <t>محمد الأدرع</t>
  </si>
  <si>
    <t>Mohammad Halawi</t>
  </si>
  <si>
    <t>محمد حلاوي</t>
  </si>
  <si>
    <t>Mohammad Deaibes</t>
  </si>
  <si>
    <t>محمد دعيبس</t>
  </si>
  <si>
    <t>Mohamad Zeitoun</t>
  </si>
  <si>
    <t>محمد زيتون</t>
  </si>
  <si>
    <t>Mohamad Chehadeh</t>
  </si>
  <si>
    <t>محمد شحادة</t>
  </si>
  <si>
    <t>Mohamed Chouk</t>
  </si>
  <si>
    <t>محمد شوك</t>
  </si>
  <si>
    <t>Mohammad Kawtharani</t>
  </si>
  <si>
    <t>محمد كوثراني</t>
  </si>
  <si>
    <t>Mohamad Hazimeh</t>
  </si>
  <si>
    <t>محمد هزيمة</t>
  </si>
  <si>
    <t>Moukhles Bou Kadal</t>
  </si>
  <si>
    <t>مخلص بو كدل</t>
  </si>
  <si>
    <t>Marwa Daher</t>
  </si>
  <si>
    <t>مروى ضاهر</t>
  </si>
  <si>
    <t>May Onaisy</t>
  </si>
  <si>
    <t>مي عنيسي</t>
  </si>
  <si>
    <t>Mayada Haydar Ahmad</t>
  </si>
  <si>
    <t>ميادة حيدر احمد</t>
  </si>
  <si>
    <t>Milia Chbeir</t>
  </si>
  <si>
    <t>ميليا شبير</t>
  </si>
  <si>
    <t>Nazem Tarabay</t>
  </si>
  <si>
    <t>ناظم طربيه</t>
  </si>
  <si>
    <t>Nasr Abbas</t>
  </si>
  <si>
    <t>نصر عباس</t>
  </si>
  <si>
    <t>Wissam Abbas</t>
  </si>
  <si>
    <t>وسام عباس</t>
  </si>
  <si>
    <t>Elisar  Sayegh</t>
  </si>
  <si>
    <t>اليسار صايغ</t>
  </si>
  <si>
    <t>Linda  Saleh</t>
  </si>
  <si>
    <t>ليندا صالح</t>
  </si>
  <si>
    <t>Mariam  Zreik</t>
  </si>
  <si>
    <t>مريم زريق</t>
  </si>
  <si>
    <t>Mariam  Fakais</t>
  </si>
  <si>
    <t>مريم فقيص</t>
  </si>
  <si>
    <t>Roula Malo</t>
  </si>
  <si>
    <t>رولا مالو</t>
  </si>
  <si>
    <t>Sanaa  Jomaa</t>
  </si>
  <si>
    <t>سناء جمعة</t>
  </si>
  <si>
    <t>Toni Makhlouf</t>
  </si>
  <si>
    <t>طوني مخلوف</t>
  </si>
  <si>
    <t>أعشاب السلطة الخضراء [زعتر ، بقدونس ، نعناع ، جرجير ، أنواع أخرى]</t>
  </si>
  <si>
    <t>Governorate</t>
  </si>
  <si>
    <t>District</t>
  </si>
  <si>
    <t>version</t>
  </si>
  <si>
    <t>default_language</t>
  </si>
  <si>
    <t>allow_choice_duplicates</t>
  </si>
  <si>
    <t>style</t>
  </si>
  <si>
    <t>vM6cWXyHNhR3djPbARkHWi</t>
  </si>
  <si>
    <t>Arabic (ar)</t>
  </si>
  <si>
    <t>theme-grid no-text-transform</t>
  </si>
  <si>
    <t xml:space="preserve">Select top 10 crops / حدد أكبر 10 محاصيل </t>
  </si>
  <si>
    <t>Dataset code</t>
  </si>
  <si>
    <t>Label (EN)</t>
  </si>
  <si>
    <t>Label (AR)</t>
  </si>
  <si>
    <t>x</t>
  </si>
  <si>
    <t>Original</t>
  </si>
  <si>
    <t>Remplacement (AR)</t>
  </si>
  <si>
    <t>Replacement (EN)</t>
  </si>
  <si>
    <t>Comment (AR)</t>
  </si>
  <si>
    <t>Comment (EN)</t>
  </si>
  <si>
    <t>Exemple (AR)</t>
  </si>
  <si>
    <t>Example(EN)</t>
  </si>
  <si>
    <t>FOR CORE QUESTIONS    .
(Mandatory to fill out)    .</t>
  </si>
  <si>
    <t>phone number</t>
  </si>
  <si>
    <t>xxxxxxxx</t>
  </si>
  <si>
    <t xml:space="preserve">اكتب رقم هاتف من بلدك بالتنسيق المعتاد ، على سبيل المثال ******٧٧  [من فضلك استخدم بالضبط عدد الأحرف الموجودة في رقم الهاتف]. يرجى إدخال الأرقام في الأبجدية اللاتينية (...3, 2, 1). </t>
  </si>
  <si>
    <t>Type a phone number from your country in typical format, e.g. 77******* [please use exactly the number of characters that are found in a phone number]. Only digits in Latin numbers should be inputted.</t>
  </si>
  <si>
    <t>070******</t>
  </si>
  <si>
    <t>age</t>
  </si>
  <si>
    <t xml:space="preserve">الحد الأدنى لسن المجيب (يفضل أن يكون عمره 18 عامًا على الأقل).  يرجى إدخال الأرقام في الأبجدية اللاتينية (...3, 2, 1). </t>
  </si>
  <si>
    <t>Minimum age of respondent (recommend 18 years old). Only digits in Latin numbers should be inputted.</t>
  </si>
  <si>
    <t>ADMIN1</t>
  </si>
  <si>
    <t>محافظة</t>
  </si>
  <si>
    <t>التقسيم الأول للبلاد ، بعد المستوى الوطني ؛ منطقة؛ محافظة؛ ولاية ؛ إلخ. يجب إدخال كلمة واحدة فقط - لا تقم بتضمين مسافات.</t>
  </si>
  <si>
    <t>The first subdivision of the country, after national level; region; province; governorate; etc. Only one word should be inputted - Do not include spaces.</t>
  </si>
  <si>
    <t>منطقة</t>
  </si>
  <si>
    <t>region</t>
  </si>
  <si>
    <t>ADMIN2</t>
  </si>
  <si>
    <t>قضاء</t>
  </si>
  <si>
    <t>التقسيم الثاني للبلاد ؛ قضاء؛ بلدية؛ إلخ. يجب إدخال كلمة واحدة فقط - لا تقم بتضمين مسافات.</t>
  </si>
  <si>
    <t>The second subdivision of the country; district; municipality; LGA; etc. Only one word should be inputted - Do not include spaces.</t>
  </si>
  <si>
    <t>district</t>
  </si>
  <si>
    <t>reference year</t>
  </si>
  <si>
    <t>العام الماضي</t>
  </si>
  <si>
    <t>Last year</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</si>
  <si>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</si>
  <si>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 xml:space="preserve">Comparison questions will need need a reference year. Select whether you want to use "last year" or "a normal year" as a baseline. A "normal year" should refers to an average year from the past 5 years - make sure to train the enumerators accordingly. </t>
  </si>
  <si>
    <t>العام العادي</t>
  </si>
  <si>
    <t>a normal year</t>
  </si>
  <si>
    <t>season</t>
  </si>
  <si>
    <t xml:space="preserve">الموسم
 الحالي </t>
  </si>
  <si>
    <t>Current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</si>
  <si>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</si>
  <si>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Name the crop season(s) of interest if there are several cropping seasons in the country (e.g. Meher and Belg in Ethiopia, rainy season / flood-recession cropping / irrigated dry season in the Sahel). You can refer to the “last season” or “ongoing season".</t>
  </si>
  <si>
    <t>موسم الأمطار</t>
  </si>
  <si>
    <t>wet season</t>
  </si>
  <si>
    <t>season phase</t>
  </si>
  <si>
    <t>الزرع</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</si>
  <si>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</si>
  <si>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</si>
  <si>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الحصاد</t>
  </si>
  <si>
    <t>Harvesting</t>
  </si>
  <si>
    <t xml:space="preserve">local measurement unit </t>
  </si>
  <si>
    <t>دونم</t>
  </si>
  <si>
    <t>Dunum</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</si>
  <si>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</si>
  <si>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 xml:space="preserve">Specify the local measurement unit for land size, other than acres, hectares, square meters and square feet. If no other unit of measurement is needed, keep this cell blank. </t>
  </si>
  <si>
    <t>جريب</t>
  </si>
  <si>
    <t>Jeribs</t>
  </si>
  <si>
    <t>local measurement unit conversion</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</si>
  <si>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</si>
  <si>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Include the conversion of the local measurement unit to hectares. In other words, how many local measurement units are in 1 ha. Only digits in Latin numbers should be inputted.</t>
  </si>
  <si>
    <t>FOR OPTIONAL QUESTIONS    .
(Fill out if applicable)    .</t>
  </si>
  <si>
    <t>currency</t>
  </si>
  <si>
    <t>دولار</t>
  </si>
  <si>
    <t>Dollars</t>
  </si>
  <si>
    <t>اسم العملة الرئيسية المستخدمة وطنيا ؛ دولار أمريكي؛ نيرة؛ الريال؛ بيزو؛ إلخ.</t>
  </si>
  <si>
    <t xml:space="preserve">The name of the main currency used nationally; USD; Naira; Rial; Pesos; etc. </t>
  </si>
  <si>
    <t>نيرة</t>
  </si>
  <si>
    <t>Naira</t>
  </si>
  <si>
    <t>MIN AMOUNT</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</si>
  <si>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</si>
  <si>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</si>
  <si>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THRESHOLD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</si>
  <si>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</si>
  <si>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</si>
  <si>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local vegetables</t>
  </si>
  <si>
    <t>باذنجان، كوسة، لوبياء، ملفوف</t>
  </si>
  <si>
    <t>eggplants, zucchini, haricots, cabbages</t>
  </si>
  <si>
    <t>أدخل بعض الخضروات المحلية الشائعة [لاستخدامها كأمثلة في مؤشر درجة استهلاك الغذاء].</t>
  </si>
  <si>
    <t>Input some common local vegetables [to be used as examples in the food consumption score indicator].</t>
  </si>
  <si>
    <t>باذنجان ، كوسة ، قرنبيط</t>
  </si>
  <si>
    <t>eggplants, zucchini, cauliflower</t>
  </si>
  <si>
    <t xml:space="preserve">local fruits </t>
  </si>
  <si>
    <t>التفاح والموز والبرنقال والعنب والمشمش والدراق</t>
  </si>
  <si>
    <t>apples, bananas, oranges, grapes, apricots, peaches</t>
  </si>
  <si>
    <t>أدخل بعض الفاكهة المحلية الشائعة [لاستخدامها كأمثلة في مؤشر درجة استهلاك الغذاء].</t>
  </si>
  <si>
    <t>Input some common local fruits [to be used as examples in the food consumption score indicator].</t>
  </si>
  <si>
    <t>التفاح والموز والبرتقال</t>
  </si>
  <si>
    <t>apples, bananas, oranges</t>
  </si>
  <si>
    <t>FILL OUT FOR QUESTIONNAIRE DURATION ESTIMATION    .</t>
  </si>
  <si>
    <t>Expected percentage of respondents cultivating crops</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</si>
  <si>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</si>
  <si>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</si>
  <si>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</si>
  <si>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</si>
  <si>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</si>
  <si>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</si>
  <si>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</si>
  <si>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</si>
  <si>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Has your household's income from ${incomemain} changed in the last 3 months compared to the same period of last year?</t>
  </si>
  <si>
    <t>Has your household's income from ${incomesec} changed in the last 3 months compared to the same period of last year?</t>
  </si>
  <si>
    <t>Has your household's income from ${incomethird} changed in the last 3 months compared to the same period of last year?</t>
  </si>
  <si>
    <t>How did the ***area planted*** for ${crpmain} from Current season compare to last year?</t>
  </si>
  <si>
    <t xml:space="preserve">How does the expected ***harvest*** of ${crpmain} in the Current season compare to last year? </t>
  </si>
  <si>
    <t>How does the current price of your household's ${crp_sales_main} compare to the average price in the same period of last year?</t>
  </si>
  <si>
    <t>How does the current price of your household's ${lssalesmain} compare to the average price in the same period of last year?</t>
  </si>
  <si>
    <t xml:space="preserve">How does the current price of your household's ${fishsalesmain} compare to the average price in the same period/harvest of last year? </t>
  </si>
  <si>
    <t>هل تغير دخل أسرتك من ${incomemain} في الأشهر الثلاثة الماضية مقارنة بنفس الفترة من العام الماضي؟</t>
  </si>
  <si>
    <t>هل تغير دخل أسرتك من ${incomesec} في الأشهر الثلاثة الماضية مقارنة بنفس الفترة من العام الماضي؟</t>
  </si>
  <si>
    <t>هل تغير دخل أسرتك من ${incomethird} في الأشهر الثلاثة الماضية مقارنة بنفس الفترة من العام الماضي؟</t>
  </si>
  <si>
    <t>كيف يمكن مقارنة ***المساحة المزروعة*** ل ${crpmain} في الموسم
 الحالي  نسبةً ل العام الماضي؟</t>
  </si>
  <si>
    <t>كيف يمكن مقارنة ***الحصاد***  متوقع لـ ${crpmain} في الموسم
 الحالي  نسبةً ل العام الماضي؟</t>
  </si>
  <si>
    <t>كيف تقارن السعر الحالي ل${crp_sales_main} لأسرتك بمتوسط ​​السعر في نفس الفترة من العام الماضي؟</t>
  </si>
  <si>
    <t>كيف تقارن السعر الحالي ل ${lssalesmain} لأسرتك بمتوسط ​​السعر في نفس الفترة من العام الماضي؟</t>
  </si>
  <si>
    <t>كيف تقارن السعر الحالي لبيع  ${fishsalesmain}  لأسرتك بمتوسط ​​السعر في نفس الفترة من العام الماضي؟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</si>
</sst>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11"/>
      <name val="Calibri (Body)"/>
    </font>
    <font>
      <sz val="8"/>
      <name val="Calibri"/>
      <family val="2"/>
      <scheme val="minor"/>
    </font>
    <font>
      <i/>
      <sz val="11"/>
      <color theme="0" tint="-0.34998626667073579"/>
      <name val="Calibri"/>
      <family val="2"/>
    </font>
    <font>
      <i/>
      <sz val="11"/>
      <color theme="0" tint="-0.34998626667073579"/>
      <name val="Calibri (Body)"/>
    </font>
    <font>
      <sz val="11"/>
      <color theme="1"/>
      <name val="Calibri"/>
      <family val="2"/>
    </font>
    <font>
      <sz val="10"/>
      <name val="Calibri"/>
      <family val="2"/>
      <scheme val="minor"/>
    </font>
    <font>
      <sz val="11"/>
      <color theme="0" tint="-0.499984740745262"/>
      <name val="Calibri"/>
      <family val="2"/>
      <scheme val="minor"/>
    </font>
  </fonts>
  <fills count="11">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F00"/>
        <bgColor rgb="FF000000"/>
      </patternFill>
    </fill>
    <fill>
      <patternFill patternType="solid">
        <fgColor theme="5" tint="0.39997558519241921"/>
        <bgColor indexed="64"/>
      </patternFill>
    </fill>
    <fill>
      <patternFill patternType="solid">
        <fgColor rgb="FFF2DCDB"/>
        <bgColor rgb="FF000000"/>
      </patternFill>
    </fill>
  </fills>
  <borders count="62">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theme="1"/>
      </left>
      <right style="thin">
        <color indexed="64"/>
      </right>
      <top/>
      <bottom style="medium">
        <color indexed="64"/>
      </bottom>
      <diagonal/>
    </border>
    <border>
      <left style="thin">
        <color theme="1"/>
      </left>
      <right style="thin">
        <color theme="1"/>
      </right>
      <top style="thin">
        <color auto="1"/>
      </top>
      <bottom style="thin">
        <color auto="1"/>
      </bottom>
      <diagonal/>
    </border>
    <border>
      <left style="thin">
        <color theme="1"/>
      </left>
      <right style="thin">
        <color indexed="64"/>
      </right>
      <top style="thin">
        <color auto="1"/>
      </top>
      <bottom style="medium">
        <color indexed="64"/>
      </bottom>
      <diagonal/>
    </border>
    <border>
      <left style="thin">
        <color theme="1"/>
      </left>
      <right style="thin">
        <color indexed="64"/>
      </right>
      <top style="thin">
        <color auto="1"/>
      </top>
      <bottom style="thin">
        <color auto="1"/>
      </bottom>
      <diagonal/>
    </border>
    <border>
      <left style="medium">
        <color indexed="64"/>
      </left>
      <right style="thin">
        <color auto="1"/>
      </right>
      <top style="thin">
        <color auto="1"/>
      </top>
      <bottom style="thin">
        <color rgb="FF000000"/>
      </bottom>
      <diagonal/>
    </border>
    <border>
      <left style="medium">
        <color indexed="64"/>
      </left>
      <right style="thin">
        <color rgb="FF000000"/>
      </right>
      <top/>
      <bottom style="medium">
        <color indexed="64"/>
      </bottom>
      <diagonal/>
    </border>
    <border>
      <left style="medium">
        <color indexed="64"/>
      </left>
      <right/>
      <top style="medium">
        <color indexed="64"/>
      </top>
      <bottom/>
      <diagonal/>
    </border>
    <border>
      <left/>
      <right/>
      <top style="medium">
        <color indexed="64"/>
      </top>
      <bottom/>
      <diagonal/>
    </border>
  </borders>
  <cellStyleXfs count="18">
    <xf numFmtId="0" fontId="0" fillId="0" borderId="0"/>
    <xf numFmtId="0" fontId="5" fillId="0" borderId="0"/>
    <xf numFmtId="0" fontId="8" fillId="0" borderId="0"/>
    <xf numFmtId="0" fontId="14" fillId="0" borderId="0"/>
    <xf numFmtId="0" fontId="5" fillId="0" borderId="0"/>
    <xf numFmtId="0" fontId="5" fillId="0" borderId="0"/>
    <xf numFmtId="0" fontId="19"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xf numFmtId="0" fontId="5" fillId="0" borderId="0"/>
  </cellStyleXfs>
  <cellXfs count="378">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20" fillId="2" borderId="7" xfId="6" applyFont="1"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3" fillId="0" borderId="2" xfId="10" applyFont="1" applyBorder="1"/>
    <xf numFmtId="0" fontId="3" fillId="0" borderId="13" xfId="10" applyFont="1" applyBorder="1"/>
    <xf numFmtId="0" fontId="3" fillId="0" borderId="6" xfId="10" applyFont="1" applyBorder="1"/>
    <xf numFmtId="0" fontId="3" fillId="0" borderId="23" xfId="10" applyFont="1" applyBorder="1"/>
    <xf numFmtId="0" fontId="17" fillId="0" borderId="28" xfId="10" applyFont="1" applyBorder="1" applyAlignment="1">
      <alignment horizontal="center" vertical="center" wrapText="1"/>
    </xf>
    <xf numFmtId="0" fontId="17" fillId="0" borderId="35" xfId="10" applyFont="1" applyBorder="1" applyAlignment="1">
      <alignment vertical="center" wrapText="1"/>
    </xf>
    <xf numFmtId="0" fontId="17" fillId="0" borderId="19" xfId="10" applyFont="1" applyBorder="1" applyAlignment="1">
      <alignment vertical="center" wrapText="1"/>
    </xf>
    <xf numFmtId="0" fontId="3" fillId="0" borderId="3" xfId="10" applyFont="1" applyBorder="1"/>
    <xf numFmtId="0" fontId="3" fillId="3" borderId="9" xfId="10" applyFont="1" applyFill="1" applyBorder="1" applyAlignment="1" applyProtection="1">
      <alignment horizontal="center" vertical="center"/>
      <protection locked="0"/>
    </xf>
    <xf numFmtId="0" fontId="3" fillId="3" borderId="7" xfId="10" applyFont="1" applyFill="1" applyBorder="1" applyAlignment="1" applyProtection="1">
      <alignment horizontal="center" vertical="center"/>
      <protection locked="0"/>
    </xf>
    <xf numFmtId="0" fontId="3" fillId="3" borderId="4" xfId="10" applyFont="1" applyFill="1" applyBorder="1" applyAlignment="1" applyProtection="1">
      <alignment horizontal="center" vertical="center"/>
      <protection locked="0"/>
    </xf>
    <xf numFmtId="0" fontId="16" fillId="0" borderId="10" xfId="5" applyFont="1" applyBorder="1" applyAlignment="1">
      <alignment horizontal="left" vertical="center"/>
    </xf>
    <xf numFmtId="0" fontId="16" fillId="0" borderId="38" xfId="10" applyFont="1" applyBorder="1" applyAlignment="1">
      <alignment horizontal="left" vertical="center"/>
    </xf>
    <xf numFmtId="0" fontId="16" fillId="0" borderId="37" xfId="10" applyFont="1" applyBorder="1" applyAlignment="1">
      <alignment horizontal="left" vertical="center"/>
    </xf>
    <xf numFmtId="0" fontId="16" fillId="0" borderId="10" xfId="10" applyFont="1" applyBorder="1" applyAlignment="1">
      <alignment horizontal="left" vertical="center"/>
    </xf>
    <xf numFmtId="0" fontId="23" fillId="0" borderId="8" xfId="10" applyFont="1" applyBorder="1" applyAlignment="1">
      <alignment horizontal="center" vertical="center" wrapText="1"/>
    </xf>
    <xf numFmtId="0" fontId="23" fillId="0" borderId="5" xfId="10" applyFont="1" applyBorder="1" applyAlignment="1">
      <alignment horizontal="center" vertical="center" wrapText="1"/>
    </xf>
    <xf numFmtId="0" fontId="21" fillId="0" borderId="39" xfId="0" applyFont="1" applyBorder="1" applyAlignment="1" applyProtection="1">
      <alignment horizontal="center" vertical="center" wrapText="1"/>
      <protection locked="0"/>
    </xf>
    <xf numFmtId="0" fontId="3" fillId="0" borderId="40" xfId="10" applyFont="1" applyBorder="1"/>
    <xf numFmtId="0" fontId="3" fillId="0" borderId="13" xfId="10" applyFont="1" applyBorder="1" applyAlignment="1">
      <alignment vertical="center"/>
    </xf>
    <xf numFmtId="0" fontId="18" fillId="0" borderId="26" xfId="10" applyFont="1" applyBorder="1" applyAlignment="1">
      <alignment horizontal="center" vertical="center"/>
    </xf>
    <xf numFmtId="0" fontId="3" fillId="0" borderId="3" xfId="10" applyFont="1" applyBorder="1" applyAlignment="1">
      <alignment vertical="center"/>
    </xf>
    <xf numFmtId="0" fontId="3"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16" fillId="0" borderId="15" xfId="5" applyFont="1" applyBorder="1" applyAlignment="1">
      <alignment horizontal="left" vertical="center" wrapText="1"/>
    </xf>
    <xf numFmtId="0" fontId="23" fillId="0" borderId="15" xfId="10" applyFont="1" applyBorder="1" applyAlignment="1">
      <alignment horizontal="center" vertical="center" wrapText="1"/>
    </xf>
    <xf numFmtId="0" fontId="26" fillId="0" borderId="16" xfId="10" applyFont="1" applyBorder="1" applyAlignment="1">
      <alignment vertical="center" wrapText="1"/>
    </xf>
    <xf numFmtId="0" fontId="26" fillId="0" borderId="7" xfId="10" applyFont="1" applyBorder="1" applyAlignment="1">
      <alignment vertical="center" wrapText="1"/>
    </xf>
    <xf numFmtId="0" fontId="26" fillId="0" borderId="4" xfId="10" applyFont="1" applyBorder="1" applyAlignment="1">
      <alignment vertical="center" wrapText="1"/>
    </xf>
    <xf numFmtId="0" fontId="3" fillId="5" borderId="6" xfId="10" applyFont="1" applyFill="1" applyBorder="1"/>
    <xf numFmtId="0" fontId="3" fillId="5" borderId="33" xfId="10" applyFont="1" applyFill="1" applyBorder="1" applyAlignment="1">
      <alignment wrapText="1"/>
    </xf>
    <xf numFmtId="0" fontId="16" fillId="5" borderId="34" xfId="10" applyFont="1" applyFill="1" applyBorder="1" applyAlignment="1">
      <alignment vertical="center"/>
    </xf>
    <xf numFmtId="0" fontId="17" fillId="5" borderId="35" xfId="10" applyFont="1" applyFill="1" applyBorder="1" applyAlignment="1">
      <alignment vertical="center" wrapText="1"/>
    </xf>
    <xf numFmtId="0" fontId="17" fillId="5" borderId="36" xfId="10" applyFont="1" applyFill="1" applyBorder="1" applyAlignment="1">
      <alignment horizontal="center" vertical="center" wrapText="1"/>
    </xf>
    <xf numFmtId="0" fontId="3" fillId="5" borderId="23" xfId="10" applyFont="1" applyFill="1" applyBorder="1"/>
    <xf numFmtId="0" fontId="3" fillId="5" borderId="2" xfId="10" applyFont="1" applyFill="1" applyBorder="1"/>
    <xf numFmtId="0" fontId="16" fillId="0" borderId="8" xfId="10" applyFont="1" applyBorder="1" applyAlignment="1">
      <alignment horizontal="left" vertical="center" wrapText="1"/>
    </xf>
    <xf numFmtId="0" fontId="3" fillId="0" borderId="6" xfId="10" applyFont="1" applyBorder="1" applyAlignment="1">
      <alignment vertical="center"/>
    </xf>
    <xf numFmtId="0" fontId="3" fillId="0" borderId="25"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18" xfId="10" applyFont="1" applyBorder="1" applyAlignment="1">
      <alignment horizontal="center" vertical="center"/>
    </xf>
    <xf numFmtId="0" fontId="3" fillId="0" borderId="23" xfId="10" applyFont="1" applyBorder="1" applyAlignment="1">
      <alignment vertical="center"/>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21" fillId="0" borderId="0" xfId="0" applyFont="1" applyAlignment="1">
      <alignment vertical="top"/>
    </xf>
    <xf numFmtId="0" fontId="10" fillId="2" borderId="0" xfId="0" applyFont="1" applyFill="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24" fillId="0" borderId="0" xfId="0" applyFont="1" applyAlignment="1" applyProtection="1">
      <alignment vertical="top"/>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11" fillId="0" borderId="0" xfId="0" applyFont="1" applyAlignment="1" applyProtection="1">
      <alignment vertical="top"/>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1" fillId="0" borderId="0" xfId="0" applyFont="1" applyAlignment="1">
      <alignment vertical="top" wrapText="1"/>
    </xf>
    <xf numFmtId="0" fontId="13"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0" borderId="0" xfId="0" applyFont="1" applyAlignment="1">
      <alignment vertical="top"/>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15" fillId="2" borderId="0" xfId="0" applyFont="1" applyFill="1" applyAlignment="1" applyProtection="1">
      <alignment vertical="top" wrapText="1"/>
      <protection locked="0"/>
    </xf>
    <xf numFmtId="0" fontId="15"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4" fillId="0" borderId="0" xfId="0" applyFont="1" applyAlignment="1">
      <alignment vertical="center"/>
    </xf>
    <xf numFmtId="0" fontId="10"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21" fillId="0" borderId="0" xfId="0" applyFont="1" applyAlignment="1">
      <alignment vertical="center"/>
    </xf>
    <xf numFmtId="0" fontId="13" fillId="0" borderId="0" xfId="0" applyFont="1" applyAlignment="1" applyProtection="1">
      <alignment vertical="center"/>
      <protection locked="0"/>
    </xf>
    <xf numFmtId="0" fontId="10" fillId="0" borderId="0" xfId="0" applyFont="1" applyAlignment="1" applyProtection="1">
      <alignment vertical="center" wrapText="1"/>
      <protection locked="0"/>
    </xf>
    <xf numFmtId="0" fontId="6" fillId="0" borderId="0" xfId="0" applyFont="1" applyAlignment="1">
      <alignment vertical="center"/>
    </xf>
    <xf numFmtId="0" fontId="16" fillId="0" borderId="5" xfId="10" applyFont="1" applyBorder="1" applyAlignment="1">
      <alignment horizontal="left" vertical="center" wrapText="1"/>
    </xf>
    <xf numFmtId="0" fontId="16" fillId="0" borderId="8" xfId="10" applyFont="1" applyBorder="1" applyAlignment="1">
      <alignment horizontal="left" vertical="center"/>
    </xf>
    <xf numFmtId="0" fontId="17" fillId="0" borderId="19" xfId="5" applyFont="1" applyBorder="1" applyAlignment="1">
      <alignment vertical="center" wrapText="1"/>
    </xf>
    <xf numFmtId="0" fontId="3" fillId="5" borderId="24" xfId="10" applyFont="1" applyFill="1" applyBorder="1" applyAlignment="1">
      <alignment horizontal="center" vertical="center"/>
    </xf>
    <xf numFmtId="0" fontId="17" fillId="0" borderId="22" xfId="10" applyFont="1" applyBorder="1" applyAlignment="1">
      <alignment horizontal="center" vertical="center" wrapText="1"/>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21"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7" fillId="0" borderId="0" xfId="0" applyFont="1" applyAlignment="1">
      <alignment vertical="center"/>
    </xf>
    <xf numFmtId="0" fontId="27" fillId="0" borderId="0" xfId="0" applyFont="1" applyAlignment="1">
      <alignment vertical="top"/>
    </xf>
    <xf numFmtId="0" fontId="27" fillId="0" borderId="0" xfId="0" applyFont="1" applyAlignment="1">
      <alignment vertical="top" wrapText="1"/>
    </xf>
    <xf numFmtId="0" fontId="27" fillId="0" borderId="0" xfId="0" applyFont="1" applyAlignment="1" applyProtection="1">
      <alignment vertical="top"/>
      <protection locked="0"/>
    </xf>
    <xf numFmtId="0" fontId="27" fillId="2" borderId="0" xfId="0" applyFont="1" applyFill="1" applyAlignment="1" applyProtection="1">
      <alignment vertical="top" wrapText="1"/>
      <protection locked="0"/>
    </xf>
    <xf numFmtId="0" fontId="27" fillId="2" borderId="0" xfId="0" applyFont="1" applyFill="1" applyAlignment="1" applyProtection="1">
      <alignment vertical="top"/>
      <protection locked="0"/>
    </xf>
    <xf numFmtId="0" fontId="22" fillId="0" borderId="0" xfId="0" applyFont="1" applyAlignment="1" applyProtection="1">
      <alignment vertical="top" wrapText="1"/>
      <protection locked="0"/>
    </xf>
    <xf numFmtId="9" fontId="10" fillId="0" borderId="0" xfId="0" applyNumberFormat="1"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center"/>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49" fontId="27" fillId="0" borderId="0" xfId="0" applyNumberFormat="1" applyFont="1" applyAlignment="1">
      <alignment horizontal="left" vertical="top" wrapText="1"/>
    </xf>
    <xf numFmtId="164" fontId="3" fillId="2" borderId="16" xfId="10" applyNumberFormat="1" applyFont="1" applyFill="1" applyBorder="1" applyAlignment="1">
      <alignment horizontal="center" vertical="center"/>
    </xf>
    <xf numFmtId="1" fontId="25" fillId="2" borderId="7" xfId="5" applyNumberFormat="1" applyFont="1" applyFill="1" applyBorder="1" applyAlignment="1" applyProtection="1">
      <alignment horizontal="center" vertical="center"/>
      <protection locked="0"/>
    </xf>
    <xf numFmtId="0" fontId="17" fillId="0" borderId="16" xfId="5" applyFont="1" applyBorder="1" applyAlignment="1">
      <alignment vertical="center" wrapText="1"/>
    </xf>
    <xf numFmtId="0" fontId="16" fillId="0" borderId="9" xfId="5" applyFont="1" applyBorder="1" applyAlignment="1">
      <alignment vertical="center" wrapText="1"/>
    </xf>
    <xf numFmtId="0" fontId="16" fillId="0" borderId="7" xfId="5" applyFont="1" applyBorder="1" applyAlignment="1">
      <alignment vertical="center" wrapText="1"/>
    </xf>
    <xf numFmtId="0" fontId="20" fillId="0" borderId="7" xfId="6" applyFont="1" applyFill="1" applyBorder="1" applyAlignment="1">
      <alignment horizontal="center" vertical="center"/>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165" fontId="10" fillId="0" borderId="0" xfId="0" applyNumberFormat="1" applyFont="1" applyAlignment="1" applyProtection="1">
      <alignment horizontal="right" vertical="top"/>
      <protection locked="0"/>
    </xf>
    <xf numFmtId="0" fontId="7" fillId="0" borderId="33"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4" fillId="0" borderId="6" xfId="5" applyFont="1" applyBorder="1"/>
    <xf numFmtId="0" fontId="16" fillId="0" borderId="8" xfId="5" applyFont="1" applyBorder="1" applyAlignment="1">
      <alignment vertical="center"/>
    </xf>
    <xf numFmtId="0" fontId="16" fillId="0" borderId="19" xfId="5" applyFont="1" applyBorder="1" applyAlignment="1">
      <alignment horizontal="left" vertical="center" wrapText="1"/>
    </xf>
    <xf numFmtId="0" fontId="4" fillId="0" borderId="23" xfId="5" applyFont="1" applyBorder="1"/>
    <xf numFmtId="0" fontId="4" fillId="0" borderId="2" xfId="5" applyFont="1" applyBorder="1"/>
    <xf numFmtId="0" fontId="17" fillId="0" borderId="28" xfId="5" applyFont="1" applyBorder="1" applyAlignment="1">
      <alignment horizontal="center" vertical="center" wrapText="1"/>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9" fontId="9" fillId="0" borderId="0" xfId="7" applyFont="1" applyAlignment="1">
      <alignment vertical="top"/>
    </xf>
    <xf numFmtId="165" fontId="9" fillId="0" borderId="0" xfId="0" applyNumberFormat="1" applyFont="1" applyAlignment="1">
      <alignment vertical="top"/>
    </xf>
    <xf numFmtId="0" fontId="9" fillId="0" borderId="0" xfId="0" applyFont="1" applyAlignment="1" applyProtection="1">
      <alignment horizontal="left" vertical="top" wrapText="1"/>
      <protection locked="0"/>
    </xf>
    <xf numFmtId="0" fontId="9" fillId="0" borderId="0" xfId="2" applyFont="1" applyAlignment="1">
      <alignment vertical="top" wrapText="1"/>
    </xf>
    <xf numFmtId="0" fontId="9" fillId="0" borderId="0" xfId="2" applyFont="1" applyAlignment="1" applyProtection="1">
      <alignment vertical="top" wrapText="1"/>
      <protection locked="0"/>
    </xf>
    <xf numFmtId="0" fontId="7" fillId="0" borderId="0" xfId="0" applyFont="1" applyAlignment="1">
      <alignment wrapText="1"/>
    </xf>
    <xf numFmtId="0" fontId="9" fillId="0" borderId="0" xfId="0" applyFont="1" applyAlignment="1">
      <alignment horizontal="left" vertical="top"/>
    </xf>
    <xf numFmtId="0" fontId="0" fillId="0" borderId="1" xfId="0" applyBorder="1" applyAlignment="1" applyProtection="1">
      <alignment vertical="top"/>
      <protection locked="0"/>
    </xf>
    <xf numFmtId="0" fontId="0" fillId="0" borderId="0" xfId="2" applyFont="1" applyAlignment="1" applyProtection="1">
      <alignment horizontal="left" vertical="center" wrapText="1"/>
      <protection locked="0"/>
    </xf>
    <xf numFmtId="0" fontId="9" fillId="0" borderId="0" xfId="2" applyFont="1" applyAlignment="1">
      <alignment horizontal="left" vertical="center" wrapText="1"/>
    </xf>
    <xf numFmtId="0" fontId="9" fillId="0" borderId="0" xfId="2" applyFont="1" applyAlignment="1" applyProtection="1">
      <alignment horizontal="left" vertical="center" wrapText="1"/>
      <protection locked="0"/>
    </xf>
    <xf numFmtId="0" fontId="10" fillId="0" borderId="0" xfId="2" applyFont="1" applyAlignment="1" applyProtection="1">
      <alignment vertical="center" wrapText="1"/>
      <protection locked="0"/>
    </xf>
    <xf numFmtId="0" fontId="18" fillId="0" borderId="44" xfId="10" applyFont="1" applyBorder="1" applyAlignment="1">
      <alignment horizontal="center" vertical="center"/>
    </xf>
    <xf numFmtId="0" fontId="3" fillId="5" borderId="45" xfId="10" applyFont="1" applyFill="1" applyBorder="1" applyAlignment="1">
      <alignment horizontal="center" vertical="center"/>
    </xf>
    <xf numFmtId="0" fontId="18" fillId="0" borderId="46" xfId="10" applyFont="1" applyBorder="1" applyAlignment="1">
      <alignment horizontal="center" vertical="center"/>
    </xf>
    <xf numFmtId="0" fontId="17" fillId="0" borderId="37" xfId="17" applyFont="1" applyBorder="1" applyAlignment="1">
      <alignment vertical="center" wrapText="1"/>
    </xf>
    <xf numFmtId="0" fontId="17" fillId="5" borderId="48" xfId="10" applyFont="1" applyFill="1" applyBorder="1" applyAlignment="1">
      <alignment vertical="center" wrapText="1"/>
    </xf>
    <xf numFmtId="0" fontId="2" fillId="0" borderId="13" xfId="17" applyFont="1" applyBorder="1"/>
    <xf numFmtId="0" fontId="2" fillId="0" borderId="3" xfId="17" applyFont="1" applyBorder="1"/>
    <xf numFmtId="0" fontId="2" fillId="0" borderId="2" xfId="17" applyFont="1" applyBorder="1"/>
    <xf numFmtId="0" fontId="18" fillId="0" borderId="46" xfId="17" applyFont="1" applyBorder="1" applyAlignment="1">
      <alignment horizontal="center" vertical="center"/>
    </xf>
    <xf numFmtId="0" fontId="8" fillId="0" borderId="52" xfId="17" applyFont="1" applyBorder="1" applyAlignment="1">
      <alignment horizontal="center" vertical="center"/>
    </xf>
    <xf numFmtId="0" fontId="17" fillId="0" borderId="37" xfId="17" applyFont="1" applyBorder="1" applyAlignment="1">
      <alignment horizontal="center" vertical="center" wrapText="1"/>
    </xf>
    <xf numFmtId="2" fontId="17" fillId="0" borderId="48" xfId="17" applyNumberFormat="1" applyFont="1" applyBorder="1" applyAlignment="1">
      <alignment horizontal="center" vertical="center" wrapText="1"/>
    </xf>
    <xf numFmtId="0" fontId="17" fillId="5" borderId="48" xfId="17" applyFont="1" applyFill="1" applyBorder="1" applyAlignment="1">
      <alignment horizontal="center" vertical="center" wrapText="1"/>
    </xf>
    <xf numFmtId="0" fontId="2" fillId="5" borderId="53" xfId="17" applyFont="1" applyFill="1" applyBorder="1" applyAlignment="1">
      <alignment horizontal="center" vertical="center"/>
    </xf>
    <xf numFmtId="0" fontId="2" fillId="5" borderId="7" xfId="17" applyFont="1" applyFill="1" applyBorder="1" applyAlignment="1">
      <alignment horizontal="center" vertical="center"/>
    </xf>
    <xf numFmtId="0" fontId="2" fillId="3" borderId="7" xfId="17" applyFont="1" applyFill="1" applyBorder="1" applyAlignment="1" applyProtection="1">
      <alignment horizontal="center" vertical="center"/>
      <protection locked="0"/>
    </xf>
    <xf numFmtId="4" fontId="2" fillId="5" borderId="4" xfId="17" applyNumberFormat="1" applyFont="1" applyFill="1" applyBorder="1" applyAlignment="1">
      <alignment horizontal="center" vertical="center"/>
    </xf>
    <xf numFmtId="164" fontId="17" fillId="0" borderId="50" xfId="7" applyNumberFormat="1" applyFont="1" applyBorder="1" applyAlignment="1">
      <alignment horizontal="center" vertical="center" wrapText="1"/>
    </xf>
    <xf numFmtId="164" fontId="17" fillId="0" borderId="41" xfId="7" applyNumberFormat="1" applyFont="1" applyBorder="1" applyAlignment="1">
      <alignment horizontal="center" vertical="center" wrapText="1"/>
    </xf>
    <xf numFmtId="164" fontId="17" fillId="0" borderId="51" xfId="7" applyNumberFormat="1" applyFont="1" applyBorder="1" applyAlignment="1">
      <alignment horizontal="center" vertical="center" wrapText="1"/>
    </xf>
    <xf numFmtId="164" fontId="17" fillId="0" borderId="21" xfId="7" applyNumberFormat="1" applyFont="1" applyBorder="1" applyAlignment="1">
      <alignment horizontal="center" vertical="center" wrapText="1"/>
    </xf>
    <xf numFmtId="164" fontId="17" fillId="0" borderId="49" xfId="7" applyNumberFormat="1" applyFont="1" applyBorder="1" applyAlignment="1">
      <alignment horizontal="center" vertical="center" wrapText="1"/>
    </xf>
    <xf numFmtId="164" fontId="17" fillId="0" borderId="22" xfId="7" applyNumberFormat="1" applyFont="1" applyBorder="1" applyAlignment="1">
      <alignment horizontal="center" vertical="center" wrapText="1"/>
    </xf>
    <xf numFmtId="0" fontId="30" fillId="0" borderId="32" xfId="10" applyFont="1" applyBorder="1" applyAlignment="1">
      <alignment horizontal="center" vertical="center" wrapText="1"/>
    </xf>
    <xf numFmtId="0" fontId="30" fillId="0" borderId="28" xfId="10" applyFont="1" applyBorder="1" applyAlignment="1">
      <alignment horizontal="center" vertical="center" wrapText="1"/>
    </xf>
    <xf numFmtId="0" fontId="31" fillId="0" borderId="36" xfId="5" applyFont="1" applyBorder="1" applyAlignment="1">
      <alignment horizontal="center" vertical="center" wrapText="1"/>
    </xf>
    <xf numFmtId="0" fontId="31" fillId="0" borderId="28" xfId="10" applyFont="1" applyBorder="1" applyAlignment="1">
      <alignment horizontal="center" vertical="center" wrapText="1"/>
    </xf>
    <xf numFmtId="0" fontId="31" fillId="0" borderId="28" xfId="5" applyFont="1" applyBorder="1" applyAlignment="1">
      <alignment horizontal="center" vertical="center" wrapText="1"/>
    </xf>
    <xf numFmtId="0" fontId="31" fillId="0" borderId="42" xfId="5" applyFont="1" applyBorder="1" applyAlignment="1">
      <alignment horizontal="center" vertical="center"/>
    </xf>
    <xf numFmtId="0" fontId="31" fillId="0" borderId="43" xfId="5" applyFont="1" applyBorder="1" applyAlignment="1">
      <alignment horizontal="center" vertical="center"/>
    </xf>
    <xf numFmtId="0" fontId="31" fillId="0" borderId="32" xfId="10" applyFont="1" applyBorder="1" applyAlignment="1">
      <alignment horizontal="center" vertical="center" wrapText="1"/>
    </xf>
    <xf numFmtId="0" fontId="10" fillId="0" borderId="0" xfId="0" applyFont="1" applyAlignment="1">
      <alignment vertical="top"/>
    </xf>
    <xf numFmtId="0" fontId="17" fillId="0" borderId="19" xfId="5" applyFont="1" applyBorder="1" applyAlignment="1">
      <alignment horizontal="left" vertical="center" wrapText="1"/>
    </xf>
    <xf numFmtId="0" fontId="16" fillId="0" borderId="7" xfId="17" applyFont="1" applyBorder="1" applyAlignment="1">
      <alignment vertical="center" wrapText="1"/>
    </xf>
    <xf numFmtId="0" fontId="17" fillId="0" borderId="7" xfId="17" applyFont="1" applyBorder="1" applyAlignment="1">
      <alignment vertical="center" wrapText="1"/>
    </xf>
    <xf numFmtId="0" fontId="17" fillId="0" borderId="54" xfId="5" applyFont="1" applyBorder="1" applyAlignment="1">
      <alignment vertical="center" wrapText="1"/>
    </xf>
    <xf numFmtId="0" fontId="16" fillId="0" borderId="38" xfId="5" applyFont="1" applyBorder="1" applyAlignment="1">
      <alignment wrapText="1"/>
    </xf>
    <xf numFmtId="0" fontId="17" fillId="0" borderId="37" xfId="5" applyFont="1" applyBorder="1" applyAlignment="1">
      <alignment vertical="center" wrapText="1"/>
    </xf>
    <xf numFmtId="0" fontId="17" fillId="0" borderId="55" xfId="5" applyFont="1" applyBorder="1" applyAlignment="1">
      <alignment vertical="center" wrapText="1"/>
    </xf>
    <xf numFmtId="0" fontId="17" fillId="0" borderId="49" xfId="5" applyFont="1" applyBorder="1" applyAlignment="1">
      <alignment vertical="center" wrapText="1"/>
    </xf>
    <xf numFmtId="0" fontId="17" fillId="0" borderId="30" xfId="5" applyFont="1" applyBorder="1" applyAlignment="1">
      <alignment horizontal="left" vertical="center" wrapText="1"/>
    </xf>
    <xf numFmtId="0" fontId="16" fillId="0" borderId="31" xfId="5" applyFont="1" applyBorder="1" applyAlignment="1">
      <alignment horizontal="left" vertical="center" wrapText="1"/>
    </xf>
    <xf numFmtId="0" fontId="16" fillId="0" borderId="47" xfId="5" applyFont="1" applyBorder="1" applyAlignment="1">
      <alignment horizontal="center" vertical="center" wrapText="1"/>
    </xf>
    <xf numFmtId="0" fontId="17" fillId="0" borderId="57" xfId="5" applyFont="1" applyBorder="1" applyAlignment="1">
      <alignment horizontal="center" vertical="center" wrapText="1"/>
    </xf>
    <xf numFmtId="0" fontId="17" fillId="0" borderId="56" xfId="5" applyFont="1" applyBorder="1" applyAlignment="1">
      <alignment horizontal="center" vertical="center" wrapText="1"/>
    </xf>
    <xf numFmtId="0" fontId="16" fillId="0" borderId="37" xfId="5" applyFont="1" applyBorder="1" applyAlignment="1">
      <alignment horizontal="center" vertical="center" wrapText="1"/>
    </xf>
    <xf numFmtId="0" fontId="17" fillId="0" borderId="37" xfId="5" applyFont="1" applyBorder="1" applyAlignment="1">
      <alignment horizontal="center" vertical="center" wrapText="1"/>
    </xf>
    <xf numFmtId="0" fontId="17" fillId="0" borderId="51" xfId="5" applyFont="1" applyBorder="1" applyAlignment="1">
      <alignment horizontal="center" vertical="center" wrapText="1"/>
    </xf>
    <xf numFmtId="0" fontId="17" fillId="0" borderId="7" xfId="5" applyFont="1" applyBorder="1" applyAlignment="1">
      <alignment horizontal="center" vertical="center" wrapText="1"/>
    </xf>
    <xf numFmtId="0" fontId="16" fillId="0" borderId="38" xfId="5" applyFont="1" applyBorder="1" applyAlignment="1">
      <alignment horizontal="center" vertical="center" wrapText="1"/>
    </xf>
    <xf numFmtId="0" fontId="8" fillId="0" borderId="7" xfId="17" applyFont="1" applyBorder="1" applyAlignment="1">
      <alignment horizontal="center" vertical="center"/>
    </xf>
    <xf numFmtId="0" fontId="9" fillId="0" borderId="7" xfId="0" applyFont="1" applyBorder="1" applyAlignment="1">
      <alignment readingOrder="2"/>
    </xf>
    <xf numFmtId="0" fontId="9" fillId="0" borderId="9" xfId="0" applyFont="1" applyBorder="1" applyAlignment="1">
      <alignment readingOrder="2"/>
    </xf>
    <xf numFmtId="0" fontId="21" fillId="0" borderId="9" xfId="0" applyFont="1" applyBorder="1" applyAlignment="1">
      <alignment readingOrder="2"/>
    </xf>
    <xf numFmtId="0" fontId="9" fillId="0" borderId="0" xfId="3" applyFont="1" applyAlignment="1">
      <alignment horizontal="right" vertical="top" wrapText="1"/>
    </xf>
    <xf numFmtId="0" fontId="9" fillId="0" borderId="0" xfId="0" applyFont="1" applyAlignment="1">
      <alignment horizontal="right" vertical="top" wrapText="1"/>
    </xf>
    <xf numFmtId="0" fontId="17" fillId="0" borderId="50" xfId="5" applyFont="1" applyBorder="1" applyAlignment="1">
      <alignment vertical="center" wrapText="1"/>
    </xf>
    <xf numFmtId="0" fontId="17" fillId="0" borderId="51" xfId="5" applyFont="1" applyBorder="1" applyAlignment="1">
      <alignment vertical="center" wrapText="1"/>
    </xf>
    <xf numFmtId="0" fontId="0" fillId="0" borderId="0" xfId="2" applyFont="1" applyAlignment="1">
      <alignment horizontal="right" vertical="top" wrapText="1"/>
    </xf>
    <xf numFmtId="0" fontId="10" fillId="0" borderId="0" xfId="0" applyFont="1" applyAlignment="1" applyProtection="1">
      <alignment horizontal="right" vertical="top" wrapText="1"/>
      <protection locked="0"/>
    </xf>
    <xf numFmtId="0" fontId="10" fillId="0" borderId="0" xfId="3" applyFont="1" applyAlignment="1" applyProtection="1">
      <alignment horizontal="right" vertical="top" wrapText="1"/>
      <protection locked="0"/>
    </xf>
    <xf numFmtId="0" fontId="9" fillId="0" borderId="0" xfId="0" applyFont="1" applyAlignment="1" applyProtection="1">
      <alignment horizontal="right" vertical="top" wrapText="1"/>
      <protection locked="0"/>
    </xf>
    <xf numFmtId="0" fontId="10" fillId="0" borderId="0" xfId="2" applyFont="1" applyAlignment="1" applyProtection="1">
      <alignment horizontal="right" vertical="top" wrapText="1"/>
      <protection locked="0"/>
    </xf>
    <xf numFmtId="0" fontId="9" fillId="0" borderId="0" xfId="3" applyFont="1" applyAlignment="1">
      <alignment horizontal="right" vertical="center" wrapText="1"/>
    </xf>
    <xf numFmtId="0" fontId="0" fillId="0" borderId="0" xfId="0" applyAlignment="1">
      <alignment horizontal="right" vertical="top"/>
    </xf>
    <xf numFmtId="0" fontId="10" fillId="0" borderId="0" xfId="0" applyFont="1" applyAlignment="1" applyProtection="1">
      <alignment horizontal="right" vertical="center" wrapText="1"/>
      <protection locked="0"/>
    </xf>
    <xf numFmtId="0" fontId="0" fillId="0" borderId="0" xfId="0" applyAlignment="1" applyProtection="1">
      <alignment horizontal="right" vertical="top"/>
      <protection locked="0"/>
    </xf>
    <xf numFmtId="0" fontId="9" fillId="0" borderId="0" xfId="2" applyFont="1" applyAlignment="1">
      <alignment horizontal="right" vertical="center" wrapText="1"/>
    </xf>
    <xf numFmtId="0" fontId="9" fillId="0" borderId="0" xfId="2" applyFont="1" applyAlignment="1" applyProtection="1">
      <alignment horizontal="right" vertical="center" wrapText="1"/>
      <protection locked="0"/>
    </xf>
    <xf numFmtId="0" fontId="0" fillId="0" borderId="1" xfId="0" applyBorder="1" applyAlignment="1">
      <alignment horizontal="right" vertical="top" wrapText="1"/>
    </xf>
    <xf numFmtId="0" fontId="0" fillId="0" borderId="0" xfId="2" applyFont="1" applyAlignment="1">
      <alignment horizontal="right" vertical="center" wrapText="1"/>
    </xf>
    <xf numFmtId="0" fontId="0" fillId="0" borderId="0" xfId="2" applyFont="1" applyAlignment="1" applyProtection="1">
      <alignment horizontal="right" vertical="center" wrapText="1"/>
      <protection locked="0"/>
    </xf>
    <xf numFmtId="0" fontId="0" fillId="0" borderId="0" xfId="0" applyAlignment="1" applyProtection="1">
      <alignment horizontal="right" vertical="top" wrapText="1"/>
      <protection locked="0"/>
    </xf>
    <xf numFmtId="0" fontId="10" fillId="0" borderId="0" xfId="3" applyFont="1" applyAlignment="1" applyProtection="1">
      <alignment horizontal="right" vertical="center" wrapText="1"/>
      <protection locked="0"/>
    </xf>
    <xf numFmtId="0" fontId="10" fillId="0" borderId="0" xfId="2" applyFont="1" applyAlignment="1" applyProtection="1">
      <alignment horizontal="right" vertical="center" wrapText="1"/>
      <protection locked="0"/>
    </xf>
    <xf numFmtId="49" fontId="27" fillId="0" borderId="0" xfId="0" applyNumberFormat="1" applyFont="1" applyAlignment="1">
      <alignment horizontal="right" vertical="top" wrapText="1"/>
    </xf>
    <xf numFmtId="0" fontId="0" fillId="5" borderId="0" xfId="0" applyFill="1" applyAlignment="1">
      <alignment wrapText="1"/>
    </xf>
    <xf numFmtId="0" fontId="2" fillId="2" borderId="7" xfId="17" applyFont="1" applyFill="1" applyBorder="1" applyAlignment="1" applyProtection="1">
      <alignment horizontal="center" vertical="center"/>
      <protection locked="0"/>
    </xf>
    <xf numFmtId="0" fontId="9" fillId="0" borderId="0" xfId="0" applyFont="1"/>
    <xf numFmtId="0" fontId="11" fillId="0" borderId="0" xfId="0" applyFont="1"/>
    <xf numFmtId="0" fontId="10" fillId="0" borderId="0" xfId="0" applyFont="1"/>
    <xf numFmtId="0" fontId="16" fillId="0" borderId="58" xfId="5" applyFont="1" applyBorder="1" applyAlignment="1">
      <alignment vertical="center"/>
    </xf>
    <xf numFmtId="0" fontId="16" fillId="0" borderId="59" xfId="5" applyFont="1" applyBorder="1" applyAlignment="1">
      <alignment vertical="center" wrapText="1"/>
    </xf>
    <xf numFmtId="0" fontId="11" fillId="0" borderId="0" xfId="0" applyFont="1" applyAlignment="1">
      <alignment wrapText="1"/>
    </xf>
    <xf numFmtId="0" fontId="17" fillId="0" borderId="0" xfId="3" applyFont="1" applyAlignment="1">
      <alignment horizontal="right" vertical="top" wrapText="1"/>
    </xf>
    <xf numFmtId="0" fontId="32" fillId="0" borderId="0" xfId="0" applyFont="1" applyAlignment="1">
      <alignment vertical="top" wrapText="1"/>
    </xf>
    <xf numFmtId="0" fontId="17" fillId="0" borderId="0" xfId="3" applyFont="1" applyAlignment="1">
      <alignment horizontal="right" vertical="center" wrapText="1"/>
    </xf>
    <xf numFmtId="0" fontId="16" fillId="0" borderId="0" xfId="3" applyFont="1" applyAlignment="1">
      <alignment horizontal="right" vertical="center" wrapText="1"/>
    </xf>
    <xf numFmtId="0" fontId="16" fillId="0" borderId="0" xfId="2" applyFont="1" applyAlignment="1">
      <alignment vertical="center" wrapText="1"/>
    </xf>
    <xf numFmtId="49" fontId="1" fillId="3" borderId="16" xfId="5" applyNumberFormat="1" applyFont="1" applyFill="1" applyBorder="1" applyAlignment="1" applyProtection="1">
      <alignment horizontal="center" vertical="center"/>
      <protection locked="0"/>
    </xf>
    <xf numFmtId="0" fontId="1" fillId="0" borderId="7" xfId="5" applyFont="1" applyBorder="1" applyAlignment="1">
      <alignment horizontal="center" vertical="center"/>
    </xf>
    <xf numFmtId="0" fontId="1" fillId="0" borderId="2" xfId="10" applyFont="1" applyBorder="1"/>
    <xf numFmtId="0" fontId="1" fillId="3" borderId="7" xfId="5" applyFont="1" applyFill="1" applyBorder="1" applyAlignment="1" applyProtection="1">
      <alignment horizontal="center" vertical="center"/>
      <protection locked="0"/>
    </xf>
    <xf numFmtId="2" fontId="1" fillId="3" borderId="48" xfId="5" applyNumberFormat="1" applyFont="1" applyFill="1" applyBorder="1" applyAlignment="1" applyProtection="1">
      <alignment horizontal="center" vertical="center"/>
      <protection locked="0"/>
    </xf>
    <xf numFmtId="2" fontId="1" fillId="3" borderId="7" xfId="10" applyNumberFormat="1" applyFont="1" applyFill="1" applyBorder="1" applyAlignment="1" applyProtection="1">
      <alignment horizontal="center" vertical="center"/>
      <protection locked="0"/>
    </xf>
    <xf numFmtId="164" fontId="1" fillId="5" borderId="16" xfId="7" applyNumberFormat="1" applyFont="1" applyFill="1" applyBorder="1" applyAlignment="1">
      <alignment horizontal="center" vertical="center"/>
    </xf>
    <xf numFmtId="0" fontId="9" fillId="7" borderId="0" xfId="0" applyFont="1" applyFill="1" applyAlignment="1" applyProtection="1">
      <alignment vertical="top"/>
      <protection locked="0"/>
    </xf>
    <xf numFmtId="0" fontId="9" fillId="7" borderId="0" xfId="0" applyFont="1" applyFill="1" applyAlignment="1" applyProtection="1">
      <alignment vertical="top" wrapText="1"/>
      <protection locked="0"/>
    </xf>
    <xf numFmtId="0" fontId="9" fillId="7" borderId="0" xfId="0" applyFont="1" applyFill="1" applyAlignment="1" applyProtection="1">
      <alignment vertical="center"/>
      <protection locked="0"/>
    </xf>
    <xf numFmtId="0" fontId="0" fillId="7" borderId="0" xfId="0" applyFill="1" applyAlignment="1" applyProtection="1">
      <alignment vertical="top"/>
      <protection locked="0"/>
    </xf>
    <xf numFmtId="0" fontId="0" fillId="7" borderId="0" xfId="0" applyFill="1" applyAlignment="1" applyProtection="1">
      <alignment vertical="top" wrapText="1"/>
      <protection locked="0"/>
    </xf>
    <xf numFmtId="0" fontId="9" fillId="8" borderId="0" xfId="0" applyFont="1" applyFill="1" applyAlignment="1" applyProtection="1">
      <alignment vertical="center"/>
      <protection locked="0"/>
    </xf>
    <xf numFmtId="0" fontId="9" fillId="7" borderId="1" xfId="0" applyFont="1" applyFill="1" applyBorder="1" applyAlignment="1" applyProtection="1">
      <alignment vertical="top"/>
      <protection locked="0"/>
    </xf>
    <xf numFmtId="0" fontId="9" fillId="7" borderId="1" xfId="0" applyFont="1" applyFill="1" applyBorder="1" applyAlignment="1" applyProtection="1">
      <alignment vertical="top" wrapText="1"/>
      <protection locked="0"/>
    </xf>
    <xf numFmtId="0" fontId="9" fillId="7" borderId="1" xfId="0" applyFont="1" applyFill="1" applyBorder="1" applyAlignment="1" applyProtection="1">
      <alignment vertical="center"/>
      <protection locked="0"/>
    </xf>
    <xf numFmtId="0" fontId="28" fillId="8" borderId="0" xfId="0" applyFont="1" applyFill="1" applyAlignment="1" applyProtection="1">
      <alignment vertical="top"/>
      <protection locked="0"/>
    </xf>
    <xf numFmtId="0" fontId="28" fillId="8" borderId="0" xfId="0" applyFont="1" applyFill="1" applyProtection="1">
      <protection locked="0"/>
    </xf>
    <xf numFmtId="0" fontId="28" fillId="8" borderId="0" xfId="0" applyFont="1" applyFill="1" applyAlignment="1" applyProtection="1">
      <alignment vertical="center"/>
      <protection locked="0"/>
    </xf>
    <xf numFmtId="0" fontId="0" fillId="9" borderId="0" xfId="0" applyFill="1" applyAlignment="1" applyProtection="1">
      <alignment horizontal="left" vertical="center" wrapText="1"/>
      <protection locked="0"/>
    </xf>
    <xf numFmtId="0" fontId="9" fillId="9" borderId="0" xfId="0" applyFont="1" applyFill="1" applyAlignment="1" applyProtection="1">
      <alignment horizontal="right" vertical="center" wrapText="1"/>
      <protection locked="0"/>
    </xf>
    <xf numFmtId="0" fontId="9" fillId="8" borderId="0" xfId="0" applyFont="1" applyFill="1" applyAlignment="1" applyProtection="1">
      <alignment vertical="top"/>
      <protection locked="0"/>
    </xf>
    <xf numFmtId="0" fontId="9" fillId="8" borderId="0" xfId="0" applyFont="1" applyFill="1" applyAlignment="1" applyProtection="1">
      <alignment vertical="top" wrapText="1"/>
      <protection locked="0"/>
    </xf>
    <xf numFmtId="0" fontId="11" fillId="10" borderId="0" xfId="0" applyFont="1" applyFill="1" applyAlignment="1" applyProtection="1">
      <alignment vertical="top" wrapText="1"/>
      <protection locked="0"/>
    </xf>
    <xf numFmtId="0" fontId="9" fillId="8" borderId="0" xfId="0" applyFont="1" applyFill="1" applyProtection="1">
      <protection locked="0"/>
    </xf>
    <xf numFmtId="0" fontId="9" fillId="10" borderId="0" xfId="0" applyFont="1" applyFill="1" applyAlignment="1" applyProtection="1">
      <alignment vertical="top"/>
      <protection locked="0"/>
    </xf>
    <xf numFmtId="0" fontId="33" fillId="0" borderId="0" xfId="0" applyFont="1" applyAlignment="1" applyProtection="1">
      <alignment vertical="top"/>
      <protection locked="0"/>
    </xf>
    <xf numFmtId="0" fontId="9" fillId="8" borderId="0" xfId="0" applyFont="1" applyFill="1" applyAlignment="1" applyProtection="1">
      <alignment horizontal="left" vertical="top" wrapText="1"/>
      <protection locked="0"/>
    </xf>
    <xf numFmtId="0" fontId="7" fillId="0" borderId="60" xfId="0" applyFont="1" applyBorder="1" applyAlignment="1">
      <alignment vertical="top"/>
    </xf>
    <xf numFmtId="0" fontId="7" fillId="0" borderId="61" xfId="0" applyFont="1" applyBorder="1" applyAlignment="1">
      <alignment vertical="top"/>
    </xf>
    <xf numFmtId="0" fontId="7" fillId="0" borderId="61" xfId="0" applyFont="1" applyBorder="1" applyAlignment="1">
      <alignment vertical="top" wrapText="1"/>
    </xf>
    <xf numFmtId="0" fontId="7" fillId="2" borderId="61" xfId="0" applyFont="1" applyFill="1" applyBorder="1" applyAlignment="1" applyProtection="1">
      <alignment vertical="top" wrapText="1"/>
      <protection locked="0"/>
    </xf>
    <xf numFmtId="0" fontId="7" fillId="2" borderId="61" xfId="0" applyFont="1" applyFill="1" applyBorder="1" applyAlignment="1" applyProtection="1">
      <alignment vertical="top"/>
      <protection locked="0"/>
    </xf>
    <xf numFmtId="0" fontId="7" fillId="0" borderId="61" xfId="0" applyFont="1" applyBorder="1" applyAlignment="1">
      <alignment vertical="center"/>
    </xf>
    <xf numFmtId="0" fontId="7" fillId="0" borderId="61" xfId="0" applyFont="1" applyBorder="1" applyAlignment="1" applyProtection="1">
      <alignment vertical="top"/>
      <protection locked="0"/>
    </xf>
    <xf numFmtId="0" fontId="0" fillId="0" borderId="61" xfId="0" applyBorder="1" applyAlignment="1" applyProtection="1">
      <alignment vertical="top"/>
      <protection locked="0"/>
    </xf>
    <xf numFmtId="165" fontId="9" fillId="0" borderId="61" xfId="0" applyNumberFormat="1" applyFont="1" applyBorder="1" applyAlignment="1" applyProtection="1">
      <alignment horizontal="right" vertical="top"/>
      <protection locked="0"/>
    </xf>
    <xf numFmtId="9" fontId="9" fillId="0" borderId="61" xfId="7" applyFont="1" applyBorder="1" applyAlignment="1" applyProtection="1">
      <alignment vertical="top"/>
      <protection locked="0"/>
    </xf>
    <xf numFmtId="165" fontId="9" fillId="0" borderId="61" xfId="0" applyNumberFormat="1" applyFont="1" applyBorder="1" applyAlignment="1" applyProtection="1">
      <alignment vertical="top"/>
      <protection locked="0"/>
    </xf>
    <xf numFmtId="0" fontId="21" fillId="0" borderId="61" xfId="0" applyFont="1" applyBorder="1" applyAlignment="1" applyProtection="1">
      <alignment vertical="top"/>
      <protection locked="0"/>
    </xf>
    <xf numFmtId="0" fontId="9" fillId="7" borderId="0" xfId="0" applyFont="1" applyFill="1" applyAlignment="1" applyProtection="1">
      <alignment vertical="center" wrapText="1"/>
      <protection locked="0"/>
    </xf>
    <xf numFmtId="0" fontId="0" fillId="7" borderId="0" xfId="0" applyFill="1" applyAlignment="1" applyProtection="1">
      <alignment vertical="center"/>
      <protection locked="0"/>
    </xf>
    <xf numFmtId="0" fontId="0" fillId="7" borderId="0" xfId="0" applyFill="1" applyAlignment="1" applyProtection="1">
      <alignment horizontal="right" vertical="top"/>
      <protection locked="0"/>
    </xf>
    <xf numFmtId="0" fontId="9" fillId="7" borderId="0" xfId="0" applyFont="1" applyFill="1" applyAlignment="1" applyProtection="1">
      <alignment horizontal="right" vertical="top" wrapText="1"/>
      <protection locked="0"/>
    </xf>
    <xf numFmtId="0" fontId="10" fillId="7" borderId="0" xfId="0" applyFont="1" applyFill="1" applyAlignment="1" applyProtection="1">
      <alignment vertical="top" wrapText="1"/>
      <protection locked="0"/>
    </xf>
    <xf numFmtId="0" fontId="9" fillId="7" borderId="0" xfId="0" applyFont="1" applyFill="1" applyProtection="1">
      <protection locked="0"/>
    </xf>
    <xf numFmtId="164" fontId="9" fillId="7" borderId="0" xfId="0" applyNumberFormat="1" applyFont="1" applyFill="1" applyAlignment="1" applyProtection="1">
      <alignment vertical="top"/>
      <protection locked="0"/>
    </xf>
    <xf numFmtId="0" fontId="0" fillId="7" borderId="0" xfId="0" applyFill="1" applyAlignment="1" applyProtection="1">
      <alignment horizontal="right" vertical="top" wrapText="1"/>
      <protection locked="0"/>
    </xf>
    <xf numFmtId="0" fontId="0" fillId="7" borderId="0" xfId="0" applyFill="1" applyProtection="1">
      <protection locked="0"/>
    </xf>
    <xf numFmtId="0" fontId="1" fillId="2" borderId="7" xfId="17" applyFont="1" applyFill="1" applyBorder="1" applyAlignment="1" applyProtection="1">
      <alignment horizontal="center" vertical="center"/>
      <protection locked="0"/>
    </xf>
    <xf numFmtId="0" fontId="1" fillId="0" borderId="7" xfId="5" applyFont="1" applyBorder="1" applyAlignment="1" applyProtection="1">
      <alignment horizontal="center" vertical="center"/>
      <protection locked="0"/>
    </xf>
    <xf numFmtId="164" fontId="3" fillId="2" borderId="7" xfId="10" applyNumberFormat="1" applyFont="1" applyFill="1" applyBorder="1" applyAlignment="1" applyProtection="1">
      <alignment horizontal="center" vertical="center"/>
      <protection locked="0"/>
    </xf>
    <xf numFmtId="164" fontId="1" fillId="5" borderId="7" xfId="7" applyNumberFormat="1" applyFont="1" applyFill="1" applyBorder="1" applyAlignment="1" applyProtection="1">
      <alignment horizontal="center" vertical="center"/>
      <protection locked="0"/>
    </xf>
    <xf numFmtId="164" fontId="3" fillId="2" borderId="4" xfId="10" applyNumberFormat="1" applyFont="1" applyFill="1" applyBorder="1" applyAlignment="1" applyProtection="1">
      <alignment horizontal="center" vertical="center"/>
      <protection locked="0"/>
    </xf>
    <xf numFmtId="164" fontId="1" fillId="5" borderId="4" xfId="7" applyNumberFormat="1" applyFont="1" applyFill="1" applyBorder="1" applyAlignment="1" applyProtection="1">
      <alignment horizontal="center" vertical="center"/>
      <protection locked="0"/>
    </xf>
    <xf numFmtId="0" fontId="11" fillId="8" borderId="0" xfId="0" applyFont="1" applyFill="1" applyAlignment="1" applyProtection="1">
      <alignment vertical="top"/>
      <protection locked="0"/>
    </xf>
    <xf numFmtId="0" fontId="11" fillId="8" borderId="0" xfId="0" applyFont="1" applyFill="1" applyProtection="1">
      <protection locked="0"/>
    </xf>
    <xf numFmtId="0" fontId="11" fillId="8" borderId="0" xfId="0" applyFont="1" applyFill="1" applyAlignment="1" applyProtection="1">
      <alignment vertical="top" wrapText="1" readingOrder="2"/>
      <protection locked="0"/>
    </xf>
    <xf numFmtId="0" fontId="11" fillId="8" borderId="0" xfId="0" applyFont="1" applyFill="1" applyAlignment="1" applyProtection="1">
      <alignment vertical="top" readingOrder="2"/>
      <protection locked="0"/>
    </xf>
    <xf numFmtId="0" fontId="11" fillId="8" borderId="0" xfId="0" applyFont="1" applyFill="1" applyAlignment="1" applyProtection="1">
      <alignment vertical="center"/>
      <protection locked="0"/>
    </xf>
    <xf numFmtId="0" fontId="11" fillId="8" borderId="0" xfId="0" applyFont="1" applyFill="1" applyAlignment="1" applyProtection="1">
      <alignment horizontal="right" vertical="top"/>
      <protection locked="0"/>
    </xf>
    <xf numFmtId="9" fontId="11" fillId="8" borderId="0" xfId="0" applyNumberFormat="1" applyFont="1" applyFill="1" applyAlignment="1" applyProtection="1">
      <alignment vertical="top"/>
      <protection locked="0"/>
    </xf>
    <xf numFmtId="0" fontId="11" fillId="8" borderId="0" xfId="0" applyFont="1" applyFill="1" applyAlignment="1" applyProtection="1">
      <alignment vertical="top" wrapText="1"/>
      <protection locked="0"/>
    </xf>
    <xf numFmtId="0" fontId="9" fillId="7" borderId="0" xfId="0" applyFont="1" applyFill="1" applyAlignment="1" applyProtection="1">
      <alignment horizontal="left" vertical="top"/>
      <protection locked="0"/>
    </xf>
    <xf numFmtId="0" fontId="17" fillId="7" borderId="0" xfId="0" applyFont="1" applyFill="1" applyAlignment="1" applyProtection="1">
      <alignment vertical="top" wrapText="1"/>
      <protection locked="0"/>
    </xf>
    <xf numFmtId="0" fontId="12" fillId="7" borderId="0" xfId="0" applyFont="1" applyFill="1" applyProtection="1">
      <protection locked="0"/>
    </xf>
    <xf numFmtId="0" fontId="17" fillId="7" borderId="0" xfId="0" applyFont="1" applyFill="1" applyAlignment="1" applyProtection="1">
      <alignment horizontal="left" vertical="top" wrapText="1"/>
      <protection locked="0"/>
    </xf>
    <xf numFmtId="0" fontId="0" fillId="0" borderId="0" xfId="0" applyAlignment="1" applyProtection="1">
      <alignment horizontal="left" vertical="top"/>
      <protection locked="0"/>
    </xf>
    <xf numFmtId="0" fontId="0" fillId="7" borderId="0" xfId="0" applyFill="1" applyAlignment="1" applyProtection="1">
      <alignment horizontal="left" vertical="top"/>
      <protection locked="0"/>
    </xf>
    <xf numFmtId="0" fontId="34" fillId="7" borderId="0" xfId="0" applyFont="1" applyFill="1" applyProtection="1">
      <protection locked="0"/>
    </xf>
    <xf numFmtId="0" fontId="9" fillId="7" borderId="0" xfId="0" applyFont="1" applyFill="1" applyAlignment="1" applyProtection="1">
      <alignment horizontal="right" vertical="top"/>
      <protection locked="0"/>
    </xf>
    <xf numFmtId="0" fontId="17" fillId="7" borderId="0" xfId="0" applyFont="1" applyFill="1" applyAlignment="1" applyProtection="1">
      <alignment vertical="center"/>
      <protection locked="0"/>
    </xf>
    <xf numFmtId="0" fontId="17" fillId="7" borderId="0" xfId="0" applyFont="1" applyFill="1" applyAlignment="1" applyProtection="1">
      <alignment vertical="center" wrapText="1"/>
      <protection locked="0"/>
    </xf>
    <xf numFmtId="0" fontId="17" fillId="0" borderId="0" xfId="0" applyFont="1" applyAlignment="1" applyProtection="1">
      <alignment vertical="center" wrapText="1"/>
      <protection locked="0"/>
    </xf>
    <xf numFmtId="0" fontId="9" fillId="0" borderId="0" xfId="0" applyFont="1" applyAlignment="1" applyProtection="1">
      <alignment horizontal="left" vertical="top"/>
      <protection locked="0"/>
    </xf>
    <xf numFmtId="0" fontId="17" fillId="0" borderId="0" xfId="0" applyFont="1" applyAlignment="1" applyProtection="1">
      <alignment vertical="center"/>
      <protection locked="0"/>
    </xf>
    <xf numFmtId="0" fontId="9" fillId="8" borderId="0" xfId="0" applyFont="1" applyFill="1" applyAlignment="1" applyProtection="1">
      <alignment horizontal="left" vertical="top"/>
      <protection locked="0"/>
    </xf>
    <xf numFmtId="0" fontId="9" fillId="8" borderId="0" xfId="0" applyFont="1" applyFill="1" applyAlignment="1" applyProtection="1">
      <alignment readingOrder="2"/>
      <protection locked="0"/>
    </xf>
    <xf numFmtId="0" fontId="9" fillId="8" borderId="0" xfId="0" applyFont="1" applyFill="1" applyAlignment="1" applyProtection="1">
      <alignment horizontal="right" readingOrder="2"/>
      <protection locked="0"/>
    </xf>
    <xf numFmtId="0" fontId="9" fillId="7" borderId="0" xfId="0" applyFont="1" applyFill="1" applyAlignment="1" applyProtection="1">
      <alignment horizontal="right" vertical="center" wrapText="1"/>
      <protection locked="0"/>
    </xf>
    <xf numFmtId="0" fontId="3" fillId="0" borderId="29" xfId="10" applyFont="1" applyBorder="1" applyAlignment="1">
      <alignment horizontal="center" vertical="top" textRotation="90" wrapText="1"/>
    </xf>
    <xf numFmtId="0" fontId="0" fillId="0" borderId="27" xfId="0" applyBorder="1"/>
    <xf numFmtId="0" fontId="0" fillId="0" borderId="29" xfId="0" applyBorder="1"/>
    <xf numFmtId="0" fontId="3" fillId="0" borderId="33" xfId="10" applyFont="1" applyBorder="1" applyAlignment="1">
      <alignment horizontal="center" vertical="top" textRotation="90"/>
    </xf>
    <xf numFmtId="0" fontId="3"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AppData/Local/Microsoft/Windows/INetCache/IE/Z6N92A4B/to%20delete.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refreshError="1"/>
      <sheetData sheetId="1" refreshError="1"/>
      <sheetData sheetId="2" refreshError="1"/>
      <sheetData sheetId="3" refreshError="1"/>
      <sheetData sheetId="4" refreshError="1">
        <row r="18">
          <cell r="D18">
            <v>0.91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0.91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07"/>
  <sheetViews>
    <sheetView tabSelected="1" zoomScale="113" zoomScaleNormal="60" workbookViewId="0">
      <pane ySplit="1" topLeftCell="A16" activePane="bottomLeft" state="frozen"/>
      <selection activeCell="D1" sqref="D1"/>
      <selection pane="bottomLeft" activeCell="C18" sqref="C18"/>
    </sheetView>
  </sheetViews>
  <sheetFormatPr baseColWidth="10" defaultColWidth="8.83203125" defaultRowHeight="15" x14ac:dyDescent="0.2"/>
  <cols>
    <col min="1" max="1" width="21.1640625" style="41" customWidth="1"/>
    <col min="2" max="2" width="25.83203125" style="41" customWidth="1"/>
    <col min="3" max="4" width="66" style="42" customWidth="1"/>
    <col min="5" max="5" width="16.83203125" style="42" customWidth="1"/>
    <col min="6" max="7" width="28" style="41" customWidth="1"/>
    <col min="8" max="8" width="15.5" style="41" customWidth="1"/>
    <col min="9" max="10" width="8.83203125" style="112" customWidth="1"/>
    <col min="11" max="11" width="14.83203125" style="112" customWidth="1"/>
    <col min="12" max="16" width="8.83203125" style="112" customWidth="1"/>
    <col min="17" max="20" width="8.83203125" style="41" customWidth="1"/>
    <col min="21" max="21" width="9.5" style="41" hidden="1" customWidth="1"/>
    <col min="22" max="22" width="8.83203125" style="41" hidden="1" customWidth="1"/>
    <col min="23" max="23" width="18.1640625" style="171" hidden="1" customWidth="1"/>
    <col min="24" max="24" width="18.1640625" style="154" hidden="1" customWidth="1"/>
    <col min="25" max="25" width="14.1640625" style="69" customWidth="1"/>
    <col min="26" max="26" width="19.83203125" style="69" hidden="1" customWidth="1"/>
    <col min="27" max="27" width="8.83203125" style="69" customWidth="1"/>
    <col min="28" max="28" width="8.83203125" style="41" customWidth="1"/>
    <col min="29" max="16384" width="8.83203125" style="41"/>
  </cols>
  <sheetData>
    <row r="1" spans="1:27" s="105" customFormat="1" ht="49" customHeight="1" thickBot="1" x14ac:dyDescent="0.25">
      <c r="A1" s="101" t="s">
        <v>0</v>
      </c>
      <c r="B1" s="101" t="s">
        <v>1</v>
      </c>
      <c r="C1" s="102" t="s">
        <v>2</v>
      </c>
      <c r="D1" s="102" t="s">
        <v>3</v>
      </c>
      <c r="E1" s="103" t="s">
        <v>4</v>
      </c>
      <c r="F1" s="101" t="s">
        <v>5</v>
      </c>
      <c r="G1" s="101" t="s">
        <v>6</v>
      </c>
      <c r="H1" s="104" t="s">
        <v>7</v>
      </c>
      <c r="I1" s="101" t="s">
        <v>8</v>
      </c>
      <c r="J1" s="101" t="s">
        <v>9</v>
      </c>
      <c r="K1" s="101" t="s">
        <v>10</v>
      </c>
      <c r="L1" s="101" t="s">
        <v>11</v>
      </c>
      <c r="M1" s="101" t="s">
        <v>12</v>
      </c>
      <c r="N1" s="101" t="s">
        <v>13</v>
      </c>
      <c r="O1" s="101" t="s">
        <v>14</v>
      </c>
      <c r="P1" s="101" t="s">
        <v>15</v>
      </c>
      <c r="U1" s="177" t="s">
        <v>16</v>
      </c>
      <c r="W1" s="178" t="s">
        <v>17</v>
      </c>
      <c r="X1" s="179" t="s">
        <v>18</v>
      </c>
      <c r="Y1" s="180" t="s">
        <v>19</v>
      </c>
      <c r="Z1" s="33" t="s">
        <v>20</v>
      </c>
      <c r="AA1" s="106"/>
    </row>
    <row r="2" spans="1:27" x14ac:dyDescent="0.2">
      <c r="A2" s="68" t="s">
        <v>21</v>
      </c>
      <c r="B2" s="68" t="s">
        <v>21</v>
      </c>
      <c r="C2" s="40"/>
      <c r="D2" s="40"/>
      <c r="E2" s="77"/>
      <c r="F2" s="68"/>
      <c r="G2" s="68"/>
      <c r="H2" s="78"/>
      <c r="I2" s="107"/>
      <c r="J2" s="107"/>
      <c r="K2" s="107"/>
      <c r="L2" s="107"/>
      <c r="M2" s="107"/>
      <c r="N2" s="107"/>
      <c r="O2" s="107"/>
      <c r="P2" s="107"/>
      <c r="W2" s="172"/>
      <c r="Y2" s="155" t="str">
        <f>IF(W2&lt;&gt;"",W2*X2,"")</f>
        <v/>
      </c>
      <c r="Z2" s="155" t="str">
        <f>IF(AND(W2&lt;&gt;"",U2="yes"),W2*X2,"")</f>
        <v/>
      </c>
    </row>
    <row r="3" spans="1:27" x14ac:dyDescent="0.2">
      <c r="A3" s="68" t="s">
        <v>22</v>
      </c>
      <c r="B3" s="68" t="s">
        <v>22</v>
      </c>
      <c r="C3" s="40"/>
      <c r="D3" s="40"/>
      <c r="E3" s="77"/>
      <c r="F3" s="68"/>
      <c r="G3" s="68"/>
      <c r="H3" s="78"/>
      <c r="I3" s="107"/>
      <c r="J3" s="107"/>
      <c r="K3" s="107"/>
      <c r="L3" s="107"/>
      <c r="M3" s="107"/>
      <c r="N3" s="107"/>
      <c r="O3" s="107"/>
      <c r="P3" s="107"/>
      <c r="W3" s="172"/>
      <c r="Y3" s="155" t="str">
        <f>IF(W3&lt;&gt;"",W3*X3,"")</f>
        <v/>
      </c>
      <c r="Z3" s="155" t="str">
        <f>IF(AND(W3&lt;&gt;"",U3="yes"),W3*X3,"")</f>
        <v/>
      </c>
    </row>
    <row r="4" spans="1:27" x14ac:dyDescent="0.2">
      <c r="A4" s="68" t="s">
        <v>23</v>
      </c>
      <c r="B4" s="68" t="s">
        <v>23</v>
      </c>
      <c r="C4" s="40"/>
      <c r="D4" s="40"/>
      <c r="E4" s="77"/>
      <c r="F4" s="68"/>
      <c r="G4" s="68"/>
      <c r="H4" s="78"/>
      <c r="I4" s="107"/>
      <c r="J4" s="107"/>
      <c r="K4" s="107"/>
      <c r="L4" s="107"/>
      <c r="M4" s="107"/>
      <c r="N4" s="107"/>
      <c r="O4" s="107"/>
      <c r="P4" s="107"/>
      <c r="W4" s="172"/>
      <c r="Y4" s="155" t="str">
        <f>IF(W4&lt;&gt;"",W4*X4,"")</f>
        <v/>
      </c>
      <c r="Z4" s="155" t="str">
        <f>IF(AND(W4&lt;&gt;"",U4="yes"),W4*X4,"")</f>
        <v/>
      </c>
    </row>
    <row r="5" spans="1:27" x14ac:dyDescent="0.2">
      <c r="A5" s="68" t="s">
        <v>24</v>
      </c>
      <c r="B5" s="68" t="s">
        <v>24</v>
      </c>
      <c r="C5" s="40"/>
      <c r="D5" s="40"/>
      <c r="E5" s="77"/>
      <c r="F5" s="68"/>
      <c r="G5" s="68"/>
      <c r="H5" s="78"/>
      <c r="I5" s="107"/>
      <c r="J5" s="107"/>
      <c r="K5" s="107"/>
      <c r="L5" s="107"/>
      <c r="M5" s="107"/>
      <c r="N5" s="107"/>
      <c r="O5" s="107"/>
      <c r="P5" s="107"/>
      <c r="W5" s="172"/>
      <c r="Y5" s="155" t="str">
        <f>IF(W5&lt;&gt;"",W5*X5,"")</f>
        <v/>
      </c>
      <c r="Z5" s="155" t="str">
        <f>IF(AND(W5&lt;&gt;"",U5="yes"),W5*X5,"")</f>
        <v/>
      </c>
    </row>
    <row r="6" spans="1:27" x14ac:dyDescent="0.2">
      <c r="A6" s="68" t="s">
        <v>25</v>
      </c>
      <c r="B6" s="68" t="s">
        <v>25</v>
      </c>
      <c r="C6" s="40"/>
      <c r="D6" s="40"/>
      <c r="E6" s="77"/>
      <c r="F6" s="68"/>
      <c r="G6" s="68"/>
      <c r="H6" s="78"/>
      <c r="I6" s="107"/>
      <c r="J6" s="107"/>
      <c r="K6" s="107"/>
      <c r="L6" s="107"/>
      <c r="M6" s="107"/>
      <c r="N6" s="107"/>
      <c r="O6" s="107"/>
      <c r="P6" s="107"/>
      <c r="W6" s="172"/>
      <c r="Y6" s="155"/>
      <c r="Z6" s="155"/>
    </row>
    <row r="7" spans="1:27" x14ac:dyDescent="0.2">
      <c r="A7" s="68" t="s">
        <v>26</v>
      </c>
      <c r="B7" s="68" t="s">
        <v>27</v>
      </c>
      <c r="C7" s="40"/>
      <c r="D7" s="40"/>
      <c r="E7" s="77"/>
      <c r="F7" s="68"/>
      <c r="G7" s="68"/>
      <c r="H7" s="78"/>
      <c r="I7" s="107"/>
      <c r="J7" s="107"/>
      <c r="K7" s="107"/>
      <c r="L7" s="107"/>
      <c r="M7" s="41"/>
      <c r="N7" s="107"/>
      <c r="O7" s="107"/>
      <c r="P7" s="107" t="s">
        <v>28</v>
      </c>
      <c r="W7" s="172"/>
      <c r="Y7" s="155"/>
      <c r="Z7" s="155"/>
    </row>
    <row r="8" spans="1:27" x14ac:dyDescent="0.2">
      <c r="A8" s="68" t="s">
        <v>29</v>
      </c>
      <c r="B8" s="68" t="s">
        <v>29</v>
      </c>
      <c r="C8" s="40"/>
      <c r="D8" s="40"/>
      <c r="E8" s="77"/>
      <c r="F8" s="68"/>
      <c r="G8" s="68"/>
      <c r="H8" s="78"/>
      <c r="I8" s="107"/>
      <c r="J8" s="107"/>
      <c r="K8" s="107"/>
      <c r="L8" s="107"/>
      <c r="M8" s="107" t="s">
        <v>30</v>
      </c>
      <c r="N8" s="107"/>
      <c r="O8" s="107" t="s">
        <v>31</v>
      </c>
      <c r="P8" s="107"/>
      <c r="W8" s="172"/>
      <c r="Y8" s="155"/>
      <c r="Z8" s="155"/>
    </row>
    <row r="9" spans="1:27" s="300" customFormat="1" ht="16.25" customHeight="1" x14ac:dyDescent="0.2">
      <c r="A9" s="300" t="s">
        <v>32</v>
      </c>
      <c r="B9" s="300" t="s">
        <v>33</v>
      </c>
      <c r="C9" s="301" t="s">
        <v>34</v>
      </c>
      <c r="D9" s="301" t="s">
        <v>35</v>
      </c>
      <c r="E9" s="86"/>
      <c r="F9" s="300" t="s">
        <v>36</v>
      </c>
      <c r="G9" s="300" t="s">
        <v>37</v>
      </c>
      <c r="H9" s="78"/>
      <c r="I9" s="302" t="s">
        <v>38</v>
      </c>
      <c r="J9" s="302"/>
      <c r="K9" s="302"/>
      <c r="L9" s="302"/>
      <c r="M9" s="302" t="s">
        <v>39</v>
      </c>
      <c r="N9" s="302"/>
      <c r="O9" s="302"/>
      <c r="P9" s="302"/>
      <c r="U9" s="300" t="s">
        <v>40</v>
      </c>
      <c r="W9" s="191">
        <v>0</v>
      </c>
      <c r="Y9" s="190">
        <f>1</f>
        <v>1</v>
      </c>
      <c r="Z9" s="191" t="str">
        <f>IF(X9&lt;&gt;"",X9*Y9,"")</f>
        <v/>
      </c>
      <c r="AA9" s="191" t="str">
        <f>IF(AND(X9&lt;&gt;"",U9="yes"),X9*Y9,"")</f>
        <v/>
      </c>
    </row>
    <row r="10" spans="1:27" ht="16" customHeight="1" x14ac:dyDescent="0.2">
      <c r="A10" s="68" t="s">
        <v>41</v>
      </c>
      <c r="B10" s="68" t="s">
        <v>42</v>
      </c>
      <c r="C10" s="40" t="s">
        <v>43</v>
      </c>
      <c r="D10" s="40" t="s">
        <v>44</v>
      </c>
      <c r="E10" s="77"/>
      <c r="F10" s="68"/>
      <c r="G10" s="68"/>
      <c r="H10" s="78"/>
      <c r="I10" s="107" t="s">
        <v>38</v>
      </c>
      <c r="J10" s="107"/>
      <c r="K10" s="107"/>
      <c r="L10" s="107"/>
      <c r="M10" s="107"/>
      <c r="N10" s="108"/>
      <c r="O10" s="107"/>
      <c r="P10" s="107"/>
      <c r="U10" s="41" t="s">
        <v>40</v>
      </c>
      <c r="W10" s="172"/>
      <c r="Y10" s="155" t="str">
        <f>IF(W10&lt;&gt;"",W10*X10,"")</f>
        <v/>
      </c>
      <c r="Z10" s="155" t="str">
        <f>IF(AND(W10&lt;&gt;"",U10="yes"),W10*X10,"")</f>
        <v/>
      </c>
    </row>
    <row r="11" spans="1:27" x14ac:dyDescent="0.2">
      <c r="A11" s="68" t="s">
        <v>26</v>
      </c>
      <c r="B11" s="68" t="s">
        <v>45</v>
      </c>
      <c r="C11" s="40"/>
      <c r="D11" s="40"/>
      <c r="E11" s="77"/>
      <c r="F11" s="68"/>
      <c r="G11" s="68"/>
      <c r="H11" s="78"/>
      <c r="I11" s="107"/>
      <c r="J11" s="107"/>
      <c r="K11" s="107"/>
      <c r="L11" s="107"/>
      <c r="M11" s="107"/>
      <c r="N11" s="107"/>
      <c r="O11" s="107"/>
      <c r="P11" s="107" t="s">
        <v>46</v>
      </c>
      <c r="U11" s="41" t="s">
        <v>40</v>
      </c>
      <c r="W11" s="172"/>
      <c r="Y11" s="155" t="str">
        <f>IF(W11&lt;&gt;"",W11*X11,"")</f>
        <v/>
      </c>
      <c r="Z11" s="155" t="str">
        <f>IF(AND(W11&lt;&gt;"",U11="yes"),W11*X11,"")</f>
        <v/>
      </c>
    </row>
    <row r="12" spans="1:27" s="303" customFormat="1" ht="16.25" customHeight="1" x14ac:dyDescent="0.2">
      <c r="A12" s="303" t="s">
        <v>32</v>
      </c>
      <c r="B12" s="303" t="s">
        <v>47</v>
      </c>
      <c r="C12" s="304" t="s">
        <v>48</v>
      </c>
      <c r="D12" s="304" t="s">
        <v>49</v>
      </c>
      <c r="E12" s="77"/>
      <c r="F12" s="309" t="s">
        <v>50</v>
      </c>
      <c r="G12" s="310" t="s">
        <v>51</v>
      </c>
      <c r="H12" s="78"/>
      <c r="I12" s="305" t="b">
        <v>1</v>
      </c>
      <c r="J12" s="305" t="s">
        <v>52</v>
      </c>
      <c r="K12" s="311" t="s">
        <v>53</v>
      </c>
      <c r="L12" s="305" t="s">
        <v>54</v>
      </c>
      <c r="M12" s="305"/>
      <c r="N12" s="305"/>
      <c r="O12" s="305"/>
      <c r="P12" s="305"/>
      <c r="W12" s="189"/>
      <c r="X12" s="190"/>
      <c r="Y12" s="191"/>
      <c r="Z12" s="191"/>
      <c r="AA12" s="300"/>
    </row>
    <row r="13" spans="1:27" s="300" customFormat="1" ht="17" customHeight="1" x14ac:dyDescent="0.2">
      <c r="A13" s="300" t="s">
        <v>32</v>
      </c>
      <c r="B13" s="300" t="s">
        <v>55</v>
      </c>
      <c r="C13" s="301" t="s">
        <v>56</v>
      </c>
      <c r="D13" s="301" t="s">
        <v>57</v>
      </c>
      <c r="E13" s="86"/>
      <c r="H13" s="78"/>
      <c r="I13" s="302" t="s">
        <v>38</v>
      </c>
      <c r="J13" s="302" t="s">
        <v>52</v>
      </c>
      <c r="K13" s="302" t="s">
        <v>58</v>
      </c>
      <c r="L13" s="302" t="s">
        <v>59</v>
      </c>
      <c r="M13" s="302"/>
      <c r="N13" s="302"/>
      <c r="O13" s="302"/>
      <c r="P13" s="302"/>
      <c r="U13" s="300" t="s">
        <v>40</v>
      </c>
      <c r="W13" s="191"/>
      <c r="Y13" s="190"/>
      <c r="Z13" s="191"/>
      <c r="AA13" s="191"/>
    </row>
    <row r="14" spans="1:27" s="300" customFormat="1" ht="17" customHeight="1" x14ac:dyDescent="0.2">
      <c r="A14" s="300" t="s">
        <v>60</v>
      </c>
      <c r="B14" s="300" t="s">
        <v>61</v>
      </c>
      <c r="C14" s="301" t="s">
        <v>62</v>
      </c>
      <c r="D14" s="301" t="s">
        <v>63</v>
      </c>
      <c r="E14" s="86"/>
      <c r="H14" s="78"/>
      <c r="I14" s="302"/>
      <c r="J14" s="302"/>
      <c r="K14" s="302"/>
      <c r="L14" s="302"/>
      <c r="M14" s="302"/>
      <c r="N14" s="302"/>
      <c r="O14" s="302"/>
      <c r="P14" s="302"/>
      <c r="U14" s="300" t="s">
        <v>40</v>
      </c>
      <c r="W14" s="191"/>
      <c r="Y14" s="190"/>
      <c r="Z14" s="191"/>
      <c r="AA14" s="191"/>
    </row>
    <row r="15" spans="1:27" s="300" customFormat="1" ht="17" customHeight="1" thickBot="1" x14ac:dyDescent="0.25">
      <c r="A15" s="306" t="s">
        <v>64</v>
      </c>
      <c r="B15" s="306" t="s">
        <v>65</v>
      </c>
      <c r="C15" s="307"/>
      <c r="D15" s="307"/>
      <c r="E15" s="79"/>
      <c r="F15" s="306"/>
      <c r="G15" s="306"/>
      <c r="H15" s="80"/>
      <c r="I15" s="308" t="b">
        <v>0</v>
      </c>
      <c r="J15" s="308"/>
      <c r="K15" s="308"/>
      <c r="L15" s="308"/>
      <c r="M15" s="308" t="s">
        <v>66</v>
      </c>
      <c r="N15" s="308"/>
      <c r="O15" s="308"/>
      <c r="P15" s="308"/>
      <c r="W15" s="191"/>
      <c r="Y15" s="190"/>
      <c r="Z15" s="191"/>
      <c r="AA15" s="191"/>
    </row>
    <row r="16" spans="1:27" ht="241" customHeight="1" thickTop="1" x14ac:dyDescent="0.2">
      <c r="A16" s="68" t="s">
        <v>67</v>
      </c>
      <c r="B16" s="68" t="s">
        <v>68</v>
      </c>
      <c r="C16" s="312" t="s">
        <v>69</v>
      </c>
      <c r="D16" s="313" t="s">
        <v>70</v>
      </c>
      <c r="E16" s="77"/>
      <c r="F16" s="68" t="s">
        <v>71</v>
      </c>
      <c r="G16" s="68" t="s">
        <v>72</v>
      </c>
      <c r="H16" s="78"/>
      <c r="I16" s="107" t="s">
        <v>73</v>
      </c>
      <c r="J16" s="107"/>
      <c r="K16" s="107"/>
      <c r="L16" s="107"/>
      <c r="M16" s="107"/>
      <c r="N16" s="107"/>
      <c r="O16" s="107"/>
      <c r="P16" s="107"/>
      <c r="U16" s="41" t="s">
        <v>74</v>
      </c>
      <c r="W16" s="172">
        <v>50.822540283203118</v>
      </c>
      <c r="Y16" s="155">
        <f>IF(W16&lt;&gt;"",W16*X16,"")</f>
        <v>0</v>
      </c>
      <c r="Z16" s="155" t="str">
        <f>IF(AND(W16&lt;&gt;"",U16="yes"),W16*X16,"")</f>
        <v/>
      </c>
    </row>
    <row r="17" spans="1:28" ht="16" customHeight="1" x14ac:dyDescent="0.2">
      <c r="A17" s="68" t="s">
        <v>75</v>
      </c>
      <c r="B17" s="68" t="s">
        <v>76</v>
      </c>
      <c r="C17" s="40" t="s">
        <v>77</v>
      </c>
      <c r="D17" s="40" t="s">
        <v>78</v>
      </c>
      <c r="E17" s="77"/>
      <c r="F17" s="68"/>
      <c r="G17" s="68"/>
      <c r="H17" s="78"/>
      <c r="I17" s="107" t="s">
        <v>73</v>
      </c>
      <c r="J17" s="107"/>
      <c r="K17" s="107"/>
      <c r="L17" s="107"/>
      <c r="M17" s="107"/>
      <c r="N17" s="107"/>
      <c r="O17" s="107"/>
      <c r="P17" s="107"/>
      <c r="U17" s="41" t="s">
        <v>40</v>
      </c>
      <c r="W17" s="172">
        <v>3.5</v>
      </c>
      <c r="X17" s="154">
        <f>1</f>
        <v>1</v>
      </c>
      <c r="Y17" s="155">
        <f>IF(W17&lt;&gt;"",W17*X17,"")</f>
        <v>3.5</v>
      </c>
      <c r="Z17" s="155">
        <f>IF(AND(W17&lt;&gt;"",U17="yes"),W17*X17,"")</f>
        <v>3.5</v>
      </c>
    </row>
    <row r="18" spans="1:28" s="69" customFormat="1" ht="16" customHeight="1" x14ac:dyDescent="0.2">
      <c r="A18" s="73" t="s">
        <v>67</v>
      </c>
      <c r="B18" s="73" t="s">
        <v>79</v>
      </c>
      <c r="C18" s="74" t="s">
        <v>80</v>
      </c>
      <c r="D18" s="74" t="s">
        <v>81</v>
      </c>
      <c r="E18" s="86"/>
      <c r="F18" s="73"/>
      <c r="G18" s="73"/>
      <c r="H18" s="88"/>
      <c r="I18" s="109" t="s">
        <v>73</v>
      </c>
      <c r="J18" s="109"/>
      <c r="K18" s="109"/>
      <c r="L18" s="109"/>
      <c r="M18" s="109" t="s">
        <v>82</v>
      </c>
      <c r="N18" s="109"/>
      <c r="O18" s="109"/>
      <c r="P18" s="109"/>
      <c r="U18" s="69" t="s">
        <v>74</v>
      </c>
      <c r="W18" s="172">
        <v>0</v>
      </c>
      <c r="X18" s="154">
        <v>1</v>
      </c>
      <c r="Y18" s="155">
        <f>IF(W18&lt;&gt;"",W18*X18,"")</f>
        <v>0</v>
      </c>
      <c r="Z18" s="155" t="str">
        <f>IF(AND(W18&lt;&gt;"",U18="yes"),W18*X18,"")</f>
        <v/>
      </c>
    </row>
    <row r="19" spans="1:28" ht="16.25" customHeight="1" x14ac:dyDescent="0.2">
      <c r="A19" s="314" t="s">
        <v>83</v>
      </c>
      <c r="B19" s="314" t="s">
        <v>84</v>
      </c>
      <c r="C19" s="315" t="s">
        <v>85</v>
      </c>
      <c r="D19" s="315" t="s">
        <v>86</v>
      </c>
      <c r="E19" s="316"/>
      <c r="F19" s="314" t="s">
        <v>87</v>
      </c>
      <c r="G19" s="317" t="s">
        <v>88</v>
      </c>
      <c r="H19" s="318"/>
      <c r="I19" s="305" t="b">
        <v>0</v>
      </c>
      <c r="J19" s="305"/>
      <c r="K19" s="305"/>
      <c r="L19" s="305"/>
      <c r="M19" s="305" t="s">
        <v>89</v>
      </c>
      <c r="N19" s="305"/>
      <c r="O19" s="305"/>
      <c r="P19" s="305"/>
      <c r="Q19" s="69"/>
      <c r="R19" s="69"/>
      <c r="S19" s="69"/>
      <c r="T19" s="69"/>
      <c r="U19" s="69" t="s">
        <v>74</v>
      </c>
      <c r="V19" s="69"/>
      <c r="W19" s="319">
        <v>0</v>
      </c>
      <c r="X19" s="319"/>
      <c r="Y19" s="319">
        <v>0</v>
      </c>
      <c r="Z19" s="319"/>
      <c r="AB19" s="69"/>
    </row>
    <row r="20" spans="1:28" ht="29" customHeight="1" x14ac:dyDescent="0.2">
      <c r="A20" s="314" t="s">
        <v>32</v>
      </c>
      <c r="B20" s="314" t="s">
        <v>90</v>
      </c>
      <c r="C20" s="315" t="s">
        <v>91</v>
      </c>
      <c r="D20" s="315" t="s">
        <v>92</v>
      </c>
      <c r="E20" s="316"/>
      <c r="F20" s="314" t="s">
        <v>93</v>
      </c>
      <c r="G20" s="320" t="s">
        <v>94</v>
      </c>
      <c r="H20" s="318"/>
      <c r="I20" s="305" t="b">
        <v>0</v>
      </c>
      <c r="J20" s="305"/>
      <c r="K20" s="305"/>
      <c r="L20" s="305"/>
      <c r="M20" s="305" t="s">
        <v>89</v>
      </c>
      <c r="N20" s="305"/>
      <c r="O20" s="305"/>
      <c r="P20" s="305"/>
      <c r="Q20" s="69"/>
      <c r="R20" s="69"/>
      <c r="S20" s="69"/>
      <c r="T20" s="69"/>
      <c r="U20" s="69" t="s">
        <v>74</v>
      </c>
      <c r="V20" s="69"/>
      <c r="W20" s="319">
        <v>0</v>
      </c>
      <c r="X20" s="319"/>
      <c r="Y20" s="319">
        <v>0</v>
      </c>
      <c r="Z20" s="319"/>
      <c r="AB20" s="69"/>
    </row>
    <row r="21" spans="1:28" s="300" customFormat="1" ht="15.75" customHeight="1" thickBot="1" x14ac:dyDescent="0.25">
      <c r="A21" s="306" t="s">
        <v>95</v>
      </c>
      <c r="B21" s="306"/>
      <c r="C21" s="307"/>
      <c r="D21" s="307"/>
      <c r="E21" s="79"/>
      <c r="F21" s="306"/>
      <c r="G21" s="306"/>
      <c r="H21" s="80"/>
      <c r="I21" s="308"/>
      <c r="J21" s="308"/>
      <c r="K21" s="308"/>
      <c r="L21" s="308"/>
      <c r="M21" s="308"/>
      <c r="N21" s="308"/>
      <c r="O21" s="308"/>
      <c r="P21" s="308"/>
      <c r="W21" s="189"/>
      <c r="X21" s="190"/>
      <c r="Y21" s="191"/>
      <c r="Z21" s="191"/>
    </row>
    <row r="22" spans="1:28" s="327" customFormat="1" ht="17" customHeight="1" thickTop="1" x14ac:dyDescent="0.2">
      <c r="A22" s="321" t="s">
        <v>64</v>
      </c>
      <c r="B22" s="322" t="s">
        <v>96</v>
      </c>
      <c r="C22" s="323" t="s">
        <v>97</v>
      </c>
      <c r="D22" s="323" t="s">
        <v>98</v>
      </c>
      <c r="E22" s="324"/>
      <c r="F22" s="322"/>
      <c r="G22" s="322"/>
      <c r="H22" s="325"/>
      <c r="I22" s="326" t="s">
        <v>73</v>
      </c>
      <c r="J22" s="326"/>
      <c r="K22" s="326"/>
      <c r="L22" s="326"/>
      <c r="M22" s="326" t="s">
        <v>99</v>
      </c>
      <c r="N22" s="326"/>
      <c r="O22" s="326"/>
      <c r="P22" s="326"/>
      <c r="U22" s="328" t="s">
        <v>40</v>
      </c>
      <c r="W22" s="329"/>
      <c r="X22" s="330"/>
      <c r="Y22" s="331" t="str">
        <f t="shared" ref="Y22:Y38" si="0">IF(W22&lt;&gt;"",W22*X22,"")</f>
        <v/>
      </c>
      <c r="Z22" s="331" t="str">
        <f t="shared" ref="Z22:Z38" si="1">IF(AND(W22&lt;&gt;"",U22="yes"),W22*X22,"")</f>
        <v/>
      </c>
      <c r="AA22" s="332"/>
    </row>
    <row r="23" spans="1:28" s="70" customFormat="1" x14ac:dyDescent="0.2">
      <c r="C23" s="71"/>
      <c r="D23" s="71"/>
      <c r="E23" s="72"/>
      <c r="H23" s="76"/>
      <c r="I23" s="108"/>
      <c r="J23" s="108"/>
      <c r="K23" s="108"/>
      <c r="L23" s="108"/>
      <c r="M23" s="108"/>
      <c r="N23" s="108"/>
      <c r="O23" s="108"/>
      <c r="P23" s="108"/>
      <c r="W23" s="172"/>
      <c r="X23" s="69"/>
      <c r="Y23" s="155" t="str">
        <f t="shared" si="0"/>
        <v/>
      </c>
      <c r="Z23" s="155" t="str">
        <f t="shared" si="1"/>
        <v/>
      </c>
      <c r="AA23" s="69"/>
    </row>
    <row r="24" spans="1:28" s="70" customFormat="1" ht="16" customHeight="1" x14ac:dyDescent="0.2">
      <c r="A24" s="73" t="s">
        <v>32</v>
      </c>
      <c r="B24" s="73" t="s">
        <v>100</v>
      </c>
      <c r="C24" s="74" t="s">
        <v>101</v>
      </c>
      <c r="D24" s="74" t="s">
        <v>102</v>
      </c>
      <c r="E24" s="72"/>
      <c r="F24" s="69" t="s">
        <v>103</v>
      </c>
      <c r="G24" s="69" t="s">
        <v>104</v>
      </c>
      <c r="H24" s="76"/>
      <c r="I24" s="109" t="s">
        <v>38</v>
      </c>
      <c r="J24" s="109"/>
      <c r="K24" s="109"/>
      <c r="L24" s="109"/>
      <c r="M24" s="109"/>
      <c r="N24" s="109"/>
      <c r="O24" s="109"/>
      <c r="P24" s="109"/>
      <c r="U24" s="69" t="s">
        <v>40</v>
      </c>
      <c r="W24" s="172">
        <v>10</v>
      </c>
      <c r="X24" s="154">
        <f>1</f>
        <v>1</v>
      </c>
      <c r="Y24" s="155">
        <f t="shared" si="0"/>
        <v>10</v>
      </c>
      <c r="Z24" s="155">
        <f t="shared" si="1"/>
        <v>10</v>
      </c>
      <c r="AA24" s="69"/>
    </row>
    <row r="25" spans="1:28" s="70" customFormat="1" ht="16" customHeight="1" x14ac:dyDescent="0.2">
      <c r="A25" s="73" t="s">
        <v>32</v>
      </c>
      <c r="B25" s="73" t="s">
        <v>105</v>
      </c>
      <c r="C25" s="74" t="s">
        <v>106</v>
      </c>
      <c r="D25" s="74" t="s">
        <v>107</v>
      </c>
      <c r="E25" s="72"/>
      <c r="F25" s="69" t="s">
        <v>108</v>
      </c>
      <c r="G25" s="69" t="s">
        <v>109</v>
      </c>
      <c r="H25" s="76"/>
      <c r="I25" s="109" t="s">
        <v>38</v>
      </c>
      <c r="J25" s="109"/>
      <c r="K25" s="109"/>
      <c r="L25" s="109"/>
      <c r="M25" s="109"/>
      <c r="N25" s="109"/>
      <c r="O25" s="109"/>
      <c r="P25" s="109"/>
      <c r="U25" s="69" t="s">
        <v>40</v>
      </c>
      <c r="W25" s="172">
        <v>10</v>
      </c>
      <c r="X25" s="154">
        <f>1</f>
        <v>1</v>
      </c>
      <c r="Y25" s="155">
        <f t="shared" si="0"/>
        <v>10</v>
      </c>
      <c r="Z25" s="155">
        <f t="shared" si="1"/>
        <v>10</v>
      </c>
      <c r="AA25" s="69"/>
    </row>
    <row r="26" spans="1:28" s="70" customFormat="1" x14ac:dyDescent="0.2">
      <c r="C26" s="71"/>
      <c r="E26" s="72"/>
      <c r="H26" s="76"/>
      <c r="I26" s="108"/>
      <c r="J26" s="108"/>
      <c r="K26" s="108"/>
      <c r="L26" s="108"/>
      <c r="M26" s="108"/>
      <c r="N26" s="108"/>
      <c r="O26" s="108"/>
      <c r="P26" s="108"/>
      <c r="W26" s="172"/>
      <c r="X26" s="154">
        <f>1</f>
        <v>1</v>
      </c>
      <c r="Y26" s="155" t="str">
        <f t="shared" si="0"/>
        <v/>
      </c>
      <c r="Z26" s="155" t="str">
        <f t="shared" si="1"/>
        <v/>
      </c>
      <c r="AA26" s="69"/>
    </row>
    <row r="27" spans="1:28" ht="16" customHeight="1" x14ac:dyDescent="0.2">
      <c r="A27" s="68" t="s">
        <v>110</v>
      </c>
      <c r="B27" s="68" t="s">
        <v>111</v>
      </c>
      <c r="C27" s="40" t="s">
        <v>112</v>
      </c>
      <c r="D27" s="74" t="s">
        <v>113</v>
      </c>
      <c r="E27" s="86"/>
      <c r="F27" s="73" t="s">
        <v>114</v>
      </c>
      <c r="G27" s="68" t="s">
        <v>115</v>
      </c>
      <c r="H27" s="78"/>
      <c r="I27" s="107" t="s">
        <v>38</v>
      </c>
      <c r="J27" s="107"/>
      <c r="K27" s="107" t="s">
        <v>116</v>
      </c>
      <c r="L27" s="107"/>
      <c r="M27" s="107"/>
      <c r="N27" s="107"/>
      <c r="O27" s="107"/>
      <c r="P27" s="107"/>
      <c r="U27" s="41" t="s">
        <v>40</v>
      </c>
      <c r="W27" s="172">
        <v>13.753072738647459</v>
      </c>
      <c r="X27" s="154">
        <f>1</f>
        <v>1</v>
      </c>
      <c r="Y27" s="155">
        <f t="shared" si="0"/>
        <v>13.753072738647459</v>
      </c>
      <c r="Z27" s="155">
        <f t="shared" si="1"/>
        <v>13.753072738647459</v>
      </c>
    </row>
    <row r="28" spans="1:28" x14ac:dyDescent="0.2">
      <c r="E28" s="77"/>
      <c r="H28" s="78"/>
      <c r="W28" s="172"/>
      <c r="X28" s="154">
        <f>1</f>
        <v>1</v>
      </c>
      <c r="Y28" s="155" t="str">
        <f t="shared" si="0"/>
        <v/>
      </c>
      <c r="Z28" s="155" t="str">
        <f t="shared" si="1"/>
        <v/>
      </c>
    </row>
    <row r="29" spans="1:28" s="70" customFormat="1" ht="16" customHeight="1" x14ac:dyDescent="0.2">
      <c r="A29" s="70" t="s">
        <v>117</v>
      </c>
      <c r="B29" s="70" t="s">
        <v>118</v>
      </c>
      <c r="C29" s="71" t="s">
        <v>119</v>
      </c>
      <c r="D29" s="71" t="s">
        <v>120</v>
      </c>
      <c r="E29" s="72"/>
      <c r="F29" s="70" t="s">
        <v>121</v>
      </c>
      <c r="G29" s="70" t="s">
        <v>122</v>
      </c>
      <c r="H29" s="76"/>
      <c r="I29" s="108" t="s">
        <v>38</v>
      </c>
      <c r="J29" s="108"/>
      <c r="K29" s="108"/>
      <c r="L29" s="108"/>
      <c r="M29" s="108"/>
      <c r="N29" s="108"/>
      <c r="O29" s="108"/>
      <c r="P29" s="108"/>
      <c r="U29" s="70" t="s">
        <v>74</v>
      </c>
      <c r="W29" s="172">
        <v>2.1173560619354248</v>
      </c>
      <c r="X29" s="154">
        <f>1</f>
        <v>1</v>
      </c>
      <c r="Y29" s="155">
        <f t="shared" si="0"/>
        <v>2.1173560619354248</v>
      </c>
      <c r="Z29" s="155" t="str">
        <f t="shared" si="1"/>
        <v/>
      </c>
      <c r="AA29" s="69"/>
    </row>
    <row r="30" spans="1:28" s="70" customFormat="1" x14ac:dyDescent="0.2">
      <c r="C30" s="71"/>
      <c r="D30" s="71"/>
      <c r="E30" s="72"/>
      <c r="H30" s="76"/>
      <c r="I30" s="114"/>
      <c r="J30" s="114"/>
      <c r="K30" s="114"/>
      <c r="L30" s="113"/>
      <c r="M30" s="114"/>
      <c r="N30" s="114"/>
      <c r="O30" s="108"/>
      <c r="P30" s="108"/>
      <c r="W30" s="172"/>
      <c r="X30" s="154">
        <f>1</f>
        <v>1</v>
      </c>
      <c r="Y30" s="155" t="str">
        <f t="shared" si="0"/>
        <v/>
      </c>
      <c r="Z30" s="155" t="str">
        <f t="shared" si="1"/>
        <v/>
      </c>
      <c r="AA30" s="69"/>
    </row>
    <row r="31" spans="1:28" s="83" customFormat="1" ht="16" customHeight="1" x14ac:dyDescent="0.2">
      <c r="A31" s="145" t="s">
        <v>32</v>
      </c>
      <c r="B31" s="145" t="s">
        <v>123</v>
      </c>
      <c r="C31" s="146" t="s">
        <v>124</v>
      </c>
      <c r="D31" s="146" t="s">
        <v>125</v>
      </c>
      <c r="E31" s="148"/>
      <c r="F31" s="147"/>
      <c r="G31" s="147"/>
      <c r="H31" s="149"/>
      <c r="I31" s="144" t="s">
        <v>38</v>
      </c>
      <c r="J31" s="144" t="s">
        <v>52</v>
      </c>
      <c r="K31" s="114" t="s">
        <v>53</v>
      </c>
      <c r="L31" s="144" t="s">
        <v>126</v>
      </c>
      <c r="M31" s="144"/>
      <c r="N31" s="144"/>
      <c r="O31" s="144"/>
      <c r="P31" s="113"/>
      <c r="U31" s="147" t="s">
        <v>127</v>
      </c>
      <c r="W31" s="172">
        <v>10</v>
      </c>
      <c r="X31" s="154">
        <f>1</f>
        <v>1</v>
      </c>
      <c r="Y31" s="155">
        <f t="shared" si="0"/>
        <v>10</v>
      </c>
      <c r="Z31" s="155" t="str">
        <f t="shared" si="1"/>
        <v/>
      </c>
    </row>
    <row r="32" spans="1:28" ht="16" customHeight="1" x14ac:dyDescent="0.2">
      <c r="A32" s="68" t="s">
        <v>128</v>
      </c>
      <c r="B32" s="68" t="s">
        <v>129</v>
      </c>
      <c r="C32" s="40" t="s">
        <v>130</v>
      </c>
      <c r="D32" s="258" t="s">
        <v>131</v>
      </c>
      <c r="E32" s="77"/>
      <c r="F32" s="68" t="s">
        <v>132</v>
      </c>
      <c r="G32" s="68" t="s">
        <v>133</v>
      </c>
      <c r="H32" s="78"/>
      <c r="I32" s="107" t="s">
        <v>38</v>
      </c>
      <c r="J32" s="107" t="s">
        <v>134</v>
      </c>
      <c r="K32" s="107"/>
      <c r="L32" s="113"/>
      <c r="M32" s="107"/>
      <c r="N32" s="107"/>
      <c r="O32" s="107"/>
      <c r="P32" s="107"/>
      <c r="U32" s="41" t="s">
        <v>40</v>
      </c>
      <c r="W32" s="172">
        <v>8.8000000000000007</v>
      </c>
      <c r="X32" s="154">
        <f>1</f>
        <v>1</v>
      </c>
      <c r="Y32" s="155">
        <f t="shared" si="0"/>
        <v>8.8000000000000007</v>
      </c>
      <c r="Z32" s="155">
        <f t="shared" si="1"/>
        <v>8.8000000000000007</v>
      </c>
    </row>
    <row r="33" spans="1:45" x14ac:dyDescent="0.2">
      <c r="A33" s="68" t="s">
        <v>26</v>
      </c>
      <c r="B33" s="68" t="s">
        <v>135</v>
      </c>
      <c r="C33" s="40"/>
      <c r="D33" s="68"/>
      <c r="E33" s="77"/>
      <c r="F33" s="68"/>
      <c r="G33" s="68"/>
      <c r="H33" s="78"/>
      <c r="I33" s="107"/>
      <c r="J33" s="107"/>
      <c r="K33" s="107"/>
      <c r="L33" s="107"/>
      <c r="M33" s="107"/>
      <c r="N33" s="107"/>
      <c r="O33" s="107"/>
      <c r="P33" s="107" t="s">
        <v>136</v>
      </c>
      <c r="U33" s="41" t="s">
        <v>40</v>
      </c>
      <c r="W33" s="172"/>
      <c r="X33" s="154">
        <f>1</f>
        <v>1</v>
      </c>
      <c r="Y33" s="155" t="str">
        <f t="shared" si="0"/>
        <v/>
      </c>
      <c r="Z33" s="155" t="str">
        <f t="shared" si="1"/>
        <v/>
      </c>
    </row>
    <row r="34" spans="1:45" ht="16" customHeight="1" x14ac:dyDescent="0.2">
      <c r="A34" s="68" t="s">
        <v>137</v>
      </c>
      <c r="B34" s="68" t="s">
        <v>138</v>
      </c>
      <c r="C34" s="40" t="s">
        <v>139</v>
      </c>
      <c r="D34" s="259" t="s">
        <v>140</v>
      </c>
      <c r="E34" s="77"/>
      <c r="F34" s="68"/>
      <c r="G34" s="40"/>
      <c r="H34" s="78"/>
      <c r="I34" s="107" t="s">
        <v>38</v>
      </c>
      <c r="J34" s="107" t="s">
        <v>134</v>
      </c>
      <c r="K34" s="107"/>
      <c r="L34" s="107"/>
      <c r="M34" s="107"/>
      <c r="N34" s="107" t="s">
        <v>141</v>
      </c>
      <c r="O34" s="107"/>
      <c r="P34" s="107"/>
      <c r="U34" s="41" t="s">
        <v>40</v>
      </c>
      <c r="W34" s="172">
        <v>10.4</v>
      </c>
      <c r="X34" s="154">
        <f>1</f>
        <v>1</v>
      </c>
      <c r="Y34" s="155">
        <f t="shared" si="0"/>
        <v>10.4</v>
      </c>
      <c r="Z34" s="155">
        <f t="shared" si="1"/>
        <v>10.4</v>
      </c>
    </row>
    <row r="35" spans="1:45" x14ac:dyDescent="0.2">
      <c r="A35" s="68" t="s">
        <v>26</v>
      </c>
      <c r="B35" s="68" t="s">
        <v>142</v>
      </c>
      <c r="C35" s="40"/>
      <c r="D35" s="40"/>
      <c r="E35" s="77"/>
      <c r="F35" s="68"/>
      <c r="G35" s="68"/>
      <c r="H35" s="78"/>
      <c r="I35" s="107"/>
      <c r="J35" s="107"/>
      <c r="K35" s="107"/>
      <c r="L35" s="107"/>
      <c r="M35" s="107"/>
      <c r="N35" s="107"/>
      <c r="O35" s="107"/>
      <c r="P35" s="107" t="s">
        <v>143</v>
      </c>
      <c r="U35" s="41" t="s">
        <v>40</v>
      </c>
      <c r="W35" s="172"/>
      <c r="X35" s="154">
        <f>1</f>
        <v>1</v>
      </c>
      <c r="Y35" s="155" t="str">
        <f t="shared" si="0"/>
        <v/>
      </c>
      <c r="Z35" s="155" t="str">
        <f t="shared" si="1"/>
        <v/>
      </c>
    </row>
    <row r="36" spans="1:45" x14ac:dyDescent="0.2">
      <c r="E36" s="77"/>
      <c r="H36" s="78"/>
      <c r="W36" s="172"/>
      <c r="X36" s="154">
        <f>1</f>
        <v>1</v>
      </c>
      <c r="Y36" s="155" t="str">
        <f t="shared" si="0"/>
        <v/>
      </c>
      <c r="Z36" s="155" t="str">
        <f t="shared" si="1"/>
        <v/>
      </c>
    </row>
    <row r="37" spans="1:45" s="42" customFormat="1" ht="128" customHeight="1" x14ac:dyDescent="0.2">
      <c r="A37" s="40" t="s">
        <v>144</v>
      </c>
      <c r="B37" s="40" t="s">
        <v>145</v>
      </c>
      <c r="C37" s="40" t="s">
        <v>146</v>
      </c>
      <c r="D37" s="258" t="s">
        <v>147</v>
      </c>
      <c r="E37" s="77"/>
      <c r="F37" s="68" t="s">
        <v>148</v>
      </c>
      <c r="G37" s="40" t="s">
        <v>149</v>
      </c>
      <c r="H37" s="77"/>
      <c r="I37" s="39" t="s">
        <v>38</v>
      </c>
      <c r="J37" s="39"/>
      <c r="K37" s="39"/>
      <c r="L37" s="39"/>
      <c r="M37" s="39"/>
      <c r="N37" s="39"/>
      <c r="O37" s="39"/>
      <c r="P37" s="39"/>
      <c r="U37" s="42" t="s">
        <v>40</v>
      </c>
      <c r="W37" s="175">
        <v>31.372377395629879</v>
      </c>
      <c r="X37" s="154">
        <f>1</f>
        <v>1</v>
      </c>
      <c r="Y37" s="156">
        <f t="shared" si="0"/>
        <v>31.372377395629879</v>
      </c>
      <c r="Z37" s="156">
        <f t="shared" si="1"/>
        <v>31.372377395629879</v>
      </c>
      <c r="AA37" s="43"/>
    </row>
    <row r="38" spans="1:45" s="303" customFormat="1" ht="80" customHeight="1" x14ac:dyDescent="0.2">
      <c r="A38" s="303" t="s">
        <v>150</v>
      </c>
      <c r="B38" s="303" t="s">
        <v>151</v>
      </c>
      <c r="C38" s="304" t="s">
        <v>152</v>
      </c>
      <c r="D38" s="304" t="s">
        <v>153</v>
      </c>
      <c r="E38" s="77"/>
      <c r="F38" s="301" t="s">
        <v>154</v>
      </c>
      <c r="G38" s="301" t="s">
        <v>155</v>
      </c>
      <c r="H38" s="88"/>
      <c r="I38" s="333" t="s">
        <v>38</v>
      </c>
      <c r="J38" s="302"/>
      <c r="K38" s="302"/>
      <c r="L38" s="302"/>
      <c r="M38" s="302" t="s">
        <v>156</v>
      </c>
      <c r="N38" s="302"/>
      <c r="O38" s="302"/>
      <c r="P38" s="302"/>
      <c r="Q38" s="300"/>
      <c r="R38" s="300"/>
      <c r="S38" s="300"/>
      <c r="T38" s="300"/>
      <c r="U38" s="300" t="s">
        <v>74</v>
      </c>
      <c r="V38" s="300"/>
      <c r="W38" s="189"/>
      <c r="X38" s="190"/>
      <c r="Y38" s="191" t="str">
        <f t="shared" si="0"/>
        <v/>
      </c>
      <c r="Z38" s="191" t="str">
        <f t="shared" si="1"/>
        <v/>
      </c>
      <c r="AA38" s="300"/>
      <c r="AB38" s="300"/>
      <c r="AC38" s="300"/>
      <c r="AD38" s="300"/>
      <c r="AE38" s="300"/>
      <c r="AF38" s="300"/>
      <c r="AG38" s="300"/>
      <c r="AH38" s="300"/>
      <c r="AI38" s="300"/>
      <c r="AJ38" s="300"/>
      <c r="AK38" s="300"/>
      <c r="AL38" s="300"/>
      <c r="AM38" s="300"/>
      <c r="AN38" s="300"/>
      <c r="AO38" s="300"/>
      <c r="AP38" s="300"/>
      <c r="AQ38" s="300"/>
      <c r="AR38" s="300"/>
      <c r="AS38" s="300"/>
    </row>
    <row r="39" spans="1:45" s="303" customFormat="1" ht="16" customHeight="1" x14ac:dyDescent="0.2">
      <c r="A39" s="303" t="s">
        <v>157</v>
      </c>
      <c r="B39" s="303" t="s">
        <v>158</v>
      </c>
      <c r="C39" s="304" t="s">
        <v>159</v>
      </c>
      <c r="D39" s="304" t="s">
        <v>160</v>
      </c>
      <c r="E39" s="77"/>
      <c r="F39" s="300" t="s">
        <v>161</v>
      </c>
      <c r="G39" s="300" t="s">
        <v>162</v>
      </c>
      <c r="H39" s="88"/>
      <c r="I39" s="333" t="s">
        <v>38</v>
      </c>
      <c r="J39" s="302"/>
      <c r="K39" s="302"/>
      <c r="L39" s="302"/>
      <c r="M39" s="302" t="s">
        <v>156</v>
      </c>
      <c r="N39" s="302"/>
      <c r="O39" s="302"/>
      <c r="P39" s="302"/>
      <c r="Q39" s="300"/>
      <c r="R39" s="300"/>
      <c r="S39" s="300"/>
      <c r="T39" s="300"/>
      <c r="U39" s="300"/>
      <c r="V39" s="300"/>
      <c r="W39" s="189"/>
      <c r="X39" s="190"/>
      <c r="Y39" s="191"/>
      <c r="Z39" s="191"/>
      <c r="AA39" s="300"/>
      <c r="AB39" s="300"/>
      <c r="AC39" s="300"/>
      <c r="AD39" s="300"/>
      <c r="AE39" s="300"/>
      <c r="AF39" s="300"/>
      <c r="AG39" s="300"/>
      <c r="AH39" s="300"/>
      <c r="AI39" s="300"/>
      <c r="AJ39" s="300"/>
      <c r="AK39" s="300"/>
      <c r="AL39" s="300"/>
      <c r="AM39" s="300"/>
      <c r="AN39" s="300"/>
      <c r="AO39" s="300"/>
      <c r="AP39" s="300"/>
      <c r="AQ39" s="300"/>
      <c r="AR39" s="300"/>
      <c r="AS39" s="300"/>
    </row>
    <row r="40" spans="1:45" s="303" customFormat="1" ht="16" customHeight="1" x14ac:dyDescent="0.2">
      <c r="A40" s="348" t="s">
        <v>163</v>
      </c>
      <c r="B40" s="348" t="s">
        <v>164</v>
      </c>
      <c r="C40" s="349" t="s">
        <v>165</v>
      </c>
      <c r="D40" s="350" t="s">
        <v>166</v>
      </c>
      <c r="E40" s="316"/>
      <c r="F40" s="348" t="s">
        <v>167</v>
      </c>
      <c r="G40" s="351" t="s">
        <v>162</v>
      </c>
      <c r="H40" s="88"/>
      <c r="I40" s="352" t="b">
        <v>1</v>
      </c>
      <c r="J40" s="352"/>
      <c r="K40" s="352"/>
      <c r="L40" s="352"/>
      <c r="M40" s="352" t="s">
        <v>168</v>
      </c>
      <c r="N40" s="352"/>
      <c r="O40" s="352"/>
      <c r="P40" s="352"/>
      <c r="Q40" s="348"/>
      <c r="R40" s="348"/>
      <c r="S40" s="348"/>
      <c r="T40" s="348"/>
      <c r="U40" s="348"/>
      <c r="V40" s="353">
        <v>0</v>
      </c>
      <c r="W40" s="354">
        <v>0.91</v>
      </c>
      <c r="X40" s="348">
        <v>0</v>
      </c>
      <c r="Y40" s="314"/>
      <c r="Z40" s="348"/>
      <c r="AA40" s="348"/>
      <c r="AB40" s="300"/>
      <c r="AC40" s="300"/>
      <c r="AD40" s="300"/>
      <c r="AE40" s="300"/>
      <c r="AF40" s="300"/>
      <c r="AG40" s="300"/>
      <c r="AH40" s="300"/>
      <c r="AI40" s="300"/>
      <c r="AJ40" s="300"/>
      <c r="AK40" s="300"/>
      <c r="AL40" s="300"/>
      <c r="AM40" s="300"/>
      <c r="AN40" s="300"/>
      <c r="AO40" s="300"/>
      <c r="AP40" s="300"/>
      <c r="AQ40" s="300"/>
      <c r="AR40" s="300"/>
      <c r="AS40" s="300"/>
    </row>
    <row r="41" spans="1:45" s="303" customFormat="1" ht="16" customHeight="1" x14ac:dyDescent="0.2">
      <c r="A41" s="314" t="s">
        <v>157</v>
      </c>
      <c r="B41" s="348" t="s">
        <v>169</v>
      </c>
      <c r="C41" s="355" t="s">
        <v>170</v>
      </c>
      <c r="D41" s="350" t="s">
        <v>171</v>
      </c>
      <c r="E41" s="316"/>
      <c r="F41" s="348" t="s">
        <v>167</v>
      </c>
      <c r="G41" s="351" t="s">
        <v>162</v>
      </c>
      <c r="H41" s="88"/>
      <c r="I41" s="352" t="b">
        <v>1</v>
      </c>
      <c r="J41" s="352"/>
      <c r="K41" s="352"/>
      <c r="L41" s="352"/>
      <c r="M41" s="352" t="s">
        <v>172</v>
      </c>
      <c r="N41" s="352"/>
      <c r="O41" s="352"/>
      <c r="P41" s="352"/>
      <c r="Q41" s="348"/>
      <c r="R41" s="348"/>
      <c r="S41" s="348"/>
      <c r="T41" s="348"/>
      <c r="U41" s="348"/>
      <c r="V41" s="353">
        <v>0</v>
      </c>
      <c r="W41" s="354">
        <v>0.91</v>
      </c>
      <c r="X41" s="348">
        <v>0</v>
      </c>
      <c r="Y41" s="348"/>
      <c r="Z41" s="348"/>
      <c r="AA41" s="348"/>
      <c r="AB41" s="300"/>
      <c r="AC41" s="300"/>
      <c r="AD41" s="300"/>
      <c r="AE41" s="300"/>
      <c r="AF41" s="300"/>
      <c r="AG41" s="300"/>
      <c r="AH41" s="300"/>
      <c r="AI41" s="300"/>
      <c r="AJ41" s="300"/>
      <c r="AK41" s="300"/>
      <c r="AL41" s="300"/>
      <c r="AM41" s="300"/>
      <c r="AN41" s="300"/>
      <c r="AO41" s="300"/>
      <c r="AP41" s="300"/>
      <c r="AQ41" s="300"/>
      <c r="AR41" s="300"/>
      <c r="AS41" s="300"/>
    </row>
    <row r="42" spans="1:45" s="303" customFormat="1" ht="16" customHeight="1" x14ac:dyDescent="0.2">
      <c r="A42" s="348" t="s">
        <v>173</v>
      </c>
      <c r="B42" s="348" t="s">
        <v>174</v>
      </c>
      <c r="C42" s="355" t="s">
        <v>175</v>
      </c>
      <c r="D42" s="350" t="s">
        <v>176</v>
      </c>
      <c r="E42" s="316"/>
      <c r="F42" s="348"/>
      <c r="G42" s="348"/>
      <c r="H42" s="88"/>
      <c r="I42" s="352"/>
      <c r="J42" s="352"/>
      <c r="K42" s="352"/>
      <c r="L42" s="352"/>
      <c r="M42" s="352" t="s">
        <v>177</v>
      </c>
      <c r="N42" s="352"/>
      <c r="O42" s="352"/>
      <c r="P42" s="352"/>
      <c r="Q42" s="348"/>
      <c r="R42" s="348"/>
      <c r="S42" s="348"/>
      <c r="T42" s="348"/>
      <c r="U42" s="348"/>
      <c r="V42" s="353"/>
      <c r="W42" s="348"/>
      <c r="X42" s="348"/>
      <c r="Y42" s="348"/>
      <c r="Z42" s="348"/>
      <c r="AA42" s="348"/>
      <c r="AB42" s="300"/>
      <c r="AC42" s="300"/>
      <c r="AD42" s="300"/>
      <c r="AE42" s="300"/>
      <c r="AF42" s="300"/>
      <c r="AG42" s="300"/>
      <c r="AH42" s="300"/>
      <c r="AI42" s="300"/>
      <c r="AJ42" s="300"/>
      <c r="AK42" s="300"/>
      <c r="AL42" s="300"/>
      <c r="AM42" s="300"/>
      <c r="AN42" s="300"/>
      <c r="AO42" s="300"/>
      <c r="AP42" s="300"/>
      <c r="AQ42" s="300"/>
      <c r="AR42" s="300"/>
      <c r="AS42" s="300"/>
    </row>
    <row r="43" spans="1:45" s="69" customFormat="1" ht="16" customHeight="1" thickBot="1" x14ac:dyDescent="0.25">
      <c r="A43" s="84" t="s">
        <v>95</v>
      </c>
      <c r="B43" s="84"/>
      <c r="C43" s="85"/>
      <c r="D43" s="85"/>
      <c r="E43" s="79"/>
      <c r="F43" s="84"/>
      <c r="G43" s="84"/>
      <c r="H43" s="80"/>
      <c r="I43" s="115"/>
      <c r="J43" s="115"/>
      <c r="K43" s="115"/>
      <c r="L43" s="115"/>
      <c r="M43" s="115"/>
      <c r="N43" s="115"/>
      <c r="O43" s="115"/>
      <c r="P43" s="115"/>
      <c r="W43" s="172"/>
      <c r="X43" s="154"/>
      <c r="Y43" s="155" t="str">
        <f>IF(W43&lt;&gt;"",W43*X43,"")</f>
        <v/>
      </c>
      <c r="Z43" s="155" t="str">
        <f>IF(AND(W43&lt;&gt;"",U43="yes"),W43*X43,"")</f>
        <v/>
      </c>
    </row>
    <row r="44" spans="1:45" s="66" customFormat="1" ht="17" customHeight="1" thickTop="1" x14ac:dyDescent="0.2">
      <c r="A44" s="63" t="s">
        <v>64</v>
      </c>
      <c r="B44" s="63" t="s">
        <v>178</v>
      </c>
      <c r="C44" s="81" t="s">
        <v>179</v>
      </c>
      <c r="D44" s="81" t="s">
        <v>180</v>
      </c>
      <c r="E44" s="64"/>
      <c r="F44" s="63"/>
      <c r="G44" s="63"/>
      <c r="H44" s="65"/>
      <c r="I44" s="110" t="s">
        <v>73</v>
      </c>
      <c r="J44" s="110"/>
      <c r="K44" s="110"/>
      <c r="L44" s="110"/>
      <c r="M44" s="110" t="s">
        <v>181</v>
      </c>
      <c r="N44" s="110"/>
      <c r="O44" s="110"/>
      <c r="P44" s="110"/>
      <c r="U44" s="41" t="s">
        <v>40</v>
      </c>
      <c r="W44" s="172"/>
      <c r="X44" s="154"/>
      <c r="Y44" s="155" t="str">
        <f>IF(W44&lt;&gt;"",W44*X44,"")</f>
        <v/>
      </c>
      <c r="Z44" s="155" t="str">
        <f>IF(AND(W44&lt;&gt;"",U44="yes"),W44*X44,"")</f>
        <v/>
      </c>
      <c r="AA44" s="67"/>
    </row>
    <row r="45" spans="1:45" x14ac:dyDescent="0.2">
      <c r="E45" s="77"/>
      <c r="H45" s="78"/>
      <c r="W45" s="172"/>
      <c r="X45" s="154">
        <f>1</f>
        <v>1</v>
      </c>
      <c r="Y45" s="155" t="str">
        <f>IF(W45&lt;&gt;"",W45*X45,"")</f>
        <v/>
      </c>
      <c r="Z45" s="155" t="str">
        <f>IF(AND(W45&lt;&gt;"",U45="yes"),W45*X45,"")</f>
        <v/>
      </c>
    </row>
    <row r="46" spans="1:45" ht="16" customHeight="1" x14ac:dyDescent="0.2">
      <c r="A46" s="68" t="s">
        <v>157</v>
      </c>
      <c r="B46" s="68" t="s">
        <v>182</v>
      </c>
      <c r="C46" s="40" t="s">
        <v>183</v>
      </c>
      <c r="D46" s="40" t="s">
        <v>184</v>
      </c>
      <c r="E46" s="77"/>
      <c r="F46" s="68"/>
      <c r="G46" s="68"/>
      <c r="H46" s="78"/>
      <c r="I46" s="107" t="s">
        <v>38</v>
      </c>
      <c r="J46" s="107"/>
      <c r="K46" s="107"/>
      <c r="L46" s="107"/>
      <c r="M46" s="107"/>
      <c r="N46" s="107"/>
      <c r="O46" s="107"/>
      <c r="P46" s="107"/>
      <c r="U46" s="41" t="s">
        <v>40</v>
      </c>
      <c r="W46" s="189"/>
      <c r="X46" s="190"/>
      <c r="Y46" s="191"/>
      <c r="Z46" s="155"/>
    </row>
    <row r="47" spans="1:45" ht="16" customHeight="1" x14ac:dyDescent="0.2">
      <c r="A47" s="68" t="s">
        <v>117</v>
      </c>
      <c r="B47" s="68" t="s">
        <v>185</v>
      </c>
      <c r="C47" s="40" t="s">
        <v>186</v>
      </c>
      <c r="D47" s="258" t="s">
        <v>187</v>
      </c>
      <c r="E47" s="77"/>
      <c r="F47" s="68"/>
      <c r="G47" s="68"/>
      <c r="H47" s="78"/>
      <c r="I47" s="107" t="s">
        <v>38</v>
      </c>
      <c r="J47" s="107"/>
      <c r="K47" s="107"/>
      <c r="L47" s="107"/>
      <c r="M47" s="107" t="s">
        <v>188</v>
      </c>
      <c r="N47" s="107"/>
      <c r="O47" s="107"/>
      <c r="P47" s="107"/>
      <c r="U47" s="41" t="s">
        <v>40</v>
      </c>
      <c r="W47" s="172">
        <v>10.08573150634766</v>
      </c>
      <c r="X47" s="154">
        <f>1</f>
        <v>1</v>
      </c>
      <c r="Y47" s="155">
        <f t="shared" ref="Y47:Y53" si="2">IF(W47&lt;&gt;"",W47*X47,"")</f>
        <v>10.08573150634766</v>
      </c>
      <c r="Z47" s="155">
        <f t="shared" ref="Z47:Z53" si="3">IF(AND(W47&lt;&gt;"",U47="yes"),W47*X47,"")</f>
        <v>10.08573150634766</v>
      </c>
    </row>
    <row r="48" spans="1:45" x14ac:dyDescent="0.2">
      <c r="D48" s="194"/>
      <c r="E48" s="77"/>
      <c r="H48" s="78"/>
      <c r="W48" s="172"/>
      <c r="X48" s="154">
        <f>1</f>
        <v>1</v>
      </c>
      <c r="Y48" s="155" t="str">
        <f t="shared" si="2"/>
        <v/>
      </c>
      <c r="Z48" s="155" t="str">
        <f t="shared" si="3"/>
        <v/>
      </c>
    </row>
    <row r="49" spans="1:27" ht="16" customHeight="1" x14ac:dyDescent="0.2">
      <c r="A49" s="68" t="s">
        <v>189</v>
      </c>
      <c r="B49" s="68" t="s">
        <v>190</v>
      </c>
      <c r="C49" s="40" t="s">
        <v>191</v>
      </c>
      <c r="D49" s="258" t="s">
        <v>192</v>
      </c>
      <c r="E49" s="77"/>
      <c r="F49" s="68"/>
      <c r="G49" s="68"/>
      <c r="H49" s="78"/>
      <c r="I49" s="107" t="s">
        <v>38</v>
      </c>
      <c r="J49" s="107"/>
      <c r="K49" s="107"/>
      <c r="L49" s="107"/>
      <c r="M49" s="107"/>
      <c r="N49" s="107"/>
      <c r="O49" s="107"/>
      <c r="P49" s="107"/>
      <c r="U49" s="41" t="s">
        <v>40</v>
      </c>
      <c r="W49" s="172">
        <v>12.894034385681151</v>
      </c>
      <c r="X49" s="154">
        <f>1</f>
        <v>1</v>
      </c>
      <c r="Y49" s="155">
        <f t="shared" si="2"/>
        <v>12.894034385681151</v>
      </c>
      <c r="Z49" s="155">
        <f t="shared" si="3"/>
        <v>12.894034385681151</v>
      </c>
    </row>
    <row r="50" spans="1:27" x14ac:dyDescent="0.2">
      <c r="E50" s="77"/>
      <c r="H50" s="78"/>
      <c r="W50" s="172"/>
      <c r="X50" s="154">
        <f>1</f>
        <v>1</v>
      </c>
      <c r="Y50" s="155" t="str">
        <f t="shared" si="2"/>
        <v/>
      </c>
      <c r="Z50" s="155" t="str">
        <f t="shared" si="3"/>
        <v/>
      </c>
    </row>
    <row r="51" spans="1:27" s="69" customFormat="1" ht="16" customHeight="1" x14ac:dyDescent="0.2">
      <c r="A51" s="69" t="s">
        <v>193</v>
      </c>
      <c r="B51" s="69" t="s">
        <v>194</v>
      </c>
      <c r="C51" s="43" t="s">
        <v>195</v>
      </c>
      <c r="D51" s="43" t="s">
        <v>196</v>
      </c>
      <c r="E51" s="86"/>
      <c r="F51" s="87"/>
      <c r="G51" s="87"/>
      <c r="H51" s="88"/>
      <c r="I51" s="112" t="s">
        <v>38</v>
      </c>
      <c r="J51" s="116"/>
      <c r="K51" s="116"/>
      <c r="L51" s="116"/>
      <c r="M51" s="116"/>
      <c r="N51" s="116"/>
      <c r="O51" s="116"/>
      <c r="P51" s="116"/>
      <c r="U51" s="69" t="s">
        <v>40</v>
      </c>
      <c r="W51" s="172">
        <v>15.265829086303709</v>
      </c>
      <c r="X51" s="154">
        <f>1</f>
        <v>1</v>
      </c>
      <c r="Y51" s="155">
        <f t="shared" si="2"/>
        <v>15.265829086303709</v>
      </c>
      <c r="Z51" s="155">
        <f t="shared" si="3"/>
        <v>15.265829086303709</v>
      </c>
    </row>
    <row r="52" spans="1:27" s="70" customFormat="1" ht="96" customHeight="1" x14ac:dyDescent="0.2">
      <c r="A52" s="70" t="s">
        <v>110</v>
      </c>
      <c r="B52" s="70" t="s">
        <v>197</v>
      </c>
      <c r="C52" s="71" t="s">
        <v>198</v>
      </c>
      <c r="D52" s="71" t="s">
        <v>199</v>
      </c>
      <c r="E52" s="72"/>
      <c r="F52" s="70" t="s">
        <v>200</v>
      </c>
      <c r="G52" s="71" t="s">
        <v>201</v>
      </c>
      <c r="H52" s="76"/>
      <c r="I52" s="108" t="s">
        <v>38</v>
      </c>
      <c r="J52" s="108"/>
      <c r="K52" s="108" t="s">
        <v>202</v>
      </c>
      <c r="L52" s="108"/>
      <c r="M52" s="108"/>
      <c r="N52" s="108"/>
      <c r="O52" s="108"/>
      <c r="P52" s="108"/>
      <c r="U52" s="70" t="s">
        <v>74</v>
      </c>
      <c r="W52" s="172">
        <v>15.21184825897217</v>
      </c>
      <c r="X52" s="154">
        <f>1</f>
        <v>1</v>
      </c>
      <c r="Y52" s="155">
        <f t="shared" si="2"/>
        <v>15.21184825897217</v>
      </c>
      <c r="Z52" s="155" t="str">
        <f t="shared" si="3"/>
        <v/>
      </c>
      <c r="AA52" s="69"/>
    </row>
    <row r="53" spans="1:27" s="300" customFormat="1" ht="29" customHeight="1" x14ac:dyDescent="0.2">
      <c r="A53" s="300" t="s">
        <v>157</v>
      </c>
      <c r="B53" s="300" t="s">
        <v>203</v>
      </c>
      <c r="C53" s="301" t="s">
        <v>204</v>
      </c>
      <c r="D53" s="301" t="s">
        <v>205</v>
      </c>
      <c r="E53" s="72"/>
      <c r="F53" s="300" t="s">
        <v>161</v>
      </c>
      <c r="G53" s="300" t="s">
        <v>162</v>
      </c>
      <c r="H53" s="88"/>
      <c r="I53" s="333" t="s">
        <v>38</v>
      </c>
      <c r="J53" s="302"/>
      <c r="K53" s="302"/>
      <c r="L53" s="302"/>
      <c r="M53" s="302" t="s">
        <v>156</v>
      </c>
      <c r="N53" s="302"/>
      <c r="O53" s="302"/>
      <c r="P53" s="302"/>
      <c r="U53" s="300" t="s">
        <v>74</v>
      </c>
      <c r="W53" s="189"/>
      <c r="X53" s="190"/>
      <c r="Y53" s="191" t="str">
        <f t="shared" si="2"/>
        <v/>
      </c>
      <c r="Z53" s="191" t="str">
        <f t="shared" si="3"/>
        <v/>
      </c>
    </row>
    <row r="54" spans="1:27" s="300" customFormat="1" ht="29" customHeight="1" x14ac:dyDescent="0.2">
      <c r="A54" s="300" t="s">
        <v>206</v>
      </c>
      <c r="B54" s="300" t="s">
        <v>207</v>
      </c>
      <c r="C54" s="301" t="s">
        <v>208</v>
      </c>
      <c r="D54" s="301" t="s">
        <v>209</v>
      </c>
      <c r="E54" s="72"/>
      <c r="F54" s="300" t="s">
        <v>210</v>
      </c>
      <c r="G54" s="300" t="s">
        <v>211</v>
      </c>
      <c r="H54" s="88"/>
      <c r="I54" s="333" t="s">
        <v>38</v>
      </c>
      <c r="J54" s="302"/>
      <c r="K54" s="333"/>
      <c r="L54" s="334"/>
      <c r="M54" s="334" t="s">
        <v>212</v>
      </c>
      <c r="N54" s="302"/>
      <c r="O54" s="302"/>
      <c r="P54" s="302"/>
      <c r="U54" s="300" t="s">
        <v>74</v>
      </c>
      <c r="W54" s="189"/>
      <c r="X54" s="190"/>
      <c r="Y54" s="191"/>
      <c r="Z54" s="191"/>
    </row>
    <row r="55" spans="1:27" s="303" customFormat="1" ht="16.25" customHeight="1" x14ac:dyDescent="0.2">
      <c r="A55" s="300" t="s">
        <v>32</v>
      </c>
      <c r="B55" s="300" t="s">
        <v>213</v>
      </c>
      <c r="C55" s="301" t="s">
        <v>34</v>
      </c>
      <c r="D55" s="304" t="s">
        <v>214</v>
      </c>
      <c r="E55" s="72"/>
      <c r="F55" s="300" t="s">
        <v>215</v>
      </c>
      <c r="G55" s="300" t="s">
        <v>37</v>
      </c>
      <c r="H55" s="88"/>
      <c r="I55" s="302" t="s">
        <v>38</v>
      </c>
      <c r="J55" s="302"/>
      <c r="K55" s="302"/>
      <c r="L55" s="302"/>
      <c r="M55" s="302" t="s">
        <v>216</v>
      </c>
      <c r="N55" s="302"/>
      <c r="O55" s="302"/>
      <c r="P55" s="302"/>
      <c r="U55" s="303" t="s">
        <v>40</v>
      </c>
      <c r="W55" s="189"/>
      <c r="X55" s="190"/>
      <c r="Y55" s="191" t="str">
        <f t="shared" ref="Y55:Y65" si="4">IF(W55&lt;&gt;"",W55*X55,"")</f>
        <v/>
      </c>
      <c r="Z55" s="191" t="str">
        <f t="shared" ref="Z55:Z65" si="5">IF(AND(W55&lt;&gt;"",U55="yes"),W55*X55,"")</f>
        <v/>
      </c>
      <c r="AA55" s="300"/>
    </row>
    <row r="56" spans="1:27" s="70" customFormat="1" x14ac:dyDescent="0.2">
      <c r="C56" s="71"/>
      <c r="D56" s="71"/>
      <c r="E56" s="72"/>
      <c r="H56" s="76"/>
      <c r="I56" s="108"/>
      <c r="J56" s="108"/>
      <c r="K56" s="108"/>
      <c r="L56" s="108"/>
      <c r="M56" s="108"/>
      <c r="N56" s="108"/>
      <c r="O56" s="108"/>
      <c r="P56" s="108"/>
      <c r="W56" s="172"/>
      <c r="X56" s="154">
        <f>1</f>
        <v>1</v>
      </c>
      <c r="Y56" s="155" t="str">
        <f t="shared" si="4"/>
        <v/>
      </c>
      <c r="Z56" s="155" t="str">
        <f t="shared" si="5"/>
        <v/>
      </c>
      <c r="AA56" s="69"/>
    </row>
    <row r="57" spans="1:27" ht="16" customHeight="1" thickBot="1" x14ac:dyDescent="0.25">
      <c r="A57" s="89" t="s">
        <v>95</v>
      </c>
      <c r="B57" s="89"/>
      <c r="C57" s="90"/>
      <c r="D57" s="90"/>
      <c r="E57" s="99"/>
      <c r="F57" s="89"/>
      <c r="G57" s="89"/>
      <c r="H57" s="100"/>
      <c r="I57" s="117"/>
      <c r="J57" s="117"/>
      <c r="K57" s="117"/>
      <c r="L57" s="117"/>
      <c r="M57" s="117"/>
      <c r="N57" s="117"/>
      <c r="O57" s="117"/>
      <c r="P57" s="117"/>
      <c r="W57" s="172"/>
      <c r="X57" s="154">
        <f>1</f>
        <v>1</v>
      </c>
      <c r="Y57" s="155" t="str">
        <f t="shared" si="4"/>
        <v/>
      </c>
      <c r="Z57" s="155" t="str">
        <f t="shared" si="5"/>
        <v/>
      </c>
    </row>
    <row r="58" spans="1:27" s="66" customFormat="1" ht="17" customHeight="1" thickTop="1" x14ac:dyDescent="0.2">
      <c r="A58" s="75" t="s">
        <v>64</v>
      </c>
      <c r="B58" s="75" t="s">
        <v>217</v>
      </c>
      <c r="C58" s="91" t="s">
        <v>218</v>
      </c>
      <c r="D58" s="91" t="s">
        <v>219</v>
      </c>
      <c r="E58" s="162"/>
      <c r="F58" s="75"/>
      <c r="G58" s="75"/>
      <c r="H58" s="163"/>
      <c r="I58" s="118" t="s">
        <v>73</v>
      </c>
      <c r="J58" s="118"/>
      <c r="K58" s="118"/>
      <c r="L58" s="118"/>
      <c r="M58" s="118" t="s">
        <v>181</v>
      </c>
      <c r="N58" s="118"/>
      <c r="O58" s="118"/>
      <c r="P58" s="118"/>
      <c r="U58" s="41" t="s">
        <v>40</v>
      </c>
      <c r="W58" s="172"/>
      <c r="X58" s="154">
        <f>1</f>
        <v>1</v>
      </c>
      <c r="Y58" s="155" t="str">
        <f t="shared" si="4"/>
        <v/>
      </c>
      <c r="Z58" s="155" t="str">
        <f t="shared" si="5"/>
        <v/>
      </c>
      <c r="AA58" s="67"/>
    </row>
    <row r="59" spans="1:27" x14ac:dyDescent="0.2">
      <c r="E59" s="77"/>
      <c r="H59" s="78"/>
      <c r="W59" s="172"/>
      <c r="X59" s="154">
        <f>1</f>
        <v>1</v>
      </c>
      <c r="Y59" s="155" t="str">
        <f t="shared" si="4"/>
        <v/>
      </c>
      <c r="Z59" s="155" t="str">
        <f t="shared" si="5"/>
        <v/>
      </c>
    </row>
    <row r="60" spans="1:27" ht="16" customHeight="1" x14ac:dyDescent="0.2">
      <c r="A60" s="73" t="s">
        <v>220</v>
      </c>
      <c r="B60" s="73" t="s">
        <v>221</v>
      </c>
      <c r="C60" s="74" t="s">
        <v>222</v>
      </c>
      <c r="D60" s="262" t="s">
        <v>223</v>
      </c>
      <c r="E60" s="86"/>
      <c r="F60" s="69" t="s">
        <v>224</v>
      </c>
      <c r="G60" s="41" t="s">
        <v>225</v>
      </c>
      <c r="H60" s="88"/>
      <c r="I60" s="109" t="s">
        <v>38</v>
      </c>
      <c r="J60" s="109" t="s">
        <v>226</v>
      </c>
      <c r="K60" s="109"/>
      <c r="L60" s="109"/>
      <c r="M60" s="109"/>
      <c r="N60" s="109"/>
      <c r="O60" s="109"/>
      <c r="P60" s="109"/>
      <c r="U60" s="41" t="s">
        <v>40</v>
      </c>
      <c r="W60" s="172">
        <v>36.928733825683587</v>
      </c>
      <c r="X60" s="154">
        <f>1</f>
        <v>1</v>
      </c>
      <c r="Y60" s="155">
        <f t="shared" si="4"/>
        <v>36.928733825683587</v>
      </c>
      <c r="Z60" s="155">
        <f t="shared" si="5"/>
        <v>36.928733825683587</v>
      </c>
    </row>
    <row r="61" spans="1:27" x14ac:dyDescent="0.2">
      <c r="A61" s="73" t="s">
        <v>26</v>
      </c>
      <c r="B61" s="73" t="s">
        <v>227</v>
      </c>
      <c r="C61" s="74"/>
      <c r="D61" s="68"/>
      <c r="E61" s="86"/>
      <c r="F61" s="69"/>
      <c r="G61" s="69"/>
      <c r="H61" s="88"/>
      <c r="I61" s="109"/>
      <c r="J61" s="109"/>
      <c r="K61" s="109"/>
      <c r="L61" s="109"/>
      <c r="M61" s="109"/>
      <c r="N61" s="109"/>
      <c r="O61" s="109"/>
      <c r="P61" s="109" t="s">
        <v>228</v>
      </c>
      <c r="U61" s="41" t="s">
        <v>40</v>
      </c>
      <c r="W61" s="172"/>
      <c r="X61" s="154">
        <f>1</f>
        <v>1</v>
      </c>
      <c r="Y61" s="155" t="str">
        <f t="shared" si="4"/>
        <v/>
      </c>
      <c r="Z61" s="155" t="str">
        <f t="shared" si="5"/>
        <v/>
      </c>
    </row>
    <row r="62" spans="1:27" ht="16" customHeight="1" x14ac:dyDescent="0.2">
      <c r="A62" s="73" t="s">
        <v>157</v>
      </c>
      <c r="B62" s="73" t="s">
        <v>229</v>
      </c>
      <c r="C62" s="74" t="s">
        <v>230</v>
      </c>
      <c r="D62" s="195" t="s">
        <v>231</v>
      </c>
      <c r="E62" s="86"/>
      <c r="F62" s="69"/>
      <c r="G62" s="69"/>
      <c r="H62" s="88"/>
      <c r="I62" s="109" t="s">
        <v>38</v>
      </c>
      <c r="J62" s="109"/>
      <c r="K62" s="109"/>
      <c r="L62" s="109"/>
      <c r="M62" s="109" t="s">
        <v>232</v>
      </c>
      <c r="N62" s="109"/>
      <c r="O62" s="109"/>
      <c r="P62" s="109"/>
      <c r="U62" s="41" t="s">
        <v>40</v>
      </c>
      <c r="W62" s="172">
        <v>0</v>
      </c>
      <c r="X62" s="154">
        <f>1</f>
        <v>1</v>
      </c>
      <c r="Y62" s="155">
        <f t="shared" si="4"/>
        <v>0</v>
      </c>
      <c r="Z62" s="155">
        <f t="shared" si="5"/>
        <v>0</v>
      </c>
    </row>
    <row r="63" spans="1:27" ht="32" customHeight="1" x14ac:dyDescent="0.2">
      <c r="A63" s="73" t="s">
        <v>157</v>
      </c>
      <c r="B63" s="73" t="s">
        <v>233</v>
      </c>
      <c r="C63" s="74" t="s">
        <v>234</v>
      </c>
      <c r="D63" s="195" t="s">
        <v>235</v>
      </c>
      <c r="E63" s="86"/>
      <c r="F63" s="69"/>
      <c r="G63" s="69"/>
      <c r="H63" s="88"/>
      <c r="I63" s="109" t="s">
        <v>38</v>
      </c>
      <c r="J63" s="109"/>
      <c r="K63" s="109"/>
      <c r="L63" s="109"/>
      <c r="M63" s="109" t="s">
        <v>236</v>
      </c>
      <c r="N63" s="109"/>
      <c r="O63" s="109"/>
      <c r="P63" s="109"/>
      <c r="U63" s="41" t="s">
        <v>40</v>
      </c>
      <c r="W63" s="172">
        <v>0</v>
      </c>
      <c r="X63" s="154">
        <f>1</f>
        <v>1</v>
      </c>
      <c r="Y63" s="155">
        <f t="shared" si="4"/>
        <v>0</v>
      </c>
      <c r="Z63" s="155">
        <f t="shared" si="5"/>
        <v>0</v>
      </c>
    </row>
    <row r="64" spans="1:27" ht="32" customHeight="1" x14ac:dyDescent="0.2">
      <c r="A64" s="73" t="s">
        <v>157</v>
      </c>
      <c r="B64" s="73" t="s">
        <v>237</v>
      </c>
      <c r="C64" s="74" t="s">
        <v>238</v>
      </c>
      <c r="D64" s="195" t="s">
        <v>239</v>
      </c>
      <c r="E64" s="86"/>
      <c r="F64" s="69"/>
      <c r="G64" s="69"/>
      <c r="H64" s="88"/>
      <c r="I64" s="109" t="s">
        <v>38</v>
      </c>
      <c r="J64" s="109"/>
      <c r="K64" s="109"/>
      <c r="L64" s="109"/>
      <c r="M64" s="109" t="s">
        <v>240</v>
      </c>
      <c r="N64" s="109"/>
      <c r="O64" s="109"/>
      <c r="P64" s="109"/>
      <c r="U64" s="41" t="s">
        <v>40</v>
      </c>
      <c r="W64" s="172">
        <v>0</v>
      </c>
      <c r="X64" s="154">
        <f>1</f>
        <v>1</v>
      </c>
      <c r="Y64" s="155">
        <f t="shared" si="4"/>
        <v>0</v>
      </c>
      <c r="Z64" s="155">
        <f t="shared" si="5"/>
        <v>0</v>
      </c>
    </row>
    <row r="65" spans="1:27" x14ac:dyDescent="0.2">
      <c r="D65" s="41"/>
      <c r="E65" s="77"/>
      <c r="H65" s="78"/>
      <c r="W65" s="172"/>
      <c r="X65" s="154">
        <f>1</f>
        <v>1</v>
      </c>
      <c r="Y65" s="155" t="str">
        <f t="shared" si="4"/>
        <v/>
      </c>
      <c r="Z65" s="155" t="str">
        <f t="shared" si="5"/>
        <v/>
      </c>
    </row>
    <row r="66" spans="1:27" x14ac:dyDescent="0.2">
      <c r="D66" s="73"/>
      <c r="E66" s="76"/>
      <c r="G66" s="70"/>
      <c r="H66" s="76"/>
    </row>
    <row r="67" spans="1:27" s="73" customFormat="1" x14ac:dyDescent="0.2">
      <c r="A67" s="73" t="s">
        <v>241</v>
      </c>
      <c r="B67" s="73" t="s">
        <v>242</v>
      </c>
      <c r="C67" s="73" t="s">
        <v>243</v>
      </c>
      <c r="D67" s="73" t="s">
        <v>244</v>
      </c>
      <c r="E67" s="88"/>
      <c r="H67" s="88"/>
      <c r="I67" s="109" t="s">
        <v>38</v>
      </c>
      <c r="J67" s="109"/>
      <c r="K67" s="109"/>
      <c r="L67" s="109"/>
      <c r="M67" s="109" t="s">
        <v>245</v>
      </c>
      <c r="N67" s="109"/>
      <c r="O67" s="109"/>
      <c r="P67" s="109"/>
      <c r="W67" s="173"/>
      <c r="X67" s="192"/>
      <c r="Y67" s="193"/>
      <c r="Z67" s="193"/>
    </row>
    <row r="68" spans="1:27" s="73" customFormat="1" x14ac:dyDescent="0.2">
      <c r="A68" s="73" t="s">
        <v>246</v>
      </c>
      <c r="B68" s="73" t="s">
        <v>247</v>
      </c>
      <c r="C68" s="73" t="s">
        <v>248</v>
      </c>
      <c r="D68" s="73" t="s">
        <v>249</v>
      </c>
      <c r="E68" s="88"/>
      <c r="H68" s="88"/>
      <c r="I68" s="109" t="s">
        <v>38</v>
      </c>
      <c r="J68" s="109"/>
      <c r="K68" s="109"/>
      <c r="L68" s="109"/>
      <c r="M68" s="109" t="s">
        <v>245</v>
      </c>
      <c r="N68" s="109"/>
      <c r="O68" s="109"/>
      <c r="P68" s="109"/>
      <c r="W68" s="173"/>
      <c r="X68" s="192"/>
      <c r="Y68" s="193"/>
      <c r="Z68" s="193"/>
    </row>
    <row r="69" spans="1:27" x14ac:dyDescent="0.2">
      <c r="E69" s="77"/>
      <c r="H69" s="78"/>
      <c r="W69" s="172"/>
      <c r="X69" s="154">
        <f>1</f>
        <v>1</v>
      </c>
      <c r="Y69" s="155" t="str">
        <f t="shared" ref="Y69:Y78" si="6">IF(W69&lt;&gt;"",W69*X69,"")</f>
        <v/>
      </c>
      <c r="Z69" s="155" t="str">
        <f t="shared" ref="Z69:Z78" si="7">IF(AND(W69&lt;&gt;"",U69="yes"),W69*X69,"")</f>
        <v/>
      </c>
    </row>
    <row r="70" spans="1:27" ht="64" customHeight="1" x14ac:dyDescent="0.2">
      <c r="A70" s="73" t="s">
        <v>250</v>
      </c>
      <c r="B70" s="73" t="s">
        <v>251</v>
      </c>
      <c r="C70" s="74" t="s">
        <v>2291</v>
      </c>
      <c r="D70" s="195" t="s">
        <v>2299</v>
      </c>
      <c r="E70" s="86"/>
      <c r="F70" s="301" t="s">
        <v>252</v>
      </c>
      <c r="G70" s="301" t="s">
        <v>253</v>
      </c>
      <c r="H70" s="88"/>
      <c r="I70" s="109" t="s">
        <v>38</v>
      </c>
      <c r="J70" s="109"/>
      <c r="K70" s="109"/>
      <c r="L70" s="109"/>
      <c r="M70" s="109" t="s">
        <v>245</v>
      </c>
      <c r="N70" s="109"/>
      <c r="O70" s="109"/>
      <c r="P70" s="109"/>
      <c r="U70" s="41" t="s">
        <v>40</v>
      </c>
      <c r="W70" s="172">
        <v>27.242166519165039</v>
      </c>
      <c r="X70" s="154">
        <f>1</f>
        <v>1</v>
      </c>
      <c r="Y70" s="155">
        <f t="shared" si="6"/>
        <v>27.242166519165039</v>
      </c>
      <c r="Z70" s="155">
        <f t="shared" si="7"/>
        <v>27.242166519165039</v>
      </c>
    </row>
    <row r="71" spans="1:27" x14ac:dyDescent="0.2">
      <c r="D71" s="196"/>
      <c r="E71" s="77"/>
      <c r="H71" s="78"/>
      <c r="W71" s="172"/>
      <c r="X71" s="154">
        <f>1</f>
        <v>1</v>
      </c>
      <c r="Y71" s="155" t="str">
        <f t="shared" si="6"/>
        <v/>
      </c>
      <c r="Z71" s="155" t="str">
        <f t="shared" si="7"/>
        <v/>
      </c>
    </row>
    <row r="72" spans="1:27" ht="32" customHeight="1" x14ac:dyDescent="0.2">
      <c r="A72" s="73" t="s">
        <v>254</v>
      </c>
      <c r="B72" s="73" t="s">
        <v>255</v>
      </c>
      <c r="C72" s="74" t="s">
        <v>256</v>
      </c>
      <c r="D72" s="258" t="s">
        <v>257</v>
      </c>
      <c r="E72" s="86"/>
      <c r="F72" s="69" t="s">
        <v>258</v>
      </c>
      <c r="G72" s="41" t="s">
        <v>259</v>
      </c>
      <c r="H72" s="88"/>
      <c r="I72" s="109" t="s">
        <v>38</v>
      </c>
      <c r="J72" s="109" t="s">
        <v>226</v>
      </c>
      <c r="K72" s="109"/>
      <c r="L72" s="109"/>
      <c r="M72" s="109" t="s">
        <v>245</v>
      </c>
      <c r="N72" s="109" t="s">
        <v>260</v>
      </c>
      <c r="O72" s="109"/>
      <c r="P72" s="109"/>
      <c r="U72" s="41" t="s">
        <v>40</v>
      </c>
      <c r="W72" s="172">
        <v>25.308004379272461</v>
      </c>
      <c r="X72" s="154">
        <f>1</f>
        <v>1</v>
      </c>
      <c r="Y72" s="155">
        <f t="shared" si="6"/>
        <v>25.308004379272461</v>
      </c>
      <c r="Z72" s="155">
        <f t="shared" si="7"/>
        <v>25.308004379272461</v>
      </c>
    </row>
    <row r="73" spans="1:27" x14ac:dyDescent="0.2">
      <c r="A73" s="73" t="s">
        <v>26</v>
      </c>
      <c r="B73" s="73" t="s">
        <v>261</v>
      </c>
      <c r="C73" s="74"/>
      <c r="D73" s="68"/>
      <c r="E73" s="86"/>
      <c r="F73" s="69"/>
      <c r="G73" s="69"/>
      <c r="H73" s="88"/>
      <c r="I73" s="109"/>
      <c r="J73" s="109"/>
      <c r="K73" s="109"/>
      <c r="L73" s="109"/>
      <c r="M73" s="109"/>
      <c r="N73" s="109"/>
      <c r="O73" s="109"/>
      <c r="P73" s="109" t="s">
        <v>262</v>
      </c>
      <c r="U73" s="41" t="s">
        <v>40</v>
      </c>
      <c r="W73" s="172"/>
      <c r="X73" s="154">
        <f>1</f>
        <v>1</v>
      </c>
      <c r="Y73" s="155" t="str">
        <f t="shared" si="6"/>
        <v/>
      </c>
      <c r="Z73" s="155" t="str">
        <f t="shared" si="7"/>
        <v/>
      </c>
    </row>
    <row r="74" spans="1:27" ht="16" customHeight="1" x14ac:dyDescent="0.2">
      <c r="A74" s="73" t="s">
        <v>157</v>
      </c>
      <c r="B74" s="73" t="s">
        <v>263</v>
      </c>
      <c r="C74" s="74" t="s">
        <v>230</v>
      </c>
      <c r="D74" s="195" t="s">
        <v>231</v>
      </c>
      <c r="E74" s="86"/>
      <c r="F74" s="69"/>
      <c r="G74" s="69"/>
      <c r="H74" s="88"/>
      <c r="I74" s="109" t="s">
        <v>38</v>
      </c>
      <c r="J74" s="109"/>
      <c r="K74" s="109"/>
      <c r="L74" s="109"/>
      <c r="M74" s="109" t="s">
        <v>264</v>
      </c>
      <c r="N74" s="109"/>
      <c r="O74" s="109"/>
      <c r="P74" s="109"/>
      <c r="U74" s="41" t="s">
        <v>40</v>
      </c>
      <c r="W74" s="172">
        <v>0</v>
      </c>
      <c r="X74" s="154">
        <f>1</f>
        <v>1</v>
      </c>
      <c r="Y74" s="155">
        <f t="shared" si="6"/>
        <v>0</v>
      </c>
      <c r="Z74" s="155">
        <f t="shared" si="7"/>
        <v>0</v>
      </c>
    </row>
    <row r="75" spans="1:27" ht="32" customHeight="1" x14ac:dyDescent="0.2">
      <c r="A75" s="73" t="s">
        <v>157</v>
      </c>
      <c r="B75" s="73" t="s">
        <v>265</v>
      </c>
      <c r="C75" s="74" t="s">
        <v>234</v>
      </c>
      <c r="D75" s="195" t="s">
        <v>235</v>
      </c>
      <c r="E75" s="86"/>
      <c r="F75" s="69"/>
      <c r="G75" s="69"/>
      <c r="H75" s="88"/>
      <c r="I75" s="109" t="s">
        <v>38</v>
      </c>
      <c r="J75" s="109"/>
      <c r="K75" s="109"/>
      <c r="L75" s="109"/>
      <c r="M75" s="109" t="s">
        <v>266</v>
      </c>
      <c r="N75" s="109"/>
      <c r="O75" s="109"/>
      <c r="P75" s="109"/>
      <c r="U75" s="41" t="s">
        <v>40</v>
      </c>
      <c r="W75" s="172">
        <v>0</v>
      </c>
      <c r="X75" s="154">
        <f>1</f>
        <v>1</v>
      </c>
      <c r="Y75" s="155">
        <f t="shared" si="6"/>
        <v>0</v>
      </c>
      <c r="Z75" s="155">
        <f t="shared" si="7"/>
        <v>0</v>
      </c>
    </row>
    <row r="76" spans="1:27" ht="32" customHeight="1" x14ac:dyDescent="0.2">
      <c r="A76" s="73" t="s">
        <v>157</v>
      </c>
      <c r="B76" s="73" t="s">
        <v>267</v>
      </c>
      <c r="C76" s="74" t="s">
        <v>238</v>
      </c>
      <c r="D76" s="195" t="s">
        <v>239</v>
      </c>
      <c r="E76" s="86"/>
      <c r="F76" s="69"/>
      <c r="G76" s="69"/>
      <c r="H76" s="88"/>
      <c r="I76" s="109" t="s">
        <v>38</v>
      </c>
      <c r="J76" s="109"/>
      <c r="K76" s="109"/>
      <c r="L76" s="109"/>
      <c r="M76" s="109" t="s">
        <v>268</v>
      </c>
      <c r="N76" s="109"/>
      <c r="O76" s="109"/>
      <c r="P76" s="109"/>
      <c r="U76" s="41" t="s">
        <v>40</v>
      </c>
      <c r="W76" s="172">
        <v>0</v>
      </c>
      <c r="X76" s="154">
        <f>1</f>
        <v>1</v>
      </c>
      <c r="Y76" s="155">
        <f t="shared" si="6"/>
        <v>0</v>
      </c>
      <c r="Z76" s="155">
        <f t="shared" si="7"/>
        <v>0</v>
      </c>
    </row>
    <row r="77" spans="1:27" x14ac:dyDescent="0.2">
      <c r="E77" s="77"/>
      <c r="H77" s="78"/>
      <c r="W77" s="172"/>
      <c r="X77" s="154">
        <f>1</f>
        <v>1</v>
      </c>
      <c r="Y77" s="155" t="str">
        <f t="shared" si="6"/>
        <v/>
      </c>
      <c r="Z77" s="155" t="str">
        <f t="shared" si="7"/>
        <v/>
      </c>
    </row>
    <row r="78" spans="1:27" s="70" customFormat="1" x14ac:dyDescent="0.2">
      <c r="C78" s="71"/>
      <c r="D78" s="71"/>
      <c r="E78" s="72"/>
      <c r="H78" s="76"/>
      <c r="I78" s="108"/>
      <c r="J78" s="108"/>
      <c r="K78" s="108"/>
      <c r="L78" s="108"/>
      <c r="M78" s="108"/>
      <c r="N78" s="108"/>
      <c r="O78" s="108"/>
      <c r="P78" s="108"/>
      <c r="W78" s="172"/>
      <c r="X78" s="154">
        <f>1</f>
        <v>1</v>
      </c>
      <c r="Y78" s="155" t="str">
        <f t="shared" si="6"/>
        <v/>
      </c>
      <c r="Z78" s="155" t="str">
        <f t="shared" si="7"/>
        <v/>
      </c>
      <c r="AA78" s="69"/>
    </row>
    <row r="79" spans="1:27" s="70" customFormat="1" x14ac:dyDescent="0.2">
      <c r="A79" s="70" t="s">
        <v>241</v>
      </c>
      <c r="B79" s="70" t="s">
        <v>269</v>
      </c>
      <c r="C79" s="70" t="s">
        <v>243</v>
      </c>
      <c r="D79" s="235" t="s">
        <v>244</v>
      </c>
      <c r="E79" s="76"/>
      <c r="H79" s="76"/>
      <c r="I79" s="108" t="s">
        <v>38</v>
      </c>
      <c r="J79" s="108"/>
      <c r="K79" s="108"/>
      <c r="L79" s="108"/>
      <c r="M79" s="108" t="s">
        <v>270</v>
      </c>
      <c r="N79" s="108"/>
      <c r="O79" s="108"/>
      <c r="P79" s="108"/>
      <c r="W79" s="172"/>
      <c r="X79" s="154"/>
      <c r="Y79" s="155"/>
      <c r="Z79" s="155"/>
      <c r="AA79" s="69"/>
    </row>
    <row r="80" spans="1:27" s="70" customFormat="1" x14ac:dyDescent="0.2">
      <c r="A80" s="70" t="s">
        <v>246</v>
      </c>
      <c r="B80" s="70" t="s">
        <v>271</v>
      </c>
      <c r="C80" s="70" t="s">
        <v>248</v>
      </c>
      <c r="D80" s="235" t="s">
        <v>249</v>
      </c>
      <c r="E80" s="76"/>
      <c r="H80" s="76"/>
      <c r="I80" s="108" t="s">
        <v>38</v>
      </c>
      <c r="J80" s="108"/>
      <c r="K80" s="108"/>
      <c r="L80" s="108"/>
      <c r="M80" s="108" t="s">
        <v>270</v>
      </c>
      <c r="N80" s="108"/>
      <c r="O80" s="108"/>
      <c r="P80" s="108"/>
      <c r="W80" s="172"/>
      <c r="X80" s="154"/>
      <c r="Y80" s="155"/>
      <c r="Z80" s="155"/>
      <c r="AA80" s="69"/>
    </row>
    <row r="81" spans="1:27" s="70" customFormat="1" x14ac:dyDescent="0.2">
      <c r="C81" s="71"/>
      <c r="D81" s="71"/>
      <c r="E81" s="72"/>
      <c r="H81" s="76"/>
      <c r="I81" s="108"/>
      <c r="J81" s="108"/>
      <c r="K81" s="108"/>
      <c r="L81" s="108"/>
      <c r="M81" s="108"/>
      <c r="N81" s="108"/>
      <c r="O81" s="108"/>
      <c r="P81" s="108"/>
      <c r="W81" s="172"/>
      <c r="X81" s="154">
        <f>1</f>
        <v>1</v>
      </c>
      <c r="Y81" s="155" t="str">
        <f t="shared" ref="Y81:Y90" si="8">IF(W81&lt;&gt;"",W81*X81,"")</f>
        <v/>
      </c>
      <c r="Z81" s="155" t="str">
        <f t="shared" ref="Z81:Z90" si="9">IF(AND(W81&lt;&gt;"",U81="yes"),W81*X81,"")</f>
        <v/>
      </c>
      <c r="AA81" s="69"/>
    </row>
    <row r="82" spans="1:27" ht="64" customHeight="1" x14ac:dyDescent="0.2">
      <c r="A82" s="73" t="s">
        <v>250</v>
      </c>
      <c r="B82" s="73" t="s">
        <v>272</v>
      </c>
      <c r="C82" s="74" t="s">
        <v>2292</v>
      </c>
      <c r="D82" s="195" t="s">
        <v>2300</v>
      </c>
      <c r="E82" s="86"/>
      <c r="F82" s="301" t="s">
        <v>252</v>
      </c>
      <c r="G82" s="301" t="s">
        <v>253</v>
      </c>
      <c r="H82" s="88"/>
      <c r="I82" s="109" t="s">
        <v>38</v>
      </c>
      <c r="J82" s="109"/>
      <c r="K82" s="109"/>
      <c r="L82" s="109"/>
      <c r="M82" s="109" t="s">
        <v>270</v>
      </c>
      <c r="N82" s="109"/>
      <c r="O82" s="109"/>
      <c r="P82" s="109"/>
      <c r="U82" s="41" t="s">
        <v>40</v>
      </c>
      <c r="W82" s="172">
        <v>21.193256378173832</v>
      </c>
      <c r="X82" s="154">
        <f>1</f>
        <v>1</v>
      </c>
      <c r="Y82" s="155">
        <f t="shared" si="8"/>
        <v>21.193256378173832</v>
      </c>
      <c r="Z82" s="155">
        <f t="shared" si="9"/>
        <v>21.193256378173832</v>
      </c>
    </row>
    <row r="83" spans="1:27" x14ac:dyDescent="0.2">
      <c r="D83" s="196"/>
      <c r="E83" s="77"/>
      <c r="H83" s="78"/>
      <c r="M83" s="116"/>
      <c r="W83" s="172"/>
      <c r="X83" s="154">
        <f>1</f>
        <v>1</v>
      </c>
      <c r="Y83" s="155" t="str">
        <f t="shared" si="8"/>
        <v/>
      </c>
      <c r="Z83" s="155" t="str">
        <f t="shared" si="9"/>
        <v/>
      </c>
    </row>
    <row r="84" spans="1:27" ht="16" customHeight="1" x14ac:dyDescent="0.2">
      <c r="A84" s="73" t="s">
        <v>273</v>
      </c>
      <c r="B84" s="73" t="s">
        <v>274</v>
      </c>
      <c r="C84" s="73" t="s">
        <v>275</v>
      </c>
      <c r="D84" s="258" t="s">
        <v>276</v>
      </c>
      <c r="E84" s="88"/>
      <c r="F84" s="69" t="s">
        <v>258</v>
      </c>
      <c r="G84" s="69" t="s">
        <v>259</v>
      </c>
      <c r="H84" s="88"/>
      <c r="I84" s="109" t="s">
        <v>38</v>
      </c>
      <c r="J84" s="109" t="s">
        <v>226</v>
      </c>
      <c r="K84" s="109"/>
      <c r="L84" s="109"/>
      <c r="M84" s="109" t="s">
        <v>270</v>
      </c>
      <c r="N84" s="109" t="s">
        <v>277</v>
      </c>
      <c r="O84" s="109"/>
      <c r="P84" s="109"/>
      <c r="U84" s="41" t="s">
        <v>40</v>
      </c>
      <c r="W84" s="172">
        <v>20.229927062988281</v>
      </c>
      <c r="X84" s="154">
        <f>1</f>
        <v>1</v>
      </c>
      <c r="Y84" s="155">
        <f t="shared" si="8"/>
        <v>20.229927062988281</v>
      </c>
      <c r="Z84" s="155">
        <f t="shared" si="9"/>
        <v>20.229927062988281</v>
      </c>
    </row>
    <row r="85" spans="1:27" x14ac:dyDescent="0.2">
      <c r="A85" s="73" t="s">
        <v>26</v>
      </c>
      <c r="B85" s="73" t="s">
        <v>278</v>
      </c>
      <c r="C85" s="74"/>
      <c r="D85" s="68"/>
      <c r="E85" s="86"/>
      <c r="F85" s="69"/>
      <c r="G85" s="69"/>
      <c r="H85" s="88"/>
      <c r="I85" s="109"/>
      <c r="J85" s="109"/>
      <c r="K85" s="109"/>
      <c r="L85" s="109"/>
      <c r="M85" s="109"/>
      <c r="N85" s="109"/>
      <c r="O85" s="109"/>
      <c r="P85" s="109" t="s">
        <v>279</v>
      </c>
      <c r="U85" s="41" t="s">
        <v>40</v>
      </c>
      <c r="W85" s="172"/>
      <c r="X85" s="154">
        <f>1</f>
        <v>1</v>
      </c>
      <c r="Y85" s="155" t="str">
        <f t="shared" si="8"/>
        <v/>
      </c>
      <c r="Z85" s="155" t="str">
        <f t="shared" si="9"/>
        <v/>
      </c>
    </row>
    <row r="86" spans="1:27" ht="16" customHeight="1" x14ac:dyDescent="0.2">
      <c r="A86" s="73" t="s">
        <v>157</v>
      </c>
      <c r="B86" s="73" t="s">
        <v>280</v>
      </c>
      <c r="C86" s="74" t="s">
        <v>230</v>
      </c>
      <c r="D86" s="195" t="s">
        <v>231</v>
      </c>
      <c r="E86" s="86"/>
      <c r="F86" s="69"/>
      <c r="G86" s="69"/>
      <c r="H86" s="88"/>
      <c r="I86" s="109" t="s">
        <v>38</v>
      </c>
      <c r="J86" s="109"/>
      <c r="K86" s="109"/>
      <c r="L86" s="109"/>
      <c r="M86" s="109" t="s">
        <v>281</v>
      </c>
      <c r="N86" s="109"/>
      <c r="O86" s="109"/>
      <c r="P86" s="109"/>
      <c r="U86" s="41" t="s">
        <v>40</v>
      </c>
      <c r="W86" s="172">
        <v>0</v>
      </c>
      <c r="X86" s="154">
        <f>1</f>
        <v>1</v>
      </c>
      <c r="Y86" s="155">
        <f t="shared" si="8"/>
        <v>0</v>
      </c>
      <c r="Z86" s="155">
        <f t="shared" si="9"/>
        <v>0</v>
      </c>
    </row>
    <row r="87" spans="1:27" ht="32" customHeight="1" x14ac:dyDescent="0.2">
      <c r="A87" s="73" t="s">
        <v>157</v>
      </c>
      <c r="B87" s="73" t="s">
        <v>282</v>
      </c>
      <c r="C87" s="74" t="s">
        <v>234</v>
      </c>
      <c r="D87" s="195" t="s">
        <v>235</v>
      </c>
      <c r="E87" s="86"/>
      <c r="F87" s="69"/>
      <c r="G87" s="69"/>
      <c r="H87" s="88"/>
      <c r="I87" s="109" t="s">
        <v>38</v>
      </c>
      <c r="J87" s="109"/>
      <c r="K87" s="109"/>
      <c r="L87" s="109"/>
      <c r="M87" s="109" t="s">
        <v>283</v>
      </c>
      <c r="N87" s="109"/>
      <c r="O87" s="109"/>
      <c r="P87" s="109"/>
      <c r="U87" s="41" t="s">
        <v>40</v>
      </c>
      <c r="W87" s="172">
        <v>0</v>
      </c>
      <c r="X87" s="154">
        <f>1</f>
        <v>1</v>
      </c>
      <c r="Y87" s="155">
        <f t="shared" si="8"/>
        <v>0</v>
      </c>
      <c r="Z87" s="155">
        <f t="shared" si="9"/>
        <v>0</v>
      </c>
    </row>
    <row r="88" spans="1:27" ht="32" customHeight="1" x14ac:dyDescent="0.2">
      <c r="A88" s="73" t="s">
        <v>157</v>
      </c>
      <c r="B88" s="73" t="s">
        <v>284</v>
      </c>
      <c r="C88" s="74" t="s">
        <v>238</v>
      </c>
      <c r="D88" s="195" t="s">
        <v>239</v>
      </c>
      <c r="E88" s="86"/>
      <c r="F88" s="69"/>
      <c r="G88" s="69"/>
      <c r="H88" s="88"/>
      <c r="I88" s="109" t="s">
        <v>38</v>
      </c>
      <c r="J88" s="109"/>
      <c r="K88" s="109"/>
      <c r="L88" s="109"/>
      <c r="M88" s="109" t="s">
        <v>285</v>
      </c>
      <c r="N88" s="109"/>
      <c r="O88" s="109"/>
      <c r="P88" s="109"/>
      <c r="U88" s="41" t="s">
        <v>40</v>
      </c>
      <c r="W88" s="172">
        <v>0</v>
      </c>
      <c r="X88" s="154">
        <f>1</f>
        <v>1</v>
      </c>
      <c r="Y88" s="155">
        <f t="shared" si="8"/>
        <v>0</v>
      </c>
      <c r="Z88" s="155">
        <f t="shared" si="9"/>
        <v>0</v>
      </c>
    </row>
    <row r="89" spans="1:27" x14ac:dyDescent="0.2">
      <c r="E89" s="77"/>
      <c r="H89" s="78"/>
      <c r="W89" s="172"/>
      <c r="X89" s="154">
        <f>1</f>
        <v>1</v>
      </c>
      <c r="Y89" s="155" t="str">
        <f t="shared" si="8"/>
        <v/>
      </c>
      <c r="Z89" s="155" t="str">
        <f t="shared" si="9"/>
        <v/>
      </c>
    </row>
    <row r="90" spans="1:27" s="70" customFormat="1" x14ac:dyDescent="0.2">
      <c r="C90" s="71"/>
      <c r="D90" s="71"/>
      <c r="E90" s="72"/>
      <c r="H90" s="76"/>
      <c r="I90" s="108"/>
      <c r="J90" s="108"/>
      <c r="K90" s="108"/>
      <c r="L90" s="108"/>
      <c r="M90" s="108"/>
      <c r="N90" s="108"/>
      <c r="O90" s="108"/>
      <c r="P90" s="108"/>
      <c r="W90" s="172"/>
      <c r="X90" s="154">
        <f>1</f>
        <v>1</v>
      </c>
      <c r="Y90" s="155" t="str">
        <f t="shared" si="8"/>
        <v/>
      </c>
      <c r="Z90" s="155" t="str">
        <f t="shared" si="9"/>
        <v/>
      </c>
      <c r="AA90" s="69"/>
    </row>
    <row r="91" spans="1:27" s="70" customFormat="1" x14ac:dyDescent="0.2">
      <c r="A91" s="70" t="s">
        <v>241</v>
      </c>
      <c r="B91" s="70" t="s">
        <v>286</v>
      </c>
      <c r="C91" s="70" t="s">
        <v>243</v>
      </c>
      <c r="D91" s="235" t="s">
        <v>244</v>
      </c>
      <c r="E91" s="76"/>
      <c r="H91" s="76"/>
      <c r="I91" s="108" t="s">
        <v>38</v>
      </c>
      <c r="J91" s="108"/>
      <c r="K91" s="108"/>
      <c r="L91" s="108"/>
      <c r="M91" s="108" t="s">
        <v>287</v>
      </c>
      <c r="N91" s="108"/>
      <c r="O91" s="108"/>
      <c r="P91" s="108"/>
      <c r="W91" s="172"/>
      <c r="X91" s="154"/>
      <c r="Y91" s="155"/>
      <c r="Z91" s="155"/>
      <c r="AA91" s="69"/>
    </row>
    <row r="92" spans="1:27" s="70" customFormat="1" x14ac:dyDescent="0.2">
      <c r="A92" s="70" t="s">
        <v>246</v>
      </c>
      <c r="B92" s="70" t="s">
        <v>288</v>
      </c>
      <c r="C92" s="70" t="s">
        <v>248</v>
      </c>
      <c r="D92" s="235" t="s">
        <v>249</v>
      </c>
      <c r="E92" s="76"/>
      <c r="H92" s="76"/>
      <c r="I92" s="108" t="s">
        <v>38</v>
      </c>
      <c r="J92" s="108"/>
      <c r="K92" s="108"/>
      <c r="L92" s="108"/>
      <c r="M92" s="108" t="s">
        <v>287</v>
      </c>
      <c r="N92" s="108"/>
      <c r="O92" s="108"/>
      <c r="P92" s="108"/>
      <c r="W92" s="172"/>
      <c r="X92" s="154"/>
      <c r="Y92" s="155"/>
      <c r="Z92" s="155"/>
      <c r="AA92" s="69"/>
    </row>
    <row r="93" spans="1:27" s="70" customFormat="1" x14ac:dyDescent="0.2">
      <c r="C93" s="71"/>
      <c r="D93" s="71"/>
      <c r="E93" s="72"/>
      <c r="H93" s="92"/>
      <c r="I93" s="108"/>
      <c r="J93" s="108"/>
      <c r="K93" s="108"/>
      <c r="L93" s="108"/>
      <c r="M93" s="119"/>
      <c r="N93" s="108"/>
      <c r="O93" s="108"/>
      <c r="P93" s="108"/>
      <c r="W93" s="172"/>
      <c r="X93" s="154">
        <f>1</f>
        <v>1</v>
      </c>
      <c r="Y93" s="155" t="str">
        <f t="shared" ref="Y93:Y123" si="10">IF(W93&lt;&gt;"",W93*X93,"")</f>
        <v/>
      </c>
      <c r="Z93" s="155" t="str">
        <f t="shared" ref="Z93:Z124" si="11">IF(AND(W93&lt;&gt;"",U93="yes"),W93*X93,"")</f>
        <v/>
      </c>
      <c r="AA93" s="69"/>
    </row>
    <row r="94" spans="1:27" ht="64" customHeight="1" x14ac:dyDescent="0.2">
      <c r="A94" s="73" t="s">
        <v>250</v>
      </c>
      <c r="B94" s="73" t="s">
        <v>289</v>
      </c>
      <c r="C94" s="74" t="s">
        <v>2293</v>
      </c>
      <c r="D94" s="195" t="s">
        <v>2301</v>
      </c>
      <c r="E94" s="86"/>
      <c r="F94" s="301" t="s">
        <v>252</v>
      </c>
      <c r="G94" s="301" t="s">
        <v>253</v>
      </c>
      <c r="H94" s="88"/>
      <c r="I94" s="109" t="s">
        <v>38</v>
      </c>
      <c r="J94" s="109"/>
      <c r="K94" s="109"/>
      <c r="L94" s="109"/>
      <c r="M94" s="109" t="s">
        <v>287</v>
      </c>
      <c r="N94" s="109"/>
      <c r="O94" s="109"/>
      <c r="P94" s="109"/>
      <c r="U94" s="41" t="s">
        <v>40</v>
      </c>
      <c r="W94" s="172">
        <v>16.348396301269531</v>
      </c>
      <c r="X94" s="154">
        <f>1</f>
        <v>1</v>
      </c>
      <c r="Y94" s="155">
        <f t="shared" si="10"/>
        <v>16.348396301269531</v>
      </c>
      <c r="Z94" s="155">
        <f t="shared" si="11"/>
        <v>16.348396301269531</v>
      </c>
    </row>
    <row r="95" spans="1:27" s="70" customFormat="1" x14ac:dyDescent="0.2">
      <c r="C95" s="71"/>
      <c r="D95" s="71"/>
      <c r="E95" s="72"/>
      <c r="H95" s="76"/>
      <c r="I95" s="108"/>
      <c r="J95" s="108"/>
      <c r="K95" s="108"/>
      <c r="L95" s="108"/>
      <c r="M95" s="108"/>
      <c r="N95" s="108"/>
      <c r="O95" s="108"/>
      <c r="P95" s="108"/>
      <c r="W95" s="172"/>
      <c r="X95" s="154">
        <f>1</f>
        <v>1</v>
      </c>
      <c r="Y95" s="155" t="str">
        <f t="shared" si="10"/>
        <v/>
      </c>
      <c r="Z95" s="155" t="str">
        <f t="shared" si="11"/>
        <v/>
      </c>
      <c r="AA95" s="69"/>
    </row>
    <row r="96" spans="1:27" ht="48" customHeight="1" x14ac:dyDescent="0.2">
      <c r="A96" s="73" t="s">
        <v>290</v>
      </c>
      <c r="B96" s="73" t="s">
        <v>291</v>
      </c>
      <c r="C96" s="74" t="s">
        <v>292</v>
      </c>
      <c r="D96" s="195" t="s">
        <v>293</v>
      </c>
      <c r="E96" s="86"/>
      <c r="F96" s="73" t="s">
        <v>294</v>
      </c>
      <c r="G96" s="73" t="s">
        <v>295</v>
      </c>
      <c r="H96" s="88"/>
      <c r="I96" s="109" t="s">
        <v>38</v>
      </c>
      <c r="J96" s="109"/>
      <c r="K96" s="109" t="s">
        <v>296</v>
      </c>
      <c r="L96" s="109"/>
      <c r="M96" s="109"/>
      <c r="N96" s="109"/>
      <c r="O96" s="109"/>
      <c r="P96" s="109"/>
      <c r="U96" s="41" t="s">
        <v>40</v>
      </c>
      <c r="W96" s="172">
        <v>46.247528076171882</v>
      </c>
      <c r="X96" s="154">
        <f>1</f>
        <v>1</v>
      </c>
      <c r="Y96" s="155">
        <f t="shared" si="10"/>
        <v>46.247528076171882</v>
      </c>
      <c r="Z96" s="155">
        <f t="shared" si="11"/>
        <v>46.247528076171882</v>
      </c>
    </row>
    <row r="97" spans="1:27" x14ac:dyDescent="0.2">
      <c r="D97" s="41"/>
      <c r="E97" s="77"/>
      <c r="H97" s="78"/>
      <c r="W97" s="172"/>
      <c r="X97" s="154">
        <f>1</f>
        <v>1</v>
      </c>
      <c r="Y97" s="155" t="str">
        <f t="shared" si="10"/>
        <v/>
      </c>
      <c r="Z97" s="155" t="str">
        <f t="shared" si="11"/>
        <v/>
      </c>
    </row>
    <row r="98" spans="1:27" s="70" customFormat="1" x14ac:dyDescent="0.2">
      <c r="C98" s="71"/>
      <c r="D98" s="71"/>
      <c r="E98" s="72"/>
      <c r="H98" s="76"/>
      <c r="I98" s="108"/>
      <c r="J98" s="108"/>
      <c r="K98" s="112"/>
      <c r="L98" s="108"/>
      <c r="M98" s="108"/>
      <c r="N98" s="108"/>
      <c r="O98" s="108"/>
      <c r="P98" s="108"/>
      <c r="W98" s="172"/>
      <c r="X98" s="154">
        <f>1</f>
        <v>1</v>
      </c>
      <c r="Y98" s="155" t="str">
        <f t="shared" si="10"/>
        <v/>
      </c>
      <c r="Z98" s="155" t="str">
        <f t="shared" si="11"/>
        <v/>
      </c>
      <c r="AA98" s="69"/>
    </row>
    <row r="99" spans="1:27" ht="16" customHeight="1" thickBot="1" x14ac:dyDescent="0.25">
      <c r="A99" s="84" t="s">
        <v>95</v>
      </c>
      <c r="B99" s="84"/>
      <c r="C99" s="85"/>
      <c r="D99" s="85"/>
      <c r="E99" s="79"/>
      <c r="F99" s="84"/>
      <c r="G99" s="84"/>
      <c r="H99" s="80"/>
      <c r="I99" s="115"/>
      <c r="J99" s="115"/>
      <c r="K99" s="115"/>
      <c r="L99" s="115"/>
      <c r="M99" s="115"/>
      <c r="N99" s="115"/>
      <c r="O99" s="115"/>
      <c r="P99" s="115"/>
      <c r="W99" s="172"/>
      <c r="X99" s="69"/>
      <c r="Y99" s="155" t="str">
        <f t="shared" si="10"/>
        <v/>
      </c>
      <c r="Z99" s="155" t="str">
        <f t="shared" si="11"/>
        <v/>
      </c>
    </row>
    <row r="100" spans="1:27" s="66" customFormat="1" ht="17" customHeight="1" thickTop="1" x14ac:dyDescent="0.2">
      <c r="A100" s="63" t="s">
        <v>64</v>
      </c>
      <c r="B100" s="63" t="s">
        <v>297</v>
      </c>
      <c r="C100" s="81" t="s">
        <v>298</v>
      </c>
      <c r="D100" s="197" t="s">
        <v>299</v>
      </c>
      <c r="E100" s="64"/>
      <c r="F100" s="63"/>
      <c r="G100" s="63"/>
      <c r="H100" s="65"/>
      <c r="I100" s="110" t="s">
        <v>73</v>
      </c>
      <c r="J100" s="110"/>
      <c r="K100" s="110"/>
      <c r="L100" s="110"/>
      <c r="M100" s="110" t="s">
        <v>300</v>
      </c>
      <c r="N100" s="110"/>
      <c r="O100" s="110"/>
      <c r="P100" s="110"/>
      <c r="U100" s="41" t="s">
        <v>40</v>
      </c>
      <c r="W100" s="172"/>
      <c r="X100" s="67"/>
      <c r="Y100" s="155" t="str">
        <f t="shared" si="10"/>
        <v/>
      </c>
      <c r="Z100" s="155" t="str">
        <f t="shared" si="11"/>
        <v/>
      </c>
      <c r="AA100" s="67"/>
    </row>
    <row r="101" spans="1:27" s="42" customFormat="1" ht="64" customHeight="1" x14ac:dyDescent="0.2">
      <c r="A101" s="40" t="s">
        <v>67</v>
      </c>
      <c r="B101" s="40" t="s">
        <v>301</v>
      </c>
      <c r="C101" s="40" t="s">
        <v>302</v>
      </c>
      <c r="D101" s="195" t="s">
        <v>303</v>
      </c>
      <c r="E101" s="77"/>
      <c r="F101" s="40"/>
      <c r="G101" s="40"/>
      <c r="H101" s="77"/>
      <c r="I101" s="39"/>
      <c r="J101" s="39"/>
      <c r="K101" s="39"/>
      <c r="L101" s="39"/>
      <c r="M101" s="39"/>
      <c r="N101" s="39"/>
      <c r="O101" s="39"/>
      <c r="P101" s="39"/>
      <c r="U101" s="42" t="s">
        <v>40</v>
      </c>
      <c r="W101" s="175">
        <v>7.5</v>
      </c>
      <c r="X101" s="157">
        <f>'Additional information'!$D$18</f>
        <v>0.91</v>
      </c>
      <c r="Y101" s="156">
        <f t="shared" si="10"/>
        <v>6.8250000000000002</v>
      </c>
      <c r="Z101" s="156">
        <f t="shared" si="11"/>
        <v>6.8250000000000002</v>
      </c>
      <c r="AA101" s="43"/>
    </row>
    <row r="102" spans="1:27" x14ac:dyDescent="0.2">
      <c r="D102" s="196"/>
      <c r="E102" s="77"/>
      <c r="H102" s="78"/>
      <c r="W102" s="172"/>
      <c r="X102" s="154">
        <f>'Additional information'!$D$18</f>
        <v>0.91</v>
      </c>
      <c r="Y102" s="155" t="str">
        <f t="shared" si="10"/>
        <v/>
      </c>
      <c r="Z102" s="155" t="str">
        <f t="shared" si="11"/>
        <v/>
      </c>
    </row>
    <row r="103" spans="1:27" s="69" customFormat="1" ht="16" customHeight="1" x14ac:dyDescent="0.2">
      <c r="A103" s="73" t="s">
        <v>304</v>
      </c>
      <c r="B103" s="73" t="s">
        <v>305</v>
      </c>
      <c r="C103" s="74" t="s">
        <v>306</v>
      </c>
      <c r="D103" s="258" t="s">
        <v>307</v>
      </c>
      <c r="E103" s="86"/>
      <c r="F103" s="73" t="s">
        <v>308</v>
      </c>
      <c r="G103" s="73" t="s">
        <v>309</v>
      </c>
      <c r="H103" s="88"/>
      <c r="I103" s="109" t="s">
        <v>38</v>
      </c>
      <c r="J103" s="109"/>
      <c r="K103" s="109" t="s">
        <v>310</v>
      </c>
      <c r="L103" s="109"/>
      <c r="M103" s="109"/>
      <c r="N103" s="109"/>
      <c r="O103" s="109"/>
      <c r="P103" s="109"/>
      <c r="U103" s="69" t="s">
        <v>40</v>
      </c>
      <c r="W103" s="172">
        <v>17</v>
      </c>
      <c r="X103" s="154">
        <f>'Additional information'!$D$18</f>
        <v>0.91</v>
      </c>
      <c r="Y103" s="155">
        <f t="shared" si="10"/>
        <v>15.47</v>
      </c>
      <c r="Z103" s="155">
        <f t="shared" si="11"/>
        <v>15.47</v>
      </c>
    </row>
    <row r="104" spans="1:27" s="69" customFormat="1" ht="16" customHeight="1" x14ac:dyDescent="0.2">
      <c r="A104" s="73" t="s">
        <v>311</v>
      </c>
      <c r="B104" s="73" t="s">
        <v>312</v>
      </c>
      <c r="C104" s="74" t="s">
        <v>313</v>
      </c>
      <c r="D104" s="195" t="s">
        <v>314</v>
      </c>
      <c r="E104" s="86"/>
      <c r="F104" s="73" t="s">
        <v>315</v>
      </c>
      <c r="G104" s="198" t="s">
        <v>316</v>
      </c>
      <c r="H104" s="88"/>
      <c r="I104" s="109" t="s">
        <v>38</v>
      </c>
      <c r="J104" s="109"/>
      <c r="K104" s="109"/>
      <c r="L104" s="109"/>
      <c r="M104" s="109" t="s">
        <v>317</v>
      </c>
      <c r="N104" s="109"/>
      <c r="O104" s="109"/>
      <c r="P104" s="109"/>
      <c r="U104" s="69" t="s">
        <v>40</v>
      </c>
      <c r="W104" s="172">
        <v>0</v>
      </c>
      <c r="X104" s="154">
        <f>'Additional information'!$D$18</f>
        <v>0.91</v>
      </c>
      <c r="Y104" s="155">
        <f t="shared" si="10"/>
        <v>0</v>
      </c>
      <c r="Z104" s="155">
        <f t="shared" si="11"/>
        <v>0</v>
      </c>
    </row>
    <row r="105" spans="1:27" s="66" customFormat="1" x14ac:dyDescent="0.2">
      <c r="C105" s="82"/>
      <c r="E105" s="64"/>
      <c r="H105" s="65"/>
      <c r="I105" s="111"/>
      <c r="J105" s="111"/>
      <c r="K105" s="111"/>
      <c r="L105" s="111"/>
      <c r="M105" s="111"/>
      <c r="N105" s="111"/>
      <c r="O105" s="111"/>
      <c r="P105" s="111"/>
      <c r="U105" s="41"/>
      <c r="W105" s="172"/>
      <c r="X105" s="154">
        <f>'Additional information'!$D$18</f>
        <v>0.91</v>
      </c>
      <c r="Y105" s="155" t="str">
        <f t="shared" si="10"/>
        <v/>
      </c>
      <c r="Z105" s="155" t="str">
        <f t="shared" si="11"/>
        <v/>
      </c>
      <c r="AA105" s="67"/>
    </row>
    <row r="106" spans="1:27" ht="32" customHeight="1" x14ac:dyDescent="0.2">
      <c r="A106" s="68" t="s">
        <v>318</v>
      </c>
      <c r="B106" s="68" t="s">
        <v>319</v>
      </c>
      <c r="C106" s="40" t="s">
        <v>320</v>
      </c>
      <c r="D106" s="258" t="s">
        <v>321</v>
      </c>
      <c r="E106" s="77"/>
      <c r="F106" s="68" t="s">
        <v>322</v>
      </c>
      <c r="G106" s="40" t="s">
        <v>323</v>
      </c>
      <c r="H106" s="78"/>
      <c r="I106" s="107" t="s">
        <v>38</v>
      </c>
      <c r="J106" s="107" t="s">
        <v>134</v>
      </c>
      <c r="K106" s="107"/>
      <c r="L106" s="107"/>
      <c r="M106" s="107"/>
      <c r="N106" s="107"/>
      <c r="O106" s="107"/>
      <c r="P106" s="107"/>
      <c r="U106" s="41" t="s">
        <v>40</v>
      </c>
      <c r="W106" s="172">
        <v>27.057552337646481</v>
      </c>
      <c r="X106" s="154">
        <f>'Additional information'!$D$18</f>
        <v>0.91</v>
      </c>
      <c r="Y106" s="155">
        <f t="shared" si="10"/>
        <v>24.622372627258297</v>
      </c>
      <c r="Z106" s="155">
        <f t="shared" si="11"/>
        <v>24.622372627258297</v>
      </c>
    </row>
    <row r="107" spans="1:27" x14ac:dyDescent="0.2">
      <c r="A107" s="68" t="s">
        <v>26</v>
      </c>
      <c r="B107" s="68" t="s">
        <v>324</v>
      </c>
      <c r="C107" s="40"/>
      <c r="D107" s="68"/>
      <c r="E107" s="77"/>
      <c r="H107" s="78"/>
      <c r="I107" s="107"/>
      <c r="J107" s="107"/>
      <c r="K107" s="107"/>
      <c r="L107" s="107"/>
      <c r="M107" s="107"/>
      <c r="N107" s="107"/>
      <c r="O107" s="107"/>
      <c r="P107" s="107" t="s">
        <v>325</v>
      </c>
      <c r="U107" s="41" t="s">
        <v>40</v>
      </c>
      <c r="W107" s="172"/>
      <c r="X107" s="154">
        <f>'Additional information'!$D$18</f>
        <v>0.91</v>
      </c>
      <c r="Y107" s="155" t="str">
        <f t="shared" si="10"/>
        <v/>
      </c>
      <c r="Z107" s="155" t="str">
        <f t="shared" si="11"/>
        <v/>
      </c>
    </row>
    <row r="108" spans="1:27" ht="16" customHeight="1" x14ac:dyDescent="0.2">
      <c r="A108" s="68" t="s">
        <v>326</v>
      </c>
      <c r="B108" s="68" t="s">
        <v>327</v>
      </c>
      <c r="C108" s="40" t="s">
        <v>328</v>
      </c>
      <c r="D108" s="195" t="s">
        <v>329</v>
      </c>
      <c r="E108" s="77"/>
      <c r="H108" s="78"/>
      <c r="I108" s="107" t="s">
        <v>38</v>
      </c>
      <c r="J108" s="107"/>
      <c r="K108" s="107"/>
      <c r="L108" s="107"/>
      <c r="M108" s="107" t="s">
        <v>330</v>
      </c>
      <c r="N108" s="107"/>
      <c r="O108" s="107"/>
      <c r="P108" s="107"/>
      <c r="U108" s="41" t="s">
        <v>40</v>
      </c>
      <c r="W108" s="172">
        <v>0</v>
      </c>
      <c r="X108" s="154">
        <f>'Additional information'!$D$18</f>
        <v>0.91</v>
      </c>
      <c r="Y108" s="155">
        <f t="shared" si="10"/>
        <v>0</v>
      </c>
      <c r="Z108" s="155">
        <f t="shared" si="11"/>
        <v>0</v>
      </c>
    </row>
    <row r="109" spans="1:27" s="69" customFormat="1" x14ac:dyDescent="0.2">
      <c r="C109" s="43"/>
      <c r="D109" s="196"/>
      <c r="E109" s="86"/>
      <c r="H109" s="88"/>
      <c r="I109" s="116"/>
      <c r="J109" s="116"/>
      <c r="K109" s="116"/>
      <c r="L109" s="116"/>
      <c r="M109" s="116"/>
      <c r="N109" s="116"/>
      <c r="O109" s="116"/>
      <c r="P109" s="116"/>
      <c r="W109" s="172"/>
      <c r="X109" s="154">
        <f>'Additional information'!$D$18</f>
        <v>0.91</v>
      </c>
      <c r="Y109" s="155" t="str">
        <f t="shared" si="10"/>
        <v/>
      </c>
      <c r="Z109" s="155" t="str">
        <f t="shared" si="11"/>
        <v/>
      </c>
    </row>
    <row r="110" spans="1:27" ht="31.75" customHeight="1" x14ac:dyDescent="0.2">
      <c r="A110" s="68" t="s">
        <v>331</v>
      </c>
      <c r="B110" s="68" t="s">
        <v>332</v>
      </c>
      <c r="C110" s="68" t="s">
        <v>333</v>
      </c>
      <c r="D110" s="258" t="s">
        <v>334</v>
      </c>
      <c r="E110" s="78"/>
      <c r="H110" s="78"/>
      <c r="I110" s="107" t="s">
        <v>38</v>
      </c>
      <c r="J110" s="107"/>
      <c r="K110" s="107"/>
      <c r="L110" s="107"/>
      <c r="M110" s="107" t="s">
        <v>335</v>
      </c>
      <c r="N110" s="107"/>
      <c r="O110" s="107"/>
      <c r="P110" s="107"/>
      <c r="U110" s="41" t="s">
        <v>40</v>
      </c>
      <c r="W110" s="172">
        <v>15.95429515838623</v>
      </c>
      <c r="X110" s="154">
        <f>'Additional information'!$D$18</f>
        <v>0.91</v>
      </c>
      <c r="Y110" s="155">
        <f t="shared" si="10"/>
        <v>14.51840859413147</v>
      </c>
      <c r="Z110" s="155">
        <f t="shared" si="11"/>
        <v>14.51840859413147</v>
      </c>
    </row>
    <row r="111" spans="1:27" ht="15.75" customHeight="1" x14ac:dyDescent="0.2">
      <c r="A111" s="68" t="s">
        <v>32</v>
      </c>
      <c r="B111" s="68" t="s">
        <v>336</v>
      </c>
      <c r="C111" s="74" t="s">
        <v>34</v>
      </c>
      <c r="D111" s="43" t="s">
        <v>214</v>
      </c>
      <c r="E111" s="86"/>
      <c r="F111" s="69" t="s">
        <v>215</v>
      </c>
      <c r="G111" s="69" t="s">
        <v>337</v>
      </c>
      <c r="H111" s="78"/>
      <c r="I111" s="107" t="s">
        <v>38</v>
      </c>
      <c r="J111" s="107"/>
      <c r="K111" s="107"/>
      <c r="L111" s="107"/>
      <c r="M111" s="107" t="s">
        <v>338</v>
      </c>
      <c r="N111" s="107"/>
      <c r="O111" s="107"/>
      <c r="P111" s="107"/>
      <c r="U111" s="41" t="s">
        <v>40</v>
      </c>
      <c r="W111" s="172"/>
      <c r="X111" s="154">
        <f>'Additional information'!$D$18</f>
        <v>0.91</v>
      </c>
      <c r="Y111" s="155" t="str">
        <f t="shared" si="10"/>
        <v/>
      </c>
      <c r="Z111" s="155" t="str">
        <f t="shared" si="11"/>
        <v/>
      </c>
    </row>
    <row r="112" spans="1:27" s="70" customFormat="1" ht="15.75" customHeight="1" x14ac:dyDescent="0.2">
      <c r="C112" s="71"/>
      <c r="E112" s="72"/>
      <c r="H112" s="76"/>
      <c r="I112" s="108"/>
      <c r="J112" s="108"/>
      <c r="K112" s="108"/>
      <c r="L112" s="108"/>
      <c r="M112" s="108"/>
      <c r="N112" s="108"/>
      <c r="O112" s="108"/>
      <c r="P112" s="108"/>
      <c r="W112" s="172"/>
      <c r="X112" s="154">
        <f>'Additional information'!$D$18</f>
        <v>0.91</v>
      </c>
      <c r="Y112" s="155" t="str">
        <f t="shared" si="10"/>
        <v/>
      </c>
      <c r="Z112" s="155" t="str">
        <f t="shared" si="11"/>
        <v/>
      </c>
      <c r="AA112" s="69"/>
    </row>
    <row r="113" spans="1:27" s="70" customFormat="1" ht="16" customHeight="1" x14ac:dyDescent="0.2">
      <c r="A113" s="70" t="s">
        <v>339</v>
      </c>
      <c r="B113" s="70" t="s">
        <v>340</v>
      </c>
      <c r="C113" s="71" t="s">
        <v>341</v>
      </c>
      <c r="D113" s="264" t="s">
        <v>342</v>
      </c>
      <c r="E113" s="72"/>
      <c r="F113" s="70" t="s">
        <v>343</v>
      </c>
      <c r="G113" s="70" t="s">
        <v>344</v>
      </c>
      <c r="H113" s="76"/>
      <c r="I113" s="108" t="s">
        <v>38</v>
      </c>
      <c r="J113" s="108"/>
      <c r="K113" s="108" t="s">
        <v>345</v>
      </c>
      <c r="L113" s="108"/>
      <c r="M113" s="108" t="s">
        <v>335</v>
      </c>
      <c r="N113" s="108"/>
      <c r="O113" s="108"/>
      <c r="P113" s="108"/>
      <c r="U113" s="70" t="s">
        <v>74</v>
      </c>
      <c r="W113" s="172">
        <v>17.928909301757809</v>
      </c>
      <c r="X113" s="154">
        <f>'Additional information'!$D$18</f>
        <v>0.91</v>
      </c>
      <c r="Y113" s="155">
        <f t="shared" si="10"/>
        <v>16.315307464599606</v>
      </c>
      <c r="Z113" s="155" t="str">
        <f t="shared" si="11"/>
        <v/>
      </c>
      <c r="AA113" s="69"/>
    </row>
    <row r="114" spans="1:27" s="70" customFormat="1" x14ac:dyDescent="0.2">
      <c r="C114" s="71"/>
      <c r="E114" s="72"/>
      <c r="G114" s="41"/>
      <c r="H114" s="76"/>
      <c r="I114" s="108"/>
      <c r="J114" s="108"/>
      <c r="K114" s="108"/>
      <c r="L114" s="108"/>
      <c r="M114" s="108"/>
      <c r="N114" s="108"/>
      <c r="O114" s="108"/>
      <c r="P114" s="108"/>
      <c r="W114" s="172"/>
      <c r="X114" s="154">
        <f>'Additional information'!$D$18</f>
        <v>0.91</v>
      </c>
      <c r="Y114" s="155" t="str">
        <f t="shared" si="10"/>
        <v/>
      </c>
      <c r="Z114" s="155" t="str">
        <f t="shared" si="11"/>
        <v/>
      </c>
      <c r="AA114" s="69"/>
    </row>
    <row r="115" spans="1:27" ht="32" customHeight="1" x14ac:dyDescent="0.2">
      <c r="A115" s="68" t="s">
        <v>250</v>
      </c>
      <c r="B115" s="68" t="s">
        <v>346</v>
      </c>
      <c r="C115" s="40" t="s">
        <v>2294</v>
      </c>
      <c r="D115" s="258" t="s">
        <v>2302</v>
      </c>
      <c r="E115" s="77"/>
      <c r="F115" s="68"/>
      <c r="H115" s="78"/>
      <c r="I115" s="107" t="s">
        <v>38</v>
      </c>
      <c r="J115" s="107"/>
      <c r="K115" s="107"/>
      <c r="L115" s="107"/>
      <c r="M115" s="109" t="s">
        <v>335</v>
      </c>
      <c r="N115" s="107"/>
      <c r="O115" s="107"/>
      <c r="P115" s="107"/>
      <c r="U115" s="41" t="s">
        <v>40</v>
      </c>
      <c r="W115" s="172">
        <v>25.436874389648441</v>
      </c>
      <c r="X115" s="154">
        <f>'Additional information'!$D$18</f>
        <v>0.91</v>
      </c>
      <c r="Y115" s="155">
        <f t="shared" si="10"/>
        <v>23.147555694580081</v>
      </c>
      <c r="Z115" s="155">
        <f t="shared" si="11"/>
        <v>23.147555694580081</v>
      </c>
    </row>
    <row r="116" spans="1:27" x14ac:dyDescent="0.2">
      <c r="D116" s="196"/>
      <c r="E116" s="77"/>
      <c r="H116" s="78"/>
      <c r="M116" s="116"/>
      <c r="W116" s="172"/>
      <c r="X116" s="154">
        <f>'Additional information'!$D$18</f>
        <v>0.91</v>
      </c>
      <c r="Y116" s="155" t="str">
        <f t="shared" si="10"/>
        <v/>
      </c>
      <c r="Z116" s="155" t="str">
        <f t="shared" si="11"/>
        <v/>
      </c>
    </row>
    <row r="117" spans="1:27" ht="32" customHeight="1" x14ac:dyDescent="0.2">
      <c r="A117" s="68" t="s">
        <v>250</v>
      </c>
      <c r="B117" s="68" t="s">
        <v>347</v>
      </c>
      <c r="C117" s="40" t="s">
        <v>2295</v>
      </c>
      <c r="D117" s="288" t="s">
        <v>2303</v>
      </c>
      <c r="E117" s="77"/>
      <c r="G117" s="70"/>
      <c r="H117" s="78"/>
      <c r="I117" s="107" t="s">
        <v>38</v>
      </c>
      <c r="J117" s="107"/>
      <c r="K117" s="107"/>
      <c r="L117" s="107"/>
      <c r="M117" s="109" t="s">
        <v>335</v>
      </c>
      <c r="N117" s="107"/>
      <c r="O117" s="107"/>
      <c r="P117" s="107"/>
      <c r="U117" s="41" t="s">
        <v>40</v>
      </c>
      <c r="W117" s="172">
        <v>19.364946365356449</v>
      </c>
      <c r="X117" s="154">
        <f>'Additional information'!$D$18</f>
        <v>0.91</v>
      </c>
      <c r="Y117" s="155">
        <f t="shared" si="10"/>
        <v>17.622101192474368</v>
      </c>
      <c r="Z117" s="155">
        <f t="shared" si="11"/>
        <v>17.622101192474368</v>
      </c>
    </row>
    <row r="118" spans="1:27" s="70" customFormat="1" x14ac:dyDescent="0.2">
      <c r="C118" s="71"/>
      <c r="E118" s="72"/>
      <c r="G118" s="41"/>
      <c r="H118" s="76"/>
      <c r="I118" s="108"/>
      <c r="J118" s="108"/>
      <c r="K118" s="108"/>
      <c r="L118" s="108"/>
      <c r="M118" s="108"/>
      <c r="N118" s="108"/>
      <c r="O118" s="108"/>
      <c r="P118" s="108"/>
      <c r="W118" s="172"/>
      <c r="X118" s="154">
        <f>'Additional information'!$D$18</f>
        <v>0.91</v>
      </c>
      <c r="Y118" s="155" t="str">
        <f t="shared" si="10"/>
        <v/>
      </c>
      <c r="Z118" s="155" t="str">
        <f t="shared" si="11"/>
        <v/>
      </c>
      <c r="AA118" s="69"/>
    </row>
    <row r="119" spans="1:27" ht="32" customHeight="1" x14ac:dyDescent="0.2">
      <c r="A119" s="68" t="s">
        <v>157</v>
      </c>
      <c r="B119" s="68" t="s">
        <v>348</v>
      </c>
      <c r="C119" s="40" t="s">
        <v>349</v>
      </c>
      <c r="D119" s="288" t="s">
        <v>350</v>
      </c>
      <c r="E119" s="77"/>
      <c r="H119" s="78"/>
      <c r="I119" s="107" t="s">
        <v>38</v>
      </c>
      <c r="J119" s="107"/>
      <c r="K119" s="107"/>
      <c r="L119" s="107"/>
      <c r="M119" s="109" t="s">
        <v>351</v>
      </c>
      <c r="N119" s="107"/>
      <c r="O119" s="107"/>
      <c r="P119" s="107"/>
      <c r="U119" s="41" t="s">
        <v>40</v>
      </c>
      <c r="W119" s="172">
        <v>13.458864212036129</v>
      </c>
      <c r="X119" s="154">
        <f>'Additional information'!$D$18</f>
        <v>0.91</v>
      </c>
      <c r="Y119" s="155">
        <f t="shared" si="10"/>
        <v>12.247566432952878</v>
      </c>
      <c r="Z119" s="155">
        <f t="shared" si="11"/>
        <v>12.247566432952878</v>
      </c>
    </row>
    <row r="120" spans="1:27" ht="16" customHeight="1" x14ac:dyDescent="0.2">
      <c r="A120" s="68" t="s">
        <v>352</v>
      </c>
      <c r="B120" s="68" t="s">
        <v>353</v>
      </c>
      <c r="C120" s="40" t="s">
        <v>354</v>
      </c>
      <c r="D120" s="258" t="s">
        <v>355</v>
      </c>
      <c r="E120" s="77"/>
      <c r="F120" s="41" t="s">
        <v>210</v>
      </c>
      <c r="G120" s="41" t="s">
        <v>356</v>
      </c>
      <c r="H120" s="78"/>
      <c r="I120" s="107" t="s">
        <v>38</v>
      </c>
      <c r="J120" s="107"/>
      <c r="K120" s="109" t="s">
        <v>345</v>
      </c>
      <c r="L120" s="107"/>
      <c r="M120" s="109" t="s">
        <v>357</v>
      </c>
      <c r="N120" s="107"/>
      <c r="O120" s="107"/>
      <c r="P120" s="107"/>
      <c r="U120" s="41" t="s">
        <v>40</v>
      </c>
      <c r="W120" s="172">
        <v>37.523288726806641</v>
      </c>
      <c r="X120" s="154">
        <f>'Additional information'!$D$18</f>
        <v>0.91</v>
      </c>
      <c r="Y120" s="155">
        <f t="shared" si="10"/>
        <v>34.146192741394046</v>
      </c>
      <c r="Z120" s="155">
        <f t="shared" si="11"/>
        <v>34.146192741394046</v>
      </c>
    </row>
    <row r="121" spans="1:27" x14ac:dyDescent="0.2">
      <c r="D121" s="41"/>
      <c r="E121" s="77"/>
      <c r="G121" s="70"/>
      <c r="H121" s="78"/>
      <c r="M121" s="116"/>
      <c r="W121" s="172"/>
      <c r="X121" s="154">
        <f>'Additional information'!$D$18</f>
        <v>0.91</v>
      </c>
      <c r="Y121" s="155" t="str">
        <f t="shared" si="10"/>
        <v/>
      </c>
      <c r="Z121" s="155" t="str">
        <f t="shared" si="11"/>
        <v/>
      </c>
    </row>
    <row r="122" spans="1:27" s="70" customFormat="1" ht="32" customHeight="1" x14ac:dyDescent="0.2">
      <c r="A122" s="70" t="s">
        <v>358</v>
      </c>
      <c r="B122" s="70" t="s">
        <v>359</v>
      </c>
      <c r="C122" s="71" t="s">
        <v>360</v>
      </c>
      <c r="D122" s="266" t="s">
        <v>361</v>
      </c>
      <c r="E122" s="72"/>
      <c r="H122" s="76"/>
      <c r="I122" s="108" t="s">
        <v>38</v>
      </c>
      <c r="J122" s="108"/>
      <c r="K122" s="108"/>
      <c r="L122" s="108"/>
      <c r="M122" s="108" t="s">
        <v>362</v>
      </c>
      <c r="N122" s="108"/>
      <c r="O122" s="108"/>
      <c r="P122" s="108"/>
      <c r="U122" s="70" t="s">
        <v>74</v>
      </c>
      <c r="W122" s="172">
        <v>17</v>
      </c>
      <c r="X122" s="154">
        <f>'Additional information'!$D$18</f>
        <v>0.91</v>
      </c>
      <c r="Y122" s="155">
        <f t="shared" si="10"/>
        <v>15.47</v>
      </c>
      <c r="Z122" s="155" t="str">
        <f t="shared" si="11"/>
        <v/>
      </c>
      <c r="AA122" s="69"/>
    </row>
    <row r="123" spans="1:27" s="70" customFormat="1" ht="16" customHeight="1" x14ac:dyDescent="0.2">
      <c r="A123" s="70" t="s">
        <v>363</v>
      </c>
      <c r="B123" s="70" t="s">
        <v>364</v>
      </c>
      <c r="C123" s="71" t="s">
        <v>365</v>
      </c>
      <c r="D123" s="263" t="s">
        <v>366</v>
      </c>
      <c r="E123" s="72"/>
      <c r="F123" s="70" t="s">
        <v>367</v>
      </c>
      <c r="G123" s="70" t="s">
        <v>368</v>
      </c>
      <c r="H123" s="76"/>
      <c r="I123" s="108" t="s">
        <v>38</v>
      </c>
      <c r="J123" s="108" t="s">
        <v>134</v>
      </c>
      <c r="K123" s="108" t="s">
        <v>369</v>
      </c>
      <c r="L123" s="108"/>
      <c r="M123" s="108" t="s">
        <v>362</v>
      </c>
      <c r="N123" s="108" t="s">
        <v>370</v>
      </c>
      <c r="O123" s="112"/>
      <c r="P123" s="112"/>
      <c r="Q123" s="41"/>
      <c r="U123" s="70" t="s">
        <v>74</v>
      </c>
      <c r="W123" s="172">
        <v>17</v>
      </c>
      <c r="X123" s="154">
        <f>'Additional information'!$D$18</f>
        <v>0.91</v>
      </c>
      <c r="Y123" s="155">
        <f t="shared" si="10"/>
        <v>15.47</v>
      </c>
      <c r="Z123" s="155" t="str">
        <f t="shared" si="11"/>
        <v/>
      </c>
      <c r="AA123" s="69"/>
    </row>
    <row r="124" spans="1:27" s="303" customFormat="1" ht="16" customHeight="1" x14ac:dyDescent="0.2">
      <c r="A124" s="303" t="s">
        <v>157</v>
      </c>
      <c r="B124" s="303" t="s">
        <v>371</v>
      </c>
      <c r="C124" s="338" t="s">
        <v>372</v>
      </c>
      <c r="D124" s="301" t="s">
        <v>373</v>
      </c>
      <c r="E124" s="72"/>
      <c r="F124" s="338" t="s">
        <v>374</v>
      </c>
      <c r="G124" s="300" t="s">
        <v>162</v>
      </c>
      <c r="H124" s="76"/>
      <c r="I124" s="334" t="s">
        <v>38</v>
      </c>
      <c r="J124" s="334"/>
      <c r="K124" s="334"/>
      <c r="L124" s="334"/>
      <c r="M124" s="302" t="s">
        <v>362</v>
      </c>
      <c r="N124" s="334"/>
      <c r="O124" s="334"/>
      <c r="P124" s="334"/>
      <c r="W124" s="189"/>
      <c r="X124" s="190">
        <f>'[1]Additional information'!$D$18</f>
        <v>0.91</v>
      </c>
      <c r="Y124" s="191">
        <v>15.5</v>
      </c>
      <c r="Z124" s="191" t="str">
        <f t="shared" si="11"/>
        <v/>
      </c>
      <c r="AA124" s="300"/>
    </row>
    <row r="125" spans="1:27" s="303" customFormat="1" ht="16" customHeight="1" x14ac:dyDescent="0.2">
      <c r="A125" s="303" t="s">
        <v>318</v>
      </c>
      <c r="B125" s="303" t="s">
        <v>375</v>
      </c>
      <c r="C125" s="338" t="s">
        <v>376</v>
      </c>
      <c r="D125" s="301" t="s">
        <v>377</v>
      </c>
      <c r="E125" s="72"/>
      <c r="F125" s="338" t="s">
        <v>374</v>
      </c>
      <c r="G125" s="300" t="s">
        <v>162</v>
      </c>
      <c r="H125" s="76"/>
      <c r="I125" s="334" t="s">
        <v>38</v>
      </c>
      <c r="J125" s="334" t="s">
        <v>134</v>
      </c>
      <c r="K125" s="303" t="s">
        <v>369</v>
      </c>
      <c r="M125" s="302" t="s">
        <v>378</v>
      </c>
      <c r="N125" s="302" t="s">
        <v>370</v>
      </c>
      <c r="O125" s="334"/>
      <c r="P125" s="334"/>
      <c r="W125" s="189"/>
      <c r="X125" s="190"/>
      <c r="Y125" s="191"/>
      <c r="Z125" s="191"/>
      <c r="AA125" s="300"/>
    </row>
    <row r="126" spans="1:27" s="303" customFormat="1" x14ac:dyDescent="0.2">
      <c r="A126" s="303" t="s">
        <v>26</v>
      </c>
      <c r="B126" s="303" t="s">
        <v>379</v>
      </c>
      <c r="C126" s="304"/>
      <c r="E126" s="72"/>
      <c r="H126" s="76"/>
      <c r="I126" s="334"/>
      <c r="K126" s="334"/>
      <c r="L126" s="334"/>
      <c r="M126" s="334"/>
      <c r="N126" s="334"/>
      <c r="O126" s="334"/>
      <c r="P126" s="334" t="s">
        <v>380</v>
      </c>
      <c r="U126" s="303" t="s">
        <v>40</v>
      </c>
      <c r="W126" s="189"/>
      <c r="X126" s="190">
        <f>'[2]Additional information'!$D$18</f>
        <v>0.91</v>
      </c>
      <c r="Y126" s="191" t="str">
        <f>IF(W126&lt;&gt;"",W126*X126,"")</f>
        <v/>
      </c>
      <c r="Z126" s="191" t="str">
        <f>IF(AND(W126&lt;&gt;"",U126="yes"),W126*X126,"")</f>
        <v/>
      </c>
      <c r="AA126" s="300"/>
    </row>
    <row r="127" spans="1:27" s="303" customFormat="1" ht="16" customHeight="1" x14ac:dyDescent="0.2">
      <c r="A127" s="303" t="s">
        <v>381</v>
      </c>
      <c r="B127" s="303" t="s">
        <v>382</v>
      </c>
      <c r="C127" s="338" t="s">
        <v>383</v>
      </c>
      <c r="D127" s="301" t="s">
        <v>384</v>
      </c>
      <c r="E127" s="72"/>
      <c r="F127" s="303" t="s">
        <v>210</v>
      </c>
      <c r="G127" s="303" t="s">
        <v>356</v>
      </c>
      <c r="H127" s="76"/>
      <c r="I127" s="334" t="s">
        <v>38</v>
      </c>
      <c r="J127" s="334"/>
      <c r="K127" s="334" t="s">
        <v>345</v>
      </c>
      <c r="L127" s="334"/>
      <c r="M127" s="302" t="s">
        <v>378</v>
      </c>
      <c r="N127" s="334"/>
      <c r="O127" s="334"/>
      <c r="P127" s="334"/>
      <c r="W127" s="189"/>
      <c r="X127" s="190"/>
      <c r="Y127" s="191"/>
      <c r="Z127" s="191"/>
      <c r="AA127" s="300"/>
    </row>
    <row r="128" spans="1:27" x14ac:dyDescent="0.2">
      <c r="E128" s="77"/>
      <c r="H128" s="78"/>
      <c r="M128" s="116"/>
      <c r="W128" s="172"/>
      <c r="Y128" s="155"/>
      <c r="Z128" s="155"/>
    </row>
    <row r="129" spans="1:27" ht="16" customHeight="1" thickBot="1" x14ac:dyDescent="0.25">
      <c r="A129" s="89" t="s">
        <v>95</v>
      </c>
      <c r="B129" s="89"/>
      <c r="C129" s="90"/>
      <c r="D129" s="90"/>
      <c r="E129" s="99"/>
      <c r="F129" s="199"/>
      <c r="G129" s="199"/>
      <c r="H129" s="100"/>
      <c r="I129" s="117"/>
      <c r="J129" s="117"/>
      <c r="K129" s="117"/>
      <c r="L129" s="117"/>
      <c r="M129" s="117"/>
      <c r="N129" s="117"/>
      <c r="O129" s="117"/>
      <c r="P129" s="117"/>
      <c r="W129" s="172"/>
      <c r="Y129" s="155" t="str">
        <f>IF(W129&lt;&gt;"",W129*X129,"")</f>
        <v/>
      </c>
      <c r="Z129" s="155" t="str">
        <f>IF(AND(W129&lt;&gt;"",U129="yes"),W129*X129,"")</f>
        <v/>
      </c>
    </row>
    <row r="130" spans="1:27" s="66" customFormat="1" ht="17" customHeight="1" thickTop="1" x14ac:dyDescent="0.2">
      <c r="A130" s="63" t="s">
        <v>64</v>
      </c>
      <c r="B130" s="63" t="s">
        <v>385</v>
      </c>
      <c r="C130" s="81" t="s">
        <v>386</v>
      </c>
      <c r="D130" s="197" t="s">
        <v>387</v>
      </c>
      <c r="E130" s="64"/>
      <c r="F130" s="63"/>
      <c r="G130" s="63"/>
      <c r="H130" s="65"/>
      <c r="I130" s="110" t="s">
        <v>73</v>
      </c>
      <c r="J130" s="110"/>
      <c r="K130" s="110"/>
      <c r="L130" s="110"/>
      <c r="M130" s="110" t="s">
        <v>388</v>
      </c>
      <c r="N130" s="110"/>
      <c r="O130" s="110"/>
      <c r="P130" s="110"/>
      <c r="U130" s="41" t="s">
        <v>40</v>
      </c>
      <c r="W130" s="172"/>
      <c r="X130" s="154"/>
      <c r="Y130" s="155" t="str">
        <f>IF(W130&lt;&gt;"",W130*X130,"")</f>
        <v/>
      </c>
      <c r="Z130" s="155" t="str">
        <f>IF(AND(W130&lt;&gt;"",U130="yes"),W130*X130,"")</f>
        <v/>
      </c>
      <c r="AA130" s="67"/>
    </row>
    <row r="131" spans="1:27" ht="16" customHeight="1" x14ac:dyDescent="0.2">
      <c r="A131" s="68" t="s">
        <v>157</v>
      </c>
      <c r="B131" s="68" t="s">
        <v>389</v>
      </c>
      <c r="C131" s="74" t="s">
        <v>390</v>
      </c>
      <c r="D131" s="40" t="s">
        <v>391</v>
      </c>
      <c r="E131" s="77"/>
      <c r="H131" s="78"/>
      <c r="I131" s="109" t="s">
        <v>38</v>
      </c>
      <c r="K131" s="109"/>
      <c r="L131" s="109"/>
      <c r="M131" s="109"/>
      <c r="N131" s="73"/>
      <c r="O131" s="109"/>
      <c r="P131" s="109"/>
      <c r="U131" s="41" t="s">
        <v>40</v>
      </c>
      <c r="W131" s="172">
        <v>13.55</v>
      </c>
      <c r="X131" s="154">
        <f>'Additional information'!$D$18</f>
        <v>0.91</v>
      </c>
      <c r="Y131" s="155">
        <f>IF(W131&lt;&gt;"",W131*X131,"")</f>
        <v>12.330500000000001</v>
      </c>
      <c r="Z131" s="155"/>
    </row>
    <row r="132" spans="1:27" ht="16" customHeight="1" x14ac:dyDescent="0.2">
      <c r="A132" s="68" t="s">
        <v>392</v>
      </c>
      <c r="B132" s="68" t="s">
        <v>393</v>
      </c>
      <c r="C132" s="40" t="s">
        <v>394</v>
      </c>
      <c r="D132" s="40" t="s">
        <v>395</v>
      </c>
      <c r="E132" s="77"/>
      <c r="H132" s="78"/>
      <c r="I132" s="109" t="s">
        <v>38</v>
      </c>
      <c r="J132" s="107" t="s">
        <v>134</v>
      </c>
      <c r="K132" s="109"/>
      <c r="L132" s="109"/>
      <c r="M132" s="109" t="s">
        <v>396</v>
      </c>
      <c r="N132" s="109" t="s">
        <v>370</v>
      </c>
      <c r="O132" s="109"/>
      <c r="P132" s="109"/>
      <c r="U132" s="41" t="s">
        <v>40</v>
      </c>
      <c r="W132" s="172">
        <v>13.55</v>
      </c>
      <c r="X132" s="154">
        <f>'Additional information'!$D$18</f>
        <v>0.91</v>
      </c>
      <c r="Y132" s="155">
        <f>IF(W132&lt;&gt;"",W132*X132,"")</f>
        <v>12.330500000000001</v>
      </c>
      <c r="Z132" s="155"/>
    </row>
    <row r="133" spans="1:27" x14ac:dyDescent="0.2">
      <c r="A133" s="68" t="s">
        <v>26</v>
      </c>
      <c r="B133" s="68" t="s">
        <v>397</v>
      </c>
      <c r="C133" s="40"/>
      <c r="D133" s="40"/>
      <c r="E133" s="77"/>
      <c r="H133" s="78"/>
      <c r="I133" s="109"/>
      <c r="J133" s="109"/>
      <c r="K133" s="109"/>
      <c r="L133" s="109"/>
      <c r="M133" s="109"/>
      <c r="N133" s="109"/>
      <c r="O133" s="109"/>
      <c r="P133" s="109" t="s">
        <v>398</v>
      </c>
      <c r="U133" s="41" t="s">
        <v>40</v>
      </c>
      <c r="W133" s="172"/>
      <c r="X133" s="154">
        <f>'Additional information'!$D$18</f>
        <v>0.91</v>
      </c>
      <c r="Y133" s="155"/>
      <c r="Z133" s="155"/>
    </row>
    <row r="134" spans="1:27" x14ac:dyDescent="0.2">
      <c r="A134" s="68" t="s">
        <v>26</v>
      </c>
      <c r="B134" s="68" t="s">
        <v>399</v>
      </c>
      <c r="C134" s="40"/>
      <c r="D134" s="40"/>
      <c r="E134" s="77"/>
      <c r="H134" s="78"/>
      <c r="I134" s="109"/>
      <c r="J134" s="109"/>
      <c r="K134" s="109"/>
      <c r="L134" s="109"/>
      <c r="M134" s="109"/>
      <c r="N134" s="109"/>
      <c r="O134" s="109"/>
      <c r="P134" s="109" t="s">
        <v>400</v>
      </c>
      <c r="U134" s="41" t="s">
        <v>40</v>
      </c>
      <c r="W134" s="172"/>
      <c r="X134" s="154">
        <f>'Additional information'!$D$18</f>
        <v>0.91</v>
      </c>
      <c r="Y134" s="155"/>
      <c r="Z134" s="155"/>
    </row>
    <row r="135" spans="1:27" x14ac:dyDescent="0.2">
      <c r="E135" s="77"/>
      <c r="H135" s="78"/>
      <c r="W135" s="172"/>
      <c r="X135" s="154">
        <f>'Additional information'!$D$18</f>
        <v>0.91</v>
      </c>
      <c r="Y135" s="155"/>
      <c r="Z135" s="155"/>
    </row>
    <row r="136" spans="1:27" ht="32" customHeight="1" x14ac:dyDescent="0.2">
      <c r="A136" s="68" t="s">
        <v>157</v>
      </c>
      <c r="B136" s="68" t="s">
        <v>401</v>
      </c>
      <c r="C136" s="40" t="s">
        <v>402</v>
      </c>
      <c r="D136" s="267" t="s">
        <v>403</v>
      </c>
      <c r="E136" s="77"/>
      <c r="F136" s="87"/>
      <c r="G136" s="87"/>
      <c r="H136" s="93"/>
      <c r="I136" s="107" t="s">
        <v>38</v>
      </c>
      <c r="J136" s="107"/>
      <c r="K136" s="107"/>
      <c r="L136" s="107"/>
      <c r="M136" s="107"/>
      <c r="N136" s="107"/>
      <c r="O136" s="107"/>
      <c r="P136" s="107"/>
      <c r="U136" s="41" t="s">
        <v>40</v>
      </c>
      <c r="W136" s="172">
        <v>12.68148708343506</v>
      </c>
      <c r="X136" s="154">
        <f>'Additional information'!$D$18</f>
        <v>0.91</v>
      </c>
      <c r="Y136" s="155">
        <f t="shared" ref="Y136:Y158" si="12">IF(W136&lt;&gt;"",W136*X136,"")</f>
        <v>11.540153245925906</v>
      </c>
      <c r="Z136" s="155">
        <f t="shared" ref="Z136:Z160" si="13">IF(AND(W136&lt;&gt;"",U136="yes"),W136*X136,"")</f>
        <v>11.540153245925906</v>
      </c>
    </row>
    <row r="137" spans="1:27" ht="32" customHeight="1" x14ac:dyDescent="0.2">
      <c r="A137" s="68" t="s">
        <v>404</v>
      </c>
      <c r="B137" s="68" t="s">
        <v>405</v>
      </c>
      <c r="C137" s="74" t="s">
        <v>406</v>
      </c>
      <c r="D137" s="267" t="s">
        <v>407</v>
      </c>
      <c r="E137" s="86"/>
      <c r="F137" s="41" t="s">
        <v>210</v>
      </c>
      <c r="G137" s="41" t="s">
        <v>356</v>
      </c>
      <c r="H137" s="78"/>
      <c r="I137" s="107" t="s">
        <v>38</v>
      </c>
      <c r="J137" s="107"/>
      <c r="K137" s="109" t="s">
        <v>408</v>
      </c>
      <c r="L137" s="107"/>
      <c r="M137" s="109" t="s">
        <v>409</v>
      </c>
      <c r="N137" s="107"/>
      <c r="O137" s="107"/>
      <c r="P137" s="107"/>
      <c r="U137" s="41" t="s">
        <v>40</v>
      </c>
      <c r="W137" s="172">
        <v>22.61360931396484</v>
      </c>
      <c r="X137" s="154">
        <f>'Additional information'!$D$18</f>
        <v>0.91</v>
      </c>
      <c r="Y137" s="155">
        <f t="shared" si="12"/>
        <v>20.578384475708006</v>
      </c>
      <c r="Z137" s="155">
        <f t="shared" si="13"/>
        <v>20.578384475708006</v>
      </c>
    </row>
    <row r="138" spans="1:27" x14ac:dyDescent="0.2">
      <c r="D138" s="200"/>
      <c r="E138" s="77"/>
      <c r="H138" s="78"/>
      <c r="M138" s="116"/>
      <c r="W138" s="172"/>
      <c r="X138" s="154">
        <f>'Additional information'!$D$18</f>
        <v>0.91</v>
      </c>
      <c r="Y138" s="155" t="str">
        <f t="shared" si="12"/>
        <v/>
      </c>
      <c r="Z138" s="155" t="str">
        <f t="shared" si="13"/>
        <v/>
      </c>
    </row>
    <row r="139" spans="1:27" ht="48" customHeight="1" x14ac:dyDescent="0.2">
      <c r="A139" s="68" t="s">
        <v>250</v>
      </c>
      <c r="B139" s="68" t="s">
        <v>410</v>
      </c>
      <c r="C139" s="74" t="s">
        <v>2296</v>
      </c>
      <c r="D139" s="267" t="s">
        <v>2304</v>
      </c>
      <c r="E139" s="86"/>
      <c r="F139" s="301" t="s">
        <v>411</v>
      </c>
      <c r="G139" s="301" t="s">
        <v>253</v>
      </c>
      <c r="H139" s="93"/>
      <c r="I139" s="107" t="s">
        <v>38</v>
      </c>
      <c r="J139" s="107"/>
      <c r="K139" s="107"/>
      <c r="L139" s="107"/>
      <c r="M139" s="109"/>
      <c r="N139" s="107"/>
      <c r="O139" s="107"/>
      <c r="P139" s="107"/>
      <c r="U139" s="41" t="s">
        <v>40</v>
      </c>
      <c r="W139" s="172">
        <v>21.701908111572269</v>
      </c>
      <c r="X139" s="154">
        <f>'Additional information'!$D$18</f>
        <v>0.91</v>
      </c>
      <c r="Y139" s="155">
        <f t="shared" si="12"/>
        <v>19.748736381530765</v>
      </c>
      <c r="Z139" s="155">
        <f t="shared" si="13"/>
        <v>19.748736381530765</v>
      </c>
    </row>
    <row r="140" spans="1:27" x14ac:dyDescent="0.2">
      <c r="C140" s="43"/>
      <c r="D140" s="43"/>
      <c r="E140" s="86"/>
      <c r="F140" s="87"/>
      <c r="G140" s="87"/>
      <c r="H140" s="93"/>
      <c r="M140" s="116"/>
      <c r="W140" s="172"/>
      <c r="X140" s="154">
        <f>'Additional information'!$D$18</f>
        <v>0.91</v>
      </c>
      <c r="Y140" s="155" t="str">
        <f t="shared" si="12"/>
        <v/>
      </c>
      <c r="Z140" s="155" t="str">
        <f t="shared" si="13"/>
        <v/>
      </c>
    </row>
    <row r="141" spans="1:27" ht="16" customHeight="1" thickBot="1" x14ac:dyDescent="0.25">
      <c r="A141" s="89" t="s">
        <v>95</v>
      </c>
      <c r="B141" s="89"/>
      <c r="C141" s="90"/>
      <c r="D141" s="90"/>
      <c r="E141" s="99"/>
      <c r="F141" s="89"/>
      <c r="G141" s="89"/>
      <c r="H141" s="100"/>
      <c r="I141" s="117"/>
      <c r="J141" s="117"/>
      <c r="K141" s="117"/>
      <c r="L141" s="117"/>
      <c r="M141" s="117"/>
      <c r="N141" s="117"/>
      <c r="O141" s="117"/>
      <c r="P141" s="117"/>
      <c r="W141" s="172"/>
      <c r="Y141" s="155" t="str">
        <f t="shared" si="12"/>
        <v/>
      </c>
      <c r="Z141" s="155" t="str">
        <f t="shared" si="13"/>
        <v/>
      </c>
    </row>
    <row r="142" spans="1:27" s="66" customFormat="1" ht="17" customHeight="1" thickTop="1" x14ac:dyDescent="0.2">
      <c r="A142" s="63" t="s">
        <v>64</v>
      </c>
      <c r="B142" s="63" t="s">
        <v>412</v>
      </c>
      <c r="C142" s="81" t="s">
        <v>413</v>
      </c>
      <c r="D142" s="197" t="s">
        <v>414</v>
      </c>
      <c r="E142" s="64"/>
      <c r="F142" s="63"/>
      <c r="G142" s="63"/>
      <c r="H142" s="65"/>
      <c r="I142" s="110" t="s">
        <v>73</v>
      </c>
      <c r="J142" s="110"/>
      <c r="K142" s="110"/>
      <c r="L142" s="110"/>
      <c r="M142" s="110" t="s">
        <v>415</v>
      </c>
      <c r="N142" s="110"/>
      <c r="O142" s="110"/>
      <c r="P142" s="110"/>
      <c r="U142" s="41" t="s">
        <v>40</v>
      </c>
      <c r="W142" s="172"/>
      <c r="X142" s="67"/>
      <c r="Y142" s="155" t="str">
        <f t="shared" si="12"/>
        <v/>
      </c>
      <c r="Z142" s="155" t="str">
        <f t="shared" si="13"/>
        <v/>
      </c>
      <c r="AA142" s="67"/>
    </row>
    <row r="143" spans="1:27" ht="32" customHeight="1" x14ac:dyDescent="0.2">
      <c r="A143" s="68" t="s">
        <v>67</v>
      </c>
      <c r="B143" s="68" t="s">
        <v>416</v>
      </c>
      <c r="C143" s="40" t="s">
        <v>417</v>
      </c>
      <c r="D143" s="39" t="s">
        <v>418</v>
      </c>
      <c r="E143" s="77"/>
      <c r="F143" s="68"/>
      <c r="G143" s="68"/>
      <c r="H143" s="78"/>
      <c r="I143" s="107"/>
      <c r="J143" s="107"/>
      <c r="K143" s="107"/>
      <c r="L143" s="107"/>
      <c r="M143" s="107"/>
      <c r="N143" s="107"/>
      <c r="O143" s="107"/>
      <c r="P143" s="107"/>
      <c r="U143" s="41" t="s">
        <v>40</v>
      </c>
      <c r="W143" s="172">
        <v>7.5</v>
      </c>
      <c r="X143" s="95">
        <f>'Additional information'!$D$19</f>
        <v>0.09</v>
      </c>
      <c r="Y143" s="155">
        <f t="shared" si="12"/>
        <v>0.67499999999999993</v>
      </c>
      <c r="Z143" s="155">
        <f t="shared" si="13"/>
        <v>0.67499999999999993</v>
      </c>
    </row>
    <row r="144" spans="1:27" s="66" customFormat="1" x14ac:dyDescent="0.2">
      <c r="C144" s="82"/>
      <c r="D144" s="200"/>
      <c r="E144" s="64"/>
      <c r="H144" s="65"/>
      <c r="I144" s="111"/>
      <c r="J144" s="111"/>
      <c r="K144" s="111"/>
      <c r="L144" s="111"/>
      <c r="M144" s="111"/>
      <c r="N144" s="111"/>
      <c r="O144" s="111"/>
      <c r="P144" s="111"/>
      <c r="U144" s="41"/>
      <c r="W144" s="172"/>
      <c r="X144" s="95">
        <f>'Additional information'!$D$19</f>
        <v>0.09</v>
      </c>
      <c r="Y144" s="155" t="str">
        <f t="shared" si="12"/>
        <v/>
      </c>
      <c r="Z144" s="155" t="str">
        <f t="shared" si="13"/>
        <v/>
      </c>
      <c r="AA144" s="67"/>
    </row>
    <row r="145" spans="1:43" ht="144" customHeight="1" x14ac:dyDescent="0.2">
      <c r="A145" s="68" t="s">
        <v>419</v>
      </c>
      <c r="B145" s="68" t="s">
        <v>420</v>
      </c>
      <c r="C145" s="40" t="s">
        <v>421</v>
      </c>
      <c r="D145" s="267" t="s">
        <v>422</v>
      </c>
      <c r="E145" s="77"/>
      <c r="F145" s="304" t="s">
        <v>423</v>
      </c>
      <c r="G145" s="340" t="s">
        <v>424</v>
      </c>
      <c r="H145" s="78"/>
      <c r="I145" s="107" t="s">
        <v>38</v>
      </c>
      <c r="J145" s="107" t="s">
        <v>226</v>
      </c>
      <c r="K145" s="107"/>
      <c r="L145" s="107"/>
      <c r="M145" s="107"/>
      <c r="N145" s="107"/>
      <c r="O145" s="107"/>
      <c r="P145" s="107"/>
      <c r="U145" s="41" t="s">
        <v>40</v>
      </c>
      <c r="W145" s="172">
        <v>20.2944221496582</v>
      </c>
      <c r="X145" s="95">
        <f>'Additional information'!$D$19</f>
        <v>0.09</v>
      </c>
      <c r="Y145" s="155">
        <f t="shared" si="12"/>
        <v>1.8264979934692378</v>
      </c>
      <c r="Z145" s="155">
        <f t="shared" si="13"/>
        <v>1.8264979934692378</v>
      </c>
    </row>
    <row r="146" spans="1:43" x14ac:dyDescent="0.2">
      <c r="A146" s="68" t="s">
        <v>26</v>
      </c>
      <c r="B146" s="68" t="s">
        <v>425</v>
      </c>
      <c r="C146" s="40"/>
      <c r="D146" s="201"/>
      <c r="E146" s="77"/>
      <c r="H146" s="78"/>
      <c r="I146" s="107"/>
      <c r="J146" s="107"/>
      <c r="K146" s="107"/>
      <c r="L146" s="107"/>
      <c r="M146" s="107"/>
      <c r="N146" s="107"/>
      <c r="O146" s="107"/>
      <c r="P146" s="107" t="s">
        <v>426</v>
      </c>
      <c r="U146" s="41" t="s">
        <v>40</v>
      </c>
      <c r="W146" s="172"/>
      <c r="X146" s="95">
        <f>'Additional information'!$D$19</f>
        <v>0.09</v>
      </c>
      <c r="Y146" s="155" t="str">
        <f t="shared" si="12"/>
        <v/>
      </c>
      <c r="Z146" s="155" t="str">
        <f t="shared" si="13"/>
        <v/>
      </c>
    </row>
    <row r="147" spans="1:43" x14ac:dyDescent="0.2">
      <c r="D147" s="41"/>
      <c r="E147" s="77"/>
      <c r="H147" s="78"/>
      <c r="M147" s="116"/>
      <c r="W147" s="172"/>
      <c r="X147" s="95">
        <f>'Additional information'!$D$19</f>
        <v>0.09</v>
      </c>
      <c r="Y147" s="155" t="str">
        <f t="shared" si="12"/>
        <v/>
      </c>
      <c r="Z147" s="155" t="str">
        <f t="shared" si="13"/>
        <v/>
      </c>
    </row>
    <row r="148" spans="1:43" ht="16" customHeight="1" x14ac:dyDescent="0.2">
      <c r="A148" s="68" t="s">
        <v>110</v>
      </c>
      <c r="B148" s="68" t="s">
        <v>427</v>
      </c>
      <c r="C148" s="40" t="s">
        <v>428</v>
      </c>
      <c r="D148" s="267" t="s">
        <v>429</v>
      </c>
      <c r="E148" s="77"/>
      <c r="F148" s="68" t="s">
        <v>430</v>
      </c>
      <c r="G148" s="68" t="s">
        <v>431</v>
      </c>
      <c r="H148" s="78"/>
      <c r="I148" s="107" t="s">
        <v>38</v>
      </c>
      <c r="J148" s="107"/>
      <c r="K148" s="107" t="s">
        <v>432</v>
      </c>
      <c r="L148" s="107"/>
      <c r="M148" s="107" t="s">
        <v>433</v>
      </c>
      <c r="N148" s="107"/>
      <c r="O148" s="107"/>
      <c r="P148" s="107"/>
      <c r="U148" s="41" t="s">
        <v>40</v>
      </c>
      <c r="W148" s="172">
        <v>18.539077758789059</v>
      </c>
      <c r="X148" s="95">
        <f>'Additional information'!$D$19</f>
        <v>0.09</v>
      </c>
      <c r="Y148" s="155">
        <f t="shared" si="12"/>
        <v>1.6685169982910153</v>
      </c>
      <c r="Z148" s="155">
        <f t="shared" si="13"/>
        <v>1.6685169982910153</v>
      </c>
    </row>
    <row r="149" spans="1:43" ht="16" customHeight="1" x14ac:dyDescent="0.2">
      <c r="A149" s="68" t="s">
        <v>110</v>
      </c>
      <c r="B149" s="68" t="s">
        <v>434</v>
      </c>
      <c r="C149" s="40" t="s">
        <v>435</v>
      </c>
      <c r="D149" s="267" t="s">
        <v>436</v>
      </c>
      <c r="E149" s="77"/>
      <c r="F149" s="68" t="s">
        <v>430</v>
      </c>
      <c r="G149" s="68" t="s">
        <v>431</v>
      </c>
      <c r="H149" s="78"/>
      <c r="I149" s="107" t="s">
        <v>38</v>
      </c>
      <c r="J149" s="107"/>
      <c r="K149" s="107" t="s">
        <v>432</v>
      </c>
      <c r="L149" s="107"/>
      <c r="M149" s="107" t="s">
        <v>433</v>
      </c>
      <c r="N149" s="107"/>
      <c r="O149" s="107"/>
      <c r="P149" s="107"/>
      <c r="U149" s="41" t="s">
        <v>40</v>
      </c>
      <c r="W149" s="172">
        <v>8.9158916473388672</v>
      </c>
      <c r="X149" s="95">
        <f>'Additional information'!$D$19</f>
        <v>0.09</v>
      </c>
      <c r="Y149" s="155">
        <f t="shared" si="12"/>
        <v>0.80243024826049802</v>
      </c>
      <c r="Z149" s="155">
        <f t="shared" si="13"/>
        <v>0.80243024826049802</v>
      </c>
    </row>
    <row r="150" spans="1:43" ht="16" customHeight="1" x14ac:dyDescent="0.2">
      <c r="A150" s="68" t="s">
        <v>26</v>
      </c>
      <c r="B150" s="68" t="s">
        <v>437</v>
      </c>
      <c r="C150" s="40" t="s">
        <v>438</v>
      </c>
      <c r="D150" s="268" t="s">
        <v>439</v>
      </c>
      <c r="E150" s="77"/>
      <c r="F150" s="68"/>
      <c r="G150" s="68"/>
      <c r="H150" s="78"/>
      <c r="I150" s="107" t="s">
        <v>38</v>
      </c>
      <c r="J150" s="107"/>
      <c r="K150" s="107"/>
      <c r="L150" s="107"/>
      <c r="M150" s="107" t="s">
        <v>440</v>
      </c>
      <c r="N150" s="107"/>
      <c r="O150" s="107"/>
      <c r="P150" s="107" t="s">
        <v>441</v>
      </c>
      <c r="U150" s="41" t="s">
        <v>40</v>
      </c>
      <c r="W150" s="172"/>
      <c r="X150" s="95">
        <f>'Additional information'!$D$19</f>
        <v>0.09</v>
      </c>
      <c r="Y150" s="155" t="str">
        <f t="shared" si="12"/>
        <v/>
      </c>
      <c r="Z150" s="155" t="str">
        <f t="shared" si="13"/>
        <v/>
      </c>
    </row>
    <row r="151" spans="1:43" x14ac:dyDescent="0.2">
      <c r="D151" s="41"/>
      <c r="E151" s="77"/>
      <c r="H151" s="78"/>
      <c r="W151" s="172"/>
      <c r="X151" s="95">
        <f>'Additional information'!$D$19</f>
        <v>0.09</v>
      </c>
      <c r="Y151" s="155" t="str">
        <f t="shared" si="12"/>
        <v/>
      </c>
      <c r="Z151" s="155" t="str">
        <f t="shared" si="13"/>
        <v/>
      </c>
    </row>
    <row r="152" spans="1:43" ht="16" customHeight="1" x14ac:dyDescent="0.2">
      <c r="A152" s="68" t="s">
        <v>442</v>
      </c>
      <c r="B152" s="68" t="s">
        <v>443</v>
      </c>
      <c r="C152" s="40" t="s">
        <v>444</v>
      </c>
      <c r="D152" s="267" t="s">
        <v>445</v>
      </c>
      <c r="E152" s="77"/>
      <c r="F152" s="41" t="s">
        <v>343</v>
      </c>
      <c r="G152" s="41" t="s">
        <v>344</v>
      </c>
      <c r="H152" s="78"/>
      <c r="I152" s="107" t="s">
        <v>38</v>
      </c>
      <c r="J152" s="107"/>
      <c r="K152" s="107" t="s">
        <v>446</v>
      </c>
      <c r="L152" s="107"/>
      <c r="M152" s="107" t="s">
        <v>433</v>
      </c>
      <c r="N152" s="107"/>
      <c r="O152" s="107"/>
      <c r="P152" s="107"/>
      <c r="U152" s="41" t="s">
        <v>40</v>
      </c>
      <c r="W152" s="172">
        <v>25.81001091003418</v>
      </c>
      <c r="X152" s="95">
        <f>'Additional information'!$D$19</f>
        <v>0.09</v>
      </c>
      <c r="Y152" s="155">
        <f t="shared" si="12"/>
        <v>2.3229009819030759</v>
      </c>
      <c r="Z152" s="155">
        <f t="shared" si="13"/>
        <v>2.3229009819030759</v>
      </c>
    </row>
    <row r="153" spans="1:43" x14ac:dyDescent="0.2">
      <c r="D153" s="41"/>
      <c r="E153" s="77"/>
      <c r="H153" s="78"/>
      <c r="M153" s="116"/>
      <c r="W153" s="172"/>
      <c r="X153" s="95">
        <f>'Additional information'!$D$19</f>
        <v>0.09</v>
      </c>
      <c r="Y153" s="155" t="str">
        <f t="shared" si="12"/>
        <v/>
      </c>
      <c r="Z153" s="155" t="str">
        <f t="shared" si="13"/>
        <v/>
      </c>
    </row>
    <row r="154" spans="1:43" s="70" customFormat="1" ht="16" customHeight="1" x14ac:dyDescent="0.2">
      <c r="A154" s="70" t="s">
        <v>447</v>
      </c>
      <c r="B154" s="70" t="s">
        <v>448</v>
      </c>
      <c r="C154" s="71" t="s">
        <v>449</v>
      </c>
      <c r="D154" s="269" t="s">
        <v>450</v>
      </c>
      <c r="E154" s="72"/>
      <c r="F154" s="70" t="s">
        <v>343</v>
      </c>
      <c r="G154" s="41" t="s">
        <v>344</v>
      </c>
      <c r="H154" s="76"/>
      <c r="I154" s="108" t="s">
        <v>38</v>
      </c>
      <c r="J154" s="108"/>
      <c r="K154" s="108" t="s">
        <v>408</v>
      </c>
      <c r="L154" s="108"/>
      <c r="M154" s="108"/>
      <c r="N154" s="108"/>
      <c r="O154" s="108"/>
      <c r="P154" s="108"/>
      <c r="U154" s="70" t="s">
        <v>74</v>
      </c>
      <c r="W154" s="172">
        <v>19.55319786071777</v>
      </c>
      <c r="X154" s="95">
        <f>'Additional information'!$D$19</f>
        <v>0.09</v>
      </c>
      <c r="Y154" s="155">
        <f t="shared" si="12"/>
        <v>1.7597878074645992</v>
      </c>
      <c r="Z154" s="155" t="str">
        <f t="shared" si="13"/>
        <v/>
      </c>
      <c r="AA154" s="69"/>
    </row>
    <row r="155" spans="1:43" s="70" customFormat="1" x14ac:dyDescent="0.2">
      <c r="C155" s="71"/>
      <c r="E155" s="72"/>
      <c r="H155" s="76"/>
      <c r="I155" s="108"/>
      <c r="J155" s="108"/>
      <c r="K155" s="108"/>
      <c r="L155" s="108"/>
      <c r="M155" s="108"/>
      <c r="N155" s="108"/>
      <c r="O155" s="108"/>
      <c r="P155" s="108"/>
      <c r="W155" s="172"/>
      <c r="X155" s="95">
        <f>'Additional information'!$D$19</f>
        <v>0.09</v>
      </c>
      <c r="Y155" s="155" t="str">
        <f t="shared" si="12"/>
        <v/>
      </c>
      <c r="Z155" s="155" t="str">
        <f t="shared" si="13"/>
        <v/>
      </c>
      <c r="AA155" s="69"/>
    </row>
    <row r="156" spans="1:43" ht="32" customHeight="1" x14ac:dyDescent="0.2">
      <c r="A156" s="68" t="s">
        <v>157</v>
      </c>
      <c r="B156" s="68" t="s">
        <v>451</v>
      </c>
      <c r="C156" s="40" t="s">
        <v>452</v>
      </c>
      <c r="D156" s="267" t="s">
        <v>453</v>
      </c>
      <c r="E156" s="77"/>
      <c r="H156" s="78"/>
      <c r="I156" s="107" t="s">
        <v>38</v>
      </c>
      <c r="J156" s="107"/>
      <c r="K156" s="107"/>
      <c r="L156" s="107"/>
      <c r="M156" s="109"/>
      <c r="N156" s="107"/>
      <c r="O156" s="107"/>
      <c r="P156" s="107"/>
      <c r="U156" s="41" t="s">
        <v>40</v>
      </c>
      <c r="W156" s="172">
        <v>13.613316535949711</v>
      </c>
      <c r="X156" s="95">
        <f>'Additional information'!$D$19</f>
        <v>0.09</v>
      </c>
      <c r="Y156" s="155">
        <f t="shared" si="12"/>
        <v>1.2251984882354738</v>
      </c>
      <c r="Z156" s="155">
        <f t="shared" si="13"/>
        <v>1.2251984882354738</v>
      </c>
    </row>
    <row r="157" spans="1:43" ht="32" customHeight="1" x14ac:dyDescent="0.2">
      <c r="A157" s="68" t="s">
        <v>454</v>
      </c>
      <c r="B157" s="68" t="s">
        <v>455</v>
      </c>
      <c r="C157" s="40" t="s">
        <v>456</v>
      </c>
      <c r="D157" s="267" t="s">
        <v>457</v>
      </c>
      <c r="E157" s="77"/>
      <c r="F157" s="41" t="s">
        <v>210</v>
      </c>
      <c r="G157" s="41" t="s">
        <v>356</v>
      </c>
      <c r="H157" s="78"/>
      <c r="I157" s="107" t="s">
        <v>38</v>
      </c>
      <c r="J157" s="107"/>
      <c r="K157" s="109" t="s">
        <v>408</v>
      </c>
      <c r="L157" s="107"/>
      <c r="M157" s="109" t="s">
        <v>458</v>
      </c>
      <c r="N157" s="107"/>
      <c r="O157" s="107"/>
      <c r="P157" s="107"/>
      <c r="U157" s="41" t="s">
        <v>40</v>
      </c>
      <c r="W157" s="172">
        <v>27.754648208618161</v>
      </c>
      <c r="X157" s="95">
        <f>'Additional information'!$D$19</f>
        <v>0.09</v>
      </c>
      <c r="Y157" s="155">
        <f t="shared" si="12"/>
        <v>2.4979183387756345</v>
      </c>
      <c r="Z157" s="155">
        <f t="shared" si="13"/>
        <v>2.4979183387756345</v>
      </c>
    </row>
    <row r="158" spans="1:43" s="303" customFormat="1" ht="30" customHeight="1" x14ac:dyDescent="0.2">
      <c r="A158" s="303" t="s">
        <v>459</v>
      </c>
      <c r="B158" s="303" t="s">
        <v>460</v>
      </c>
      <c r="C158" s="304" t="s">
        <v>461</v>
      </c>
      <c r="D158" s="335" t="s">
        <v>462</v>
      </c>
      <c r="E158" s="77"/>
      <c r="F158" s="301" t="s">
        <v>161</v>
      </c>
      <c r="G158" s="336" t="s">
        <v>463</v>
      </c>
      <c r="H158" s="88"/>
      <c r="I158" s="333" t="s">
        <v>38</v>
      </c>
      <c r="J158" s="302"/>
      <c r="K158" s="302"/>
      <c r="L158" s="302"/>
      <c r="M158" s="302"/>
      <c r="N158" s="302"/>
      <c r="O158" s="302"/>
      <c r="P158" s="302"/>
      <c r="Q158" s="300"/>
      <c r="R158" s="300"/>
      <c r="S158" s="300"/>
      <c r="T158" s="300"/>
      <c r="U158" s="300" t="s">
        <v>74</v>
      </c>
      <c r="V158" s="300"/>
      <c r="W158" s="189"/>
      <c r="X158" s="190"/>
      <c r="Y158" s="191" t="str">
        <f t="shared" si="12"/>
        <v/>
      </c>
      <c r="Z158" s="191" t="str">
        <f t="shared" si="13"/>
        <v/>
      </c>
      <c r="AA158" s="300"/>
      <c r="AB158" s="300"/>
      <c r="AC158" s="300"/>
      <c r="AD158" s="300"/>
      <c r="AE158" s="300"/>
      <c r="AF158" s="300"/>
      <c r="AG158" s="300"/>
      <c r="AH158" s="300"/>
      <c r="AI158" s="300"/>
      <c r="AJ158" s="300"/>
      <c r="AK158" s="300"/>
    </row>
    <row r="159" spans="1:43" s="300" customFormat="1" ht="16" customHeight="1" x14ac:dyDescent="0.2">
      <c r="A159" s="300" t="s">
        <v>157</v>
      </c>
      <c r="B159" s="300" t="s">
        <v>464</v>
      </c>
      <c r="C159" s="301" t="s">
        <v>465</v>
      </c>
      <c r="D159" s="372" t="s">
        <v>466</v>
      </c>
      <c r="E159" s="77"/>
      <c r="F159" s="338" t="s">
        <v>374</v>
      </c>
      <c r="G159" s="300" t="s">
        <v>162</v>
      </c>
      <c r="H159" s="76"/>
      <c r="I159" s="334" t="s">
        <v>38</v>
      </c>
      <c r="J159" s="334"/>
      <c r="K159" s="334"/>
      <c r="L159" s="334"/>
      <c r="M159" s="302"/>
      <c r="N159" s="334"/>
      <c r="O159" s="334"/>
      <c r="P159" s="334"/>
      <c r="Q159" s="303"/>
      <c r="R159" s="303"/>
      <c r="S159" s="303"/>
      <c r="T159" s="303"/>
      <c r="U159" s="303"/>
      <c r="V159" s="303"/>
      <c r="W159" s="189"/>
      <c r="X159" s="190">
        <f>'[1]Additional information'!$D$18</f>
        <v>0.91</v>
      </c>
      <c r="Y159" s="191">
        <v>1.5</v>
      </c>
      <c r="Z159" s="191" t="str">
        <f t="shared" si="13"/>
        <v/>
      </c>
      <c r="AB159" s="303"/>
      <c r="AC159" s="303"/>
      <c r="AD159" s="303"/>
      <c r="AE159" s="303"/>
      <c r="AF159" s="303"/>
      <c r="AG159" s="303"/>
      <c r="AH159" s="303"/>
      <c r="AI159" s="303"/>
      <c r="AJ159" s="303"/>
      <c r="AK159" s="303"/>
      <c r="AL159" s="303"/>
      <c r="AM159" s="303"/>
      <c r="AN159" s="303"/>
      <c r="AO159" s="303"/>
      <c r="AP159" s="303"/>
      <c r="AQ159" s="303"/>
    </row>
    <row r="160" spans="1:43" s="70" customFormat="1" ht="16" customHeight="1" x14ac:dyDescent="0.2">
      <c r="A160" s="70" t="s">
        <v>467</v>
      </c>
      <c r="B160" s="70" t="s">
        <v>468</v>
      </c>
      <c r="C160" s="71" t="s">
        <v>469</v>
      </c>
      <c r="D160" s="269" t="s">
        <v>470</v>
      </c>
      <c r="E160" s="72"/>
      <c r="F160" s="70" t="s">
        <v>471</v>
      </c>
      <c r="G160" s="70" t="s">
        <v>472</v>
      </c>
      <c r="H160" s="76"/>
      <c r="I160" s="108" t="s">
        <v>38</v>
      </c>
      <c r="J160" s="108" t="s">
        <v>226</v>
      </c>
      <c r="K160" s="108" t="s">
        <v>473</v>
      </c>
      <c r="L160" s="108"/>
      <c r="M160" s="108" t="s">
        <v>474</v>
      </c>
      <c r="N160" s="108" t="s">
        <v>475</v>
      </c>
      <c r="O160" s="112"/>
      <c r="P160" s="112"/>
      <c r="Q160" s="41"/>
      <c r="U160" s="70" t="s">
        <v>74</v>
      </c>
      <c r="W160" s="172">
        <v>17</v>
      </c>
      <c r="X160" s="95">
        <f>'Additional information'!$D$19</f>
        <v>0.09</v>
      </c>
      <c r="Y160" s="155">
        <f>IF(W160&lt;&gt;"",W160*X160,"")</f>
        <v>1.53</v>
      </c>
      <c r="Z160" s="155" t="str">
        <f t="shared" si="13"/>
        <v/>
      </c>
      <c r="AA160" s="69"/>
    </row>
    <row r="161" spans="1:27" s="303" customFormat="1" ht="21" customHeight="1" x14ac:dyDescent="0.2">
      <c r="A161" s="303" t="s">
        <v>157</v>
      </c>
      <c r="B161" s="303" t="s">
        <v>476</v>
      </c>
      <c r="C161" s="338" t="s">
        <v>477</v>
      </c>
      <c r="D161" s="301" t="s">
        <v>478</v>
      </c>
      <c r="E161" s="72"/>
      <c r="F161" s="301" t="s">
        <v>161</v>
      </c>
      <c r="G161" s="336" t="s">
        <v>463</v>
      </c>
      <c r="H161" s="76"/>
      <c r="I161" s="333" t="s">
        <v>38</v>
      </c>
      <c r="J161" s="334"/>
      <c r="L161" s="334"/>
      <c r="M161" s="302"/>
      <c r="N161" s="334"/>
      <c r="O161" s="334"/>
      <c r="P161" s="334"/>
      <c r="W161" s="189"/>
      <c r="X161" s="339"/>
      <c r="Y161" s="191"/>
      <c r="Z161" s="191"/>
      <c r="AA161" s="300"/>
    </row>
    <row r="162" spans="1:27" s="303" customFormat="1" ht="16" customHeight="1" x14ac:dyDescent="0.2">
      <c r="A162" s="303" t="s">
        <v>479</v>
      </c>
      <c r="B162" s="303" t="s">
        <v>480</v>
      </c>
      <c r="C162" s="338" t="s">
        <v>481</v>
      </c>
      <c r="D162" s="304" t="s">
        <v>482</v>
      </c>
      <c r="E162" s="72"/>
      <c r="F162" s="303" t="s">
        <v>210</v>
      </c>
      <c r="G162" s="303" t="s">
        <v>356</v>
      </c>
      <c r="H162" s="76"/>
      <c r="I162" s="333" t="s">
        <v>38</v>
      </c>
      <c r="J162" s="334"/>
      <c r="K162" s="302"/>
      <c r="L162" s="334"/>
      <c r="M162" s="302" t="s">
        <v>483</v>
      </c>
      <c r="N162" s="334"/>
      <c r="O162" s="334"/>
      <c r="P162" s="334"/>
      <c r="W162" s="189"/>
      <c r="X162" s="339"/>
      <c r="Y162" s="191"/>
      <c r="Z162" s="191"/>
      <c r="AA162" s="300"/>
    </row>
    <row r="163" spans="1:27" s="303" customFormat="1" ht="14.25" customHeight="1" x14ac:dyDescent="0.2">
      <c r="A163" s="303" t="s">
        <v>157</v>
      </c>
      <c r="B163" s="303" t="s">
        <v>484</v>
      </c>
      <c r="C163" s="338" t="s">
        <v>485</v>
      </c>
      <c r="D163" s="304" t="s">
        <v>486</v>
      </c>
      <c r="E163" s="72"/>
      <c r="F163" s="301" t="s">
        <v>161</v>
      </c>
      <c r="G163" s="336" t="s">
        <v>463</v>
      </c>
      <c r="H163" s="76"/>
      <c r="I163" s="333" t="s">
        <v>38</v>
      </c>
      <c r="J163" s="334"/>
      <c r="L163" s="334"/>
      <c r="M163" s="302"/>
      <c r="N163" s="334"/>
      <c r="O163" s="334"/>
      <c r="P163" s="334"/>
      <c r="W163" s="189"/>
      <c r="X163" s="339"/>
      <c r="Y163" s="191"/>
      <c r="Z163" s="191"/>
      <c r="AA163" s="300"/>
    </row>
    <row r="164" spans="1:27" s="303" customFormat="1" ht="16" customHeight="1" x14ac:dyDescent="0.2">
      <c r="A164" s="303" t="s">
        <v>487</v>
      </c>
      <c r="B164" s="303" t="s">
        <v>488</v>
      </c>
      <c r="C164" s="338" t="s">
        <v>481</v>
      </c>
      <c r="D164" s="304" t="s">
        <v>489</v>
      </c>
      <c r="E164" s="72"/>
      <c r="F164" s="303" t="s">
        <v>210</v>
      </c>
      <c r="G164" s="303" t="s">
        <v>356</v>
      </c>
      <c r="H164" s="76"/>
      <c r="I164" s="333" t="s">
        <v>38</v>
      </c>
      <c r="J164" s="334"/>
      <c r="K164" s="302"/>
      <c r="L164" s="334"/>
      <c r="M164" s="302" t="s">
        <v>490</v>
      </c>
      <c r="N164" s="334"/>
      <c r="O164" s="334"/>
      <c r="P164" s="334"/>
      <c r="W164" s="189"/>
      <c r="X164" s="339"/>
      <c r="Y164" s="191"/>
      <c r="Z164" s="191"/>
      <c r="AA164" s="300"/>
    </row>
    <row r="165" spans="1:27" s="303" customFormat="1" ht="16.5" customHeight="1" x14ac:dyDescent="0.2">
      <c r="A165" s="300" t="s">
        <v>32</v>
      </c>
      <c r="B165" s="300" t="s">
        <v>491</v>
      </c>
      <c r="C165" s="301" t="s">
        <v>492</v>
      </c>
      <c r="D165" s="304" t="s">
        <v>493</v>
      </c>
      <c r="E165" s="72"/>
      <c r="F165" s="300" t="s">
        <v>215</v>
      </c>
      <c r="G165" s="300" t="s">
        <v>37</v>
      </c>
      <c r="H165" s="88"/>
      <c r="I165" s="302" t="s">
        <v>38</v>
      </c>
      <c r="J165" s="302"/>
      <c r="K165" s="302"/>
      <c r="L165" s="302"/>
      <c r="M165" s="302" t="s">
        <v>494</v>
      </c>
      <c r="N165" s="302"/>
      <c r="O165" s="302"/>
      <c r="P165" s="302"/>
      <c r="U165" s="303" t="s">
        <v>40</v>
      </c>
      <c r="W165" s="189"/>
      <c r="X165" s="190"/>
      <c r="Y165" s="191" t="str">
        <f>IF(W165&lt;&gt;"",W165*X165,"")</f>
        <v/>
      </c>
      <c r="Z165" s="191" t="str">
        <f>IF(AND(W165&lt;&gt;"",U165="yes"),W165*X165,"")</f>
        <v/>
      </c>
      <c r="AA165" s="300"/>
    </row>
    <row r="166" spans="1:27" s="303" customFormat="1" ht="15.75" customHeight="1" x14ac:dyDescent="0.2">
      <c r="A166" s="303" t="s">
        <v>157</v>
      </c>
      <c r="B166" s="303" t="s">
        <v>495</v>
      </c>
      <c r="C166" s="338" t="s">
        <v>496</v>
      </c>
      <c r="D166" s="304" t="s">
        <v>497</v>
      </c>
      <c r="E166" s="72"/>
      <c r="F166" s="301" t="s">
        <v>161</v>
      </c>
      <c r="G166" s="336" t="s">
        <v>463</v>
      </c>
      <c r="H166" s="76"/>
      <c r="I166" s="333" t="s">
        <v>38</v>
      </c>
      <c r="J166" s="334"/>
      <c r="L166" s="334"/>
      <c r="M166" s="302" t="s">
        <v>490</v>
      </c>
      <c r="N166" s="334"/>
      <c r="O166" s="334"/>
      <c r="P166" s="334"/>
      <c r="W166" s="189"/>
      <c r="X166" s="339"/>
      <c r="Y166" s="191"/>
      <c r="Z166" s="191"/>
      <c r="AA166" s="300"/>
    </row>
    <row r="167" spans="1:27" ht="16" customHeight="1" thickBot="1" x14ac:dyDescent="0.25">
      <c r="A167" s="89" t="s">
        <v>95</v>
      </c>
      <c r="B167" s="89"/>
      <c r="C167" s="90"/>
      <c r="D167" s="90"/>
      <c r="E167" s="99"/>
      <c r="F167" s="89"/>
      <c r="G167" s="89"/>
      <c r="H167" s="100"/>
      <c r="I167" s="117"/>
      <c r="J167" s="117"/>
      <c r="K167" s="117"/>
      <c r="L167" s="117"/>
      <c r="M167" s="117"/>
      <c r="N167" s="117"/>
      <c r="O167" s="117"/>
      <c r="P167" s="117"/>
      <c r="W167" s="172"/>
      <c r="Y167" s="155" t="str">
        <f t="shared" ref="Y167:Y198" si="14">IF(W167&lt;&gt;"",W167*X167,"")</f>
        <v/>
      </c>
      <c r="Z167" s="155" t="str">
        <f t="shared" ref="Z167:Z198" si="15">IF(AND(W167&lt;&gt;"",U167="yes"),W167*X167,"")</f>
        <v/>
      </c>
    </row>
    <row r="168" spans="1:27" s="66" customFormat="1" ht="17" customHeight="1" thickTop="1" x14ac:dyDescent="0.2">
      <c r="A168" s="63" t="s">
        <v>64</v>
      </c>
      <c r="B168" s="63" t="s">
        <v>498</v>
      </c>
      <c r="C168" s="81" t="s">
        <v>499</v>
      </c>
      <c r="D168" s="197" t="s">
        <v>500</v>
      </c>
      <c r="E168" s="64"/>
      <c r="F168" s="63"/>
      <c r="G168" s="63"/>
      <c r="H168" s="65"/>
      <c r="I168" s="110" t="s">
        <v>73</v>
      </c>
      <c r="J168" s="110"/>
      <c r="K168" s="110"/>
      <c r="L168" s="110"/>
      <c r="M168" s="110" t="s">
        <v>501</v>
      </c>
      <c r="N168" s="110"/>
      <c r="O168" s="110"/>
      <c r="P168" s="110"/>
      <c r="U168" s="41" t="s">
        <v>40</v>
      </c>
      <c r="W168" s="172"/>
      <c r="X168" s="154"/>
      <c r="Y168" s="155" t="str">
        <f t="shared" si="14"/>
        <v/>
      </c>
      <c r="Z168" s="155" t="str">
        <f t="shared" si="15"/>
        <v/>
      </c>
      <c r="AA168" s="67"/>
    </row>
    <row r="169" spans="1:27" s="66" customFormat="1" x14ac:dyDescent="0.2">
      <c r="C169" s="82"/>
      <c r="D169" s="82"/>
      <c r="E169" s="64"/>
      <c r="H169" s="65"/>
      <c r="I169" s="111"/>
      <c r="J169" s="111"/>
      <c r="K169" s="111"/>
      <c r="L169" s="111"/>
      <c r="M169" s="111"/>
      <c r="N169" s="111"/>
      <c r="O169" s="111"/>
      <c r="P169" s="111"/>
      <c r="U169" s="41"/>
      <c r="W169" s="172"/>
      <c r="X169" s="95">
        <f>'Additional information'!$D$19</f>
        <v>0.09</v>
      </c>
      <c r="Y169" s="155" t="str">
        <f t="shared" si="14"/>
        <v/>
      </c>
      <c r="Z169" s="155" t="str">
        <f t="shared" si="15"/>
        <v/>
      </c>
      <c r="AA169" s="67"/>
    </row>
    <row r="170" spans="1:27" s="66" customFormat="1" ht="32" customHeight="1" x14ac:dyDescent="0.2">
      <c r="A170" s="68" t="s">
        <v>502</v>
      </c>
      <c r="B170" s="68" t="s">
        <v>503</v>
      </c>
      <c r="C170" s="40" t="s">
        <v>504</v>
      </c>
      <c r="D170" s="267" t="s">
        <v>505</v>
      </c>
      <c r="E170" s="77"/>
      <c r="F170" s="94"/>
      <c r="G170" s="94"/>
      <c r="H170" s="78"/>
      <c r="I170" s="107" t="s">
        <v>38</v>
      </c>
      <c r="J170" s="107" t="s">
        <v>226</v>
      </c>
      <c r="K170" s="110"/>
      <c r="L170" s="110"/>
      <c r="M170" s="110"/>
      <c r="N170" s="110"/>
      <c r="O170" s="110"/>
      <c r="P170" s="110"/>
      <c r="U170" s="41" t="s">
        <v>40</v>
      </c>
      <c r="W170" s="172">
        <v>13.99939060211182</v>
      </c>
      <c r="X170" s="95">
        <f>'Additional information'!$D$19</f>
        <v>0.09</v>
      </c>
      <c r="Y170" s="155">
        <f t="shared" si="14"/>
        <v>1.2599451541900637</v>
      </c>
      <c r="Z170" s="155">
        <f t="shared" si="15"/>
        <v>1.2599451541900637</v>
      </c>
      <c r="AA170" s="67"/>
    </row>
    <row r="171" spans="1:27" x14ac:dyDescent="0.2">
      <c r="A171" s="68" t="s">
        <v>26</v>
      </c>
      <c r="B171" s="68" t="s">
        <v>506</v>
      </c>
      <c r="C171" s="40"/>
      <c r="D171" s="271"/>
      <c r="E171" s="77"/>
      <c r="H171" s="78"/>
      <c r="I171" s="107"/>
      <c r="J171" s="107"/>
      <c r="K171" s="107"/>
      <c r="L171" s="107"/>
      <c r="M171" s="107"/>
      <c r="N171" s="107"/>
      <c r="O171" s="107"/>
      <c r="P171" s="107" t="s">
        <v>507</v>
      </c>
      <c r="U171" s="41" t="s">
        <v>40</v>
      </c>
      <c r="W171" s="172"/>
      <c r="X171" s="95">
        <f>'Additional information'!$D$19</f>
        <v>0.09</v>
      </c>
      <c r="Y171" s="155" t="str">
        <f t="shared" si="14"/>
        <v/>
      </c>
      <c r="Z171" s="155" t="str">
        <f t="shared" si="15"/>
        <v/>
      </c>
    </row>
    <row r="172" spans="1:27" x14ac:dyDescent="0.2">
      <c r="D172" s="270"/>
      <c r="E172" s="77"/>
      <c r="H172" s="78"/>
      <c r="W172" s="172"/>
      <c r="X172" s="95">
        <f>'Additional information'!$D$19</f>
        <v>0.09</v>
      </c>
      <c r="Y172" s="155" t="str">
        <f t="shared" si="14"/>
        <v/>
      </c>
      <c r="Z172" s="155" t="str">
        <f t="shared" si="15"/>
        <v/>
      </c>
    </row>
    <row r="173" spans="1:27" ht="32" customHeight="1" x14ac:dyDescent="0.2">
      <c r="A173" s="68" t="s">
        <v>157</v>
      </c>
      <c r="B173" s="68" t="s">
        <v>508</v>
      </c>
      <c r="C173" s="40" t="s">
        <v>509</v>
      </c>
      <c r="D173" s="267" t="s">
        <v>510</v>
      </c>
      <c r="E173" s="77"/>
      <c r="H173" s="78"/>
      <c r="I173" s="107" t="s">
        <v>38</v>
      </c>
      <c r="J173" s="107"/>
      <c r="K173" s="107"/>
      <c r="L173" s="107"/>
      <c r="M173" s="107"/>
      <c r="N173" s="107"/>
      <c r="O173" s="107"/>
      <c r="P173" s="107"/>
      <c r="U173" s="41" t="s">
        <v>40</v>
      </c>
      <c r="W173" s="172">
        <v>10.25279426574707</v>
      </c>
      <c r="X173" s="95">
        <f>'Additional information'!$D$19</f>
        <v>0.09</v>
      </c>
      <c r="Y173" s="155">
        <f t="shared" si="14"/>
        <v>0.92275148391723627</v>
      </c>
      <c r="Z173" s="155">
        <f t="shared" si="15"/>
        <v>0.92275148391723627</v>
      </c>
    </row>
    <row r="174" spans="1:27" ht="32" customHeight="1" x14ac:dyDescent="0.2">
      <c r="A174" s="68" t="s">
        <v>511</v>
      </c>
      <c r="B174" s="68" t="s">
        <v>512</v>
      </c>
      <c r="C174" s="40" t="s">
        <v>513</v>
      </c>
      <c r="D174" s="267" t="s">
        <v>514</v>
      </c>
      <c r="E174" s="77"/>
      <c r="F174" s="41" t="s">
        <v>210</v>
      </c>
      <c r="G174" s="41" t="s">
        <v>356</v>
      </c>
      <c r="H174" s="78"/>
      <c r="I174" s="107" t="s">
        <v>38</v>
      </c>
      <c r="J174" s="107"/>
      <c r="K174" s="109" t="s">
        <v>408</v>
      </c>
      <c r="L174" s="109"/>
      <c r="M174" s="109" t="s">
        <v>515</v>
      </c>
      <c r="N174" s="107"/>
      <c r="O174" s="107"/>
      <c r="P174" s="107"/>
      <c r="U174" s="41" t="s">
        <v>40</v>
      </c>
      <c r="W174" s="172">
        <v>24.194343566894531</v>
      </c>
      <c r="X174" s="95">
        <f>'Additional information'!$D$19</f>
        <v>0.09</v>
      </c>
      <c r="Y174" s="155">
        <f t="shared" si="14"/>
        <v>2.1774909210205076</v>
      </c>
      <c r="Z174" s="155">
        <f t="shared" si="15"/>
        <v>2.1774909210205076</v>
      </c>
    </row>
    <row r="175" spans="1:27" x14ac:dyDescent="0.2">
      <c r="D175" s="272"/>
      <c r="E175" s="77"/>
      <c r="H175" s="78"/>
      <c r="M175" s="116"/>
      <c r="W175" s="172"/>
      <c r="X175" s="95">
        <f>'Additional information'!$D$19</f>
        <v>0.09</v>
      </c>
      <c r="Y175" s="155" t="str">
        <f t="shared" si="14"/>
        <v/>
      </c>
      <c r="Z175" s="155" t="str">
        <f t="shared" si="15"/>
        <v/>
      </c>
    </row>
    <row r="176" spans="1:27" ht="48" customHeight="1" x14ac:dyDescent="0.2">
      <c r="A176" s="68" t="s">
        <v>250</v>
      </c>
      <c r="B176" s="68" t="s">
        <v>516</v>
      </c>
      <c r="C176" s="74" t="s">
        <v>2297</v>
      </c>
      <c r="D176" s="290" t="s">
        <v>2305</v>
      </c>
      <c r="E176" s="77"/>
      <c r="F176" s="301" t="s">
        <v>411</v>
      </c>
      <c r="G176" s="301" t="s">
        <v>253</v>
      </c>
      <c r="H176" s="78"/>
      <c r="I176" s="107" t="s">
        <v>38</v>
      </c>
      <c r="J176" s="107"/>
      <c r="K176" s="107"/>
      <c r="L176" s="107"/>
      <c r="M176" s="109"/>
      <c r="N176" s="107"/>
      <c r="O176" s="107"/>
      <c r="P176" s="107"/>
      <c r="U176" s="41" t="s">
        <v>40</v>
      </c>
      <c r="W176" s="172">
        <v>19.321737289428711</v>
      </c>
      <c r="X176" s="95">
        <f>'Additional information'!$D$19</f>
        <v>0.09</v>
      </c>
      <c r="Y176" s="155">
        <f t="shared" si="14"/>
        <v>1.7389563560485839</v>
      </c>
      <c r="Z176" s="155">
        <f t="shared" si="15"/>
        <v>1.7389563560485839</v>
      </c>
    </row>
    <row r="177" spans="1:27" x14ac:dyDescent="0.2">
      <c r="C177" s="43"/>
      <c r="D177" s="265"/>
      <c r="E177" s="77"/>
      <c r="H177" s="78"/>
      <c r="M177" s="116"/>
      <c r="W177" s="172"/>
      <c r="X177" s="95">
        <f>'Additional information'!$D$19</f>
        <v>0.09</v>
      </c>
      <c r="Y177" s="155" t="str">
        <f t="shared" si="14"/>
        <v/>
      </c>
      <c r="Z177" s="155" t="str">
        <f t="shared" si="15"/>
        <v/>
      </c>
    </row>
    <row r="178" spans="1:27" ht="16" customHeight="1" thickBot="1" x14ac:dyDescent="0.25">
      <c r="A178" s="89" t="s">
        <v>95</v>
      </c>
      <c r="B178" s="89"/>
      <c r="C178" s="90"/>
      <c r="D178" s="273"/>
      <c r="E178" s="99"/>
      <c r="F178" s="89"/>
      <c r="G178" s="89"/>
      <c r="H178" s="100"/>
      <c r="I178" s="117"/>
      <c r="J178" s="117"/>
      <c r="K178" s="117"/>
      <c r="L178" s="117"/>
      <c r="M178" s="117"/>
      <c r="N178" s="117"/>
      <c r="O178" s="117"/>
      <c r="P178" s="117"/>
      <c r="W178" s="172"/>
      <c r="Y178" s="155" t="str">
        <f t="shared" si="14"/>
        <v/>
      </c>
      <c r="Z178" s="155" t="str">
        <f t="shared" si="15"/>
        <v/>
      </c>
    </row>
    <row r="179" spans="1:27" s="66" customFormat="1" ht="17" customHeight="1" thickTop="1" x14ac:dyDescent="0.2">
      <c r="A179" s="63" t="s">
        <v>64</v>
      </c>
      <c r="B179" s="63" t="s">
        <v>517</v>
      </c>
      <c r="C179" s="81" t="s">
        <v>518</v>
      </c>
      <c r="D179" s="197" t="s">
        <v>519</v>
      </c>
      <c r="E179" s="64"/>
      <c r="F179" s="63"/>
      <c r="G179" s="63"/>
      <c r="H179" s="65"/>
      <c r="I179" s="110" t="s">
        <v>73</v>
      </c>
      <c r="J179" s="110"/>
      <c r="K179" s="110"/>
      <c r="L179" s="110"/>
      <c r="M179" s="111" t="s">
        <v>520</v>
      </c>
      <c r="N179" s="110"/>
      <c r="O179" s="110"/>
      <c r="P179" s="110"/>
      <c r="U179" s="41" t="s">
        <v>40</v>
      </c>
      <c r="W179" s="172"/>
      <c r="X179" s="67"/>
      <c r="Y179" s="155" t="str">
        <f t="shared" si="14"/>
        <v/>
      </c>
      <c r="Z179" s="155" t="str">
        <f t="shared" si="15"/>
        <v/>
      </c>
      <c r="AA179" s="67"/>
    </row>
    <row r="180" spans="1:27" s="69" customFormat="1" ht="48" customHeight="1" x14ac:dyDescent="0.2">
      <c r="A180" s="73" t="s">
        <v>67</v>
      </c>
      <c r="B180" s="73" t="s">
        <v>521</v>
      </c>
      <c r="C180" s="74" t="s">
        <v>522</v>
      </c>
      <c r="D180" s="274" t="s">
        <v>523</v>
      </c>
      <c r="E180" s="86"/>
      <c r="H180" s="88"/>
      <c r="I180" s="109"/>
      <c r="J180" s="109"/>
      <c r="K180" s="109"/>
      <c r="L180" s="109"/>
      <c r="M180" s="109"/>
      <c r="N180" s="109"/>
      <c r="O180" s="109"/>
      <c r="P180" s="109"/>
      <c r="U180" s="69" t="s">
        <v>40</v>
      </c>
      <c r="W180" s="172">
        <v>7.5</v>
      </c>
      <c r="X180" s="95">
        <f>'Additional information'!$D$20</f>
        <v>0</v>
      </c>
      <c r="Y180" s="155">
        <f t="shared" si="14"/>
        <v>0</v>
      </c>
      <c r="Z180" s="155">
        <f t="shared" si="15"/>
        <v>0</v>
      </c>
    </row>
    <row r="181" spans="1:27" s="66" customFormat="1" x14ac:dyDescent="0.2">
      <c r="C181" s="82"/>
      <c r="D181" s="202"/>
      <c r="E181" s="64"/>
      <c r="H181" s="65"/>
      <c r="I181" s="111"/>
      <c r="J181" s="111"/>
      <c r="K181" s="111"/>
      <c r="L181" s="111"/>
      <c r="M181" s="111"/>
      <c r="N181" s="111"/>
      <c r="O181" s="111"/>
      <c r="P181" s="111"/>
      <c r="U181" s="41"/>
      <c r="W181" s="172"/>
      <c r="X181" s="95">
        <f>'Additional information'!$D$20</f>
        <v>0</v>
      </c>
      <c r="Y181" s="155" t="str">
        <f t="shared" si="14"/>
        <v/>
      </c>
      <c r="Z181" s="155" t="str">
        <f t="shared" si="15"/>
        <v/>
      </c>
      <c r="AA181" s="67"/>
    </row>
    <row r="182" spans="1:27" ht="16" customHeight="1" x14ac:dyDescent="0.2">
      <c r="A182" s="68" t="s">
        <v>524</v>
      </c>
      <c r="B182" s="68" t="s">
        <v>525</v>
      </c>
      <c r="C182" s="40" t="s">
        <v>526</v>
      </c>
      <c r="D182" s="267" t="s">
        <v>527</v>
      </c>
      <c r="E182" s="77"/>
      <c r="F182" s="41" t="s">
        <v>528</v>
      </c>
      <c r="G182" s="41" t="s">
        <v>344</v>
      </c>
      <c r="H182" s="78"/>
      <c r="I182" s="107" t="s">
        <v>38</v>
      </c>
      <c r="J182" s="107"/>
      <c r="K182" s="107" t="s">
        <v>408</v>
      </c>
      <c r="L182" s="107"/>
      <c r="M182" s="107"/>
      <c r="N182" s="107"/>
      <c r="O182" s="107"/>
      <c r="P182" s="107"/>
      <c r="U182" s="41" t="s">
        <v>40</v>
      </c>
      <c r="W182" s="172">
        <v>19.090116500854489</v>
      </c>
      <c r="X182" s="95">
        <f>'Additional information'!$D$20</f>
        <v>0</v>
      </c>
      <c r="Y182" s="155">
        <f t="shared" si="14"/>
        <v>0</v>
      </c>
      <c r="Z182" s="155">
        <f t="shared" si="15"/>
        <v>0</v>
      </c>
    </row>
    <row r="183" spans="1:27" x14ac:dyDescent="0.2">
      <c r="D183" s="275"/>
      <c r="E183" s="77"/>
      <c r="H183" s="78"/>
      <c r="W183" s="172"/>
      <c r="X183" s="95">
        <f>'Additional information'!$D$20</f>
        <v>0</v>
      </c>
      <c r="Y183" s="155" t="str">
        <f t="shared" si="14"/>
        <v/>
      </c>
      <c r="Z183" s="155" t="str">
        <f t="shared" si="15"/>
        <v/>
      </c>
    </row>
    <row r="184" spans="1:27" ht="32" customHeight="1" x14ac:dyDescent="0.2">
      <c r="A184" s="68" t="s">
        <v>250</v>
      </c>
      <c r="B184" s="68" t="s">
        <v>529</v>
      </c>
      <c r="C184" s="40" t="s">
        <v>530</v>
      </c>
      <c r="D184" s="267" t="s">
        <v>531</v>
      </c>
      <c r="E184" s="77"/>
      <c r="H184" s="78"/>
      <c r="I184" s="107" t="s">
        <v>38</v>
      </c>
      <c r="J184" s="107"/>
      <c r="K184" s="107"/>
      <c r="L184" s="107"/>
      <c r="M184" s="107"/>
      <c r="N184" s="107"/>
      <c r="O184" s="107"/>
      <c r="P184" s="107"/>
      <c r="U184" s="41" t="s">
        <v>40</v>
      </c>
      <c r="W184" s="172">
        <v>17.656976699829102</v>
      </c>
      <c r="X184" s="95">
        <f>'Additional information'!$D$20</f>
        <v>0</v>
      </c>
      <c r="Y184" s="155">
        <f t="shared" si="14"/>
        <v>0</v>
      </c>
      <c r="Z184" s="155">
        <f t="shared" si="15"/>
        <v>0</v>
      </c>
    </row>
    <row r="185" spans="1:27" x14ac:dyDescent="0.2">
      <c r="D185" s="272"/>
      <c r="E185" s="77"/>
      <c r="H185" s="78"/>
      <c r="W185" s="172"/>
      <c r="X185" s="95">
        <f>'Additional information'!$D$20</f>
        <v>0</v>
      </c>
      <c r="Y185" s="155" t="str">
        <f t="shared" si="14"/>
        <v/>
      </c>
      <c r="Z185" s="155" t="str">
        <f t="shared" si="15"/>
        <v/>
      </c>
    </row>
    <row r="186" spans="1:27" ht="32" customHeight="1" x14ac:dyDescent="0.2">
      <c r="A186" s="68" t="s">
        <v>157</v>
      </c>
      <c r="B186" s="68" t="s">
        <v>532</v>
      </c>
      <c r="C186" s="40" t="s">
        <v>533</v>
      </c>
      <c r="D186" s="267" t="s">
        <v>534</v>
      </c>
      <c r="E186" s="77"/>
      <c r="H186" s="78"/>
      <c r="I186" s="107" t="s">
        <v>38</v>
      </c>
      <c r="J186" s="107"/>
      <c r="K186" s="107"/>
      <c r="L186" s="107"/>
      <c r="M186" s="107"/>
      <c r="N186" s="107"/>
      <c r="O186" s="107"/>
      <c r="P186" s="107"/>
      <c r="U186" s="41" t="s">
        <v>40</v>
      </c>
      <c r="W186" s="173">
        <v>8.7647056579589844</v>
      </c>
      <c r="X186" s="95">
        <f>'Additional information'!$D$20</f>
        <v>0</v>
      </c>
      <c r="Y186" s="155">
        <f t="shared" si="14"/>
        <v>0</v>
      </c>
      <c r="Z186" s="155">
        <f t="shared" si="15"/>
        <v>0</v>
      </c>
    </row>
    <row r="187" spans="1:27" ht="32" customHeight="1" x14ac:dyDescent="0.2">
      <c r="A187" s="68" t="s">
        <v>535</v>
      </c>
      <c r="B187" s="68" t="s">
        <v>536</v>
      </c>
      <c r="C187" s="40" t="s">
        <v>537</v>
      </c>
      <c r="D187" s="267" t="s">
        <v>538</v>
      </c>
      <c r="E187" s="77"/>
      <c r="F187" s="41" t="s">
        <v>210</v>
      </c>
      <c r="G187" s="41" t="s">
        <v>356</v>
      </c>
      <c r="H187" s="78"/>
      <c r="I187" s="107"/>
      <c r="J187" s="107"/>
      <c r="K187" s="109" t="s">
        <v>408</v>
      </c>
      <c r="L187" s="107"/>
      <c r="M187" s="109" t="s">
        <v>539</v>
      </c>
      <c r="N187" s="107"/>
      <c r="O187" s="107"/>
      <c r="P187" s="107"/>
      <c r="U187" s="41" t="s">
        <v>40</v>
      </c>
      <c r="W187" s="173">
        <v>27.9538459777832</v>
      </c>
      <c r="X187" s="95">
        <f>'Additional information'!$D$20</f>
        <v>0</v>
      </c>
      <c r="Y187" s="155">
        <f t="shared" si="14"/>
        <v>0</v>
      </c>
      <c r="Z187" s="155">
        <f t="shared" si="15"/>
        <v>0</v>
      </c>
    </row>
    <row r="188" spans="1:27" ht="16" customHeight="1" x14ac:dyDescent="0.2">
      <c r="A188" s="68" t="s">
        <v>32</v>
      </c>
      <c r="B188" s="68" t="s">
        <v>540</v>
      </c>
      <c r="C188" s="74" t="s">
        <v>34</v>
      </c>
      <c r="D188" s="43" t="s">
        <v>214</v>
      </c>
      <c r="E188" s="86"/>
      <c r="F188" s="69" t="s">
        <v>215</v>
      </c>
      <c r="G188" s="69" t="s">
        <v>337</v>
      </c>
      <c r="H188" s="78"/>
      <c r="I188" s="107" t="s">
        <v>38</v>
      </c>
      <c r="J188" s="107"/>
      <c r="K188" s="107"/>
      <c r="L188" s="107"/>
      <c r="M188" s="107" t="s">
        <v>541</v>
      </c>
      <c r="N188" s="107"/>
      <c r="O188" s="107"/>
      <c r="P188" s="107"/>
      <c r="U188" s="41" t="s">
        <v>40</v>
      </c>
      <c r="W188" s="172"/>
      <c r="X188" s="95">
        <f>'Additional information'!$D$20</f>
        <v>0</v>
      </c>
      <c r="Y188" s="155" t="str">
        <f t="shared" si="14"/>
        <v/>
      </c>
      <c r="Z188" s="155" t="str">
        <f t="shared" si="15"/>
        <v/>
      </c>
    </row>
    <row r="189" spans="1:27" x14ac:dyDescent="0.2">
      <c r="D189" s="276"/>
      <c r="E189" s="77"/>
      <c r="H189" s="78"/>
      <c r="W189" s="172"/>
      <c r="X189" s="95">
        <f>'Additional information'!$D$20</f>
        <v>0</v>
      </c>
      <c r="Y189" s="155" t="str">
        <f t="shared" si="14"/>
        <v/>
      </c>
      <c r="Z189" s="155" t="str">
        <f t="shared" si="15"/>
        <v/>
      </c>
    </row>
    <row r="190" spans="1:27" s="70" customFormat="1" ht="32" customHeight="1" x14ac:dyDescent="0.2">
      <c r="A190" s="70" t="s">
        <v>542</v>
      </c>
      <c r="B190" s="70" t="s">
        <v>543</v>
      </c>
      <c r="C190" s="71" t="s">
        <v>544</v>
      </c>
      <c r="D190" s="263" t="s">
        <v>545</v>
      </c>
      <c r="E190" s="72"/>
      <c r="F190" s="70" t="s">
        <v>528</v>
      </c>
      <c r="G190" s="70" t="s">
        <v>344</v>
      </c>
      <c r="H190" s="76"/>
      <c r="I190" s="108" t="s">
        <v>38</v>
      </c>
      <c r="J190" s="108"/>
      <c r="K190" s="108" t="s">
        <v>408</v>
      </c>
      <c r="L190" s="108"/>
      <c r="M190" s="108" t="s">
        <v>546</v>
      </c>
      <c r="N190" s="108"/>
      <c r="O190" s="108"/>
      <c r="P190" s="108"/>
      <c r="U190" s="70" t="s">
        <v>74</v>
      </c>
      <c r="W190" s="172">
        <v>21.25</v>
      </c>
      <c r="X190" s="95">
        <f>'Additional information'!$D$20</f>
        <v>0</v>
      </c>
      <c r="Y190" s="155">
        <f t="shared" si="14"/>
        <v>0</v>
      </c>
      <c r="Z190" s="155" t="str">
        <f t="shared" si="15"/>
        <v/>
      </c>
      <c r="AA190" s="69"/>
    </row>
    <row r="191" spans="1:27" s="70" customFormat="1" ht="16" customHeight="1" x14ac:dyDescent="0.2">
      <c r="A191" s="70" t="s">
        <v>32</v>
      </c>
      <c r="B191" s="70" t="s">
        <v>547</v>
      </c>
      <c r="C191" s="71" t="s">
        <v>34</v>
      </c>
      <c r="D191" s="71" t="s">
        <v>214</v>
      </c>
      <c r="E191" s="72"/>
      <c r="F191" s="70" t="s">
        <v>215</v>
      </c>
      <c r="G191" s="70" t="s">
        <v>337</v>
      </c>
      <c r="H191" s="76"/>
      <c r="I191" s="108" t="s">
        <v>38</v>
      </c>
      <c r="J191" s="108"/>
      <c r="K191" s="108"/>
      <c r="L191" s="108"/>
      <c r="M191" s="108" t="s">
        <v>548</v>
      </c>
      <c r="N191" s="108"/>
      <c r="O191" s="108"/>
      <c r="P191" s="108"/>
      <c r="U191" s="70" t="s">
        <v>74</v>
      </c>
      <c r="W191" s="172"/>
      <c r="X191" s="95">
        <f>'Additional information'!$D$20</f>
        <v>0</v>
      </c>
      <c r="Y191" s="155" t="str">
        <f t="shared" si="14"/>
        <v/>
      </c>
      <c r="Z191" s="155" t="str">
        <f t="shared" si="15"/>
        <v/>
      </c>
      <c r="AA191" s="69"/>
    </row>
    <row r="192" spans="1:27" s="70" customFormat="1" x14ac:dyDescent="0.2">
      <c r="C192" s="71"/>
      <c r="D192" s="263"/>
      <c r="E192" s="72"/>
      <c r="H192" s="76"/>
      <c r="I192" s="108"/>
      <c r="J192" s="108"/>
      <c r="K192" s="108"/>
      <c r="L192" s="108"/>
      <c r="M192" s="108"/>
      <c r="N192" s="108"/>
      <c r="O192" s="108"/>
      <c r="P192" s="108"/>
      <c r="W192" s="172"/>
      <c r="X192" s="95">
        <f>'Additional information'!$D$20</f>
        <v>0</v>
      </c>
      <c r="Y192" s="155" t="str">
        <f t="shared" si="14"/>
        <v/>
      </c>
      <c r="Z192" s="155" t="str">
        <f t="shared" si="15"/>
        <v/>
      </c>
      <c r="AA192" s="69"/>
    </row>
    <row r="193" spans="1:27" ht="16" customHeight="1" thickBot="1" x14ac:dyDescent="0.25">
      <c r="A193" s="84" t="s">
        <v>95</v>
      </c>
      <c r="B193" s="84"/>
      <c r="C193" s="85"/>
      <c r="D193" s="85"/>
      <c r="E193" s="79"/>
      <c r="F193" s="84"/>
      <c r="G193" s="84"/>
      <c r="H193" s="80"/>
      <c r="I193" s="115"/>
      <c r="J193" s="115"/>
      <c r="K193" s="115"/>
      <c r="L193" s="115"/>
      <c r="M193" s="115"/>
      <c r="N193" s="115"/>
      <c r="O193" s="115"/>
      <c r="P193" s="115"/>
      <c r="W193" s="172"/>
      <c r="Y193" s="155" t="str">
        <f t="shared" si="14"/>
        <v/>
      </c>
      <c r="Z193" s="155" t="str">
        <f t="shared" si="15"/>
        <v/>
      </c>
    </row>
    <row r="194" spans="1:27" s="66" customFormat="1" ht="17" customHeight="1" thickTop="1" x14ac:dyDescent="0.2">
      <c r="A194" s="63" t="s">
        <v>64</v>
      </c>
      <c r="B194" s="63" t="s">
        <v>549</v>
      </c>
      <c r="C194" s="81" t="s">
        <v>550</v>
      </c>
      <c r="D194" s="197" t="s">
        <v>551</v>
      </c>
      <c r="E194" s="64"/>
      <c r="F194" s="63"/>
      <c r="G194" s="63"/>
      <c r="H194" s="65"/>
      <c r="I194" s="110" t="s">
        <v>73</v>
      </c>
      <c r="J194" s="110"/>
      <c r="K194" s="110"/>
      <c r="L194" s="110"/>
      <c r="M194" s="110" t="s">
        <v>552</v>
      </c>
      <c r="N194" s="110"/>
      <c r="O194" s="110"/>
      <c r="P194" s="110"/>
      <c r="U194" s="41" t="s">
        <v>40</v>
      </c>
      <c r="W194" s="172"/>
      <c r="X194" s="67"/>
      <c r="Y194" s="155" t="str">
        <f t="shared" si="14"/>
        <v/>
      </c>
      <c r="Z194" s="155" t="str">
        <f t="shared" si="15"/>
        <v/>
      </c>
      <c r="AA194" s="67"/>
    </row>
    <row r="195" spans="1:27" s="66" customFormat="1" x14ac:dyDescent="0.2">
      <c r="C195" s="82"/>
      <c r="D195" s="82"/>
      <c r="E195" s="64"/>
      <c r="H195" s="65"/>
      <c r="I195" s="111"/>
      <c r="J195" s="111"/>
      <c r="K195" s="111"/>
      <c r="L195" s="111"/>
      <c r="M195" s="111"/>
      <c r="N195" s="111"/>
      <c r="O195" s="111"/>
      <c r="P195" s="111"/>
      <c r="U195" s="41"/>
      <c r="W195" s="172"/>
      <c r="X195" s="95">
        <f>'Additional information'!$D$20</f>
        <v>0</v>
      </c>
      <c r="Y195" s="155" t="str">
        <f t="shared" si="14"/>
        <v/>
      </c>
      <c r="Z195" s="155" t="str">
        <f t="shared" si="15"/>
        <v/>
      </c>
      <c r="AA195" s="67"/>
    </row>
    <row r="196" spans="1:27" s="66" customFormat="1" ht="32" customHeight="1" x14ac:dyDescent="0.2">
      <c r="A196" s="68" t="s">
        <v>553</v>
      </c>
      <c r="B196" s="68" t="s">
        <v>554</v>
      </c>
      <c r="C196" s="40" t="s">
        <v>555</v>
      </c>
      <c r="D196" s="40" t="s">
        <v>556</v>
      </c>
      <c r="E196" s="77"/>
      <c r="F196" s="68"/>
      <c r="G196" s="68"/>
      <c r="H196" s="78"/>
      <c r="I196" s="107" t="s">
        <v>38</v>
      </c>
      <c r="J196" s="110"/>
      <c r="K196" s="110"/>
      <c r="L196" s="110"/>
      <c r="M196" s="110"/>
      <c r="N196" s="110"/>
      <c r="O196" s="110"/>
      <c r="P196" s="110"/>
      <c r="U196" s="41" t="s">
        <v>40</v>
      </c>
      <c r="W196" s="172">
        <v>14.38495540618896</v>
      </c>
      <c r="X196" s="95">
        <f>'Additional information'!$D$20</f>
        <v>0</v>
      </c>
      <c r="Y196" s="155">
        <f t="shared" si="14"/>
        <v>0</v>
      </c>
      <c r="Z196" s="155">
        <f t="shared" si="15"/>
        <v>0</v>
      </c>
      <c r="AA196" s="67"/>
    </row>
    <row r="197" spans="1:27" x14ac:dyDescent="0.2">
      <c r="A197" s="68" t="s">
        <v>26</v>
      </c>
      <c r="B197" s="68" t="s">
        <v>557</v>
      </c>
      <c r="C197" s="40"/>
      <c r="D197" s="40"/>
      <c r="E197" s="77"/>
      <c r="F197" s="68"/>
      <c r="G197" s="68"/>
      <c r="H197" s="78"/>
      <c r="I197" s="107"/>
      <c r="J197" s="107"/>
      <c r="K197" s="107"/>
      <c r="L197" s="107"/>
      <c r="M197" s="107"/>
      <c r="N197" s="107"/>
      <c r="O197" s="107"/>
      <c r="P197" s="107" t="s">
        <v>558</v>
      </c>
      <c r="U197" s="41" t="s">
        <v>40</v>
      </c>
      <c r="W197" s="172"/>
      <c r="X197" s="95">
        <f>'Additional information'!$D$20</f>
        <v>0</v>
      </c>
      <c r="Y197" s="155" t="str">
        <f t="shared" si="14"/>
        <v/>
      </c>
      <c r="Z197" s="155" t="str">
        <f t="shared" si="15"/>
        <v/>
      </c>
    </row>
    <row r="198" spans="1:27" ht="16" customHeight="1" x14ac:dyDescent="0.2">
      <c r="A198" s="68" t="s">
        <v>32</v>
      </c>
      <c r="B198" s="68" t="s">
        <v>559</v>
      </c>
      <c r="C198" s="74" t="s">
        <v>34</v>
      </c>
      <c r="D198" s="43" t="s">
        <v>214</v>
      </c>
      <c r="E198" s="86"/>
      <c r="F198" s="69" t="s">
        <v>215</v>
      </c>
      <c r="G198" s="69" t="s">
        <v>337</v>
      </c>
      <c r="H198" s="78"/>
      <c r="I198" s="107" t="s">
        <v>38</v>
      </c>
      <c r="J198" s="107"/>
      <c r="K198" s="107"/>
      <c r="L198" s="107"/>
      <c r="M198" s="109" t="s">
        <v>560</v>
      </c>
      <c r="N198" s="107"/>
      <c r="O198" s="107"/>
      <c r="P198" s="107"/>
      <c r="U198" s="41" t="s">
        <v>40</v>
      </c>
      <c r="W198" s="172"/>
      <c r="X198" s="95">
        <f>'Additional information'!$D$20</f>
        <v>0</v>
      </c>
      <c r="Y198" s="155" t="str">
        <f t="shared" si="14"/>
        <v/>
      </c>
      <c r="Z198" s="155" t="str">
        <f t="shared" si="15"/>
        <v/>
      </c>
    </row>
    <row r="199" spans="1:27" x14ac:dyDescent="0.2">
      <c r="D199" s="41"/>
      <c r="E199" s="77"/>
      <c r="H199" s="78"/>
      <c r="M199" s="116"/>
      <c r="W199" s="172"/>
      <c r="X199" s="95">
        <f>'Additional information'!$D$20</f>
        <v>0</v>
      </c>
      <c r="Y199" s="155" t="str">
        <f t="shared" ref="Y199:Y230" si="16">IF(W199&lt;&gt;"",W199*X199,"")</f>
        <v/>
      </c>
      <c r="Z199" s="155" t="str">
        <f t="shared" ref="Z199:Z230" si="17">IF(AND(W199&lt;&gt;"",U199="yes"),W199*X199,"")</f>
        <v/>
      </c>
    </row>
    <row r="200" spans="1:27" ht="32" customHeight="1" x14ac:dyDescent="0.2">
      <c r="A200" s="68" t="s">
        <v>157</v>
      </c>
      <c r="B200" s="68" t="s">
        <v>561</v>
      </c>
      <c r="C200" s="40" t="s">
        <v>562</v>
      </c>
      <c r="D200" s="40" t="s">
        <v>563</v>
      </c>
      <c r="E200" s="77"/>
      <c r="F200" s="68"/>
      <c r="G200" s="68"/>
      <c r="H200" s="78"/>
      <c r="I200" s="107" t="s">
        <v>38</v>
      </c>
      <c r="J200" s="107"/>
      <c r="K200" s="107"/>
      <c r="L200" s="107"/>
      <c r="M200" s="107"/>
      <c r="N200" s="107"/>
      <c r="O200" s="107"/>
      <c r="P200" s="107"/>
      <c r="U200" s="41" t="s">
        <v>40</v>
      </c>
      <c r="W200" s="172">
        <v>9.4380531311035156</v>
      </c>
      <c r="X200" s="95">
        <f>'Additional information'!$D$20</f>
        <v>0</v>
      </c>
      <c r="Y200" s="155">
        <f t="shared" si="16"/>
        <v>0</v>
      </c>
      <c r="Z200" s="155">
        <f t="shared" si="17"/>
        <v>0</v>
      </c>
    </row>
    <row r="201" spans="1:27" ht="32" customHeight="1" x14ac:dyDescent="0.2">
      <c r="A201" s="68" t="s">
        <v>564</v>
      </c>
      <c r="B201" s="68" t="s">
        <v>565</v>
      </c>
      <c r="C201" s="40" t="s">
        <v>566</v>
      </c>
      <c r="D201" s="40" t="s">
        <v>567</v>
      </c>
      <c r="E201" s="77"/>
      <c r="F201" s="68" t="s">
        <v>343</v>
      </c>
      <c r="G201" s="41" t="s">
        <v>344</v>
      </c>
      <c r="H201" s="78"/>
      <c r="I201" s="107" t="s">
        <v>38</v>
      </c>
      <c r="J201" s="107"/>
      <c r="K201" s="109" t="s">
        <v>408</v>
      </c>
      <c r="L201" s="107"/>
      <c r="M201" s="109" t="s">
        <v>568</v>
      </c>
      <c r="N201" s="107"/>
      <c r="O201" s="107"/>
      <c r="P201" s="107"/>
      <c r="U201" s="41" t="s">
        <v>40</v>
      </c>
      <c r="W201" s="172">
        <v>27.76699066162109</v>
      </c>
      <c r="X201" s="95">
        <f>'Additional information'!$D$20</f>
        <v>0</v>
      </c>
      <c r="Y201" s="155">
        <f t="shared" si="16"/>
        <v>0</v>
      </c>
      <c r="Z201" s="155">
        <f t="shared" si="17"/>
        <v>0</v>
      </c>
    </row>
    <row r="202" spans="1:27" ht="16" customHeight="1" x14ac:dyDescent="0.2">
      <c r="A202" s="68" t="s">
        <v>32</v>
      </c>
      <c r="B202" s="68" t="s">
        <v>569</v>
      </c>
      <c r="C202" s="74" t="s">
        <v>34</v>
      </c>
      <c r="D202" s="43" t="s">
        <v>214</v>
      </c>
      <c r="E202" s="86"/>
      <c r="F202" s="69" t="s">
        <v>215</v>
      </c>
      <c r="G202" s="69" t="s">
        <v>337</v>
      </c>
      <c r="H202" s="78"/>
      <c r="I202" s="107" t="s">
        <v>38</v>
      </c>
      <c r="J202" s="107"/>
      <c r="K202" s="107"/>
      <c r="L202" s="107"/>
      <c r="M202" s="109" t="s">
        <v>570</v>
      </c>
      <c r="N202" s="107"/>
      <c r="O202" s="107"/>
      <c r="P202" s="107"/>
      <c r="U202" s="41" t="s">
        <v>40</v>
      </c>
      <c r="W202" s="172"/>
      <c r="X202" s="95">
        <f>'Additional information'!$D$20</f>
        <v>0</v>
      </c>
      <c r="Y202" s="155" t="str">
        <f t="shared" si="16"/>
        <v/>
      </c>
      <c r="Z202" s="155" t="str">
        <f t="shared" si="17"/>
        <v/>
      </c>
    </row>
    <row r="203" spans="1:27" x14ac:dyDescent="0.2">
      <c r="E203" s="77"/>
      <c r="H203" s="78"/>
      <c r="M203" s="116"/>
      <c r="W203" s="172"/>
      <c r="X203" s="95">
        <f>'Additional information'!$D$20</f>
        <v>0</v>
      </c>
      <c r="Y203" s="155" t="str">
        <f t="shared" si="16"/>
        <v/>
      </c>
      <c r="Z203" s="155" t="str">
        <f t="shared" si="17"/>
        <v/>
      </c>
    </row>
    <row r="204" spans="1:27" ht="32" customHeight="1" x14ac:dyDescent="0.2">
      <c r="A204" s="68" t="s">
        <v>250</v>
      </c>
      <c r="B204" s="68" t="s">
        <v>571</v>
      </c>
      <c r="C204" s="74" t="s">
        <v>2298</v>
      </c>
      <c r="D204" s="289" t="s">
        <v>2306</v>
      </c>
      <c r="E204" s="77"/>
      <c r="F204" s="68" t="s">
        <v>572</v>
      </c>
      <c r="G204" s="94" t="s">
        <v>573</v>
      </c>
      <c r="H204" s="78"/>
      <c r="I204" s="107" t="s">
        <v>38</v>
      </c>
      <c r="J204" s="107"/>
      <c r="K204" s="107"/>
      <c r="L204" s="107"/>
      <c r="M204" s="109"/>
      <c r="N204" s="107"/>
      <c r="O204" s="107"/>
      <c r="P204" s="107"/>
      <c r="U204" s="41" t="s">
        <v>40</v>
      </c>
      <c r="W204" s="172">
        <v>13.705752372741699</v>
      </c>
      <c r="X204" s="95">
        <f>'Additional information'!$D$20</f>
        <v>0</v>
      </c>
      <c r="Y204" s="155">
        <f t="shared" si="16"/>
        <v>0</v>
      </c>
      <c r="Z204" s="155">
        <f t="shared" si="17"/>
        <v>0</v>
      </c>
    </row>
    <row r="205" spans="1:27" x14ac:dyDescent="0.2">
      <c r="C205" s="43"/>
      <c r="D205" s="43"/>
      <c r="E205" s="77"/>
      <c r="H205" s="78"/>
      <c r="M205" s="116"/>
      <c r="W205" s="172"/>
      <c r="X205" s="95">
        <f>'Additional information'!$D$20</f>
        <v>0</v>
      </c>
      <c r="Y205" s="155" t="str">
        <f t="shared" si="16"/>
        <v/>
      </c>
      <c r="Z205" s="155" t="str">
        <f t="shared" si="17"/>
        <v/>
      </c>
    </row>
    <row r="206" spans="1:27" ht="16" customHeight="1" thickBot="1" x14ac:dyDescent="0.25">
      <c r="A206" s="89" t="s">
        <v>95</v>
      </c>
      <c r="B206" s="89"/>
      <c r="C206" s="90"/>
      <c r="D206" s="90"/>
      <c r="E206" s="99"/>
      <c r="F206" s="89"/>
      <c r="G206" s="89"/>
      <c r="H206" s="100"/>
      <c r="I206" s="117"/>
      <c r="J206" s="117"/>
      <c r="K206" s="117"/>
      <c r="L206" s="117"/>
      <c r="M206" s="117"/>
      <c r="N206" s="117"/>
      <c r="O206" s="117"/>
      <c r="P206" s="117"/>
      <c r="W206" s="172"/>
      <c r="Y206" s="155" t="str">
        <f t="shared" si="16"/>
        <v/>
      </c>
      <c r="Z206" s="155" t="str">
        <f t="shared" si="17"/>
        <v/>
      </c>
    </row>
    <row r="207" spans="1:27" s="66" customFormat="1" ht="17" customHeight="1" thickTop="1" x14ac:dyDescent="0.2">
      <c r="A207" s="63" t="s">
        <v>64</v>
      </c>
      <c r="B207" s="63" t="s">
        <v>574</v>
      </c>
      <c r="C207" s="81" t="s">
        <v>575</v>
      </c>
      <c r="D207" s="197" t="s">
        <v>576</v>
      </c>
      <c r="E207" s="64"/>
      <c r="F207" s="63"/>
      <c r="G207" s="63"/>
      <c r="H207" s="65"/>
      <c r="I207" s="110" t="s">
        <v>73</v>
      </c>
      <c r="J207" s="110"/>
      <c r="K207" s="110"/>
      <c r="L207" s="110"/>
      <c r="M207" s="110" t="s">
        <v>181</v>
      </c>
      <c r="N207" s="110"/>
      <c r="O207" s="110"/>
      <c r="P207" s="110"/>
      <c r="U207" s="41" t="s">
        <v>40</v>
      </c>
      <c r="W207" s="172"/>
      <c r="X207" s="67"/>
      <c r="Y207" s="155" t="str">
        <f t="shared" si="16"/>
        <v/>
      </c>
      <c r="Z207" s="155" t="str">
        <f t="shared" si="17"/>
        <v/>
      </c>
      <c r="AA207" s="67"/>
    </row>
    <row r="208" spans="1:27" x14ac:dyDescent="0.2">
      <c r="C208" s="43"/>
      <c r="D208" s="43"/>
      <c r="E208" s="77"/>
      <c r="H208" s="78"/>
      <c r="M208" s="116"/>
      <c r="W208" s="172"/>
      <c r="X208" s="95">
        <v>1</v>
      </c>
      <c r="Y208" s="155" t="str">
        <f t="shared" si="16"/>
        <v/>
      </c>
      <c r="Z208" s="155" t="str">
        <f t="shared" si="17"/>
        <v/>
      </c>
    </row>
    <row r="209" spans="1:27" s="66" customFormat="1" ht="48" customHeight="1" x14ac:dyDescent="0.2">
      <c r="A209" s="68" t="s">
        <v>67</v>
      </c>
      <c r="B209" s="68" t="s">
        <v>577</v>
      </c>
      <c r="C209" s="40" t="s">
        <v>578</v>
      </c>
      <c r="D209" s="271" t="s">
        <v>579</v>
      </c>
      <c r="E209" s="64"/>
      <c r="H209" s="65"/>
      <c r="I209" s="110"/>
      <c r="J209" s="110"/>
      <c r="K209" s="110"/>
      <c r="L209" s="110"/>
      <c r="M209" s="110"/>
      <c r="N209" s="110"/>
      <c r="O209" s="110"/>
      <c r="P209" s="110"/>
      <c r="U209" s="41" t="s">
        <v>74</v>
      </c>
      <c r="W209" s="172"/>
      <c r="X209" s="96">
        <v>1</v>
      </c>
      <c r="Y209" s="155" t="str">
        <f t="shared" si="16"/>
        <v/>
      </c>
      <c r="Z209" s="155" t="str">
        <f t="shared" si="17"/>
        <v/>
      </c>
      <c r="AA209" s="67"/>
    </row>
    <row r="210" spans="1:27" x14ac:dyDescent="0.2">
      <c r="C210" s="43"/>
      <c r="D210" s="43"/>
      <c r="E210" s="77"/>
      <c r="H210" s="78"/>
      <c r="M210" s="116"/>
      <c r="W210" s="172"/>
      <c r="X210" s="95">
        <v>1</v>
      </c>
      <c r="Y210" s="155" t="str">
        <f t="shared" si="16"/>
        <v/>
      </c>
      <c r="Z210" s="155" t="str">
        <f t="shared" si="17"/>
        <v/>
      </c>
    </row>
    <row r="211" spans="1:27" s="66" customFormat="1" ht="16" customHeight="1" x14ac:dyDescent="0.2">
      <c r="A211" s="68" t="s">
        <v>64</v>
      </c>
      <c r="B211" s="68" t="s">
        <v>580</v>
      </c>
      <c r="C211" s="81" t="s">
        <v>581</v>
      </c>
      <c r="D211" s="6"/>
      <c r="E211" s="64"/>
      <c r="F211" s="63"/>
      <c r="G211" s="63"/>
      <c r="H211" s="65"/>
      <c r="I211" s="110"/>
      <c r="J211" s="110"/>
      <c r="K211" s="110"/>
      <c r="L211" s="110"/>
      <c r="M211" s="110"/>
      <c r="N211" s="110"/>
      <c r="O211" s="110"/>
      <c r="P211" s="110"/>
      <c r="U211" s="41"/>
      <c r="W211" s="172"/>
      <c r="X211" s="96">
        <v>1</v>
      </c>
      <c r="Y211" s="155" t="str">
        <f t="shared" si="16"/>
        <v/>
      </c>
      <c r="Z211" s="155" t="str">
        <f t="shared" si="17"/>
        <v/>
      </c>
      <c r="AA211" s="67"/>
    </row>
    <row r="212" spans="1:27" ht="32" customHeight="1" x14ac:dyDescent="0.2">
      <c r="A212" s="68" t="s">
        <v>67</v>
      </c>
      <c r="B212" s="68" t="s">
        <v>582</v>
      </c>
      <c r="C212" s="40" t="s">
        <v>583</v>
      </c>
      <c r="D212" s="40" t="s">
        <v>584</v>
      </c>
      <c r="E212" s="77"/>
      <c r="F212" s="68"/>
      <c r="G212" s="68"/>
      <c r="H212" s="78"/>
      <c r="I212" s="107" t="s">
        <v>73</v>
      </c>
      <c r="J212" s="107"/>
      <c r="K212" s="107"/>
      <c r="L212" s="107"/>
      <c r="M212" s="107"/>
      <c r="N212" s="107"/>
      <c r="O212" s="107"/>
      <c r="P212" s="107"/>
      <c r="U212" s="41" t="s">
        <v>40</v>
      </c>
      <c r="W212" s="172">
        <v>12.77690315246582</v>
      </c>
      <c r="X212" s="96">
        <v>1</v>
      </c>
      <c r="Y212" s="155">
        <f t="shared" si="16"/>
        <v>12.77690315246582</v>
      </c>
      <c r="Z212" s="155">
        <f t="shared" si="17"/>
        <v>12.77690315246582</v>
      </c>
    </row>
    <row r="213" spans="1:27" ht="48" customHeight="1" x14ac:dyDescent="0.2">
      <c r="A213" s="68" t="s">
        <v>157</v>
      </c>
      <c r="B213" s="68" t="s">
        <v>585</v>
      </c>
      <c r="C213" s="40" t="s">
        <v>586</v>
      </c>
      <c r="D213" s="291" t="s">
        <v>587</v>
      </c>
      <c r="E213" s="77"/>
      <c r="F213" s="68"/>
      <c r="G213" s="68"/>
      <c r="H213" s="78"/>
      <c r="I213" s="107" t="s">
        <v>38</v>
      </c>
      <c r="J213" s="107"/>
      <c r="K213" s="107"/>
      <c r="L213" s="107"/>
      <c r="M213" s="107"/>
      <c r="N213" s="107"/>
      <c r="O213" s="107"/>
      <c r="P213" s="107"/>
      <c r="U213" s="41" t="s">
        <v>40</v>
      </c>
      <c r="W213" s="172">
        <v>21.398605346679691</v>
      </c>
      <c r="X213" s="96">
        <v>1</v>
      </c>
      <c r="Y213" s="155">
        <f t="shared" si="16"/>
        <v>21.398605346679691</v>
      </c>
      <c r="Z213" s="155">
        <f t="shared" si="17"/>
        <v>21.398605346679691</v>
      </c>
    </row>
    <row r="214" spans="1:27" ht="48" customHeight="1" x14ac:dyDescent="0.2">
      <c r="A214" s="68" t="s">
        <v>157</v>
      </c>
      <c r="B214" s="68" t="s">
        <v>588</v>
      </c>
      <c r="C214" s="40" t="s">
        <v>589</v>
      </c>
      <c r="D214" s="291" t="s">
        <v>590</v>
      </c>
      <c r="E214" s="77"/>
      <c r="F214" s="68"/>
      <c r="G214" s="68"/>
      <c r="H214" s="78"/>
      <c r="I214" s="107" t="s">
        <v>38</v>
      </c>
      <c r="J214" s="107"/>
      <c r="K214" s="107"/>
      <c r="L214" s="107"/>
      <c r="M214" s="107"/>
      <c r="N214" s="107"/>
      <c r="O214" s="107"/>
      <c r="P214" s="107"/>
      <c r="U214" s="41" t="s">
        <v>40</v>
      </c>
      <c r="W214" s="172">
        <v>14.980740547180179</v>
      </c>
      <c r="X214" s="96">
        <v>1</v>
      </c>
      <c r="Y214" s="155">
        <f t="shared" si="16"/>
        <v>14.980740547180179</v>
      </c>
      <c r="Z214" s="155">
        <f t="shared" si="17"/>
        <v>14.980740547180179</v>
      </c>
    </row>
    <row r="215" spans="1:27" ht="32" customHeight="1" x14ac:dyDescent="0.2">
      <c r="A215" s="68" t="s">
        <v>157</v>
      </c>
      <c r="B215" s="68" t="s">
        <v>591</v>
      </c>
      <c r="C215" s="40" t="s">
        <v>592</v>
      </c>
      <c r="D215" s="291" t="s">
        <v>593</v>
      </c>
      <c r="E215" s="77"/>
      <c r="F215" s="68"/>
      <c r="G215" s="68"/>
      <c r="H215" s="78"/>
      <c r="I215" s="107" t="s">
        <v>38</v>
      </c>
      <c r="J215" s="107"/>
      <c r="K215" s="107"/>
      <c r="L215" s="107"/>
      <c r="M215" s="107"/>
      <c r="N215" s="107"/>
      <c r="O215" s="107"/>
      <c r="P215" s="107"/>
      <c r="U215" s="41" t="s">
        <v>40</v>
      </c>
      <c r="W215" s="172">
        <v>13.72302150726318</v>
      </c>
      <c r="X215" s="96">
        <v>1</v>
      </c>
      <c r="Y215" s="155">
        <f t="shared" si="16"/>
        <v>13.72302150726318</v>
      </c>
      <c r="Z215" s="155">
        <f t="shared" si="17"/>
        <v>13.72302150726318</v>
      </c>
    </row>
    <row r="216" spans="1:27" ht="32" customHeight="1" x14ac:dyDescent="0.2">
      <c r="A216" s="68" t="s">
        <v>157</v>
      </c>
      <c r="B216" s="68" t="s">
        <v>594</v>
      </c>
      <c r="C216" s="40" t="s">
        <v>595</v>
      </c>
      <c r="D216" s="291" t="s">
        <v>596</v>
      </c>
      <c r="E216" s="77"/>
      <c r="F216" s="68"/>
      <c r="G216" s="68"/>
      <c r="H216" s="78"/>
      <c r="I216" s="107" t="s">
        <v>38</v>
      </c>
      <c r="J216" s="107"/>
      <c r="K216" s="107"/>
      <c r="L216" s="107"/>
      <c r="M216" s="107"/>
      <c r="N216" s="107"/>
      <c r="O216" s="107"/>
      <c r="P216" s="107"/>
      <c r="U216" s="41" t="s">
        <v>40</v>
      </c>
      <c r="W216" s="172">
        <v>13.06220054626465</v>
      </c>
      <c r="X216" s="96">
        <v>1</v>
      </c>
      <c r="Y216" s="155">
        <f t="shared" si="16"/>
        <v>13.06220054626465</v>
      </c>
      <c r="Z216" s="155">
        <f t="shared" si="17"/>
        <v>13.06220054626465</v>
      </c>
    </row>
    <row r="217" spans="1:27" ht="48" customHeight="1" x14ac:dyDescent="0.2">
      <c r="A217" s="68" t="s">
        <v>157</v>
      </c>
      <c r="B217" s="68" t="s">
        <v>597</v>
      </c>
      <c r="C217" s="40" t="s">
        <v>598</v>
      </c>
      <c r="D217" s="291" t="s">
        <v>599</v>
      </c>
      <c r="E217" s="77"/>
      <c r="F217" s="68"/>
      <c r="G217" s="68"/>
      <c r="H217" s="78"/>
      <c r="I217" s="107" t="s">
        <v>38</v>
      </c>
      <c r="J217" s="107"/>
      <c r="K217" s="107"/>
      <c r="L217" s="107"/>
      <c r="M217" s="107"/>
      <c r="N217" s="107"/>
      <c r="O217" s="107"/>
      <c r="P217" s="107"/>
      <c r="U217" s="41" t="s">
        <v>40</v>
      </c>
      <c r="W217" s="172">
        <v>13.09532356262207</v>
      </c>
      <c r="X217" s="96">
        <v>1</v>
      </c>
      <c r="Y217" s="155">
        <f t="shared" si="16"/>
        <v>13.09532356262207</v>
      </c>
      <c r="Z217" s="155">
        <f t="shared" si="17"/>
        <v>13.09532356262207</v>
      </c>
    </row>
    <row r="218" spans="1:27" ht="32" customHeight="1" x14ac:dyDescent="0.2">
      <c r="A218" s="68" t="s">
        <v>157</v>
      </c>
      <c r="B218" s="68" t="s">
        <v>600</v>
      </c>
      <c r="C218" s="40" t="s">
        <v>601</v>
      </c>
      <c r="D218" s="292" t="s">
        <v>602</v>
      </c>
      <c r="E218" s="77"/>
      <c r="F218" s="68"/>
      <c r="G218" s="68"/>
      <c r="H218" s="78"/>
      <c r="I218" s="107" t="s">
        <v>38</v>
      </c>
      <c r="J218" s="107"/>
      <c r="K218" s="107"/>
      <c r="L218" s="107"/>
      <c r="M218" s="107"/>
      <c r="N218" s="107"/>
      <c r="O218" s="107"/>
      <c r="P218" s="107"/>
      <c r="U218" s="41" t="s">
        <v>40</v>
      </c>
      <c r="W218" s="172">
        <v>16.10101918465228</v>
      </c>
      <c r="X218" s="96">
        <v>1</v>
      </c>
      <c r="Y218" s="155">
        <f t="shared" si="16"/>
        <v>16.10101918465228</v>
      </c>
      <c r="Z218" s="155">
        <f t="shared" si="17"/>
        <v>16.10101918465228</v>
      </c>
    </row>
    <row r="219" spans="1:27" s="69" customFormat="1" ht="16" customHeight="1" x14ac:dyDescent="0.2">
      <c r="A219" s="73" t="s">
        <v>603</v>
      </c>
      <c r="B219" s="73" t="s">
        <v>604</v>
      </c>
      <c r="C219" s="74" t="s">
        <v>605</v>
      </c>
      <c r="D219" s="267" t="s">
        <v>606</v>
      </c>
      <c r="E219" s="86"/>
      <c r="F219" s="73"/>
      <c r="G219" s="73"/>
      <c r="H219" s="88"/>
      <c r="I219" s="109" t="s">
        <v>38</v>
      </c>
      <c r="J219" s="109"/>
      <c r="K219" s="109"/>
      <c r="L219" s="109"/>
      <c r="M219" s="109" t="s">
        <v>607</v>
      </c>
      <c r="N219" s="109"/>
      <c r="O219" s="109"/>
      <c r="P219" s="109"/>
      <c r="U219" s="69" t="s">
        <v>40</v>
      </c>
      <c r="W219" s="172">
        <v>11.76504325866699</v>
      </c>
      <c r="X219" s="96">
        <v>1</v>
      </c>
      <c r="Y219" s="155">
        <f t="shared" si="16"/>
        <v>11.76504325866699</v>
      </c>
      <c r="Z219" s="155">
        <f t="shared" si="17"/>
        <v>11.76504325866699</v>
      </c>
    </row>
    <row r="220" spans="1:27" s="69" customFormat="1" ht="32" customHeight="1" x14ac:dyDescent="0.2">
      <c r="A220" s="73" t="s">
        <v>157</v>
      </c>
      <c r="B220" s="73" t="s">
        <v>608</v>
      </c>
      <c r="C220" s="74" t="s">
        <v>609</v>
      </c>
      <c r="D220" s="292" t="s">
        <v>610</v>
      </c>
      <c r="E220" s="86"/>
      <c r="F220" s="73"/>
      <c r="G220" s="73"/>
      <c r="H220" s="88"/>
      <c r="I220" s="109" t="s">
        <v>38</v>
      </c>
      <c r="J220" s="109"/>
      <c r="K220" s="109"/>
      <c r="L220" s="109"/>
      <c r="M220" s="109"/>
      <c r="N220" s="109"/>
      <c r="O220" s="109"/>
      <c r="P220" s="109"/>
      <c r="U220" s="69" t="s">
        <v>40</v>
      </c>
      <c r="W220" s="172">
        <v>12.432478904724119</v>
      </c>
      <c r="X220" s="96">
        <v>1</v>
      </c>
      <c r="Y220" s="155">
        <f t="shared" si="16"/>
        <v>12.432478904724119</v>
      </c>
      <c r="Z220" s="155">
        <f t="shared" si="17"/>
        <v>12.432478904724119</v>
      </c>
    </row>
    <row r="221" spans="1:27" s="69" customFormat="1" ht="16" customHeight="1" x14ac:dyDescent="0.2">
      <c r="A221" s="73" t="s">
        <v>603</v>
      </c>
      <c r="B221" s="73" t="s">
        <v>611</v>
      </c>
      <c r="C221" s="74" t="s">
        <v>605</v>
      </c>
      <c r="D221" s="267" t="s">
        <v>606</v>
      </c>
      <c r="E221" s="86"/>
      <c r="F221" s="73"/>
      <c r="G221" s="73"/>
      <c r="H221" s="88"/>
      <c r="I221" s="109" t="s">
        <v>38</v>
      </c>
      <c r="J221" s="109"/>
      <c r="K221" s="109"/>
      <c r="L221" s="109"/>
      <c r="M221" s="109" t="s">
        <v>612</v>
      </c>
      <c r="N221" s="109"/>
      <c r="O221" s="109"/>
      <c r="P221" s="109"/>
      <c r="U221" s="69" t="s">
        <v>40</v>
      </c>
      <c r="W221" s="172">
        <v>8.9801836013793945</v>
      </c>
      <c r="X221" s="96">
        <v>1</v>
      </c>
      <c r="Y221" s="155">
        <f t="shared" si="16"/>
        <v>8.9801836013793945</v>
      </c>
      <c r="Z221" s="155">
        <f t="shared" si="17"/>
        <v>8.9801836013793945</v>
      </c>
    </row>
    <row r="222" spans="1:27" s="69" customFormat="1" ht="32" customHeight="1" x14ac:dyDescent="0.2">
      <c r="A222" s="73" t="s">
        <v>157</v>
      </c>
      <c r="B222" s="73" t="s">
        <v>613</v>
      </c>
      <c r="C222" s="74" t="s">
        <v>614</v>
      </c>
      <c r="D222" s="292" t="s">
        <v>615</v>
      </c>
      <c r="E222" s="86"/>
      <c r="F222" s="73"/>
      <c r="G222" s="73"/>
      <c r="H222" s="88"/>
      <c r="I222" s="109" t="s">
        <v>38</v>
      </c>
      <c r="J222" s="109"/>
      <c r="K222" s="109"/>
      <c r="L222" s="109"/>
      <c r="M222" s="109"/>
      <c r="N222" s="109"/>
      <c r="O222" s="109"/>
      <c r="P222" s="109"/>
      <c r="U222" s="69" t="s">
        <v>40</v>
      </c>
      <c r="W222" s="172">
        <v>11.089328765869141</v>
      </c>
      <c r="X222" s="96">
        <v>1</v>
      </c>
      <c r="Y222" s="155">
        <f t="shared" si="16"/>
        <v>11.089328765869141</v>
      </c>
      <c r="Z222" s="155">
        <f t="shared" si="17"/>
        <v>11.089328765869141</v>
      </c>
    </row>
    <row r="223" spans="1:27" s="69" customFormat="1" ht="16" customHeight="1" x14ac:dyDescent="0.2">
      <c r="A223" s="73" t="s">
        <v>603</v>
      </c>
      <c r="B223" s="73" t="s">
        <v>616</v>
      </c>
      <c r="C223" s="74" t="s">
        <v>605</v>
      </c>
      <c r="D223" s="267" t="s">
        <v>606</v>
      </c>
      <c r="E223" s="86"/>
      <c r="F223" s="73"/>
      <c r="G223" s="73"/>
      <c r="H223" s="88"/>
      <c r="I223" s="109" t="s">
        <v>38</v>
      </c>
      <c r="J223" s="109"/>
      <c r="K223" s="109"/>
      <c r="L223" s="109"/>
      <c r="M223" s="109" t="s">
        <v>617</v>
      </c>
      <c r="N223" s="109"/>
      <c r="O223" s="109"/>
      <c r="P223" s="109"/>
      <c r="U223" s="69" t="s">
        <v>40</v>
      </c>
      <c r="W223" s="172">
        <v>8.0683355331420898</v>
      </c>
      <c r="X223" s="96">
        <v>1</v>
      </c>
      <c r="Y223" s="155">
        <f t="shared" si="16"/>
        <v>8.0683355331420898</v>
      </c>
      <c r="Z223" s="155">
        <f t="shared" si="17"/>
        <v>8.0683355331420898</v>
      </c>
    </row>
    <row r="224" spans="1:27" x14ac:dyDescent="0.2">
      <c r="A224" s="73" t="s">
        <v>95</v>
      </c>
      <c r="B224" s="73"/>
      <c r="C224" s="40"/>
      <c r="D224" s="40"/>
      <c r="E224" s="77"/>
      <c r="F224" s="68"/>
      <c r="G224" s="68"/>
      <c r="H224" s="78"/>
      <c r="I224" s="107"/>
      <c r="J224" s="107"/>
      <c r="K224" s="107"/>
      <c r="L224" s="107"/>
      <c r="M224" s="107"/>
      <c r="N224" s="107"/>
      <c r="O224" s="107"/>
      <c r="P224" s="107"/>
      <c r="W224" s="172"/>
      <c r="X224" s="96">
        <v>1</v>
      </c>
      <c r="Y224" s="155" t="str">
        <f t="shared" si="16"/>
        <v/>
      </c>
      <c r="Z224" s="155" t="str">
        <f t="shared" si="17"/>
        <v/>
      </c>
    </row>
    <row r="225" spans="1:27" x14ac:dyDescent="0.2">
      <c r="A225" s="69"/>
      <c r="B225" s="69"/>
      <c r="E225" s="77"/>
      <c r="H225" s="78"/>
      <c r="W225" s="172"/>
      <c r="X225" s="96">
        <v>1</v>
      </c>
      <c r="Y225" s="155" t="str">
        <f t="shared" si="16"/>
        <v/>
      </c>
      <c r="Z225" s="155" t="str">
        <f t="shared" si="17"/>
        <v/>
      </c>
    </row>
    <row r="226" spans="1:27" s="70" customFormat="1" ht="16" customHeight="1" x14ac:dyDescent="0.2">
      <c r="A226" s="70" t="s">
        <v>64</v>
      </c>
      <c r="B226" s="70" t="s">
        <v>618</v>
      </c>
      <c r="C226" s="150" t="s">
        <v>619</v>
      </c>
      <c r="D226" s="150"/>
      <c r="E226" s="72"/>
      <c r="H226" s="76"/>
      <c r="I226" s="108"/>
      <c r="J226" s="108" t="s">
        <v>620</v>
      </c>
      <c r="K226" s="108"/>
      <c r="L226" s="108"/>
      <c r="M226" s="108"/>
      <c r="N226" s="108"/>
      <c r="O226" s="108"/>
      <c r="P226" s="108"/>
      <c r="W226" s="176"/>
      <c r="X226" s="151">
        <v>1</v>
      </c>
      <c r="Y226" s="158" t="str">
        <f t="shared" si="16"/>
        <v/>
      </c>
      <c r="Z226" s="158" t="str">
        <f t="shared" si="17"/>
        <v/>
      </c>
    </row>
    <row r="227" spans="1:27" s="70" customFormat="1" ht="72" customHeight="1" x14ac:dyDescent="0.2">
      <c r="A227" s="70" t="s">
        <v>67</v>
      </c>
      <c r="B227" s="70" t="s">
        <v>621</v>
      </c>
      <c r="C227" s="71" t="s">
        <v>622</v>
      </c>
      <c r="D227" s="277" t="s">
        <v>623</v>
      </c>
      <c r="E227" s="72"/>
      <c r="H227" s="76"/>
      <c r="I227" s="108"/>
      <c r="J227" s="108"/>
      <c r="K227" s="108"/>
      <c r="L227" s="108"/>
      <c r="M227" s="108"/>
      <c r="N227" s="108"/>
      <c r="O227" s="108"/>
      <c r="P227" s="108"/>
      <c r="U227" s="70" t="s">
        <v>74</v>
      </c>
      <c r="W227" s="176">
        <v>5.7112536430358887</v>
      </c>
      <c r="X227" s="151">
        <v>1</v>
      </c>
      <c r="Y227" s="158">
        <f t="shared" si="16"/>
        <v>5.7112536430358887</v>
      </c>
      <c r="Z227" s="158" t="str">
        <f t="shared" si="17"/>
        <v/>
      </c>
    </row>
    <row r="228" spans="1:27" s="152" customFormat="1" ht="16.25" customHeight="1" x14ac:dyDescent="0.2">
      <c r="A228" s="70" t="s">
        <v>624</v>
      </c>
      <c r="B228" s="70" t="s">
        <v>625</v>
      </c>
      <c r="C228" s="71" t="s">
        <v>626</v>
      </c>
      <c r="D228" s="263" t="s">
        <v>627</v>
      </c>
      <c r="E228" s="97"/>
      <c r="H228" s="98"/>
      <c r="I228" s="108" t="s">
        <v>38</v>
      </c>
      <c r="J228" s="153"/>
      <c r="K228" s="153"/>
      <c r="L228" s="153"/>
      <c r="M228" s="153"/>
      <c r="N228" s="153"/>
      <c r="O228" s="153"/>
      <c r="P228" s="153"/>
      <c r="U228" s="70" t="s">
        <v>74</v>
      </c>
      <c r="W228" s="172">
        <v>19.851530075073239</v>
      </c>
      <c r="X228" s="96">
        <v>1</v>
      </c>
      <c r="Y228" s="155">
        <f t="shared" si="16"/>
        <v>19.851530075073239</v>
      </c>
      <c r="Z228" s="155" t="str">
        <f t="shared" si="17"/>
        <v/>
      </c>
      <c r="AA228" s="69"/>
    </row>
    <row r="229" spans="1:27" s="152" customFormat="1" ht="16.25" customHeight="1" x14ac:dyDescent="0.2">
      <c r="A229" s="70" t="s">
        <v>624</v>
      </c>
      <c r="B229" s="70" t="s">
        <v>628</v>
      </c>
      <c r="C229" s="71" t="s">
        <v>629</v>
      </c>
      <c r="D229" s="71" t="s">
        <v>630</v>
      </c>
      <c r="E229" s="97"/>
      <c r="H229" s="98"/>
      <c r="I229" s="108" t="s">
        <v>38</v>
      </c>
      <c r="J229" s="153"/>
      <c r="K229" s="153"/>
      <c r="L229" s="153"/>
      <c r="M229" s="153"/>
      <c r="N229" s="153"/>
      <c r="O229" s="153"/>
      <c r="P229" s="153"/>
      <c r="U229" s="70" t="s">
        <v>74</v>
      </c>
      <c r="W229" s="172">
        <v>15.436671257019039</v>
      </c>
      <c r="X229" s="96">
        <v>1</v>
      </c>
      <c r="Y229" s="155">
        <f t="shared" si="16"/>
        <v>15.436671257019039</v>
      </c>
      <c r="Z229" s="155" t="str">
        <f t="shared" si="17"/>
        <v/>
      </c>
      <c r="AA229" s="69"/>
    </row>
    <row r="230" spans="1:27" s="152" customFormat="1" ht="16.25" customHeight="1" x14ac:dyDescent="0.2">
      <c r="A230" s="70" t="s">
        <v>624</v>
      </c>
      <c r="B230" s="70" t="s">
        <v>631</v>
      </c>
      <c r="C230" s="71" t="s">
        <v>632</v>
      </c>
      <c r="D230" s="71" t="s">
        <v>633</v>
      </c>
      <c r="E230" s="97"/>
      <c r="H230" s="98"/>
      <c r="I230" s="108" t="s">
        <v>38</v>
      </c>
      <c r="J230" s="153"/>
      <c r="K230" s="153"/>
      <c r="L230" s="153"/>
      <c r="M230" s="153"/>
      <c r="N230" s="153"/>
      <c r="O230" s="153"/>
      <c r="P230" s="153"/>
      <c r="U230" s="70" t="s">
        <v>74</v>
      </c>
      <c r="W230" s="172">
        <v>13.39993858337402</v>
      </c>
      <c r="X230" s="96">
        <v>1</v>
      </c>
      <c r="Y230" s="155">
        <f t="shared" si="16"/>
        <v>13.39993858337402</v>
      </c>
      <c r="Z230" s="155" t="str">
        <f t="shared" si="17"/>
        <v/>
      </c>
      <c r="AA230" s="69"/>
    </row>
    <row r="231" spans="1:27" s="152" customFormat="1" ht="16.25" customHeight="1" x14ac:dyDescent="0.2">
      <c r="A231" s="70" t="s">
        <v>624</v>
      </c>
      <c r="B231" s="70" t="s">
        <v>634</v>
      </c>
      <c r="C231" s="71" t="s">
        <v>635</v>
      </c>
      <c r="D231" s="278" t="s">
        <v>636</v>
      </c>
      <c r="E231" s="97"/>
      <c r="H231" s="98"/>
      <c r="I231" s="108" t="s">
        <v>38</v>
      </c>
      <c r="J231" s="153"/>
      <c r="K231" s="153"/>
      <c r="L231" s="153"/>
      <c r="M231" s="153"/>
      <c r="N231" s="153"/>
      <c r="O231" s="153"/>
      <c r="P231" s="153"/>
      <c r="U231" s="70" t="s">
        <v>74</v>
      </c>
      <c r="W231" s="172">
        <v>14.62593364715576</v>
      </c>
      <c r="X231" s="96">
        <v>1</v>
      </c>
      <c r="Y231" s="155">
        <f t="shared" ref="Y231:Y240" si="18">IF(W231&lt;&gt;"",W231*X231,"")</f>
        <v>14.62593364715576</v>
      </c>
      <c r="Z231" s="155" t="str">
        <f t="shared" ref="Z231:Z240" si="19">IF(AND(W231&lt;&gt;"",U231="yes"),W231*X231,"")</f>
        <v/>
      </c>
      <c r="AA231" s="69"/>
    </row>
    <row r="232" spans="1:27" s="152" customFormat="1" ht="16.25" customHeight="1" x14ac:dyDescent="0.2">
      <c r="A232" s="70" t="s">
        <v>624</v>
      </c>
      <c r="B232" s="70" t="s">
        <v>637</v>
      </c>
      <c r="C232" s="71" t="s">
        <v>638</v>
      </c>
      <c r="D232" s="71" t="s">
        <v>639</v>
      </c>
      <c r="E232" s="97"/>
      <c r="H232" s="98"/>
      <c r="I232" s="108" t="s">
        <v>38</v>
      </c>
      <c r="J232" s="153"/>
      <c r="K232" s="153"/>
      <c r="L232" s="153"/>
      <c r="M232" s="153"/>
      <c r="N232" s="153"/>
      <c r="O232" s="153"/>
      <c r="P232" s="153"/>
      <c r="U232" s="70" t="s">
        <v>74</v>
      </c>
      <c r="W232" s="172">
        <v>11.787801742553709</v>
      </c>
      <c r="X232" s="96">
        <v>1</v>
      </c>
      <c r="Y232" s="155">
        <f t="shared" si="18"/>
        <v>11.787801742553709</v>
      </c>
      <c r="Z232" s="155" t="str">
        <f t="shared" si="19"/>
        <v/>
      </c>
      <c r="AA232" s="69"/>
    </row>
    <row r="233" spans="1:27" s="152" customFormat="1" ht="16.25" customHeight="1" x14ac:dyDescent="0.2">
      <c r="A233" s="70" t="s">
        <v>624</v>
      </c>
      <c r="B233" s="70" t="s">
        <v>640</v>
      </c>
      <c r="C233" s="71" t="s">
        <v>641</v>
      </c>
      <c r="D233" s="71" t="s">
        <v>642</v>
      </c>
      <c r="E233" s="97"/>
      <c r="H233" s="98"/>
      <c r="I233" s="108" t="s">
        <v>38</v>
      </c>
      <c r="J233" s="153"/>
      <c r="K233" s="153"/>
      <c r="L233" s="153"/>
      <c r="M233" s="153"/>
      <c r="N233" s="153"/>
      <c r="O233" s="153"/>
      <c r="P233" s="153"/>
      <c r="U233" s="70" t="s">
        <v>74</v>
      </c>
      <c r="W233" s="172">
        <v>12.4080867767334</v>
      </c>
      <c r="X233" s="96">
        <v>1</v>
      </c>
      <c r="Y233" s="155">
        <f t="shared" si="18"/>
        <v>12.4080867767334</v>
      </c>
      <c r="Z233" s="155" t="str">
        <f t="shared" si="19"/>
        <v/>
      </c>
      <c r="AA233" s="69"/>
    </row>
    <row r="234" spans="1:27" s="152" customFormat="1" ht="29" customHeight="1" x14ac:dyDescent="0.2">
      <c r="A234" s="70" t="s">
        <v>624</v>
      </c>
      <c r="B234" s="70" t="s">
        <v>643</v>
      </c>
      <c r="C234" s="71" t="s">
        <v>644</v>
      </c>
      <c r="D234" s="71" t="s">
        <v>645</v>
      </c>
      <c r="E234" s="97"/>
      <c r="H234" s="98"/>
      <c r="I234" s="108" t="s">
        <v>38</v>
      </c>
      <c r="J234" s="153"/>
      <c r="K234" s="153"/>
      <c r="L234" s="153"/>
      <c r="M234" s="153"/>
      <c r="N234" s="153"/>
      <c r="O234" s="153"/>
      <c r="P234" s="153"/>
      <c r="U234" s="70" t="s">
        <v>74</v>
      </c>
      <c r="W234" s="172">
        <v>9.2894678115844727</v>
      </c>
      <c r="X234" s="96">
        <v>1</v>
      </c>
      <c r="Y234" s="155">
        <f t="shared" si="18"/>
        <v>9.2894678115844727</v>
      </c>
      <c r="Z234" s="155" t="str">
        <f t="shared" si="19"/>
        <v/>
      </c>
      <c r="AA234" s="69"/>
    </row>
    <row r="235" spans="1:27" s="152" customFormat="1" ht="16.25" customHeight="1" x14ac:dyDescent="0.2">
      <c r="A235" s="70" t="s">
        <v>624</v>
      </c>
      <c r="B235" s="70" t="s">
        <v>646</v>
      </c>
      <c r="C235" s="71" t="s">
        <v>647</v>
      </c>
      <c r="D235" s="71" t="s">
        <v>648</v>
      </c>
      <c r="E235" s="97"/>
      <c r="H235" s="98"/>
      <c r="I235" s="108" t="s">
        <v>38</v>
      </c>
      <c r="J235" s="153"/>
      <c r="K235" s="153"/>
      <c r="L235" s="153"/>
      <c r="M235" s="153"/>
      <c r="N235" s="153"/>
      <c r="O235" s="153"/>
      <c r="P235" s="153"/>
      <c r="U235" s="70" t="s">
        <v>74</v>
      </c>
      <c r="W235" s="172">
        <v>12</v>
      </c>
      <c r="X235" s="96">
        <v>1</v>
      </c>
      <c r="Y235" s="155">
        <f t="shared" si="18"/>
        <v>12</v>
      </c>
      <c r="Z235" s="155" t="str">
        <f t="shared" si="19"/>
        <v/>
      </c>
      <c r="AA235" s="69"/>
    </row>
    <row r="236" spans="1:27" s="152" customFormat="1" ht="16.25" customHeight="1" x14ac:dyDescent="0.2">
      <c r="A236" s="70" t="s">
        <v>624</v>
      </c>
      <c r="B236" s="70" t="s">
        <v>649</v>
      </c>
      <c r="C236" s="71" t="s">
        <v>650</v>
      </c>
      <c r="D236" s="71" t="s">
        <v>651</v>
      </c>
      <c r="E236" s="97"/>
      <c r="H236" s="98"/>
      <c r="I236" s="108" t="s">
        <v>38</v>
      </c>
      <c r="J236" s="153"/>
      <c r="K236" s="153"/>
      <c r="L236" s="153"/>
      <c r="M236" s="153"/>
      <c r="N236" s="153"/>
      <c r="O236" s="153"/>
      <c r="P236" s="153"/>
      <c r="U236" s="70" t="s">
        <v>74</v>
      </c>
      <c r="W236" s="172">
        <v>14.41095890410959</v>
      </c>
      <c r="X236" s="96">
        <v>1</v>
      </c>
      <c r="Y236" s="155">
        <f t="shared" si="18"/>
        <v>14.41095890410959</v>
      </c>
      <c r="Z236" s="155" t="str">
        <f t="shared" si="19"/>
        <v/>
      </c>
      <c r="AA236" s="69"/>
    </row>
    <row r="237" spans="1:27" s="152" customFormat="1" ht="29" customHeight="1" x14ac:dyDescent="0.2">
      <c r="A237" s="70" t="s">
        <v>624</v>
      </c>
      <c r="B237" s="70" t="s">
        <v>652</v>
      </c>
      <c r="C237" s="71" t="s">
        <v>653</v>
      </c>
      <c r="D237" s="71" t="s">
        <v>654</v>
      </c>
      <c r="E237" s="97"/>
      <c r="H237" s="98"/>
      <c r="I237" s="108" t="s">
        <v>38</v>
      </c>
      <c r="J237" s="153"/>
      <c r="K237" s="153"/>
      <c r="L237" s="153"/>
      <c r="M237" s="153"/>
      <c r="N237" s="153"/>
      <c r="O237" s="153"/>
      <c r="P237" s="153"/>
      <c r="U237" s="70" t="s">
        <v>74</v>
      </c>
      <c r="W237" s="172">
        <v>15.40838527679443</v>
      </c>
      <c r="X237" s="96">
        <v>1</v>
      </c>
      <c r="Y237" s="155">
        <f t="shared" si="18"/>
        <v>15.40838527679443</v>
      </c>
      <c r="Z237" s="155" t="str">
        <f t="shared" si="19"/>
        <v/>
      </c>
      <c r="AA237" s="69"/>
    </row>
    <row r="238" spans="1:27" s="152" customFormat="1" ht="16.25" customHeight="1" x14ac:dyDescent="0.2">
      <c r="A238" s="70" t="s">
        <v>624</v>
      </c>
      <c r="B238" s="70" t="s">
        <v>655</v>
      </c>
      <c r="C238" s="337" t="s">
        <v>656</v>
      </c>
      <c r="D238" s="71" t="s">
        <v>657</v>
      </c>
      <c r="E238" s="97"/>
      <c r="H238" s="98"/>
      <c r="I238" s="108" t="s">
        <v>38</v>
      </c>
      <c r="J238" s="153"/>
      <c r="K238" s="153"/>
      <c r="L238" s="153"/>
      <c r="M238" s="153"/>
      <c r="N238" s="153"/>
      <c r="O238" s="153"/>
      <c r="P238" s="153"/>
      <c r="U238" s="70" t="s">
        <v>74</v>
      </c>
      <c r="W238" s="172">
        <v>15.543986320495611</v>
      </c>
      <c r="X238" s="96">
        <v>1</v>
      </c>
      <c r="Y238" s="155">
        <f t="shared" si="18"/>
        <v>15.543986320495611</v>
      </c>
      <c r="Z238" s="155" t="str">
        <f t="shared" si="19"/>
        <v/>
      </c>
      <c r="AA238" s="69"/>
    </row>
    <row r="239" spans="1:27" s="152" customFormat="1" ht="16.25" customHeight="1" x14ac:dyDescent="0.2">
      <c r="A239" s="70" t="s">
        <v>624</v>
      </c>
      <c r="B239" s="70" t="s">
        <v>658</v>
      </c>
      <c r="C239" s="71" t="s">
        <v>659</v>
      </c>
      <c r="D239" s="71" t="s">
        <v>660</v>
      </c>
      <c r="E239" s="97"/>
      <c r="H239" s="98"/>
      <c r="I239" s="108" t="s">
        <v>38</v>
      </c>
      <c r="J239" s="153"/>
      <c r="K239" s="153"/>
      <c r="L239" s="153"/>
      <c r="M239" s="153"/>
      <c r="N239" s="153"/>
      <c r="O239" s="153"/>
      <c r="P239" s="153"/>
      <c r="U239" s="70" t="s">
        <v>74</v>
      </c>
      <c r="W239" s="172">
        <v>12</v>
      </c>
      <c r="X239" s="96">
        <v>1</v>
      </c>
      <c r="Y239" s="155">
        <f t="shared" si="18"/>
        <v>12</v>
      </c>
      <c r="Z239" s="155" t="str">
        <f t="shared" si="19"/>
        <v/>
      </c>
      <c r="AA239" s="69"/>
    </row>
    <row r="240" spans="1:27" s="152" customFormat="1" ht="16.25" customHeight="1" x14ac:dyDescent="0.2">
      <c r="A240" s="70" t="s">
        <v>624</v>
      </c>
      <c r="B240" s="70" t="s">
        <v>661</v>
      </c>
      <c r="C240" s="71" t="s">
        <v>662</v>
      </c>
      <c r="D240" s="71" t="s">
        <v>663</v>
      </c>
      <c r="E240" s="97"/>
      <c r="H240" s="98"/>
      <c r="I240" s="108" t="s">
        <v>38</v>
      </c>
      <c r="J240" s="153"/>
      <c r="K240" s="153"/>
      <c r="L240" s="153"/>
      <c r="M240" s="153"/>
      <c r="N240" s="153"/>
      <c r="O240" s="153"/>
      <c r="P240" s="153"/>
      <c r="U240" s="70" t="s">
        <v>74</v>
      </c>
      <c r="W240" s="172">
        <v>12.996181488037109</v>
      </c>
      <c r="X240" s="96">
        <v>1</v>
      </c>
      <c r="Y240" s="155">
        <f t="shared" si="18"/>
        <v>12.996181488037109</v>
      </c>
      <c r="Z240" s="155" t="str">
        <f t="shared" si="19"/>
        <v/>
      </c>
      <c r="AA240" s="69"/>
    </row>
    <row r="241" spans="1:27" s="152" customFormat="1" x14ac:dyDescent="0.2">
      <c r="A241" s="70"/>
      <c r="B241" s="70"/>
      <c r="C241" s="71"/>
      <c r="D241" s="71"/>
      <c r="E241" s="97"/>
      <c r="H241" s="98"/>
      <c r="I241" s="108"/>
      <c r="J241" s="153"/>
      <c r="K241" s="153"/>
      <c r="L241" s="153"/>
      <c r="M241" s="153"/>
      <c r="N241" s="153"/>
      <c r="O241" s="153"/>
      <c r="P241" s="153"/>
      <c r="U241" s="70"/>
      <c r="W241" s="172"/>
      <c r="X241" s="96"/>
      <c r="Y241" s="155"/>
      <c r="Z241" s="155"/>
      <c r="AA241" s="69"/>
    </row>
    <row r="242" spans="1:27" x14ac:dyDescent="0.2">
      <c r="A242" s="70" t="s">
        <v>95</v>
      </c>
      <c r="B242" s="70"/>
      <c r="C242" s="71"/>
      <c r="D242" s="71"/>
      <c r="E242" s="77"/>
      <c r="H242" s="78"/>
      <c r="I242" s="108"/>
      <c r="W242" s="172"/>
      <c r="X242" s="96">
        <v>1</v>
      </c>
      <c r="Y242" s="155" t="str">
        <f t="shared" ref="Y242:Y282" si="20">IF(W242&lt;&gt;"",W242*X242,"")</f>
        <v/>
      </c>
      <c r="Z242" s="155" t="str">
        <f t="shared" ref="Z242:Z282" si="21">IF(AND(W242&lt;&gt;"",U242="yes"),W242*X242,"")</f>
        <v/>
      </c>
    </row>
    <row r="243" spans="1:27" x14ac:dyDescent="0.2">
      <c r="A243" s="69"/>
      <c r="B243" s="69"/>
      <c r="E243" s="77"/>
      <c r="H243" s="78"/>
      <c r="W243" s="172"/>
      <c r="X243" s="96">
        <v>1</v>
      </c>
      <c r="Y243" s="155" t="str">
        <f t="shared" si="20"/>
        <v/>
      </c>
      <c r="Z243" s="155" t="str">
        <f t="shared" si="21"/>
        <v/>
      </c>
    </row>
    <row r="244" spans="1:27" ht="16" customHeight="1" x14ac:dyDescent="0.2">
      <c r="A244" s="73" t="s">
        <v>64</v>
      </c>
      <c r="B244" s="73" t="s">
        <v>664</v>
      </c>
      <c r="C244" s="81" t="s">
        <v>665</v>
      </c>
      <c r="D244" s="81"/>
      <c r="E244" s="77"/>
      <c r="F244" s="68"/>
      <c r="G244" s="68"/>
      <c r="H244" s="78"/>
      <c r="I244" s="107"/>
      <c r="J244" s="107"/>
      <c r="K244" s="107"/>
      <c r="L244" s="107"/>
      <c r="M244" s="107"/>
      <c r="N244" s="107"/>
      <c r="O244" s="107"/>
      <c r="P244" s="107"/>
      <c r="W244" s="172"/>
      <c r="X244" s="96">
        <v>1</v>
      </c>
      <c r="Y244" s="155" t="str">
        <f t="shared" si="20"/>
        <v/>
      </c>
      <c r="Z244" s="155" t="str">
        <f t="shared" si="21"/>
        <v/>
      </c>
    </row>
    <row r="245" spans="1:27" ht="32" customHeight="1" x14ac:dyDescent="0.2">
      <c r="A245" s="68" t="s">
        <v>67</v>
      </c>
      <c r="B245" s="68" t="s">
        <v>666</v>
      </c>
      <c r="C245" s="40" t="s">
        <v>667</v>
      </c>
      <c r="D245" s="40" t="s">
        <v>668</v>
      </c>
      <c r="E245" s="77"/>
      <c r="F245" s="68"/>
      <c r="G245" s="68"/>
      <c r="H245" s="78"/>
      <c r="I245" s="107" t="s">
        <v>73</v>
      </c>
      <c r="J245" s="107"/>
      <c r="K245" s="107"/>
      <c r="L245" s="107"/>
      <c r="M245" s="107"/>
      <c r="N245" s="107"/>
      <c r="O245" s="107"/>
      <c r="P245" s="107"/>
      <c r="U245" s="41" t="s">
        <v>40</v>
      </c>
      <c r="W245" s="172"/>
      <c r="X245" s="96">
        <v>1</v>
      </c>
      <c r="Y245" s="155" t="str">
        <f t="shared" si="20"/>
        <v/>
      </c>
      <c r="Z245" s="155" t="str">
        <f t="shared" si="21"/>
        <v/>
      </c>
    </row>
    <row r="246" spans="1:27" ht="48" customHeight="1" x14ac:dyDescent="0.2">
      <c r="A246" s="68" t="s">
        <v>669</v>
      </c>
      <c r="B246" s="68" t="s">
        <v>670</v>
      </c>
      <c r="C246" s="40" t="s">
        <v>671</v>
      </c>
      <c r="D246" s="40" t="s">
        <v>672</v>
      </c>
      <c r="E246" s="77"/>
      <c r="F246" s="68" t="s">
        <v>673</v>
      </c>
      <c r="G246" s="68" t="s">
        <v>674</v>
      </c>
      <c r="H246" s="78"/>
      <c r="I246" s="107" t="s">
        <v>38</v>
      </c>
      <c r="J246" s="107"/>
      <c r="K246" s="107"/>
      <c r="L246" s="107"/>
      <c r="M246" s="107"/>
      <c r="N246" s="107"/>
      <c r="O246" s="107"/>
      <c r="P246" s="107"/>
      <c r="U246" s="41" t="s">
        <v>40</v>
      </c>
      <c r="W246" s="172">
        <v>72.295135498046875</v>
      </c>
      <c r="X246" s="96">
        <v>1</v>
      </c>
      <c r="Y246" s="155">
        <f t="shared" si="20"/>
        <v>72.295135498046875</v>
      </c>
      <c r="Z246" s="155">
        <f t="shared" si="21"/>
        <v>72.295135498046875</v>
      </c>
    </row>
    <row r="247" spans="1:27" ht="48" customHeight="1" x14ac:dyDescent="0.2">
      <c r="A247" s="68" t="s">
        <v>67</v>
      </c>
      <c r="B247" s="68" t="s">
        <v>675</v>
      </c>
      <c r="C247" s="40" t="s">
        <v>676</v>
      </c>
      <c r="D247" s="40" t="s">
        <v>677</v>
      </c>
      <c r="E247" s="77"/>
      <c r="F247" s="68"/>
      <c r="G247" s="68"/>
      <c r="H247" s="78"/>
      <c r="I247" s="107" t="s">
        <v>73</v>
      </c>
      <c r="J247" s="107"/>
      <c r="K247" s="107"/>
      <c r="L247" s="107"/>
      <c r="M247" s="107"/>
      <c r="N247" s="107"/>
      <c r="O247" s="107"/>
      <c r="P247" s="107"/>
      <c r="U247" s="41" t="s">
        <v>40</v>
      </c>
      <c r="W247" s="172">
        <v>3.7052218914031978</v>
      </c>
      <c r="X247" s="96">
        <v>1</v>
      </c>
      <c r="Y247" s="155">
        <f t="shared" si="20"/>
        <v>3.7052218914031978</v>
      </c>
      <c r="Z247" s="155">
        <f t="shared" si="21"/>
        <v>3.7052218914031978</v>
      </c>
    </row>
    <row r="248" spans="1:27" ht="16" customHeight="1" x14ac:dyDescent="0.2">
      <c r="A248" s="68" t="s">
        <v>95</v>
      </c>
      <c r="B248" s="68"/>
      <c r="C248" s="40"/>
      <c r="D248" s="40"/>
      <c r="E248" s="77"/>
      <c r="F248" s="68"/>
      <c r="G248" s="68"/>
      <c r="H248" s="78"/>
      <c r="I248" s="107"/>
      <c r="J248" s="107"/>
      <c r="K248" s="107"/>
      <c r="L248" s="107"/>
      <c r="M248" s="107"/>
      <c r="N248" s="107"/>
      <c r="O248" s="107"/>
      <c r="P248" s="107"/>
      <c r="W248" s="172"/>
      <c r="X248" s="96">
        <v>1</v>
      </c>
      <c r="Y248" s="155" t="str">
        <f t="shared" si="20"/>
        <v/>
      </c>
      <c r="Z248" s="155" t="str">
        <f t="shared" si="21"/>
        <v/>
      </c>
    </row>
    <row r="249" spans="1:27" x14ac:dyDescent="0.2">
      <c r="A249" s="69"/>
      <c r="B249" s="69"/>
      <c r="E249" s="77"/>
      <c r="H249" s="78"/>
      <c r="W249" s="172"/>
      <c r="X249" s="96">
        <v>1</v>
      </c>
      <c r="Y249" s="155" t="str">
        <f t="shared" si="20"/>
        <v/>
      </c>
      <c r="Z249" s="155" t="str">
        <f t="shared" si="21"/>
        <v/>
      </c>
    </row>
    <row r="250" spans="1:27" s="70" customFormat="1" ht="16" customHeight="1" x14ac:dyDescent="0.2">
      <c r="A250" s="70" t="s">
        <v>64</v>
      </c>
      <c r="B250" s="70" t="s">
        <v>678</v>
      </c>
      <c r="C250" s="150" t="s">
        <v>679</v>
      </c>
      <c r="D250" s="150"/>
      <c r="E250" s="72"/>
      <c r="H250" s="76"/>
      <c r="I250" s="108"/>
      <c r="J250" s="108"/>
      <c r="K250" s="108"/>
      <c r="L250" s="108"/>
      <c r="M250" s="108"/>
      <c r="N250" s="108"/>
      <c r="O250" s="108"/>
      <c r="P250" s="108"/>
      <c r="U250" s="70" t="s">
        <v>74</v>
      </c>
      <c r="W250" s="172"/>
      <c r="X250" s="96">
        <v>1</v>
      </c>
      <c r="Y250" s="155" t="str">
        <f t="shared" si="20"/>
        <v/>
      </c>
      <c r="Z250" s="155" t="str">
        <f t="shared" si="21"/>
        <v/>
      </c>
    </row>
    <row r="251" spans="1:27" s="71" customFormat="1" ht="32" customHeight="1" x14ac:dyDescent="0.2">
      <c r="A251" s="71" t="s">
        <v>67</v>
      </c>
      <c r="B251" s="71" t="s">
        <v>680</v>
      </c>
      <c r="C251" s="71" t="s">
        <v>681</v>
      </c>
      <c r="D251" s="203" t="s">
        <v>682</v>
      </c>
      <c r="E251" s="72"/>
      <c r="H251" s="72"/>
      <c r="I251" s="108" t="s">
        <v>73</v>
      </c>
      <c r="J251" s="120"/>
      <c r="K251" s="120"/>
      <c r="L251" s="108"/>
      <c r="M251" s="120"/>
      <c r="N251" s="120"/>
      <c r="O251" s="120"/>
      <c r="P251" s="120"/>
      <c r="U251" s="71" t="s">
        <v>74</v>
      </c>
      <c r="W251" s="172">
        <v>0</v>
      </c>
      <c r="X251" s="96">
        <v>1</v>
      </c>
      <c r="Y251" s="155">
        <f t="shared" si="20"/>
        <v>0</v>
      </c>
      <c r="Z251" s="155" t="str">
        <f t="shared" si="21"/>
        <v/>
      </c>
    </row>
    <row r="252" spans="1:27" s="71" customFormat="1" ht="48" customHeight="1" x14ac:dyDescent="0.2">
      <c r="A252" s="71" t="s">
        <v>110</v>
      </c>
      <c r="B252" s="71" t="s">
        <v>683</v>
      </c>
      <c r="C252" s="71" t="s">
        <v>684</v>
      </c>
      <c r="D252" s="203" t="s">
        <v>685</v>
      </c>
      <c r="E252" s="72"/>
      <c r="F252" s="70" t="s">
        <v>686</v>
      </c>
      <c r="G252" s="70" t="s">
        <v>687</v>
      </c>
      <c r="H252" s="72"/>
      <c r="I252" s="108" t="s">
        <v>38</v>
      </c>
      <c r="J252" s="120"/>
      <c r="K252" s="120" t="s">
        <v>688</v>
      </c>
      <c r="L252" s="108" t="s">
        <v>689</v>
      </c>
      <c r="M252" s="120"/>
      <c r="N252" s="120"/>
      <c r="O252" s="120"/>
      <c r="P252" s="120"/>
      <c r="U252" s="71" t="s">
        <v>74</v>
      </c>
      <c r="W252" s="172">
        <v>17</v>
      </c>
      <c r="X252" s="96">
        <v>1</v>
      </c>
      <c r="Y252" s="155">
        <f t="shared" si="20"/>
        <v>17</v>
      </c>
      <c r="Z252" s="155" t="str">
        <f t="shared" si="21"/>
        <v/>
      </c>
    </row>
    <row r="253" spans="1:27" s="71" customFormat="1" ht="48" customHeight="1" x14ac:dyDescent="0.2">
      <c r="A253" s="71" t="s">
        <v>110</v>
      </c>
      <c r="B253" s="71" t="s">
        <v>690</v>
      </c>
      <c r="C253" s="71" t="s">
        <v>691</v>
      </c>
      <c r="D253" s="203" t="s">
        <v>692</v>
      </c>
      <c r="E253" s="72"/>
      <c r="F253" s="70" t="s">
        <v>686</v>
      </c>
      <c r="G253" s="70" t="s">
        <v>687</v>
      </c>
      <c r="H253" s="72"/>
      <c r="I253" s="108" t="s">
        <v>38</v>
      </c>
      <c r="J253" s="120"/>
      <c r="K253" s="120" t="s">
        <v>688</v>
      </c>
      <c r="L253" s="108" t="s">
        <v>689</v>
      </c>
      <c r="M253" s="120"/>
      <c r="N253" s="120"/>
      <c r="O253" s="120"/>
      <c r="P253" s="120"/>
      <c r="U253" s="71" t="s">
        <v>74</v>
      </c>
      <c r="W253" s="172">
        <v>17</v>
      </c>
      <c r="X253" s="96">
        <v>1</v>
      </c>
      <c r="Y253" s="155">
        <f t="shared" si="20"/>
        <v>17</v>
      </c>
      <c r="Z253" s="155" t="str">
        <f t="shared" si="21"/>
        <v/>
      </c>
    </row>
    <row r="254" spans="1:27" s="71" customFormat="1" ht="32" customHeight="1" x14ac:dyDescent="0.2">
      <c r="A254" s="71" t="s">
        <v>110</v>
      </c>
      <c r="B254" s="71" t="s">
        <v>693</v>
      </c>
      <c r="C254" s="71" t="s">
        <v>694</v>
      </c>
      <c r="D254" s="203" t="s">
        <v>695</v>
      </c>
      <c r="E254" s="72"/>
      <c r="F254" s="70" t="s">
        <v>686</v>
      </c>
      <c r="G254" s="70" t="s">
        <v>687</v>
      </c>
      <c r="H254" s="72"/>
      <c r="I254" s="108" t="s">
        <v>38</v>
      </c>
      <c r="J254" s="120"/>
      <c r="K254" s="120" t="s">
        <v>688</v>
      </c>
      <c r="L254" s="108" t="s">
        <v>689</v>
      </c>
      <c r="M254" s="120"/>
      <c r="N254" s="120"/>
      <c r="O254" s="120"/>
      <c r="P254" s="120"/>
      <c r="U254" s="71" t="s">
        <v>74</v>
      </c>
      <c r="W254" s="172">
        <v>17</v>
      </c>
      <c r="X254" s="96">
        <v>1</v>
      </c>
      <c r="Y254" s="155">
        <f t="shared" si="20"/>
        <v>17</v>
      </c>
      <c r="Z254" s="155" t="str">
        <f t="shared" si="21"/>
        <v/>
      </c>
    </row>
    <row r="255" spans="1:27" s="71" customFormat="1" ht="32" customHeight="1" x14ac:dyDescent="0.2">
      <c r="A255" s="71" t="s">
        <v>110</v>
      </c>
      <c r="B255" s="71" t="s">
        <v>696</v>
      </c>
      <c r="C255" s="71" t="s">
        <v>697</v>
      </c>
      <c r="D255" s="203" t="s">
        <v>698</v>
      </c>
      <c r="E255" s="72"/>
      <c r="F255" s="70" t="s">
        <v>686</v>
      </c>
      <c r="G255" s="70" t="s">
        <v>687</v>
      </c>
      <c r="H255" s="72"/>
      <c r="I255" s="108" t="s">
        <v>38</v>
      </c>
      <c r="J255" s="120"/>
      <c r="K255" s="120" t="s">
        <v>688</v>
      </c>
      <c r="L255" s="108" t="s">
        <v>689</v>
      </c>
      <c r="M255" s="120"/>
      <c r="N255" s="120"/>
      <c r="O255" s="120"/>
      <c r="P255" s="120"/>
      <c r="U255" s="71" t="s">
        <v>74</v>
      </c>
      <c r="W255" s="172">
        <v>17</v>
      </c>
      <c r="X255" s="96">
        <v>1</v>
      </c>
      <c r="Y255" s="155">
        <f t="shared" si="20"/>
        <v>17</v>
      </c>
      <c r="Z255" s="155" t="str">
        <f t="shared" si="21"/>
        <v/>
      </c>
    </row>
    <row r="256" spans="1:27" s="71" customFormat="1" ht="48" customHeight="1" x14ac:dyDescent="0.2">
      <c r="A256" s="71" t="s">
        <v>110</v>
      </c>
      <c r="B256" s="71" t="s">
        <v>699</v>
      </c>
      <c r="C256" s="71" t="s">
        <v>700</v>
      </c>
      <c r="D256" s="203" t="s">
        <v>701</v>
      </c>
      <c r="E256" s="72"/>
      <c r="F256" s="70" t="s">
        <v>686</v>
      </c>
      <c r="G256" s="70" t="s">
        <v>687</v>
      </c>
      <c r="H256" s="72"/>
      <c r="I256" s="108" t="s">
        <v>38</v>
      </c>
      <c r="J256" s="120"/>
      <c r="K256" s="120" t="s">
        <v>688</v>
      </c>
      <c r="L256" s="108" t="s">
        <v>689</v>
      </c>
      <c r="M256" s="120"/>
      <c r="N256" s="120"/>
      <c r="O256" s="120"/>
      <c r="P256" s="120"/>
      <c r="U256" s="71" t="s">
        <v>74</v>
      </c>
      <c r="W256" s="172">
        <v>17</v>
      </c>
      <c r="X256" s="96">
        <v>1</v>
      </c>
      <c r="Y256" s="155">
        <f t="shared" si="20"/>
        <v>17</v>
      </c>
      <c r="Z256" s="155" t="str">
        <f t="shared" si="21"/>
        <v/>
      </c>
    </row>
    <row r="257" spans="1:27" s="71" customFormat="1" ht="48" customHeight="1" x14ac:dyDescent="0.2">
      <c r="A257" s="71" t="s">
        <v>110</v>
      </c>
      <c r="B257" s="71" t="s">
        <v>702</v>
      </c>
      <c r="C257" s="71" t="s">
        <v>703</v>
      </c>
      <c r="D257" s="203" t="s">
        <v>704</v>
      </c>
      <c r="E257" s="72"/>
      <c r="F257" s="70" t="s">
        <v>686</v>
      </c>
      <c r="G257" s="70" t="s">
        <v>687</v>
      </c>
      <c r="H257" s="72"/>
      <c r="I257" s="108" t="s">
        <v>38</v>
      </c>
      <c r="J257" s="120"/>
      <c r="K257" s="120" t="s">
        <v>688</v>
      </c>
      <c r="L257" s="108" t="s">
        <v>689</v>
      </c>
      <c r="M257" s="120"/>
      <c r="N257" s="120"/>
      <c r="O257" s="120"/>
      <c r="P257" s="120"/>
      <c r="U257" s="71" t="s">
        <v>74</v>
      </c>
      <c r="W257" s="172">
        <v>17</v>
      </c>
      <c r="X257" s="96">
        <v>1</v>
      </c>
      <c r="Y257" s="155">
        <f t="shared" si="20"/>
        <v>17</v>
      </c>
      <c r="Z257" s="155" t="str">
        <f t="shared" si="21"/>
        <v/>
      </c>
    </row>
    <row r="258" spans="1:27" s="71" customFormat="1" ht="48" customHeight="1" x14ac:dyDescent="0.2">
      <c r="A258" s="71" t="s">
        <v>110</v>
      </c>
      <c r="B258" s="71" t="s">
        <v>705</v>
      </c>
      <c r="C258" s="71" t="s">
        <v>706</v>
      </c>
      <c r="D258" s="203" t="s">
        <v>707</v>
      </c>
      <c r="E258" s="72"/>
      <c r="F258" s="70" t="s">
        <v>686</v>
      </c>
      <c r="G258" s="70" t="s">
        <v>687</v>
      </c>
      <c r="H258" s="72"/>
      <c r="I258" s="108" t="s">
        <v>38</v>
      </c>
      <c r="J258" s="120"/>
      <c r="K258" s="120" t="s">
        <v>688</v>
      </c>
      <c r="L258" s="108" t="s">
        <v>689</v>
      </c>
      <c r="M258" s="120"/>
      <c r="N258" s="120"/>
      <c r="O258" s="120"/>
      <c r="P258" s="120"/>
      <c r="U258" s="71" t="s">
        <v>74</v>
      </c>
      <c r="W258" s="172">
        <v>17</v>
      </c>
      <c r="X258" s="96">
        <v>1</v>
      </c>
      <c r="Y258" s="155">
        <f t="shared" si="20"/>
        <v>17</v>
      </c>
      <c r="Z258" s="155" t="str">
        <f t="shared" si="21"/>
        <v/>
      </c>
    </row>
    <row r="259" spans="1:27" s="71" customFormat="1" ht="48" customHeight="1" x14ac:dyDescent="0.2">
      <c r="A259" s="71" t="s">
        <v>110</v>
      </c>
      <c r="B259" s="71" t="s">
        <v>708</v>
      </c>
      <c r="C259" s="71" t="s">
        <v>709</v>
      </c>
      <c r="D259" s="203" t="s">
        <v>710</v>
      </c>
      <c r="E259" s="72"/>
      <c r="F259" s="70" t="s">
        <v>686</v>
      </c>
      <c r="G259" s="70" t="s">
        <v>687</v>
      </c>
      <c r="H259" s="72"/>
      <c r="I259" s="108" t="s">
        <v>38</v>
      </c>
      <c r="J259" s="120"/>
      <c r="K259" s="120" t="s">
        <v>688</v>
      </c>
      <c r="L259" s="108" t="s">
        <v>689</v>
      </c>
      <c r="M259" s="120"/>
      <c r="N259" s="120"/>
      <c r="O259" s="120"/>
      <c r="P259" s="120"/>
      <c r="U259" s="71" t="s">
        <v>74</v>
      </c>
      <c r="W259" s="172">
        <v>17</v>
      </c>
      <c r="X259" s="96">
        <v>1</v>
      </c>
      <c r="Y259" s="155">
        <f t="shared" si="20"/>
        <v>17</v>
      </c>
      <c r="Z259" s="155" t="str">
        <f t="shared" si="21"/>
        <v/>
      </c>
    </row>
    <row r="260" spans="1:27" s="71" customFormat="1" ht="48" customHeight="1" x14ac:dyDescent="0.2">
      <c r="A260" s="71" t="s">
        <v>110</v>
      </c>
      <c r="B260" s="71" t="s">
        <v>711</v>
      </c>
      <c r="C260" s="71" t="s">
        <v>712</v>
      </c>
      <c r="D260" s="203" t="s">
        <v>713</v>
      </c>
      <c r="E260" s="72"/>
      <c r="F260" s="70" t="s">
        <v>686</v>
      </c>
      <c r="G260" s="70" t="s">
        <v>687</v>
      </c>
      <c r="H260" s="72"/>
      <c r="I260" s="108" t="s">
        <v>38</v>
      </c>
      <c r="J260" s="120"/>
      <c r="K260" s="120" t="s">
        <v>688</v>
      </c>
      <c r="L260" s="108" t="s">
        <v>689</v>
      </c>
      <c r="M260" s="120"/>
      <c r="N260" s="120"/>
      <c r="O260" s="120"/>
      <c r="P260" s="120"/>
      <c r="U260" s="71" t="s">
        <v>74</v>
      </c>
      <c r="W260" s="172">
        <v>17</v>
      </c>
      <c r="X260" s="96">
        <v>1</v>
      </c>
      <c r="Y260" s="155">
        <f t="shared" si="20"/>
        <v>17</v>
      </c>
      <c r="Z260" s="155" t="str">
        <f t="shared" si="21"/>
        <v/>
      </c>
    </row>
    <row r="261" spans="1:27" s="70" customFormat="1" x14ac:dyDescent="0.2">
      <c r="A261" s="70" t="s">
        <v>95</v>
      </c>
      <c r="C261" s="71"/>
      <c r="D261" s="71"/>
      <c r="E261" s="72"/>
      <c r="H261" s="76"/>
      <c r="I261" s="108"/>
      <c r="J261" s="108"/>
      <c r="K261" s="108"/>
      <c r="L261" s="108"/>
      <c r="M261" s="108"/>
      <c r="N261" s="108"/>
      <c r="O261" s="108"/>
      <c r="P261" s="108"/>
      <c r="W261" s="172">
        <v>17</v>
      </c>
      <c r="X261" s="96">
        <v>1</v>
      </c>
      <c r="Y261" s="155">
        <f t="shared" si="20"/>
        <v>17</v>
      </c>
      <c r="Z261" s="155" t="str">
        <f t="shared" si="21"/>
        <v/>
      </c>
      <c r="AA261" s="69"/>
    </row>
    <row r="262" spans="1:27" s="70" customFormat="1" x14ac:dyDescent="0.2">
      <c r="C262" s="71"/>
      <c r="D262" s="71"/>
      <c r="E262" s="72"/>
      <c r="H262" s="76"/>
      <c r="I262" s="108"/>
      <c r="J262" s="108"/>
      <c r="K262" s="108"/>
      <c r="L262" s="108"/>
      <c r="M262" s="108"/>
      <c r="N262" s="108"/>
      <c r="O262" s="108"/>
      <c r="P262" s="108"/>
      <c r="W262" s="172">
        <v>17</v>
      </c>
      <c r="X262" s="96">
        <v>1</v>
      </c>
      <c r="Y262" s="155">
        <f t="shared" si="20"/>
        <v>17</v>
      </c>
      <c r="Z262" s="155" t="str">
        <f t="shared" si="21"/>
        <v/>
      </c>
      <c r="AA262" s="69"/>
    </row>
    <row r="263" spans="1:27" s="70" customFormat="1" ht="16" customHeight="1" x14ac:dyDescent="0.2">
      <c r="A263" s="70" t="s">
        <v>64</v>
      </c>
      <c r="B263" s="70" t="s">
        <v>714</v>
      </c>
      <c r="C263" s="150" t="s">
        <v>715</v>
      </c>
      <c r="D263" s="150"/>
      <c r="E263" s="72"/>
      <c r="H263" s="76"/>
      <c r="I263" s="108"/>
      <c r="J263" s="108"/>
      <c r="K263" s="108"/>
      <c r="L263" s="108"/>
      <c r="M263" s="108"/>
      <c r="N263" s="108"/>
      <c r="O263" s="108"/>
      <c r="P263" s="108"/>
      <c r="U263" s="70" t="s">
        <v>74</v>
      </c>
      <c r="W263" s="172"/>
      <c r="X263" s="96">
        <v>1</v>
      </c>
      <c r="Y263" s="155" t="str">
        <f t="shared" si="20"/>
        <v/>
      </c>
      <c r="Z263" s="155" t="str">
        <f t="shared" si="21"/>
        <v/>
      </c>
    </row>
    <row r="264" spans="1:27" s="70" customFormat="1" ht="48" customHeight="1" x14ac:dyDescent="0.2">
      <c r="A264" s="70" t="s">
        <v>67</v>
      </c>
      <c r="B264" s="70" t="s">
        <v>716</v>
      </c>
      <c r="C264" s="71" t="s">
        <v>717</v>
      </c>
      <c r="D264" s="203" t="s">
        <v>718</v>
      </c>
      <c r="E264" s="72"/>
      <c r="H264" s="76"/>
      <c r="I264" s="108" t="s">
        <v>73</v>
      </c>
      <c r="J264" s="108"/>
      <c r="K264" s="108"/>
      <c r="L264" s="108"/>
      <c r="M264" s="108"/>
      <c r="N264" s="108"/>
      <c r="O264" s="108"/>
      <c r="P264" s="108"/>
      <c r="U264" s="70" t="s">
        <v>74</v>
      </c>
      <c r="W264" s="172">
        <v>17</v>
      </c>
      <c r="X264" s="96">
        <v>1</v>
      </c>
      <c r="Y264" s="155">
        <f t="shared" si="20"/>
        <v>17</v>
      </c>
      <c r="Z264" s="155" t="str">
        <f t="shared" si="21"/>
        <v/>
      </c>
    </row>
    <row r="265" spans="1:27" s="70" customFormat="1" ht="32" customHeight="1" x14ac:dyDescent="0.2">
      <c r="A265" s="70" t="s">
        <v>110</v>
      </c>
      <c r="B265" s="70" t="s">
        <v>719</v>
      </c>
      <c r="C265" s="71" t="s">
        <v>720</v>
      </c>
      <c r="D265" s="203" t="s">
        <v>721</v>
      </c>
      <c r="E265" s="72"/>
      <c r="F265" s="70" t="s">
        <v>722</v>
      </c>
      <c r="G265" s="70" t="s">
        <v>723</v>
      </c>
      <c r="H265" s="76"/>
      <c r="I265" s="108" t="s">
        <v>38</v>
      </c>
      <c r="J265" s="108"/>
      <c r="K265" s="108" t="s">
        <v>688</v>
      </c>
      <c r="L265" s="108" t="s">
        <v>689</v>
      </c>
      <c r="M265" s="108"/>
      <c r="N265" s="108"/>
      <c r="O265" s="108"/>
      <c r="P265" s="108"/>
      <c r="U265" s="70" t="s">
        <v>74</v>
      </c>
      <c r="W265" s="172">
        <v>17</v>
      </c>
      <c r="X265" s="96">
        <v>1</v>
      </c>
      <c r="Y265" s="155">
        <f t="shared" si="20"/>
        <v>17</v>
      </c>
      <c r="Z265" s="155" t="str">
        <f t="shared" si="21"/>
        <v/>
      </c>
    </row>
    <row r="266" spans="1:27" s="70" customFormat="1" ht="32" customHeight="1" x14ac:dyDescent="0.2">
      <c r="A266" s="70" t="s">
        <v>110</v>
      </c>
      <c r="B266" s="70" t="s">
        <v>724</v>
      </c>
      <c r="C266" s="71" t="s">
        <v>725</v>
      </c>
      <c r="D266" s="203" t="s">
        <v>726</v>
      </c>
      <c r="E266" s="72"/>
      <c r="F266" s="70" t="s">
        <v>722</v>
      </c>
      <c r="G266" s="70" t="s">
        <v>723</v>
      </c>
      <c r="H266" s="76"/>
      <c r="I266" s="108" t="s">
        <v>38</v>
      </c>
      <c r="J266" s="108"/>
      <c r="K266" s="108" t="s">
        <v>688</v>
      </c>
      <c r="L266" s="108" t="s">
        <v>689</v>
      </c>
      <c r="M266" s="108"/>
      <c r="N266" s="108"/>
      <c r="O266" s="108"/>
      <c r="P266" s="108"/>
      <c r="U266" s="70" t="s">
        <v>74</v>
      </c>
      <c r="W266" s="172">
        <v>17</v>
      </c>
      <c r="X266" s="96">
        <v>1</v>
      </c>
      <c r="Y266" s="155">
        <f t="shared" si="20"/>
        <v>17</v>
      </c>
      <c r="Z266" s="155" t="str">
        <f t="shared" si="21"/>
        <v/>
      </c>
    </row>
    <row r="267" spans="1:27" s="70" customFormat="1" ht="32" customHeight="1" x14ac:dyDescent="0.2">
      <c r="A267" s="70" t="s">
        <v>110</v>
      </c>
      <c r="B267" s="70" t="s">
        <v>727</v>
      </c>
      <c r="C267" s="71" t="s">
        <v>728</v>
      </c>
      <c r="D267" s="203" t="s">
        <v>729</v>
      </c>
      <c r="E267" s="72"/>
      <c r="F267" s="70" t="s">
        <v>722</v>
      </c>
      <c r="G267" s="70" t="s">
        <v>723</v>
      </c>
      <c r="H267" s="76"/>
      <c r="I267" s="108" t="s">
        <v>38</v>
      </c>
      <c r="J267" s="108"/>
      <c r="K267" s="108" t="s">
        <v>688</v>
      </c>
      <c r="L267" s="108" t="s">
        <v>689</v>
      </c>
      <c r="M267" s="108"/>
      <c r="N267" s="108"/>
      <c r="O267" s="108"/>
      <c r="P267" s="108"/>
      <c r="U267" s="70" t="s">
        <v>74</v>
      </c>
      <c r="W267" s="172">
        <v>17</v>
      </c>
      <c r="X267" s="96">
        <v>1</v>
      </c>
      <c r="Y267" s="155">
        <f t="shared" si="20"/>
        <v>17</v>
      </c>
      <c r="Z267" s="155" t="str">
        <f t="shared" si="21"/>
        <v/>
      </c>
    </row>
    <row r="268" spans="1:27" s="70" customFormat="1" ht="32" customHeight="1" x14ac:dyDescent="0.2">
      <c r="A268" s="70" t="s">
        <v>110</v>
      </c>
      <c r="B268" s="70" t="s">
        <v>730</v>
      </c>
      <c r="C268" s="71" t="s">
        <v>731</v>
      </c>
      <c r="D268" s="203" t="s">
        <v>732</v>
      </c>
      <c r="E268" s="72"/>
      <c r="F268" s="70" t="s">
        <v>722</v>
      </c>
      <c r="G268" s="70" t="s">
        <v>723</v>
      </c>
      <c r="H268" s="76"/>
      <c r="I268" s="108" t="s">
        <v>38</v>
      </c>
      <c r="J268" s="108"/>
      <c r="K268" s="108" t="s">
        <v>688</v>
      </c>
      <c r="L268" s="108" t="s">
        <v>689</v>
      </c>
      <c r="M268" s="108"/>
      <c r="N268" s="108"/>
      <c r="O268" s="108"/>
      <c r="P268" s="108"/>
      <c r="U268" s="70" t="s">
        <v>74</v>
      </c>
      <c r="W268" s="172">
        <v>17</v>
      </c>
      <c r="X268" s="96">
        <v>1</v>
      </c>
      <c r="Y268" s="155">
        <f t="shared" si="20"/>
        <v>17</v>
      </c>
      <c r="Z268" s="155" t="str">
        <f t="shared" si="21"/>
        <v/>
      </c>
    </row>
    <row r="269" spans="1:27" s="70" customFormat="1" ht="32" customHeight="1" x14ac:dyDescent="0.2">
      <c r="A269" s="70" t="s">
        <v>110</v>
      </c>
      <c r="B269" s="70" t="s">
        <v>733</v>
      </c>
      <c r="C269" s="71" t="s">
        <v>734</v>
      </c>
      <c r="D269" s="278" t="s">
        <v>735</v>
      </c>
      <c r="E269" s="72"/>
      <c r="F269" s="70" t="s">
        <v>722</v>
      </c>
      <c r="G269" s="70" t="s">
        <v>723</v>
      </c>
      <c r="H269" s="76"/>
      <c r="I269" s="108" t="s">
        <v>38</v>
      </c>
      <c r="J269" s="108"/>
      <c r="K269" s="108" t="s">
        <v>688</v>
      </c>
      <c r="L269" s="108" t="s">
        <v>689</v>
      </c>
      <c r="M269" s="108"/>
      <c r="N269" s="108"/>
      <c r="O269" s="108"/>
      <c r="P269" s="108"/>
      <c r="U269" s="70" t="s">
        <v>74</v>
      </c>
      <c r="W269" s="172">
        <v>17</v>
      </c>
      <c r="X269" s="96">
        <v>1</v>
      </c>
      <c r="Y269" s="155">
        <f t="shared" si="20"/>
        <v>17</v>
      </c>
      <c r="Z269" s="155" t="str">
        <f t="shared" si="21"/>
        <v/>
      </c>
    </row>
    <row r="270" spans="1:27" s="70" customFormat="1" x14ac:dyDescent="0.2">
      <c r="A270" s="70" t="s">
        <v>95</v>
      </c>
      <c r="C270" s="71"/>
      <c r="D270" s="71"/>
      <c r="E270" s="72"/>
      <c r="H270" s="76"/>
      <c r="I270" s="108"/>
      <c r="J270" s="108"/>
      <c r="K270" s="108"/>
      <c r="L270" s="108"/>
      <c r="M270" s="108"/>
      <c r="N270" s="108"/>
      <c r="O270" s="108"/>
      <c r="P270" s="108"/>
      <c r="W270" s="172"/>
      <c r="X270" s="96">
        <v>1</v>
      </c>
      <c r="Y270" s="155" t="str">
        <f t="shared" si="20"/>
        <v/>
      </c>
      <c r="Z270" s="155" t="str">
        <f t="shared" si="21"/>
        <v/>
      </c>
    </row>
    <row r="271" spans="1:27" s="70" customFormat="1" x14ac:dyDescent="0.2">
      <c r="C271" s="71"/>
      <c r="D271" s="71"/>
      <c r="E271" s="72"/>
      <c r="H271" s="76"/>
      <c r="I271" s="108"/>
      <c r="J271" s="108"/>
      <c r="K271" s="108"/>
      <c r="L271" s="108"/>
      <c r="M271" s="108"/>
      <c r="N271" s="108"/>
      <c r="O271" s="108"/>
      <c r="P271" s="108"/>
      <c r="W271" s="172"/>
      <c r="X271" s="96">
        <v>1</v>
      </c>
      <c r="Y271" s="155" t="str">
        <f t="shared" si="20"/>
        <v/>
      </c>
      <c r="Z271" s="155" t="str">
        <f t="shared" si="21"/>
        <v/>
      </c>
    </row>
    <row r="272" spans="1:27" ht="16" customHeight="1" thickBot="1" x14ac:dyDescent="0.25">
      <c r="A272" s="89" t="s">
        <v>95</v>
      </c>
      <c r="B272" s="89"/>
      <c r="C272" s="90"/>
      <c r="D272" s="90"/>
      <c r="E272" s="99"/>
      <c r="F272" s="89"/>
      <c r="G272" s="89"/>
      <c r="H272" s="100"/>
      <c r="I272" s="117"/>
      <c r="J272" s="117"/>
      <c r="K272" s="117"/>
      <c r="L272" s="117"/>
      <c r="M272" s="117"/>
      <c r="N272" s="117"/>
      <c r="O272" s="117"/>
      <c r="P272" s="117"/>
      <c r="W272" s="172"/>
      <c r="Y272" s="155" t="str">
        <f t="shared" si="20"/>
        <v/>
      </c>
      <c r="Z272" s="155" t="str">
        <f t="shared" si="21"/>
        <v/>
      </c>
    </row>
    <row r="273" spans="1:27" s="66" customFormat="1" ht="15" customHeight="1" thickTop="1" x14ac:dyDescent="0.2">
      <c r="A273" s="63" t="s">
        <v>64</v>
      </c>
      <c r="B273" s="63" t="s">
        <v>736</v>
      </c>
      <c r="C273" s="81" t="s">
        <v>737</v>
      </c>
      <c r="D273" s="81" t="s">
        <v>738</v>
      </c>
      <c r="E273" s="64"/>
      <c r="F273" s="63"/>
      <c r="G273" s="63"/>
      <c r="H273" s="65"/>
      <c r="I273" s="110" t="s">
        <v>73</v>
      </c>
      <c r="J273" s="110"/>
      <c r="K273" s="110"/>
      <c r="L273" s="110"/>
      <c r="M273" s="110" t="s">
        <v>739</v>
      </c>
      <c r="N273" s="110"/>
      <c r="O273" s="110"/>
      <c r="P273" s="110"/>
      <c r="U273" s="41" t="s">
        <v>40</v>
      </c>
      <c r="W273" s="172"/>
      <c r="X273" s="67"/>
      <c r="Y273" s="155" t="str">
        <f t="shared" si="20"/>
        <v/>
      </c>
      <c r="Z273" s="155" t="str">
        <f t="shared" si="21"/>
        <v/>
      </c>
      <c r="AA273" s="67"/>
    </row>
    <row r="274" spans="1:27" s="66" customFormat="1" ht="15" customHeight="1" x14ac:dyDescent="0.2">
      <c r="C274" s="82"/>
      <c r="D274" s="82"/>
      <c r="E274" s="64"/>
      <c r="H274" s="65"/>
      <c r="I274" s="111"/>
      <c r="J274" s="111"/>
      <c r="K274" s="111"/>
      <c r="L274" s="111"/>
      <c r="M274" s="111"/>
      <c r="N274" s="111"/>
      <c r="O274" s="111"/>
      <c r="P274" s="111"/>
      <c r="U274" s="41"/>
      <c r="W274" s="172"/>
      <c r="X274" s="96">
        <v>1</v>
      </c>
      <c r="Y274" s="155" t="str">
        <f t="shared" si="20"/>
        <v/>
      </c>
      <c r="Z274" s="155" t="str">
        <f t="shared" si="21"/>
        <v/>
      </c>
      <c r="AA274" s="67"/>
    </row>
    <row r="275" spans="1:27" ht="32" customHeight="1" x14ac:dyDescent="0.2">
      <c r="A275" s="68" t="s">
        <v>157</v>
      </c>
      <c r="B275" s="68" t="s">
        <v>740</v>
      </c>
      <c r="C275" s="40" t="s">
        <v>741</v>
      </c>
      <c r="D275" s="74" t="s">
        <v>742</v>
      </c>
      <c r="E275" s="77"/>
      <c r="F275" s="68"/>
      <c r="G275" s="68"/>
      <c r="H275" s="78"/>
      <c r="I275" s="107" t="s">
        <v>38</v>
      </c>
      <c r="J275" s="107"/>
      <c r="K275" s="107"/>
      <c r="L275" s="107"/>
      <c r="M275" s="107"/>
      <c r="N275" s="107"/>
      <c r="O275" s="107"/>
      <c r="P275" s="107"/>
      <c r="U275" s="41" t="s">
        <v>40</v>
      </c>
      <c r="W275" s="172">
        <v>19.828245162963871</v>
      </c>
      <c r="X275" s="96">
        <v>1</v>
      </c>
      <c r="Y275" s="155">
        <f t="shared" si="20"/>
        <v>19.828245162963871</v>
      </c>
      <c r="Z275" s="155">
        <f t="shared" si="21"/>
        <v>19.828245162963871</v>
      </c>
    </row>
    <row r="276" spans="1:27" ht="48" customHeight="1" x14ac:dyDescent="0.2">
      <c r="A276" s="68" t="s">
        <v>743</v>
      </c>
      <c r="B276" s="68" t="s">
        <v>744</v>
      </c>
      <c r="C276" s="40" t="s">
        <v>745</v>
      </c>
      <c r="D276" s="74" t="s">
        <v>746</v>
      </c>
      <c r="E276" s="77"/>
      <c r="F276" s="68" t="s">
        <v>747</v>
      </c>
      <c r="G276" s="73" t="s">
        <v>748</v>
      </c>
      <c r="H276" s="78"/>
      <c r="I276" s="107" t="s">
        <v>38</v>
      </c>
      <c r="J276" s="107"/>
      <c r="K276" s="109" t="s">
        <v>408</v>
      </c>
      <c r="L276" s="107"/>
      <c r="M276" s="107" t="s">
        <v>749</v>
      </c>
      <c r="N276" s="107"/>
      <c r="O276" s="107"/>
      <c r="P276" s="107"/>
      <c r="U276" s="41" t="s">
        <v>40</v>
      </c>
      <c r="W276" s="172">
        <v>49.529693603515618</v>
      </c>
      <c r="X276" s="96">
        <v>1</v>
      </c>
      <c r="Y276" s="155">
        <f t="shared" si="20"/>
        <v>49.529693603515618</v>
      </c>
      <c r="Z276" s="155">
        <f t="shared" si="21"/>
        <v>49.529693603515618</v>
      </c>
    </row>
    <row r="277" spans="1:27" ht="16" customHeight="1" x14ac:dyDescent="0.2">
      <c r="A277" s="68" t="s">
        <v>32</v>
      </c>
      <c r="B277" s="68" t="s">
        <v>750</v>
      </c>
      <c r="C277" s="74" t="s">
        <v>34</v>
      </c>
      <c r="D277" s="43" t="s">
        <v>214</v>
      </c>
      <c r="E277" s="86"/>
      <c r="F277" s="69" t="s">
        <v>215</v>
      </c>
      <c r="G277" s="69" t="s">
        <v>337</v>
      </c>
      <c r="H277" s="78"/>
      <c r="I277" s="107" t="s">
        <v>38</v>
      </c>
      <c r="J277" s="107"/>
      <c r="K277" s="107"/>
      <c r="L277" s="107"/>
      <c r="M277" s="107" t="s">
        <v>751</v>
      </c>
      <c r="N277" s="107"/>
      <c r="O277" s="107"/>
      <c r="P277" s="107"/>
      <c r="U277" s="41" t="s">
        <v>40</v>
      </c>
      <c r="W277" s="172"/>
      <c r="X277" s="96">
        <v>1</v>
      </c>
      <c r="Y277" s="155" t="str">
        <f t="shared" si="20"/>
        <v/>
      </c>
      <c r="Z277" s="155" t="str">
        <f t="shared" si="21"/>
        <v/>
      </c>
    </row>
    <row r="278" spans="1:27" x14ac:dyDescent="0.2">
      <c r="D278" s="43"/>
      <c r="E278" s="77"/>
      <c r="G278" s="69"/>
      <c r="H278" s="78"/>
      <c r="W278" s="172"/>
      <c r="X278" s="96">
        <v>1</v>
      </c>
      <c r="Y278" s="155" t="str">
        <f t="shared" si="20"/>
        <v/>
      </c>
      <c r="Z278" s="155" t="str">
        <f t="shared" si="21"/>
        <v/>
      </c>
    </row>
    <row r="279" spans="1:27" s="69" customFormat="1" ht="32" customHeight="1" x14ac:dyDescent="0.2">
      <c r="A279" s="73" t="s">
        <v>752</v>
      </c>
      <c r="B279" s="73" t="s">
        <v>753</v>
      </c>
      <c r="C279" s="74" t="s">
        <v>754</v>
      </c>
      <c r="D279" s="74" t="s">
        <v>755</v>
      </c>
      <c r="E279" s="86"/>
      <c r="F279" s="73" t="s">
        <v>756</v>
      </c>
      <c r="G279" s="73" t="s">
        <v>757</v>
      </c>
      <c r="H279" s="88"/>
      <c r="I279" s="109" t="s">
        <v>38</v>
      </c>
      <c r="J279" s="109"/>
      <c r="K279" s="109" t="s">
        <v>758</v>
      </c>
      <c r="L279" s="109"/>
      <c r="M279" s="109"/>
      <c r="N279" s="109"/>
      <c r="O279" s="109"/>
      <c r="P279" s="109"/>
      <c r="U279" s="69" t="s">
        <v>74</v>
      </c>
      <c r="W279" s="172">
        <v>22.029750823974609</v>
      </c>
      <c r="X279" s="96">
        <v>1</v>
      </c>
      <c r="Y279" s="155">
        <f t="shared" si="20"/>
        <v>22.029750823974609</v>
      </c>
      <c r="Z279" s="155" t="str">
        <f t="shared" si="21"/>
        <v/>
      </c>
    </row>
    <row r="280" spans="1:27" s="69" customFormat="1" ht="16" customHeight="1" x14ac:dyDescent="0.2">
      <c r="A280" s="73" t="s">
        <v>32</v>
      </c>
      <c r="B280" s="73" t="s">
        <v>759</v>
      </c>
      <c r="C280" s="74" t="s">
        <v>34</v>
      </c>
      <c r="D280" s="43" t="s">
        <v>214</v>
      </c>
      <c r="E280" s="86"/>
      <c r="F280" s="73" t="s">
        <v>215</v>
      </c>
      <c r="G280" s="69" t="s">
        <v>337</v>
      </c>
      <c r="H280" s="88"/>
      <c r="I280" s="109" t="s">
        <v>38</v>
      </c>
      <c r="J280" s="109"/>
      <c r="K280" s="109"/>
      <c r="L280" s="109"/>
      <c r="M280" s="109" t="s">
        <v>760</v>
      </c>
      <c r="N280" s="109"/>
      <c r="O280" s="109"/>
      <c r="P280" s="109"/>
      <c r="U280" s="69" t="s">
        <v>74</v>
      </c>
      <c r="W280" s="172"/>
      <c r="X280" s="96">
        <v>1</v>
      </c>
      <c r="Y280" s="155" t="str">
        <f t="shared" si="20"/>
        <v/>
      </c>
      <c r="Z280" s="155" t="str">
        <f t="shared" si="21"/>
        <v/>
      </c>
    </row>
    <row r="281" spans="1:27" s="69" customFormat="1" ht="16" customHeight="1" x14ac:dyDescent="0.2">
      <c r="A281" s="73" t="s">
        <v>761</v>
      </c>
      <c r="B281" s="73" t="s">
        <v>762</v>
      </c>
      <c r="C281" s="74" t="s">
        <v>763</v>
      </c>
      <c r="D281" s="74" t="s">
        <v>764</v>
      </c>
      <c r="E281" s="86"/>
      <c r="F281" s="73" t="s">
        <v>765</v>
      </c>
      <c r="G281" s="73" t="s">
        <v>766</v>
      </c>
      <c r="H281" s="88"/>
      <c r="I281" s="109" t="s">
        <v>38</v>
      </c>
      <c r="J281" s="109"/>
      <c r="K281" s="109"/>
      <c r="L281" s="109"/>
      <c r="M281" s="109" t="s">
        <v>767</v>
      </c>
      <c r="N281" s="109"/>
      <c r="O281" s="109"/>
      <c r="P281" s="109"/>
      <c r="U281" s="69" t="s">
        <v>74</v>
      </c>
      <c r="W281" s="172">
        <v>17</v>
      </c>
      <c r="X281" s="96">
        <v>1</v>
      </c>
      <c r="Y281" s="155">
        <f t="shared" si="20"/>
        <v>17</v>
      </c>
      <c r="Z281" s="155" t="str">
        <f t="shared" si="21"/>
        <v/>
      </c>
    </row>
    <row r="282" spans="1:27" s="70" customFormat="1" x14ac:dyDescent="0.2">
      <c r="C282" s="71"/>
      <c r="D282" s="71"/>
      <c r="E282" s="72"/>
      <c r="H282" s="76"/>
      <c r="I282" s="108"/>
      <c r="J282" s="108"/>
      <c r="K282" s="108"/>
      <c r="L282" s="108"/>
      <c r="M282" s="108"/>
      <c r="N282" s="108"/>
      <c r="O282" s="108"/>
      <c r="P282" s="108"/>
      <c r="R282" s="41"/>
      <c r="W282" s="172"/>
      <c r="X282" s="96">
        <v>1</v>
      </c>
      <c r="Y282" s="155" t="str">
        <f t="shared" si="20"/>
        <v/>
      </c>
      <c r="Z282" s="155" t="str">
        <f t="shared" si="21"/>
        <v/>
      </c>
      <c r="AA282" s="69"/>
    </row>
    <row r="283" spans="1:27" s="70" customFormat="1" ht="16" customHeight="1" x14ac:dyDescent="0.2">
      <c r="A283" s="70" t="s">
        <v>768</v>
      </c>
      <c r="B283" s="70" t="s">
        <v>769</v>
      </c>
      <c r="C283" s="71" t="s">
        <v>770</v>
      </c>
      <c r="D283" s="71" t="s">
        <v>771</v>
      </c>
      <c r="E283" s="72"/>
      <c r="F283" s="70" t="s">
        <v>772</v>
      </c>
      <c r="G283" s="70" t="s">
        <v>344</v>
      </c>
      <c r="H283" s="76"/>
      <c r="I283" s="108" t="s">
        <v>38</v>
      </c>
      <c r="J283" s="108"/>
      <c r="K283" s="116" t="s">
        <v>408</v>
      </c>
      <c r="L283" s="108"/>
      <c r="M283" s="116" t="s">
        <v>767</v>
      </c>
      <c r="N283" s="108"/>
      <c r="O283" s="108"/>
      <c r="P283" s="108"/>
      <c r="R283" s="41"/>
      <c r="W283" s="172"/>
      <c r="X283" s="96"/>
      <c r="Y283" s="155"/>
      <c r="Z283" s="155"/>
      <c r="AA283" s="69"/>
    </row>
    <row r="284" spans="1:27" s="70" customFormat="1" x14ac:dyDescent="0.2">
      <c r="C284" s="71"/>
      <c r="D284" s="71"/>
      <c r="E284" s="72"/>
      <c r="H284" s="76"/>
      <c r="I284" s="108"/>
      <c r="J284" s="108"/>
      <c r="K284" s="108"/>
      <c r="L284" s="108"/>
      <c r="M284" s="108"/>
      <c r="N284" s="108"/>
      <c r="O284" s="108"/>
      <c r="P284" s="108"/>
      <c r="R284" s="41"/>
      <c r="W284" s="172"/>
      <c r="X284" s="96"/>
      <c r="Y284" s="155"/>
      <c r="Z284" s="155"/>
      <c r="AA284" s="69"/>
    </row>
    <row r="285" spans="1:27" ht="16" customHeight="1" thickBot="1" x14ac:dyDescent="0.25">
      <c r="A285" s="89" t="s">
        <v>95</v>
      </c>
      <c r="B285" s="89"/>
      <c r="C285" s="90"/>
      <c r="D285" s="90"/>
      <c r="E285" s="99"/>
      <c r="F285" s="89"/>
      <c r="G285" s="89"/>
      <c r="H285" s="100"/>
      <c r="I285" s="117"/>
      <c r="J285" s="117"/>
      <c r="K285" s="117"/>
      <c r="L285" s="117"/>
      <c r="M285" s="117"/>
      <c r="N285" s="117"/>
      <c r="O285" s="117"/>
      <c r="P285" s="117"/>
      <c r="W285" s="172"/>
      <c r="Y285" s="155" t="str">
        <f t="shared" ref="Y285:Y297" si="22">IF(W285&lt;&gt;"",W285*X285,"")</f>
        <v/>
      </c>
      <c r="Z285" s="155" t="str">
        <f t="shared" ref="Z285:Z297" si="23">IF(AND(W285&lt;&gt;"",U285="yes"),W285*X285,"")</f>
        <v/>
      </c>
    </row>
    <row r="286" spans="1:27" s="66" customFormat="1" ht="17" customHeight="1" thickTop="1" x14ac:dyDescent="0.2">
      <c r="A286" s="63" t="s">
        <v>64</v>
      </c>
      <c r="B286" s="63" t="s">
        <v>773</v>
      </c>
      <c r="C286" s="81" t="s">
        <v>774</v>
      </c>
      <c r="D286" s="81" t="s">
        <v>775</v>
      </c>
      <c r="E286" s="64"/>
      <c r="F286" s="63"/>
      <c r="G286" s="63"/>
      <c r="H286" s="65"/>
      <c r="I286" s="110" t="s">
        <v>73</v>
      </c>
      <c r="J286" s="110"/>
      <c r="K286" s="110"/>
      <c r="L286" s="110"/>
      <c r="M286" s="110" t="s">
        <v>181</v>
      </c>
      <c r="N286" s="110"/>
      <c r="O286" s="110"/>
      <c r="P286" s="110"/>
      <c r="U286" s="41" t="s">
        <v>40</v>
      </c>
      <c r="W286" s="172"/>
      <c r="X286" s="154"/>
      <c r="Y286" s="155" t="str">
        <f t="shared" si="22"/>
        <v/>
      </c>
      <c r="Z286" s="155" t="str">
        <f t="shared" si="23"/>
        <v/>
      </c>
      <c r="AA286" s="67"/>
    </row>
    <row r="287" spans="1:27" s="66" customFormat="1" x14ac:dyDescent="0.2">
      <c r="C287" s="82"/>
      <c r="D287" s="82"/>
      <c r="E287" s="64"/>
      <c r="H287" s="65"/>
      <c r="I287" s="111"/>
      <c r="J287" s="111"/>
      <c r="K287" s="111"/>
      <c r="L287" s="111"/>
      <c r="M287" s="111"/>
      <c r="N287" s="111"/>
      <c r="O287" s="111"/>
      <c r="P287" s="111"/>
      <c r="U287" s="41"/>
      <c r="W287" s="172"/>
      <c r="X287" s="96">
        <v>1</v>
      </c>
      <c r="Y287" s="155" t="str">
        <f t="shared" si="22"/>
        <v/>
      </c>
      <c r="Z287" s="155" t="str">
        <f t="shared" si="23"/>
        <v/>
      </c>
      <c r="AA287" s="67"/>
    </row>
    <row r="288" spans="1:27" ht="32" customHeight="1" x14ac:dyDescent="0.2">
      <c r="A288" s="68" t="s">
        <v>75</v>
      </c>
      <c r="B288" s="68" t="s">
        <v>776</v>
      </c>
      <c r="C288" s="40" t="s">
        <v>777</v>
      </c>
      <c r="D288" s="267" t="s">
        <v>778</v>
      </c>
      <c r="E288" s="77"/>
      <c r="F288" s="68"/>
      <c r="G288" s="68"/>
      <c r="H288" s="78"/>
      <c r="I288" s="107" t="s">
        <v>38</v>
      </c>
      <c r="J288" s="107"/>
      <c r="K288" s="107"/>
      <c r="L288" s="107"/>
      <c r="M288" s="107"/>
      <c r="N288" s="107"/>
      <c r="O288" s="107"/>
      <c r="P288" s="107"/>
      <c r="U288" s="41" t="s">
        <v>40</v>
      </c>
      <c r="W288" s="172">
        <v>36.783046722412109</v>
      </c>
      <c r="X288" s="96">
        <v>1</v>
      </c>
      <c r="Y288" s="155">
        <f t="shared" si="22"/>
        <v>36.783046722412109</v>
      </c>
      <c r="Z288" s="155">
        <f t="shared" si="23"/>
        <v>36.783046722412109</v>
      </c>
    </row>
    <row r="289" spans="1:27" x14ac:dyDescent="0.2">
      <c r="D289" s="276"/>
      <c r="E289" s="77"/>
      <c r="H289" s="78"/>
      <c r="W289" s="172"/>
      <c r="X289" s="96">
        <v>1</v>
      </c>
      <c r="Y289" s="155" t="str">
        <f t="shared" si="22"/>
        <v/>
      </c>
      <c r="Z289" s="155" t="str">
        <f t="shared" si="23"/>
        <v/>
      </c>
    </row>
    <row r="290" spans="1:27" s="70" customFormat="1" ht="16" customHeight="1" x14ac:dyDescent="0.2">
      <c r="A290" s="145" t="s">
        <v>779</v>
      </c>
      <c r="B290" s="145" t="s">
        <v>780</v>
      </c>
      <c r="C290" s="164" t="s">
        <v>781</v>
      </c>
      <c r="D290" s="279" t="s">
        <v>782</v>
      </c>
      <c r="E290" s="148"/>
      <c r="F290" s="145" t="s">
        <v>783</v>
      </c>
      <c r="G290" s="145" t="s">
        <v>344</v>
      </c>
      <c r="H290" s="149"/>
      <c r="I290" s="144" t="s">
        <v>38</v>
      </c>
      <c r="J290" s="144"/>
      <c r="K290" s="121"/>
      <c r="L290" s="144"/>
      <c r="M290" s="144" t="s">
        <v>784</v>
      </c>
      <c r="N290" s="114"/>
      <c r="O290" s="114"/>
      <c r="P290" s="114"/>
      <c r="U290" s="147" t="s">
        <v>127</v>
      </c>
      <c r="W290" s="172">
        <v>10</v>
      </c>
      <c r="X290" s="96">
        <v>1</v>
      </c>
      <c r="Y290" s="155">
        <f t="shared" si="22"/>
        <v>10</v>
      </c>
      <c r="Z290" s="155" t="str">
        <f t="shared" si="23"/>
        <v/>
      </c>
      <c r="AA290" s="69"/>
    </row>
    <row r="291" spans="1:27" s="70" customFormat="1" ht="16" customHeight="1" x14ac:dyDescent="0.2">
      <c r="A291" s="145" t="s">
        <v>785</v>
      </c>
      <c r="B291" s="145" t="s">
        <v>786</v>
      </c>
      <c r="C291" s="164" t="s">
        <v>787</v>
      </c>
      <c r="D291" s="279" t="s">
        <v>788</v>
      </c>
      <c r="E291" s="148"/>
      <c r="F291" s="145" t="s">
        <v>783</v>
      </c>
      <c r="G291" s="145" t="s">
        <v>344</v>
      </c>
      <c r="H291" s="149"/>
      <c r="I291" s="144" t="s">
        <v>38</v>
      </c>
      <c r="J291" s="144"/>
      <c r="K291" s="121"/>
      <c r="L291" s="144"/>
      <c r="M291" s="144" t="s">
        <v>784</v>
      </c>
      <c r="N291" s="114"/>
      <c r="O291" s="114"/>
      <c r="P291" s="114"/>
      <c r="U291" s="147" t="s">
        <v>127</v>
      </c>
      <c r="W291" s="172">
        <v>10</v>
      </c>
      <c r="X291" s="96">
        <v>1</v>
      </c>
      <c r="Y291" s="155">
        <f t="shared" si="22"/>
        <v>10</v>
      </c>
      <c r="Z291" s="155" t="str">
        <f t="shared" si="23"/>
        <v/>
      </c>
      <c r="AA291" s="69"/>
    </row>
    <row r="292" spans="1:27" s="70" customFormat="1" x14ac:dyDescent="0.2">
      <c r="C292" s="71"/>
      <c r="D292" s="263"/>
      <c r="E292" s="72"/>
      <c r="H292" s="76"/>
      <c r="I292" s="108"/>
      <c r="J292" s="108"/>
      <c r="K292" s="108"/>
      <c r="L292" s="108"/>
      <c r="M292" s="108"/>
      <c r="N292" s="108"/>
      <c r="O292" s="108"/>
      <c r="P292" s="108"/>
      <c r="W292" s="172"/>
      <c r="X292" s="96">
        <v>1</v>
      </c>
      <c r="Y292" s="155" t="str">
        <f t="shared" si="22"/>
        <v/>
      </c>
      <c r="Z292" s="155" t="str">
        <f t="shared" si="23"/>
        <v/>
      </c>
      <c r="AA292" s="69"/>
    </row>
    <row r="293" spans="1:27" ht="16" customHeight="1" x14ac:dyDescent="0.2">
      <c r="A293" s="68" t="s">
        <v>789</v>
      </c>
      <c r="B293" s="68" t="s">
        <v>790</v>
      </c>
      <c r="C293" s="40" t="s">
        <v>791</v>
      </c>
      <c r="D293" s="274" t="s">
        <v>792</v>
      </c>
      <c r="E293" s="77"/>
      <c r="F293" s="68"/>
      <c r="G293" s="68"/>
      <c r="H293" s="78"/>
      <c r="I293" s="107" t="s">
        <v>38</v>
      </c>
      <c r="J293" s="107"/>
      <c r="K293" s="107"/>
      <c r="L293" s="107"/>
      <c r="M293" s="107"/>
      <c r="N293" s="107"/>
      <c r="O293" s="107"/>
      <c r="P293" s="107"/>
      <c r="U293" s="41" t="s">
        <v>40</v>
      </c>
      <c r="W293" s="172">
        <v>3</v>
      </c>
      <c r="X293" s="96">
        <v>1</v>
      </c>
      <c r="Y293" s="155">
        <f t="shared" si="22"/>
        <v>3</v>
      </c>
      <c r="Z293" s="155">
        <f t="shared" si="23"/>
        <v>3</v>
      </c>
    </row>
    <row r="294" spans="1:27" x14ac:dyDescent="0.2">
      <c r="D294" s="270"/>
      <c r="E294" s="77"/>
      <c r="H294" s="78"/>
      <c r="W294" s="172"/>
      <c r="X294" s="96">
        <v>1</v>
      </c>
      <c r="Y294" s="155" t="str">
        <f t="shared" si="22"/>
        <v/>
      </c>
      <c r="Z294" s="155" t="str">
        <f t="shared" si="23"/>
        <v/>
      </c>
    </row>
    <row r="295" spans="1:27" ht="16" customHeight="1" x14ac:dyDescent="0.2">
      <c r="A295" s="68" t="s">
        <v>67</v>
      </c>
      <c r="B295" s="68" t="s">
        <v>793</v>
      </c>
      <c r="C295" s="40" t="s">
        <v>794</v>
      </c>
      <c r="D295" s="271" t="s">
        <v>795</v>
      </c>
      <c r="E295" s="77"/>
      <c r="F295" s="68"/>
      <c r="G295" s="68"/>
      <c r="H295" s="78"/>
      <c r="I295" s="107" t="s">
        <v>73</v>
      </c>
      <c r="J295" s="107"/>
      <c r="K295" s="107"/>
      <c r="L295" s="107"/>
      <c r="M295" s="107"/>
      <c r="N295" s="107"/>
      <c r="O295" s="107"/>
      <c r="P295" s="107"/>
      <c r="U295" s="41" t="s">
        <v>74</v>
      </c>
      <c r="W295" s="172">
        <v>0</v>
      </c>
      <c r="X295" s="96">
        <v>1</v>
      </c>
      <c r="Y295" s="155">
        <f t="shared" si="22"/>
        <v>0</v>
      </c>
      <c r="Z295" s="155" t="str">
        <f t="shared" si="23"/>
        <v/>
      </c>
    </row>
    <row r="296" spans="1:27" x14ac:dyDescent="0.2">
      <c r="E296" s="77"/>
      <c r="H296" s="78"/>
      <c r="W296" s="172"/>
      <c r="X296" s="96">
        <v>1</v>
      </c>
      <c r="Y296" s="155" t="str">
        <f t="shared" si="22"/>
        <v/>
      </c>
      <c r="Z296" s="155" t="str">
        <f t="shared" si="23"/>
        <v/>
      </c>
    </row>
    <row r="297" spans="1:27" ht="16" customHeight="1" thickBot="1" x14ac:dyDescent="0.25">
      <c r="A297" s="89" t="s">
        <v>95</v>
      </c>
      <c r="B297" s="89"/>
      <c r="C297" s="90"/>
      <c r="D297" s="90"/>
      <c r="E297" s="99"/>
      <c r="F297" s="89"/>
      <c r="G297" s="89"/>
      <c r="H297" s="100"/>
      <c r="I297" s="117"/>
      <c r="J297" s="117"/>
      <c r="K297" s="117"/>
      <c r="L297" s="117"/>
      <c r="M297" s="117"/>
      <c r="N297" s="117"/>
      <c r="O297" s="117"/>
      <c r="P297" s="117"/>
      <c r="W297" s="172"/>
      <c r="Y297" s="155" t="str">
        <f t="shared" si="22"/>
        <v/>
      </c>
      <c r="Z297" s="155" t="str">
        <f t="shared" si="23"/>
        <v/>
      </c>
    </row>
    <row r="298" spans="1:27" s="70" customFormat="1" ht="16" customHeight="1" thickTop="1" x14ac:dyDescent="0.2">
      <c r="C298" s="71"/>
      <c r="D298" s="71"/>
      <c r="E298" s="71"/>
      <c r="I298" s="108"/>
      <c r="J298" s="108"/>
      <c r="K298" s="108"/>
      <c r="L298" s="108"/>
      <c r="M298" s="108"/>
      <c r="N298" s="108"/>
      <c r="O298" s="108"/>
      <c r="P298" s="108"/>
      <c r="W298" s="172"/>
      <c r="X298" s="159"/>
      <c r="Y298" s="158"/>
    </row>
    <row r="299" spans="1:27" ht="16" customHeight="1" x14ac:dyDescent="0.2">
      <c r="A299" s="68" t="s">
        <v>796</v>
      </c>
      <c r="B299" s="68" t="s">
        <v>797</v>
      </c>
      <c r="C299" s="40" t="s">
        <v>798</v>
      </c>
      <c r="D299" s="280" t="s">
        <v>799</v>
      </c>
      <c r="F299" s="68"/>
      <c r="G299" s="68"/>
      <c r="I299" s="107" t="s">
        <v>38</v>
      </c>
      <c r="J299" s="107"/>
      <c r="K299" s="107"/>
      <c r="L299" s="107"/>
      <c r="M299" s="107" t="s">
        <v>99</v>
      </c>
      <c r="N299" s="107"/>
      <c r="O299" s="107"/>
      <c r="P299" s="107"/>
      <c r="U299" s="41" t="s">
        <v>74</v>
      </c>
      <c r="W299" s="172"/>
      <c r="Y299" s="155"/>
    </row>
    <row r="300" spans="1:27" s="70" customFormat="1" ht="16" customHeight="1" x14ac:dyDescent="0.2">
      <c r="A300" s="70" t="s">
        <v>32</v>
      </c>
      <c r="B300" s="70" t="s">
        <v>800</v>
      </c>
      <c r="C300" s="71" t="s">
        <v>801</v>
      </c>
      <c r="D300" s="337" t="s">
        <v>802</v>
      </c>
      <c r="E300" s="72"/>
      <c r="F300" s="70" t="s">
        <v>803</v>
      </c>
      <c r="G300" s="70" t="s">
        <v>804</v>
      </c>
      <c r="H300" s="76"/>
      <c r="I300" s="108" t="s">
        <v>73</v>
      </c>
      <c r="J300" s="108"/>
      <c r="K300" s="108"/>
      <c r="L300" s="108"/>
      <c r="M300" s="108"/>
      <c r="N300" s="108"/>
      <c r="O300" s="108"/>
      <c r="P300" s="108"/>
      <c r="U300" s="70" t="s">
        <v>74</v>
      </c>
      <c r="W300" s="172"/>
      <c r="X300" s="96"/>
      <c r="Y300" s="155"/>
      <c r="Z300" s="155" t="str">
        <f>IF(AND(W300&lt;&gt;"",U300="yes"),W300*X300,"")</f>
        <v/>
      </c>
    </row>
    <row r="301" spans="1:27" x14ac:dyDescent="0.2">
      <c r="A301" s="68" t="s">
        <v>26</v>
      </c>
      <c r="B301" s="68" t="s">
        <v>805</v>
      </c>
      <c r="C301" s="40"/>
      <c r="D301" s="40"/>
      <c r="F301" s="68"/>
      <c r="G301" s="68"/>
      <c r="I301" s="107" t="s">
        <v>73</v>
      </c>
      <c r="J301" s="107"/>
      <c r="K301" s="107"/>
      <c r="L301" s="107"/>
      <c r="M301" s="107"/>
      <c r="N301" s="107"/>
      <c r="O301" s="107"/>
      <c r="P301" s="107" t="s">
        <v>806</v>
      </c>
      <c r="U301" s="41" t="s">
        <v>74</v>
      </c>
      <c r="W301" s="172"/>
    </row>
    <row r="302" spans="1:27" x14ac:dyDescent="0.2">
      <c r="W302" s="172"/>
    </row>
    <row r="306" spans="19:26" ht="16" customHeight="1" thickBot="1" x14ac:dyDescent="0.25"/>
    <row r="307" spans="19:26" ht="17" customHeight="1" thickBot="1" x14ac:dyDescent="0.25">
      <c r="S307" s="181" t="s">
        <v>807</v>
      </c>
      <c r="T307" s="182"/>
      <c r="U307" s="182"/>
      <c r="V307" s="182"/>
      <c r="W307" s="174"/>
      <c r="X307" s="160"/>
      <c r="Y307" s="161">
        <f>(SUM(Y4:Y295)/60)</f>
        <v>25.553381812292763</v>
      </c>
      <c r="Z307" s="161">
        <f>(SUM(Z4:Z50)+AVERAGE(Z51:Z51)+SUM(Z52:Z295))/60</f>
        <v>14.662794379910883</v>
      </c>
    </row>
  </sheetData>
  <sheetProtection algorithmName="SHA-512" hashValue="wOoab+f+qyW2fPx/MWXBD9RzXo4yzLfDcsZwLcFKpDk2WhpxAEMnZLPGA9b1g6v3jmPBHybgtjeXH+HLCD+IIg==" saltValue="Ca7HJWm1U07kHxpin/C6Gg=="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915"/>
  <sheetViews>
    <sheetView zoomScaleNormal="55" workbookViewId="0">
      <pane ySplit="1" topLeftCell="A877" activePane="bottomLeft" state="frozen"/>
      <selection pane="bottomLeft" activeCell="C923" sqref="C923"/>
    </sheetView>
  </sheetViews>
  <sheetFormatPr baseColWidth="10" defaultColWidth="8.83203125" defaultRowHeight="15" x14ac:dyDescent="0.2"/>
  <cols>
    <col min="1" max="1" width="26.1640625" style="3" customWidth="1"/>
    <col min="2" max="2" width="30" style="3" customWidth="1"/>
    <col min="3" max="4" width="27.1640625" style="3" customWidth="1"/>
    <col min="5" max="5" width="20" style="3" customWidth="1"/>
    <col min="6" max="6" width="16.1640625" style="3" customWidth="1"/>
    <col min="7" max="7" width="8.83203125" style="3" customWidth="1"/>
    <col min="8" max="16384" width="8.83203125" style="3"/>
  </cols>
  <sheetData>
    <row r="1" spans="1:6" x14ac:dyDescent="0.2">
      <c r="A1" s="2" t="s">
        <v>808</v>
      </c>
      <c r="B1" s="2" t="s">
        <v>1</v>
      </c>
      <c r="C1" s="2" t="s">
        <v>2</v>
      </c>
      <c r="D1" s="2" t="s">
        <v>3</v>
      </c>
      <c r="E1" s="1" t="s">
        <v>4</v>
      </c>
      <c r="F1" s="6" t="s">
        <v>809</v>
      </c>
    </row>
    <row r="2" spans="1:6" x14ac:dyDescent="0.2">
      <c r="A2" s="317" t="s">
        <v>61</v>
      </c>
      <c r="B2" s="317">
        <v>1</v>
      </c>
      <c r="C2" s="317" t="s">
        <v>810</v>
      </c>
      <c r="D2" s="338" t="s">
        <v>811</v>
      </c>
      <c r="E2" s="1"/>
      <c r="F2" s="6"/>
    </row>
    <row r="3" spans="1:6" x14ac:dyDescent="0.2">
      <c r="A3" s="317" t="s">
        <v>61</v>
      </c>
      <c r="B3" s="317">
        <v>2</v>
      </c>
      <c r="C3" s="317" t="s">
        <v>812</v>
      </c>
      <c r="D3" s="338" t="s">
        <v>813</v>
      </c>
      <c r="E3" s="1"/>
      <c r="F3" s="6"/>
    </row>
    <row r="4" spans="1:6" x14ac:dyDescent="0.2">
      <c r="A4" s="317" t="s">
        <v>61</v>
      </c>
      <c r="B4" s="317">
        <v>3</v>
      </c>
      <c r="C4" s="317" t="s">
        <v>814</v>
      </c>
      <c r="D4" s="338" t="s">
        <v>815</v>
      </c>
      <c r="E4" s="1"/>
      <c r="F4" s="6"/>
    </row>
    <row r="5" spans="1:6" x14ac:dyDescent="0.2">
      <c r="A5" s="317" t="s">
        <v>61</v>
      </c>
      <c r="B5" s="317">
        <v>4</v>
      </c>
      <c r="C5" s="317" t="s">
        <v>816</v>
      </c>
      <c r="D5" s="338" t="s">
        <v>817</v>
      </c>
      <c r="E5" s="1"/>
      <c r="F5" s="6"/>
    </row>
    <row r="6" spans="1:6" x14ac:dyDescent="0.2">
      <c r="A6" s="317" t="s">
        <v>61</v>
      </c>
      <c r="B6" s="317">
        <v>5</v>
      </c>
      <c r="C6" s="317" t="s">
        <v>818</v>
      </c>
      <c r="D6" s="338" t="s">
        <v>819</v>
      </c>
      <c r="E6" s="1"/>
      <c r="F6" s="2"/>
    </row>
    <row r="7" spans="1:6" x14ac:dyDescent="0.2">
      <c r="E7" s="4"/>
    </row>
    <row r="8" spans="1:6" x14ac:dyDescent="0.2">
      <c r="A8" t="s">
        <v>820</v>
      </c>
      <c r="B8">
        <v>1</v>
      </c>
      <c r="C8" t="s">
        <v>821</v>
      </c>
      <c r="D8" s="282" t="s">
        <v>822</v>
      </c>
      <c r="E8" s="4"/>
    </row>
    <row r="9" spans="1:6" x14ac:dyDescent="0.2">
      <c r="A9" t="s">
        <v>820</v>
      </c>
      <c r="B9">
        <v>2</v>
      </c>
      <c r="C9" t="s">
        <v>823</v>
      </c>
      <c r="D9" s="282" t="s">
        <v>824</v>
      </c>
      <c r="E9" s="4"/>
    </row>
    <row r="10" spans="1:6" x14ac:dyDescent="0.2">
      <c r="A10" t="s">
        <v>820</v>
      </c>
      <c r="B10" s="283">
        <v>3</v>
      </c>
      <c r="C10" t="s">
        <v>825</v>
      </c>
      <c r="D10" s="282" t="s">
        <v>826</v>
      </c>
      <c r="E10" s="4"/>
    </row>
    <row r="11" spans="1:6" x14ac:dyDescent="0.2">
      <c r="A11" t="s">
        <v>820</v>
      </c>
      <c r="B11" s="283">
        <v>4</v>
      </c>
      <c r="C11" t="s">
        <v>827</v>
      </c>
      <c r="D11" s="282" t="s">
        <v>828</v>
      </c>
      <c r="E11" s="4"/>
    </row>
    <row r="12" spans="1:6" x14ac:dyDescent="0.2">
      <c r="E12" s="4"/>
    </row>
    <row r="13" spans="1:6" x14ac:dyDescent="0.2">
      <c r="A13" t="s">
        <v>829</v>
      </c>
      <c r="B13" t="s">
        <v>829</v>
      </c>
      <c r="C13" t="s">
        <v>829</v>
      </c>
      <c r="D13" s="282" t="s">
        <v>830</v>
      </c>
      <c r="E13" s="4"/>
    </row>
    <row r="14" spans="1:6" x14ac:dyDescent="0.2">
      <c r="E14" s="4"/>
    </row>
    <row r="15" spans="1:6" x14ac:dyDescent="0.2">
      <c r="A15" t="s">
        <v>831</v>
      </c>
      <c r="B15">
        <v>1</v>
      </c>
      <c r="C15" t="s">
        <v>821</v>
      </c>
      <c r="D15" s="282" t="s">
        <v>822</v>
      </c>
      <c r="E15" s="4"/>
    </row>
    <row r="16" spans="1:6" x14ac:dyDescent="0.2">
      <c r="A16" t="s">
        <v>831</v>
      </c>
      <c r="B16">
        <v>2</v>
      </c>
      <c r="C16" t="s">
        <v>823</v>
      </c>
      <c r="D16" s="282" t="s">
        <v>824</v>
      </c>
      <c r="E16" s="4"/>
    </row>
    <row r="17" spans="1:5" x14ac:dyDescent="0.2">
      <c r="A17" s="341" t="s">
        <v>831</v>
      </c>
      <c r="B17" s="341">
        <v>3</v>
      </c>
      <c r="C17" s="341" t="s">
        <v>832</v>
      </c>
      <c r="D17" s="338" t="s">
        <v>833</v>
      </c>
      <c r="E17" s="4"/>
    </row>
    <row r="18" spans="1:5" x14ac:dyDescent="0.2">
      <c r="D18" s="14"/>
      <c r="E18" s="4"/>
    </row>
    <row r="19" spans="1:5" s="11" customFormat="1" x14ac:dyDescent="0.2">
      <c r="A19" s="282" t="s">
        <v>834</v>
      </c>
      <c r="B19" s="282" t="s">
        <v>835</v>
      </c>
      <c r="C19" s="282" t="s">
        <v>836</v>
      </c>
      <c r="D19" s="282" t="s">
        <v>837</v>
      </c>
      <c r="E19" s="7"/>
    </row>
    <row r="20" spans="1:5" x14ac:dyDescent="0.2">
      <c r="E20" s="4"/>
    </row>
    <row r="21" spans="1:5" x14ac:dyDescent="0.2">
      <c r="A21" t="s">
        <v>838</v>
      </c>
      <c r="B21">
        <v>1</v>
      </c>
      <c r="C21" t="s">
        <v>839</v>
      </c>
      <c r="D21" t="s">
        <v>840</v>
      </c>
      <c r="E21" s="4"/>
    </row>
    <row r="22" spans="1:5" x14ac:dyDescent="0.2">
      <c r="A22" t="s">
        <v>838</v>
      </c>
      <c r="B22">
        <v>2</v>
      </c>
      <c r="C22" t="s">
        <v>841</v>
      </c>
      <c r="D22" t="s">
        <v>842</v>
      </c>
      <c r="E22" s="4"/>
    </row>
    <row r="23" spans="1:5" x14ac:dyDescent="0.2">
      <c r="A23" t="s">
        <v>838</v>
      </c>
      <c r="B23" s="283">
        <v>3</v>
      </c>
      <c r="C23" s="282" t="s">
        <v>825</v>
      </c>
      <c r="D23" s="282" t="s">
        <v>826</v>
      </c>
      <c r="E23" s="4"/>
    </row>
    <row r="24" spans="1:5" x14ac:dyDescent="0.2">
      <c r="A24" t="s">
        <v>838</v>
      </c>
      <c r="B24" s="283">
        <v>4</v>
      </c>
      <c r="C24" s="282" t="s">
        <v>827</v>
      </c>
      <c r="D24" s="282" t="s">
        <v>828</v>
      </c>
      <c r="E24" s="4"/>
    </row>
    <row r="25" spans="1:5" x14ac:dyDescent="0.2">
      <c r="C25" s="14"/>
      <c r="D25" s="14"/>
      <c r="E25" s="4"/>
    </row>
    <row r="26" spans="1:5" x14ac:dyDescent="0.2">
      <c r="A26" t="s">
        <v>843</v>
      </c>
      <c r="B26">
        <v>1</v>
      </c>
      <c r="C26" s="282" t="s">
        <v>844</v>
      </c>
      <c r="D26" s="282" t="s">
        <v>845</v>
      </c>
      <c r="E26" s="4"/>
    </row>
    <row r="27" spans="1:5" x14ac:dyDescent="0.2">
      <c r="A27" t="s">
        <v>843</v>
      </c>
      <c r="B27">
        <v>2</v>
      </c>
      <c r="C27" s="3" t="s">
        <v>846</v>
      </c>
      <c r="D27" s="282" t="s">
        <v>847</v>
      </c>
      <c r="E27" s="4"/>
    </row>
    <row r="28" spans="1:5" x14ac:dyDescent="0.2">
      <c r="A28" t="s">
        <v>843</v>
      </c>
      <c r="B28">
        <v>3</v>
      </c>
      <c r="C28" s="282" t="s">
        <v>848</v>
      </c>
      <c r="D28" s="282" t="s">
        <v>849</v>
      </c>
      <c r="E28" s="4"/>
    </row>
    <row r="29" spans="1:5" x14ac:dyDescent="0.2">
      <c r="A29" t="s">
        <v>843</v>
      </c>
      <c r="B29">
        <v>4</v>
      </c>
      <c r="C29" s="282" t="s">
        <v>850</v>
      </c>
      <c r="D29" s="282" t="s">
        <v>824</v>
      </c>
      <c r="E29" s="4"/>
    </row>
    <row r="30" spans="1:5" x14ac:dyDescent="0.2">
      <c r="C30" s="14"/>
      <c r="E30" s="4"/>
    </row>
    <row r="31" spans="1:5" x14ac:dyDescent="0.2">
      <c r="A31" t="s">
        <v>851</v>
      </c>
      <c r="B31">
        <v>1</v>
      </c>
      <c r="C31" t="s">
        <v>852</v>
      </c>
      <c r="D31" s="282" t="s">
        <v>853</v>
      </c>
      <c r="E31" s="4"/>
    </row>
    <row r="32" spans="1:5" x14ac:dyDescent="0.2">
      <c r="A32" t="s">
        <v>851</v>
      </c>
      <c r="B32">
        <v>2</v>
      </c>
      <c r="C32" t="s">
        <v>854</v>
      </c>
      <c r="D32" t="s">
        <v>855</v>
      </c>
      <c r="E32" s="4"/>
    </row>
    <row r="33" spans="1:5" x14ac:dyDescent="0.2">
      <c r="A33" t="s">
        <v>851</v>
      </c>
      <c r="B33">
        <v>3</v>
      </c>
      <c r="C33" t="s">
        <v>856</v>
      </c>
      <c r="D33" t="s">
        <v>857</v>
      </c>
      <c r="E33" s="4"/>
    </row>
    <row r="34" spans="1:5" x14ac:dyDescent="0.2">
      <c r="A34" t="s">
        <v>851</v>
      </c>
      <c r="B34">
        <v>4</v>
      </c>
      <c r="C34" t="s">
        <v>823</v>
      </c>
      <c r="D34" t="s">
        <v>824</v>
      </c>
      <c r="E34" s="4"/>
    </row>
    <row r="35" spans="1:5" x14ac:dyDescent="0.2">
      <c r="A35" t="s">
        <v>851</v>
      </c>
      <c r="B35" s="283">
        <v>5</v>
      </c>
      <c r="C35" s="282" t="s">
        <v>825</v>
      </c>
      <c r="D35" s="282" t="s">
        <v>826</v>
      </c>
      <c r="E35" s="4"/>
    </row>
    <row r="36" spans="1:5" x14ac:dyDescent="0.2">
      <c r="A36" t="s">
        <v>851</v>
      </c>
      <c r="B36" s="283">
        <v>6</v>
      </c>
      <c r="C36" t="s">
        <v>827</v>
      </c>
      <c r="D36" s="282" t="s">
        <v>828</v>
      </c>
      <c r="E36" s="4"/>
    </row>
    <row r="37" spans="1:5" x14ac:dyDescent="0.2">
      <c r="E37" s="4"/>
    </row>
    <row r="38" spans="1:5" x14ac:dyDescent="0.2">
      <c r="A38" t="s">
        <v>858</v>
      </c>
      <c r="B38">
        <v>1</v>
      </c>
      <c r="C38" s="282" t="s">
        <v>859</v>
      </c>
      <c r="D38" s="282" t="s">
        <v>860</v>
      </c>
      <c r="E38" s="4"/>
    </row>
    <row r="39" spans="1:5" x14ac:dyDescent="0.2">
      <c r="A39" t="s">
        <v>858</v>
      </c>
      <c r="B39">
        <v>2</v>
      </c>
      <c r="C39" s="282" t="s">
        <v>861</v>
      </c>
      <c r="D39" s="282" t="s">
        <v>862</v>
      </c>
      <c r="E39" s="4"/>
    </row>
    <row r="40" spans="1:5" x14ac:dyDescent="0.2">
      <c r="A40" t="s">
        <v>858</v>
      </c>
      <c r="B40">
        <v>3</v>
      </c>
      <c r="C40" s="282" t="s">
        <v>863</v>
      </c>
      <c r="D40" s="282" t="s">
        <v>864</v>
      </c>
      <c r="E40" s="4"/>
    </row>
    <row r="41" spans="1:5" x14ac:dyDescent="0.2">
      <c r="A41" t="s">
        <v>858</v>
      </c>
      <c r="B41">
        <v>4</v>
      </c>
      <c r="C41" s="282" t="s">
        <v>865</v>
      </c>
      <c r="D41" s="282" t="s">
        <v>866</v>
      </c>
      <c r="E41" s="4"/>
    </row>
    <row r="42" spans="1:5" x14ac:dyDescent="0.2">
      <c r="A42" t="s">
        <v>858</v>
      </c>
      <c r="B42">
        <v>5</v>
      </c>
      <c r="C42" s="282" t="s">
        <v>867</v>
      </c>
      <c r="D42" s="282" t="s">
        <v>868</v>
      </c>
      <c r="E42" s="4"/>
    </row>
    <row r="43" spans="1:5" x14ac:dyDescent="0.2">
      <c r="A43" t="s">
        <v>858</v>
      </c>
      <c r="B43" s="283">
        <v>6</v>
      </c>
      <c r="C43" t="s">
        <v>825</v>
      </c>
      <c r="D43" s="282" t="s">
        <v>826</v>
      </c>
      <c r="E43" s="4"/>
    </row>
    <row r="44" spans="1:5" x14ac:dyDescent="0.2">
      <c r="A44" t="s">
        <v>858</v>
      </c>
      <c r="B44" s="283">
        <v>7</v>
      </c>
      <c r="C44" t="s">
        <v>827</v>
      </c>
      <c r="D44" s="282" t="s">
        <v>828</v>
      </c>
      <c r="E44" s="4"/>
    </row>
    <row r="45" spans="1:5" x14ac:dyDescent="0.2">
      <c r="B45" s="10"/>
      <c r="E45" s="4"/>
    </row>
    <row r="46" spans="1:5" x14ac:dyDescent="0.2">
      <c r="A46" t="s">
        <v>869</v>
      </c>
      <c r="B46" s="283">
        <v>1</v>
      </c>
      <c r="C46" t="s">
        <v>870</v>
      </c>
      <c r="D46" t="s">
        <v>871</v>
      </c>
      <c r="E46" s="4"/>
    </row>
    <row r="47" spans="1:5" x14ac:dyDescent="0.2">
      <c r="A47" t="s">
        <v>869</v>
      </c>
      <c r="B47" s="283">
        <v>2</v>
      </c>
      <c r="C47" t="s">
        <v>872</v>
      </c>
      <c r="D47" t="s">
        <v>873</v>
      </c>
      <c r="E47" s="4"/>
    </row>
    <row r="48" spans="1:5" x14ac:dyDescent="0.2">
      <c r="A48" t="s">
        <v>869</v>
      </c>
      <c r="B48" s="283">
        <v>3</v>
      </c>
      <c r="C48" t="s">
        <v>874</v>
      </c>
      <c r="D48" t="s">
        <v>875</v>
      </c>
      <c r="E48" s="4"/>
    </row>
    <row r="49" spans="1:5" x14ac:dyDescent="0.2">
      <c r="A49" t="s">
        <v>869</v>
      </c>
      <c r="B49" s="283">
        <v>4</v>
      </c>
      <c r="C49" t="s">
        <v>876</v>
      </c>
      <c r="D49" t="s">
        <v>877</v>
      </c>
      <c r="E49" s="4"/>
    </row>
    <row r="50" spans="1:5" x14ac:dyDescent="0.2">
      <c r="A50" t="s">
        <v>869</v>
      </c>
      <c r="B50" s="283">
        <v>5</v>
      </c>
      <c r="C50" t="s">
        <v>878</v>
      </c>
      <c r="D50" t="s">
        <v>879</v>
      </c>
      <c r="E50" s="4"/>
    </row>
    <row r="51" spans="1:5" x14ac:dyDescent="0.2">
      <c r="A51" t="s">
        <v>869</v>
      </c>
      <c r="B51" s="283">
        <v>6</v>
      </c>
      <c r="C51" t="s">
        <v>880</v>
      </c>
      <c r="D51" t="s">
        <v>881</v>
      </c>
      <c r="E51" s="4"/>
    </row>
    <row r="52" spans="1:5" x14ac:dyDescent="0.2">
      <c r="A52" t="s">
        <v>869</v>
      </c>
      <c r="B52" s="283">
        <v>7</v>
      </c>
      <c r="C52" t="s">
        <v>882</v>
      </c>
      <c r="D52" t="s">
        <v>883</v>
      </c>
      <c r="E52" s="4"/>
    </row>
    <row r="53" spans="1:5" x14ac:dyDescent="0.2">
      <c r="A53" t="s">
        <v>869</v>
      </c>
      <c r="B53" s="283">
        <v>8</v>
      </c>
      <c r="C53" t="s">
        <v>884</v>
      </c>
      <c r="D53" t="s">
        <v>885</v>
      </c>
      <c r="E53" s="4"/>
    </row>
    <row r="54" spans="1:5" x14ac:dyDescent="0.2">
      <c r="A54" t="s">
        <v>869</v>
      </c>
      <c r="B54" s="283">
        <v>9</v>
      </c>
      <c r="C54" t="s">
        <v>886</v>
      </c>
      <c r="D54" t="s">
        <v>887</v>
      </c>
      <c r="E54" s="4"/>
    </row>
    <row r="55" spans="1:5" x14ac:dyDescent="0.2">
      <c r="A55" t="s">
        <v>869</v>
      </c>
      <c r="B55" s="283">
        <v>10</v>
      </c>
      <c r="C55" t="s">
        <v>888</v>
      </c>
      <c r="D55" t="s">
        <v>889</v>
      </c>
      <c r="E55" s="4"/>
    </row>
    <row r="56" spans="1:5" x14ac:dyDescent="0.2">
      <c r="A56" t="s">
        <v>869</v>
      </c>
      <c r="B56" s="283">
        <v>11</v>
      </c>
      <c r="C56" t="s">
        <v>825</v>
      </c>
      <c r="D56" s="282" t="s">
        <v>826</v>
      </c>
      <c r="E56" s="4"/>
    </row>
    <row r="57" spans="1:5" x14ac:dyDescent="0.2">
      <c r="A57" t="s">
        <v>869</v>
      </c>
      <c r="B57" s="283">
        <v>12</v>
      </c>
      <c r="C57" t="s">
        <v>827</v>
      </c>
      <c r="D57" s="282" t="s">
        <v>828</v>
      </c>
      <c r="E57" s="4"/>
    </row>
    <row r="58" spans="1:5" x14ac:dyDescent="0.2">
      <c r="B58" s="10"/>
      <c r="E58" s="4"/>
    </row>
    <row r="59" spans="1:5" x14ac:dyDescent="0.2">
      <c r="A59" s="13"/>
      <c r="B59" s="13"/>
      <c r="C59" s="13"/>
      <c r="E59" s="4"/>
    </row>
    <row r="60" spans="1:5" x14ac:dyDescent="0.2">
      <c r="A60" t="s">
        <v>890</v>
      </c>
      <c r="B60">
        <v>1</v>
      </c>
      <c r="C60" t="s">
        <v>891</v>
      </c>
      <c r="D60" t="s">
        <v>892</v>
      </c>
      <c r="E60" s="4"/>
    </row>
    <row r="61" spans="1:5" x14ac:dyDescent="0.2">
      <c r="A61" t="s">
        <v>890</v>
      </c>
      <c r="B61">
        <v>2</v>
      </c>
      <c r="C61" t="s">
        <v>893</v>
      </c>
      <c r="D61" t="s">
        <v>894</v>
      </c>
      <c r="E61" s="4"/>
    </row>
    <row r="62" spans="1:5" x14ac:dyDescent="0.2">
      <c r="A62" t="s">
        <v>890</v>
      </c>
      <c r="B62">
        <v>3</v>
      </c>
      <c r="C62" t="s">
        <v>895</v>
      </c>
      <c r="D62" t="s">
        <v>896</v>
      </c>
      <c r="E62" s="4"/>
    </row>
    <row r="63" spans="1:5" x14ac:dyDescent="0.2">
      <c r="A63" t="s">
        <v>890</v>
      </c>
      <c r="B63">
        <v>4</v>
      </c>
      <c r="C63" t="s">
        <v>897</v>
      </c>
      <c r="D63" t="s">
        <v>898</v>
      </c>
      <c r="E63" s="4"/>
    </row>
    <row r="64" spans="1:5" x14ac:dyDescent="0.2">
      <c r="A64" t="s">
        <v>890</v>
      </c>
      <c r="B64">
        <v>5</v>
      </c>
      <c r="C64" t="s">
        <v>899</v>
      </c>
      <c r="D64" t="s">
        <v>900</v>
      </c>
      <c r="E64" s="4"/>
    </row>
    <row r="65" spans="1:5" x14ac:dyDescent="0.2">
      <c r="A65" t="s">
        <v>890</v>
      </c>
      <c r="B65">
        <v>6</v>
      </c>
      <c r="C65" t="s">
        <v>901</v>
      </c>
      <c r="D65" t="s">
        <v>902</v>
      </c>
      <c r="E65" s="4"/>
    </row>
    <row r="66" spans="1:5" x14ac:dyDescent="0.2">
      <c r="A66" t="s">
        <v>890</v>
      </c>
      <c r="B66">
        <v>7</v>
      </c>
      <c r="C66" t="s">
        <v>903</v>
      </c>
      <c r="D66" t="s">
        <v>904</v>
      </c>
      <c r="E66" s="4"/>
    </row>
    <row r="67" spans="1:5" x14ac:dyDescent="0.2">
      <c r="A67" t="s">
        <v>890</v>
      </c>
      <c r="B67">
        <v>8</v>
      </c>
      <c r="C67" t="s">
        <v>905</v>
      </c>
      <c r="D67" t="s">
        <v>906</v>
      </c>
      <c r="E67" s="4"/>
    </row>
    <row r="68" spans="1:5" x14ac:dyDescent="0.2">
      <c r="A68" t="s">
        <v>890</v>
      </c>
      <c r="B68">
        <v>9</v>
      </c>
      <c r="C68" t="s">
        <v>907</v>
      </c>
      <c r="D68" t="s">
        <v>908</v>
      </c>
      <c r="E68" s="4"/>
    </row>
    <row r="69" spans="1:5" x14ac:dyDescent="0.2">
      <c r="A69" t="s">
        <v>890</v>
      </c>
      <c r="B69">
        <v>10</v>
      </c>
      <c r="C69" t="s">
        <v>909</v>
      </c>
      <c r="D69" t="s">
        <v>910</v>
      </c>
      <c r="E69" s="4"/>
    </row>
    <row r="70" spans="1:5" x14ac:dyDescent="0.2">
      <c r="A70" t="s">
        <v>890</v>
      </c>
      <c r="B70">
        <v>11</v>
      </c>
      <c r="C70" t="s">
        <v>911</v>
      </c>
      <c r="D70" t="s">
        <v>912</v>
      </c>
      <c r="E70" s="4"/>
    </row>
    <row r="71" spans="1:5" x14ac:dyDescent="0.2">
      <c r="A71" t="s">
        <v>890</v>
      </c>
      <c r="B71">
        <v>12</v>
      </c>
      <c r="C71" t="s">
        <v>913</v>
      </c>
      <c r="D71" t="s">
        <v>914</v>
      </c>
      <c r="E71" s="4"/>
    </row>
    <row r="72" spans="1:5" x14ac:dyDescent="0.2">
      <c r="A72" t="s">
        <v>890</v>
      </c>
      <c r="B72">
        <v>13</v>
      </c>
      <c r="C72" t="s">
        <v>915</v>
      </c>
      <c r="D72" t="s">
        <v>916</v>
      </c>
      <c r="E72" s="4"/>
    </row>
    <row r="73" spans="1:5" x14ac:dyDescent="0.2">
      <c r="A73" t="s">
        <v>890</v>
      </c>
      <c r="B73">
        <v>14</v>
      </c>
      <c r="C73" t="s">
        <v>917</v>
      </c>
      <c r="D73" t="s">
        <v>918</v>
      </c>
      <c r="E73" s="4"/>
    </row>
    <row r="74" spans="1:5" x14ac:dyDescent="0.2">
      <c r="A74" t="s">
        <v>890</v>
      </c>
      <c r="B74">
        <v>15</v>
      </c>
      <c r="C74" t="s">
        <v>919</v>
      </c>
      <c r="D74" t="s">
        <v>920</v>
      </c>
      <c r="E74" s="4"/>
    </row>
    <row r="75" spans="1:5" x14ac:dyDescent="0.2">
      <c r="A75" t="s">
        <v>890</v>
      </c>
      <c r="B75">
        <v>16</v>
      </c>
      <c r="C75" t="s">
        <v>921</v>
      </c>
      <c r="D75" t="s">
        <v>922</v>
      </c>
      <c r="E75" s="4"/>
    </row>
    <row r="76" spans="1:5" x14ac:dyDescent="0.2">
      <c r="A76" t="s">
        <v>890</v>
      </c>
      <c r="B76">
        <v>17</v>
      </c>
      <c r="C76" t="s">
        <v>923</v>
      </c>
      <c r="D76" t="s">
        <v>924</v>
      </c>
      <c r="E76" s="4"/>
    </row>
    <row r="77" spans="1:5" x14ac:dyDescent="0.2">
      <c r="A77" t="s">
        <v>890</v>
      </c>
      <c r="B77">
        <v>18</v>
      </c>
      <c r="C77" t="s">
        <v>925</v>
      </c>
      <c r="D77" t="s">
        <v>926</v>
      </c>
      <c r="E77" s="4"/>
    </row>
    <row r="78" spans="1:5" x14ac:dyDescent="0.2">
      <c r="A78" t="s">
        <v>890</v>
      </c>
      <c r="B78">
        <v>19</v>
      </c>
      <c r="C78" t="s">
        <v>927</v>
      </c>
      <c r="D78" t="s">
        <v>928</v>
      </c>
      <c r="E78" s="4"/>
    </row>
    <row r="79" spans="1:5" x14ac:dyDescent="0.2">
      <c r="A79" t="s">
        <v>890</v>
      </c>
      <c r="B79">
        <v>20</v>
      </c>
      <c r="C79" t="s">
        <v>827</v>
      </c>
      <c r="D79" t="s">
        <v>828</v>
      </c>
      <c r="E79" s="4"/>
    </row>
    <row r="80" spans="1:5" x14ac:dyDescent="0.2">
      <c r="E80" s="4"/>
    </row>
    <row r="81" spans="1:5" x14ac:dyDescent="0.2">
      <c r="A81" t="s">
        <v>929</v>
      </c>
      <c r="B81">
        <v>1</v>
      </c>
      <c r="C81" t="s">
        <v>839</v>
      </c>
      <c r="D81" t="s">
        <v>840</v>
      </c>
      <c r="E81" s="4"/>
    </row>
    <row r="82" spans="1:5" x14ac:dyDescent="0.2">
      <c r="A82" t="s">
        <v>929</v>
      </c>
      <c r="B82">
        <v>2</v>
      </c>
      <c r="C82" t="s">
        <v>841</v>
      </c>
      <c r="D82" t="s">
        <v>842</v>
      </c>
      <c r="E82" s="4"/>
    </row>
    <row r="83" spans="1:5" x14ac:dyDescent="0.2">
      <c r="A83" t="s">
        <v>929</v>
      </c>
      <c r="B83">
        <v>3</v>
      </c>
      <c r="C83" t="s">
        <v>930</v>
      </c>
      <c r="D83" t="s">
        <v>931</v>
      </c>
      <c r="E83" s="4"/>
    </row>
    <row r="84" spans="1:5" x14ac:dyDescent="0.2">
      <c r="A84" t="s">
        <v>929</v>
      </c>
      <c r="B84">
        <v>4</v>
      </c>
      <c r="C84" t="s">
        <v>825</v>
      </c>
      <c r="D84" s="282" t="s">
        <v>826</v>
      </c>
      <c r="E84" s="4"/>
    </row>
    <row r="85" spans="1:5" x14ac:dyDescent="0.2">
      <c r="A85" t="s">
        <v>929</v>
      </c>
      <c r="B85">
        <v>5</v>
      </c>
      <c r="C85" t="s">
        <v>827</v>
      </c>
      <c r="D85" s="282" t="s">
        <v>828</v>
      </c>
      <c r="E85" s="4"/>
    </row>
    <row r="86" spans="1:5" x14ac:dyDescent="0.2">
      <c r="E86" s="4"/>
    </row>
    <row r="87" spans="1:5" x14ac:dyDescent="0.2">
      <c r="A87" t="s">
        <v>932</v>
      </c>
      <c r="B87">
        <v>1</v>
      </c>
      <c r="C87" t="s">
        <v>933</v>
      </c>
      <c r="D87" t="s">
        <v>934</v>
      </c>
      <c r="E87" s="4"/>
    </row>
    <row r="88" spans="1:5" x14ac:dyDescent="0.2">
      <c r="A88" t="s">
        <v>932</v>
      </c>
      <c r="B88">
        <v>2</v>
      </c>
      <c r="C88" t="s">
        <v>935</v>
      </c>
      <c r="D88" t="s">
        <v>936</v>
      </c>
      <c r="E88" s="4"/>
    </row>
    <row r="89" spans="1:5" x14ac:dyDescent="0.2">
      <c r="A89" t="s">
        <v>932</v>
      </c>
      <c r="B89">
        <v>3</v>
      </c>
      <c r="C89" t="s">
        <v>937</v>
      </c>
      <c r="D89" t="s">
        <v>938</v>
      </c>
      <c r="E89" s="4"/>
    </row>
    <row r="90" spans="1:5" x14ac:dyDescent="0.2">
      <c r="A90" t="s">
        <v>932</v>
      </c>
      <c r="B90">
        <v>4</v>
      </c>
      <c r="C90" t="s">
        <v>825</v>
      </c>
      <c r="D90" s="282" t="s">
        <v>826</v>
      </c>
      <c r="E90" s="4"/>
    </row>
    <row r="91" spans="1:5" x14ac:dyDescent="0.2">
      <c r="A91" t="s">
        <v>932</v>
      </c>
      <c r="B91">
        <v>5</v>
      </c>
      <c r="C91" t="s">
        <v>827</v>
      </c>
      <c r="D91" s="282" t="s">
        <v>828</v>
      </c>
      <c r="E91" s="4"/>
    </row>
    <row r="92" spans="1:5" x14ac:dyDescent="0.2">
      <c r="E92" s="4"/>
    </row>
    <row r="93" spans="1:5" x14ac:dyDescent="0.2">
      <c r="A93" t="s">
        <v>939</v>
      </c>
      <c r="B93">
        <v>1</v>
      </c>
      <c r="C93" t="s">
        <v>940</v>
      </c>
      <c r="D93" t="s">
        <v>941</v>
      </c>
      <c r="E93" s="4"/>
    </row>
    <row r="94" spans="1:5" x14ac:dyDescent="0.2">
      <c r="A94" t="s">
        <v>939</v>
      </c>
      <c r="B94">
        <v>2</v>
      </c>
      <c r="C94" t="s">
        <v>942</v>
      </c>
      <c r="D94" t="s">
        <v>943</v>
      </c>
      <c r="E94" s="4"/>
    </row>
    <row r="95" spans="1:5" x14ac:dyDescent="0.2">
      <c r="A95" t="s">
        <v>939</v>
      </c>
      <c r="B95">
        <v>3</v>
      </c>
      <c r="C95" t="s">
        <v>944</v>
      </c>
      <c r="D95" t="s">
        <v>945</v>
      </c>
      <c r="E95" s="4"/>
    </row>
    <row r="96" spans="1:5" x14ac:dyDescent="0.2">
      <c r="A96" t="s">
        <v>939</v>
      </c>
      <c r="B96">
        <v>4</v>
      </c>
      <c r="C96" t="s">
        <v>946</v>
      </c>
      <c r="D96" t="s">
        <v>947</v>
      </c>
      <c r="E96" s="4"/>
    </row>
    <row r="97" spans="1:5" x14ac:dyDescent="0.2">
      <c r="A97" t="s">
        <v>939</v>
      </c>
      <c r="B97">
        <v>5</v>
      </c>
      <c r="C97" t="s">
        <v>948</v>
      </c>
      <c r="D97" t="s">
        <v>949</v>
      </c>
      <c r="E97" s="4"/>
    </row>
    <row r="98" spans="1:5" x14ac:dyDescent="0.2">
      <c r="A98" t="s">
        <v>939</v>
      </c>
      <c r="B98" s="283">
        <v>6</v>
      </c>
      <c r="C98" t="s">
        <v>825</v>
      </c>
      <c r="D98" t="s">
        <v>826</v>
      </c>
      <c r="E98" s="4"/>
    </row>
    <row r="99" spans="1:5" x14ac:dyDescent="0.2">
      <c r="A99" t="s">
        <v>939</v>
      </c>
      <c r="B99" s="283">
        <v>7</v>
      </c>
      <c r="C99" t="s">
        <v>827</v>
      </c>
      <c r="D99" t="s">
        <v>828</v>
      </c>
      <c r="E99" s="4"/>
    </row>
    <row r="100" spans="1:5" x14ac:dyDescent="0.2">
      <c r="E100" s="4"/>
    </row>
    <row r="101" spans="1:5" s="14" customFormat="1" x14ac:dyDescent="0.2">
      <c r="A101" s="282" t="s">
        <v>950</v>
      </c>
      <c r="B101">
        <v>1</v>
      </c>
      <c r="C101" t="s">
        <v>891</v>
      </c>
      <c r="D101" t="s">
        <v>892</v>
      </c>
      <c r="E101" s="5"/>
    </row>
    <row r="102" spans="1:5" s="14" customFormat="1" x14ac:dyDescent="0.2">
      <c r="A102" s="282" t="s">
        <v>950</v>
      </c>
      <c r="B102">
        <v>2</v>
      </c>
      <c r="C102" t="s">
        <v>893</v>
      </c>
      <c r="D102" t="s">
        <v>894</v>
      </c>
      <c r="E102" s="5"/>
    </row>
    <row r="103" spans="1:5" s="14" customFormat="1" x14ac:dyDescent="0.2">
      <c r="A103" s="282" t="s">
        <v>950</v>
      </c>
      <c r="B103">
        <v>3</v>
      </c>
      <c r="C103" t="s">
        <v>895</v>
      </c>
      <c r="D103" t="s">
        <v>896</v>
      </c>
      <c r="E103" s="5"/>
    </row>
    <row r="104" spans="1:5" s="14" customFormat="1" x14ac:dyDescent="0.2">
      <c r="A104" s="282" t="s">
        <v>950</v>
      </c>
      <c r="B104">
        <v>4</v>
      </c>
      <c r="C104" t="s">
        <v>897</v>
      </c>
      <c r="D104" t="s">
        <v>898</v>
      </c>
      <c r="E104" s="5"/>
    </row>
    <row r="105" spans="1:5" s="14" customFormat="1" x14ac:dyDescent="0.2">
      <c r="A105" s="282" t="s">
        <v>950</v>
      </c>
      <c r="B105">
        <v>5</v>
      </c>
      <c r="C105" t="s">
        <v>899</v>
      </c>
      <c r="D105" t="s">
        <v>900</v>
      </c>
      <c r="E105" s="5"/>
    </row>
    <row r="106" spans="1:5" s="14" customFormat="1" x14ac:dyDescent="0.2">
      <c r="A106" s="282" t="s">
        <v>950</v>
      </c>
      <c r="B106">
        <v>6</v>
      </c>
      <c r="C106" t="s">
        <v>901</v>
      </c>
      <c r="D106" t="s">
        <v>902</v>
      </c>
      <c r="E106" s="5"/>
    </row>
    <row r="107" spans="1:5" s="14" customFormat="1" x14ac:dyDescent="0.2">
      <c r="A107" s="282" t="s">
        <v>950</v>
      </c>
      <c r="B107">
        <v>7</v>
      </c>
      <c r="C107" t="s">
        <v>903</v>
      </c>
      <c r="D107" t="s">
        <v>904</v>
      </c>
      <c r="E107" s="5"/>
    </row>
    <row r="108" spans="1:5" s="14" customFormat="1" x14ac:dyDescent="0.2">
      <c r="A108" s="282" t="s">
        <v>950</v>
      </c>
      <c r="B108">
        <v>8</v>
      </c>
      <c r="C108" t="s">
        <v>905</v>
      </c>
      <c r="D108" t="s">
        <v>906</v>
      </c>
      <c r="E108" s="5"/>
    </row>
    <row r="109" spans="1:5" s="14" customFormat="1" x14ac:dyDescent="0.2">
      <c r="A109" s="282" t="s">
        <v>950</v>
      </c>
      <c r="B109">
        <v>9</v>
      </c>
      <c r="C109" t="s">
        <v>907</v>
      </c>
      <c r="D109" t="s">
        <v>908</v>
      </c>
      <c r="E109" s="5"/>
    </row>
    <row r="110" spans="1:5" s="14" customFormat="1" x14ac:dyDescent="0.2">
      <c r="A110" s="282" t="s">
        <v>950</v>
      </c>
      <c r="B110">
        <v>10</v>
      </c>
      <c r="C110" t="s">
        <v>909</v>
      </c>
      <c r="D110" t="s">
        <v>910</v>
      </c>
      <c r="E110" s="5"/>
    </row>
    <row r="111" spans="1:5" s="14" customFormat="1" x14ac:dyDescent="0.2">
      <c r="A111" s="282" t="s">
        <v>950</v>
      </c>
      <c r="B111">
        <v>11</v>
      </c>
      <c r="C111" t="s">
        <v>911</v>
      </c>
      <c r="D111" t="s">
        <v>912</v>
      </c>
      <c r="E111" s="5"/>
    </row>
    <row r="112" spans="1:5" s="14" customFormat="1" x14ac:dyDescent="0.2">
      <c r="A112" s="282" t="s">
        <v>950</v>
      </c>
      <c r="B112">
        <v>12</v>
      </c>
      <c r="C112" t="s">
        <v>913</v>
      </c>
      <c r="D112" t="s">
        <v>914</v>
      </c>
      <c r="E112" s="5"/>
    </row>
    <row r="113" spans="1:5" s="14" customFormat="1" x14ac:dyDescent="0.2">
      <c r="A113" s="282" t="s">
        <v>950</v>
      </c>
      <c r="B113">
        <v>13</v>
      </c>
      <c r="C113" t="s">
        <v>915</v>
      </c>
      <c r="D113" t="s">
        <v>916</v>
      </c>
      <c r="E113" s="5"/>
    </row>
    <row r="114" spans="1:5" s="14" customFormat="1" x14ac:dyDescent="0.2">
      <c r="A114" s="282" t="s">
        <v>950</v>
      </c>
      <c r="B114">
        <v>14</v>
      </c>
      <c r="C114" t="s">
        <v>917</v>
      </c>
      <c r="D114" t="s">
        <v>918</v>
      </c>
      <c r="E114" s="5"/>
    </row>
    <row r="115" spans="1:5" s="14" customFormat="1" x14ac:dyDescent="0.2">
      <c r="A115" s="282" t="s">
        <v>950</v>
      </c>
      <c r="B115" s="282">
        <v>15</v>
      </c>
      <c r="C115" s="282" t="s">
        <v>919</v>
      </c>
      <c r="D115" t="s">
        <v>920</v>
      </c>
      <c r="E115" s="5"/>
    </row>
    <row r="116" spans="1:5" s="14" customFormat="1" x14ac:dyDescent="0.2">
      <c r="A116" s="282" t="s">
        <v>950</v>
      </c>
      <c r="B116" s="282">
        <v>16</v>
      </c>
      <c r="C116" s="282" t="s">
        <v>921</v>
      </c>
      <c r="D116" t="s">
        <v>922</v>
      </c>
      <c r="E116" s="5"/>
    </row>
    <row r="117" spans="1:5" s="14" customFormat="1" x14ac:dyDescent="0.2">
      <c r="A117" s="282" t="s">
        <v>950</v>
      </c>
      <c r="B117" s="282">
        <v>17</v>
      </c>
      <c r="C117" s="282" t="s">
        <v>923</v>
      </c>
      <c r="D117" t="s">
        <v>924</v>
      </c>
      <c r="E117" s="5"/>
    </row>
    <row r="118" spans="1:5" s="14" customFormat="1" x14ac:dyDescent="0.2">
      <c r="A118" s="282" t="s">
        <v>950</v>
      </c>
      <c r="B118" s="282">
        <v>18</v>
      </c>
      <c r="C118" s="282" t="s">
        <v>951</v>
      </c>
      <c r="D118" t="s">
        <v>926</v>
      </c>
      <c r="E118" s="5"/>
    </row>
    <row r="119" spans="1:5" s="14" customFormat="1" x14ac:dyDescent="0.2">
      <c r="A119" s="282" t="s">
        <v>950</v>
      </c>
      <c r="B119" s="282">
        <v>19</v>
      </c>
      <c r="C119" s="282" t="s">
        <v>952</v>
      </c>
      <c r="D119" s="282" t="s">
        <v>953</v>
      </c>
      <c r="E119" s="5"/>
    </row>
    <row r="120" spans="1:5" s="14" customFormat="1" x14ac:dyDescent="0.2">
      <c r="A120" s="282" t="s">
        <v>950</v>
      </c>
      <c r="B120" s="283">
        <v>20</v>
      </c>
      <c r="C120" s="282" t="s">
        <v>825</v>
      </c>
      <c r="D120" t="s">
        <v>826</v>
      </c>
      <c r="E120" s="5"/>
    </row>
    <row r="121" spans="1:5" s="14" customFormat="1" x14ac:dyDescent="0.2">
      <c r="A121" s="282" t="s">
        <v>950</v>
      </c>
      <c r="B121" s="283">
        <v>21</v>
      </c>
      <c r="C121" s="282" t="s">
        <v>827</v>
      </c>
      <c r="D121" t="s">
        <v>828</v>
      </c>
      <c r="E121" s="5"/>
    </row>
    <row r="122" spans="1:5" s="14" customFormat="1" x14ac:dyDescent="0.2">
      <c r="E122" s="5"/>
    </row>
    <row r="123" spans="1:5" s="14" customFormat="1" x14ac:dyDescent="0.2">
      <c r="A123" s="282" t="s">
        <v>954</v>
      </c>
      <c r="B123">
        <v>1</v>
      </c>
      <c r="C123" t="s">
        <v>891</v>
      </c>
      <c r="D123" t="s">
        <v>892</v>
      </c>
      <c r="E123" s="5"/>
    </row>
    <row r="124" spans="1:5" s="14" customFormat="1" x14ac:dyDescent="0.2">
      <c r="A124" s="282" t="s">
        <v>954</v>
      </c>
      <c r="B124">
        <v>2</v>
      </c>
      <c r="C124" t="s">
        <v>893</v>
      </c>
      <c r="D124" t="s">
        <v>894</v>
      </c>
      <c r="E124" s="5"/>
    </row>
    <row r="125" spans="1:5" s="14" customFormat="1" x14ac:dyDescent="0.2">
      <c r="A125" s="282" t="s">
        <v>954</v>
      </c>
      <c r="B125">
        <v>3</v>
      </c>
      <c r="C125" t="s">
        <v>895</v>
      </c>
      <c r="D125" t="s">
        <v>896</v>
      </c>
      <c r="E125" s="5"/>
    </row>
    <row r="126" spans="1:5" s="14" customFormat="1" x14ac:dyDescent="0.2">
      <c r="A126" s="282" t="s">
        <v>954</v>
      </c>
      <c r="B126">
        <v>4</v>
      </c>
      <c r="C126" t="s">
        <v>897</v>
      </c>
      <c r="D126" t="s">
        <v>898</v>
      </c>
      <c r="E126" s="5"/>
    </row>
    <row r="127" spans="1:5" s="14" customFormat="1" x14ac:dyDescent="0.2">
      <c r="A127" s="282" t="s">
        <v>954</v>
      </c>
      <c r="B127">
        <v>5</v>
      </c>
      <c r="C127" t="s">
        <v>899</v>
      </c>
      <c r="D127" t="s">
        <v>900</v>
      </c>
      <c r="E127" s="5"/>
    </row>
    <row r="128" spans="1:5" s="14" customFormat="1" x14ac:dyDescent="0.2">
      <c r="A128" s="282" t="s">
        <v>954</v>
      </c>
      <c r="B128">
        <v>6</v>
      </c>
      <c r="C128" t="s">
        <v>901</v>
      </c>
      <c r="D128" t="s">
        <v>902</v>
      </c>
      <c r="E128" s="5"/>
    </row>
    <row r="129" spans="1:5" s="14" customFormat="1" x14ac:dyDescent="0.2">
      <c r="A129" s="282" t="s">
        <v>954</v>
      </c>
      <c r="B129">
        <v>7</v>
      </c>
      <c r="C129" t="s">
        <v>903</v>
      </c>
      <c r="D129" t="s">
        <v>904</v>
      </c>
      <c r="E129" s="5"/>
    </row>
    <row r="130" spans="1:5" s="14" customFormat="1" x14ac:dyDescent="0.2">
      <c r="A130" s="282" t="s">
        <v>954</v>
      </c>
      <c r="B130">
        <v>8</v>
      </c>
      <c r="C130" t="s">
        <v>905</v>
      </c>
      <c r="D130" t="s">
        <v>906</v>
      </c>
      <c r="E130" s="5"/>
    </row>
    <row r="131" spans="1:5" s="14" customFormat="1" x14ac:dyDescent="0.2">
      <c r="A131" s="282" t="s">
        <v>954</v>
      </c>
      <c r="B131">
        <v>9</v>
      </c>
      <c r="C131" t="s">
        <v>907</v>
      </c>
      <c r="D131" t="s">
        <v>908</v>
      </c>
      <c r="E131" s="5"/>
    </row>
    <row r="132" spans="1:5" s="14" customFormat="1" x14ac:dyDescent="0.2">
      <c r="A132" s="282" t="s">
        <v>954</v>
      </c>
      <c r="B132">
        <v>10</v>
      </c>
      <c r="C132" t="s">
        <v>909</v>
      </c>
      <c r="D132" t="s">
        <v>910</v>
      </c>
      <c r="E132" s="5"/>
    </row>
    <row r="133" spans="1:5" s="14" customFormat="1" x14ac:dyDescent="0.2">
      <c r="A133" s="282" t="s">
        <v>954</v>
      </c>
      <c r="B133">
        <v>11</v>
      </c>
      <c r="C133" t="s">
        <v>911</v>
      </c>
      <c r="D133" t="s">
        <v>912</v>
      </c>
      <c r="E133" s="5"/>
    </row>
    <row r="134" spans="1:5" s="14" customFormat="1" x14ac:dyDescent="0.2">
      <c r="A134" s="282" t="s">
        <v>954</v>
      </c>
      <c r="B134">
        <v>12</v>
      </c>
      <c r="C134" t="s">
        <v>913</v>
      </c>
      <c r="D134" t="s">
        <v>914</v>
      </c>
      <c r="E134" s="5"/>
    </row>
    <row r="135" spans="1:5" s="14" customFormat="1" x14ac:dyDescent="0.2">
      <c r="A135" s="282" t="s">
        <v>954</v>
      </c>
      <c r="B135">
        <v>13</v>
      </c>
      <c r="C135" t="s">
        <v>915</v>
      </c>
      <c r="D135" t="s">
        <v>916</v>
      </c>
      <c r="E135" s="5"/>
    </row>
    <row r="136" spans="1:5" s="14" customFormat="1" x14ac:dyDescent="0.2">
      <c r="A136" s="282" t="s">
        <v>954</v>
      </c>
      <c r="B136">
        <v>14</v>
      </c>
      <c r="C136" t="s">
        <v>917</v>
      </c>
      <c r="D136" t="s">
        <v>918</v>
      </c>
      <c r="E136" s="5"/>
    </row>
    <row r="137" spans="1:5" s="14" customFormat="1" x14ac:dyDescent="0.2">
      <c r="A137" s="282" t="s">
        <v>954</v>
      </c>
      <c r="B137" s="282">
        <v>15</v>
      </c>
      <c r="C137" s="282" t="s">
        <v>919</v>
      </c>
      <c r="D137" t="s">
        <v>920</v>
      </c>
      <c r="E137" s="5"/>
    </row>
    <row r="138" spans="1:5" s="14" customFormat="1" x14ac:dyDescent="0.2">
      <c r="A138" s="282" t="s">
        <v>954</v>
      </c>
      <c r="B138" s="282">
        <v>16</v>
      </c>
      <c r="C138" s="282" t="s">
        <v>921</v>
      </c>
      <c r="D138" t="s">
        <v>922</v>
      </c>
      <c r="E138" s="5"/>
    </row>
    <row r="139" spans="1:5" s="14" customFormat="1" x14ac:dyDescent="0.2">
      <c r="A139" s="282" t="s">
        <v>954</v>
      </c>
      <c r="B139" s="282">
        <v>17</v>
      </c>
      <c r="C139" s="282" t="s">
        <v>923</v>
      </c>
      <c r="D139" t="s">
        <v>924</v>
      </c>
      <c r="E139" s="5"/>
    </row>
    <row r="140" spans="1:5" s="14" customFormat="1" x14ac:dyDescent="0.2">
      <c r="A140" s="282" t="s">
        <v>954</v>
      </c>
      <c r="B140" s="282">
        <v>18</v>
      </c>
      <c r="C140" s="282" t="s">
        <v>955</v>
      </c>
      <c r="D140" t="s">
        <v>926</v>
      </c>
      <c r="E140" s="5"/>
    </row>
    <row r="141" spans="1:5" s="14" customFormat="1" x14ac:dyDescent="0.2">
      <c r="A141" s="282" t="s">
        <v>954</v>
      </c>
      <c r="B141" s="282">
        <v>19</v>
      </c>
      <c r="C141" s="282" t="s">
        <v>956</v>
      </c>
      <c r="D141" s="282" t="s">
        <v>957</v>
      </c>
      <c r="E141" s="5"/>
    </row>
    <row r="142" spans="1:5" s="14" customFormat="1" x14ac:dyDescent="0.2">
      <c r="A142" s="282" t="s">
        <v>954</v>
      </c>
      <c r="B142" s="283">
        <v>20</v>
      </c>
      <c r="C142" s="282" t="s">
        <v>825</v>
      </c>
      <c r="D142" t="s">
        <v>826</v>
      </c>
      <c r="E142" s="5"/>
    </row>
    <row r="143" spans="1:5" s="14" customFormat="1" x14ac:dyDescent="0.2">
      <c r="A143" s="282" t="s">
        <v>954</v>
      </c>
      <c r="B143" s="283">
        <v>21</v>
      </c>
      <c r="C143" s="282" t="s">
        <v>827</v>
      </c>
      <c r="D143" t="s">
        <v>828</v>
      </c>
      <c r="E143" s="5"/>
    </row>
    <row r="144" spans="1:5" s="12" customFormat="1" x14ac:dyDescent="0.2">
      <c r="E144" s="8"/>
    </row>
    <row r="145" spans="1:5" x14ac:dyDescent="0.2">
      <c r="A145" t="s">
        <v>291</v>
      </c>
      <c r="B145" t="s">
        <v>958</v>
      </c>
      <c r="C145" t="s">
        <v>959</v>
      </c>
      <c r="D145" t="s">
        <v>960</v>
      </c>
      <c r="E145" s="4"/>
    </row>
    <row r="146" spans="1:5" x14ac:dyDescent="0.2">
      <c r="A146" t="s">
        <v>291</v>
      </c>
      <c r="B146" t="s">
        <v>961</v>
      </c>
      <c r="C146" t="s">
        <v>962</v>
      </c>
      <c r="D146" t="s">
        <v>963</v>
      </c>
      <c r="E146" s="4"/>
    </row>
    <row r="147" spans="1:5" x14ac:dyDescent="0.2">
      <c r="A147" t="s">
        <v>291</v>
      </c>
      <c r="B147" t="s">
        <v>964</v>
      </c>
      <c r="C147" t="s">
        <v>965</v>
      </c>
      <c r="D147" t="s">
        <v>966</v>
      </c>
      <c r="E147" s="4"/>
    </row>
    <row r="148" spans="1:5" x14ac:dyDescent="0.2">
      <c r="A148" t="s">
        <v>291</v>
      </c>
      <c r="B148" t="s">
        <v>967</v>
      </c>
      <c r="C148" t="s">
        <v>968</v>
      </c>
      <c r="D148" t="s">
        <v>969</v>
      </c>
      <c r="E148" s="4"/>
    </row>
    <row r="149" spans="1:5" x14ac:dyDescent="0.2">
      <c r="A149" t="s">
        <v>291</v>
      </c>
      <c r="B149" t="s">
        <v>970</v>
      </c>
      <c r="C149" t="s">
        <v>971</v>
      </c>
      <c r="D149" t="s">
        <v>972</v>
      </c>
      <c r="E149" s="4"/>
    </row>
    <row r="150" spans="1:5" x14ac:dyDescent="0.2">
      <c r="A150" t="s">
        <v>291</v>
      </c>
      <c r="B150" t="s">
        <v>973</v>
      </c>
      <c r="C150" t="s">
        <v>974</v>
      </c>
      <c r="D150" t="s">
        <v>975</v>
      </c>
      <c r="E150" s="4"/>
    </row>
    <row r="151" spans="1:5" x14ac:dyDescent="0.2">
      <c r="A151" t="s">
        <v>291</v>
      </c>
      <c r="B151" t="s">
        <v>976</v>
      </c>
      <c r="C151" t="s">
        <v>977</v>
      </c>
      <c r="D151" t="s">
        <v>978</v>
      </c>
      <c r="E151" s="4"/>
    </row>
    <row r="152" spans="1:5" x14ac:dyDescent="0.2">
      <c r="A152" t="s">
        <v>291</v>
      </c>
      <c r="B152" t="s">
        <v>979</v>
      </c>
      <c r="C152" t="s">
        <v>980</v>
      </c>
      <c r="D152" t="s">
        <v>981</v>
      </c>
      <c r="E152" s="4"/>
    </row>
    <row r="153" spans="1:5" x14ac:dyDescent="0.2">
      <c r="A153" t="s">
        <v>291</v>
      </c>
      <c r="B153" t="s">
        <v>982</v>
      </c>
      <c r="C153" t="s">
        <v>983</v>
      </c>
      <c r="D153" t="s">
        <v>984</v>
      </c>
      <c r="E153" s="4"/>
    </row>
    <row r="154" spans="1:5" x14ac:dyDescent="0.2">
      <c r="A154" t="s">
        <v>291</v>
      </c>
      <c r="B154" t="s">
        <v>985</v>
      </c>
      <c r="C154" t="s">
        <v>986</v>
      </c>
      <c r="D154" t="s">
        <v>987</v>
      </c>
      <c r="E154" s="4"/>
    </row>
    <row r="155" spans="1:5" x14ac:dyDescent="0.2">
      <c r="A155" t="s">
        <v>291</v>
      </c>
      <c r="B155" t="s">
        <v>988</v>
      </c>
      <c r="C155" t="s">
        <v>989</v>
      </c>
      <c r="D155" t="s">
        <v>990</v>
      </c>
      <c r="E155" s="4"/>
    </row>
    <row r="156" spans="1:5" x14ac:dyDescent="0.2">
      <c r="A156" t="s">
        <v>291</v>
      </c>
      <c r="B156" t="s">
        <v>991</v>
      </c>
      <c r="C156" t="s">
        <v>992</v>
      </c>
      <c r="D156" t="s">
        <v>993</v>
      </c>
      <c r="E156" s="4"/>
    </row>
    <row r="157" spans="1:5" x14ac:dyDescent="0.2">
      <c r="A157" t="s">
        <v>291</v>
      </c>
      <c r="B157" t="s">
        <v>994</v>
      </c>
      <c r="C157" t="s">
        <v>995</v>
      </c>
      <c r="D157" t="s">
        <v>996</v>
      </c>
      <c r="E157" s="4"/>
    </row>
    <row r="158" spans="1:5" x14ac:dyDescent="0.2">
      <c r="A158" t="s">
        <v>291</v>
      </c>
      <c r="B158" t="s">
        <v>997</v>
      </c>
      <c r="C158" t="s">
        <v>998</v>
      </c>
      <c r="D158" t="s">
        <v>999</v>
      </c>
      <c r="E158" s="4"/>
    </row>
    <row r="159" spans="1:5" x14ac:dyDescent="0.2">
      <c r="A159" t="s">
        <v>291</v>
      </c>
      <c r="B159" t="s">
        <v>1000</v>
      </c>
      <c r="C159" t="s">
        <v>1001</v>
      </c>
      <c r="D159" t="s">
        <v>1002</v>
      </c>
      <c r="E159" s="4"/>
    </row>
    <row r="160" spans="1:5" x14ac:dyDescent="0.2">
      <c r="A160" t="s">
        <v>291</v>
      </c>
      <c r="B160" t="s">
        <v>1003</v>
      </c>
      <c r="C160" t="s">
        <v>1004</v>
      </c>
      <c r="D160" t="s">
        <v>1005</v>
      </c>
      <c r="E160" s="4"/>
    </row>
    <row r="161" spans="1:5" x14ac:dyDescent="0.2">
      <c r="A161" t="s">
        <v>291</v>
      </c>
      <c r="B161" t="s">
        <v>1006</v>
      </c>
      <c r="C161" t="s">
        <v>1007</v>
      </c>
      <c r="D161" t="s">
        <v>1008</v>
      </c>
      <c r="E161" s="4"/>
    </row>
    <row r="162" spans="1:5" x14ac:dyDescent="0.2">
      <c r="A162" t="s">
        <v>291</v>
      </c>
      <c r="B162" t="s">
        <v>1009</v>
      </c>
      <c r="C162" t="s">
        <v>1010</v>
      </c>
      <c r="D162" t="s">
        <v>1011</v>
      </c>
      <c r="E162" s="4"/>
    </row>
    <row r="163" spans="1:5" x14ac:dyDescent="0.2">
      <c r="A163" t="s">
        <v>291</v>
      </c>
      <c r="B163" t="s">
        <v>1012</v>
      </c>
      <c r="C163" t="s">
        <v>1013</v>
      </c>
      <c r="D163" t="s">
        <v>1014</v>
      </c>
      <c r="E163" s="4"/>
    </row>
    <row r="164" spans="1:5" x14ac:dyDescent="0.2">
      <c r="A164" t="s">
        <v>291</v>
      </c>
      <c r="B164" t="s">
        <v>1015</v>
      </c>
      <c r="C164" t="s">
        <v>1016</v>
      </c>
      <c r="D164" t="s">
        <v>1017</v>
      </c>
      <c r="E164" s="4"/>
    </row>
    <row r="165" spans="1:5" x14ac:dyDescent="0.2">
      <c r="A165" t="s">
        <v>291</v>
      </c>
      <c r="B165" t="s">
        <v>1018</v>
      </c>
      <c r="C165" t="s">
        <v>1019</v>
      </c>
      <c r="D165" t="s">
        <v>1020</v>
      </c>
      <c r="E165" s="4"/>
    </row>
    <row r="166" spans="1:5" x14ac:dyDescent="0.2">
      <c r="A166" t="s">
        <v>291</v>
      </c>
      <c r="B166" t="s">
        <v>1021</v>
      </c>
      <c r="C166" t="s">
        <v>1022</v>
      </c>
      <c r="D166" t="s">
        <v>1023</v>
      </c>
      <c r="E166" s="4"/>
    </row>
    <row r="167" spans="1:5" x14ac:dyDescent="0.2">
      <c r="A167" t="s">
        <v>291</v>
      </c>
      <c r="B167" t="s">
        <v>1024</v>
      </c>
      <c r="C167" t="s">
        <v>1025</v>
      </c>
      <c r="D167" t="s">
        <v>1026</v>
      </c>
      <c r="E167" s="4"/>
    </row>
    <row r="168" spans="1:5" x14ac:dyDescent="0.2">
      <c r="A168" t="s">
        <v>291</v>
      </c>
      <c r="B168" t="s">
        <v>1027</v>
      </c>
      <c r="C168" t="s">
        <v>1028</v>
      </c>
      <c r="D168" t="s">
        <v>1029</v>
      </c>
      <c r="E168" s="4"/>
    </row>
    <row r="169" spans="1:5" x14ac:dyDescent="0.2">
      <c r="A169" t="s">
        <v>291</v>
      </c>
      <c r="B169" t="s">
        <v>1030</v>
      </c>
      <c r="C169" t="s">
        <v>1031</v>
      </c>
      <c r="D169" t="s">
        <v>1032</v>
      </c>
      <c r="E169" s="4"/>
    </row>
    <row r="170" spans="1:5" x14ac:dyDescent="0.2">
      <c r="A170" t="s">
        <v>291</v>
      </c>
      <c r="B170" t="s">
        <v>1033</v>
      </c>
      <c r="C170" t="s">
        <v>825</v>
      </c>
      <c r="D170" t="s">
        <v>826</v>
      </c>
      <c r="E170" s="4"/>
    </row>
    <row r="171" spans="1:5" x14ac:dyDescent="0.2">
      <c r="A171" t="s">
        <v>291</v>
      </c>
      <c r="B171" t="s">
        <v>1034</v>
      </c>
      <c r="C171" t="s">
        <v>827</v>
      </c>
      <c r="D171" t="s">
        <v>828</v>
      </c>
      <c r="E171" s="4"/>
    </row>
    <row r="172" spans="1:5" x14ac:dyDescent="0.2">
      <c r="E172" s="4"/>
    </row>
    <row r="173" spans="1:5" x14ac:dyDescent="0.2">
      <c r="E173" s="4"/>
    </row>
    <row r="174" spans="1:5" s="13" customFormat="1" x14ac:dyDescent="0.2">
      <c r="A174" s="282" t="s">
        <v>1035</v>
      </c>
      <c r="B174" s="282">
        <v>1</v>
      </c>
      <c r="C174" s="282" t="s">
        <v>1036</v>
      </c>
      <c r="D174" s="282" t="s">
        <v>1037</v>
      </c>
      <c r="E174" s="15"/>
    </row>
    <row r="175" spans="1:5" s="13" customFormat="1" x14ac:dyDescent="0.2">
      <c r="A175" s="282" t="s">
        <v>1035</v>
      </c>
      <c r="B175" s="282">
        <v>2</v>
      </c>
      <c r="C175" s="282" t="s">
        <v>1038</v>
      </c>
      <c r="D175" s="282" t="s">
        <v>1039</v>
      </c>
      <c r="E175" s="15"/>
    </row>
    <row r="176" spans="1:5" s="13" customFormat="1" x14ac:dyDescent="0.2">
      <c r="A176" s="282" t="s">
        <v>1035</v>
      </c>
      <c r="B176" s="282">
        <v>3</v>
      </c>
      <c r="C176" s="282" t="s">
        <v>1040</v>
      </c>
      <c r="D176" s="282" t="s">
        <v>1041</v>
      </c>
      <c r="E176" s="15"/>
    </row>
    <row r="177" spans="1:6" s="13" customFormat="1" x14ac:dyDescent="0.2">
      <c r="A177" s="282" t="s">
        <v>1035</v>
      </c>
      <c r="B177" s="282">
        <v>4</v>
      </c>
      <c r="C177" s="282" t="s">
        <v>1042</v>
      </c>
      <c r="D177" s="282" t="s">
        <v>1043</v>
      </c>
      <c r="E177" s="15"/>
    </row>
    <row r="178" spans="1:6" s="13" customFormat="1" x14ac:dyDescent="0.2">
      <c r="A178" s="282" t="s">
        <v>1035</v>
      </c>
      <c r="B178" s="282">
        <v>5</v>
      </c>
      <c r="C178" s="282" t="s">
        <v>2245</v>
      </c>
      <c r="D178" s="282" t="s">
        <v>2244</v>
      </c>
      <c r="E178" s="15"/>
    </row>
    <row r="179" spans="1:6" s="13" customFormat="1" x14ac:dyDescent="0.2">
      <c r="E179" s="15"/>
    </row>
    <row r="180" spans="1:6" s="14" customFormat="1" x14ac:dyDescent="0.2">
      <c r="A180" s="282" t="s">
        <v>1044</v>
      </c>
      <c r="B180" s="282">
        <v>1</v>
      </c>
      <c r="C180" s="282" t="s">
        <v>1045</v>
      </c>
      <c r="D180" s="282" t="s">
        <v>1046</v>
      </c>
      <c r="E180" s="5"/>
    </row>
    <row r="181" spans="1:6" s="14" customFormat="1" x14ac:dyDescent="0.2">
      <c r="A181" s="282" t="s">
        <v>1044</v>
      </c>
      <c r="B181" s="282">
        <v>2</v>
      </c>
      <c r="C181" s="282" t="s">
        <v>1047</v>
      </c>
      <c r="D181" s="282" t="s">
        <v>1048</v>
      </c>
      <c r="E181" s="5"/>
    </row>
    <row r="182" spans="1:6" s="13" customFormat="1" x14ac:dyDescent="0.2">
      <c r="E182" s="15"/>
    </row>
    <row r="183" spans="1:6" s="13" customFormat="1" x14ac:dyDescent="0.2">
      <c r="A183" s="282" t="s">
        <v>1049</v>
      </c>
      <c r="B183" s="282">
        <v>1</v>
      </c>
      <c r="C183" s="282" t="s">
        <v>1050</v>
      </c>
      <c r="D183" s="282" t="s">
        <v>1051</v>
      </c>
      <c r="E183" s="15"/>
    </row>
    <row r="184" spans="1:6" s="13" customFormat="1" x14ac:dyDescent="0.2">
      <c r="A184" s="282" t="s">
        <v>1049</v>
      </c>
      <c r="B184" s="282">
        <v>2</v>
      </c>
      <c r="C184" s="282" t="s">
        <v>1052</v>
      </c>
      <c r="D184" s="282" t="s">
        <v>1053</v>
      </c>
      <c r="E184" s="15"/>
    </row>
    <row r="185" spans="1:6" s="13" customFormat="1" x14ac:dyDescent="0.2">
      <c r="A185" s="282" t="s">
        <v>1049</v>
      </c>
      <c r="B185" s="282">
        <v>3</v>
      </c>
      <c r="C185" s="282" t="s">
        <v>1054</v>
      </c>
      <c r="D185" s="282" t="s">
        <v>1055</v>
      </c>
      <c r="E185" s="15"/>
    </row>
    <row r="186" spans="1:6" s="13" customFormat="1" x14ac:dyDescent="0.2">
      <c r="A186" s="282" t="s">
        <v>1049</v>
      </c>
      <c r="B186" s="282">
        <v>4</v>
      </c>
      <c r="C186" s="282" t="s">
        <v>1056</v>
      </c>
      <c r="D186" s="282" t="s">
        <v>1057</v>
      </c>
      <c r="E186" s="15"/>
    </row>
    <row r="187" spans="1:6" s="13" customFormat="1" x14ac:dyDescent="0.2">
      <c r="A187" s="282" t="s">
        <v>1049</v>
      </c>
      <c r="B187" s="282">
        <v>5</v>
      </c>
      <c r="C187" s="282" t="s">
        <v>1058</v>
      </c>
      <c r="D187" s="282" t="s">
        <v>1059</v>
      </c>
      <c r="E187" s="15"/>
    </row>
    <row r="188" spans="1:6" s="13" customFormat="1" x14ac:dyDescent="0.2">
      <c r="A188" s="282" t="s">
        <v>1049</v>
      </c>
      <c r="B188" s="282">
        <v>6</v>
      </c>
      <c r="C188" s="282" t="s">
        <v>1060</v>
      </c>
      <c r="D188" t="s">
        <v>1061</v>
      </c>
      <c r="E188" s="15"/>
    </row>
    <row r="189" spans="1:6" s="13" customFormat="1" x14ac:dyDescent="0.2">
      <c r="A189" s="282" t="s">
        <v>1049</v>
      </c>
      <c r="B189" s="282">
        <v>7</v>
      </c>
      <c r="C189" s="282" t="s">
        <v>825</v>
      </c>
      <c r="D189" t="s">
        <v>826</v>
      </c>
      <c r="E189" s="15"/>
    </row>
    <row r="190" spans="1:6" s="13" customFormat="1" x14ac:dyDescent="0.2">
      <c r="A190" s="282" t="s">
        <v>1049</v>
      </c>
      <c r="B190" s="282">
        <v>8</v>
      </c>
      <c r="C190" s="282" t="s">
        <v>827</v>
      </c>
      <c r="D190" t="s">
        <v>828</v>
      </c>
      <c r="E190" s="15"/>
    </row>
    <row r="191" spans="1:6" x14ac:dyDescent="0.2">
      <c r="E191" s="4"/>
    </row>
    <row r="192" spans="1:6" x14ac:dyDescent="0.2">
      <c r="E192" s="4"/>
      <c r="F192" s="13"/>
    </row>
    <row r="193" spans="1:6" s="13" customFormat="1" x14ac:dyDescent="0.2">
      <c r="A193" s="284" t="s">
        <v>1062</v>
      </c>
      <c r="B193" s="284" t="s">
        <v>1063</v>
      </c>
      <c r="C193" s="284" t="s">
        <v>1064</v>
      </c>
      <c r="D193" s="284" t="s">
        <v>1065</v>
      </c>
      <c r="E193" s="15"/>
    </row>
    <row r="194" spans="1:6" s="13" customFormat="1" x14ac:dyDescent="0.2">
      <c r="A194" s="284" t="s">
        <v>1062</v>
      </c>
      <c r="B194" s="284" t="s">
        <v>1066</v>
      </c>
      <c r="C194" s="284" t="s">
        <v>1067</v>
      </c>
      <c r="D194" s="284" t="s">
        <v>1068</v>
      </c>
      <c r="E194" s="15"/>
    </row>
    <row r="195" spans="1:6" s="13" customFormat="1" x14ac:dyDescent="0.2">
      <c r="A195" s="284" t="s">
        <v>1062</v>
      </c>
      <c r="B195" s="284" t="s">
        <v>1069</v>
      </c>
      <c r="C195" s="284" t="s">
        <v>1070</v>
      </c>
      <c r="D195" s="284" t="s">
        <v>1071</v>
      </c>
      <c r="E195" s="15"/>
    </row>
    <row r="196" spans="1:6" s="13" customFormat="1" x14ac:dyDescent="0.2">
      <c r="A196" s="284" t="s">
        <v>1062</v>
      </c>
      <c r="B196" s="284" t="s">
        <v>1072</v>
      </c>
      <c r="C196" s="284" t="s">
        <v>1073</v>
      </c>
      <c r="D196" s="284" t="s">
        <v>1074</v>
      </c>
      <c r="E196" s="15"/>
    </row>
    <row r="197" spans="1:6" s="13" customFormat="1" x14ac:dyDescent="0.2">
      <c r="A197" s="284" t="s">
        <v>1062</v>
      </c>
      <c r="B197" s="284" t="s">
        <v>1075</v>
      </c>
      <c r="C197" s="284" t="s">
        <v>1076</v>
      </c>
      <c r="D197" s="284" t="s">
        <v>1077</v>
      </c>
      <c r="E197" s="15"/>
    </row>
    <row r="198" spans="1:6" s="13" customFormat="1" x14ac:dyDescent="0.2">
      <c r="A198" s="284" t="s">
        <v>1062</v>
      </c>
      <c r="B198" s="284" t="s">
        <v>1078</v>
      </c>
      <c r="C198" s="284" t="s">
        <v>1079</v>
      </c>
      <c r="D198" s="284" t="s">
        <v>1080</v>
      </c>
      <c r="E198" s="15"/>
    </row>
    <row r="199" spans="1:6" s="13" customFormat="1" x14ac:dyDescent="0.2">
      <c r="A199" s="284" t="s">
        <v>1062</v>
      </c>
      <c r="B199" s="284" t="s">
        <v>1081</v>
      </c>
      <c r="C199" s="284" t="s">
        <v>1082</v>
      </c>
      <c r="D199" s="284" t="s">
        <v>1083</v>
      </c>
      <c r="E199" s="15"/>
    </row>
    <row r="200" spans="1:6" s="13" customFormat="1" x14ac:dyDescent="0.2">
      <c r="A200" s="284" t="s">
        <v>1062</v>
      </c>
      <c r="B200" s="284" t="s">
        <v>1084</v>
      </c>
      <c r="C200" s="284" t="s">
        <v>1085</v>
      </c>
      <c r="D200" s="284" t="s">
        <v>1086</v>
      </c>
      <c r="E200" s="15"/>
    </row>
    <row r="201" spans="1:6" s="13" customFormat="1" x14ac:dyDescent="0.2">
      <c r="A201" s="284" t="s">
        <v>1062</v>
      </c>
      <c r="B201" s="284" t="s">
        <v>1033</v>
      </c>
      <c r="C201" s="284" t="s">
        <v>825</v>
      </c>
      <c r="D201" s="284" t="s">
        <v>826</v>
      </c>
      <c r="E201" s="15"/>
    </row>
    <row r="202" spans="1:6" s="13" customFormat="1" x14ac:dyDescent="0.2">
      <c r="A202" s="284" t="s">
        <v>1062</v>
      </c>
      <c r="B202" s="284" t="s">
        <v>1034</v>
      </c>
      <c r="C202" s="284" t="s">
        <v>827</v>
      </c>
      <c r="D202" s="284" t="s">
        <v>828</v>
      </c>
      <c r="E202" s="15"/>
    </row>
    <row r="203" spans="1:6" x14ac:dyDescent="0.2">
      <c r="E203" s="4"/>
    </row>
    <row r="204" spans="1:6" x14ac:dyDescent="0.2">
      <c r="E204" s="4"/>
    </row>
    <row r="205" spans="1:6" x14ac:dyDescent="0.2">
      <c r="A205" s="282" t="s">
        <v>1087</v>
      </c>
      <c r="B205" s="282" t="s">
        <v>1088</v>
      </c>
      <c r="C205" s="282" t="s">
        <v>1089</v>
      </c>
      <c r="D205" t="s">
        <v>1090</v>
      </c>
      <c r="E205" s="4"/>
      <c r="F205" s="13"/>
    </row>
    <row r="206" spans="1:6" x14ac:dyDescent="0.2">
      <c r="A206" s="282" t="s">
        <v>1087</v>
      </c>
      <c r="B206" s="282" t="s">
        <v>1091</v>
      </c>
      <c r="C206" s="282" t="s">
        <v>1092</v>
      </c>
      <c r="D206" s="282" t="s">
        <v>1093</v>
      </c>
      <c r="E206" s="4"/>
      <c r="F206" s="13"/>
    </row>
    <row r="207" spans="1:6" x14ac:dyDescent="0.2">
      <c r="A207" s="282" t="s">
        <v>1087</v>
      </c>
      <c r="B207" s="282" t="s">
        <v>1094</v>
      </c>
      <c r="C207" s="282" t="s">
        <v>1095</v>
      </c>
      <c r="D207" s="282" t="s">
        <v>1096</v>
      </c>
      <c r="E207" s="4"/>
      <c r="F207" s="13"/>
    </row>
    <row r="208" spans="1:6" x14ac:dyDescent="0.2">
      <c r="A208" s="282" t="s">
        <v>1087</v>
      </c>
      <c r="B208" s="282" t="s">
        <v>1097</v>
      </c>
      <c r="C208" s="282" t="s">
        <v>1098</v>
      </c>
      <c r="D208" t="s">
        <v>1099</v>
      </c>
      <c r="E208" s="4"/>
      <c r="F208" s="13"/>
    </row>
    <row r="209" spans="1:6" x14ac:dyDescent="0.2">
      <c r="A209" s="282" t="s">
        <v>1087</v>
      </c>
      <c r="B209" s="282" t="s">
        <v>1100</v>
      </c>
      <c r="C209" s="282" t="s">
        <v>1101</v>
      </c>
      <c r="D209" t="s">
        <v>1102</v>
      </c>
      <c r="E209" s="4"/>
      <c r="F209" s="13"/>
    </row>
    <row r="210" spans="1:6" x14ac:dyDescent="0.2">
      <c r="A210" s="282" t="s">
        <v>1087</v>
      </c>
      <c r="B210" s="282" t="s">
        <v>1103</v>
      </c>
      <c r="C210" s="282" t="s">
        <v>1104</v>
      </c>
      <c r="D210" t="s">
        <v>1105</v>
      </c>
      <c r="E210" s="4"/>
      <c r="F210" s="13"/>
    </row>
    <row r="211" spans="1:6" x14ac:dyDescent="0.2">
      <c r="A211" s="282" t="s">
        <v>1087</v>
      </c>
      <c r="B211" s="282" t="s">
        <v>1106</v>
      </c>
      <c r="C211" s="282" t="s">
        <v>1107</v>
      </c>
      <c r="D211" t="s">
        <v>1108</v>
      </c>
      <c r="E211" s="4"/>
      <c r="F211" s="13"/>
    </row>
    <row r="212" spans="1:6" x14ac:dyDescent="0.2">
      <c r="A212" s="282" t="s">
        <v>1087</v>
      </c>
      <c r="B212" s="282" t="s">
        <v>1109</v>
      </c>
      <c r="C212" s="282" t="s">
        <v>1110</v>
      </c>
      <c r="D212" t="s">
        <v>1111</v>
      </c>
      <c r="E212" s="4"/>
      <c r="F212" s="13"/>
    </row>
    <row r="213" spans="1:6" x14ac:dyDescent="0.2">
      <c r="A213" s="282" t="s">
        <v>1087</v>
      </c>
      <c r="B213" s="282" t="s">
        <v>1112</v>
      </c>
      <c r="C213" s="282" t="s">
        <v>1113</v>
      </c>
      <c r="D213" t="s">
        <v>1114</v>
      </c>
      <c r="E213" s="4"/>
      <c r="F213" s="13"/>
    </row>
    <row r="214" spans="1:6" x14ac:dyDescent="0.2">
      <c r="A214" s="282" t="s">
        <v>1087</v>
      </c>
      <c r="B214" s="282" t="s">
        <v>1115</v>
      </c>
      <c r="C214" s="282" t="s">
        <v>1116</v>
      </c>
      <c r="D214" t="s">
        <v>1117</v>
      </c>
      <c r="E214" s="4"/>
      <c r="F214" s="13"/>
    </row>
    <row r="215" spans="1:6" x14ac:dyDescent="0.2">
      <c r="A215" s="282" t="s">
        <v>1087</v>
      </c>
      <c r="B215" s="282" t="s">
        <v>1118</v>
      </c>
      <c r="C215" s="282" t="s">
        <v>1119</v>
      </c>
      <c r="D215" t="s">
        <v>1120</v>
      </c>
      <c r="E215" s="4"/>
      <c r="F215" s="13"/>
    </row>
    <row r="216" spans="1:6" x14ac:dyDescent="0.2">
      <c r="A216" s="282" t="s">
        <v>1087</v>
      </c>
      <c r="B216" s="282" t="s">
        <v>1121</v>
      </c>
      <c r="C216" s="282" t="s">
        <v>1122</v>
      </c>
      <c r="D216" t="s">
        <v>1123</v>
      </c>
      <c r="E216" s="4"/>
      <c r="F216" s="13"/>
    </row>
    <row r="217" spans="1:6" x14ac:dyDescent="0.2">
      <c r="A217" s="282" t="s">
        <v>1087</v>
      </c>
      <c r="B217" s="282" t="s">
        <v>1124</v>
      </c>
      <c r="C217" s="282" t="s">
        <v>1125</v>
      </c>
      <c r="D217" t="s">
        <v>1126</v>
      </c>
      <c r="E217" s="4"/>
      <c r="F217" s="13"/>
    </row>
    <row r="218" spans="1:6" x14ac:dyDescent="0.2">
      <c r="A218" s="282" t="s">
        <v>1087</v>
      </c>
      <c r="B218" s="282" t="s">
        <v>1127</v>
      </c>
      <c r="C218" s="282" t="s">
        <v>1128</v>
      </c>
      <c r="D218" t="s">
        <v>1129</v>
      </c>
      <c r="E218" s="4"/>
      <c r="F218" s="13"/>
    </row>
    <row r="219" spans="1:6" x14ac:dyDescent="0.2">
      <c r="A219" s="282" t="s">
        <v>1087</v>
      </c>
      <c r="B219" s="282" t="s">
        <v>1130</v>
      </c>
      <c r="C219" s="282" t="s">
        <v>1131</v>
      </c>
      <c r="D219" t="s">
        <v>1132</v>
      </c>
      <c r="E219" s="4"/>
    </row>
    <row r="220" spans="1:6" x14ac:dyDescent="0.2">
      <c r="A220" s="282" t="s">
        <v>1087</v>
      </c>
      <c r="B220" s="282" t="s">
        <v>1084</v>
      </c>
      <c r="C220" s="282" t="s">
        <v>1085</v>
      </c>
      <c r="D220" t="s">
        <v>1086</v>
      </c>
      <c r="E220" s="4"/>
      <c r="F220" s="13"/>
    </row>
    <row r="221" spans="1:6" x14ac:dyDescent="0.2">
      <c r="A221" s="282" t="s">
        <v>1087</v>
      </c>
      <c r="B221" s="282" t="s">
        <v>1033</v>
      </c>
      <c r="C221" s="282" t="s">
        <v>825</v>
      </c>
      <c r="D221" t="s">
        <v>826</v>
      </c>
      <c r="E221" s="4"/>
    </row>
    <row r="222" spans="1:6" x14ac:dyDescent="0.2">
      <c r="A222" s="282" t="s">
        <v>1087</v>
      </c>
      <c r="B222" s="282" t="s">
        <v>1034</v>
      </c>
      <c r="C222" s="282" t="s">
        <v>827</v>
      </c>
      <c r="D222" t="s">
        <v>828</v>
      </c>
      <c r="E222" s="4"/>
    </row>
    <row r="223" spans="1:6" x14ac:dyDescent="0.2">
      <c r="E223" s="4"/>
    </row>
    <row r="224" spans="1:6" s="13" customFormat="1" x14ac:dyDescent="0.2">
      <c r="A224" s="284" t="s">
        <v>1133</v>
      </c>
      <c r="B224" s="284">
        <v>1</v>
      </c>
      <c r="C224" s="284" t="s">
        <v>1134</v>
      </c>
      <c r="D224" s="284" t="s">
        <v>1135</v>
      </c>
      <c r="E224" s="15"/>
    </row>
    <row r="225" spans="1:6" s="13" customFormat="1" x14ac:dyDescent="0.2">
      <c r="A225" s="284" t="s">
        <v>1133</v>
      </c>
      <c r="B225" s="284">
        <v>2</v>
      </c>
      <c r="C225" s="284" t="s">
        <v>1136</v>
      </c>
      <c r="D225" s="284" t="s">
        <v>1137</v>
      </c>
      <c r="E225" s="15"/>
    </row>
    <row r="226" spans="1:6" s="13" customFormat="1" x14ac:dyDescent="0.2">
      <c r="A226" s="284" t="s">
        <v>1133</v>
      </c>
      <c r="B226" s="284">
        <v>3</v>
      </c>
      <c r="C226" s="284" t="s">
        <v>1138</v>
      </c>
      <c r="D226" s="284" t="s">
        <v>1139</v>
      </c>
      <c r="E226" s="15"/>
    </row>
    <row r="227" spans="1:6" s="13" customFormat="1" x14ac:dyDescent="0.2">
      <c r="A227" s="284" t="s">
        <v>1133</v>
      </c>
      <c r="B227" s="284">
        <v>4</v>
      </c>
      <c r="C227" s="284" t="s">
        <v>1140</v>
      </c>
      <c r="D227" s="284" t="s">
        <v>1141</v>
      </c>
      <c r="E227" s="15"/>
    </row>
    <row r="228" spans="1:6" s="13" customFormat="1" x14ac:dyDescent="0.2">
      <c r="A228" s="284" t="s">
        <v>1133</v>
      </c>
      <c r="B228" s="284">
        <v>5</v>
      </c>
      <c r="C228" s="284" t="s">
        <v>1142</v>
      </c>
      <c r="D228" s="284" t="s">
        <v>1143</v>
      </c>
      <c r="E228" s="15"/>
    </row>
    <row r="229" spans="1:6" s="13" customFormat="1" x14ac:dyDescent="0.2">
      <c r="A229" s="284" t="s">
        <v>1133</v>
      </c>
      <c r="B229" s="284">
        <v>6</v>
      </c>
      <c r="C229" s="284" t="s">
        <v>1144</v>
      </c>
      <c r="D229" s="284" t="s">
        <v>1145</v>
      </c>
      <c r="E229" s="15"/>
    </row>
    <row r="230" spans="1:6" s="13" customFormat="1" x14ac:dyDescent="0.2">
      <c r="A230" s="284" t="s">
        <v>1133</v>
      </c>
      <c r="B230" s="284">
        <v>7</v>
      </c>
      <c r="C230" s="284" t="s">
        <v>825</v>
      </c>
      <c r="D230" s="284" t="s">
        <v>826</v>
      </c>
      <c r="E230" s="15"/>
    </row>
    <row r="231" spans="1:6" x14ac:dyDescent="0.2">
      <c r="A231" s="284" t="s">
        <v>1133</v>
      </c>
      <c r="B231" s="284">
        <v>8</v>
      </c>
      <c r="C231" s="284" t="s">
        <v>827</v>
      </c>
      <c r="D231" s="284" t="s">
        <v>828</v>
      </c>
      <c r="E231" s="15"/>
      <c r="F231" s="13"/>
    </row>
    <row r="232" spans="1:6" x14ac:dyDescent="0.2">
      <c r="E232" s="4"/>
    </row>
    <row r="233" spans="1:6" x14ac:dyDescent="0.2">
      <c r="A233" t="s">
        <v>1146</v>
      </c>
      <c r="B233" t="s">
        <v>1147</v>
      </c>
      <c r="C233" t="s">
        <v>1148</v>
      </c>
      <c r="D233" t="s">
        <v>1149</v>
      </c>
      <c r="E233" s="4"/>
      <c r="F233" s="13"/>
    </row>
    <row r="234" spans="1:6" x14ac:dyDescent="0.2">
      <c r="A234" t="s">
        <v>1146</v>
      </c>
      <c r="B234" t="s">
        <v>1150</v>
      </c>
      <c r="C234" t="s">
        <v>1151</v>
      </c>
      <c r="D234" s="282" t="s">
        <v>1152</v>
      </c>
      <c r="E234" s="4"/>
      <c r="F234" s="13"/>
    </row>
    <row r="235" spans="1:6" x14ac:dyDescent="0.2">
      <c r="A235" t="s">
        <v>1146</v>
      </c>
      <c r="B235" t="s">
        <v>1153</v>
      </c>
      <c r="C235" t="s">
        <v>1154</v>
      </c>
      <c r="D235" s="282" t="s">
        <v>1155</v>
      </c>
      <c r="E235" s="4"/>
      <c r="F235" s="13"/>
    </row>
    <row r="236" spans="1:6" x14ac:dyDescent="0.2">
      <c r="A236" t="s">
        <v>1146</v>
      </c>
      <c r="B236" t="s">
        <v>1156</v>
      </c>
      <c r="C236" t="s">
        <v>1157</v>
      </c>
      <c r="D236" t="s">
        <v>1158</v>
      </c>
      <c r="E236" s="4"/>
      <c r="F236" s="13"/>
    </row>
    <row r="237" spans="1:6" x14ac:dyDescent="0.2">
      <c r="A237" t="s">
        <v>1146</v>
      </c>
      <c r="B237" t="s">
        <v>1159</v>
      </c>
      <c r="C237" t="s">
        <v>1160</v>
      </c>
      <c r="D237" t="s">
        <v>1161</v>
      </c>
      <c r="E237" s="4"/>
      <c r="F237" s="13"/>
    </row>
    <row r="238" spans="1:6" x14ac:dyDescent="0.2">
      <c r="A238" t="s">
        <v>1146</v>
      </c>
      <c r="B238" t="s">
        <v>1162</v>
      </c>
      <c r="C238" t="s">
        <v>1163</v>
      </c>
      <c r="D238" t="s">
        <v>1164</v>
      </c>
      <c r="E238" s="4"/>
      <c r="F238" s="13"/>
    </row>
    <row r="239" spans="1:6" x14ac:dyDescent="0.2">
      <c r="A239" t="s">
        <v>1146</v>
      </c>
      <c r="B239" t="s">
        <v>1165</v>
      </c>
      <c r="C239" t="s">
        <v>1166</v>
      </c>
      <c r="D239" t="s">
        <v>1167</v>
      </c>
      <c r="E239" s="4"/>
      <c r="F239" s="13"/>
    </row>
    <row r="240" spans="1:6" x14ac:dyDescent="0.2">
      <c r="A240" t="s">
        <v>1146</v>
      </c>
      <c r="B240" t="s">
        <v>1084</v>
      </c>
      <c r="C240" t="s">
        <v>1085</v>
      </c>
      <c r="D240" t="s">
        <v>1086</v>
      </c>
      <c r="E240" s="4"/>
      <c r="F240" s="13"/>
    </row>
    <row r="241" spans="1:6" x14ac:dyDescent="0.2">
      <c r="A241" t="s">
        <v>1146</v>
      </c>
      <c r="B241" t="s">
        <v>1033</v>
      </c>
      <c r="C241" t="s">
        <v>825</v>
      </c>
      <c r="D241" t="s">
        <v>826</v>
      </c>
      <c r="E241" s="4"/>
      <c r="F241" s="13"/>
    </row>
    <row r="242" spans="1:6" x14ac:dyDescent="0.2">
      <c r="A242" t="s">
        <v>1146</v>
      </c>
      <c r="B242" t="s">
        <v>1034</v>
      </c>
      <c r="C242" t="s">
        <v>827</v>
      </c>
      <c r="D242" t="s">
        <v>828</v>
      </c>
      <c r="E242" s="4"/>
      <c r="F242" s="13"/>
    </row>
    <row r="243" spans="1:6" x14ac:dyDescent="0.2">
      <c r="E243" s="4"/>
    </row>
    <row r="244" spans="1:6" x14ac:dyDescent="0.2">
      <c r="A244" t="s">
        <v>425</v>
      </c>
      <c r="B244">
        <v>1</v>
      </c>
      <c r="C244" t="s">
        <v>1168</v>
      </c>
      <c r="D244" t="s">
        <v>1169</v>
      </c>
      <c r="E244" s="4"/>
    </row>
    <row r="245" spans="1:6" x14ac:dyDescent="0.2">
      <c r="A245" t="s">
        <v>425</v>
      </c>
      <c r="B245">
        <v>2</v>
      </c>
      <c r="C245" t="s">
        <v>1170</v>
      </c>
      <c r="D245" t="s">
        <v>1171</v>
      </c>
      <c r="E245" s="4"/>
    </row>
    <row r="246" spans="1:6" x14ac:dyDescent="0.2">
      <c r="A246" t="s">
        <v>425</v>
      </c>
      <c r="B246">
        <v>3</v>
      </c>
      <c r="C246" t="s">
        <v>1172</v>
      </c>
      <c r="D246" t="s">
        <v>1173</v>
      </c>
      <c r="E246" s="4"/>
    </row>
    <row r="247" spans="1:6" x14ac:dyDescent="0.2">
      <c r="A247" t="s">
        <v>425</v>
      </c>
      <c r="B247">
        <v>4</v>
      </c>
      <c r="C247" t="s">
        <v>1174</v>
      </c>
      <c r="D247" t="s">
        <v>1175</v>
      </c>
      <c r="E247" s="4"/>
    </row>
    <row r="248" spans="1:6" x14ac:dyDescent="0.2">
      <c r="A248" t="s">
        <v>425</v>
      </c>
      <c r="B248">
        <v>5</v>
      </c>
      <c r="C248" t="s">
        <v>1176</v>
      </c>
      <c r="D248" t="s">
        <v>1177</v>
      </c>
      <c r="E248" s="4"/>
    </row>
    <row r="249" spans="1:6" x14ac:dyDescent="0.2">
      <c r="A249" t="s">
        <v>425</v>
      </c>
      <c r="B249">
        <v>6</v>
      </c>
      <c r="C249" t="s">
        <v>1178</v>
      </c>
      <c r="D249" t="s">
        <v>1179</v>
      </c>
      <c r="E249" s="4"/>
    </row>
    <row r="250" spans="1:6" x14ac:dyDescent="0.2">
      <c r="A250" t="s">
        <v>425</v>
      </c>
      <c r="B250">
        <v>7</v>
      </c>
      <c r="C250" t="s">
        <v>1180</v>
      </c>
      <c r="D250" t="s">
        <v>1181</v>
      </c>
      <c r="E250" s="4"/>
    </row>
    <row r="251" spans="1:6" x14ac:dyDescent="0.2">
      <c r="A251" t="s">
        <v>425</v>
      </c>
      <c r="B251">
        <v>8</v>
      </c>
      <c r="C251" t="s">
        <v>1182</v>
      </c>
      <c r="D251" t="s">
        <v>1183</v>
      </c>
      <c r="E251" s="4"/>
    </row>
    <row r="252" spans="1:6" x14ac:dyDescent="0.2">
      <c r="A252" t="s">
        <v>425</v>
      </c>
      <c r="B252">
        <v>9</v>
      </c>
      <c r="C252" t="s">
        <v>1085</v>
      </c>
      <c r="D252" t="s">
        <v>1086</v>
      </c>
      <c r="E252" s="4"/>
    </row>
    <row r="253" spans="1:6" x14ac:dyDescent="0.2">
      <c r="A253" t="s">
        <v>425</v>
      </c>
      <c r="B253" s="283">
        <v>10</v>
      </c>
      <c r="C253" t="s">
        <v>825</v>
      </c>
      <c r="D253" t="s">
        <v>826</v>
      </c>
      <c r="E253" s="4"/>
    </row>
    <row r="254" spans="1:6" x14ac:dyDescent="0.2">
      <c r="A254" t="s">
        <v>425</v>
      </c>
      <c r="B254" s="283">
        <v>11</v>
      </c>
      <c r="C254" t="s">
        <v>827</v>
      </c>
      <c r="D254" t="s">
        <v>828</v>
      </c>
      <c r="E254" s="4"/>
    </row>
    <row r="255" spans="1:6" x14ac:dyDescent="0.2">
      <c r="E255" s="4"/>
    </row>
    <row r="256" spans="1:6" x14ac:dyDescent="0.2">
      <c r="A256" t="s">
        <v>1184</v>
      </c>
      <c r="B256" t="s">
        <v>1185</v>
      </c>
      <c r="C256" t="s">
        <v>1186</v>
      </c>
      <c r="D256" t="s">
        <v>1187</v>
      </c>
      <c r="E256" s="4"/>
      <c r="F256" s="13"/>
    </row>
    <row r="257" spans="1:6" x14ac:dyDescent="0.2">
      <c r="A257" t="s">
        <v>1184</v>
      </c>
      <c r="B257" t="s">
        <v>1188</v>
      </c>
      <c r="C257" t="s">
        <v>1189</v>
      </c>
      <c r="D257" t="s">
        <v>1190</v>
      </c>
      <c r="E257" s="4"/>
      <c r="F257" s="13"/>
    </row>
    <row r="258" spans="1:6" x14ac:dyDescent="0.2">
      <c r="A258" t="s">
        <v>1184</v>
      </c>
      <c r="B258" t="s">
        <v>1191</v>
      </c>
      <c r="C258" t="s">
        <v>1192</v>
      </c>
      <c r="D258" t="s">
        <v>1193</v>
      </c>
      <c r="E258" s="4"/>
      <c r="F258" s="13"/>
    </row>
    <row r="259" spans="1:6" x14ac:dyDescent="0.2">
      <c r="A259" t="s">
        <v>1184</v>
      </c>
      <c r="B259" t="s">
        <v>1194</v>
      </c>
      <c r="C259" t="s">
        <v>1195</v>
      </c>
      <c r="D259" t="s">
        <v>1196</v>
      </c>
      <c r="E259" s="4"/>
      <c r="F259" s="13"/>
    </row>
    <row r="260" spans="1:6" x14ac:dyDescent="0.2">
      <c r="A260" t="s">
        <v>1184</v>
      </c>
      <c r="B260" t="s">
        <v>1197</v>
      </c>
      <c r="C260" t="s">
        <v>1198</v>
      </c>
      <c r="D260" t="s">
        <v>1199</v>
      </c>
      <c r="E260" s="4"/>
      <c r="F260" s="13"/>
    </row>
    <row r="261" spans="1:6" x14ac:dyDescent="0.2">
      <c r="A261" t="s">
        <v>1184</v>
      </c>
      <c r="B261" t="s">
        <v>1200</v>
      </c>
      <c r="C261" t="s">
        <v>1201</v>
      </c>
      <c r="D261" t="s">
        <v>1202</v>
      </c>
      <c r="E261" s="4"/>
      <c r="F261" s="13"/>
    </row>
    <row r="262" spans="1:6" x14ac:dyDescent="0.2">
      <c r="A262" t="s">
        <v>1184</v>
      </c>
      <c r="B262" t="s">
        <v>1203</v>
      </c>
      <c r="C262" t="s">
        <v>1204</v>
      </c>
      <c r="D262" t="s">
        <v>1205</v>
      </c>
      <c r="E262" s="4"/>
      <c r="F262" s="13"/>
    </row>
    <row r="263" spans="1:6" x14ac:dyDescent="0.2">
      <c r="A263" t="s">
        <v>1184</v>
      </c>
      <c r="B263" t="s">
        <v>1206</v>
      </c>
      <c r="C263" t="s">
        <v>1207</v>
      </c>
      <c r="D263" t="s">
        <v>1208</v>
      </c>
      <c r="E263" s="4"/>
      <c r="F263" s="13"/>
    </row>
    <row r="264" spans="1:6" x14ac:dyDescent="0.2">
      <c r="A264" t="s">
        <v>1184</v>
      </c>
      <c r="B264" t="s">
        <v>1209</v>
      </c>
      <c r="C264" t="s">
        <v>1210</v>
      </c>
      <c r="D264" t="s">
        <v>1211</v>
      </c>
      <c r="E264" s="4"/>
      <c r="F264" s="13"/>
    </row>
    <row r="265" spans="1:6" x14ac:dyDescent="0.2">
      <c r="A265" t="s">
        <v>1184</v>
      </c>
      <c r="B265" t="s">
        <v>1212</v>
      </c>
      <c r="C265" t="s">
        <v>1213</v>
      </c>
      <c r="D265" t="s">
        <v>1214</v>
      </c>
      <c r="E265" s="4"/>
      <c r="F265" s="13"/>
    </row>
    <row r="266" spans="1:6" x14ac:dyDescent="0.2">
      <c r="A266" t="s">
        <v>1184</v>
      </c>
      <c r="B266" t="s">
        <v>1215</v>
      </c>
      <c r="C266" t="s">
        <v>1216</v>
      </c>
      <c r="D266" t="s">
        <v>1217</v>
      </c>
      <c r="E266" s="4"/>
      <c r="F266" s="13"/>
    </row>
    <row r="267" spans="1:6" x14ac:dyDescent="0.2">
      <c r="A267" t="s">
        <v>1184</v>
      </c>
      <c r="B267" t="s">
        <v>1218</v>
      </c>
      <c r="C267" t="s">
        <v>1085</v>
      </c>
      <c r="D267" t="s">
        <v>1086</v>
      </c>
      <c r="E267" s="4"/>
      <c r="F267" s="13"/>
    </row>
    <row r="268" spans="1:6" x14ac:dyDescent="0.2">
      <c r="A268" t="s">
        <v>1184</v>
      </c>
      <c r="B268" t="s">
        <v>1219</v>
      </c>
      <c r="C268" t="s">
        <v>825</v>
      </c>
      <c r="D268" t="s">
        <v>826</v>
      </c>
      <c r="E268" s="4"/>
      <c r="F268" s="13"/>
    </row>
    <row r="269" spans="1:6" ht="14.25" customHeight="1" x14ac:dyDescent="0.2">
      <c r="A269" t="s">
        <v>1184</v>
      </c>
      <c r="B269" t="s">
        <v>1220</v>
      </c>
      <c r="C269" t="s">
        <v>827</v>
      </c>
      <c r="D269" t="s">
        <v>828</v>
      </c>
      <c r="E269" s="4"/>
      <c r="F269" s="13"/>
    </row>
    <row r="270" spans="1:6" ht="14.25" customHeight="1" x14ac:dyDescent="0.2">
      <c r="E270" s="4"/>
      <c r="F270" s="13"/>
    </row>
    <row r="271" spans="1:6" s="13" customFormat="1" ht="14.25" customHeight="1" x14ac:dyDescent="0.2">
      <c r="A271" s="284" t="s">
        <v>1221</v>
      </c>
      <c r="B271" s="284" t="s">
        <v>1222</v>
      </c>
      <c r="C271" s="284" t="s">
        <v>1223</v>
      </c>
      <c r="D271" s="284" t="s">
        <v>1224</v>
      </c>
      <c r="E271" s="15"/>
    </row>
    <row r="272" spans="1:6" s="13" customFormat="1" ht="14.25" customHeight="1" x14ac:dyDescent="0.2">
      <c r="A272" s="284" t="s">
        <v>1221</v>
      </c>
      <c r="B272" s="284" t="s">
        <v>1225</v>
      </c>
      <c r="C272" s="284" t="s">
        <v>1226</v>
      </c>
      <c r="D272" s="284" t="s">
        <v>1227</v>
      </c>
      <c r="E272" s="15"/>
    </row>
    <row r="273" spans="1:6" s="13" customFormat="1" ht="14.25" customHeight="1" x14ac:dyDescent="0.2">
      <c r="A273" s="284" t="s">
        <v>1221</v>
      </c>
      <c r="B273" s="284" t="s">
        <v>1228</v>
      </c>
      <c r="C273" s="284" t="s">
        <v>1229</v>
      </c>
      <c r="D273" s="284" t="s">
        <v>1230</v>
      </c>
      <c r="E273" s="15"/>
    </row>
    <row r="274" spans="1:6" s="13" customFormat="1" ht="14.25" customHeight="1" x14ac:dyDescent="0.2">
      <c r="A274" s="284" t="s">
        <v>1221</v>
      </c>
      <c r="B274" s="284" t="s">
        <v>1231</v>
      </c>
      <c r="C274" s="284" t="s">
        <v>1232</v>
      </c>
      <c r="D274" s="284" t="s">
        <v>1233</v>
      </c>
      <c r="E274" s="15"/>
    </row>
    <row r="275" spans="1:6" s="13" customFormat="1" ht="14.25" customHeight="1" x14ac:dyDescent="0.2">
      <c r="A275" s="284" t="s">
        <v>1221</v>
      </c>
      <c r="B275" s="284" t="s">
        <v>1234</v>
      </c>
      <c r="C275" s="284" t="s">
        <v>1235</v>
      </c>
      <c r="D275" s="284" t="s">
        <v>1236</v>
      </c>
      <c r="E275" s="15"/>
    </row>
    <row r="276" spans="1:6" s="13" customFormat="1" ht="14.25" customHeight="1" x14ac:dyDescent="0.2">
      <c r="A276" s="284" t="s">
        <v>1221</v>
      </c>
      <c r="B276" s="284" t="s">
        <v>1084</v>
      </c>
      <c r="C276" s="284" t="s">
        <v>1237</v>
      </c>
      <c r="D276" s="284" t="s">
        <v>1086</v>
      </c>
      <c r="E276" s="15"/>
    </row>
    <row r="277" spans="1:6" s="13" customFormat="1" ht="14.25" customHeight="1" x14ac:dyDescent="0.2">
      <c r="A277" s="284" t="s">
        <v>1221</v>
      </c>
      <c r="B277" s="284" t="s">
        <v>1033</v>
      </c>
      <c r="C277" s="284" t="s">
        <v>825</v>
      </c>
      <c r="D277" s="284" t="s">
        <v>826</v>
      </c>
      <c r="E277" s="15"/>
    </row>
    <row r="278" spans="1:6" s="13" customFormat="1" ht="14.25" customHeight="1" x14ac:dyDescent="0.2">
      <c r="A278" s="284" t="s">
        <v>1221</v>
      </c>
      <c r="B278" s="284" t="s">
        <v>1034</v>
      </c>
      <c r="C278" s="284" t="s">
        <v>827</v>
      </c>
      <c r="D278" s="284" t="s">
        <v>828</v>
      </c>
      <c r="E278" s="15"/>
    </row>
    <row r="279" spans="1:6" ht="14.25" customHeight="1" x14ac:dyDescent="0.2">
      <c r="E279" s="4"/>
    </row>
    <row r="280" spans="1:6" x14ac:dyDescent="0.2">
      <c r="A280" t="s">
        <v>1238</v>
      </c>
      <c r="B280" t="s">
        <v>1239</v>
      </c>
      <c r="C280" t="s">
        <v>1240</v>
      </c>
      <c r="D280" t="s">
        <v>1241</v>
      </c>
      <c r="E280" s="4"/>
      <c r="F280" s="13"/>
    </row>
    <row r="281" spans="1:6" x14ac:dyDescent="0.2">
      <c r="A281" t="s">
        <v>1238</v>
      </c>
      <c r="B281" t="s">
        <v>1242</v>
      </c>
      <c r="C281" t="s">
        <v>1243</v>
      </c>
      <c r="D281" t="s">
        <v>1244</v>
      </c>
      <c r="E281" s="4"/>
      <c r="F281" s="13"/>
    </row>
    <row r="282" spans="1:6" x14ac:dyDescent="0.2">
      <c r="A282" t="s">
        <v>1238</v>
      </c>
      <c r="B282" t="s">
        <v>1245</v>
      </c>
      <c r="C282" t="s">
        <v>1246</v>
      </c>
      <c r="D282" t="s">
        <v>1247</v>
      </c>
      <c r="E282" s="4"/>
      <c r="F282" s="13"/>
    </row>
    <row r="283" spans="1:6" x14ac:dyDescent="0.2">
      <c r="A283" t="s">
        <v>1238</v>
      </c>
      <c r="B283" t="s">
        <v>1248</v>
      </c>
      <c r="C283" t="s">
        <v>1249</v>
      </c>
      <c r="D283" t="s">
        <v>1250</v>
      </c>
      <c r="E283" s="4"/>
      <c r="F283" s="13"/>
    </row>
    <row r="284" spans="1:6" x14ac:dyDescent="0.2">
      <c r="A284" t="s">
        <v>1238</v>
      </c>
      <c r="B284" t="s">
        <v>1251</v>
      </c>
      <c r="C284" t="s">
        <v>1252</v>
      </c>
      <c r="D284" t="s">
        <v>1253</v>
      </c>
      <c r="E284" s="4"/>
      <c r="F284" s="13"/>
    </row>
    <row r="285" spans="1:6" x14ac:dyDescent="0.2">
      <c r="A285" t="s">
        <v>1238</v>
      </c>
      <c r="B285" t="s">
        <v>1254</v>
      </c>
      <c r="C285" t="s">
        <v>1255</v>
      </c>
      <c r="D285" t="s">
        <v>1256</v>
      </c>
      <c r="E285" s="4"/>
      <c r="F285" s="13"/>
    </row>
    <row r="286" spans="1:6" x14ac:dyDescent="0.2">
      <c r="A286" t="s">
        <v>1238</v>
      </c>
      <c r="B286" t="s">
        <v>1257</v>
      </c>
      <c r="C286" t="s">
        <v>1258</v>
      </c>
      <c r="D286" t="s">
        <v>1259</v>
      </c>
      <c r="E286" s="4"/>
      <c r="F286" s="13"/>
    </row>
    <row r="287" spans="1:6" x14ac:dyDescent="0.2">
      <c r="A287" t="s">
        <v>1238</v>
      </c>
      <c r="B287" t="s">
        <v>1260</v>
      </c>
      <c r="C287" t="s">
        <v>1261</v>
      </c>
      <c r="D287" t="s">
        <v>1262</v>
      </c>
      <c r="E287" s="4"/>
      <c r="F287" s="13"/>
    </row>
    <row r="288" spans="1:6" x14ac:dyDescent="0.2">
      <c r="A288" t="s">
        <v>1238</v>
      </c>
      <c r="B288" t="s">
        <v>1130</v>
      </c>
      <c r="C288" t="s">
        <v>1131</v>
      </c>
      <c r="D288" t="s">
        <v>1263</v>
      </c>
      <c r="E288" s="4"/>
      <c r="F288" s="13"/>
    </row>
    <row r="289" spans="1:6" x14ac:dyDescent="0.2">
      <c r="A289" t="s">
        <v>1238</v>
      </c>
      <c r="B289" t="s">
        <v>1112</v>
      </c>
      <c r="C289" t="s">
        <v>1113</v>
      </c>
      <c r="D289" t="s">
        <v>1264</v>
      </c>
      <c r="E289" s="4"/>
      <c r="F289" s="13"/>
    </row>
    <row r="290" spans="1:6" x14ac:dyDescent="0.2">
      <c r="A290" t="s">
        <v>1238</v>
      </c>
      <c r="B290" t="s">
        <v>1084</v>
      </c>
      <c r="C290" t="s">
        <v>1085</v>
      </c>
      <c r="D290" t="s">
        <v>1086</v>
      </c>
      <c r="E290" s="4"/>
    </row>
    <row r="291" spans="1:6" x14ac:dyDescent="0.2">
      <c r="A291" t="s">
        <v>1238</v>
      </c>
      <c r="B291" t="s">
        <v>1033</v>
      </c>
      <c r="C291" t="s">
        <v>825</v>
      </c>
      <c r="D291" t="s">
        <v>826</v>
      </c>
      <c r="E291" s="4"/>
    </row>
    <row r="292" spans="1:6" x14ac:dyDescent="0.2">
      <c r="A292" t="s">
        <v>1238</v>
      </c>
      <c r="B292" t="s">
        <v>1034</v>
      </c>
      <c r="C292" t="s">
        <v>827</v>
      </c>
      <c r="D292" t="s">
        <v>828</v>
      </c>
      <c r="E292" s="4"/>
    </row>
    <row r="293" spans="1:6" x14ac:dyDescent="0.2">
      <c r="E293" s="4"/>
    </row>
    <row r="294" spans="1:6" x14ac:dyDescent="0.2">
      <c r="A294" s="284" t="s">
        <v>1265</v>
      </c>
      <c r="B294" s="284">
        <v>1</v>
      </c>
      <c r="C294" s="284" t="s">
        <v>1168</v>
      </c>
      <c r="D294" t="s">
        <v>1169</v>
      </c>
      <c r="E294" s="4"/>
    </row>
    <row r="295" spans="1:6" x14ac:dyDescent="0.2">
      <c r="A295" s="284" t="s">
        <v>1265</v>
      </c>
      <c r="B295" s="284">
        <v>2</v>
      </c>
      <c r="C295" s="284" t="s">
        <v>1170</v>
      </c>
      <c r="D295" t="s">
        <v>1171</v>
      </c>
      <c r="E295" s="4"/>
    </row>
    <row r="296" spans="1:6" x14ac:dyDescent="0.2">
      <c r="A296" s="284" t="s">
        <v>1265</v>
      </c>
      <c r="B296" s="284">
        <v>3</v>
      </c>
      <c r="C296" s="284" t="s">
        <v>1172</v>
      </c>
      <c r="D296" t="s">
        <v>1173</v>
      </c>
      <c r="E296" s="4"/>
    </row>
    <row r="297" spans="1:6" x14ac:dyDescent="0.2">
      <c r="A297" s="284" t="s">
        <v>1265</v>
      </c>
      <c r="B297" s="284">
        <v>4</v>
      </c>
      <c r="C297" s="284" t="s">
        <v>1174</v>
      </c>
      <c r="D297" t="s">
        <v>1175</v>
      </c>
      <c r="E297" s="4"/>
    </row>
    <row r="298" spans="1:6" x14ac:dyDescent="0.2">
      <c r="A298" s="284" t="s">
        <v>1265</v>
      </c>
      <c r="B298" s="284">
        <v>5</v>
      </c>
      <c r="C298" s="284" t="s">
        <v>1176</v>
      </c>
      <c r="D298" t="s">
        <v>1177</v>
      </c>
      <c r="E298" s="4"/>
    </row>
    <row r="299" spans="1:6" x14ac:dyDescent="0.2">
      <c r="A299" s="284" t="s">
        <v>1265</v>
      </c>
      <c r="B299" s="284">
        <v>6</v>
      </c>
      <c r="C299" s="284" t="s">
        <v>1178</v>
      </c>
      <c r="D299" t="s">
        <v>1179</v>
      </c>
      <c r="E299" s="4"/>
    </row>
    <row r="300" spans="1:6" x14ac:dyDescent="0.2">
      <c r="A300" s="284" t="s">
        <v>1265</v>
      </c>
      <c r="B300" s="284">
        <v>7</v>
      </c>
      <c r="C300" s="284" t="s">
        <v>1180</v>
      </c>
      <c r="D300" t="s">
        <v>1181</v>
      </c>
      <c r="E300" s="4"/>
    </row>
    <row r="301" spans="1:6" x14ac:dyDescent="0.2">
      <c r="A301" s="284" t="s">
        <v>1265</v>
      </c>
      <c r="B301" s="284">
        <v>8</v>
      </c>
      <c r="C301" s="284" t="s">
        <v>1182</v>
      </c>
      <c r="D301" t="s">
        <v>1183</v>
      </c>
      <c r="E301" s="4"/>
    </row>
    <row r="302" spans="1:6" x14ac:dyDescent="0.2">
      <c r="A302" s="284" t="s">
        <v>1265</v>
      </c>
      <c r="B302" s="284">
        <v>9</v>
      </c>
      <c r="C302" s="284" t="s">
        <v>1085</v>
      </c>
      <c r="D302" t="s">
        <v>1086</v>
      </c>
      <c r="E302" s="4"/>
    </row>
    <row r="303" spans="1:6" x14ac:dyDescent="0.2">
      <c r="A303" s="284" t="s">
        <v>1265</v>
      </c>
      <c r="B303" s="284">
        <v>666</v>
      </c>
      <c r="C303" s="284" t="s">
        <v>1266</v>
      </c>
      <c r="D303" t="s">
        <v>1267</v>
      </c>
      <c r="E303" s="4"/>
    </row>
    <row r="304" spans="1:6" x14ac:dyDescent="0.2">
      <c r="A304" s="284" t="s">
        <v>1265</v>
      </c>
      <c r="B304" s="284">
        <v>10</v>
      </c>
      <c r="C304" s="284" t="s">
        <v>825</v>
      </c>
      <c r="D304" t="s">
        <v>826</v>
      </c>
      <c r="E304" s="4"/>
    </row>
    <row r="305" spans="1:5" x14ac:dyDescent="0.2">
      <c r="A305" s="284" t="s">
        <v>1265</v>
      </c>
      <c r="B305" s="284">
        <v>11</v>
      </c>
      <c r="C305" s="284" t="s">
        <v>827</v>
      </c>
      <c r="D305" t="s">
        <v>828</v>
      </c>
      <c r="E305" s="4"/>
    </row>
    <row r="306" spans="1:5" x14ac:dyDescent="0.2">
      <c r="B306" s="10"/>
      <c r="E306" s="4"/>
    </row>
    <row r="307" spans="1:5" x14ac:dyDescent="0.2">
      <c r="A307" t="s">
        <v>1268</v>
      </c>
      <c r="B307">
        <v>1</v>
      </c>
      <c r="C307" t="s">
        <v>1168</v>
      </c>
      <c r="D307" t="s">
        <v>1269</v>
      </c>
      <c r="E307" s="4"/>
    </row>
    <row r="308" spans="1:5" x14ac:dyDescent="0.2">
      <c r="A308" t="s">
        <v>1268</v>
      </c>
      <c r="B308">
        <v>2</v>
      </c>
      <c r="C308" t="s">
        <v>1170</v>
      </c>
      <c r="D308" t="s">
        <v>1171</v>
      </c>
      <c r="E308" s="4"/>
    </row>
    <row r="309" spans="1:5" x14ac:dyDescent="0.2">
      <c r="A309" t="s">
        <v>1268</v>
      </c>
      <c r="B309">
        <v>3</v>
      </c>
      <c r="C309" t="s">
        <v>1172</v>
      </c>
      <c r="D309" t="s">
        <v>1173</v>
      </c>
      <c r="E309" s="4"/>
    </row>
    <row r="310" spans="1:5" x14ac:dyDescent="0.2">
      <c r="A310" t="s">
        <v>1268</v>
      </c>
      <c r="B310">
        <v>4</v>
      </c>
      <c r="C310" s="282" t="s">
        <v>1174</v>
      </c>
      <c r="D310" s="282" t="s">
        <v>1175</v>
      </c>
      <c r="E310" s="4"/>
    </row>
    <row r="311" spans="1:5" x14ac:dyDescent="0.2">
      <c r="A311" t="s">
        <v>1268</v>
      </c>
      <c r="B311">
        <v>5</v>
      </c>
      <c r="C311" t="s">
        <v>1270</v>
      </c>
      <c r="D311" t="s">
        <v>1177</v>
      </c>
      <c r="E311" s="4"/>
    </row>
    <row r="312" spans="1:5" x14ac:dyDescent="0.2">
      <c r="A312" t="s">
        <v>1268</v>
      </c>
      <c r="B312">
        <v>6</v>
      </c>
      <c r="C312" t="s">
        <v>1178</v>
      </c>
      <c r="D312" t="s">
        <v>1179</v>
      </c>
      <c r="E312" s="4"/>
    </row>
    <row r="313" spans="1:5" x14ac:dyDescent="0.2">
      <c r="A313" t="s">
        <v>1268</v>
      </c>
      <c r="B313">
        <v>7</v>
      </c>
      <c r="C313" t="s">
        <v>1271</v>
      </c>
      <c r="D313" t="s">
        <v>1181</v>
      </c>
      <c r="E313" s="4"/>
    </row>
    <row r="314" spans="1:5" x14ac:dyDescent="0.2">
      <c r="A314" t="s">
        <v>1268</v>
      </c>
      <c r="B314">
        <v>8</v>
      </c>
      <c r="C314" t="s">
        <v>1182</v>
      </c>
      <c r="D314" t="s">
        <v>1183</v>
      </c>
      <c r="E314" s="4"/>
    </row>
    <row r="315" spans="1:5" x14ac:dyDescent="0.2">
      <c r="A315" t="s">
        <v>1268</v>
      </c>
      <c r="B315">
        <v>9</v>
      </c>
      <c r="C315" t="s">
        <v>1272</v>
      </c>
      <c r="D315" t="s">
        <v>1273</v>
      </c>
      <c r="E315" s="4"/>
    </row>
    <row r="316" spans="1:5" x14ac:dyDescent="0.2">
      <c r="A316" t="s">
        <v>1268</v>
      </c>
      <c r="B316">
        <v>10</v>
      </c>
      <c r="C316" t="s">
        <v>1274</v>
      </c>
      <c r="D316" t="s">
        <v>1275</v>
      </c>
      <c r="E316" s="4"/>
    </row>
    <row r="317" spans="1:5" x14ac:dyDescent="0.2">
      <c r="A317" t="s">
        <v>1268</v>
      </c>
      <c r="B317">
        <v>11</v>
      </c>
      <c r="C317" t="s">
        <v>1276</v>
      </c>
      <c r="D317" t="s">
        <v>1277</v>
      </c>
      <c r="E317" s="4"/>
    </row>
    <row r="318" spans="1:5" x14ac:dyDescent="0.2">
      <c r="A318" t="s">
        <v>1268</v>
      </c>
      <c r="B318" s="283">
        <v>12</v>
      </c>
      <c r="C318" t="s">
        <v>825</v>
      </c>
      <c r="D318" t="s">
        <v>826</v>
      </c>
      <c r="E318" s="4"/>
    </row>
    <row r="319" spans="1:5" x14ac:dyDescent="0.2">
      <c r="A319" t="s">
        <v>1268</v>
      </c>
      <c r="B319" s="283">
        <v>13</v>
      </c>
      <c r="C319" t="s">
        <v>827</v>
      </c>
      <c r="D319" t="s">
        <v>828</v>
      </c>
      <c r="E319" s="4"/>
    </row>
    <row r="320" spans="1:5" x14ac:dyDescent="0.2">
      <c r="E320" s="4"/>
    </row>
    <row r="321" spans="1:6" ht="16" customHeight="1" x14ac:dyDescent="0.2">
      <c r="A321" t="s">
        <v>1278</v>
      </c>
      <c r="B321" t="s">
        <v>1147</v>
      </c>
      <c r="C321" t="s">
        <v>1148</v>
      </c>
      <c r="D321" t="s">
        <v>1149</v>
      </c>
      <c r="E321" s="4"/>
      <c r="F321" s="13"/>
    </row>
    <row r="322" spans="1:6" ht="16" customHeight="1" x14ac:dyDescent="0.2">
      <c r="A322" t="s">
        <v>1278</v>
      </c>
      <c r="B322" t="s">
        <v>1150</v>
      </c>
      <c r="C322" t="s">
        <v>1279</v>
      </c>
      <c r="D322" t="s">
        <v>1280</v>
      </c>
      <c r="E322" s="4"/>
      <c r="F322" s="13"/>
    </row>
    <row r="323" spans="1:6" ht="16" customHeight="1" x14ac:dyDescent="0.2">
      <c r="A323" t="s">
        <v>1278</v>
      </c>
      <c r="B323" t="s">
        <v>1153</v>
      </c>
      <c r="C323" t="s">
        <v>1281</v>
      </c>
      <c r="D323" t="s">
        <v>1282</v>
      </c>
      <c r="E323" s="4"/>
      <c r="F323" s="13"/>
    </row>
    <row r="324" spans="1:6" ht="16" customHeight="1" x14ac:dyDescent="0.2">
      <c r="A324" t="s">
        <v>1278</v>
      </c>
      <c r="B324" t="s">
        <v>1156</v>
      </c>
      <c r="C324" t="s">
        <v>1157</v>
      </c>
      <c r="D324" t="s">
        <v>1158</v>
      </c>
      <c r="E324" s="4"/>
      <c r="F324" s="13"/>
    </row>
    <row r="325" spans="1:6" ht="16" customHeight="1" x14ac:dyDescent="0.2">
      <c r="A325" t="s">
        <v>1278</v>
      </c>
      <c r="B325" t="s">
        <v>1159</v>
      </c>
      <c r="C325" t="s">
        <v>1160</v>
      </c>
      <c r="D325" t="s">
        <v>1283</v>
      </c>
      <c r="E325" s="4"/>
      <c r="F325" s="13"/>
    </row>
    <row r="326" spans="1:6" ht="16" customHeight="1" x14ac:dyDescent="0.2">
      <c r="A326" t="s">
        <v>1278</v>
      </c>
      <c r="B326" t="s">
        <v>1284</v>
      </c>
      <c r="C326" t="s">
        <v>1285</v>
      </c>
      <c r="D326" t="s">
        <v>1286</v>
      </c>
      <c r="E326" s="4"/>
      <c r="F326" s="13"/>
    </row>
    <row r="327" spans="1:6" ht="16" customHeight="1" x14ac:dyDescent="0.2">
      <c r="A327" t="s">
        <v>1278</v>
      </c>
      <c r="B327" t="s">
        <v>1162</v>
      </c>
      <c r="C327" t="s">
        <v>1287</v>
      </c>
      <c r="D327" t="s">
        <v>1288</v>
      </c>
      <c r="E327" s="4"/>
      <c r="F327" s="13"/>
    </row>
    <row r="328" spans="1:6" ht="16" customHeight="1" x14ac:dyDescent="0.2">
      <c r="A328" t="s">
        <v>1278</v>
      </c>
      <c r="B328" t="s">
        <v>1165</v>
      </c>
      <c r="C328" t="s">
        <v>1166</v>
      </c>
      <c r="D328" t="s">
        <v>1167</v>
      </c>
      <c r="E328" s="4"/>
      <c r="F328" s="13"/>
    </row>
    <row r="329" spans="1:6" ht="16" customHeight="1" x14ac:dyDescent="0.2">
      <c r="A329" t="s">
        <v>1278</v>
      </c>
      <c r="B329" t="s">
        <v>1084</v>
      </c>
      <c r="C329" t="s">
        <v>1085</v>
      </c>
      <c r="D329" t="s">
        <v>1086</v>
      </c>
      <c r="E329" s="4"/>
    </row>
    <row r="330" spans="1:6" ht="16" customHeight="1" x14ac:dyDescent="0.2">
      <c r="A330" t="s">
        <v>1278</v>
      </c>
      <c r="B330" t="s">
        <v>1033</v>
      </c>
      <c r="C330" t="s">
        <v>825</v>
      </c>
      <c r="D330" t="s">
        <v>826</v>
      </c>
      <c r="E330" s="4"/>
    </row>
    <row r="331" spans="1:6" ht="16" customHeight="1" x14ac:dyDescent="0.2">
      <c r="A331" t="s">
        <v>1278</v>
      </c>
      <c r="B331" t="s">
        <v>1034</v>
      </c>
      <c r="C331" t="s">
        <v>827</v>
      </c>
      <c r="D331" t="s">
        <v>828</v>
      </c>
      <c r="E331" s="4"/>
    </row>
    <row r="332" spans="1:6" ht="16" customHeight="1" x14ac:dyDescent="0.2">
      <c r="E332" s="4"/>
    </row>
    <row r="333" spans="1:6" x14ac:dyDescent="0.2">
      <c r="A333" t="s">
        <v>1289</v>
      </c>
      <c r="B333" t="s">
        <v>1290</v>
      </c>
      <c r="C333" t="s">
        <v>1291</v>
      </c>
      <c r="D333" t="s">
        <v>1292</v>
      </c>
      <c r="E333" s="4"/>
      <c r="F333" s="13"/>
    </row>
    <row r="334" spans="1:6" x14ac:dyDescent="0.2">
      <c r="A334" t="s">
        <v>1289</v>
      </c>
      <c r="B334" t="s">
        <v>1293</v>
      </c>
      <c r="C334" t="s">
        <v>1294</v>
      </c>
      <c r="D334" t="s">
        <v>1295</v>
      </c>
      <c r="E334" s="4"/>
      <c r="F334" s="13"/>
    </row>
    <row r="335" spans="1:6" x14ac:dyDescent="0.2">
      <c r="A335" t="s">
        <v>1289</v>
      </c>
      <c r="B335" t="s">
        <v>1296</v>
      </c>
      <c r="C335" t="s">
        <v>1297</v>
      </c>
      <c r="D335" t="s">
        <v>1298</v>
      </c>
      <c r="E335" s="4"/>
      <c r="F335" s="13"/>
    </row>
    <row r="336" spans="1:6" x14ac:dyDescent="0.2">
      <c r="A336" t="s">
        <v>1289</v>
      </c>
      <c r="B336" t="s">
        <v>1299</v>
      </c>
      <c r="C336" t="s">
        <v>1300</v>
      </c>
      <c r="D336" t="s">
        <v>1301</v>
      </c>
      <c r="E336" s="4"/>
      <c r="F336" s="13"/>
    </row>
    <row r="337" spans="1:6" x14ac:dyDescent="0.2">
      <c r="A337" t="s">
        <v>1289</v>
      </c>
      <c r="B337" t="s">
        <v>1033</v>
      </c>
      <c r="C337" t="s">
        <v>825</v>
      </c>
      <c r="D337" t="s">
        <v>826</v>
      </c>
      <c r="E337" s="4"/>
      <c r="F337" s="13"/>
    </row>
    <row r="338" spans="1:6" x14ac:dyDescent="0.2">
      <c r="A338" t="s">
        <v>1289</v>
      </c>
      <c r="B338" t="s">
        <v>1034</v>
      </c>
      <c r="C338" t="s">
        <v>827</v>
      </c>
      <c r="D338" t="s">
        <v>828</v>
      </c>
      <c r="E338" s="4"/>
      <c r="F338" s="13"/>
    </row>
    <row r="339" spans="1:6" x14ac:dyDescent="0.2">
      <c r="E339" s="4"/>
    </row>
    <row r="340" spans="1:6" x14ac:dyDescent="0.2">
      <c r="A340" t="s">
        <v>1302</v>
      </c>
      <c r="B340" t="s">
        <v>1303</v>
      </c>
      <c r="C340" t="s">
        <v>1304</v>
      </c>
      <c r="D340" t="s">
        <v>1305</v>
      </c>
      <c r="E340" s="4"/>
      <c r="F340" s="13"/>
    </row>
    <row r="341" spans="1:6" x14ac:dyDescent="0.2">
      <c r="A341" t="s">
        <v>1302</v>
      </c>
      <c r="B341" t="s">
        <v>1306</v>
      </c>
      <c r="C341" t="s">
        <v>1307</v>
      </c>
      <c r="D341" t="s">
        <v>1308</v>
      </c>
      <c r="E341" s="4"/>
      <c r="F341" s="13"/>
    </row>
    <row r="342" spans="1:6" x14ac:dyDescent="0.2">
      <c r="A342" t="s">
        <v>1302</v>
      </c>
      <c r="B342" t="s">
        <v>1309</v>
      </c>
      <c r="C342" t="s">
        <v>1310</v>
      </c>
      <c r="D342" t="s">
        <v>1311</v>
      </c>
      <c r="E342" s="4"/>
      <c r="F342" s="13"/>
    </row>
    <row r="343" spans="1:6" x14ac:dyDescent="0.2">
      <c r="A343" t="s">
        <v>1302</v>
      </c>
      <c r="B343" t="s">
        <v>1312</v>
      </c>
      <c r="C343" t="s">
        <v>1313</v>
      </c>
      <c r="D343" t="s">
        <v>1314</v>
      </c>
      <c r="E343" s="4"/>
      <c r="F343" s="13"/>
    </row>
    <row r="344" spans="1:6" x14ac:dyDescent="0.2">
      <c r="A344" t="s">
        <v>1302</v>
      </c>
      <c r="B344" t="s">
        <v>1315</v>
      </c>
      <c r="C344" t="s">
        <v>1316</v>
      </c>
      <c r="D344" t="s">
        <v>1317</v>
      </c>
      <c r="E344" s="4"/>
      <c r="F344" s="13"/>
    </row>
    <row r="345" spans="1:6" x14ac:dyDescent="0.2">
      <c r="A345" t="s">
        <v>1302</v>
      </c>
      <c r="B345" t="s">
        <v>1318</v>
      </c>
      <c r="C345" t="s">
        <v>1319</v>
      </c>
      <c r="D345" t="s">
        <v>1320</v>
      </c>
      <c r="E345" s="4"/>
      <c r="F345" s="13"/>
    </row>
    <row r="346" spans="1:6" x14ac:dyDescent="0.2">
      <c r="A346" t="s">
        <v>1302</v>
      </c>
      <c r="B346" t="s">
        <v>1321</v>
      </c>
      <c r="C346" t="s">
        <v>1322</v>
      </c>
      <c r="D346" t="s">
        <v>1323</v>
      </c>
      <c r="E346" s="4"/>
      <c r="F346" s="13"/>
    </row>
    <row r="347" spans="1:6" x14ac:dyDescent="0.2">
      <c r="A347" t="s">
        <v>1302</v>
      </c>
      <c r="B347" t="s">
        <v>1324</v>
      </c>
      <c r="C347" t="s">
        <v>1325</v>
      </c>
      <c r="D347" t="s">
        <v>1326</v>
      </c>
      <c r="E347" s="4"/>
      <c r="F347" s="13"/>
    </row>
    <row r="348" spans="1:6" x14ac:dyDescent="0.2">
      <c r="A348" t="s">
        <v>1302</v>
      </c>
      <c r="B348" t="s">
        <v>1084</v>
      </c>
      <c r="C348" t="s">
        <v>1060</v>
      </c>
      <c r="D348" t="s">
        <v>1061</v>
      </c>
      <c r="E348" s="4"/>
    </row>
    <row r="349" spans="1:6" x14ac:dyDescent="0.2">
      <c r="A349" t="s">
        <v>1302</v>
      </c>
      <c r="B349" t="s">
        <v>1033</v>
      </c>
      <c r="C349" t="s">
        <v>825</v>
      </c>
      <c r="D349" t="s">
        <v>826</v>
      </c>
      <c r="E349" s="4"/>
    </row>
    <row r="350" spans="1:6" x14ac:dyDescent="0.2">
      <c r="A350" t="s">
        <v>1302</v>
      </c>
      <c r="B350" t="s">
        <v>1034</v>
      </c>
      <c r="C350" t="s">
        <v>827</v>
      </c>
      <c r="D350" t="s">
        <v>828</v>
      </c>
      <c r="E350" s="4"/>
    </row>
    <row r="351" spans="1:6" x14ac:dyDescent="0.2">
      <c r="E351" s="4"/>
    </row>
    <row r="352" spans="1:6" s="13" customFormat="1" x14ac:dyDescent="0.2">
      <c r="A352" s="284" t="s">
        <v>1327</v>
      </c>
      <c r="B352" s="284" t="s">
        <v>1328</v>
      </c>
      <c r="C352" s="284" t="s">
        <v>1329</v>
      </c>
      <c r="D352" s="284" t="s">
        <v>1330</v>
      </c>
      <c r="E352" s="15"/>
    </row>
    <row r="353" spans="1:5" s="13" customFormat="1" x14ac:dyDescent="0.2">
      <c r="A353" s="284" t="s">
        <v>1327</v>
      </c>
      <c r="B353" s="284" t="s">
        <v>1331</v>
      </c>
      <c r="C353" s="284" t="s">
        <v>1332</v>
      </c>
      <c r="D353" s="284" t="s">
        <v>1333</v>
      </c>
      <c r="E353" s="15"/>
    </row>
    <row r="354" spans="1:5" s="13" customFormat="1" x14ac:dyDescent="0.2">
      <c r="A354" s="284" t="s">
        <v>1327</v>
      </c>
      <c r="B354" s="284" t="s">
        <v>1334</v>
      </c>
      <c r="C354" s="284" t="s">
        <v>1335</v>
      </c>
      <c r="D354" s="284" t="s">
        <v>1336</v>
      </c>
      <c r="E354" s="15"/>
    </row>
    <row r="355" spans="1:5" s="13" customFormat="1" x14ac:dyDescent="0.2">
      <c r="A355" s="284" t="s">
        <v>1327</v>
      </c>
      <c r="B355" s="284" t="s">
        <v>1337</v>
      </c>
      <c r="C355" s="284" t="s">
        <v>1338</v>
      </c>
      <c r="D355" s="284" t="s">
        <v>1339</v>
      </c>
      <c r="E355" s="15"/>
    </row>
    <row r="356" spans="1:5" s="13" customFormat="1" x14ac:dyDescent="0.2">
      <c r="A356" s="284" t="s">
        <v>1327</v>
      </c>
      <c r="B356" s="284" t="s">
        <v>1312</v>
      </c>
      <c r="C356" s="284" t="s">
        <v>1340</v>
      </c>
      <c r="D356" s="284" t="s">
        <v>1341</v>
      </c>
      <c r="E356" s="15"/>
    </row>
    <row r="357" spans="1:5" s="13" customFormat="1" x14ac:dyDescent="0.2">
      <c r="A357" s="284" t="s">
        <v>1327</v>
      </c>
      <c r="B357" s="284" t="s">
        <v>1342</v>
      </c>
      <c r="C357" s="284" t="s">
        <v>1343</v>
      </c>
      <c r="D357" s="284" t="s">
        <v>1344</v>
      </c>
      <c r="E357" s="15"/>
    </row>
    <row r="358" spans="1:5" s="13" customFormat="1" x14ac:dyDescent="0.2">
      <c r="A358" s="284" t="s">
        <v>1327</v>
      </c>
      <c r="B358" s="284" t="s">
        <v>1318</v>
      </c>
      <c r="C358" s="284" t="s">
        <v>1345</v>
      </c>
      <c r="D358" s="284" t="s">
        <v>1346</v>
      </c>
      <c r="E358" s="15"/>
    </row>
    <row r="359" spans="1:5" s="13" customFormat="1" x14ac:dyDescent="0.2">
      <c r="A359" s="284" t="s">
        <v>1327</v>
      </c>
      <c r="B359" s="284" t="s">
        <v>1084</v>
      </c>
      <c r="C359" s="284" t="s">
        <v>1060</v>
      </c>
      <c r="D359" s="284" t="s">
        <v>1061</v>
      </c>
      <c r="E359" s="15"/>
    </row>
    <row r="360" spans="1:5" s="13" customFormat="1" x14ac:dyDescent="0.2">
      <c r="A360" s="284" t="s">
        <v>1327</v>
      </c>
      <c r="B360" s="284" t="s">
        <v>1033</v>
      </c>
      <c r="C360" s="284" t="s">
        <v>825</v>
      </c>
      <c r="D360" s="284" t="s">
        <v>826</v>
      </c>
      <c r="E360" s="15"/>
    </row>
    <row r="361" spans="1:5" s="13" customFormat="1" x14ac:dyDescent="0.2">
      <c r="A361" s="284" t="s">
        <v>1327</v>
      </c>
      <c r="B361" s="284" t="s">
        <v>1034</v>
      </c>
      <c r="C361" s="284" t="s">
        <v>827</v>
      </c>
      <c r="D361" s="284" t="s">
        <v>828</v>
      </c>
      <c r="E361" s="15"/>
    </row>
    <row r="362" spans="1:5" x14ac:dyDescent="0.2">
      <c r="E362" s="4"/>
    </row>
    <row r="363" spans="1:5" x14ac:dyDescent="0.2">
      <c r="A363" t="s">
        <v>1347</v>
      </c>
      <c r="B363">
        <v>1</v>
      </c>
      <c r="C363" t="s">
        <v>1348</v>
      </c>
      <c r="D363" t="s">
        <v>1349</v>
      </c>
      <c r="E363" s="4"/>
    </row>
    <row r="364" spans="1:5" x14ac:dyDescent="0.2">
      <c r="A364" t="s">
        <v>1347</v>
      </c>
      <c r="B364">
        <v>2</v>
      </c>
      <c r="C364" t="s">
        <v>1350</v>
      </c>
      <c r="D364" t="s">
        <v>1351</v>
      </c>
      <c r="E364" s="4"/>
    </row>
    <row r="365" spans="1:5" x14ac:dyDescent="0.2">
      <c r="A365" t="s">
        <v>1347</v>
      </c>
      <c r="B365">
        <v>3</v>
      </c>
      <c r="C365" t="s">
        <v>1352</v>
      </c>
      <c r="D365" t="s">
        <v>1353</v>
      </c>
      <c r="E365" s="4"/>
    </row>
    <row r="366" spans="1:5" x14ac:dyDescent="0.2">
      <c r="A366" t="s">
        <v>1347</v>
      </c>
      <c r="B366">
        <v>4</v>
      </c>
      <c r="C366" t="s">
        <v>1354</v>
      </c>
      <c r="D366" t="s">
        <v>1355</v>
      </c>
      <c r="E366" s="4"/>
    </row>
    <row r="367" spans="1:5" x14ac:dyDescent="0.2">
      <c r="A367" t="s">
        <v>1347</v>
      </c>
      <c r="B367">
        <v>5</v>
      </c>
      <c r="C367" t="s">
        <v>1060</v>
      </c>
      <c r="D367" t="s">
        <v>1061</v>
      </c>
      <c r="E367" s="4"/>
    </row>
    <row r="368" spans="1:5" x14ac:dyDescent="0.2">
      <c r="A368" t="s">
        <v>1347</v>
      </c>
      <c r="B368" s="283">
        <v>6</v>
      </c>
      <c r="C368" t="s">
        <v>825</v>
      </c>
      <c r="D368" t="s">
        <v>826</v>
      </c>
      <c r="E368" s="4"/>
    </row>
    <row r="369" spans="1:6" x14ac:dyDescent="0.2">
      <c r="A369" t="s">
        <v>1347</v>
      </c>
      <c r="B369" s="283">
        <v>7</v>
      </c>
      <c r="C369" t="s">
        <v>827</v>
      </c>
      <c r="D369" t="s">
        <v>828</v>
      </c>
      <c r="E369" s="4"/>
    </row>
    <row r="370" spans="1:6" x14ac:dyDescent="0.2">
      <c r="E370" s="4"/>
    </row>
    <row r="371" spans="1:6" x14ac:dyDescent="0.2">
      <c r="A371" t="s">
        <v>1356</v>
      </c>
      <c r="B371" t="s">
        <v>1147</v>
      </c>
      <c r="C371" t="s">
        <v>1148</v>
      </c>
      <c r="D371" t="s">
        <v>1149</v>
      </c>
      <c r="E371" s="4"/>
      <c r="F371" s="13"/>
    </row>
    <row r="372" spans="1:6" x14ac:dyDescent="0.2">
      <c r="A372" t="s">
        <v>1356</v>
      </c>
      <c r="B372" t="s">
        <v>1150</v>
      </c>
      <c r="C372" t="s">
        <v>1357</v>
      </c>
      <c r="D372" t="s">
        <v>1358</v>
      </c>
      <c r="E372" s="4"/>
      <c r="F372" s="13"/>
    </row>
    <row r="373" spans="1:6" x14ac:dyDescent="0.2">
      <c r="A373" t="s">
        <v>1356</v>
      </c>
      <c r="B373" t="s">
        <v>1153</v>
      </c>
      <c r="C373" t="s">
        <v>1359</v>
      </c>
      <c r="D373" t="s">
        <v>1360</v>
      </c>
      <c r="E373" s="4"/>
      <c r="F373" s="13"/>
    </row>
    <row r="374" spans="1:6" x14ac:dyDescent="0.2">
      <c r="A374" t="s">
        <v>1356</v>
      </c>
      <c r="B374" t="s">
        <v>1156</v>
      </c>
      <c r="C374" t="s">
        <v>1361</v>
      </c>
      <c r="D374" t="s">
        <v>1362</v>
      </c>
      <c r="E374" s="4"/>
      <c r="F374" s="13"/>
    </row>
    <row r="375" spans="1:6" x14ac:dyDescent="0.2">
      <c r="A375" t="s">
        <v>1356</v>
      </c>
      <c r="B375" t="s">
        <v>1363</v>
      </c>
      <c r="C375" t="s">
        <v>1160</v>
      </c>
      <c r="D375" t="s">
        <v>1283</v>
      </c>
      <c r="E375" s="4"/>
      <c r="F375" s="13"/>
    </row>
    <row r="376" spans="1:6" x14ac:dyDescent="0.2">
      <c r="A376" t="s">
        <v>1356</v>
      </c>
      <c r="B376" t="s">
        <v>1162</v>
      </c>
      <c r="C376" t="s">
        <v>1364</v>
      </c>
      <c r="D376" t="s">
        <v>1365</v>
      </c>
      <c r="E376" s="4"/>
      <c r="F376" s="13"/>
    </row>
    <row r="377" spans="1:6" x14ac:dyDescent="0.2">
      <c r="A377" t="s">
        <v>1356</v>
      </c>
      <c r="B377" t="s">
        <v>1165</v>
      </c>
      <c r="C377" t="s">
        <v>1366</v>
      </c>
      <c r="D377" t="s">
        <v>1167</v>
      </c>
      <c r="E377" s="4"/>
      <c r="F377" s="13"/>
    </row>
    <row r="378" spans="1:6" x14ac:dyDescent="0.2">
      <c r="A378" t="s">
        <v>1356</v>
      </c>
      <c r="B378" t="s">
        <v>1084</v>
      </c>
      <c r="C378" t="s">
        <v>1085</v>
      </c>
      <c r="D378" t="s">
        <v>1367</v>
      </c>
      <c r="E378" s="4"/>
    </row>
    <row r="379" spans="1:6" x14ac:dyDescent="0.2">
      <c r="A379" t="s">
        <v>1356</v>
      </c>
      <c r="B379" t="s">
        <v>1033</v>
      </c>
      <c r="C379" t="s">
        <v>825</v>
      </c>
      <c r="D379" t="s">
        <v>826</v>
      </c>
      <c r="E379" s="4"/>
    </row>
    <row r="380" spans="1:6" x14ac:dyDescent="0.2">
      <c r="A380" t="s">
        <v>1356</v>
      </c>
      <c r="B380" t="s">
        <v>1034</v>
      </c>
      <c r="C380" t="s">
        <v>827</v>
      </c>
      <c r="D380" t="s">
        <v>828</v>
      </c>
      <c r="E380" s="4"/>
    </row>
    <row r="381" spans="1:6" x14ac:dyDescent="0.2">
      <c r="E381" s="4"/>
    </row>
    <row r="382" spans="1:6" x14ac:dyDescent="0.2">
      <c r="A382" t="s">
        <v>1368</v>
      </c>
      <c r="B382">
        <v>1</v>
      </c>
      <c r="C382" t="s">
        <v>1369</v>
      </c>
      <c r="D382" t="s">
        <v>1370</v>
      </c>
      <c r="E382" s="4"/>
    </row>
    <row r="383" spans="1:6" x14ac:dyDescent="0.2">
      <c r="A383" t="s">
        <v>1368</v>
      </c>
      <c r="B383">
        <v>2</v>
      </c>
      <c r="C383" t="s">
        <v>1371</v>
      </c>
      <c r="D383" t="s">
        <v>1372</v>
      </c>
      <c r="E383" s="4"/>
    </row>
    <row r="384" spans="1:6" x14ac:dyDescent="0.2">
      <c r="A384" t="s">
        <v>1368</v>
      </c>
      <c r="B384">
        <v>3</v>
      </c>
      <c r="C384" t="s">
        <v>1373</v>
      </c>
      <c r="D384" t="s">
        <v>1374</v>
      </c>
      <c r="E384" s="4"/>
    </row>
    <row r="385" spans="1:5" x14ac:dyDescent="0.2">
      <c r="A385" t="s">
        <v>1368</v>
      </c>
      <c r="B385">
        <v>4</v>
      </c>
      <c r="C385" t="s">
        <v>1375</v>
      </c>
      <c r="D385" t="s">
        <v>826</v>
      </c>
      <c r="E385" s="4"/>
    </row>
    <row r="386" spans="1:5" x14ac:dyDescent="0.2">
      <c r="A386" t="s">
        <v>1368</v>
      </c>
      <c r="B386" s="283">
        <v>5</v>
      </c>
      <c r="C386" t="s">
        <v>827</v>
      </c>
      <c r="D386" t="s">
        <v>828</v>
      </c>
      <c r="E386" s="4"/>
    </row>
    <row r="387" spans="1:5" x14ac:dyDescent="0.2">
      <c r="E387" s="4"/>
    </row>
    <row r="388" spans="1:5" x14ac:dyDescent="0.2">
      <c r="A388" t="s">
        <v>1376</v>
      </c>
      <c r="B388">
        <v>1</v>
      </c>
      <c r="C388" t="s">
        <v>821</v>
      </c>
      <c r="D388" t="s">
        <v>822</v>
      </c>
      <c r="E388" s="4"/>
    </row>
    <row r="389" spans="1:5" x14ac:dyDescent="0.2">
      <c r="A389" t="s">
        <v>1376</v>
      </c>
      <c r="B389">
        <v>2</v>
      </c>
      <c r="C389" t="s">
        <v>1377</v>
      </c>
      <c r="D389" t="s">
        <v>1378</v>
      </c>
      <c r="E389" s="4"/>
    </row>
    <row r="390" spans="1:5" x14ac:dyDescent="0.2">
      <c r="A390" t="s">
        <v>1376</v>
      </c>
      <c r="B390">
        <v>3</v>
      </c>
      <c r="C390" t="s">
        <v>1379</v>
      </c>
      <c r="D390" t="s">
        <v>1380</v>
      </c>
      <c r="E390" s="4"/>
    </row>
    <row r="391" spans="1:5" x14ac:dyDescent="0.2">
      <c r="A391" t="s">
        <v>1376</v>
      </c>
      <c r="B391">
        <v>4</v>
      </c>
      <c r="C391" t="s">
        <v>1381</v>
      </c>
      <c r="D391" t="s">
        <v>1382</v>
      </c>
      <c r="E391" s="4"/>
    </row>
    <row r="392" spans="1:5" x14ac:dyDescent="0.2">
      <c r="A392" t="s">
        <v>1376</v>
      </c>
      <c r="B392" s="283">
        <v>5</v>
      </c>
      <c r="C392" t="s">
        <v>825</v>
      </c>
      <c r="D392" t="s">
        <v>826</v>
      </c>
      <c r="E392" s="4"/>
    </row>
    <row r="393" spans="1:5" x14ac:dyDescent="0.2">
      <c r="A393" t="s">
        <v>1376</v>
      </c>
      <c r="B393" s="283">
        <v>6</v>
      </c>
      <c r="C393" t="s">
        <v>827</v>
      </c>
      <c r="D393" t="s">
        <v>828</v>
      </c>
      <c r="E393" s="4"/>
    </row>
    <row r="394" spans="1:5" x14ac:dyDescent="0.2">
      <c r="E394" s="4"/>
    </row>
    <row r="395" spans="1:5" x14ac:dyDescent="0.2">
      <c r="A395" t="s">
        <v>670</v>
      </c>
      <c r="B395" t="s">
        <v>1383</v>
      </c>
      <c r="C395" s="341" t="s">
        <v>1384</v>
      </c>
      <c r="D395" s="341" t="s">
        <v>1385</v>
      </c>
      <c r="E395" s="4"/>
    </row>
    <row r="396" spans="1:5" x14ac:dyDescent="0.2">
      <c r="A396" t="s">
        <v>670</v>
      </c>
      <c r="B396" t="s">
        <v>1386</v>
      </c>
      <c r="C396" s="341" t="s">
        <v>1387</v>
      </c>
      <c r="D396" s="341" t="s">
        <v>1388</v>
      </c>
      <c r="E396" s="4"/>
    </row>
    <row r="397" spans="1:5" x14ac:dyDescent="0.2">
      <c r="A397" t="s">
        <v>670</v>
      </c>
      <c r="B397" t="s">
        <v>1389</v>
      </c>
      <c r="C397" s="341" t="s">
        <v>1390</v>
      </c>
      <c r="D397" s="341" t="s">
        <v>1391</v>
      </c>
      <c r="E397" s="4"/>
    </row>
    <row r="398" spans="1:5" x14ac:dyDescent="0.2">
      <c r="A398" t="s">
        <v>670</v>
      </c>
      <c r="B398" t="s">
        <v>1392</v>
      </c>
      <c r="C398" s="341" t="s">
        <v>1393</v>
      </c>
      <c r="D398" s="341" t="s">
        <v>1394</v>
      </c>
      <c r="E398" s="4"/>
    </row>
    <row r="399" spans="1:5" x14ac:dyDescent="0.2">
      <c r="A399" t="s">
        <v>670</v>
      </c>
      <c r="B399" t="s">
        <v>1395</v>
      </c>
      <c r="C399" s="341" t="s">
        <v>1396</v>
      </c>
      <c r="D399" s="341" t="s">
        <v>1397</v>
      </c>
      <c r="E399" s="4"/>
    </row>
    <row r="400" spans="1:5" x14ac:dyDescent="0.2">
      <c r="A400" t="s">
        <v>670</v>
      </c>
      <c r="B400" t="s">
        <v>1398</v>
      </c>
      <c r="C400" s="341" t="s">
        <v>1272</v>
      </c>
      <c r="D400" s="341" t="s">
        <v>1273</v>
      </c>
      <c r="E400" s="4"/>
    </row>
    <row r="401" spans="1:6" x14ac:dyDescent="0.2">
      <c r="A401" t="s">
        <v>670</v>
      </c>
      <c r="B401" t="s">
        <v>1399</v>
      </c>
      <c r="C401" s="341" t="s">
        <v>1400</v>
      </c>
      <c r="D401" s="341" t="s">
        <v>1401</v>
      </c>
      <c r="E401" s="4"/>
    </row>
    <row r="402" spans="1:6" x14ac:dyDescent="0.2">
      <c r="A402" t="s">
        <v>670</v>
      </c>
      <c r="B402" t="s">
        <v>1402</v>
      </c>
      <c r="C402" s="341" t="s">
        <v>1403</v>
      </c>
      <c r="D402" s="341" t="s">
        <v>1404</v>
      </c>
      <c r="E402" s="4"/>
    </row>
    <row r="403" spans="1:6" x14ac:dyDescent="0.2">
      <c r="A403" t="s">
        <v>670</v>
      </c>
      <c r="B403" t="s">
        <v>1405</v>
      </c>
      <c r="C403" s="341" t="s">
        <v>1406</v>
      </c>
      <c r="D403" s="341" t="s">
        <v>1407</v>
      </c>
      <c r="E403" s="4"/>
    </row>
    <row r="404" spans="1:6" x14ac:dyDescent="0.2">
      <c r="A404" t="s">
        <v>670</v>
      </c>
      <c r="B404" t="s">
        <v>1408</v>
      </c>
      <c r="C404" s="341" t="s">
        <v>1409</v>
      </c>
      <c r="D404" s="341" t="s">
        <v>1410</v>
      </c>
      <c r="E404" s="4"/>
    </row>
    <row r="405" spans="1:6" x14ac:dyDescent="0.2">
      <c r="A405" t="s">
        <v>670</v>
      </c>
      <c r="B405" t="s">
        <v>1411</v>
      </c>
      <c r="C405" s="341" t="s">
        <v>1412</v>
      </c>
      <c r="D405" s="341" t="s">
        <v>1413</v>
      </c>
      <c r="E405" s="4"/>
    </row>
    <row r="406" spans="1:6" x14ac:dyDescent="0.2">
      <c r="A406" t="s">
        <v>670</v>
      </c>
      <c r="B406" t="s">
        <v>1414</v>
      </c>
      <c r="C406" s="341" t="s">
        <v>1415</v>
      </c>
      <c r="D406" s="341" t="s">
        <v>1416</v>
      </c>
      <c r="E406" s="4"/>
    </row>
    <row r="407" spans="1:6" x14ac:dyDescent="0.2">
      <c r="E407" s="4"/>
    </row>
    <row r="408" spans="1:6" x14ac:dyDescent="0.2">
      <c r="A408" t="s">
        <v>1417</v>
      </c>
      <c r="B408" t="s">
        <v>1418</v>
      </c>
      <c r="C408" t="s">
        <v>1419</v>
      </c>
      <c r="D408" t="s">
        <v>1420</v>
      </c>
      <c r="E408" s="4"/>
      <c r="F408" s="13"/>
    </row>
    <row r="409" spans="1:6" x14ac:dyDescent="0.2">
      <c r="A409" t="s">
        <v>1417</v>
      </c>
      <c r="B409" t="s">
        <v>1421</v>
      </c>
      <c r="C409" t="s">
        <v>1422</v>
      </c>
      <c r="D409" t="s">
        <v>1423</v>
      </c>
      <c r="E409" s="4"/>
      <c r="F409" s="13"/>
    </row>
    <row r="410" spans="1:6" x14ac:dyDescent="0.2">
      <c r="A410" t="s">
        <v>1417</v>
      </c>
      <c r="B410" t="s">
        <v>1424</v>
      </c>
      <c r="C410" t="s">
        <v>1425</v>
      </c>
      <c r="D410" t="s">
        <v>1426</v>
      </c>
      <c r="E410" s="4"/>
      <c r="F410" s="13"/>
    </row>
    <row r="411" spans="1:6" x14ac:dyDescent="0.2">
      <c r="A411" t="s">
        <v>1417</v>
      </c>
      <c r="B411" t="s">
        <v>1427</v>
      </c>
      <c r="C411" t="s">
        <v>1428</v>
      </c>
      <c r="D411" t="s">
        <v>1429</v>
      </c>
      <c r="E411" s="4"/>
      <c r="F411" s="13"/>
    </row>
    <row r="412" spans="1:6" x14ac:dyDescent="0.2">
      <c r="A412" t="s">
        <v>1417</v>
      </c>
      <c r="B412" t="s">
        <v>1430</v>
      </c>
      <c r="C412" t="s">
        <v>1431</v>
      </c>
      <c r="D412" t="s">
        <v>1432</v>
      </c>
      <c r="E412" s="4"/>
      <c r="F412" s="13"/>
    </row>
    <row r="413" spans="1:6" x14ac:dyDescent="0.2">
      <c r="A413" t="s">
        <v>1417</v>
      </c>
      <c r="B413" t="s">
        <v>1433</v>
      </c>
      <c r="C413" t="s">
        <v>1434</v>
      </c>
      <c r="D413" t="s">
        <v>1435</v>
      </c>
      <c r="E413" s="4"/>
      <c r="F413" s="13"/>
    </row>
    <row r="414" spans="1:6" x14ac:dyDescent="0.2">
      <c r="A414" t="s">
        <v>1417</v>
      </c>
      <c r="B414" t="s">
        <v>448</v>
      </c>
      <c r="C414" t="s">
        <v>1436</v>
      </c>
      <c r="D414" t="s">
        <v>1437</v>
      </c>
      <c r="E414" s="4"/>
      <c r="F414" s="13"/>
    </row>
    <row r="415" spans="1:6" x14ac:dyDescent="0.2">
      <c r="A415" t="s">
        <v>1417</v>
      </c>
      <c r="B415" t="s">
        <v>1438</v>
      </c>
      <c r="C415" t="s">
        <v>1439</v>
      </c>
      <c r="D415" t="s">
        <v>1440</v>
      </c>
      <c r="E415" s="4"/>
      <c r="F415" s="13"/>
    </row>
    <row r="416" spans="1:6" x14ac:dyDescent="0.2">
      <c r="A416" t="s">
        <v>1417</v>
      </c>
      <c r="B416" t="s">
        <v>1441</v>
      </c>
      <c r="C416" t="s">
        <v>1442</v>
      </c>
      <c r="D416" t="s">
        <v>1443</v>
      </c>
      <c r="E416" s="4"/>
      <c r="F416" s="13"/>
    </row>
    <row r="417" spans="1:6" x14ac:dyDescent="0.2">
      <c r="A417" t="s">
        <v>1417</v>
      </c>
      <c r="B417" t="s">
        <v>1444</v>
      </c>
      <c r="C417" t="s">
        <v>1445</v>
      </c>
      <c r="D417" t="s">
        <v>1446</v>
      </c>
      <c r="E417" s="4"/>
      <c r="F417" s="13"/>
    </row>
    <row r="418" spans="1:6" x14ac:dyDescent="0.2">
      <c r="A418" t="s">
        <v>1417</v>
      </c>
      <c r="B418" t="s">
        <v>1447</v>
      </c>
      <c r="C418" t="s">
        <v>1448</v>
      </c>
      <c r="D418" t="s">
        <v>1449</v>
      </c>
      <c r="E418" s="4"/>
      <c r="F418" s="13"/>
    </row>
    <row r="419" spans="1:6" x14ac:dyDescent="0.2">
      <c r="A419" t="s">
        <v>1417</v>
      </c>
      <c r="B419" t="s">
        <v>1450</v>
      </c>
      <c r="C419" t="s">
        <v>1451</v>
      </c>
      <c r="D419" t="s">
        <v>1452</v>
      </c>
      <c r="E419" s="4"/>
      <c r="F419" s="13"/>
    </row>
    <row r="420" spans="1:6" x14ac:dyDescent="0.2">
      <c r="A420" t="s">
        <v>1417</v>
      </c>
      <c r="B420" t="s">
        <v>1453</v>
      </c>
      <c r="C420" t="s">
        <v>1454</v>
      </c>
      <c r="D420" t="s">
        <v>1455</v>
      </c>
      <c r="E420" s="4"/>
      <c r="F420" s="13"/>
    </row>
    <row r="421" spans="1:6" x14ac:dyDescent="0.2">
      <c r="A421" t="s">
        <v>1417</v>
      </c>
      <c r="B421" t="s">
        <v>1456</v>
      </c>
      <c r="C421" t="s">
        <v>1457</v>
      </c>
      <c r="D421" t="s">
        <v>1458</v>
      </c>
      <c r="E421" s="4"/>
      <c r="F421" s="13"/>
    </row>
    <row r="422" spans="1:6" x14ac:dyDescent="0.2">
      <c r="A422" t="s">
        <v>1417</v>
      </c>
      <c r="B422" t="s">
        <v>1459</v>
      </c>
      <c r="C422" t="s">
        <v>1460</v>
      </c>
      <c r="D422" t="s">
        <v>1461</v>
      </c>
      <c r="E422" s="4"/>
      <c r="F422" s="13"/>
    </row>
    <row r="423" spans="1:6" x14ac:dyDescent="0.2">
      <c r="A423" t="s">
        <v>1417</v>
      </c>
      <c r="B423" t="s">
        <v>1462</v>
      </c>
      <c r="C423" t="s">
        <v>1463</v>
      </c>
      <c r="D423" t="s">
        <v>1464</v>
      </c>
      <c r="E423" s="4"/>
      <c r="F423" s="13"/>
    </row>
    <row r="424" spans="1:6" x14ac:dyDescent="0.2">
      <c r="A424" t="s">
        <v>1417</v>
      </c>
      <c r="B424" t="s">
        <v>1084</v>
      </c>
      <c r="C424" t="s">
        <v>1060</v>
      </c>
      <c r="D424" t="s">
        <v>1061</v>
      </c>
      <c r="E424" s="4"/>
    </row>
    <row r="425" spans="1:6" x14ac:dyDescent="0.2">
      <c r="A425" t="s">
        <v>1417</v>
      </c>
      <c r="B425" t="s">
        <v>1033</v>
      </c>
      <c r="C425" t="s">
        <v>825</v>
      </c>
      <c r="D425" t="s">
        <v>826</v>
      </c>
      <c r="E425" s="4"/>
    </row>
    <row r="426" spans="1:6" x14ac:dyDescent="0.2">
      <c r="A426" t="s">
        <v>1417</v>
      </c>
      <c r="B426" t="s">
        <v>1034</v>
      </c>
      <c r="C426" t="s">
        <v>827</v>
      </c>
      <c r="D426" t="s">
        <v>828</v>
      </c>
      <c r="E426" s="4"/>
    </row>
    <row r="427" spans="1:6" x14ac:dyDescent="0.2">
      <c r="E427" s="4"/>
    </row>
    <row r="428" spans="1:6" x14ac:dyDescent="0.2">
      <c r="A428" t="s">
        <v>1465</v>
      </c>
      <c r="B428" t="s">
        <v>1418</v>
      </c>
      <c r="C428" t="s">
        <v>1419</v>
      </c>
      <c r="D428" t="s">
        <v>1466</v>
      </c>
      <c r="E428" s="4"/>
      <c r="F428" s="13"/>
    </row>
    <row r="429" spans="1:6" x14ac:dyDescent="0.2">
      <c r="A429" t="s">
        <v>1465</v>
      </c>
      <c r="B429" t="s">
        <v>1421</v>
      </c>
      <c r="C429" t="s">
        <v>1467</v>
      </c>
      <c r="D429" t="s">
        <v>1468</v>
      </c>
      <c r="E429" s="4"/>
      <c r="F429" s="13"/>
    </row>
    <row r="430" spans="1:6" x14ac:dyDescent="0.2">
      <c r="A430" t="s">
        <v>1465</v>
      </c>
      <c r="B430" t="s">
        <v>1424</v>
      </c>
      <c r="C430" t="s">
        <v>1469</v>
      </c>
      <c r="D430" t="s">
        <v>1470</v>
      </c>
      <c r="E430" s="4"/>
      <c r="F430" s="13"/>
    </row>
    <row r="431" spans="1:6" x14ac:dyDescent="0.2">
      <c r="A431" t="s">
        <v>1465</v>
      </c>
      <c r="B431" t="s">
        <v>1471</v>
      </c>
      <c r="C431" t="s">
        <v>1472</v>
      </c>
      <c r="D431" t="s">
        <v>1473</v>
      </c>
      <c r="E431" s="4"/>
      <c r="F431" s="13"/>
    </row>
    <row r="432" spans="1:6" x14ac:dyDescent="0.2">
      <c r="A432" t="s">
        <v>1465</v>
      </c>
      <c r="B432" t="s">
        <v>1474</v>
      </c>
      <c r="C432" t="s">
        <v>1475</v>
      </c>
      <c r="D432" t="s">
        <v>1476</v>
      </c>
      <c r="E432" s="4"/>
      <c r="F432" s="13"/>
    </row>
    <row r="433" spans="1:6" x14ac:dyDescent="0.2">
      <c r="A433" t="s">
        <v>1465</v>
      </c>
      <c r="B433" t="s">
        <v>1477</v>
      </c>
      <c r="C433" t="s">
        <v>1478</v>
      </c>
      <c r="D433" t="s">
        <v>1479</v>
      </c>
      <c r="E433" s="4"/>
      <c r="F433" s="13"/>
    </row>
    <row r="434" spans="1:6" x14ac:dyDescent="0.2">
      <c r="A434" t="s">
        <v>1465</v>
      </c>
      <c r="B434" t="s">
        <v>1480</v>
      </c>
      <c r="C434" t="s">
        <v>1457</v>
      </c>
      <c r="D434" t="s">
        <v>1481</v>
      </c>
      <c r="E434" s="4"/>
      <c r="F434" s="13"/>
    </row>
    <row r="435" spans="1:6" x14ac:dyDescent="0.2">
      <c r="A435" t="s">
        <v>1465</v>
      </c>
      <c r="B435" t="s">
        <v>1482</v>
      </c>
      <c r="C435" t="s">
        <v>1463</v>
      </c>
      <c r="D435" t="s">
        <v>1483</v>
      </c>
      <c r="E435" s="4"/>
      <c r="F435" s="13"/>
    </row>
    <row r="436" spans="1:6" x14ac:dyDescent="0.2">
      <c r="A436" t="s">
        <v>1465</v>
      </c>
      <c r="B436" t="s">
        <v>1084</v>
      </c>
      <c r="C436" t="s">
        <v>1060</v>
      </c>
      <c r="D436" t="s">
        <v>1061</v>
      </c>
      <c r="E436" s="4"/>
      <c r="F436" s="13"/>
    </row>
    <row r="437" spans="1:6" x14ac:dyDescent="0.2">
      <c r="A437" t="s">
        <v>1465</v>
      </c>
      <c r="B437" t="s">
        <v>1484</v>
      </c>
      <c r="C437" t="s">
        <v>1485</v>
      </c>
      <c r="D437" t="s">
        <v>1486</v>
      </c>
      <c r="E437" s="4"/>
      <c r="F437" s="13"/>
    </row>
    <row r="438" spans="1:6" x14ac:dyDescent="0.2">
      <c r="A438" t="s">
        <v>1465</v>
      </c>
      <c r="B438" t="s">
        <v>1033</v>
      </c>
      <c r="C438" t="s">
        <v>1375</v>
      </c>
      <c r="D438" t="s">
        <v>826</v>
      </c>
      <c r="E438" s="4"/>
    </row>
    <row r="439" spans="1:6" x14ac:dyDescent="0.2">
      <c r="A439" t="s">
        <v>1465</v>
      </c>
      <c r="B439" t="s">
        <v>1034</v>
      </c>
      <c r="C439" t="s">
        <v>827</v>
      </c>
      <c r="D439" t="s">
        <v>828</v>
      </c>
      <c r="E439" s="4"/>
    </row>
    <row r="440" spans="1:6" x14ac:dyDescent="0.2">
      <c r="E440" s="4"/>
    </row>
    <row r="441" spans="1:6" x14ac:dyDescent="0.2">
      <c r="A441" t="s">
        <v>1487</v>
      </c>
      <c r="B441">
        <v>1</v>
      </c>
      <c r="C441" t="s">
        <v>821</v>
      </c>
      <c r="D441" t="s">
        <v>822</v>
      </c>
      <c r="E441" s="4"/>
      <c r="F441" s="13"/>
    </row>
    <row r="442" spans="1:6" x14ac:dyDescent="0.2">
      <c r="A442" t="s">
        <v>1487</v>
      </c>
      <c r="B442">
        <v>2</v>
      </c>
      <c r="C442" t="s">
        <v>1488</v>
      </c>
      <c r="D442" t="s">
        <v>1489</v>
      </c>
      <c r="E442" s="4"/>
      <c r="F442" s="13"/>
    </row>
    <row r="443" spans="1:6" x14ac:dyDescent="0.2">
      <c r="A443" t="s">
        <v>1487</v>
      </c>
      <c r="B443">
        <v>3</v>
      </c>
      <c r="C443" t="s">
        <v>1490</v>
      </c>
      <c r="D443" t="s">
        <v>1491</v>
      </c>
      <c r="E443" s="4"/>
      <c r="F443" s="13"/>
    </row>
    <row r="444" spans="1:6" x14ac:dyDescent="0.2">
      <c r="A444" t="s">
        <v>1487</v>
      </c>
      <c r="B444">
        <v>4</v>
      </c>
      <c r="C444" t="s">
        <v>1492</v>
      </c>
      <c r="D444" t="s">
        <v>1493</v>
      </c>
      <c r="E444" s="4"/>
      <c r="F444" s="13"/>
    </row>
    <row r="445" spans="1:6" x14ac:dyDescent="0.2">
      <c r="A445" t="s">
        <v>1487</v>
      </c>
      <c r="B445">
        <v>5</v>
      </c>
      <c r="C445" t="s">
        <v>1494</v>
      </c>
      <c r="D445" t="s">
        <v>1495</v>
      </c>
      <c r="E445" s="4"/>
      <c r="F445" s="13"/>
    </row>
    <row r="446" spans="1:6" x14ac:dyDescent="0.2">
      <c r="A446" t="s">
        <v>1487</v>
      </c>
      <c r="B446">
        <v>6</v>
      </c>
      <c r="C446" t="s">
        <v>1496</v>
      </c>
      <c r="D446" t="s">
        <v>1497</v>
      </c>
      <c r="E446" s="4"/>
      <c r="F446" s="13"/>
    </row>
    <row r="447" spans="1:6" x14ac:dyDescent="0.2">
      <c r="A447" t="s">
        <v>1487</v>
      </c>
      <c r="B447">
        <v>7</v>
      </c>
      <c r="C447" t="s">
        <v>825</v>
      </c>
      <c r="D447" t="s">
        <v>826</v>
      </c>
      <c r="E447" s="4"/>
      <c r="F447" s="13"/>
    </row>
    <row r="448" spans="1:6" x14ac:dyDescent="0.2">
      <c r="A448" t="s">
        <v>1487</v>
      </c>
      <c r="B448">
        <v>8</v>
      </c>
      <c r="C448" t="s">
        <v>827</v>
      </c>
      <c r="D448" t="s">
        <v>828</v>
      </c>
      <c r="E448" s="4"/>
      <c r="F448" s="13"/>
    </row>
    <row r="449" spans="1:6" x14ac:dyDescent="0.2">
      <c r="E449" s="4"/>
      <c r="F449" s="13"/>
    </row>
    <row r="450" spans="1:6" x14ac:dyDescent="0.2">
      <c r="A450" t="s">
        <v>1498</v>
      </c>
      <c r="B450" t="s">
        <v>1499</v>
      </c>
      <c r="C450" t="s">
        <v>1500</v>
      </c>
      <c r="D450" t="s">
        <v>1501</v>
      </c>
      <c r="E450" s="4"/>
      <c r="F450" s="13"/>
    </row>
    <row r="451" spans="1:6" x14ac:dyDescent="0.2">
      <c r="A451" t="s">
        <v>1498</v>
      </c>
      <c r="B451" t="s">
        <v>1502</v>
      </c>
      <c r="C451" t="s">
        <v>1503</v>
      </c>
      <c r="D451" t="s">
        <v>1504</v>
      </c>
      <c r="E451" s="4"/>
      <c r="F451" s="13"/>
    </row>
    <row r="452" spans="1:6" x14ac:dyDescent="0.2">
      <c r="A452" t="s">
        <v>1498</v>
      </c>
      <c r="B452" t="s">
        <v>1505</v>
      </c>
      <c r="C452" t="s">
        <v>1506</v>
      </c>
      <c r="D452" t="s">
        <v>1507</v>
      </c>
      <c r="E452" s="4"/>
      <c r="F452" s="13"/>
    </row>
    <row r="453" spans="1:6" x14ac:dyDescent="0.2">
      <c r="A453" t="s">
        <v>1498</v>
      </c>
      <c r="B453" t="s">
        <v>1078</v>
      </c>
      <c r="C453" t="s">
        <v>1508</v>
      </c>
      <c r="D453" t="s">
        <v>1509</v>
      </c>
      <c r="E453" s="4"/>
      <c r="F453" s="13"/>
    </row>
    <row r="454" spans="1:6" x14ac:dyDescent="0.2">
      <c r="A454" t="s">
        <v>1498</v>
      </c>
      <c r="B454" t="s">
        <v>1072</v>
      </c>
      <c r="C454" t="s">
        <v>1510</v>
      </c>
      <c r="D454" t="s">
        <v>1511</v>
      </c>
      <c r="E454" s="4"/>
      <c r="F454" s="13"/>
    </row>
    <row r="455" spans="1:6" x14ac:dyDescent="0.2">
      <c r="A455" t="s">
        <v>1498</v>
      </c>
      <c r="B455" t="s">
        <v>1033</v>
      </c>
      <c r="C455" t="s">
        <v>825</v>
      </c>
      <c r="D455" t="s">
        <v>826</v>
      </c>
      <c r="E455" s="4"/>
      <c r="F455" s="13"/>
    </row>
    <row r="456" spans="1:6" x14ac:dyDescent="0.2">
      <c r="A456" t="s">
        <v>1498</v>
      </c>
      <c r="B456" t="s">
        <v>1034</v>
      </c>
      <c r="C456" t="s">
        <v>827</v>
      </c>
      <c r="D456" t="s">
        <v>828</v>
      </c>
      <c r="E456" s="4"/>
    </row>
    <row r="457" spans="1:6" x14ac:dyDescent="0.2">
      <c r="E457" s="4"/>
    </row>
    <row r="458" spans="1:6" x14ac:dyDescent="0.2">
      <c r="A458" s="3" t="s">
        <v>1512</v>
      </c>
      <c r="B458" s="3" t="s">
        <v>1513</v>
      </c>
      <c r="C458" s="3" t="s">
        <v>1514</v>
      </c>
      <c r="D458" s="3" t="s">
        <v>1515</v>
      </c>
      <c r="E458" s="4"/>
    </row>
    <row r="459" spans="1:6" x14ac:dyDescent="0.2">
      <c r="A459" s="3" t="s">
        <v>1512</v>
      </c>
      <c r="B459" s="3" t="s">
        <v>1516</v>
      </c>
      <c r="C459" s="3" t="s">
        <v>1517</v>
      </c>
      <c r="D459" s="3" t="s">
        <v>1518</v>
      </c>
      <c r="E459" s="4"/>
    </row>
    <row r="460" spans="1:6" x14ac:dyDescent="0.2">
      <c r="A460" s="3" t="s">
        <v>1512</v>
      </c>
      <c r="B460" s="3" t="s">
        <v>1519</v>
      </c>
      <c r="C460" s="3" t="s">
        <v>1520</v>
      </c>
      <c r="D460" s="3" t="s">
        <v>1521</v>
      </c>
      <c r="E460" s="4"/>
    </row>
    <row r="461" spans="1:6" x14ac:dyDescent="0.2">
      <c r="A461" s="3" t="s">
        <v>1512</v>
      </c>
      <c r="B461" s="3" t="s">
        <v>1522</v>
      </c>
      <c r="C461" s="3" t="s">
        <v>1523</v>
      </c>
      <c r="D461" s="3" t="s">
        <v>1524</v>
      </c>
      <c r="E461" s="4"/>
    </row>
    <row r="462" spans="1:6" x14ac:dyDescent="0.2">
      <c r="A462" s="3" t="s">
        <v>1512</v>
      </c>
      <c r="B462" s="3" t="s">
        <v>1525</v>
      </c>
      <c r="C462" s="3" t="s">
        <v>1526</v>
      </c>
      <c r="D462" s="3" t="s">
        <v>1527</v>
      </c>
      <c r="E462" s="4"/>
    </row>
    <row r="463" spans="1:6" x14ac:dyDescent="0.2">
      <c r="A463" s="3" t="s">
        <v>1512</v>
      </c>
      <c r="B463" s="3" t="s">
        <v>1528</v>
      </c>
      <c r="C463" s="3" t="s">
        <v>1529</v>
      </c>
      <c r="D463" s="3" t="s">
        <v>1530</v>
      </c>
      <c r="E463" s="4"/>
    </row>
    <row r="464" spans="1:6" x14ac:dyDescent="0.2">
      <c r="A464" s="3" t="s">
        <v>1512</v>
      </c>
      <c r="B464" s="3" t="s">
        <v>1531</v>
      </c>
      <c r="C464" s="3" t="s">
        <v>1532</v>
      </c>
      <c r="D464" s="3" t="s">
        <v>1533</v>
      </c>
      <c r="E464" s="4"/>
    </row>
    <row r="465" spans="1:8" x14ac:dyDescent="0.2">
      <c r="E465" s="4"/>
    </row>
    <row r="466" spans="1:8" x14ac:dyDescent="0.2">
      <c r="A466" t="s">
        <v>796</v>
      </c>
      <c r="B466" t="s">
        <v>1534</v>
      </c>
      <c r="C466" t="s">
        <v>1535</v>
      </c>
      <c r="D466" t="s">
        <v>1536</v>
      </c>
      <c r="E466" s="4"/>
    </row>
    <row r="467" spans="1:8" x14ac:dyDescent="0.2">
      <c r="A467" t="s">
        <v>796</v>
      </c>
      <c r="B467" t="s">
        <v>1537</v>
      </c>
      <c r="C467" t="s">
        <v>1538</v>
      </c>
      <c r="D467" t="s">
        <v>1539</v>
      </c>
      <c r="E467" s="4"/>
    </row>
    <row r="468" spans="1:8" x14ac:dyDescent="0.2">
      <c r="A468" t="s">
        <v>796</v>
      </c>
      <c r="B468" t="s">
        <v>1540</v>
      </c>
      <c r="C468" t="s">
        <v>1541</v>
      </c>
      <c r="D468" t="s">
        <v>1542</v>
      </c>
      <c r="E468" s="4"/>
    </row>
    <row r="469" spans="1:8" x14ac:dyDescent="0.2">
      <c r="E469" s="4"/>
    </row>
    <row r="470" spans="1:8" x14ac:dyDescent="0.2">
      <c r="A470" s="317" t="s">
        <v>1543</v>
      </c>
      <c r="B470" s="369">
        <v>1</v>
      </c>
      <c r="C470" s="317" t="s">
        <v>1544</v>
      </c>
      <c r="D470" s="370" t="s">
        <v>1545</v>
      </c>
      <c r="E470" s="4"/>
      <c r="F470" s="14"/>
      <c r="G470" s="14"/>
      <c r="H470" s="14"/>
    </row>
    <row r="471" spans="1:8" x14ac:dyDescent="0.2">
      <c r="A471" s="317" t="s">
        <v>1543</v>
      </c>
      <c r="B471" s="369">
        <v>2</v>
      </c>
      <c r="C471" s="317" t="s">
        <v>1546</v>
      </c>
      <c r="D471" s="370" t="s">
        <v>1547</v>
      </c>
      <c r="E471" s="4"/>
      <c r="F471" s="14"/>
      <c r="G471" s="14"/>
      <c r="H471" s="14"/>
    </row>
    <row r="472" spans="1:8" x14ac:dyDescent="0.2">
      <c r="A472" s="317" t="s">
        <v>1543</v>
      </c>
      <c r="B472" s="369">
        <v>3</v>
      </c>
      <c r="C472" s="317" t="s">
        <v>1548</v>
      </c>
      <c r="D472" s="370" t="s">
        <v>1549</v>
      </c>
      <c r="E472" s="4"/>
      <c r="F472" s="14"/>
      <c r="G472" s="14"/>
      <c r="H472" s="14"/>
    </row>
    <row r="473" spans="1:8" x14ac:dyDescent="0.2">
      <c r="A473" s="317" t="s">
        <v>1543</v>
      </c>
      <c r="B473" s="369">
        <v>4</v>
      </c>
      <c r="C473" s="317" t="s">
        <v>1550</v>
      </c>
      <c r="D473" s="371" t="s">
        <v>1551</v>
      </c>
      <c r="E473" s="4"/>
      <c r="F473" s="14"/>
      <c r="G473" s="14"/>
      <c r="H473" s="14"/>
    </row>
    <row r="474" spans="1:8" x14ac:dyDescent="0.2">
      <c r="E474" s="4"/>
    </row>
    <row r="475" spans="1:8" x14ac:dyDescent="0.2">
      <c r="A475" s="317" t="s">
        <v>1552</v>
      </c>
      <c r="B475" s="369">
        <v>1</v>
      </c>
      <c r="C475" s="317" t="s">
        <v>1553</v>
      </c>
      <c r="D475" s="370" t="s">
        <v>1554</v>
      </c>
      <c r="E475" s="4"/>
      <c r="F475" s="14"/>
      <c r="G475" s="14"/>
      <c r="H475" s="14"/>
    </row>
    <row r="476" spans="1:8" x14ac:dyDescent="0.2">
      <c r="A476" s="317" t="s">
        <v>1552</v>
      </c>
      <c r="B476" s="369">
        <v>2</v>
      </c>
      <c r="C476" s="317" t="s">
        <v>1555</v>
      </c>
      <c r="D476" s="370" t="s">
        <v>1556</v>
      </c>
      <c r="E476" s="4"/>
      <c r="F476" s="14"/>
      <c r="G476" s="14"/>
      <c r="H476" s="14"/>
    </row>
    <row r="477" spans="1:8" x14ac:dyDescent="0.2">
      <c r="A477" s="317" t="s">
        <v>1552</v>
      </c>
      <c r="B477" s="369">
        <v>3</v>
      </c>
      <c r="C477" s="317" t="s">
        <v>1557</v>
      </c>
      <c r="D477" s="370" t="s">
        <v>1558</v>
      </c>
      <c r="E477" s="4"/>
      <c r="F477" s="14"/>
      <c r="G477" s="14"/>
      <c r="H477" s="14"/>
    </row>
    <row r="478" spans="1:8" x14ac:dyDescent="0.2">
      <c r="A478" s="317" t="s">
        <v>1552</v>
      </c>
      <c r="B478" s="369">
        <v>4</v>
      </c>
      <c r="C478" s="317" t="s">
        <v>1559</v>
      </c>
      <c r="D478" s="370" t="s">
        <v>1560</v>
      </c>
      <c r="E478" s="4"/>
      <c r="F478" s="14"/>
      <c r="G478" s="14"/>
      <c r="H478" s="14"/>
    </row>
    <row r="479" spans="1:8" x14ac:dyDescent="0.2">
      <c r="E479" s="4"/>
    </row>
    <row r="480" spans="1:8" s="341" customFormat="1" ht="32" customHeight="1" x14ac:dyDescent="0.2">
      <c r="A480" s="303" t="s">
        <v>1561</v>
      </c>
      <c r="B480" s="356" t="s">
        <v>1562</v>
      </c>
      <c r="C480" s="357" t="s">
        <v>1563</v>
      </c>
      <c r="D480" s="341" t="s">
        <v>1564</v>
      </c>
      <c r="E480" s="4"/>
      <c r="F480" s="358"/>
    </row>
    <row r="481" spans="1:6" s="341" customFormat="1" ht="32" customHeight="1" x14ac:dyDescent="0.2">
      <c r="A481" s="303" t="s">
        <v>1561</v>
      </c>
      <c r="B481" s="356" t="s">
        <v>1565</v>
      </c>
      <c r="C481" s="357" t="s">
        <v>1566</v>
      </c>
      <c r="D481" s="341" t="s">
        <v>1567</v>
      </c>
      <c r="E481" s="4"/>
      <c r="F481" s="358"/>
    </row>
    <row r="482" spans="1:6" s="341" customFormat="1" ht="13" customHeight="1" x14ac:dyDescent="0.2">
      <c r="A482" s="303" t="s">
        <v>1561</v>
      </c>
      <c r="B482" s="356" t="s">
        <v>1568</v>
      </c>
      <c r="C482" s="359" t="s">
        <v>1569</v>
      </c>
      <c r="D482" s="341" t="s">
        <v>1570</v>
      </c>
      <c r="E482" s="4"/>
      <c r="F482" s="358"/>
    </row>
    <row r="483" spans="1:6" s="341" customFormat="1" ht="16" customHeight="1" x14ac:dyDescent="0.2">
      <c r="A483" s="303" t="s">
        <v>1561</v>
      </c>
      <c r="B483" s="356" t="s">
        <v>1571</v>
      </c>
      <c r="C483" s="357" t="s">
        <v>1572</v>
      </c>
      <c r="D483" s="338" t="s">
        <v>1573</v>
      </c>
      <c r="E483" s="4"/>
      <c r="F483" s="358"/>
    </row>
    <row r="484" spans="1:6" s="341" customFormat="1" ht="16" customHeight="1" x14ac:dyDescent="0.2">
      <c r="A484" s="303" t="s">
        <v>1561</v>
      </c>
      <c r="B484" s="356" t="s">
        <v>1574</v>
      </c>
      <c r="C484" s="357" t="s">
        <v>1575</v>
      </c>
      <c r="D484" s="341" t="s">
        <v>1576</v>
      </c>
      <c r="E484" s="4"/>
      <c r="F484" s="358"/>
    </row>
    <row r="485" spans="1:6" s="341" customFormat="1" ht="32" customHeight="1" x14ac:dyDescent="0.2">
      <c r="A485" s="303" t="s">
        <v>1561</v>
      </c>
      <c r="B485" s="356" t="s">
        <v>1577</v>
      </c>
      <c r="C485" s="357" t="s">
        <v>1578</v>
      </c>
      <c r="D485" s="341" t="s">
        <v>1579</v>
      </c>
      <c r="E485" s="4"/>
      <c r="F485" s="358"/>
    </row>
    <row r="486" spans="1:6" s="341" customFormat="1" ht="32" customHeight="1" x14ac:dyDescent="0.2">
      <c r="A486" s="303" t="s">
        <v>1561</v>
      </c>
      <c r="B486" s="356" t="s">
        <v>1580</v>
      </c>
      <c r="C486" s="357" t="s">
        <v>1581</v>
      </c>
      <c r="D486" s="338" t="s">
        <v>1582</v>
      </c>
      <c r="E486" s="4"/>
      <c r="F486" s="358"/>
    </row>
    <row r="487" spans="1:6" s="341" customFormat="1" ht="32" customHeight="1" x14ac:dyDescent="0.2">
      <c r="A487" s="303" t="s">
        <v>1561</v>
      </c>
      <c r="B487" s="356" t="s">
        <v>1583</v>
      </c>
      <c r="C487" s="357" t="s">
        <v>1584</v>
      </c>
      <c r="D487" s="341" t="s">
        <v>1585</v>
      </c>
      <c r="E487" s="4"/>
      <c r="F487" s="358"/>
    </row>
    <row r="488" spans="1:6" s="341" customFormat="1" ht="16" customHeight="1" x14ac:dyDescent="0.2">
      <c r="A488" s="303" t="s">
        <v>1561</v>
      </c>
      <c r="B488" s="356" t="s">
        <v>1586</v>
      </c>
      <c r="C488" s="357" t="s">
        <v>1587</v>
      </c>
      <c r="D488" s="341" t="s">
        <v>1588</v>
      </c>
      <c r="E488" s="4"/>
      <c r="F488" s="358"/>
    </row>
    <row r="489" spans="1:6" s="341" customFormat="1" ht="14.5" customHeight="1" x14ac:dyDescent="0.2">
      <c r="A489" s="303" t="s">
        <v>1561</v>
      </c>
      <c r="B489" s="356" t="s">
        <v>1589</v>
      </c>
      <c r="C489" s="359" t="s">
        <v>1590</v>
      </c>
      <c r="D489" s="341" t="s">
        <v>1591</v>
      </c>
      <c r="E489" s="4"/>
      <c r="F489" s="358"/>
    </row>
    <row r="490" spans="1:6" s="341" customFormat="1" ht="14.5" customHeight="1" x14ac:dyDescent="0.2">
      <c r="A490" s="303" t="s">
        <v>1561</v>
      </c>
      <c r="B490" s="356" t="s">
        <v>1085</v>
      </c>
      <c r="C490" s="359" t="s">
        <v>1592</v>
      </c>
      <c r="D490" s="341" t="s">
        <v>1367</v>
      </c>
      <c r="E490" s="4"/>
      <c r="F490" s="358"/>
    </row>
    <row r="491" spans="1:6" s="341" customFormat="1" ht="16" customHeight="1" x14ac:dyDescent="0.2">
      <c r="A491" s="303" t="s">
        <v>1561</v>
      </c>
      <c r="B491" s="356" t="s">
        <v>1033</v>
      </c>
      <c r="C491" s="357" t="s">
        <v>825</v>
      </c>
      <c r="D491" s="341" t="s">
        <v>826</v>
      </c>
      <c r="E491" s="4"/>
      <c r="F491" s="358"/>
    </row>
    <row r="492" spans="1:6" s="341" customFormat="1" ht="16" customHeight="1" x14ac:dyDescent="0.2">
      <c r="A492" s="303" t="s">
        <v>1561</v>
      </c>
      <c r="B492" s="356" t="s">
        <v>1034</v>
      </c>
      <c r="C492" s="357" t="s">
        <v>827</v>
      </c>
      <c r="D492" s="341" t="s">
        <v>828</v>
      </c>
      <c r="E492" s="4"/>
      <c r="F492" s="358"/>
    </row>
    <row r="493" spans="1:6" x14ac:dyDescent="0.2">
      <c r="B493" s="360"/>
      <c r="E493" s="4"/>
    </row>
    <row r="494" spans="1:6" s="341" customFormat="1" x14ac:dyDescent="0.2">
      <c r="A494" s="303" t="s">
        <v>1593</v>
      </c>
      <c r="B494" s="356" t="s">
        <v>1594</v>
      </c>
      <c r="C494" s="338" t="s">
        <v>1595</v>
      </c>
      <c r="D494" s="338" t="s">
        <v>1596</v>
      </c>
      <c r="E494" s="4"/>
    </row>
    <row r="495" spans="1:6" s="341" customFormat="1" x14ac:dyDescent="0.2">
      <c r="A495" s="303" t="s">
        <v>1593</v>
      </c>
      <c r="B495" s="356" t="s">
        <v>1597</v>
      </c>
      <c r="C495" s="338" t="s">
        <v>1598</v>
      </c>
      <c r="D495" s="341" t="s">
        <v>1599</v>
      </c>
      <c r="E495" s="4"/>
    </row>
    <row r="496" spans="1:6" s="341" customFormat="1" x14ac:dyDescent="0.2">
      <c r="A496" s="303" t="s">
        <v>1593</v>
      </c>
      <c r="B496" s="356" t="s">
        <v>1600</v>
      </c>
      <c r="C496" s="338" t="s">
        <v>1601</v>
      </c>
      <c r="D496" s="341" t="s">
        <v>1602</v>
      </c>
      <c r="E496" s="4"/>
      <c r="F496" s="358"/>
    </row>
    <row r="497" spans="1:1023 1025:2047 2049:3071 3073:4095 4097:5119 5121:6143 6145:7167 7169:8191 8193:9215 9217:10239 10241:11263 11265:12287 12289:13311 13313:14335 14337:15359 15361:16383" s="341" customFormat="1" x14ac:dyDescent="0.2">
      <c r="A497" s="303" t="s">
        <v>1593</v>
      </c>
      <c r="B497" s="361" t="s">
        <v>1033</v>
      </c>
      <c r="C497" s="341" t="s">
        <v>825</v>
      </c>
      <c r="D497" s="341" t="s">
        <v>826</v>
      </c>
      <c r="E497" s="4"/>
      <c r="F497" s="358"/>
    </row>
    <row r="498" spans="1:1023 1025:2047 2049:3071 3073:4095 4097:5119 5121:6143 6145:7167 7169:8191 8193:9215 9217:10239 10241:11263 11265:12287 12289:13311 13313:14335 14337:15359 15361:16383" s="341" customFormat="1" ht="16" customHeight="1" x14ac:dyDescent="0.2">
      <c r="A498" s="303" t="s">
        <v>1593</v>
      </c>
      <c r="B498" s="356" t="s">
        <v>1034</v>
      </c>
      <c r="C498" s="357" t="s">
        <v>827</v>
      </c>
      <c r="D498" s="341" t="s">
        <v>828</v>
      </c>
      <c r="E498" s="4"/>
      <c r="F498" s="358"/>
    </row>
    <row r="499" spans="1:1023 1025:2047 2049:3071 3073:4095 4097:5119 5121:6143 6145:7167 7169:8191 8193:9215 9217:10239 10241:11263 11265:12287 12289:13311 13313:14335 14337:15359 15361:16383" x14ac:dyDescent="0.2">
      <c r="B499" s="360"/>
      <c r="E499" s="4"/>
    </row>
    <row r="500" spans="1:1023 1025:2047 2049:3071 3073:4095 4097:5119 5121:6143 6145:7167 7169:8191 8193:9215 9217:10239 10241:11263 11265:12287 12289:13311 13313:14335 14337:15359 15361:16383" s="362" customFormat="1" ht="16.5" customHeight="1" x14ac:dyDescent="0.2">
      <c r="A500" s="338" t="s">
        <v>1603</v>
      </c>
      <c r="B500" s="356" t="s">
        <v>1604</v>
      </c>
      <c r="C500" s="301" t="s">
        <v>1605</v>
      </c>
      <c r="D500" s="336" t="s">
        <v>299</v>
      </c>
      <c r="E500" s="4"/>
    </row>
    <row r="501" spans="1:1023 1025:2047 2049:3071 3073:4095 4097:5119 5121:6143 6145:7167 7169:8191 8193:9215 9217:10239 10241:11263 11265:12287 12289:13311 13313:14335 14337:15359 15361:16383" s="362" customFormat="1" ht="16.5" customHeight="1" x14ac:dyDescent="0.2">
      <c r="A501" s="338" t="s">
        <v>1603</v>
      </c>
      <c r="B501" s="356" t="s">
        <v>1606</v>
      </c>
      <c r="C501" s="301" t="s">
        <v>1607</v>
      </c>
      <c r="D501" s="336" t="s">
        <v>1608</v>
      </c>
      <c r="E501" s="4"/>
    </row>
    <row r="502" spans="1:1023 1025:2047 2049:3071 3073:4095 4097:5119 5121:6143 6145:7167 7169:8191 8193:9215 9217:10239 10241:11263 11265:12287 12289:13311 13313:14335 14337:15359 15361:16383" s="362" customFormat="1" ht="16.5" customHeight="1" x14ac:dyDescent="0.2">
      <c r="A502" s="338" t="s">
        <v>1603</v>
      </c>
      <c r="B502" s="356" t="s">
        <v>1609</v>
      </c>
      <c r="C502" s="301" t="s">
        <v>1610</v>
      </c>
      <c r="D502" s="363" t="s">
        <v>1611</v>
      </c>
      <c r="E502" s="4"/>
    </row>
    <row r="503" spans="1:1023 1025:2047 2049:3071 3073:4095 4097:5119 5121:6143 6145:7167 7169:8191 8193:9215 9217:10239 10241:11263 11265:12287 12289:13311 13313:14335 14337:15359 15361:16383" s="362" customFormat="1" ht="16.5" customHeight="1" x14ac:dyDescent="0.2">
      <c r="A503" s="338" t="s">
        <v>1603</v>
      </c>
      <c r="B503" s="356" t="s">
        <v>1612</v>
      </c>
      <c r="C503" s="301" t="s">
        <v>1613</v>
      </c>
      <c r="D503" s="336" t="s">
        <v>1614</v>
      </c>
      <c r="E503" s="4"/>
    </row>
    <row r="504" spans="1:1023 1025:2047 2049:3071 3073:4095 4097:5119 5121:6143 6145:7167 7169:8191 8193:9215 9217:10239 10241:11263 11265:12287 12289:13311 13313:14335 14337:15359 15361:16383" s="362" customFormat="1" ht="16.5" customHeight="1" x14ac:dyDescent="0.2">
      <c r="A504" s="300" t="s">
        <v>1603</v>
      </c>
      <c r="B504" s="356" t="s">
        <v>1615</v>
      </c>
      <c r="C504" s="301" t="s">
        <v>1616</v>
      </c>
      <c r="D504" s="338" t="s">
        <v>1617</v>
      </c>
      <c r="E504" s="4"/>
    </row>
    <row r="505" spans="1:1023 1025:2047 2049:3071 3073:4095 4097:5119 5121:6143 6145:7167 7169:8191 8193:9215 9217:10239 10241:11263 11265:12287 12289:13311 13313:14335 14337:15359 15361:16383" s="362" customFormat="1" ht="16.5" customHeight="1" x14ac:dyDescent="0.2">
      <c r="A505" s="338" t="s">
        <v>1603</v>
      </c>
      <c r="B505" s="356" t="s">
        <v>1084</v>
      </c>
      <c r="C505" s="301" t="s">
        <v>1618</v>
      </c>
      <c r="D505" s="336" t="s">
        <v>1619</v>
      </c>
      <c r="E505" s="4"/>
    </row>
    <row r="506" spans="1:1023 1025:2047 2049:3071 3073:4095 4097:5119 5121:6143 6145:7167 7169:8191 8193:9215 9217:10239 10241:11263 11265:12287 12289:13311 13313:14335 14337:15359 15361:16383" x14ac:dyDescent="0.2">
      <c r="B506" s="360"/>
      <c r="E506" s="4"/>
    </row>
    <row r="507" spans="1:1023 1025:2047 2049:3071 3073:4095 4097:5119 5121:6143 6145:7167 7169:8191 8193:9215 9217:10239 10241:11263 11265:12287 12289:13311 13313:14335 14337:15359 15361:16383" s="341" customFormat="1" x14ac:dyDescent="0.2">
      <c r="A507" s="341" t="s">
        <v>1620</v>
      </c>
      <c r="B507" s="361" t="s">
        <v>1621</v>
      </c>
      <c r="C507" s="341" t="s">
        <v>1622</v>
      </c>
      <c r="D507" s="341" t="s">
        <v>1623</v>
      </c>
      <c r="E507" s="4"/>
    </row>
    <row r="508" spans="1:1023 1025:2047 2049:3071 3073:4095 4097:5119 5121:6143 6145:7167 7169:8191 8193:9215 9217:10239 10241:11263 11265:12287 12289:13311 13313:14335 14337:15359 15361:16383" s="341" customFormat="1" x14ac:dyDescent="0.2">
      <c r="A508" s="341" t="s">
        <v>1620</v>
      </c>
      <c r="B508" s="361" t="s">
        <v>1624</v>
      </c>
      <c r="C508" s="341" t="s">
        <v>1625</v>
      </c>
      <c r="D508" s="341" t="s">
        <v>1626</v>
      </c>
      <c r="E508" s="4"/>
    </row>
    <row r="509" spans="1:1023 1025:2047 2049:3071 3073:4095 4097:5119 5121:6143 6145:7167 7169:8191 8193:9215 9217:10239 10241:11263 11265:12287 12289:13311 13313:14335 14337:15359 15361:16383" s="341" customFormat="1" x14ac:dyDescent="0.2">
      <c r="A509" s="341" t="s">
        <v>1620</v>
      </c>
      <c r="B509" s="361" t="s">
        <v>1627</v>
      </c>
      <c r="C509" s="341" t="s">
        <v>1628</v>
      </c>
      <c r="D509" s="341" t="s">
        <v>1629</v>
      </c>
      <c r="E509" s="4"/>
    </row>
    <row r="510" spans="1:1023 1025:2047 2049:3071 3073:4095 4097:5119 5121:6143 6145:7167 7169:8191 8193:9215 9217:10239 10241:11263 11265:12287 12289:13311 13313:14335 14337:15359 15361:16383" s="341" customFormat="1" ht="16" customHeight="1" x14ac:dyDescent="0.2">
      <c r="A510" s="341" t="s">
        <v>1620</v>
      </c>
      <c r="B510" s="356" t="s">
        <v>1085</v>
      </c>
      <c r="C510" s="359" t="s">
        <v>1592</v>
      </c>
      <c r="D510" s="341" t="s">
        <v>1367</v>
      </c>
      <c r="E510" s="303"/>
      <c r="F510" s="356"/>
      <c r="G510" s="359"/>
      <c r="I510" s="303"/>
      <c r="J510" s="356"/>
      <c r="K510" s="359"/>
      <c r="M510" s="303"/>
      <c r="N510" s="356"/>
      <c r="O510" s="359"/>
      <c r="Q510" s="303"/>
      <c r="R510" s="356"/>
      <c r="S510" s="359"/>
      <c r="U510" s="303"/>
      <c r="V510" s="356"/>
      <c r="W510" s="359"/>
      <c r="Y510" s="303"/>
      <c r="Z510" s="356"/>
      <c r="AA510" s="359"/>
      <c r="AC510" s="303"/>
      <c r="AD510" s="356"/>
      <c r="AE510" s="359"/>
      <c r="AG510" s="303"/>
      <c r="AH510" s="356"/>
      <c r="AI510" s="359"/>
      <c r="AK510" s="303"/>
      <c r="AL510" s="356"/>
      <c r="AM510" s="359"/>
      <c r="AO510" s="303"/>
      <c r="AP510" s="356"/>
      <c r="AQ510" s="359"/>
      <c r="AS510" s="303"/>
      <c r="AT510" s="356"/>
      <c r="AU510" s="359"/>
      <c r="AW510" s="303"/>
      <c r="AX510" s="356"/>
      <c r="AY510" s="359"/>
      <c r="BA510" s="303"/>
      <c r="BB510" s="356"/>
      <c r="BC510" s="359"/>
      <c r="BE510" s="303"/>
      <c r="BF510" s="356"/>
      <c r="BG510" s="359"/>
      <c r="BI510" s="303"/>
      <c r="BJ510" s="356"/>
      <c r="BK510" s="359"/>
      <c r="BM510" s="303"/>
      <c r="BN510" s="356"/>
      <c r="BO510" s="359"/>
      <c r="BQ510" s="303"/>
      <c r="BR510" s="356"/>
      <c r="BS510" s="359"/>
      <c r="BU510" s="303"/>
      <c r="BV510" s="356"/>
      <c r="BW510" s="359"/>
      <c r="BY510" s="303"/>
      <c r="BZ510" s="356"/>
      <c r="CA510" s="359"/>
      <c r="CC510" s="303"/>
      <c r="CD510" s="356"/>
      <c r="CE510" s="359"/>
      <c r="CG510" s="303"/>
      <c r="CH510" s="356"/>
      <c r="CI510" s="359"/>
      <c r="CK510" s="303"/>
      <c r="CL510" s="356"/>
      <c r="CM510" s="359"/>
      <c r="CO510" s="303"/>
      <c r="CP510" s="356"/>
      <c r="CQ510" s="359"/>
      <c r="CS510" s="303"/>
      <c r="CT510" s="356"/>
      <c r="CU510" s="359"/>
      <c r="CW510" s="303"/>
      <c r="CX510" s="356"/>
      <c r="CY510" s="359"/>
      <c r="DA510" s="303"/>
      <c r="DB510" s="356"/>
      <c r="DC510" s="359"/>
      <c r="DE510" s="303"/>
      <c r="DF510" s="356"/>
      <c r="DG510" s="359"/>
      <c r="DI510" s="303"/>
      <c r="DJ510" s="356"/>
      <c r="DK510" s="359"/>
      <c r="DM510" s="303"/>
      <c r="DN510" s="356"/>
      <c r="DO510" s="359"/>
      <c r="DQ510" s="303"/>
      <c r="DR510" s="356"/>
      <c r="DS510" s="359"/>
      <c r="DU510" s="303"/>
      <c r="DV510" s="356"/>
      <c r="DW510" s="359"/>
      <c r="DY510" s="303"/>
      <c r="DZ510" s="356"/>
      <c r="EA510" s="359"/>
      <c r="EC510" s="303"/>
      <c r="ED510" s="356"/>
      <c r="EE510" s="359"/>
      <c r="EG510" s="303"/>
      <c r="EH510" s="356"/>
      <c r="EI510" s="359"/>
      <c r="EK510" s="303"/>
      <c r="EL510" s="356"/>
      <c r="EM510" s="359"/>
      <c r="EO510" s="303"/>
      <c r="EP510" s="356"/>
      <c r="EQ510" s="359"/>
      <c r="ES510" s="303"/>
      <c r="ET510" s="356"/>
      <c r="EU510" s="359"/>
      <c r="EW510" s="303"/>
      <c r="EX510" s="356"/>
      <c r="EY510" s="359"/>
      <c r="FA510" s="303"/>
      <c r="FB510" s="356"/>
      <c r="FC510" s="359"/>
      <c r="FE510" s="303"/>
      <c r="FF510" s="356"/>
      <c r="FG510" s="359"/>
      <c r="FI510" s="303"/>
      <c r="FJ510" s="356"/>
      <c r="FK510" s="359"/>
      <c r="FM510" s="303"/>
      <c r="FN510" s="356"/>
      <c r="FO510" s="359"/>
      <c r="FQ510" s="303"/>
      <c r="FR510" s="356"/>
      <c r="FS510" s="359"/>
      <c r="FU510" s="303"/>
      <c r="FV510" s="356"/>
      <c r="FW510" s="359"/>
      <c r="FY510" s="303"/>
      <c r="FZ510" s="356"/>
      <c r="GA510" s="359"/>
      <c r="GC510" s="303"/>
      <c r="GD510" s="356"/>
      <c r="GE510" s="359"/>
      <c r="GG510" s="303"/>
      <c r="GH510" s="356"/>
      <c r="GI510" s="359"/>
      <c r="GK510" s="303"/>
      <c r="GL510" s="356"/>
      <c r="GM510" s="359"/>
      <c r="GO510" s="303"/>
      <c r="GP510" s="356"/>
      <c r="GQ510" s="359"/>
      <c r="GS510" s="303"/>
      <c r="GT510" s="356"/>
      <c r="GU510" s="359"/>
      <c r="GW510" s="303"/>
      <c r="GX510" s="356"/>
      <c r="GY510" s="359"/>
      <c r="HA510" s="303"/>
      <c r="HB510" s="356"/>
      <c r="HC510" s="359"/>
      <c r="HE510" s="303"/>
      <c r="HF510" s="356"/>
      <c r="HG510" s="359"/>
      <c r="HI510" s="303"/>
      <c r="HJ510" s="356"/>
      <c r="HK510" s="359"/>
      <c r="HM510" s="303"/>
      <c r="HN510" s="356"/>
      <c r="HO510" s="359"/>
      <c r="HQ510" s="303"/>
      <c r="HR510" s="356"/>
      <c r="HS510" s="359"/>
      <c r="HU510" s="303"/>
      <c r="HV510" s="356"/>
      <c r="HW510" s="359"/>
      <c r="HY510" s="303"/>
      <c r="HZ510" s="356"/>
      <c r="IA510" s="359"/>
      <c r="IC510" s="303"/>
      <c r="ID510" s="356"/>
      <c r="IE510" s="359"/>
      <c r="IG510" s="303"/>
      <c r="IH510" s="356"/>
      <c r="II510" s="359"/>
      <c r="IK510" s="303"/>
      <c r="IL510" s="356"/>
      <c r="IM510" s="359"/>
      <c r="IO510" s="303"/>
      <c r="IP510" s="356"/>
      <c r="IQ510" s="359"/>
      <c r="IS510" s="303"/>
      <c r="IT510" s="356"/>
      <c r="IU510" s="359"/>
      <c r="IW510" s="303"/>
      <c r="IX510" s="356"/>
      <c r="IY510" s="359"/>
      <c r="JA510" s="303"/>
      <c r="JB510" s="356"/>
      <c r="JC510" s="359"/>
      <c r="JE510" s="303"/>
      <c r="JF510" s="356"/>
      <c r="JG510" s="359"/>
      <c r="JI510" s="303"/>
      <c r="JJ510" s="356"/>
      <c r="JK510" s="359"/>
      <c r="JM510" s="303"/>
      <c r="JN510" s="356"/>
      <c r="JO510" s="359"/>
      <c r="JQ510" s="303"/>
      <c r="JR510" s="356"/>
      <c r="JS510" s="359"/>
      <c r="JU510" s="303"/>
      <c r="JV510" s="356"/>
      <c r="JW510" s="359"/>
      <c r="JY510" s="303"/>
      <c r="JZ510" s="356"/>
      <c r="KA510" s="359"/>
      <c r="KC510" s="303"/>
      <c r="KD510" s="356"/>
      <c r="KE510" s="359"/>
      <c r="KG510" s="303"/>
      <c r="KH510" s="356"/>
      <c r="KI510" s="359"/>
      <c r="KK510" s="303"/>
      <c r="KL510" s="356"/>
      <c r="KM510" s="359"/>
      <c r="KO510" s="303"/>
      <c r="KP510" s="356"/>
      <c r="KQ510" s="359"/>
      <c r="KS510" s="303"/>
      <c r="KT510" s="356"/>
      <c r="KU510" s="359"/>
      <c r="KW510" s="303"/>
      <c r="KX510" s="356"/>
      <c r="KY510" s="359"/>
      <c r="LA510" s="303"/>
      <c r="LB510" s="356"/>
      <c r="LC510" s="359"/>
      <c r="LE510" s="303"/>
      <c r="LF510" s="356"/>
      <c r="LG510" s="359"/>
      <c r="LI510" s="303"/>
      <c r="LJ510" s="356"/>
      <c r="LK510" s="359"/>
      <c r="LM510" s="303"/>
      <c r="LN510" s="356"/>
      <c r="LO510" s="359"/>
      <c r="LQ510" s="303"/>
      <c r="LR510" s="356"/>
      <c r="LS510" s="359"/>
      <c r="LU510" s="303"/>
      <c r="LV510" s="356"/>
      <c r="LW510" s="359"/>
      <c r="LY510" s="303"/>
      <c r="LZ510" s="356"/>
      <c r="MA510" s="359"/>
      <c r="MC510" s="303"/>
      <c r="MD510" s="356"/>
      <c r="ME510" s="359"/>
      <c r="MG510" s="303"/>
      <c r="MH510" s="356"/>
      <c r="MI510" s="359"/>
      <c r="MK510" s="303"/>
      <c r="ML510" s="356"/>
      <c r="MM510" s="359"/>
      <c r="MO510" s="303"/>
      <c r="MP510" s="356"/>
      <c r="MQ510" s="359"/>
      <c r="MS510" s="303"/>
      <c r="MT510" s="356"/>
      <c r="MU510" s="359"/>
      <c r="MW510" s="303"/>
      <c r="MX510" s="356"/>
      <c r="MY510" s="359"/>
      <c r="NA510" s="303"/>
      <c r="NB510" s="356"/>
      <c r="NC510" s="359"/>
      <c r="NE510" s="303"/>
      <c r="NF510" s="356"/>
      <c r="NG510" s="359"/>
      <c r="NI510" s="303"/>
      <c r="NJ510" s="356"/>
      <c r="NK510" s="359"/>
      <c r="NM510" s="303"/>
      <c r="NN510" s="356"/>
      <c r="NO510" s="359"/>
      <c r="NQ510" s="303"/>
      <c r="NR510" s="356"/>
      <c r="NS510" s="359"/>
      <c r="NU510" s="303"/>
      <c r="NV510" s="356"/>
      <c r="NW510" s="359"/>
      <c r="NY510" s="303"/>
      <c r="NZ510" s="356"/>
      <c r="OA510" s="359"/>
      <c r="OC510" s="303"/>
      <c r="OD510" s="356"/>
      <c r="OE510" s="359"/>
      <c r="OG510" s="303"/>
      <c r="OH510" s="356"/>
      <c r="OI510" s="359"/>
      <c r="OK510" s="303"/>
      <c r="OL510" s="356"/>
      <c r="OM510" s="359"/>
      <c r="OO510" s="303"/>
      <c r="OP510" s="356"/>
      <c r="OQ510" s="359"/>
      <c r="OS510" s="303"/>
      <c r="OT510" s="356"/>
      <c r="OU510" s="359"/>
      <c r="OW510" s="303"/>
      <c r="OX510" s="356"/>
      <c r="OY510" s="359"/>
      <c r="PA510" s="303"/>
      <c r="PB510" s="356"/>
      <c r="PC510" s="359"/>
      <c r="PE510" s="303"/>
      <c r="PF510" s="356"/>
      <c r="PG510" s="359"/>
      <c r="PI510" s="303"/>
      <c r="PJ510" s="356"/>
      <c r="PK510" s="359"/>
      <c r="PM510" s="303"/>
      <c r="PN510" s="356"/>
      <c r="PO510" s="359"/>
      <c r="PQ510" s="303"/>
      <c r="PR510" s="356"/>
      <c r="PS510" s="359"/>
      <c r="PU510" s="303"/>
      <c r="PV510" s="356"/>
      <c r="PW510" s="359"/>
      <c r="PY510" s="303"/>
      <c r="PZ510" s="356"/>
      <c r="QA510" s="359"/>
      <c r="QC510" s="303"/>
      <c r="QD510" s="356"/>
      <c r="QE510" s="359"/>
      <c r="QG510" s="303"/>
      <c r="QH510" s="356"/>
      <c r="QI510" s="359"/>
      <c r="QK510" s="303"/>
      <c r="QL510" s="356"/>
      <c r="QM510" s="359"/>
      <c r="QO510" s="303"/>
      <c r="QP510" s="356"/>
      <c r="QQ510" s="359"/>
      <c r="QS510" s="303"/>
      <c r="QT510" s="356"/>
      <c r="QU510" s="359"/>
      <c r="QW510" s="303"/>
      <c r="QX510" s="356"/>
      <c r="QY510" s="359"/>
      <c r="RA510" s="303"/>
      <c r="RB510" s="356"/>
      <c r="RC510" s="359"/>
      <c r="RE510" s="303"/>
      <c r="RF510" s="356"/>
      <c r="RG510" s="359"/>
      <c r="RI510" s="303"/>
      <c r="RJ510" s="356"/>
      <c r="RK510" s="359"/>
      <c r="RM510" s="303"/>
      <c r="RN510" s="356"/>
      <c r="RO510" s="359"/>
      <c r="RQ510" s="303"/>
      <c r="RR510" s="356"/>
      <c r="RS510" s="359"/>
      <c r="RU510" s="303"/>
      <c r="RV510" s="356"/>
      <c r="RW510" s="359"/>
      <c r="RY510" s="303"/>
      <c r="RZ510" s="356"/>
      <c r="SA510" s="359"/>
      <c r="SC510" s="303"/>
      <c r="SD510" s="356"/>
      <c r="SE510" s="359"/>
      <c r="SG510" s="303"/>
      <c r="SH510" s="356"/>
      <c r="SI510" s="359"/>
      <c r="SK510" s="303"/>
      <c r="SL510" s="356"/>
      <c r="SM510" s="359"/>
      <c r="SO510" s="303"/>
      <c r="SP510" s="356"/>
      <c r="SQ510" s="359"/>
      <c r="SS510" s="303"/>
      <c r="ST510" s="356"/>
      <c r="SU510" s="359"/>
      <c r="SW510" s="303"/>
      <c r="SX510" s="356"/>
      <c r="SY510" s="359"/>
      <c r="TA510" s="303"/>
      <c r="TB510" s="356"/>
      <c r="TC510" s="359"/>
      <c r="TE510" s="303"/>
      <c r="TF510" s="356"/>
      <c r="TG510" s="359"/>
      <c r="TI510" s="303"/>
      <c r="TJ510" s="356"/>
      <c r="TK510" s="359"/>
      <c r="TM510" s="303"/>
      <c r="TN510" s="356"/>
      <c r="TO510" s="359"/>
      <c r="TQ510" s="303"/>
      <c r="TR510" s="356"/>
      <c r="TS510" s="359"/>
      <c r="TU510" s="303"/>
      <c r="TV510" s="356"/>
      <c r="TW510" s="359"/>
      <c r="TY510" s="303"/>
      <c r="TZ510" s="356"/>
      <c r="UA510" s="359"/>
      <c r="UC510" s="303"/>
      <c r="UD510" s="356"/>
      <c r="UE510" s="359"/>
      <c r="UG510" s="303"/>
      <c r="UH510" s="356"/>
      <c r="UI510" s="359"/>
      <c r="UK510" s="303"/>
      <c r="UL510" s="356"/>
      <c r="UM510" s="359"/>
      <c r="UO510" s="303"/>
      <c r="UP510" s="356"/>
      <c r="UQ510" s="359"/>
      <c r="US510" s="303"/>
      <c r="UT510" s="356"/>
      <c r="UU510" s="359"/>
      <c r="UW510" s="303"/>
      <c r="UX510" s="356"/>
      <c r="UY510" s="359"/>
      <c r="VA510" s="303"/>
      <c r="VB510" s="356"/>
      <c r="VC510" s="359"/>
      <c r="VE510" s="303"/>
      <c r="VF510" s="356"/>
      <c r="VG510" s="359"/>
      <c r="VI510" s="303"/>
      <c r="VJ510" s="356"/>
      <c r="VK510" s="359"/>
      <c r="VM510" s="303"/>
      <c r="VN510" s="356"/>
      <c r="VO510" s="359"/>
      <c r="VQ510" s="303"/>
      <c r="VR510" s="356"/>
      <c r="VS510" s="359"/>
      <c r="VU510" s="303"/>
      <c r="VV510" s="356"/>
      <c r="VW510" s="359"/>
      <c r="VY510" s="303"/>
      <c r="VZ510" s="356"/>
      <c r="WA510" s="359"/>
      <c r="WC510" s="303"/>
      <c r="WD510" s="356"/>
      <c r="WE510" s="359"/>
      <c r="WG510" s="303"/>
      <c r="WH510" s="356"/>
      <c r="WI510" s="359"/>
      <c r="WK510" s="303"/>
      <c r="WL510" s="356"/>
      <c r="WM510" s="359"/>
      <c r="WO510" s="303"/>
      <c r="WP510" s="356"/>
      <c r="WQ510" s="359"/>
      <c r="WS510" s="303"/>
      <c r="WT510" s="356"/>
      <c r="WU510" s="359"/>
      <c r="WW510" s="303"/>
      <c r="WX510" s="356"/>
      <c r="WY510" s="359"/>
      <c r="XA510" s="303"/>
      <c r="XB510" s="356"/>
      <c r="XC510" s="359"/>
      <c r="XE510" s="303"/>
      <c r="XF510" s="356"/>
      <c r="XG510" s="359"/>
      <c r="XI510" s="303"/>
      <c r="XJ510" s="356"/>
      <c r="XK510" s="359"/>
      <c r="XM510" s="303"/>
      <c r="XN510" s="356"/>
      <c r="XO510" s="359"/>
      <c r="XQ510" s="303"/>
      <c r="XR510" s="356"/>
      <c r="XS510" s="359"/>
      <c r="XU510" s="303"/>
      <c r="XV510" s="356"/>
      <c r="XW510" s="359"/>
      <c r="XY510" s="303"/>
      <c r="XZ510" s="356"/>
      <c r="YA510" s="359"/>
      <c r="YC510" s="303"/>
      <c r="YD510" s="356"/>
      <c r="YE510" s="359"/>
      <c r="YG510" s="303"/>
      <c r="YH510" s="356"/>
      <c r="YI510" s="359"/>
      <c r="YK510" s="303"/>
      <c r="YL510" s="356"/>
      <c r="YM510" s="359"/>
      <c r="YO510" s="303"/>
      <c r="YP510" s="356"/>
      <c r="YQ510" s="359"/>
      <c r="YS510" s="303"/>
      <c r="YT510" s="356"/>
      <c r="YU510" s="359"/>
      <c r="YW510" s="303"/>
      <c r="YX510" s="356"/>
      <c r="YY510" s="359"/>
      <c r="ZA510" s="303"/>
      <c r="ZB510" s="356"/>
      <c r="ZC510" s="359"/>
      <c r="ZE510" s="303"/>
      <c r="ZF510" s="356"/>
      <c r="ZG510" s="359"/>
      <c r="ZI510" s="303"/>
      <c r="ZJ510" s="356"/>
      <c r="ZK510" s="359"/>
      <c r="ZM510" s="303"/>
      <c r="ZN510" s="356"/>
      <c r="ZO510" s="359"/>
      <c r="ZQ510" s="303"/>
      <c r="ZR510" s="356"/>
      <c r="ZS510" s="359"/>
      <c r="ZU510" s="303"/>
      <c r="ZV510" s="356"/>
      <c r="ZW510" s="359"/>
      <c r="ZY510" s="303"/>
      <c r="ZZ510" s="356"/>
      <c r="AAA510" s="359"/>
      <c r="AAC510" s="303"/>
      <c r="AAD510" s="356"/>
      <c r="AAE510" s="359"/>
      <c r="AAG510" s="303"/>
      <c r="AAH510" s="356"/>
      <c r="AAI510" s="359"/>
      <c r="AAK510" s="303"/>
      <c r="AAL510" s="356"/>
      <c r="AAM510" s="359"/>
      <c r="AAO510" s="303"/>
      <c r="AAP510" s="356"/>
      <c r="AAQ510" s="359"/>
      <c r="AAS510" s="303"/>
      <c r="AAT510" s="356"/>
      <c r="AAU510" s="359"/>
      <c r="AAW510" s="303"/>
      <c r="AAX510" s="356"/>
      <c r="AAY510" s="359"/>
      <c r="ABA510" s="303"/>
      <c r="ABB510" s="356"/>
      <c r="ABC510" s="359"/>
      <c r="ABE510" s="303"/>
      <c r="ABF510" s="356"/>
      <c r="ABG510" s="359"/>
      <c r="ABI510" s="303"/>
      <c r="ABJ510" s="356"/>
      <c r="ABK510" s="359"/>
      <c r="ABM510" s="303"/>
      <c r="ABN510" s="356"/>
      <c r="ABO510" s="359"/>
      <c r="ABQ510" s="303"/>
      <c r="ABR510" s="356"/>
      <c r="ABS510" s="359"/>
      <c r="ABU510" s="303"/>
      <c r="ABV510" s="356"/>
      <c r="ABW510" s="359"/>
      <c r="ABY510" s="303"/>
      <c r="ABZ510" s="356"/>
      <c r="ACA510" s="359"/>
      <c r="ACC510" s="303"/>
      <c r="ACD510" s="356"/>
      <c r="ACE510" s="359"/>
      <c r="ACG510" s="303"/>
      <c r="ACH510" s="356"/>
      <c r="ACI510" s="359"/>
      <c r="ACK510" s="303"/>
      <c r="ACL510" s="356"/>
      <c r="ACM510" s="359"/>
      <c r="ACO510" s="303"/>
      <c r="ACP510" s="356"/>
      <c r="ACQ510" s="359"/>
      <c r="ACS510" s="303"/>
      <c r="ACT510" s="356"/>
      <c r="ACU510" s="359"/>
      <c r="ACW510" s="303"/>
      <c r="ACX510" s="356"/>
      <c r="ACY510" s="359"/>
      <c r="ADA510" s="303"/>
      <c r="ADB510" s="356"/>
      <c r="ADC510" s="359"/>
      <c r="ADE510" s="303"/>
      <c r="ADF510" s="356"/>
      <c r="ADG510" s="359"/>
      <c r="ADI510" s="303"/>
      <c r="ADJ510" s="356"/>
      <c r="ADK510" s="359"/>
      <c r="ADM510" s="303"/>
      <c r="ADN510" s="356"/>
      <c r="ADO510" s="359"/>
      <c r="ADQ510" s="303"/>
      <c r="ADR510" s="356"/>
      <c r="ADS510" s="359"/>
      <c r="ADU510" s="303"/>
      <c r="ADV510" s="356"/>
      <c r="ADW510" s="359"/>
      <c r="ADY510" s="303"/>
      <c r="ADZ510" s="356"/>
      <c r="AEA510" s="359"/>
      <c r="AEC510" s="303"/>
      <c r="AED510" s="356"/>
      <c r="AEE510" s="359"/>
      <c r="AEG510" s="303"/>
      <c r="AEH510" s="356"/>
      <c r="AEI510" s="359"/>
      <c r="AEK510" s="303"/>
      <c r="AEL510" s="356"/>
      <c r="AEM510" s="359"/>
      <c r="AEO510" s="303"/>
      <c r="AEP510" s="356"/>
      <c r="AEQ510" s="359"/>
      <c r="AES510" s="303"/>
      <c r="AET510" s="356"/>
      <c r="AEU510" s="359"/>
      <c r="AEW510" s="303"/>
      <c r="AEX510" s="356"/>
      <c r="AEY510" s="359"/>
      <c r="AFA510" s="303"/>
      <c r="AFB510" s="356"/>
      <c r="AFC510" s="359"/>
      <c r="AFE510" s="303"/>
      <c r="AFF510" s="356"/>
      <c r="AFG510" s="359"/>
      <c r="AFI510" s="303"/>
      <c r="AFJ510" s="356"/>
      <c r="AFK510" s="359"/>
      <c r="AFM510" s="303"/>
      <c r="AFN510" s="356"/>
      <c r="AFO510" s="359"/>
      <c r="AFQ510" s="303"/>
      <c r="AFR510" s="356"/>
      <c r="AFS510" s="359"/>
      <c r="AFU510" s="303"/>
      <c r="AFV510" s="356"/>
      <c r="AFW510" s="359"/>
      <c r="AFY510" s="303"/>
      <c r="AFZ510" s="356"/>
      <c r="AGA510" s="359"/>
      <c r="AGC510" s="303"/>
      <c r="AGD510" s="356"/>
      <c r="AGE510" s="359"/>
      <c r="AGG510" s="303"/>
      <c r="AGH510" s="356"/>
      <c r="AGI510" s="359"/>
      <c r="AGK510" s="303"/>
      <c r="AGL510" s="356"/>
      <c r="AGM510" s="359"/>
      <c r="AGO510" s="303"/>
      <c r="AGP510" s="356"/>
      <c r="AGQ510" s="359"/>
      <c r="AGS510" s="303"/>
      <c r="AGT510" s="356"/>
      <c r="AGU510" s="359"/>
      <c r="AGW510" s="303"/>
      <c r="AGX510" s="356"/>
      <c r="AGY510" s="359"/>
      <c r="AHA510" s="303"/>
      <c r="AHB510" s="356"/>
      <c r="AHC510" s="359"/>
      <c r="AHE510" s="303"/>
      <c r="AHF510" s="356"/>
      <c r="AHG510" s="359"/>
      <c r="AHI510" s="303"/>
      <c r="AHJ510" s="356"/>
      <c r="AHK510" s="359"/>
      <c r="AHM510" s="303"/>
      <c r="AHN510" s="356"/>
      <c r="AHO510" s="359"/>
      <c r="AHQ510" s="303"/>
      <c r="AHR510" s="356"/>
      <c r="AHS510" s="359"/>
      <c r="AHU510" s="303"/>
      <c r="AHV510" s="356"/>
      <c r="AHW510" s="359"/>
      <c r="AHY510" s="303"/>
      <c r="AHZ510" s="356"/>
      <c r="AIA510" s="359"/>
      <c r="AIC510" s="303"/>
      <c r="AID510" s="356"/>
      <c r="AIE510" s="359"/>
      <c r="AIG510" s="303"/>
      <c r="AIH510" s="356"/>
      <c r="AII510" s="359"/>
      <c r="AIK510" s="303"/>
      <c r="AIL510" s="356"/>
      <c r="AIM510" s="359"/>
      <c r="AIO510" s="303"/>
      <c r="AIP510" s="356"/>
      <c r="AIQ510" s="359"/>
      <c r="AIS510" s="303"/>
      <c r="AIT510" s="356"/>
      <c r="AIU510" s="359"/>
      <c r="AIW510" s="303"/>
      <c r="AIX510" s="356"/>
      <c r="AIY510" s="359"/>
      <c r="AJA510" s="303"/>
      <c r="AJB510" s="356"/>
      <c r="AJC510" s="359"/>
      <c r="AJE510" s="303"/>
      <c r="AJF510" s="356"/>
      <c r="AJG510" s="359"/>
      <c r="AJI510" s="303"/>
      <c r="AJJ510" s="356"/>
      <c r="AJK510" s="359"/>
      <c r="AJM510" s="303"/>
      <c r="AJN510" s="356"/>
      <c r="AJO510" s="359"/>
      <c r="AJQ510" s="303"/>
      <c r="AJR510" s="356"/>
      <c r="AJS510" s="359"/>
      <c r="AJU510" s="303"/>
      <c r="AJV510" s="356"/>
      <c r="AJW510" s="359"/>
      <c r="AJY510" s="303"/>
      <c r="AJZ510" s="356"/>
      <c r="AKA510" s="359"/>
      <c r="AKC510" s="303"/>
      <c r="AKD510" s="356"/>
      <c r="AKE510" s="359"/>
      <c r="AKG510" s="303"/>
      <c r="AKH510" s="356"/>
      <c r="AKI510" s="359"/>
      <c r="AKK510" s="303"/>
      <c r="AKL510" s="356"/>
      <c r="AKM510" s="359"/>
      <c r="AKO510" s="303"/>
      <c r="AKP510" s="356"/>
      <c r="AKQ510" s="359"/>
      <c r="AKS510" s="303"/>
      <c r="AKT510" s="356"/>
      <c r="AKU510" s="359"/>
      <c r="AKW510" s="303"/>
      <c r="AKX510" s="356"/>
      <c r="AKY510" s="359"/>
      <c r="ALA510" s="303"/>
      <c r="ALB510" s="356"/>
      <c r="ALC510" s="359"/>
      <c r="ALE510" s="303"/>
      <c r="ALF510" s="356"/>
      <c r="ALG510" s="359"/>
      <c r="ALI510" s="303"/>
      <c r="ALJ510" s="356"/>
      <c r="ALK510" s="359"/>
      <c r="ALM510" s="303"/>
      <c r="ALN510" s="356"/>
      <c r="ALO510" s="359"/>
      <c r="ALQ510" s="303"/>
      <c r="ALR510" s="356"/>
      <c r="ALS510" s="359"/>
      <c r="ALU510" s="303"/>
      <c r="ALV510" s="356"/>
      <c r="ALW510" s="359"/>
      <c r="ALY510" s="303"/>
      <c r="ALZ510" s="356"/>
      <c r="AMA510" s="359"/>
      <c r="AMC510" s="303"/>
      <c r="AMD510" s="356"/>
      <c r="AME510" s="359"/>
      <c r="AMG510" s="303"/>
      <c r="AMH510" s="356"/>
      <c r="AMI510" s="359"/>
      <c r="AMK510" s="303"/>
      <c r="AML510" s="356"/>
      <c r="AMM510" s="359"/>
      <c r="AMO510" s="303"/>
      <c r="AMP510" s="356"/>
      <c r="AMQ510" s="359"/>
      <c r="AMS510" s="303"/>
      <c r="AMT510" s="356"/>
      <c r="AMU510" s="359"/>
      <c r="AMW510" s="303"/>
      <c r="AMX510" s="356"/>
      <c r="AMY510" s="359"/>
      <c r="ANA510" s="303"/>
      <c r="ANB510" s="356"/>
      <c r="ANC510" s="359"/>
      <c r="ANE510" s="303"/>
      <c r="ANF510" s="356"/>
      <c r="ANG510" s="359"/>
      <c r="ANI510" s="303"/>
      <c r="ANJ510" s="356"/>
      <c r="ANK510" s="359"/>
      <c r="ANM510" s="303"/>
      <c r="ANN510" s="356"/>
      <c r="ANO510" s="359"/>
      <c r="ANQ510" s="303"/>
      <c r="ANR510" s="356"/>
      <c r="ANS510" s="359"/>
      <c r="ANU510" s="303"/>
      <c r="ANV510" s="356"/>
      <c r="ANW510" s="359"/>
      <c r="ANY510" s="303"/>
      <c r="ANZ510" s="356"/>
      <c r="AOA510" s="359"/>
      <c r="AOC510" s="303"/>
      <c r="AOD510" s="356"/>
      <c r="AOE510" s="359"/>
      <c r="AOG510" s="303"/>
      <c r="AOH510" s="356"/>
      <c r="AOI510" s="359"/>
      <c r="AOK510" s="303"/>
      <c r="AOL510" s="356"/>
      <c r="AOM510" s="359"/>
      <c r="AOO510" s="303"/>
      <c r="AOP510" s="356"/>
      <c r="AOQ510" s="359"/>
      <c r="AOS510" s="303"/>
      <c r="AOT510" s="356"/>
      <c r="AOU510" s="359"/>
      <c r="AOW510" s="303"/>
      <c r="AOX510" s="356"/>
      <c r="AOY510" s="359"/>
      <c r="APA510" s="303"/>
      <c r="APB510" s="356"/>
      <c r="APC510" s="359"/>
      <c r="APE510" s="303"/>
      <c r="APF510" s="356"/>
      <c r="APG510" s="359"/>
      <c r="API510" s="303"/>
      <c r="APJ510" s="356"/>
      <c r="APK510" s="359"/>
      <c r="APM510" s="303"/>
      <c r="APN510" s="356"/>
      <c r="APO510" s="359"/>
      <c r="APQ510" s="303"/>
      <c r="APR510" s="356"/>
      <c r="APS510" s="359"/>
      <c r="APU510" s="303"/>
      <c r="APV510" s="356"/>
      <c r="APW510" s="359"/>
      <c r="APY510" s="303"/>
      <c r="APZ510" s="356"/>
      <c r="AQA510" s="359"/>
      <c r="AQC510" s="303"/>
      <c r="AQD510" s="356"/>
      <c r="AQE510" s="359"/>
      <c r="AQG510" s="303"/>
      <c r="AQH510" s="356"/>
      <c r="AQI510" s="359"/>
      <c r="AQK510" s="303"/>
      <c r="AQL510" s="356"/>
      <c r="AQM510" s="359"/>
      <c r="AQO510" s="303"/>
      <c r="AQP510" s="356"/>
      <c r="AQQ510" s="359"/>
      <c r="AQS510" s="303"/>
      <c r="AQT510" s="356"/>
      <c r="AQU510" s="359"/>
      <c r="AQW510" s="303"/>
      <c r="AQX510" s="356"/>
      <c r="AQY510" s="359"/>
      <c r="ARA510" s="303"/>
      <c r="ARB510" s="356"/>
      <c r="ARC510" s="359"/>
      <c r="ARE510" s="303"/>
      <c r="ARF510" s="356"/>
      <c r="ARG510" s="359"/>
      <c r="ARI510" s="303"/>
      <c r="ARJ510" s="356"/>
      <c r="ARK510" s="359"/>
      <c r="ARM510" s="303"/>
      <c r="ARN510" s="356"/>
      <c r="ARO510" s="359"/>
      <c r="ARQ510" s="303"/>
      <c r="ARR510" s="356"/>
      <c r="ARS510" s="359"/>
      <c r="ARU510" s="303"/>
      <c r="ARV510" s="356"/>
      <c r="ARW510" s="359"/>
      <c r="ARY510" s="303"/>
      <c r="ARZ510" s="356"/>
      <c r="ASA510" s="359"/>
      <c r="ASC510" s="303"/>
      <c r="ASD510" s="356"/>
      <c r="ASE510" s="359"/>
      <c r="ASG510" s="303"/>
      <c r="ASH510" s="356"/>
      <c r="ASI510" s="359"/>
      <c r="ASK510" s="303"/>
      <c r="ASL510" s="356"/>
      <c r="ASM510" s="359"/>
      <c r="ASO510" s="303"/>
      <c r="ASP510" s="356"/>
      <c r="ASQ510" s="359"/>
      <c r="ASS510" s="303"/>
      <c r="AST510" s="356"/>
      <c r="ASU510" s="359"/>
      <c r="ASW510" s="303"/>
      <c r="ASX510" s="356"/>
      <c r="ASY510" s="359"/>
      <c r="ATA510" s="303"/>
      <c r="ATB510" s="356"/>
      <c r="ATC510" s="359"/>
      <c r="ATE510" s="303"/>
      <c r="ATF510" s="356"/>
      <c r="ATG510" s="359"/>
      <c r="ATI510" s="303"/>
      <c r="ATJ510" s="356"/>
      <c r="ATK510" s="359"/>
      <c r="ATM510" s="303"/>
      <c r="ATN510" s="356"/>
      <c r="ATO510" s="359"/>
      <c r="ATQ510" s="303"/>
      <c r="ATR510" s="356"/>
      <c r="ATS510" s="359"/>
      <c r="ATU510" s="303"/>
      <c r="ATV510" s="356"/>
      <c r="ATW510" s="359"/>
      <c r="ATY510" s="303"/>
      <c r="ATZ510" s="356"/>
      <c r="AUA510" s="359"/>
      <c r="AUC510" s="303"/>
      <c r="AUD510" s="356"/>
      <c r="AUE510" s="359"/>
      <c r="AUG510" s="303"/>
      <c r="AUH510" s="356"/>
      <c r="AUI510" s="359"/>
      <c r="AUK510" s="303"/>
      <c r="AUL510" s="356"/>
      <c r="AUM510" s="359"/>
      <c r="AUO510" s="303"/>
      <c r="AUP510" s="356"/>
      <c r="AUQ510" s="359"/>
      <c r="AUS510" s="303"/>
      <c r="AUT510" s="356"/>
      <c r="AUU510" s="359"/>
      <c r="AUW510" s="303"/>
      <c r="AUX510" s="356"/>
      <c r="AUY510" s="359"/>
      <c r="AVA510" s="303"/>
      <c r="AVB510" s="356"/>
      <c r="AVC510" s="359"/>
      <c r="AVE510" s="303"/>
      <c r="AVF510" s="356"/>
      <c r="AVG510" s="359"/>
      <c r="AVI510" s="303"/>
      <c r="AVJ510" s="356"/>
      <c r="AVK510" s="359"/>
      <c r="AVM510" s="303"/>
      <c r="AVN510" s="356"/>
      <c r="AVO510" s="359"/>
      <c r="AVQ510" s="303"/>
      <c r="AVR510" s="356"/>
      <c r="AVS510" s="359"/>
      <c r="AVU510" s="303"/>
      <c r="AVV510" s="356"/>
      <c r="AVW510" s="359"/>
      <c r="AVY510" s="303"/>
      <c r="AVZ510" s="356"/>
      <c r="AWA510" s="359"/>
      <c r="AWC510" s="303"/>
      <c r="AWD510" s="356"/>
      <c r="AWE510" s="359"/>
      <c r="AWG510" s="303"/>
      <c r="AWH510" s="356"/>
      <c r="AWI510" s="359"/>
      <c r="AWK510" s="303"/>
      <c r="AWL510" s="356"/>
      <c r="AWM510" s="359"/>
      <c r="AWO510" s="303"/>
      <c r="AWP510" s="356"/>
      <c r="AWQ510" s="359"/>
      <c r="AWS510" s="303"/>
      <c r="AWT510" s="356"/>
      <c r="AWU510" s="359"/>
      <c r="AWW510" s="303"/>
      <c r="AWX510" s="356"/>
      <c r="AWY510" s="359"/>
      <c r="AXA510" s="303"/>
      <c r="AXB510" s="356"/>
      <c r="AXC510" s="359"/>
      <c r="AXE510" s="303"/>
      <c r="AXF510" s="356"/>
      <c r="AXG510" s="359"/>
      <c r="AXI510" s="303"/>
      <c r="AXJ510" s="356"/>
      <c r="AXK510" s="359"/>
      <c r="AXM510" s="303"/>
      <c r="AXN510" s="356"/>
      <c r="AXO510" s="359"/>
      <c r="AXQ510" s="303"/>
      <c r="AXR510" s="356"/>
      <c r="AXS510" s="359"/>
      <c r="AXU510" s="303"/>
      <c r="AXV510" s="356"/>
      <c r="AXW510" s="359"/>
      <c r="AXY510" s="303"/>
      <c r="AXZ510" s="356"/>
      <c r="AYA510" s="359"/>
      <c r="AYC510" s="303"/>
      <c r="AYD510" s="356"/>
      <c r="AYE510" s="359"/>
      <c r="AYG510" s="303"/>
      <c r="AYH510" s="356"/>
      <c r="AYI510" s="359"/>
      <c r="AYK510" s="303"/>
      <c r="AYL510" s="356"/>
      <c r="AYM510" s="359"/>
      <c r="AYO510" s="303"/>
      <c r="AYP510" s="356"/>
      <c r="AYQ510" s="359"/>
      <c r="AYS510" s="303"/>
      <c r="AYT510" s="356"/>
      <c r="AYU510" s="359"/>
      <c r="AYW510" s="303"/>
      <c r="AYX510" s="356"/>
      <c r="AYY510" s="359"/>
      <c r="AZA510" s="303"/>
      <c r="AZB510" s="356"/>
      <c r="AZC510" s="359"/>
      <c r="AZE510" s="303"/>
      <c r="AZF510" s="356"/>
      <c r="AZG510" s="359"/>
      <c r="AZI510" s="303"/>
      <c r="AZJ510" s="356"/>
      <c r="AZK510" s="359"/>
      <c r="AZM510" s="303"/>
      <c r="AZN510" s="356"/>
      <c r="AZO510" s="359"/>
      <c r="AZQ510" s="303"/>
      <c r="AZR510" s="356"/>
      <c r="AZS510" s="359"/>
      <c r="AZU510" s="303"/>
      <c r="AZV510" s="356"/>
      <c r="AZW510" s="359"/>
      <c r="AZY510" s="303"/>
      <c r="AZZ510" s="356"/>
      <c r="BAA510" s="359"/>
      <c r="BAC510" s="303"/>
      <c r="BAD510" s="356"/>
      <c r="BAE510" s="359"/>
      <c r="BAG510" s="303"/>
      <c r="BAH510" s="356"/>
      <c r="BAI510" s="359"/>
      <c r="BAK510" s="303"/>
      <c r="BAL510" s="356"/>
      <c r="BAM510" s="359"/>
      <c r="BAO510" s="303"/>
      <c r="BAP510" s="356"/>
      <c r="BAQ510" s="359"/>
      <c r="BAS510" s="303"/>
      <c r="BAT510" s="356"/>
      <c r="BAU510" s="359"/>
      <c r="BAW510" s="303"/>
      <c r="BAX510" s="356"/>
      <c r="BAY510" s="359"/>
      <c r="BBA510" s="303"/>
      <c r="BBB510" s="356"/>
      <c r="BBC510" s="359"/>
      <c r="BBE510" s="303"/>
      <c r="BBF510" s="356"/>
      <c r="BBG510" s="359"/>
      <c r="BBI510" s="303"/>
      <c r="BBJ510" s="356"/>
      <c r="BBK510" s="359"/>
      <c r="BBM510" s="303"/>
      <c r="BBN510" s="356"/>
      <c r="BBO510" s="359"/>
      <c r="BBQ510" s="303"/>
      <c r="BBR510" s="356"/>
      <c r="BBS510" s="359"/>
      <c r="BBU510" s="303"/>
      <c r="BBV510" s="356"/>
      <c r="BBW510" s="359"/>
      <c r="BBY510" s="303"/>
      <c r="BBZ510" s="356"/>
      <c r="BCA510" s="359"/>
      <c r="BCC510" s="303"/>
      <c r="BCD510" s="356"/>
      <c r="BCE510" s="359"/>
      <c r="BCG510" s="303"/>
      <c r="BCH510" s="356"/>
      <c r="BCI510" s="359"/>
      <c r="BCK510" s="303"/>
      <c r="BCL510" s="356"/>
      <c r="BCM510" s="359"/>
      <c r="BCO510" s="303"/>
      <c r="BCP510" s="356"/>
      <c r="BCQ510" s="359"/>
      <c r="BCS510" s="303"/>
      <c r="BCT510" s="356"/>
      <c r="BCU510" s="359"/>
      <c r="BCW510" s="303"/>
      <c r="BCX510" s="356"/>
      <c r="BCY510" s="359"/>
      <c r="BDA510" s="303"/>
      <c r="BDB510" s="356"/>
      <c r="BDC510" s="359"/>
      <c r="BDE510" s="303"/>
      <c r="BDF510" s="356"/>
      <c r="BDG510" s="359"/>
      <c r="BDI510" s="303"/>
      <c r="BDJ510" s="356"/>
      <c r="BDK510" s="359"/>
      <c r="BDM510" s="303"/>
      <c r="BDN510" s="356"/>
      <c r="BDO510" s="359"/>
      <c r="BDQ510" s="303"/>
      <c r="BDR510" s="356"/>
      <c r="BDS510" s="359"/>
      <c r="BDU510" s="303"/>
      <c r="BDV510" s="356"/>
      <c r="BDW510" s="359"/>
      <c r="BDY510" s="303"/>
      <c r="BDZ510" s="356"/>
      <c r="BEA510" s="359"/>
      <c r="BEC510" s="303"/>
      <c r="BED510" s="356"/>
      <c r="BEE510" s="359"/>
      <c r="BEG510" s="303"/>
      <c r="BEH510" s="356"/>
      <c r="BEI510" s="359"/>
      <c r="BEK510" s="303"/>
      <c r="BEL510" s="356"/>
      <c r="BEM510" s="359"/>
      <c r="BEO510" s="303"/>
      <c r="BEP510" s="356"/>
      <c r="BEQ510" s="359"/>
      <c r="BES510" s="303"/>
      <c r="BET510" s="356"/>
      <c r="BEU510" s="359"/>
      <c r="BEW510" s="303"/>
      <c r="BEX510" s="356"/>
      <c r="BEY510" s="359"/>
      <c r="BFA510" s="303"/>
      <c r="BFB510" s="356"/>
      <c r="BFC510" s="359"/>
      <c r="BFE510" s="303"/>
      <c r="BFF510" s="356"/>
      <c r="BFG510" s="359"/>
      <c r="BFI510" s="303"/>
      <c r="BFJ510" s="356"/>
      <c r="BFK510" s="359"/>
      <c r="BFM510" s="303"/>
      <c r="BFN510" s="356"/>
      <c r="BFO510" s="359"/>
      <c r="BFQ510" s="303"/>
      <c r="BFR510" s="356"/>
      <c r="BFS510" s="359"/>
      <c r="BFU510" s="303"/>
      <c r="BFV510" s="356"/>
      <c r="BFW510" s="359"/>
      <c r="BFY510" s="303"/>
      <c r="BFZ510" s="356"/>
      <c r="BGA510" s="359"/>
      <c r="BGC510" s="303"/>
      <c r="BGD510" s="356"/>
      <c r="BGE510" s="359"/>
      <c r="BGG510" s="303"/>
      <c r="BGH510" s="356"/>
      <c r="BGI510" s="359"/>
      <c r="BGK510" s="303"/>
      <c r="BGL510" s="356"/>
      <c r="BGM510" s="359"/>
      <c r="BGO510" s="303"/>
      <c r="BGP510" s="356"/>
      <c r="BGQ510" s="359"/>
      <c r="BGS510" s="303"/>
      <c r="BGT510" s="356"/>
      <c r="BGU510" s="359"/>
      <c r="BGW510" s="303"/>
      <c r="BGX510" s="356"/>
      <c r="BGY510" s="359"/>
      <c r="BHA510" s="303"/>
      <c r="BHB510" s="356"/>
      <c r="BHC510" s="359"/>
      <c r="BHE510" s="303"/>
      <c r="BHF510" s="356"/>
      <c r="BHG510" s="359"/>
      <c r="BHI510" s="303"/>
      <c r="BHJ510" s="356"/>
      <c r="BHK510" s="359"/>
      <c r="BHM510" s="303"/>
      <c r="BHN510" s="356"/>
      <c r="BHO510" s="359"/>
      <c r="BHQ510" s="303"/>
      <c r="BHR510" s="356"/>
      <c r="BHS510" s="359"/>
      <c r="BHU510" s="303"/>
      <c r="BHV510" s="356"/>
      <c r="BHW510" s="359"/>
      <c r="BHY510" s="303"/>
      <c r="BHZ510" s="356"/>
      <c r="BIA510" s="359"/>
      <c r="BIC510" s="303"/>
      <c r="BID510" s="356"/>
      <c r="BIE510" s="359"/>
      <c r="BIG510" s="303"/>
      <c r="BIH510" s="356"/>
      <c r="BII510" s="359"/>
      <c r="BIK510" s="303"/>
      <c r="BIL510" s="356"/>
      <c r="BIM510" s="359"/>
      <c r="BIO510" s="303"/>
      <c r="BIP510" s="356"/>
      <c r="BIQ510" s="359"/>
      <c r="BIS510" s="303"/>
      <c r="BIT510" s="356"/>
      <c r="BIU510" s="359"/>
      <c r="BIW510" s="303"/>
      <c r="BIX510" s="356"/>
      <c r="BIY510" s="359"/>
      <c r="BJA510" s="303"/>
      <c r="BJB510" s="356"/>
      <c r="BJC510" s="359"/>
      <c r="BJE510" s="303"/>
      <c r="BJF510" s="356"/>
      <c r="BJG510" s="359"/>
      <c r="BJI510" s="303"/>
      <c r="BJJ510" s="356"/>
      <c r="BJK510" s="359"/>
      <c r="BJM510" s="303"/>
      <c r="BJN510" s="356"/>
      <c r="BJO510" s="359"/>
      <c r="BJQ510" s="303"/>
      <c r="BJR510" s="356"/>
      <c r="BJS510" s="359"/>
      <c r="BJU510" s="303"/>
      <c r="BJV510" s="356"/>
      <c r="BJW510" s="359"/>
      <c r="BJY510" s="303"/>
      <c r="BJZ510" s="356"/>
      <c r="BKA510" s="359"/>
      <c r="BKC510" s="303"/>
      <c r="BKD510" s="356"/>
      <c r="BKE510" s="359"/>
      <c r="BKG510" s="303"/>
      <c r="BKH510" s="356"/>
      <c r="BKI510" s="359"/>
      <c r="BKK510" s="303"/>
      <c r="BKL510" s="356"/>
      <c r="BKM510" s="359"/>
      <c r="BKO510" s="303"/>
      <c r="BKP510" s="356"/>
      <c r="BKQ510" s="359"/>
      <c r="BKS510" s="303"/>
      <c r="BKT510" s="356"/>
      <c r="BKU510" s="359"/>
      <c r="BKW510" s="303"/>
      <c r="BKX510" s="356"/>
      <c r="BKY510" s="359"/>
      <c r="BLA510" s="303"/>
      <c r="BLB510" s="356"/>
      <c r="BLC510" s="359"/>
      <c r="BLE510" s="303"/>
      <c r="BLF510" s="356"/>
      <c r="BLG510" s="359"/>
      <c r="BLI510" s="303"/>
      <c r="BLJ510" s="356"/>
      <c r="BLK510" s="359"/>
      <c r="BLM510" s="303"/>
      <c r="BLN510" s="356"/>
      <c r="BLO510" s="359"/>
      <c r="BLQ510" s="303"/>
      <c r="BLR510" s="356"/>
      <c r="BLS510" s="359"/>
      <c r="BLU510" s="303"/>
      <c r="BLV510" s="356"/>
      <c r="BLW510" s="359"/>
      <c r="BLY510" s="303"/>
      <c r="BLZ510" s="356"/>
      <c r="BMA510" s="359"/>
      <c r="BMC510" s="303"/>
      <c r="BMD510" s="356"/>
      <c r="BME510" s="359"/>
      <c r="BMG510" s="303"/>
      <c r="BMH510" s="356"/>
      <c r="BMI510" s="359"/>
      <c r="BMK510" s="303"/>
      <c r="BML510" s="356"/>
      <c r="BMM510" s="359"/>
      <c r="BMO510" s="303"/>
      <c r="BMP510" s="356"/>
      <c r="BMQ510" s="359"/>
      <c r="BMS510" s="303"/>
      <c r="BMT510" s="356"/>
      <c r="BMU510" s="359"/>
      <c r="BMW510" s="303"/>
      <c r="BMX510" s="356"/>
      <c r="BMY510" s="359"/>
      <c r="BNA510" s="303"/>
      <c r="BNB510" s="356"/>
      <c r="BNC510" s="359"/>
      <c r="BNE510" s="303"/>
      <c r="BNF510" s="356"/>
      <c r="BNG510" s="359"/>
      <c r="BNI510" s="303"/>
      <c r="BNJ510" s="356"/>
      <c r="BNK510" s="359"/>
      <c r="BNM510" s="303"/>
      <c r="BNN510" s="356"/>
      <c r="BNO510" s="359"/>
      <c r="BNQ510" s="303"/>
      <c r="BNR510" s="356"/>
      <c r="BNS510" s="359"/>
      <c r="BNU510" s="303"/>
      <c r="BNV510" s="356"/>
      <c r="BNW510" s="359"/>
      <c r="BNY510" s="303"/>
      <c r="BNZ510" s="356"/>
      <c r="BOA510" s="359"/>
      <c r="BOC510" s="303"/>
      <c r="BOD510" s="356"/>
      <c r="BOE510" s="359"/>
      <c r="BOG510" s="303"/>
      <c r="BOH510" s="356"/>
      <c r="BOI510" s="359"/>
      <c r="BOK510" s="303"/>
      <c r="BOL510" s="356"/>
      <c r="BOM510" s="359"/>
      <c r="BOO510" s="303"/>
      <c r="BOP510" s="356"/>
      <c r="BOQ510" s="359"/>
      <c r="BOS510" s="303"/>
      <c r="BOT510" s="356"/>
      <c r="BOU510" s="359"/>
      <c r="BOW510" s="303"/>
      <c r="BOX510" s="356"/>
      <c r="BOY510" s="359"/>
      <c r="BPA510" s="303"/>
      <c r="BPB510" s="356"/>
      <c r="BPC510" s="359"/>
      <c r="BPE510" s="303"/>
      <c r="BPF510" s="356"/>
      <c r="BPG510" s="359"/>
      <c r="BPI510" s="303"/>
      <c r="BPJ510" s="356"/>
      <c r="BPK510" s="359"/>
      <c r="BPM510" s="303"/>
      <c r="BPN510" s="356"/>
      <c r="BPO510" s="359"/>
      <c r="BPQ510" s="303"/>
      <c r="BPR510" s="356"/>
      <c r="BPS510" s="359"/>
      <c r="BPU510" s="303"/>
      <c r="BPV510" s="356"/>
      <c r="BPW510" s="359"/>
      <c r="BPY510" s="303"/>
      <c r="BPZ510" s="356"/>
      <c r="BQA510" s="359"/>
      <c r="BQC510" s="303"/>
      <c r="BQD510" s="356"/>
      <c r="BQE510" s="359"/>
      <c r="BQG510" s="303"/>
      <c r="BQH510" s="356"/>
      <c r="BQI510" s="359"/>
      <c r="BQK510" s="303"/>
      <c r="BQL510" s="356"/>
      <c r="BQM510" s="359"/>
      <c r="BQO510" s="303"/>
      <c r="BQP510" s="356"/>
      <c r="BQQ510" s="359"/>
      <c r="BQS510" s="303"/>
      <c r="BQT510" s="356"/>
      <c r="BQU510" s="359"/>
      <c r="BQW510" s="303"/>
      <c r="BQX510" s="356"/>
      <c r="BQY510" s="359"/>
      <c r="BRA510" s="303"/>
      <c r="BRB510" s="356"/>
      <c r="BRC510" s="359"/>
      <c r="BRE510" s="303"/>
      <c r="BRF510" s="356"/>
      <c r="BRG510" s="359"/>
      <c r="BRI510" s="303"/>
      <c r="BRJ510" s="356"/>
      <c r="BRK510" s="359"/>
      <c r="BRM510" s="303"/>
      <c r="BRN510" s="356"/>
      <c r="BRO510" s="359"/>
      <c r="BRQ510" s="303"/>
      <c r="BRR510" s="356"/>
      <c r="BRS510" s="359"/>
      <c r="BRU510" s="303"/>
      <c r="BRV510" s="356"/>
      <c r="BRW510" s="359"/>
      <c r="BRY510" s="303"/>
      <c r="BRZ510" s="356"/>
      <c r="BSA510" s="359"/>
      <c r="BSC510" s="303"/>
      <c r="BSD510" s="356"/>
      <c r="BSE510" s="359"/>
      <c r="BSG510" s="303"/>
      <c r="BSH510" s="356"/>
      <c r="BSI510" s="359"/>
      <c r="BSK510" s="303"/>
      <c r="BSL510" s="356"/>
      <c r="BSM510" s="359"/>
      <c r="BSO510" s="303"/>
      <c r="BSP510" s="356"/>
      <c r="BSQ510" s="359"/>
      <c r="BSS510" s="303"/>
      <c r="BST510" s="356"/>
      <c r="BSU510" s="359"/>
      <c r="BSW510" s="303"/>
      <c r="BSX510" s="356"/>
      <c r="BSY510" s="359"/>
      <c r="BTA510" s="303"/>
      <c r="BTB510" s="356"/>
      <c r="BTC510" s="359"/>
      <c r="BTE510" s="303"/>
      <c r="BTF510" s="356"/>
      <c r="BTG510" s="359"/>
      <c r="BTI510" s="303"/>
      <c r="BTJ510" s="356"/>
      <c r="BTK510" s="359"/>
      <c r="BTM510" s="303"/>
      <c r="BTN510" s="356"/>
      <c r="BTO510" s="359"/>
      <c r="BTQ510" s="303"/>
      <c r="BTR510" s="356"/>
      <c r="BTS510" s="359"/>
      <c r="BTU510" s="303"/>
      <c r="BTV510" s="356"/>
      <c r="BTW510" s="359"/>
      <c r="BTY510" s="303"/>
      <c r="BTZ510" s="356"/>
      <c r="BUA510" s="359"/>
      <c r="BUC510" s="303"/>
      <c r="BUD510" s="356"/>
      <c r="BUE510" s="359"/>
      <c r="BUG510" s="303"/>
      <c r="BUH510" s="356"/>
      <c r="BUI510" s="359"/>
      <c r="BUK510" s="303"/>
      <c r="BUL510" s="356"/>
      <c r="BUM510" s="359"/>
      <c r="BUO510" s="303"/>
      <c r="BUP510" s="356"/>
      <c r="BUQ510" s="359"/>
      <c r="BUS510" s="303"/>
      <c r="BUT510" s="356"/>
      <c r="BUU510" s="359"/>
      <c r="BUW510" s="303"/>
      <c r="BUX510" s="356"/>
      <c r="BUY510" s="359"/>
      <c r="BVA510" s="303"/>
      <c r="BVB510" s="356"/>
      <c r="BVC510" s="359"/>
      <c r="BVE510" s="303"/>
      <c r="BVF510" s="356"/>
      <c r="BVG510" s="359"/>
      <c r="BVI510" s="303"/>
      <c r="BVJ510" s="356"/>
      <c r="BVK510" s="359"/>
      <c r="BVM510" s="303"/>
      <c r="BVN510" s="356"/>
      <c r="BVO510" s="359"/>
      <c r="BVQ510" s="303"/>
      <c r="BVR510" s="356"/>
      <c r="BVS510" s="359"/>
      <c r="BVU510" s="303"/>
      <c r="BVV510" s="356"/>
      <c r="BVW510" s="359"/>
      <c r="BVY510" s="303"/>
      <c r="BVZ510" s="356"/>
      <c r="BWA510" s="359"/>
      <c r="BWC510" s="303"/>
      <c r="BWD510" s="356"/>
      <c r="BWE510" s="359"/>
      <c r="BWG510" s="303"/>
      <c r="BWH510" s="356"/>
      <c r="BWI510" s="359"/>
      <c r="BWK510" s="303"/>
      <c r="BWL510" s="356"/>
      <c r="BWM510" s="359"/>
      <c r="BWO510" s="303"/>
      <c r="BWP510" s="356"/>
      <c r="BWQ510" s="359"/>
      <c r="BWS510" s="303"/>
      <c r="BWT510" s="356"/>
      <c r="BWU510" s="359"/>
      <c r="BWW510" s="303"/>
      <c r="BWX510" s="356"/>
      <c r="BWY510" s="359"/>
      <c r="BXA510" s="303"/>
      <c r="BXB510" s="356"/>
      <c r="BXC510" s="359"/>
      <c r="BXE510" s="303"/>
      <c r="BXF510" s="356"/>
      <c r="BXG510" s="359"/>
      <c r="BXI510" s="303"/>
      <c r="BXJ510" s="356"/>
      <c r="BXK510" s="359"/>
      <c r="BXM510" s="303"/>
      <c r="BXN510" s="356"/>
      <c r="BXO510" s="359"/>
      <c r="BXQ510" s="303"/>
      <c r="BXR510" s="356"/>
      <c r="BXS510" s="359"/>
      <c r="BXU510" s="303"/>
      <c r="BXV510" s="356"/>
      <c r="BXW510" s="359"/>
      <c r="BXY510" s="303"/>
      <c r="BXZ510" s="356"/>
      <c r="BYA510" s="359"/>
      <c r="BYC510" s="303"/>
      <c r="BYD510" s="356"/>
      <c r="BYE510" s="359"/>
      <c r="BYG510" s="303"/>
      <c r="BYH510" s="356"/>
      <c r="BYI510" s="359"/>
      <c r="BYK510" s="303"/>
      <c r="BYL510" s="356"/>
      <c r="BYM510" s="359"/>
      <c r="BYO510" s="303"/>
      <c r="BYP510" s="356"/>
      <c r="BYQ510" s="359"/>
      <c r="BYS510" s="303"/>
      <c r="BYT510" s="356"/>
      <c r="BYU510" s="359"/>
      <c r="BYW510" s="303"/>
      <c r="BYX510" s="356"/>
      <c r="BYY510" s="359"/>
      <c r="BZA510" s="303"/>
      <c r="BZB510" s="356"/>
      <c r="BZC510" s="359"/>
      <c r="BZE510" s="303"/>
      <c r="BZF510" s="356"/>
      <c r="BZG510" s="359"/>
      <c r="BZI510" s="303"/>
      <c r="BZJ510" s="356"/>
      <c r="BZK510" s="359"/>
      <c r="BZM510" s="303"/>
      <c r="BZN510" s="356"/>
      <c r="BZO510" s="359"/>
      <c r="BZQ510" s="303"/>
      <c r="BZR510" s="356"/>
      <c r="BZS510" s="359"/>
      <c r="BZU510" s="303"/>
      <c r="BZV510" s="356"/>
      <c r="BZW510" s="359"/>
      <c r="BZY510" s="303"/>
      <c r="BZZ510" s="356"/>
      <c r="CAA510" s="359"/>
      <c r="CAC510" s="303"/>
      <c r="CAD510" s="356"/>
      <c r="CAE510" s="359"/>
      <c r="CAG510" s="303"/>
      <c r="CAH510" s="356"/>
      <c r="CAI510" s="359"/>
      <c r="CAK510" s="303"/>
      <c r="CAL510" s="356"/>
      <c r="CAM510" s="359"/>
      <c r="CAO510" s="303"/>
      <c r="CAP510" s="356"/>
      <c r="CAQ510" s="359"/>
      <c r="CAS510" s="303"/>
      <c r="CAT510" s="356"/>
      <c r="CAU510" s="359"/>
      <c r="CAW510" s="303"/>
      <c r="CAX510" s="356"/>
      <c r="CAY510" s="359"/>
      <c r="CBA510" s="303"/>
      <c r="CBB510" s="356"/>
      <c r="CBC510" s="359"/>
      <c r="CBE510" s="303"/>
      <c r="CBF510" s="356"/>
      <c r="CBG510" s="359"/>
      <c r="CBI510" s="303"/>
      <c r="CBJ510" s="356"/>
      <c r="CBK510" s="359"/>
      <c r="CBM510" s="303"/>
      <c r="CBN510" s="356"/>
      <c r="CBO510" s="359"/>
      <c r="CBQ510" s="303"/>
      <c r="CBR510" s="356"/>
      <c r="CBS510" s="359"/>
      <c r="CBU510" s="303"/>
      <c r="CBV510" s="356"/>
      <c r="CBW510" s="359"/>
      <c r="CBY510" s="303"/>
      <c r="CBZ510" s="356"/>
      <c r="CCA510" s="359"/>
      <c r="CCC510" s="303"/>
      <c r="CCD510" s="356"/>
      <c r="CCE510" s="359"/>
      <c r="CCG510" s="303"/>
      <c r="CCH510" s="356"/>
      <c r="CCI510" s="359"/>
      <c r="CCK510" s="303"/>
      <c r="CCL510" s="356"/>
      <c r="CCM510" s="359"/>
      <c r="CCO510" s="303"/>
      <c r="CCP510" s="356"/>
      <c r="CCQ510" s="359"/>
      <c r="CCS510" s="303"/>
      <c r="CCT510" s="356"/>
      <c r="CCU510" s="359"/>
      <c r="CCW510" s="303"/>
      <c r="CCX510" s="356"/>
      <c r="CCY510" s="359"/>
      <c r="CDA510" s="303"/>
      <c r="CDB510" s="356"/>
      <c r="CDC510" s="359"/>
      <c r="CDE510" s="303"/>
      <c r="CDF510" s="356"/>
      <c r="CDG510" s="359"/>
      <c r="CDI510" s="303"/>
      <c r="CDJ510" s="356"/>
      <c r="CDK510" s="359"/>
      <c r="CDM510" s="303"/>
      <c r="CDN510" s="356"/>
      <c r="CDO510" s="359"/>
      <c r="CDQ510" s="303"/>
      <c r="CDR510" s="356"/>
      <c r="CDS510" s="359"/>
      <c r="CDU510" s="303"/>
      <c r="CDV510" s="356"/>
      <c r="CDW510" s="359"/>
      <c r="CDY510" s="303"/>
      <c r="CDZ510" s="356"/>
      <c r="CEA510" s="359"/>
      <c r="CEC510" s="303"/>
      <c r="CED510" s="356"/>
      <c r="CEE510" s="359"/>
      <c r="CEG510" s="303"/>
      <c r="CEH510" s="356"/>
      <c r="CEI510" s="359"/>
      <c r="CEK510" s="303"/>
      <c r="CEL510" s="356"/>
      <c r="CEM510" s="359"/>
      <c r="CEO510" s="303"/>
      <c r="CEP510" s="356"/>
      <c r="CEQ510" s="359"/>
      <c r="CES510" s="303"/>
      <c r="CET510" s="356"/>
      <c r="CEU510" s="359"/>
      <c r="CEW510" s="303"/>
      <c r="CEX510" s="356"/>
      <c r="CEY510" s="359"/>
      <c r="CFA510" s="303"/>
      <c r="CFB510" s="356"/>
      <c r="CFC510" s="359"/>
      <c r="CFE510" s="303"/>
      <c r="CFF510" s="356"/>
      <c r="CFG510" s="359"/>
      <c r="CFI510" s="303"/>
      <c r="CFJ510" s="356"/>
      <c r="CFK510" s="359"/>
      <c r="CFM510" s="303"/>
      <c r="CFN510" s="356"/>
      <c r="CFO510" s="359"/>
      <c r="CFQ510" s="303"/>
      <c r="CFR510" s="356"/>
      <c r="CFS510" s="359"/>
      <c r="CFU510" s="303"/>
      <c r="CFV510" s="356"/>
      <c r="CFW510" s="359"/>
      <c r="CFY510" s="303"/>
      <c r="CFZ510" s="356"/>
      <c r="CGA510" s="359"/>
      <c r="CGC510" s="303"/>
      <c r="CGD510" s="356"/>
      <c r="CGE510" s="359"/>
      <c r="CGG510" s="303"/>
      <c r="CGH510" s="356"/>
      <c r="CGI510" s="359"/>
      <c r="CGK510" s="303"/>
      <c r="CGL510" s="356"/>
      <c r="CGM510" s="359"/>
      <c r="CGO510" s="303"/>
      <c r="CGP510" s="356"/>
      <c r="CGQ510" s="359"/>
      <c r="CGS510" s="303"/>
      <c r="CGT510" s="356"/>
      <c r="CGU510" s="359"/>
      <c r="CGW510" s="303"/>
      <c r="CGX510" s="356"/>
      <c r="CGY510" s="359"/>
      <c r="CHA510" s="303"/>
      <c r="CHB510" s="356"/>
      <c r="CHC510" s="359"/>
      <c r="CHE510" s="303"/>
      <c r="CHF510" s="356"/>
      <c r="CHG510" s="359"/>
      <c r="CHI510" s="303"/>
      <c r="CHJ510" s="356"/>
      <c r="CHK510" s="359"/>
      <c r="CHM510" s="303"/>
      <c r="CHN510" s="356"/>
      <c r="CHO510" s="359"/>
      <c r="CHQ510" s="303"/>
      <c r="CHR510" s="356"/>
      <c r="CHS510" s="359"/>
      <c r="CHU510" s="303"/>
      <c r="CHV510" s="356"/>
      <c r="CHW510" s="359"/>
      <c r="CHY510" s="303"/>
      <c r="CHZ510" s="356"/>
      <c r="CIA510" s="359"/>
      <c r="CIC510" s="303"/>
      <c r="CID510" s="356"/>
      <c r="CIE510" s="359"/>
      <c r="CIG510" s="303"/>
      <c r="CIH510" s="356"/>
      <c r="CII510" s="359"/>
      <c r="CIK510" s="303"/>
      <c r="CIL510" s="356"/>
      <c r="CIM510" s="359"/>
      <c r="CIO510" s="303"/>
      <c r="CIP510" s="356"/>
      <c r="CIQ510" s="359"/>
      <c r="CIS510" s="303"/>
      <c r="CIT510" s="356"/>
      <c r="CIU510" s="359"/>
      <c r="CIW510" s="303"/>
      <c r="CIX510" s="356"/>
      <c r="CIY510" s="359"/>
      <c r="CJA510" s="303"/>
      <c r="CJB510" s="356"/>
      <c r="CJC510" s="359"/>
      <c r="CJE510" s="303"/>
      <c r="CJF510" s="356"/>
      <c r="CJG510" s="359"/>
      <c r="CJI510" s="303"/>
      <c r="CJJ510" s="356"/>
      <c r="CJK510" s="359"/>
      <c r="CJM510" s="303"/>
      <c r="CJN510" s="356"/>
      <c r="CJO510" s="359"/>
      <c r="CJQ510" s="303"/>
      <c r="CJR510" s="356"/>
      <c r="CJS510" s="359"/>
      <c r="CJU510" s="303"/>
      <c r="CJV510" s="356"/>
      <c r="CJW510" s="359"/>
      <c r="CJY510" s="303"/>
      <c r="CJZ510" s="356"/>
      <c r="CKA510" s="359"/>
      <c r="CKC510" s="303"/>
      <c r="CKD510" s="356"/>
      <c r="CKE510" s="359"/>
      <c r="CKG510" s="303"/>
      <c r="CKH510" s="356"/>
      <c r="CKI510" s="359"/>
      <c r="CKK510" s="303"/>
      <c r="CKL510" s="356"/>
      <c r="CKM510" s="359"/>
      <c r="CKO510" s="303"/>
      <c r="CKP510" s="356"/>
      <c r="CKQ510" s="359"/>
      <c r="CKS510" s="303"/>
      <c r="CKT510" s="356"/>
      <c r="CKU510" s="359"/>
      <c r="CKW510" s="303"/>
      <c r="CKX510" s="356"/>
      <c r="CKY510" s="359"/>
      <c r="CLA510" s="303"/>
      <c r="CLB510" s="356"/>
      <c r="CLC510" s="359"/>
      <c r="CLE510" s="303"/>
      <c r="CLF510" s="356"/>
      <c r="CLG510" s="359"/>
      <c r="CLI510" s="303"/>
      <c r="CLJ510" s="356"/>
      <c r="CLK510" s="359"/>
      <c r="CLM510" s="303"/>
      <c r="CLN510" s="356"/>
      <c r="CLO510" s="359"/>
      <c r="CLQ510" s="303"/>
      <c r="CLR510" s="356"/>
      <c r="CLS510" s="359"/>
      <c r="CLU510" s="303"/>
      <c r="CLV510" s="356"/>
      <c r="CLW510" s="359"/>
      <c r="CLY510" s="303"/>
      <c r="CLZ510" s="356"/>
      <c r="CMA510" s="359"/>
      <c r="CMC510" s="303"/>
      <c r="CMD510" s="356"/>
      <c r="CME510" s="359"/>
      <c r="CMG510" s="303"/>
      <c r="CMH510" s="356"/>
      <c r="CMI510" s="359"/>
      <c r="CMK510" s="303"/>
      <c r="CML510" s="356"/>
      <c r="CMM510" s="359"/>
      <c r="CMO510" s="303"/>
      <c r="CMP510" s="356"/>
      <c r="CMQ510" s="359"/>
      <c r="CMS510" s="303"/>
      <c r="CMT510" s="356"/>
      <c r="CMU510" s="359"/>
      <c r="CMW510" s="303"/>
      <c r="CMX510" s="356"/>
      <c r="CMY510" s="359"/>
      <c r="CNA510" s="303"/>
      <c r="CNB510" s="356"/>
      <c r="CNC510" s="359"/>
      <c r="CNE510" s="303"/>
      <c r="CNF510" s="356"/>
      <c r="CNG510" s="359"/>
      <c r="CNI510" s="303"/>
      <c r="CNJ510" s="356"/>
      <c r="CNK510" s="359"/>
      <c r="CNM510" s="303"/>
      <c r="CNN510" s="356"/>
      <c r="CNO510" s="359"/>
      <c r="CNQ510" s="303"/>
      <c r="CNR510" s="356"/>
      <c r="CNS510" s="359"/>
      <c r="CNU510" s="303"/>
      <c r="CNV510" s="356"/>
      <c r="CNW510" s="359"/>
      <c r="CNY510" s="303"/>
      <c r="CNZ510" s="356"/>
      <c r="COA510" s="359"/>
      <c r="COC510" s="303"/>
      <c r="COD510" s="356"/>
      <c r="COE510" s="359"/>
      <c r="COG510" s="303"/>
      <c r="COH510" s="356"/>
      <c r="COI510" s="359"/>
      <c r="COK510" s="303"/>
      <c r="COL510" s="356"/>
      <c r="COM510" s="359"/>
      <c r="COO510" s="303"/>
      <c r="COP510" s="356"/>
      <c r="COQ510" s="359"/>
      <c r="COS510" s="303"/>
      <c r="COT510" s="356"/>
      <c r="COU510" s="359"/>
      <c r="COW510" s="303"/>
      <c r="COX510" s="356"/>
      <c r="COY510" s="359"/>
      <c r="CPA510" s="303"/>
      <c r="CPB510" s="356"/>
      <c r="CPC510" s="359"/>
      <c r="CPE510" s="303"/>
      <c r="CPF510" s="356"/>
      <c r="CPG510" s="359"/>
      <c r="CPI510" s="303"/>
      <c r="CPJ510" s="356"/>
      <c r="CPK510" s="359"/>
      <c r="CPM510" s="303"/>
      <c r="CPN510" s="356"/>
      <c r="CPO510" s="359"/>
      <c r="CPQ510" s="303"/>
      <c r="CPR510" s="356"/>
      <c r="CPS510" s="359"/>
      <c r="CPU510" s="303"/>
      <c r="CPV510" s="356"/>
      <c r="CPW510" s="359"/>
      <c r="CPY510" s="303"/>
      <c r="CPZ510" s="356"/>
      <c r="CQA510" s="359"/>
      <c r="CQC510" s="303"/>
      <c r="CQD510" s="356"/>
      <c r="CQE510" s="359"/>
      <c r="CQG510" s="303"/>
      <c r="CQH510" s="356"/>
      <c r="CQI510" s="359"/>
      <c r="CQK510" s="303"/>
      <c r="CQL510" s="356"/>
      <c r="CQM510" s="359"/>
      <c r="CQO510" s="303"/>
      <c r="CQP510" s="356"/>
      <c r="CQQ510" s="359"/>
      <c r="CQS510" s="303"/>
      <c r="CQT510" s="356"/>
      <c r="CQU510" s="359"/>
      <c r="CQW510" s="303"/>
      <c r="CQX510" s="356"/>
      <c r="CQY510" s="359"/>
      <c r="CRA510" s="303"/>
      <c r="CRB510" s="356"/>
      <c r="CRC510" s="359"/>
      <c r="CRE510" s="303"/>
      <c r="CRF510" s="356"/>
      <c r="CRG510" s="359"/>
      <c r="CRI510" s="303"/>
      <c r="CRJ510" s="356"/>
      <c r="CRK510" s="359"/>
      <c r="CRM510" s="303"/>
      <c r="CRN510" s="356"/>
      <c r="CRO510" s="359"/>
      <c r="CRQ510" s="303"/>
      <c r="CRR510" s="356"/>
      <c r="CRS510" s="359"/>
      <c r="CRU510" s="303"/>
      <c r="CRV510" s="356"/>
      <c r="CRW510" s="359"/>
      <c r="CRY510" s="303"/>
      <c r="CRZ510" s="356"/>
      <c r="CSA510" s="359"/>
      <c r="CSC510" s="303"/>
      <c r="CSD510" s="356"/>
      <c r="CSE510" s="359"/>
      <c r="CSG510" s="303"/>
      <c r="CSH510" s="356"/>
      <c r="CSI510" s="359"/>
      <c r="CSK510" s="303"/>
      <c r="CSL510" s="356"/>
      <c r="CSM510" s="359"/>
      <c r="CSO510" s="303"/>
      <c r="CSP510" s="356"/>
      <c r="CSQ510" s="359"/>
      <c r="CSS510" s="303"/>
      <c r="CST510" s="356"/>
      <c r="CSU510" s="359"/>
      <c r="CSW510" s="303"/>
      <c r="CSX510" s="356"/>
      <c r="CSY510" s="359"/>
      <c r="CTA510" s="303"/>
      <c r="CTB510" s="356"/>
      <c r="CTC510" s="359"/>
      <c r="CTE510" s="303"/>
      <c r="CTF510" s="356"/>
      <c r="CTG510" s="359"/>
      <c r="CTI510" s="303"/>
      <c r="CTJ510" s="356"/>
      <c r="CTK510" s="359"/>
      <c r="CTM510" s="303"/>
      <c r="CTN510" s="356"/>
      <c r="CTO510" s="359"/>
      <c r="CTQ510" s="303"/>
      <c r="CTR510" s="356"/>
      <c r="CTS510" s="359"/>
      <c r="CTU510" s="303"/>
      <c r="CTV510" s="356"/>
      <c r="CTW510" s="359"/>
      <c r="CTY510" s="303"/>
      <c r="CTZ510" s="356"/>
      <c r="CUA510" s="359"/>
      <c r="CUC510" s="303"/>
      <c r="CUD510" s="356"/>
      <c r="CUE510" s="359"/>
      <c r="CUG510" s="303"/>
      <c r="CUH510" s="356"/>
      <c r="CUI510" s="359"/>
      <c r="CUK510" s="303"/>
      <c r="CUL510" s="356"/>
      <c r="CUM510" s="359"/>
      <c r="CUO510" s="303"/>
      <c r="CUP510" s="356"/>
      <c r="CUQ510" s="359"/>
      <c r="CUS510" s="303"/>
      <c r="CUT510" s="356"/>
      <c r="CUU510" s="359"/>
      <c r="CUW510" s="303"/>
      <c r="CUX510" s="356"/>
      <c r="CUY510" s="359"/>
      <c r="CVA510" s="303"/>
      <c r="CVB510" s="356"/>
      <c r="CVC510" s="359"/>
      <c r="CVE510" s="303"/>
      <c r="CVF510" s="356"/>
      <c r="CVG510" s="359"/>
      <c r="CVI510" s="303"/>
      <c r="CVJ510" s="356"/>
      <c r="CVK510" s="359"/>
      <c r="CVM510" s="303"/>
      <c r="CVN510" s="356"/>
      <c r="CVO510" s="359"/>
      <c r="CVQ510" s="303"/>
      <c r="CVR510" s="356"/>
      <c r="CVS510" s="359"/>
      <c r="CVU510" s="303"/>
      <c r="CVV510" s="356"/>
      <c r="CVW510" s="359"/>
      <c r="CVY510" s="303"/>
      <c r="CVZ510" s="356"/>
      <c r="CWA510" s="359"/>
      <c r="CWC510" s="303"/>
      <c r="CWD510" s="356"/>
      <c r="CWE510" s="359"/>
      <c r="CWG510" s="303"/>
      <c r="CWH510" s="356"/>
      <c r="CWI510" s="359"/>
      <c r="CWK510" s="303"/>
      <c r="CWL510" s="356"/>
      <c r="CWM510" s="359"/>
      <c r="CWO510" s="303"/>
      <c r="CWP510" s="356"/>
      <c r="CWQ510" s="359"/>
      <c r="CWS510" s="303"/>
      <c r="CWT510" s="356"/>
      <c r="CWU510" s="359"/>
      <c r="CWW510" s="303"/>
      <c r="CWX510" s="356"/>
      <c r="CWY510" s="359"/>
      <c r="CXA510" s="303"/>
      <c r="CXB510" s="356"/>
      <c r="CXC510" s="359"/>
      <c r="CXE510" s="303"/>
      <c r="CXF510" s="356"/>
      <c r="CXG510" s="359"/>
      <c r="CXI510" s="303"/>
      <c r="CXJ510" s="356"/>
      <c r="CXK510" s="359"/>
      <c r="CXM510" s="303"/>
      <c r="CXN510" s="356"/>
      <c r="CXO510" s="359"/>
      <c r="CXQ510" s="303"/>
      <c r="CXR510" s="356"/>
      <c r="CXS510" s="359"/>
      <c r="CXU510" s="303"/>
      <c r="CXV510" s="356"/>
      <c r="CXW510" s="359"/>
      <c r="CXY510" s="303"/>
      <c r="CXZ510" s="356"/>
      <c r="CYA510" s="359"/>
      <c r="CYC510" s="303"/>
      <c r="CYD510" s="356"/>
      <c r="CYE510" s="359"/>
      <c r="CYG510" s="303"/>
      <c r="CYH510" s="356"/>
      <c r="CYI510" s="359"/>
      <c r="CYK510" s="303"/>
      <c r="CYL510" s="356"/>
      <c r="CYM510" s="359"/>
      <c r="CYO510" s="303"/>
      <c r="CYP510" s="356"/>
      <c r="CYQ510" s="359"/>
      <c r="CYS510" s="303"/>
      <c r="CYT510" s="356"/>
      <c r="CYU510" s="359"/>
      <c r="CYW510" s="303"/>
      <c r="CYX510" s="356"/>
      <c r="CYY510" s="359"/>
      <c r="CZA510" s="303"/>
      <c r="CZB510" s="356"/>
      <c r="CZC510" s="359"/>
      <c r="CZE510" s="303"/>
      <c r="CZF510" s="356"/>
      <c r="CZG510" s="359"/>
      <c r="CZI510" s="303"/>
      <c r="CZJ510" s="356"/>
      <c r="CZK510" s="359"/>
      <c r="CZM510" s="303"/>
      <c r="CZN510" s="356"/>
      <c r="CZO510" s="359"/>
      <c r="CZQ510" s="303"/>
      <c r="CZR510" s="356"/>
      <c r="CZS510" s="359"/>
      <c r="CZU510" s="303"/>
      <c r="CZV510" s="356"/>
      <c r="CZW510" s="359"/>
      <c r="CZY510" s="303"/>
      <c r="CZZ510" s="356"/>
      <c r="DAA510" s="359"/>
      <c r="DAC510" s="303"/>
      <c r="DAD510" s="356"/>
      <c r="DAE510" s="359"/>
      <c r="DAG510" s="303"/>
      <c r="DAH510" s="356"/>
      <c r="DAI510" s="359"/>
      <c r="DAK510" s="303"/>
      <c r="DAL510" s="356"/>
      <c r="DAM510" s="359"/>
      <c r="DAO510" s="303"/>
      <c r="DAP510" s="356"/>
      <c r="DAQ510" s="359"/>
      <c r="DAS510" s="303"/>
      <c r="DAT510" s="356"/>
      <c r="DAU510" s="359"/>
      <c r="DAW510" s="303"/>
      <c r="DAX510" s="356"/>
      <c r="DAY510" s="359"/>
      <c r="DBA510" s="303"/>
      <c r="DBB510" s="356"/>
      <c r="DBC510" s="359"/>
      <c r="DBE510" s="303"/>
      <c r="DBF510" s="356"/>
      <c r="DBG510" s="359"/>
      <c r="DBI510" s="303"/>
      <c r="DBJ510" s="356"/>
      <c r="DBK510" s="359"/>
      <c r="DBM510" s="303"/>
      <c r="DBN510" s="356"/>
      <c r="DBO510" s="359"/>
      <c r="DBQ510" s="303"/>
      <c r="DBR510" s="356"/>
      <c r="DBS510" s="359"/>
      <c r="DBU510" s="303"/>
      <c r="DBV510" s="356"/>
      <c r="DBW510" s="359"/>
      <c r="DBY510" s="303"/>
      <c r="DBZ510" s="356"/>
      <c r="DCA510" s="359"/>
      <c r="DCC510" s="303"/>
      <c r="DCD510" s="356"/>
      <c r="DCE510" s="359"/>
      <c r="DCG510" s="303"/>
      <c r="DCH510" s="356"/>
      <c r="DCI510" s="359"/>
      <c r="DCK510" s="303"/>
      <c r="DCL510" s="356"/>
      <c r="DCM510" s="359"/>
      <c r="DCO510" s="303"/>
      <c r="DCP510" s="356"/>
      <c r="DCQ510" s="359"/>
      <c r="DCS510" s="303"/>
      <c r="DCT510" s="356"/>
      <c r="DCU510" s="359"/>
      <c r="DCW510" s="303"/>
      <c r="DCX510" s="356"/>
      <c r="DCY510" s="359"/>
      <c r="DDA510" s="303"/>
      <c r="DDB510" s="356"/>
      <c r="DDC510" s="359"/>
      <c r="DDE510" s="303"/>
      <c r="DDF510" s="356"/>
      <c r="DDG510" s="359"/>
      <c r="DDI510" s="303"/>
      <c r="DDJ510" s="356"/>
      <c r="DDK510" s="359"/>
      <c r="DDM510" s="303"/>
      <c r="DDN510" s="356"/>
      <c r="DDO510" s="359"/>
      <c r="DDQ510" s="303"/>
      <c r="DDR510" s="356"/>
      <c r="DDS510" s="359"/>
      <c r="DDU510" s="303"/>
      <c r="DDV510" s="356"/>
      <c r="DDW510" s="359"/>
      <c r="DDY510" s="303"/>
      <c r="DDZ510" s="356"/>
      <c r="DEA510" s="359"/>
      <c r="DEC510" s="303"/>
      <c r="DED510" s="356"/>
      <c r="DEE510" s="359"/>
      <c r="DEG510" s="303"/>
      <c r="DEH510" s="356"/>
      <c r="DEI510" s="359"/>
      <c r="DEK510" s="303"/>
      <c r="DEL510" s="356"/>
      <c r="DEM510" s="359"/>
      <c r="DEO510" s="303"/>
      <c r="DEP510" s="356"/>
      <c r="DEQ510" s="359"/>
      <c r="DES510" s="303"/>
      <c r="DET510" s="356"/>
      <c r="DEU510" s="359"/>
      <c r="DEW510" s="303"/>
      <c r="DEX510" s="356"/>
      <c r="DEY510" s="359"/>
      <c r="DFA510" s="303"/>
      <c r="DFB510" s="356"/>
      <c r="DFC510" s="359"/>
      <c r="DFE510" s="303"/>
      <c r="DFF510" s="356"/>
      <c r="DFG510" s="359"/>
      <c r="DFI510" s="303"/>
      <c r="DFJ510" s="356"/>
      <c r="DFK510" s="359"/>
      <c r="DFM510" s="303"/>
      <c r="DFN510" s="356"/>
      <c r="DFO510" s="359"/>
      <c r="DFQ510" s="303"/>
      <c r="DFR510" s="356"/>
      <c r="DFS510" s="359"/>
      <c r="DFU510" s="303"/>
      <c r="DFV510" s="356"/>
      <c r="DFW510" s="359"/>
      <c r="DFY510" s="303"/>
      <c r="DFZ510" s="356"/>
      <c r="DGA510" s="359"/>
      <c r="DGC510" s="303"/>
      <c r="DGD510" s="356"/>
      <c r="DGE510" s="359"/>
      <c r="DGG510" s="303"/>
      <c r="DGH510" s="356"/>
      <c r="DGI510" s="359"/>
      <c r="DGK510" s="303"/>
      <c r="DGL510" s="356"/>
      <c r="DGM510" s="359"/>
      <c r="DGO510" s="303"/>
      <c r="DGP510" s="356"/>
      <c r="DGQ510" s="359"/>
      <c r="DGS510" s="303"/>
      <c r="DGT510" s="356"/>
      <c r="DGU510" s="359"/>
      <c r="DGW510" s="303"/>
      <c r="DGX510" s="356"/>
      <c r="DGY510" s="359"/>
      <c r="DHA510" s="303"/>
      <c r="DHB510" s="356"/>
      <c r="DHC510" s="359"/>
      <c r="DHE510" s="303"/>
      <c r="DHF510" s="356"/>
      <c r="DHG510" s="359"/>
      <c r="DHI510" s="303"/>
      <c r="DHJ510" s="356"/>
      <c r="DHK510" s="359"/>
      <c r="DHM510" s="303"/>
      <c r="DHN510" s="356"/>
      <c r="DHO510" s="359"/>
      <c r="DHQ510" s="303"/>
      <c r="DHR510" s="356"/>
      <c r="DHS510" s="359"/>
      <c r="DHU510" s="303"/>
      <c r="DHV510" s="356"/>
      <c r="DHW510" s="359"/>
      <c r="DHY510" s="303"/>
      <c r="DHZ510" s="356"/>
      <c r="DIA510" s="359"/>
      <c r="DIC510" s="303"/>
      <c r="DID510" s="356"/>
      <c r="DIE510" s="359"/>
      <c r="DIG510" s="303"/>
      <c r="DIH510" s="356"/>
      <c r="DII510" s="359"/>
      <c r="DIK510" s="303"/>
      <c r="DIL510" s="356"/>
      <c r="DIM510" s="359"/>
      <c r="DIO510" s="303"/>
      <c r="DIP510" s="356"/>
      <c r="DIQ510" s="359"/>
      <c r="DIS510" s="303"/>
      <c r="DIT510" s="356"/>
      <c r="DIU510" s="359"/>
      <c r="DIW510" s="303"/>
      <c r="DIX510" s="356"/>
      <c r="DIY510" s="359"/>
      <c r="DJA510" s="303"/>
      <c r="DJB510" s="356"/>
      <c r="DJC510" s="359"/>
      <c r="DJE510" s="303"/>
      <c r="DJF510" s="356"/>
      <c r="DJG510" s="359"/>
      <c r="DJI510" s="303"/>
      <c r="DJJ510" s="356"/>
      <c r="DJK510" s="359"/>
      <c r="DJM510" s="303"/>
      <c r="DJN510" s="356"/>
      <c r="DJO510" s="359"/>
      <c r="DJQ510" s="303"/>
      <c r="DJR510" s="356"/>
      <c r="DJS510" s="359"/>
      <c r="DJU510" s="303"/>
      <c r="DJV510" s="356"/>
      <c r="DJW510" s="359"/>
      <c r="DJY510" s="303"/>
      <c r="DJZ510" s="356"/>
      <c r="DKA510" s="359"/>
      <c r="DKC510" s="303"/>
      <c r="DKD510" s="356"/>
      <c r="DKE510" s="359"/>
      <c r="DKG510" s="303"/>
      <c r="DKH510" s="356"/>
      <c r="DKI510" s="359"/>
      <c r="DKK510" s="303"/>
      <c r="DKL510" s="356"/>
      <c r="DKM510" s="359"/>
      <c r="DKO510" s="303"/>
      <c r="DKP510" s="356"/>
      <c r="DKQ510" s="359"/>
      <c r="DKS510" s="303"/>
      <c r="DKT510" s="356"/>
      <c r="DKU510" s="359"/>
      <c r="DKW510" s="303"/>
      <c r="DKX510" s="356"/>
      <c r="DKY510" s="359"/>
      <c r="DLA510" s="303"/>
      <c r="DLB510" s="356"/>
      <c r="DLC510" s="359"/>
      <c r="DLE510" s="303"/>
      <c r="DLF510" s="356"/>
      <c r="DLG510" s="359"/>
      <c r="DLI510" s="303"/>
      <c r="DLJ510" s="356"/>
      <c r="DLK510" s="359"/>
      <c r="DLM510" s="303"/>
      <c r="DLN510" s="356"/>
      <c r="DLO510" s="359"/>
      <c r="DLQ510" s="303"/>
      <c r="DLR510" s="356"/>
      <c r="DLS510" s="359"/>
      <c r="DLU510" s="303"/>
      <c r="DLV510" s="356"/>
      <c r="DLW510" s="359"/>
      <c r="DLY510" s="303"/>
      <c r="DLZ510" s="356"/>
      <c r="DMA510" s="359"/>
      <c r="DMC510" s="303"/>
      <c r="DMD510" s="356"/>
      <c r="DME510" s="359"/>
      <c r="DMG510" s="303"/>
      <c r="DMH510" s="356"/>
      <c r="DMI510" s="359"/>
      <c r="DMK510" s="303"/>
      <c r="DML510" s="356"/>
      <c r="DMM510" s="359"/>
      <c r="DMO510" s="303"/>
      <c r="DMP510" s="356"/>
      <c r="DMQ510" s="359"/>
      <c r="DMS510" s="303"/>
      <c r="DMT510" s="356"/>
      <c r="DMU510" s="359"/>
      <c r="DMW510" s="303"/>
      <c r="DMX510" s="356"/>
      <c r="DMY510" s="359"/>
      <c r="DNA510" s="303"/>
      <c r="DNB510" s="356"/>
      <c r="DNC510" s="359"/>
      <c r="DNE510" s="303"/>
      <c r="DNF510" s="356"/>
      <c r="DNG510" s="359"/>
      <c r="DNI510" s="303"/>
      <c r="DNJ510" s="356"/>
      <c r="DNK510" s="359"/>
      <c r="DNM510" s="303"/>
      <c r="DNN510" s="356"/>
      <c r="DNO510" s="359"/>
      <c r="DNQ510" s="303"/>
      <c r="DNR510" s="356"/>
      <c r="DNS510" s="359"/>
      <c r="DNU510" s="303"/>
      <c r="DNV510" s="356"/>
      <c r="DNW510" s="359"/>
      <c r="DNY510" s="303"/>
      <c r="DNZ510" s="356"/>
      <c r="DOA510" s="359"/>
      <c r="DOC510" s="303"/>
      <c r="DOD510" s="356"/>
      <c r="DOE510" s="359"/>
      <c r="DOG510" s="303"/>
      <c r="DOH510" s="356"/>
      <c r="DOI510" s="359"/>
      <c r="DOK510" s="303"/>
      <c r="DOL510" s="356"/>
      <c r="DOM510" s="359"/>
      <c r="DOO510" s="303"/>
      <c r="DOP510" s="356"/>
      <c r="DOQ510" s="359"/>
      <c r="DOS510" s="303"/>
      <c r="DOT510" s="356"/>
      <c r="DOU510" s="359"/>
      <c r="DOW510" s="303"/>
      <c r="DOX510" s="356"/>
      <c r="DOY510" s="359"/>
      <c r="DPA510" s="303"/>
      <c r="DPB510" s="356"/>
      <c r="DPC510" s="359"/>
      <c r="DPE510" s="303"/>
      <c r="DPF510" s="356"/>
      <c r="DPG510" s="359"/>
      <c r="DPI510" s="303"/>
      <c r="DPJ510" s="356"/>
      <c r="DPK510" s="359"/>
      <c r="DPM510" s="303"/>
      <c r="DPN510" s="356"/>
      <c r="DPO510" s="359"/>
      <c r="DPQ510" s="303"/>
      <c r="DPR510" s="356"/>
      <c r="DPS510" s="359"/>
      <c r="DPU510" s="303"/>
      <c r="DPV510" s="356"/>
      <c r="DPW510" s="359"/>
      <c r="DPY510" s="303"/>
      <c r="DPZ510" s="356"/>
      <c r="DQA510" s="359"/>
      <c r="DQC510" s="303"/>
      <c r="DQD510" s="356"/>
      <c r="DQE510" s="359"/>
      <c r="DQG510" s="303"/>
      <c r="DQH510" s="356"/>
      <c r="DQI510" s="359"/>
      <c r="DQK510" s="303"/>
      <c r="DQL510" s="356"/>
      <c r="DQM510" s="359"/>
      <c r="DQO510" s="303"/>
      <c r="DQP510" s="356"/>
      <c r="DQQ510" s="359"/>
      <c r="DQS510" s="303"/>
      <c r="DQT510" s="356"/>
      <c r="DQU510" s="359"/>
      <c r="DQW510" s="303"/>
      <c r="DQX510" s="356"/>
      <c r="DQY510" s="359"/>
      <c r="DRA510" s="303"/>
      <c r="DRB510" s="356"/>
      <c r="DRC510" s="359"/>
      <c r="DRE510" s="303"/>
      <c r="DRF510" s="356"/>
      <c r="DRG510" s="359"/>
      <c r="DRI510" s="303"/>
      <c r="DRJ510" s="356"/>
      <c r="DRK510" s="359"/>
      <c r="DRM510" s="303"/>
      <c r="DRN510" s="356"/>
      <c r="DRO510" s="359"/>
      <c r="DRQ510" s="303"/>
      <c r="DRR510" s="356"/>
      <c r="DRS510" s="359"/>
      <c r="DRU510" s="303"/>
      <c r="DRV510" s="356"/>
      <c r="DRW510" s="359"/>
      <c r="DRY510" s="303"/>
      <c r="DRZ510" s="356"/>
      <c r="DSA510" s="359"/>
      <c r="DSC510" s="303"/>
      <c r="DSD510" s="356"/>
      <c r="DSE510" s="359"/>
      <c r="DSG510" s="303"/>
      <c r="DSH510" s="356"/>
      <c r="DSI510" s="359"/>
      <c r="DSK510" s="303"/>
      <c r="DSL510" s="356"/>
      <c r="DSM510" s="359"/>
      <c r="DSO510" s="303"/>
      <c r="DSP510" s="356"/>
      <c r="DSQ510" s="359"/>
      <c r="DSS510" s="303"/>
      <c r="DST510" s="356"/>
      <c r="DSU510" s="359"/>
      <c r="DSW510" s="303"/>
      <c r="DSX510" s="356"/>
      <c r="DSY510" s="359"/>
      <c r="DTA510" s="303"/>
      <c r="DTB510" s="356"/>
      <c r="DTC510" s="359"/>
      <c r="DTE510" s="303"/>
      <c r="DTF510" s="356"/>
      <c r="DTG510" s="359"/>
      <c r="DTI510" s="303"/>
      <c r="DTJ510" s="356"/>
      <c r="DTK510" s="359"/>
      <c r="DTM510" s="303"/>
      <c r="DTN510" s="356"/>
      <c r="DTO510" s="359"/>
      <c r="DTQ510" s="303"/>
      <c r="DTR510" s="356"/>
      <c r="DTS510" s="359"/>
      <c r="DTU510" s="303"/>
      <c r="DTV510" s="356"/>
      <c r="DTW510" s="359"/>
      <c r="DTY510" s="303"/>
      <c r="DTZ510" s="356"/>
      <c r="DUA510" s="359"/>
      <c r="DUC510" s="303"/>
      <c r="DUD510" s="356"/>
      <c r="DUE510" s="359"/>
      <c r="DUG510" s="303"/>
      <c r="DUH510" s="356"/>
      <c r="DUI510" s="359"/>
      <c r="DUK510" s="303"/>
      <c r="DUL510" s="356"/>
      <c r="DUM510" s="359"/>
      <c r="DUO510" s="303"/>
      <c r="DUP510" s="356"/>
      <c r="DUQ510" s="359"/>
      <c r="DUS510" s="303"/>
      <c r="DUT510" s="356"/>
      <c r="DUU510" s="359"/>
      <c r="DUW510" s="303"/>
      <c r="DUX510" s="356"/>
      <c r="DUY510" s="359"/>
      <c r="DVA510" s="303"/>
      <c r="DVB510" s="356"/>
      <c r="DVC510" s="359"/>
      <c r="DVE510" s="303"/>
      <c r="DVF510" s="356"/>
      <c r="DVG510" s="359"/>
      <c r="DVI510" s="303"/>
      <c r="DVJ510" s="356"/>
      <c r="DVK510" s="359"/>
      <c r="DVM510" s="303"/>
      <c r="DVN510" s="356"/>
      <c r="DVO510" s="359"/>
      <c r="DVQ510" s="303"/>
      <c r="DVR510" s="356"/>
      <c r="DVS510" s="359"/>
      <c r="DVU510" s="303"/>
      <c r="DVV510" s="356"/>
      <c r="DVW510" s="359"/>
      <c r="DVY510" s="303"/>
      <c r="DVZ510" s="356"/>
      <c r="DWA510" s="359"/>
      <c r="DWC510" s="303"/>
      <c r="DWD510" s="356"/>
      <c r="DWE510" s="359"/>
      <c r="DWG510" s="303"/>
      <c r="DWH510" s="356"/>
      <c r="DWI510" s="359"/>
      <c r="DWK510" s="303"/>
      <c r="DWL510" s="356"/>
      <c r="DWM510" s="359"/>
      <c r="DWO510" s="303"/>
      <c r="DWP510" s="356"/>
      <c r="DWQ510" s="359"/>
      <c r="DWS510" s="303"/>
      <c r="DWT510" s="356"/>
      <c r="DWU510" s="359"/>
      <c r="DWW510" s="303"/>
      <c r="DWX510" s="356"/>
      <c r="DWY510" s="359"/>
      <c r="DXA510" s="303"/>
      <c r="DXB510" s="356"/>
      <c r="DXC510" s="359"/>
      <c r="DXE510" s="303"/>
      <c r="DXF510" s="356"/>
      <c r="DXG510" s="359"/>
      <c r="DXI510" s="303"/>
      <c r="DXJ510" s="356"/>
      <c r="DXK510" s="359"/>
      <c r="DXM510" s="303"/>
      <c r="DXN510" s="356"/>
      <c r="DXO510" s="359"/>
      <c r="DXQ510" s="303"/>
      <c r="DXR510" s="356"/>
      <c r="DXS510" s="359"/>
      <c r="DXU510" s="303"/>
      <c r="DXV510" s="356"/>
      <c r="DXW510" s="359"/>
      <c r="DXY510" s="303"/>
      <c r="DXZ510" s="356"/>
      <c r="DYA510" s="359"/>
      <c r="DYC510" s="303"/>
      <c r="DYD510" s="356"/>
      <c r="DYE510" s="359"/>
      <c r="DYG510" s="303"/>
      <c r="DYH510" s="356"/>
      <c r="DYI510" s="359"/>
      <c r="DYK510" s="303"/>
      <c r="DYL510" s="356"/>
      <c r="DYM510" s="359"/>
      <c r="DYO510" s="303"/>
      <c r="DYP510" s="356"/>
      <c r="DYQ510" s="359"/>
      <c r="DYS510" s="303"/>
      <c r="DYT510" s="356"/>
      <c r="DYU510" s="359"/>
      <c r="DYW510" s="303"/>
      <c r="DYX510" s="356"/>
      <c r="DYY510" s="359"/>
      <c r="DZA510" s="303"/>
      <c r="DZB510" s="356"/>
      <c r="DZC510" s="359"/>
      <c r="DZE510" s="303"/>
      <c r="DZF510" s="356"/>
      <c r="DZG510" s="359"/>
      <c r="DZI510" s="303"/>
      <c r="DZJ510" s="356"/>
      <c r="DZK510" s="359"/>
      <c r="DZM510" s="303"/>
      <c r="DZN510" s="356"/>
      <c r="DZO510" s="359"/>
      <c r="DZQ510" s="303"/>
      <c r="DZR510" s="356"/>
      <c r="DZS510" s="359"/>
      <c r="DZU510" s="303"/>
      <c r="DZV510" s="356"/>
      <c r="DZW510" s="359"/>
      <c r="DZY510" s="303"/>
      <c r="DZZ510" s="356"/>
      <c r="EAA510" s="359"/>
      <c r="EAC510" s="303"/>
      <c r="EAD510" s="356"/>
      <c r="EAE510" s="359"/>
      <c r="EAG510" s="303"/>
      <c r="EAH510" s="356"/>
      <c r="EAI510" s="359"/>
      <c r="EAK510" s="303"/>
      <c r="EAL510" s="356"/>
      <c r="EAM510" s="359"/>
      <c r="EAO510" s="303"/>
      <c r="EAP510" s="356"/>
      <c r="EAQ510" s="359"/>
      <c r="EAS510" s="303"/>
      <c r="EAT510" s="356"/>
      <c r="EAU510" s="359"/>
      <c r="EAW510" s="303"/>
      <c r="EAX510" s="356"/>
      <c r="EAY510" s="359"/>
      <c r="EBA510" s="303"/>
      <c r="EBB510" s="356"/>
      <c r="EBC510" s="359"/>
      <c r="EBE510" s="303"/>
      <c r="EBF510" s="356"/>
      <c r="EBG510" s="359"/>
      <c r="EBI510" s="303"/>
      <c r="EBJ510" s="356"/>
      <c r="EBK510" s="359"/>
      <c r="EBM510" s="303"/>
      <c r="EBN510" s="356"/>
      <c r="EBO510" s="359"/>
      <c r="EBQ510" s="303"/>
      <c r="EBR510" s="356"/>
      <c r="EBS510" s="359"/>
      <c r="EBU510" s="303"/>
      <c r="EBV510" s="356"/>
      <c r="EBW510" s="359"/>
      <c r="EBY510" s="303"/>
      <c r="EBZ510" s="356"/>
      <c r="ECA510" s="359"/>
      <c r="ECC510" s="303"/>
      <c r="ECD510" s="356"/>
      <c r="ECE510" s="359"/>
      <c r="ECG510" s="303"/>
      <c r="ECH510" s="356"/>
      <c r="ECI510" s="359"/>
      <c r="ECK510" s="303"/>
      <c r="ECL510" s="356"/>
      <c r="ECM510" s="359"/>
      <c r="ECO510" s="303"/>
      <c r="ECP510" s="356"/>
      <c r="ECQ510" s="359"/>
      <c r="ECS510" s="303"/>
      <c r="ECT510" s="356"/>
      <c r="ECU510" s="359"/>
      <c r="ECW510" s="303"/>
      <c r="ECX510" s="356"/>
      <c r="ECY510" s="359"/>
      <c r="EDA510" s="303"/>
      <c r="EDB510" s="356"/>
      <c r="EDC510" s="359"/>
      <c r="EDE510" s="303"/>
      <c r="EDF510" s="356"/>
      <c r="EDG510" s="359"/>
      <c r="EDI510" s="303"/>
      <c r="EDJ510" s="356"/>
      <c r="EDK510" s="359"/>
      <c r="EDM510" s="303"/>
      <c r="EDN510" s="356"/>
      <c r="EDO510" s="359"/>
      <c r="EDQ510" s="303"/>
      <c r="EDR510" s="356"/>
      <c r="EDS510" s="359"/>
      <c r="EDU510" s="303"/>
      <c r="EDV510" s="356"/>
      <c r="EDW510" s="359"/>
      <c r="EDY510" s="303"/>
      <c r="EDZ510" s="356"/>
      <c r="EEA510" s="359"/>
      <c r="EEC510" s="303"/>
      <c r="EED510" s="356"/>
      <c r="EEE510" s="359"/>
      <c r="EEG510" s="303"/>
      <c r="EEH510" s="356"/>
      <c r="EEI510" s="359"/>
      <c r="EEK510" s="303"/>
      <c r="EEL510" s="356"/>
      <c r="EEM510" s="359"/>
      <c r="EEO510" s="303"/>
      <c r="EEP510" s="356"/>
      <c r="EEQ510" s="359"/>
      <c r="EES510" s="303"/>
      <c r="EET510" s="356"/>
      <c r="EEU510" s="359"/>
      <c r="EEW510" s="303"/>
      <c r="EEX510" s="356"/>
      <c r="EEY510" s="359"/>
      <c r="EFA510" s="303"/>
      <c r="EFB510" s="356"/>
      <c r="EFC510" s="359"/>
      <c r="EFE510" s="303"/>
      <c r="EFF510" s="356"/>
      <c r="EFG510" s="359"/>
      <c r="EFI510" s="303"/>
      <c r="EFJ510" s="356"/>
      <c r="EFK510" s="359"/>
      <c r="EFM510" s="303"/>
      <c r="EFN510" s="356"/>
      <c r="EFO510" s="359"/>
      <c r="EFQ510" s="303"/>
      <c r="EFR510" s="356"/>
      <c r="EFS510" s="359"/>
      <c r="EFU510" s="303"/>
      <c r="EFV510" s="356"/>
      <c r="EFW510" s="359"/>
      <c r="EFY510" s="303"/>
      <c r="EFZ510" s="356"/>
      <c r="EGA510" s="359"/>
      <c r="EGC510" s="303"/>
      <c r="EGD510" s="356"/>
      <c r="EGE510" s="359"/>
      <c r="EGG510" s="303"/>
      <c r="EGH510" s="356"/>
      <c r="EGI510" s="359"/>
      <c r="EGK510" s="303"/>
      <c r="EGL510" s="356"/>
      <c r="EGM510" s="359"/>
      <c r="EGO510" s="303"/>
      <c r="EGP510" s="356"/>
      <c r="EGQ510" s="359"/>
      <c r="EGS510" s="303"/>
      <c r="EGT510" s="356"/>
      <c r="EGU510" s="359"/>
      <c r="EGW510" s="303"/>
      <c r="EGX510" s="356"/>
      <c r="EGY510" s="359"/>
      <c r="EHA510" s="303"/>
      <c r="EHB510" s="356"/>
      <c r="EHC510" s="359"/>
      <c r="EHE510" s="303"/>
      <c r="EHF510" s="356"/>
      <c r="EHG510" s="359"/>
      <c r="EHI510" s="303"/>
      <c r="EHJ510" s="356"/>
      <c r="EHK510" s="359"/>
      <c r="EHM510" s="303"/>
      <c r="EHN510" s="356"/>
      <c r="EHO510" s="359"/>
      <c r="EHQ510" s="303"/>
      <c r="EHR510" s="356"/>
      <c r="EHS510" s="359"/>
      <c r="EHU510" s="303"/>
      <c r="EHV510" s="356"/>
      <c r="EHW510" s="359"/>
      <c r="EHY510" s="303"/>
      <c r="EHZ510" s="356"/>
      <c r="EIA510" s="359"/>
      <c r="EIC510" s="303"/>
      <c r="EID510" s="356"/>
      <c r="EIE510" s="359"/>
      <c r="EIG510" s="303"/>
      <c r="EIH510" s="356"/>
      <c r="EII510" s="359"/>
      <c r="EIK510" s="303"/>
      <c r="EIL510" s="356"/>
      <c r="EIM510" s="359"/>
      <c r="EIO510" s="303"/>
      <c r="EIP510" s="356"/>
      <c r="EIQ510" s="359"/>
      <c r="EIS510" s="303"/>
      <c r="EIT510" s="356"/>
      <c r="EIU510" s="359"/>
      <c r="EIW510" s="303"/>
      <c r="EIX510" s="356"/>
      <c r="EIY510" s="359"/>
      <c r="EJA510" s="303"/>
      <c r="EJB510" s="356"/>
      <c r="EJC510" s="359"/>
      <c r="EJE510" s="303"/>
      <c r="EJF510" s="356"/>
      <c r="EJG510" s="359"/>
      <c r="EJI510" s="303"/>
      <c r="EJJ510" s="356"/>
      <c r="EJK510" s="359"/>
      <c r="EJM510" s="303"/>
      <c r="EJN510" s="356"/>
      <c r="EJO510" s="359"/>
      <c r="EJQ510" s="303"/>
      <c r="EJR510" s="356"/>
      <c r="EJS510" s="359"/>
      <c r="EJU510" s="303"/>
      <c r="EJV510" s="356"/>
      <c r="EJW510" s="359"/>
      <c r="EJY510" s="303"/>
      <c r="EJZ510" s="356"/>
      <c r="EKA510" s="359"/>
      <c r="EKC510" s="303"/>
      <c r="EKD510" s="356"/>
      <c r="EKE510" s="359"/>
      <c r="EKG510" s="303"/>
      <c r="EKH510" s="356"/>
      <c r="EKI510" s="359"/>
      <c r="EKK510" s="303"/>
      <c r="EKL510" s="356"/>
      <c r="EKM510" s="359"/>
      <c r="EKO510" s="303"/>
      <c r="EKP510" s="356"/>
      <c r="EKQ510" s="359"/>
      <c r="EKS510" s="303"/>
      <c r="EKT510" s="356"/>
      <c r="EKU510" s="359"/>
      <c r="EKW510" s="303"/>
      <c r="EKX510" s="356"/>
      <c r="EKY510" s="359"/>
      <c r="ELA510" s="303"/>
      <c r="ELB510" s="356"/>
      <c r="ELC510" s="359"/>
      <c r="ELE510" s="303"/>
      <c r="ELF510" s="356"/>
      <c r="ELG510" s="359"/>
      <c r="ELI510" s="303"/>
      <c r="ELJ510" s="356"/>
      <c r="ELK510" s="359"/>
      <c r="ELM510" s="303"/>
      <c r="ELN510" s="356"/>
      <c r="ELO510" s="359"/>
      <c r="ELQ510" s="303"/>
      <c r="ELR510" s="356"/>
      <c r="ELS510" s="359"/>
      <c r="ELU510" s="303"/>
      <c r="ELV510" s="356"/>
      <c r="ELW510" s="359"/>
      <c r="ELY510" s="303"/>
      <c r="ELZ510" s="356"/>
      <c r="EMA510" s="359"/>
      <c r="EMC510" s="303"/>
      <c r="EMD510" s="356"/>
      <c r="EME510" s="359"/>
      <c r="EMG510" s="303"/>
      <c r="EMH510" s="356"/>
      <c r="EMI510" s="359"/>
      <c r="EMK510" s="303"/>
      <c r="EML510" s="356"/>
      <c r="EMM510" s="359"/>
      <c r="EMO510" s="303"/>
      <c r="EMP510" s="356"/>
      <c r="EMQ510" s="359"/>
      <c r="EMS510" s="303"/>
      <c r="EMT510" s="356"/>
      <c r="EMU510" s="359"/>
      <c r="EMW510" s="303"/>
      <c r="EMX510" s="356"/>
      <c r="EMY510" s="359"/>
      <c r="ENA510" s="303"/>
      <c r="ENB510" s="356"/>
      <c r="ENC510" s="359"/>
      <c r="ENE510" s="303"/>
      <c r="ENF510" s="356"/>
      <c r="ENG510" s="359"/>
      <c r="ENI510" s="303"/>
      <c r="ENJ510" s="356"/>
      <c r="ENK510" s="359"/>
      <c r="ENM510" s="303"/>
      <c r="ENN510" s="356"/>
      <c r="ENO510" s="359"/>
      <c r="ENQ510" s="303"/>
      <c r="ENR510" s="356"/>
      <c r="ENS510" s="359"/>
      <c r="ENU510" s="303"/>
      <c r="ENV510" s="356"/>
      <c r="ENW510" s="359"/>
      <c r="ENY510" s="303"/>
      <c r="ENZ510" s="356"/>
      <c r="EOA510" s="359"/>
      <c r="EOC510" s="303"/>
      <c r="EOD510" s="356"/>
      <c r="EOE510" s="359"/>
      <c r="EOG510" s="303"/>
      <c r="EOH510" s="356"/>
      <c r="EOI510" s="359"/>
      <c r="EOK510" s="303"/>
      <c r="EOL510" s="356"/>
      <c r="EOM510" s="359"/>
      <c r="EOO510" s="303"/>
      <c r="EOP510" s="356"/>
      <c r="EOQ510" s="359"/>
      <c r="EOS510" s="303"/>
      <c r="EOT510" s="356"/>
      <c r="EOU510" s="359"/>
      <c r="EOW510" s="303"/>
      <c r="EOX510" s="356"/>
      <c r="EOY510" s="359"/>
      <c r="EPA510" s="303"/>
      <c r="EPB510" s="356"/>
      <c r="EPC510" s="359"/>
      <c r="EPE510" s="303"/>
      <c r="EPF510" s="356"/>
      <c r="EPG510" s="359"/>
      <c r="EPI510" s="303"/>
      <c r="EPJ510" s="356"/>
      <c r="EPK510" s="359"/>
      <c r="EPM510" s="303"/>
      <c r="EPN510" s="356"/>
      <c r="EPO510" s="359"/>
      <c r="EPQ510" s="303"/>
      <c r="EPR510" s="356"/>
      <c r="EPS510" s="359"/>
      <c r="EPU510" s="303"/>
      <c r="EPV510" s="356"/>
      <c r="EPW510" s="359"/>
      <c r="EPY510" s="303"/>
      <c r="EPZ510" s="356"/>
      <c r="EQA510" s="359"/>
      <c r="EQC510" s="303"/>
      <c r="EQD510" s="356"/>
      <c r="EQE510" s="359"/>
      <c r="EQG510" s="303"/>
      <c r="EQH510" s="356"/>
      <c r="EQI510" s="359"/>
      <c r="EQK510" s="303"/>
      <c r="EQL510" s="356"/>
      <c r="EQM510" s="359"/>
      <c r="EQO510" s="303"/>
      <c r="EQP510" s="356"/>
      <c r="EQQ510" s="359"/>
      <c r="EQS510" s="303"/>
      <c r="EQT510" s="356"/>
      <c r="EQU510" s="359"/>
      <c r="EQW510" s="303"/>
      <c r="EQX510" s="356"/>
      <c r="EQY510" s="359"/>
      <c r="ERA510" s="303"/>
      <c r="ERB510" s="356"/>
      <c r="ERC510" s="359"/>
      <c r="ERE510" s="303"/>
      <c r="ERF510" s="356"/>
      <c r="ERG510" s="359"/>
      <c r="ERI510" s="303"/>
      <c r="ERJ510" s="356"/>
      <c r="ERK510" s="359"/>
      <c r="ERM510" s="303"/>
      <c r="ERN510" s="356"/>
      <c r="ERO510" s="359"/>
      <c r="ERQ510" s="303"/>
      <c r="ERR510" s="356"/>
      <c r="ERS510" s="359"/>
      <c r="ERU510" s="303"/>
      <c r="ERV510" s="356"/>
      <c r="ERW510" s="359"/>
      <c r="ERY510" s="303"/>
      <c r="ERZ510" s="356"/>
      <c r="ESA510" s="359"/>
      <c r="ESC510" s="303"/>
      <c r="ESD510" s="356"/>
      <c r="ESE510" s="359"/>
      <c r="ESG510" s="303"/>
      <c r="ESH510" s="356"/>
      <c r="ESI510" s="359"/>
      <c r="ESK510" s="303"/>
      <c r="ESL510" s="356"/>
      <c r="ESM510" s="359"/>
      <c r="ESO510" s="303"/>
      <c r="ESP510" s="356"/>
      <c r="ESQ510" s="359"/>
      <c r="ESS510" s="303"/>
      <c r="EST510" s="356"/>
      <c r="ESU510" s="359"/>
      <c r="ESW510" s="303"/>
      <c r="ESX510" s="356"/>
      <c r="ESY510" s="359"/>
      <c r="ETA510" s="303"/>
      <c r="ETB510" s="356"/>
      <c r="ETC510" s="359"/>
      <c r="ETE510" s="303"/>
      <c r="ETF510" s="356"/>
      <c r="ETG510" s="359"/>
      <c r="ETI510" s="303"/>
      <c r="ETJ510" s="356"/>
      <c r="ETK510" s="359"/>
      <c r="ETM510" s="303"/>
      <c r="ETN510" s="356"/>
      <c r="ETO510" s="359"/>
      <c r="ETQ510" s="303"/>
      <c r="ETR510" s="356"/>
      <c r="ETS510" s="359"/>
      <c r="ETU510" s="303"/>
      <c r="ETV510" s="356"/>
      <c r="ETW510" s="359"/>
      <c r="ETY510" s="303"/>
      <c r="ETZ510" s="356"/>
      <c r="EUA510" s="359"/>
      <c r="EUC510" s="303"/>
      <c r="EUD510" s="356"/>
      <c r="EUE510" s="359"/>
      <c r="EUG510" s="303"/>
      <c r="EUH510" s="356"/>
      <c r="EUI510" s="359"/>
      <c r="EUK510" s="303"/>
      <c r="EUL510" s="356"/>
      <c r="EUM510" s="359"/>
      <c r="EUO510" s="303"/>
      <c r="EUP510" s="356"/>
      <c r="EUQ510" s="359"/>
      <c r="EUS510" s="303"/>
      <c r="EUT510" s="356"/>
      <c r="EUU510" s="359"/>
      <c r="EUW510" s="303"/>
      <c r="EUX510" s="356"/>
      <c r="EUY510" s="359"/>
      <c r="EVA510" s="303"/>
      <c r="EVB510" s="356"/>
      <c r="EVC510" s="359"/>
      <c r="EVE510" s="303"/>
      <c r="EVF510" s="356"/>
      <c r="EVG510" s="359"/>
      <c r="EVI510" s="303"/>
      <c r="EVJ510" s="356"/>
      <c r="EVK510" s="359"/>
      <c r="EVM510" s="303"/>
      <c r="EVN510" s="356"/>
      <c r="EVO510" s="359"/>
      <c r="EVQ510" s="303"/>
      <c r="EVR510" s="356"/>
      <c r="EVS510" s="359"/>
      <c r="EVU510" s="303"/>
      <c r="EVV510" s="356"/>
      <c r="EVW510" s="359"/>
      <c r="EVY510" s="303"/>
      <c r="EVZ510" s="356"/>
      <c r="EWA510" s="359"/>
      <c r="EWC510" s="303"/>
      <c r="EWD510" s="356"/>
      <c r="EWE510" s="359"/>
      <c r="EWG510" s="303"/>
      <c r="EWH510" s="356"/>
      <c r="EWI510" s="359"/>
      <c r="EWK510" s="303"/>
      <c r="EWL510" s="356"/>
      <c r="EWM510" s="359"/>
      <c r="EWO510" s="303"/>
      <c r="EWP510" s="356"/>
      <c r="EWQ510" s="359"/>
      <c r="EWS510" s="303"/>
      <c r="EWT510" s="356"/>
      <c r="EWU510" s="359"/>
      <c r="EWW510" s="303"/>
      <c r="EWX510" s="356"/>
      <c r="EWY510" s="359"/>
      <c r="EXA510" s="303"/>
      <c r="EXB510" s="356"/>
      <c r="EXC510" s="359"/>
      <c r="EXE510" s="303"/>
      <c r="EXF510" s="356"/>
      <c r="EXG510" s="359"/>
      <c r="EXI510" s="303"/>
      <c r="EXJ510" s="356"/>
      <c r="EXK510" s="359"/>
      <c r="EXM510" s="303"/>
      <c r="EXN510" s="356"/>
      <c r="EXO510" s="359"/>
      <c r="EXQ510" s="303"/>
      <c r="EXR510" s="356"/>
      <c r="EXS510" s="359"/>
      <c r="EXU510" s="303"/>
      <c r="EXV510" s="356"/>
      <c r="EXW510" s="359"/>
      <c r="EXY510" s="303"/>
      <c r="EXZ510" s="356"/>
      <c r="EYA510" s="359"/>
      <c r="EYC510" s="303"/>
      <c r="EYD510" s="356"/>
      <c r="EYE510" s="359"/>
      <c r="EYG510" s="303"/>
      <c r="EYH510" s="356"/>
      <c r="EYI510" s="359"/>
      <c r="EYK510" s="303"/>
      <c r="EYL510" s="356"/>
      <c r="EYM510" s="359"/>
      <c r="EYO510" s="303"/>
      <c r="EYP510" s="356"/>
      <c r="EYQ510" s="359"/>
      <c r="EYS510" s="303"/>
      <c r="EYT510" s="356"/>
      <c r="EYU510" s="359"/>
      <c r="EYW510" s="303"/>
      <c r="EYX510" s="356"/>
      <c r="EYY510" s="359"/>
      <c r="EZA510" s="303"/>
      <c r="EZB510" s="356"/>
      <c r="EZC510" s="359"/>
      <c r="EZE510" s="303"/>
      <c r="EZF510" s="356"/>
      <c r="EZG510" s="359"/>
      <c r="EZI510" s="303"/>
      <c r="EZJ510" s="356"/>
      <c r="EZK510" s="359"/>
      <c r="EZM510" s="303"/>
      <c r="EZN510" s="356"/>
      <c r="EZO510" s="359"/>
      <c r="EZQ510" s="303"/>
      <c r="EZR510" s="356"/>
      <c r="EZS510" s="359"/>
      <c r="EZU510" s="303"/>
      <c r="EZV510" s="356"/>
      <c r="EZW510" s="359"/>
      <c r="EZY510" s="303"/>
      <c r="EZZ510" s="356"/>
      <c r="FAA510" s="359"/>
      <c r="FAC510" s="303"/>
      <c r="FAD510" s="356"/>
      <c r="FAE510" s="359"/>
      <c r="FAG510" s="303"/>
      <c r="FAH510" s="356"/>
      <c r="FAI510" s="359"/>
      <c r="FAK510" s="303"/>
      <c r="FAL510" s="356"/>
      <c r="FAM510" s="359"/>
      <c r="FAO510" s="303"/>
      <c r="FAP510" s="356"/>
      <c r="FAQ510" s="359"/>
      <c r="FAS510" s="303"/>
      <c r="FAT510" s="356"/>
      <c r="FAU510" s="359"/>
      <c r="FAW510" s="303"/>
      <c r="FAX510" s="356"/>
      <c r="FAY510" s="359"/>
      <c r="FBA510" s="303"/>
      <c r="FBB510" s="356"/>
      <c r="FBC510" s="359"/>
      <c r="FBE510" s="303"/>
      <c r="FBF510" s="356"/>
      <c r="FBG510" s="359"/>
      <c r="FBI510" s="303"/>
      <c r="FBJ510" s="356"/>
      <c r="FBK510" s="359"/>
      <c r="FBM510" s="303"/>
      <c r="FBN510" s="356"/>
      <c r="FBO510" s="359"/>
      <c r="FBQ510" s="303"/>
      <c r="FBR510" s="356"/>
      <c r="FBS510" s="359"/>
      <c r="FBU510" s="303"/>
      <c r="FBV510" s="356"/>
      <c r="FBW510" s="359"/>
      <c r="FBY510" s="303"/>
      <c r="FBZ510" s="356"/>
      <c r="FCA510" s="359"/>
      <c r="FCC510" s="303"/>
      <c r="FCD510" s="356"/>
      <c r="FCE510" s="359"/>
      <c r="FCG510" s="303"/>
      <c r="FCH510" s="356"/>
      <c r="FCI510" s="359"/>
      <c r="FCK510" s="303"/>
      <c r="FCL510" s="356"/>
      <c r="FCM510" s="359"/>
      <c r="FCO510" s="303"/>
      <c r="FCP510" s="356"/>
      <c r="FCQ510" s="359"/>
      <c r="FCS510" s="303"/>
      <c r="FCT510" s="356"/>
      <c r="FCU510" s="359"/>
      <c r="FCW510" s="303"/>
      <c r="FCX510" s="356"/>
      <c r="FCY510" s="359"/>
      <c r="FDA510" s="303"/>
      <c r="FDB510" s="356"/>
      <c r="FDC510" s="359"/>
      <c r="FDE510" s="303"/>
      <c r="FDF510" s="356"/>
      <c r="FDG510" s="359"/>
      <c r="FDI510" s="303"/>
      <c r="FDJ510" s="356"/>
      <c r="FDK510" s="359"/>
      <c r="FDM510" s="303"/>
      <c r="FDN510" s="356"/>
      <c r="FDO510" s="359"/>
      <c r="FDQ510" s="303"/>
      <c r="FDR510" s="356"/>
      <c r="FDS510" s="359"/>
      <c r="FDU510" s="303"/>
      <c r="FDV510" s="356"/>
      <c r="FDW510" s="359"/>
      <c r="FDY510" s="303"/>
      <c r="FDZ510" s="356"/>
      <c r="FEA510" s="359"/>
      <c r="FEC510" s="303"/>
      <c r="FED510" s="356"/>
      <c r="FEE510" s="359"/>
      <c r="FEG510" s="303"/>
      <c r="FEH510" s="356"/>
      <c r="FEI510" s="359"/>
      <c r="FEK510" s="303"/>
      <c r="FEL510" s="356"/>
      <c r="FEM510" s="359"/>
      <c r="FEO510" s="303"/>
      <c r="FEP510" s="356"/>
      <c r="FEQ510" s="359"/>
      <c r="FES510" s="303"/>
      <c r="FET510" s="356"/>
      <c r="FEU510" s="359"/>
      <c r="FEW510" s="303"/>
      <c r="FEX510" s="356"/>
      <c r="FEY510" s="359"/>
      <c r="FFA510" s="303"/>
      <c r="FFB510" s="356"/>
      <c r="FFC510" s="359"/>
      <c r="FFE510" s="303"/>
      <c r="FFF510" s="356"/>
      <c r="FFG510" s="359"/>
      <c r="FFI510" s="303"/>
      <c r="FFJ510" s="356"/>
      <c r="FFK510" s="359"/>
      <c r="FFM510" s="303"/>
      <c r="FFN510" s="356"/>
      <c r="FFO510" s="359"/>
      <c r="FFQ510" s="303"/>
      <c r="FFR510" s="356"/>
      <c r="FFS510" s="359"/>
      <c r="FFU510" s="303"/>
      <c r="FFV510" s="356"/>
      <c r="FFW510" s="359"/>
      <c r="FFY510" s="303"/>
      <c r="FFZ510" s="356"/>
      <c r="FGA510" s="359"/>
      <c r="FGC510" s="303"/>
      <c r="FGD510" s="356"/>
      <c r="FGE510" s="359"/>
      <c r="FGG510" s="303"/>
      <c r="FGH510" s="356"/>
      <c r="FGI510" s="359"/>
      <c r="FGK510" s="303"/>
      <c r="FGL510" s="356"/>
      <c r="FGM510" s="359"/>
      <c r="FGO510" s="303"/>
      <c r="FGP510" s="356"/>
      <c r="FGQ510" s="359"/>
      <c r="FGS510" s="303"/>
      <c r="FGT510" s="356"/>
      <c r="FGU510" s="359"/>
      <c r="FGW510" s="303"/>
      <c r="FGX510" s="356"/>
      <c r="FGY510" s="359"/>
      <c r="FHA510" s="303"/>
      <c r="FHB510" s="356"/>
      <c r="FHC510" s="359"/>
      <c r="FHE510" s="303"/>
      <c r="FHF510" s="356"/>
      <c r="FHG510" s="359"/>
      <c r="FHI510" s="303"/>
      <c r="FHJ510" s="356"/>
      <c r="FHK510" s="359"/>
      <c r="FHM510" s="303"/>
      <c r="FHN510" s="356"/>
      <c r="FHO510" s="359"/>
      <c r="FHQ510" s="303"/>
      <c r="FHR510" s="356"/>
      <c r="FHS510" s="359"/>
      <c r="FHU510" s="303"/>
      <c r="FHV510" s="356"/>
      <c r="FHW510" s="359"/>
      <c r="FHY510" s="303"/>
      <c r="FHZ510" s="356"/>
      <c r="FIA510" s="359"/>
      <c r="FIC510" s="303"/>
      <c r="FID510" s="356"/>
      <c r="FIE510" s="359"/>
      <c r="FIG510" s="303"/>
      <c r="FIH510" s="356"/>
      <c r="FII510" s="359"/>
      <c r="FIK510" s="303"/>
      <c r="FIL510" s="356"/>
      <c r="FIM510" s="359"/>
      <c r="FIO510" s="303"/>
      <c r="FIP510" s="356"/>
      <c r="FIQ510" s="359"/>
      <c r="FIS510" s="303"/>
      <c r="FIT510" s="356"/>
      <c r="FIU510" s="359"/>
      <c r="FIW510" s="303"/>
      <c r="FIX510" s="356"/>
      <c r="FIY510" s="359"/>
      <c r="FJA510" s="303"/>
      <c r="FJB510" s="356"/>
      <c r="FJC510" s="359"/>
      <c r="FJE510" s="303"/>
      <c r="FJF510" s="356"/>
      <c r="FJG510" s="359"/>
      <c r="FJI510" s="303"/>
      <c r="FJJ510" s="356"/>
      <c r="FJK510" s="359"/>
      <c r="FJM510" s="303"/>
      <c r="FJN510" s="356"/>
      <c r="FJO510" s="359"/>
      <c r="FJQ510" s="303"/>
      <c r="FJR510" s="356"/>
      <c r="FJS510" s="359"/>
      <c r="FJU510" s="303"/>
      <c r="FJV510" s="356"/>
      <c r="FJW510" s="359"/>
      <c r="FJY510" s="303"/>
      <c r="FJZ510" s="356"/>
      <c r="FKA510" s="359"/>
      <c r="FKC510" s="303"/>
      <c r="FKD510" s="356"/>
      <c r="FKE510" s="359"/>
      <c r="FKG510" s="303"/>
      <c r="FKH510" s="356"/>
      <c r="FKI510" s="359"/>
      <c r="FKK510" s="303"/>
      <c r="FKL510" s="356"/>
      <c r="FKM510" s="359"/>
      <c r="FKO510" s="303"/>
      <c r="FKP510" s="356"/>
      <c r="FKQ510" s="359"/>
      <c r="FKS510" s="303"/>
      <c r="FKT510" s="356"/>
      <c r="FKU510" s="359"/>
      <c r="FKW510" s="303"/>
      <c r="FKX510" s="356"/>
      <c r="FKY510" s="359"/>
      <c r="FLA510" s="303"/>
      <c r="FLB510" s="356"/>
      <c r="FLC510" s="359"/>
      <c r="FLE510" s="303"/>
      <c r="FLF510" s="356"/>
      <c r="FLG510" s="359"/>
      <c r="FLI510" s="303"/>
      <c r="FLJ510" s="356"/>
      <c r="FLK510" s="359"/>
      <c r="FLM510" s="303"/>
      <c r="FLN510" s="356"/>
      <c r="FLO510" s="359"/>
      <c r="FLQ510" s="303"/>
      <c r="FLR510" s="356"/>
      <c r="FLS510" s="359"/>
      <c r="FLU510" s="303"/>
      <c r="FLV510" s="356"/>
      <c r="FLW510" s="359"/>
      <c r="FLY510" s="303"/>
      <c r="FLZ510" s="356"/>
      <c r="FMA510" s="359"/>
      <c r="FMC510" s="303"/>
      <c r="FMD510" s="356"/>
      <c r="FME510" s="359"/>
      <c r="FMG510" s="303"/>
      <c r="FMH510" s="356"/>
      <c r="FMI510" s="359"/>
      <c r="FMK510" s="303"/>
      <c r="FML510" s="356"/>
      <c r="FMM510" s="359"/>
      <c r="FMO510" s="303"/>
      <c r="FMP510" s="356"/>
      <c r="FMQ510" s="359"/>
      <c r="FMS510" s="303"/>
      <c r="FMT510" s="356"/>
      <c r="FMU510" s="359"/>
      <c r="FMW510" s="303"/>
      <c r="FMX510" s="356"/>
      <c r="FMY510" s="359"/>
      <c r="FNA510" s="303"/>
      <c r="FNB510" s="356"/>
      <c r="FNC510" s="359"/>
      <c r="FNE510" s="303"/>
      <c r="FNF510" s="356"/>
      <c r="FNG510" s="359"/>
      <c r="FNI510" s="303"/>
      <c r="FNJ510" s="356"/>
      <c r="FNK510" s="359"/>
      <c r="FNM510" s="303"/>
      <c r="FNN510" s="356"/>
      <c r="FNO510" s="359"/>
      <c r="FNQ510" s="303"/>
      <c r="FNR510" s="356"/>
      <c r="FNS510" s="359"/>
      <c r="FNU510" s="303"/>
      <c r="FNV510" s="356"/>
      <c r="FNW510" s="359"/>
      <c r="FNY510" s="303"/>
      <c r="FNZ510" s="356"/>
      <c r="FOA510" s="359"/>
      <c r="FOC510" s="303"/>
      <c r="FOD510" s="356"/>
      <c r="FOE510" s="359"/>
      <c r="FOG510" s="303"/>
      <c r="FOH510" s="356"/>
      <c r="FOI510" s="359"/>
      <c r="FOK510" s="303"/>
      <c r="FOL510" s="356"/>
      <c r="FOM510" s="359"/>
      <c r="FOO510" s="303"/>
      <c r="FOP510" s="356"/>
      <c r="FOQ510" s="359"/>
      <c r="FOS510" s="303"/>
      <c r="FOT510" s="356"/>
      <c r="FOU510" s="359"/>
      <c r="FOW510" s="303"/>
      <c r="FOX510" s="356"/>
      <c r="FOY510" s="359"/>
      <c r="FPA510" s="303"/>
      <c r="FPB510" s="356"/>
      <c r="FPC510" s="359"/>
      <c r="FPE510" s="303"/>
      <c r="FPF510" s="356"/>
      <c r="FPG510" s="359"/>
      <c r="FPI510" s="303"/>
      <c r="FPJ510" s="356"/>
      <c r="FPK510" s="359"/>
      <c r="FPM510" s="303"/>
      <c r="FPN510" s="356"/>
      <c r="FPO510" s="359"/>
      <c r="FPQ510" s="303"/>
      <c r="FPR510" s="356"/>
      <c r="FPS510" s="359"/>
      <c r="FPU510" s="303"/>
      <c r="FPV510" s="356"/>
      <c r="FPW510" s="359"/>
      <c r="FPY510" s="303"/>
      <c r="FPZ510" s="356"/>
      <c r="FQA510" s="359"/>
      <c r="FQC510" s="303"/>
      <c r="FQD510" s="356"/>
      <c r="FQE510" s="359"/>
      <c r="FQG510" s="303"/>
      <c r="FQH510" s="356"/>
      <c r="FQI510" s="359"/>
      <c r="FQK510" s="303"/>
      <c r="FQL510" s="356"/>
      <c r="FQM510" s="359"/>
      <c r="FQO510" s="303"/>
      <c r="FQP510" s="356"/>
      <c r="FQQ510" s="359"/>
      <c r="FQS510" s="303"/>
      <c r="FQT510" s="356"/>
      <c r="FQU510" s="359"/>
      <c r="FQW510" s="303"/>
      <c r="FQX510" s="356"/>
      <c r="FQY510" s="359"/>
      <c r="FRA510" s="303"/>
      <c r="FRB510" s="356"/>
      <c r="FRC510" s="359"/>
      <c r="FRE510" s="303"/>
      <c r="FRF510" s="356"/>
      <c r="FRG510" s="359"/>
      <c r="FRI510" s="303"/>
      <c r="FRJ510" s="356"/>
      <c r="FRK510" s="359"/>
      <c r="FRM510" s="303"/>
      <c r="FRN510" s="356"/>
      <c r="FRO510" s="359"/>
      <c r="FRQ510" s="303"/>
      <c r="FRR510" s="356"/>
      <c r="FRS510" s="359"/>
      <c r="FRU510" s="303"/>
      <c r="FRV510" s="356"/>
      <c r="FRW510" s="359"/>
      <c r="FRY510" s="303"/>
      <c r="FRZ510" s="356"/>
      <c r="FSA510" s="359"/>
      <c r="FSC510" s="303"/>
      <c r="FSD510" s="356"/>
      <c r="FSE510" s="359"/>
      <c r="FSG510" s="303"/>
      <c r="FSH510" s="356"/>
      <c r="FSI510" s="359"/>
      <c r="FSK510" s="303"/>
      <c r="FSL510" s="356"/>
      <c r="FSM510" s="359"/>
      <c r="FSO510" s="303"/>
      <c r="FSP510" s="356"/>
      <c r="FSQ510" s="359"/>
      <c r="FSS510" s="303"/>
      <c r="FST510" s="356"/>
      <c r="FSU510" s="359"/>
      <c r="FSW510" s="303"/>
      <c r="FSX510" s="356"/>
      <c r="FSY510" s="359"/>
      <c r="FTA510" s="303"/>
      <c r="FTB510" s="356"/>
      <c r="FTC510" s="359"/>
      <c r="FTE510" s="303"/>
      <c r="FTF510" s="356"/>
      <c r="FTG510" s="359"/>
      <c r="FTI510" s="303"/>
      <c r="FTJ510" s="356"/>
      <c r="FTK510" s="359"/>
      <c r="FTM510" s="303"/>
      <c r="FTN510" s="356"/>
      <c r="FTO510" s="359"/>
      <c r="FTQ510" s="303"/>
      <c r="FTR510" s="356"/>
      <c r="FTS510" s="359"/>
      <c r="FTU510" s="303"/>
      <c r="FTV510" s="356"/>
      <c r="FTW510" s="359"/>
      <c r="FTY510" s="303"/>
      <c r="FTZ510" s="356"/>
      <c r="FUA510" s="359"/>
      <c r="FUC510" s="303"/>
      <c r="FUD510" s="356"/>
      <c r="FUE510" s="359"/>
      <c r="FUG510" s="303"/>
      <c r="FUH510" s="356"/>
      <c r="FUI510" s="359"/>
      <c r="FUK510" s="303"/>
      <c r="FUL510" s="356"/>
      <c r="FUM510" s="359"/>
      <c r="FUO510" s="303"/>
      <c r="FUP510" s="356"/>
      <c r="FUQ510" s="359"/>
      <c r="FUS510" s="303"/>
      <c r="FUT510" s="356"/>
      <c r="FUU510" s="359"/>
      <c r="FUW510" s="303"/>
      <c r="FUX510" s="356"/>
      <c r="FUY510" s="359"/>
      <c r="FVA510" s="303"/>
      <c r="FVB510" s="356"/>
      <c r="FVC510" s="359"/>
      <c r="FVE510" s="303"/>
      <c r="FVF510" s="356"/>
      <c r="FVG510" s="359"/>
      <c r="FVI510" s="303"/>
      <c r="FVJ510" s="356"/>
      <c r="FVK510" s="359"/>
      <c r="FVM510" s="303"/>
      <c r="FVN510" s="356"/>
      <c r="FVO510" s="359"/>
      <c r="FVQ510" s="303"/>
      <c r="FVR510" s="356"/>
      <c r="FVS510" s="359"/>
      <c r="FVU510" s="303"/>
      <c r="FVV510" s="356"/>
      <c r="FVW510" s="359"/>
      <c r="FVY510" s="303"/>
      <c r="FVZ510" s="356"/>
      <c r="FWA510" s="359"/>
      <c r="FWC510" s="303"/>
      <c r="FWD510" s="356"/>
      <c r="FWE510" s="359"/>
      <c r="FWG510" s="303"/>
      <c r="FWH510" s="356"/>
      <c r="FWI510" s="359"/>
      <c r="FWK510" s="303"/>
      <c r="FWL510" s="356"/>
      <c r="FWM510" s="359"/>
      <c r="FWO510" s="303"/>
      <c r="FWP510" s="356"/>
      <c r="FWQ510" s="359"/>
      <c r="FWS510" s="303"/>
      <c r="FWT510" s="356"/>
      <c r="FWU510" s="359"/>
      <c r="FWW510" s="303"/>
      <c r="FWX510" s="356"/>
      <c r="FWY510" s="359"/>
      <c r="FXA510" s="303"/>
      <c r="FXB510" s="356"/>
      <c r="FXC510" s="359"/>
      <c r="FXE510" s="303"/>
      <c r="FXF510" s="356"/>
      <c r="FXG510" s="359"/>
      <c r="FXI510" s="303"/>
      <c r="FXJ510" s="356"/>
      <c r="FXK510" s="359"/>
      <c r="FXM510" s="303"/>
      <c r="FXN510" s="356"/>
      <c r="FXO510" s="359"/>
      <c r="FXQ510" s="303"/>
      <c r="FXR510" s="356"/>
      <c r="FXS510" s="359"/>
      <c r="FXU510" s="303"/>
      <c r="FXV510" s="356"/>
      <c r="FXW510" s="359"/>
      <c r="FXY510" s="303"/>
      <c r="FXZ510" s="356"/>
      <c r="FYA510" s="359"/>
      <c r="FYC510" s="303"/>
      <c r="FYD510" s="356"/>
      <c r="FYE510" s="359"/>
      <c r="FYG510" s="303"/>
      <c r="FYH510" s="356"/>
      <c r="FYI510" s="359"/>
      <c r="FYK510" s="303"/>
      <c r="FYL510" s="356"/>
      <c r="FYM510" s="359"/>
      <c r="FYO510" s="303"/>
      <c r="FYP510" s="356"/>
      <c r="FYQ510" s="359"/>
      <c r="FYS510" s="303"/>
      <c r="FYT510" s="356"/>
      <c r="FYU510" s="359"/>
      <c r="FYW510" s="303"/>
      <c r="FYX510" s="356"/>
      <c r="FYY510" s="359"/>
      <c r="FZA510" s="303"/>
      <c r="FZB510" s="356"/>
      <c r="FZC510" s="359"/>
      <c r="FZE510" s="303"/>
      <c r="FZF510" s="356"/>
      <c r="FZG510" s="359"/>
      <c r="FZI510" s="303"/>
      <c r="FZJ510" s="356"/>
      <c r="FZK510" s="359"/>
      <c r="FZM510" s="303"/>
      <c r="FZN510" s="356"/>
      <c r="FZO510" s="359"/>
      <c r="FZQ510" s="303"/>
      <c r="FZR510" s="356"/>
      <c r="FZS510" s="359"/>
      <c r="FZU510" s="303"/>
      <c r="FZV510" s="356"/>
      <c r="FZW510" s="359"/>
      <c r="FZY510" s="303"/>
      <c r="FZZ510" s="356"/>
      <c r="GAA510" s="359"/>
      <c r="GAC510" s="303"/>
      <c r="GAD510" s="356"/>
      <c r="GAE510" s="359"/>
      <c r="GAG510" s="303"/>
      <c r="GAH510" s="356"/>
      <c r="GAI510" s="359"/>
      <c r="GAK510" s="303"/>
      <c r="GAL510" s="356"/>
      <c r="GAM510" s="359"/>
      <c r="GAO510" s="303"/>
      <c r="GAP510" s="356"/>
      <c r="GAQ510" s="359"/>
      <c r="GAS510" s="303"/>
      <c r="GAT510" s="356"/>
      <c r="GAU510" s="359"/>
      <c r="GAW510" s="303"/>
      <c r="GAX510" s="356"/>
      <c r="GAY510" s="359"/>
      <c r="GBA510" s="303"/>
      <c r="GBB510" s="356"/>
      <c r="GBC510" s="359"/>
      <c r="GBE510" s="303"/>
      <c r="GBF510" s="356"/>
      <c r="GBG510" s="359"/>
      <c r="GBI510" s="303"/>
      <c r="GBJ510" s="356"/>
      <c r="GBK510" s="359"/>
      <c r="GBM510" s="303"/>
      <c r="GBN510" s="356"/>
      <c r="GBO510" s="359"/>
      <c r="GBQ510" s="303"/>
      <c r="GBR510" s="356"/>
      <c r="GBS510" s="359"/>
      <c r="GBU510" s="303"/>
      <c r="GBV510" s="356"/>
      <c r="GBW510" s="359"/>
      <c r="GBY510" s="303"/>
      <c r="GBZ510" s="356"/>
      <c r="GCA510" s="359"/>
      <c r="GCC510" s="303"/>
      <c r="GCD510" s="356"/>
      <c r="GCE510" s="359"/>
      <c r="GCG510" s="303"/>
      <c r="GCH510" s="356"/>
      <c r="GCI510" s="359"/>
      <c r="GCK510" s="303"/>
      <c r="GCL510" s="356"/>
      <c r="GCM510" s="359"/>
      <c r="GCO510" s="303"/>
      <c r="GCP510" s="356"/>
      <c r="GCQ510" s="359"/>
      <c r="GCS510" s="303"/>
      <c r="GCT510" s="356"/>
      <c r="GCU510" s="359"/>
      <c r="GCW510" s="303"/>
      <c r="GCX510" s="356"/>
      <c r="GCY510" s="359"/>
      <c r="GDA510" s="303"/>
      <c r="GDB510" s="356"/>
      <c r="GDC510" s="359"/>
      <c r="GDE510" s="303"/>
      <c r="GDF510" s="356"/>
      <c r="GDG510" s="359"/>
      <c r="GDI510" s="303"/>
      <c r="GDJ510" s="356"/>
      <c r="GDK510" s="359"/>
      <c r="GDM510" s="303"/>
      <c r="GDN510" s="356"/>
      <c r="GDO510" s="359"/>
      <c r="GDQ510" s="303"/>
      <c r="GDR510" s="356"/>
      <c r="GDS510" s="359"/>
      <c r="GDU510" s="303"/>
      <c r="GDV510" s="356"/>
      <c r="GDW510" s="359"/>
      <c r="GDY510" s="303"/>
      <c r="GDZ510" s="356"/>
      <c r="GEA510" s="359"/>
      <c r="GEC510" s="303"/>
      <c r="GED510" s="356"/>
      <c r="GEE510" s="359"/>
      <c r="GEG510" s="303"/>
      <c r="GEH510" s="356"/>
      <c r="GEI510" s="359"/>
      <c r="GEK510" s="303"/>
      <c r="GEL510" s="356"/>
      <c r="GEM510" s="359"/>
      <c r="GEO510" s="303"/>
      <c r="GEP510" s="356"/>
      <c r="GEQ510" s="359"/>
      <c r="GES510" s="303"/>
      <c r="GET510" s="356"/>
      <c r="GEU510" s="359"/>
      <c r="GEW510" s="303"/>
      <c r="GEX510" s="356"/>
      <c r="GEY510" s="359"/>
      <c r="GFA510" s="303"/>
      <c r="GFB510" s="356"/>
      <c r="GFC510" s="359"/>
      <c r="GFE510" s="303"/>
      <c r="GFF510" s="356"/>
      <c r="GFG510" s="359"/>
      <c r="GFI510" s="303"/>
      <c r="GFJ510" s="356"/>
      <c r="GFK510" s="359"/>
      <c r="GFM510" s="303"/>
      <c r="GFN510" s="356"/>
      <c r="GFO510" s="359"/>
      <c r="GFQ510" s="303"/>
      <c r="GFR510" s="356"/>
      <c r="GFS510" s="359"/>
      <c r="GFU510" s="303"/>
      <c r="GFV510" s="356"/>
      <c r="GFW510" s="359"/>
      <c r="GFY510" s="303"/>
      <c r="GFZ510" s="356"/>
      <c r="GGA510" s="359"/>
      <c r="GGC510" s="303"/>
      <c r="GGD510" s="356"/>
      <c r="GGE510" s="359"/>
      <c r="GGG510" s="303"/>
      <c r="GGH510" s="356"/>
      <c r="GGI510" s="359"/>
      <c r="GGK510" s="303"/>
      <c r="GGL510" s="356"/>
      <c r="GGM510" s="359"/>
      <c r="GGO510" s="303"/>
      <c r="GGP510" s="356"/>
      <c r="GGQ510" s="359"/>
      <c r="GGS510" s="303"/>
      <c r="GGT510" s="356"/>
      <c r="GGU510" s="359"/>
      <c r="GGW510" s="303"/>
      <c r="GGX510" s="356"/>
      <c r="GGY510" s="359"/>
      <c r="GHA510" s="303"/>
      <c r="GHB510" s="356"/>
      <c r="GHC510" s="359"/>
      <c r="GHE510" s="303"/>
      <c r="GHF510" s="356"/>
      <c r="GHG510" s="359"/>
      <c r="GHI510" s="303"/>
      <c r="GHJ510" s="356"/>
      <c r="GHK510" s="359"/>
      <c r="GHM510" s="303"/>
      <c r="GHN510" s="356"/>
      <c r="GHO510" s="359"/>
      <c r="GHQ510" s="303"/>
      <c r="GHR510" s="356"/>
      <c r="GHS510" s="359"/>
      <c r="GHU510" s="303"/>
      <c r="GHV510" s="356"/>
      <c r="GHW510" s="359"/>
      <c r="GHY510" s="303"/>
      <c r="GHZ510" s="356"/>
      <c r="GIA510" s="359"/>
      <c r="GIC510" s="303"/>
      <c r="GID510" s="356"/>
      <c r="GIE510" s="359"/>
      <c r="GIG510" s="303"/>
      <c r="GIH510" s="356"/>
      <c r="GII510" s="359"/>
      <c r="GIK510" s="303"/>
      <c r="GIL510" s="356"/>
      <c r="GIM510" s="359"/>
      <c r="GIO510" s="303"/>
      <c r="GIP510" s="356"/>
      <c r="GIQ510" s="359"/>
      <c r="GIS510" s="303"/>
      <c r="GIT510" s="356"/>
      <c r="GIU510" s="359"/>
      <c r="GIW510" s="303"/>
      <c r="GIX510" s="356"/>
      <c r="GIY510" s="359"/>
      <c r="GJA510" s="303"/>
      <c r="GJB510" s="356"/>
      <c r="GJC510" s="359"/>
      <c r="GJE510" s="303"/>
      <c r="GJF510" s="356"/>
      <c r="GJG510" s="359"/>
      <c r="GJI510" s="303"/>
      <c r="GJJ510" s="356"/>
      <c r="GJK510" s="359"/>
      <c r="GJM510" s="303"/>
      <c r="GJN510" s="356"/>
      <c r="GJO510" s="359"/>
      <c r="GJQ510" s="303"/>
      <c r="GJR510" s="356"/>
      <c r="GJS510" s="359"/>
      <c r="GJU510" s="303"/>
      <c r="GJV510" s="356"/>
      <c r="GJW510" s="359"/>
      <c r="GJY510" s="303"/>
      <c r="GJZ510" s="356"/>
      <c r="GKA510" s="359"/>
      <c r="GKC510" s="303"/>
      <c r="GKD510" s="356"/>
      <c r="GKE510" s="359"/>
      <c r="GKG510" s="303"/>
      <c r="GKH510" s="356"/>
      <c r="GKI510" s="359"/>
      <c r="GKK510" s="303"/>
      <c r="GKL510" s="356"/>
      <c r="GKM510" s="359"/>
      <c r="GKO510" s="303"/>
      <c r="GKP510" s="356"/>
      <c r="GKQ510" s="359"/>
      <c r="GKS510" s="303"/>
      <c r="GKT510" s="356"/>
      <c r="GKU510" s="359"/>
      <c r="GKW510" s="303"/>
      <c r="GKX510" s="356"/>
      <c r="GKY510" s="359"/>
      <c r="GLA510" s="303"/>
      <c r="GLB510" s="356"/>
      <c r="GLC510" s="359"/>
      <c r="GLE510" s="303"/>
      <c r="GLF510" s="356"/>
      <c r="GLG510" s="359"/>
      <c r="GLI510" s="303"/>
      <c r="GLJ510" s="356"/>
      <c r="GLK510" s="359"/>
      <c r="GLM510" s="303"/>
      <c r="GLN510" s="356"/>
      <c r="GLO510" s="359"/>
      <c r="GLQ510" s="303"/>
      <c r="GLR510" s="356"/>
      <c r="GLS510" s="359"/>
      <c r="GLU510" s="303"/>
      <c r="GLV510" s="356"/>
      <c r="GLW510" s="359"/>
      <c r="GLY510" s="303"/>
      <c r="GLZ510" s="356"/>
      <c r="GMA510" s="359"/>
      <c r="GMC510" s="303"/>
      <c r="GMD510" s="356"/>
      <c r="GME510" s="359"/>
      <c r="GMG510" s="303"/>
      <c r="GMH510" s="356"/>
      <c r="GMI510" s="359"/>
      <c r="GMK510" s="303"/>
      <c r="GML510" s="356"/>
      <c r="GMM510" s="359"/>
      <c r="GMO510" s="303"/>
      <c r="GMP510" s="356"/>
      <c r="GMQ510" s="359"/>
      <c r="GMS510" s="303"/>
      <c r="GMT510" s="356"/>
      <c r="GMU510" s="359"/>
      <c r="GMW510" s="303"/>
      <c r="GMX510" s="356"/>
      <c r="GMY510" s="359"/>
      <c r="GNA510" s="303"/>
      <c r="GNB510" s="356"/>
      <c r="GNC510" s="359"/>
      <c r="GNE510" s="303"/>
      <c r="GNF510" s="356"/>
      <c r="GNG510" s="359"/>
      <c r="GNI510" s="303"/>
      <c r="GNJ510" s="356"/>
      <c r="GNK510" s="359"/>
      <c r="GNM510" s="303"/>
      <c r="GNN510" s="356"/>
      <c r="GNO510" s="359"/>
      <c r="GNQ510" s="303"/>
      <c r="GNR510" s="356"/>
      <c r="GNS510" s="359"/>
      <c r="GNU510" s="303"/>
      <c r="GNV510" s="356"/>
      <c r="GNW510" s="359"/>
      <c r="GNY510" s="303"/>
      <c r="GNZ510" s="356"/>
      <c r="GOA510" s="359"/>
      <c r="GOC510" s="303"/>
      <c r="GOD510" s="356"/>
      <c r="GOE510" s="359"/>
      <c r="GOG510" s="303"/>
      <c r="GOH510" s="356"/>
      <c r="GOI510" s="359"/>
      <c r="GOK510" s="303"/>
      <c r="GOL510" s="356"/>
      <c r="GOM510" s="359"/>
      <c r="GOO510" s="303"/>
      <c r="GOP510" s="356"/>
      <c r="GOQ510" s="359"/>
      <c r="GOS510" s="303"/>
      <c r="GOT510" s="356"/>
      <c r="GOU510" s="359"/>
      <c r="GOW510" s="303"/>
      <c r="GOX510" s="356"/>
      <c r="GOY510" s="359"/>
      <c r="GPA510" s="303"/>
      <c r="GPB510" s="356"/>
      <c r="GPC510" s="359"/>
      <c r="GPE510" s="303"/>
      <c r="GPF510" s="356"/>
      <c r="GPG510" s="359"/>
      <c r="GPI510" s="303"/>
      <c r="GPJ510" s="356"/>
      <c r="GPK510" s="359"/>
      <c r="GPM510" s="303"/>
      <c r="GPN510" s="356"/>
      <c r="GPO510" s="359"/>
      <c r="GPQ510" s="303"/>
      <c r="GPR510" s="356"/>
      <c r="GPS510" s="359"/>
      <c r="GPU510" s="303"/>
      <c r="GPV510" s="356"/>
      <c r="GPW510" s="359"/>
      <c r="GPY510" s="303"/>
      <c r="GPZ510" s="356"/>
      <c r="GQA510" s="359"/>
      <c r="GQC510" s="303"/>
      <c r="GQD510" s="356"/>
      <c r="GQE510" s="359"/>
      <c r="GQG510" s="303"/>
      <c r="GQH510" s="356"/>
      <c r="GQI510" s="359"/>
      <c r="GQK510" s="303"/>
      <c r="GQL510" s="356"/>
      <c r="GQM510" s="359"/>
      <c r="GQO510" s="303"/>
      <c r="GQP510" s="356"/>
      <c r="GQQ510" s="359"/>
      <c r="GQS510" s="303"/>
      <c r="GQT510" s="356"/>
      <c r="GQU510" s="359"/>
      <c r="GQW510" s="303"/>
      <c r="GQX510" s="356"/>
      <c r="GQY510" s="359"/>
      <c r="GRA510" s="303"/>
      <c r="GRB510" s="356"/>
      <c r="GRC510" s="359"/>
      <c r="GRE510" s="303"/>
      <c r="GRF510" s="356"/>
      <c r="GRG510" s="359"/>
      <c r="GRI510" s="303"/>
      <c r="GRJ510" s="356"/>
      <c r="GRK510" s="359"/>
      <c r="GRM510" s="303"/>
      <c r="GRN510" s="356"/>
      <c r="GRO510" s="359"/>
      <c r="GRQ510" s="303"/>
      <c r="GRR510" s="356"/>
      <c r="GRS510" s="359"/>
      <c r="GRU510" s="303"/>
      <c r="GRV510" s="356"/>
      <c r="GRW510" s="359"/>
      <c r="GRY510" s="303"/>
      <c r="GRZ510" s="356"/>
      <c r="GSA510" s="359"/>
      <c r="GSC510" s="303"/>
      <c r="GSD510" s="356"/>
      <c r="GSE510" s="359"/>
      <c r="GSG510" s="303"/>
      <c r="GSH510" s="356"/>
      <c r="GSI510" s="359"/>
      <c r="GSK510" s="303"/>
      <c r="GSL510" s="356"/>
      <c r="GSM510" s="359"/>
      <c r="GSO510" s="303"/>
      <c r="GSP510" s="356"/>
      <c r="GSQ510" s="359"/>
      <c r="GSS510" s="303"/>
      <c r="GST510" s="356"/>
      <c r="GSU510" s="359"/>
      <c r="GSW510" s="303"/>
      <c r="GSX510" s="356"/>
      <c r="GSY510" s="359"/>
      <c r="GTA510" s="303"/>
      <c r="GTB510" s="356"/>
      <c r="GTC510" s="359"/>
      <c r="GTE510" s="303"/>
      <c r="GTF510" s="356"/>
      <c r="GTG510" s="359"/>
      <c r="GTI510" s="303"/>
      <c r="GTJ510" s="356"/>
      <c r="GTK510" s="359"/>
      <c r="GTM510" s="303"/>
      <c r="GTN510" s="356"/>
      <c r="GTO510" s="359"/>
      <c r="GTQ510" s="303"/>
      <c r="GTR510" s="356"/>
      <c r="GTS510" s="359"/>
      <c r="GTU510" s="303"/>
      <c r="GTV510" s="356"/>
      <c r="GTW510" s="359"/>
      <c r="GTY510" s="303"/>
      <c r="GTZ510" s="356"/>
      <c r="GUA510" s="359"/>
      <c r="GUC510" s="303"/>
      <c r="GUD510" s="356"/>
      <c r="GUE510" s="359"/>
      <c r="GUG510" s="303"/>
      <c r="GUH510" s="356"/>
      <c r="GUI510" s="359"/>
      <c r="GUK510" s="303"/>
      <c r="GUL510" s="356"/>
      <c r="GUM510" s="359"/>
      <c r="GUO510" s="303"/>
      <c r="GUP510" s="356"/>
      <c r="GUQ510" s="359"/>
      <c r="GUS510" s="303"/>
      <c r="GUT510" s="356"/>
      <c r="GUU510" s="359"/>
      <c r="GUW510" s="303"/>
      <c r="GUX510" s="356"/>
      <c r="GUY510" s="359"/>
      <c r="GVA510" s="303"/>
      <c r="GVB510" s="356"/>
      <c r="GVC510" s="359"/>
      <c r="GVE510" s="303"/>
      <c r="GVF510" s="356"/>
      <c r="GVG510" s="359"/>
      <c r="GVI510" s="303"/>
      <c r="GVJ510" s="356"/>
      <c r="GVK510" s="359"/>
      <c r="GVM510" s="303"/>
      <c r="GVN510" s="356"/>
      <c r="GVO510" s="359"/>
      <c r="GVQ510" s="303"/>
      <c r="GVR510" s="356"/>
      <c r="GVS510" s="359"/>
      <c r="GVU510" s="303"/>
      <c r="GVV510" s="356"/>
      <c r="GVW510" s="359"/>
      <c r="GVY510" s="303"/>
      <c r="GVZ510" s="356"/>
      <c r="GWA510" s="359"/>
      <c r="GWC510" s="303"/>
      <c r="GWD510" s="356"/>
      <c r="GWE510" s="359"/>
      <c r="GWG510" s="303"/>
      <c r="GWH510" s="356"/>
      <c r="GWI510" s="359"/>
      <c r="GWK510" s="303"/>
      <c r="GWL510" s="356"/>
      <c r="GWM510" s="359"/>
      <c r="GWO510" s="303"/>
      <c r="GWP510" s="356"/>
      <c r="GWQ510" s="359"/>
      <c r="GWS510" s="303"/>
      <c r="GWT510" s="356"/>
      <c r="GWU510" s="359"/>
      <c r="GWW510" s="303"/>
      <c r="GWX510" s="356"/>
      <c r="GWY510" s="359"/>
      <c r="GXA510" s="303"/>
      <c r="GXB510" s="356"/>
      <c r="GXC510" s="359"/>
      <c r="GXE510" s="303"/>
      <c r="GXF510" s="356"/>
      <c r="GXG510" s="359"/>
      <c r="GXI510" s="303"/>
      <c r="GXJ510" s="356"/>
      <c r="GXK510" s="359"/>
      <c r="GXM510" s="303"/>
      <c r="GXN510" s="356"/>
      <c r="GXO510" s="359"/>
      <c r="GXQ510" s="303"/>
      <c r="GXR510" s="356"/>
      <c r="GXS510" s="359"/>
      <c r="GXU510" s="303"/>
      <c r="GXV510" s="356"/>
      <c r="GXW510" s="359"/>
      <c r="GXY510" s="303"/>
      <c r="GXZ510" s="356"/>
      <c r="GYA510" s="359"/>
      <c r="GYC510" s="303"/>
      <c r="GYD510" s="356"/>
      <c r="GYE510" s="359"/>
      <c r="GYG510" s="303"/>
      <c r="GYH510" s="356"/>
      <c r="GYI510" s="359"/>
      <c r="GYK510" s="303"/>
      <c r="GYL510" s="356"/>
      <c r="GYM510" s="359"/>
      <c r="GYO510" s="303"/>
      <c r="GYP510" s="356"/>
      <c r="GYQ510" s="359"/>
      <c r="GYS510" s="303"/>
      <c r="GYT510" s="356"/>
      <c r="GYU510" s="359"/>
      <c r="GYW510" s="303"/>
      <c r="GYX510" s="356"/>
      <c r="GYY510" s="359"/>
      <c r="GZA510" s="303"/>
      <c r="GZB510" s="356"/>
      <c r="GZC510" s="359"/>
      <c r="GZE510" s="303"/>
      <c r="GZF510" s="356"/>
      <c r="GZG510" s="359"/>
      <c r="GZI510" s="303"/>
      <c r="GZJ510" s="356"/>
      <c r="GZK510" s="359"/>
      <c r="GZM510" s="303"/>
      <c r="GZN510" s="356"/>
      <c r="GZO510" s="359"/>
      <c r="GZQ510" s="303"/>
      <c r="GZR510" s="356"/>
      <c r="GZS510" s="359"/>
      <c r="GZU510" s="303"/>
      <c r="GZV510" s="356"/>
      <c r="GZW510" s="359"/>
      <c r="GZY510" s="303"/>
      <c r="GZZ510" s="356"/>
      <c r="HAA510" s="359"/>
      <c r="HAC510" s="303"/>
      <c r="HAD510" s="356"/>
      <c r="HAE510" s="359"/>
      <c r="HAG510" s="303"/>
      <c r="HAH510" s="356"/>
      <c r="HAI510" s="359"/>
      <c r="HAK510" s="303"/>
      <c r="HAL510" s="356"/>
      <c r="HAM510" s="359"/>
      <c r="HAO510" s="303"/>
      <c r="HAP510" s="356"/>
      <c r="HAQ510" s="359"/>
      <c r="HAS510" s="303"/>
      <c r="HAT510" s="356"/>
      <c r="HAU510" s="359"/>
      <c r="HAW510" s="303"/>
      <c r="HAX510" s="356"/>
      <c r="HAY510" s="359"/>
      <c r="HBA510" s="303"/>
      <c r="HBB510" s="356"/>
      <c r="HBC510" s="359"/>
      <c r="HBE510" s="303"/>
      <c r="HBF510" s="356"/>
      <c r="HBG510" s="359"/>
      <c r="HBI510" s="303"/>
      <c r="HBJ510" s="356"/>
      <c r="HBK510" s="359"/>
      <c r="HBM510" s="303"/>
      <c r="HBN510" s="356"/>
      <c r="HBO510" s="359"/>
      <c r="HBQ510" s="303"/>
      <c r="HBR510" s="356"/>
      <c r="HBS510" s="359"/>
      <c r="HBU510" s="303"/>
      <c r="HBV510" s="356"/>
      <c r="HBW510" s="359"/>
      <c r="HBY510" s="303"/>
      <c r="HBZ510" s="356"/>
      <c r="HCA510" s="359"/>
      <c r="HCC510" s="303"/>
      <c r="HCD510" s="356"/>
      <c r="HCE510" s="359"/>
      <c r="HCG510" s="303"/>
      <c r="HCH510" s="356"/>
      <c r="HCI510" s="359"/>
      <c r="HCK510" s="303"/>
      <c r="HCL510" s="356"/>
      <c r="HCM510" s="359"/>
      <c r="HCO510" s="303"/>
      <c r="HCP510" s="356"/>
      <c r="HCQ510" s="359"/>
      <c r="HCS510" s="303"/>
      <c r="HCT510" s="356"/>
      <c r="HCU510" s="359"/>
      <c r="HCW510" s="303"/>
      <c r="HCX510" s="356"/>
      <c r="HCY510" s="359"/>
      <c r="HDA510" s="303"/>
      <c r="HDB510" s="356"/>
      <c r="HDC510" s="359"/>
      <c r="HDE510" s="303"/>
      <c r="HDF510" s="356"/>
      <c r="HDG510" s="359"/>
      <c r="HDI510" s="303"/>
      <c r="HDJ510" s="356"/>
      <c r="HDK510" s="359"/>
      <c r="HDM510" s="303"/>
      <c r="HDN510" s="356"/>
      <c r="HDO510" s="359"/>
      <c r="HDQ510" s="303"/>
      <c r="HDR510" s="356"/>
      <c r="HDS510" s="359"/>
      <c r="HDU510" s="303"/>
      <c r="HDV510" s="356"/>
      <c r="HDW510" s="359"/>
      <c r="HDY510" s="303"/>
      <c r="HDZ510" s="356"/>
      <c r="HEA510" s="359"/>
      <c r="HEC510" s="303"/>
      <c r="HED510" s="356"/>
      <c r="HEE510" s="359"/>
      <c r="HEG510" s="303"/>
      <c r="HEH510" s="356"/>
      <c r="HEI510" s="359"/>
      <c r="HEK510" s="303"/>
      <c r="HEL510" s="356"/>
      <c r="HEM510" s="359"/>
      <c r="HEO510" s="303"/>
      <c r="HEP510" s="356"/>
      <c r="HEQ510" s="359"/>
      <c r="HES510" s="303"/>
      <c r="HET510" s="356"/>
      <c r="HEU510" s="359"/>
      <c r="HEW510" s="303"/>
      <c r="HEX510" s="356"/>
      <c r="HEY510" s="359"/>
      <c r="HFA510" s="303"/>
      <c r="HFB510" s="356"/>
      <c r="HFC510" s="359"/>
      <c r="HFE510" s="303"/>
      <c r="HFF510" s="356"/>
      <c r="HFG510" s="359"/>
      <c r="HFI510" s="303"/>
      <c r="HFJ510" s="356"/>
      <c r="HFK510" s="359"/>
      <c r="HFM510" s="303"/>
      <c r="HFN510" s="356"/>
      <c r="HFO510" s="359"/>
      <c r="HFQ510" s="303"/>
      <c r="HFR510" s="356"/>
      <c r="HFS510" s="359"/>
      <c r="HFU510" s="303"/>
      <c r="HFV510" s="356"/>
      <c r="HFW510" s="359"/>
      <c r="HFY510" s="303"/>
      <c r="HFZ510" s="356"/>
      <c r="HGA510" s="359"/>
      <c r="HGC510" s="303"/>
      <c r="HGD510" s="356"/>
      <c r="HGE510" s="359"/>
      <c r="HGG510" s="303"/>
      <c r="HGH510" s="356"/>
      <c r="HGI510" s="359"/>
      <c r="HGK510" s="303"/>
      <c r="HGL510" s="356"/>
      <c r="HGM510" s="359"/>
      <c r="HGO510" s="303"/>
      <c r="HGP510" s="356"/>
      <c r="HGQ510" s="359"/>
      <c r="HGS510" s="303"/>
      <c r="HGT510" s="356"/>
      <c r="HGU510" s="359"/>
      <c r="HGW510" s="303"/>
      <c r="HGX510" s="356"/>
      <c r="HGY510" s="359"/>
      <c r="HHA510" s="303"/>
      <c r="HHB510" s="356"/>
      <c r="HHC510" s="359"/>
      <c r="HHE510" s="303"/>
      <c r="HHF510" s="356"/>
      <c r="HHG510" s="359"/>
      <c r="HHI510" s="303"/>
      <c r="HHJ510" s="356"/>
      <c r="HHK510" s="359"/>
      <c r="HHM510" s="303"/>
      <c r="HHN510" s="356"/>
      <c r="HHO510" s="359"/>
      <c r="HHQ510" s="303"/>
      <c r="HHR510" s="356"/>
      <c r="HHS510" s="359"/>
      <c r="HHU510" s="303"/>
      <c r="HHV510" s="356"/>
      <c r="HHW510" s="359"/>
      <c r="HHY510" s="303"/>
      <c r="HHZ510" s="356"/>
      <c r="HIA510" s="359"/>
      <c r="HIC510" s="303"/>
      <c r="HID510" s="356"/>
      <c r="HIE510" s="359"/>
      <c r="HIG510" s="303"/>
      <c r="HIH510" s="356"/>
      <c r="HII510" s="359"/>
      <c r="HIK510" s="303"/>
      <c r="HIL510" s="356"/>
      <c r="HIM510" s="359"/>
      <c r="HIO510" s="303"/>
      <c r="HIP510" s="356"/>
      <c r="HIQ510" s="359"/>
      <c r="HIS510" s="303"/>
      <c r="HIT510" s="356"/>
      <c r="HIU510" s="359"/>
      <c r="HIW510" s="303"/>
      <c r="HIX510" s="356"/>
      <c r="HIY510" s="359"/>
      <c r="HJA510" s="303"/>
      <c r="HJB510" s="356"/>
      <c r="HJC510" s="359"/>
      <c r="HJE510" s="303"/>
      <c r="HJF510" s="356"/>
      <c r="HJG510" s="359"/>
      <c r="HJI510" s="303"/>
      <c r="HJJ510" s="356"/>
      <c r="HJK510" s="359"/>
      <c r="HJM510" s="303"/>
      <c r="HJN510" s="356"/>
      <c r="HJO510" s="359"/>
      <c r="HJQ510" s="303"/>
      <c r="HJR510" s="356"/>
      <c r="HJS510" s="359"/>
      <c r="HJU510" s="303"/>
      <c r="HJV510" s="356"/>
      <c r="HJW510" s="359"/>
      <c r="HJY510" s="303"/>
      <c r="HJZ510" s="356"/>
      <c r="HKA510" s="359"/>
      <c r="HKC510" s="303"/>
      <c r="HKD510" s="356"/>
      <c r="HKE510" s="359"/>
      <c r="HKG510" s="303"/>
      <c r="HKH510" s="356"/>
      <c r="HKI510" s="359"/>
      <c r="HKK510" s="303"/>
      <c r="HKL510" s="356"/>
      <c r="HKM510" s="359"/>
      <c r="HKO510" s="303"/>
      <c r="HKP510" s="356"/>
      <c r="HKQ510" s="359"/>
      <c r="HKS510" s="303"/>
      <c r="HKT510" s="356"/>
      <c r="HKU510" s="359"/>
      <c r="HKW510" s="303"/>
      <c r="HKX510" s="356"/>
      <c r="HKY510" s="359"/>
      <c r="HLA510" s="303"/>
      <c r="HLB510" s="356"/>
      <c r="HLC510" s="359"/>
      <c r="HLE510" s="303"/>
      <c r="HLF510" s="356"/>
      <c r="HLG510" s="359"/>
      <c r="HLI510" s="303"/>
      <c r="HLJ510" s="356"/>
      <c r="HLK510" s="359"/>
      <c r="HLM510" s="303"/>
      <c r="HLN510" s="356"/>
      <c r="HLO510" s="359"/>
      <c r="HLQ510" s="303"/>
      <c r="HLR510" s="356"/>
      <c r="HLS510" s="359"/>
      <c r="HLU510" s="303"/>
      <c r="HLV510" s="356"/>
      <c r="HLW510" s="359"/>
      <c r="HLY510" s="303"/>
      <c r="HLZ510" s="356"/>
      <c r="HMA510" s="359"/>
      <c r="HMC510" s="303"/>
      <c r="HMD510" s="356"/>
      <c r="HME510" s="359"/>
      <c r="HMG510" s="303"/>
      <c r="HMH510" s="356"/>
      <c r="HMI510" s="359"/>
      <c r="HMK510" s="303"/>
      <c r="HML510" s="356"/>
      <c r="HMM510" s="359"/>
      <c r="HMO510" s="303"/>
      <c r="HMP510" s="356"/>
      <c r="HMQ510" s="359"/>
      <c r="HMS510" s="303"/>
      <c r="HMT510" s="356"/>
      <c r="HMU510" s="359"/>
      <c r="HMW510" s="303"/>
      <c r="HMX510" s="356"/>
      <c r="HMY510" s="359"/>
      <c r="HNA510" s="303"/>
      <c r="HNB510" s="356"/>
      <c r="HNC510" s="359"/>
      <c r="HNE510" s="303"/>
      <c r="HNF510" s="356"/>
      <c r="HNG510" s="359"/>
      <c r="HNI510" s="303"/>
      <c r="HNJ510" s="356"/>
      <c r="HNK510" s="359"/>
      <c r="HNM510" s="303"/>
      <c r="HNN510" s="356"/>
      <c r="HNO510" s="359"/>
      <c r="HNQ510" s="303"/>
      <c r="HNR510" s="356"/>
      <c r="HNS510" s="359"/>
      <c r="HNU510" s="303"/>
      <c r="HNV510" s="356"/>
      <c r="HNW510" s="359"/>
      <c r="HNY510" s="303"/>
      <c r="HNZ510" s="356"/>
      <c r="HOA510" s="359"/>
      <c r="HOC510" s="303"/>
      <c r="HOD510" s="356"/>
      <c r="HOE510" s="359"/>
      <c r="HOG510" s="303"/>
      <c r="HOH510" s="356"/>
      <c r="HOI510" s="359"/>
      <c r="HOK510" s="303"/>
      <c r="HOL510" s="356"/>
      <c r="HOM510" s="359"/>
      <c r="HOO510" s="303"/>
      <c r="HOP510" s="356"/>
      <c r="HOQ510" s="359"/>
      <c r="HOS510" s="303"/>
      <c r="HOT510" s="356"/>
      <c r="HOU510" s="359"/>
      <c r="HOW510" s="303"/>
      <c r="HOX510" s="356"/>
      <c r="HOY510" s="359"/>
      <c r="HPA510" s="303"/>
      <c r="HPB510" s="356"/>
      <c r="HPC510" s="359"/>
      <c r="HPE510" s="303"/>
      <c r="HPF510" s="356"/>
      <c r="HPG510" s="359"/>
      <c r="HPI510" s="303"/>
      <c r="HPJ510" s="356"/>
      <c r="HPK510" s="359"/>
      <c r="HPM510" s="303"/>
      <c r="HPN510" s="356"/>
      <c r="HPO510" s="359"/>
      <c r="HPQ510" s="303"/>
      <c r="HPR510" s="356"/>
      <c r="HPS510" s="359"/>
      <c r="HPU510" s="303"/>
      <c r="HPV510" s="356"/>
      <c r="HPW510" s="359"/>
      <c r="HPY510" s="303"/>
      <c r="HPZ510" s="356"/>
      <c r="HQA510" s="359"/>
      <c r="HQC510" s="303"/>
      <c r="HQD510" s="356"/>
      <c r="HQE510" s="359"/>
      <c r="HQG510" s="303"/>
      <c r="HQH510" s="356"/>
      <c r="HQI510" s="359"/>
      <c r="HQK510" s="303"/>
      <c r="HQL510" s="356"/>
      <c r="HQM510" s="359"/>
      <c r="HQO510" s="303"/>
      <c r="HQP510" s="356"/>
      <c r="HQQ510" s="359"/>
      <c r="HQS510" s="303"/>
      <c r="HQT510" s="356"/>
      <c r="HQU510" s="359"/>
      <c r="HQW510" s="303"/>
      <c r="HQX510" s="356"/>
      <c r="HQY510" s="359"/>
      <c r="HRA510" s="303"/>
      <c r="HRB510" s="356"/>
      <c r="HRC510" s="359"/>
      <c r="HRE510" s="303"/>
      <c r="HRF510" s="356"/>
      <c r="HRG510" s="359"/>
      <c r="HRI510" s="303"/>
      <c r="HRJ510" s="356"/>
      <c r="HRK510" s="359"/>
      <c r="HRM510" s="303"/>
      <c r="HRN510" s="356"/>
      <c r="HRO510" s="359"/>
      <c r="HRQ510" s="303"/>
      <c r="HRR510" s="356"/>
      <c r="HRS510" s="359"/>
      <c r="HRU510" s="303"/>
      <c r="HRV510" s="356"/>
      <c r="HRW510" s="359"/>
      <c r="HRY510" s="303"/>
      <c r="HRZ510" s="356"/>
      <c r="HSA510" s="359"/>
      <c r="HSC510" s="303"/>
      <c r="HSD510" s="356"/>
      <c r="HSE510" s="359"/>
      <c r="HSG510" s="303"/>
      <c r="HSH510" s="356"/>
      <c r="HSI510" s="359"/>
      <c r="HSK510" s="303"/>
      <c r="HSL510" s="356"/>
      <c r="HSM510" s="359"/>
      <c r="HSO510" s="303"/>
      <c r="HSP510" s="356"/>
      <c r="HSQ510" s="359"/>
      <c r="HSS510" s="303"/>
      <c r="HST510" s="356"/>
      <c r="HSU510" s="359"/>
      <c r="HSW510" s="303"/>
      <c r="HSX510" s="356"/>
      <c r="HSY510" s="359"/>
      <c r="HTA510" s="303"/>
      <c r="HTB510" s="356"/>
      <c r="HTC510" s="359"/>
      <c r="HTE510" s="303"/>
      <c r="HTF510" s="356"/>
      <c r="HTG510" s="359"/>
      <c r="HTI510" s="303"/>
      <c r="HTJ510" s="356"/>
      <c r="HTK510" s="359"/>
      <c r="HTM510" s="303"/>
      <c r="HTN510" s="356"/>
      <c r="HTO510" s="359"/>
      <c r="HTQ510" s="303"/>
      <c r="HTR510" s="356"/>
      <c r="HTS510" s="359"/>
      <c r="HTU510" s="303"/>
      <c r="HTV510" s="356"/>
      <c r="HTW510" s="359"/>
      <c r="HTY510" s="303"/>
      <c r="HTZ510" s="356"/>
      <c r="HUA510" s="359"/>
      <c r="HUC510" s="303"/>
      <c r="HUD510" s="356"/>
      <c r="HUE510" s="359"/>
      <c r="HUG510" s="303"/>
      <c r="HUH510" s="356"/>
      <c r="HUI510" s="359"/>
      <c r="HUK510" s="303"/>
      <c r="HUL510" s="356"/>
      <c r="HUM510" s="359"/>
      <c r="HUO510" s="303"/>
      <c r="HUP510" s="356"/>
      <c r="HUQ510" s="359"/>
      <c r="HUS510" s="303"/>
      <c r="HUT510" s="356"/>
      <c r="HUU510" s="359"/>
      <c r="HUW510" s="303"/>
      <c r="HUX510" s="356"/>
      <c r="HUY510" s="359"/>
      <c r="HVA510" s="303"/>
      <c r="HVB510" s="356"/>
      <c r="HVC510" s="359"/>
      <c r="HVE510" s="303"/>
      <c r="HVF510" s="356"/>
      <c r="HVG510" s="359"/>
      <c r="HVI510" s="303"/>
      <c r="HVJ510" s="356"/>
      <c r="HVK510" s="359"/>
      <c r="HVM510" s="303"/>
      <c r="HVN510" s="356"/>
      <c r="HVO510" s="359"/>
      <c r="HVQ510" s="303"/>
      <c r="HVR510" s="356"/>
      <c r="HVS510" s="359"/>
      <c r="HVU510" s="303"/>
      <c r="HVV510" s="356"/>
      <c r="HVW510" s="359"/>
      <c r="HVY510" s="303"/>
      <c r="HVZ510" s="356"/>
      <c r="HWA510" s="359"/>
      <c r="HWC510" s="303"/>
      <c r="HWD510" s="356"/>
      <c r="HWE510" s="359"/>
      <c r="HWG510" s="303"/>
      <c r="HWH510" s="356"/>
      <c r="HWI510" s="359"/>
      <c r="HWK510" s="303"/>
      <c r="HWL510" s="356"/>
      <c r="HWM510" s="359"/>
      <c r="HWO510" s="303"/>
      <c r="HWP510" s="356"/>
      <c r="HWQ510" s="359"/>
      <c r="HWS510" s="303"/>
      <c r="HWT510" s="356"/>
      <c r="HWU510" s="359"/>
      <c r="HWW510" s="303"/>
      <c r="HWX510" s="356"/>
      <c r="HWY510" s="359"/>
      <c r="HXA510" s="303"/>
      <c r="HXB510" s="356"/>
      <c r="HXC510" s="359"/>
      <c r="HXE510" s="303"/>
      <c r="HXF510" s="356"/>
      <c r="HXG510" s="359"/>
      <c r="HXI510" s="303"/>
      <c r="HXJ510" s="356"/>
      <c r="HXK510" s="359"/>
      <c r="HXM510" s="303"/>
      <c r="HXN510" s="356"/>
      <c r="HXO510" s="359"/>
      <c r="HXQ510" s="303"/>
      <c r="HXR510" s="356"/>
      <c r="HXS510" s="359"/>
      <c r="HXU510" s="303"/>
      <c r="HXV510" s="356"/>
      <c r="HXW510" s="359"/>
      <c r="HXY510" s="303"/>
      <c r="HXZ510" s="356"/>
      <c r="HYA510" s="359"/>
      <c r="HYC510" s="303"/>
      <c r="HYD510" s="356"/>
      <c r="HYE510" s="359"/>
      <c r="HYG510" s="303"/>
      <c r="HYH510" s="356"/>
      <c r="HYI510" s="359"/>
      <c r="HYK510" s="303"/>
      <c r="HYL510" s="356"/>
      <c r="HYM510" s="359"/>
      <c r="HYO510" s="303"/>
      <c r="HYP510" s="356"/>
      <c r="HYQ510" s="359"/>
      <c r="HYS510" s="303"/>
      <c r="HYT510" s="356"/>
      <c r="HYU510" s="359"/>
      <c r="HYW510" s="303"/>
      <c r="HYX510" s="356"/>
      <c r="HYY510" s="359"/>
      <c r="HZA510" s="303"/>
      <c r="HZB510" s="356"/>
      <c r="HZC510" s="359"/>
      <c r="HZE510" s="303"/>
      <c r="HZF510" s="356"/>
      <c r="HZG510" s="359"/>
      <c r="HZI510" s="303"/>
      <c r="HZJ510" s="356"/>
      <c r="HZK510" s="359"/>
      <c r="HZM510" s="303"/>
      <c r="HZN510" s="356"/>
      <c r="HZO510" s="359"/>
      <c r="HZQ510" s="303"/>
      <c r="HZR510" s="356"/>
      <c r="HZS510" s="359"/>
      <c r="HZU510" s="303"/>
      <c r="HZV510" s="356"/>
      <c r="HZW510" s="359"/>
      <c r="HZY510" s="303"/>
      <c r="HZZ510" s="356"/>
      <c r="IAA510" s="359"/>
      <c r="IAC510" s="303"/>
      <c r="IAD510" s="356"/>
      <c r="IAE510" s="359"/>
      <c r="IAG510" s="303"/>
      <c r="IAH510" s="356"/>
      <c r="IAI510" s="359"/>
      <c r="IAK510" s="303"/>
      <c r="IAL510" s="356"/>
      <c r="IAM510" s="359"/>
      <c r="IAO510" s="303"/>
      <c r="IAP510" s="356"/>
      <c r="IAQ510" s="359"/>
      <c r="IAS510" s="303"/>
      <c r="IAT510" s="356"/>
      <c r="IAU510" s="359"/>
      <c r="IAW510" s="303"/>
      <c r="IAX510" s="356"/>
      <c r="IAY510" s="359"/>
      <c r="IBA510" s="303"/>
      <c r="IBB510" s="356"/>
      <c r="IBC510" s="359"/>
      <c r="IBE510" s="303"/>
      <c r="IBF510" s="356"/>
      <c r="IBG510" s="359"/>
      <c r="IBI510" s="303"/>
      <c r="IBJ510" s="356"/>
      <c r="IBK510" s="359"/>
      <c r="IBM510" s="303"/>
      <c r="IBN510" s="356"/>
      <c r="IBO510" s="359"/>
      <c r="IBQ510" s="303"/>
      <c r="IBR510" s="356"/>
      <c r="IBS510" s="359"/>
      <c r="IBU510" s="303"/>
      <c r="IBV510" s="356"/>
      <c r="IBW510" s="359"/>
      <c r="IBY510" s="303"/>
      <c r="IBZ510" s="356"/>
      <c r="ICA510" s="359"/>
      <c r="ICC510" s="303"/>
      <c r="ICD510" s="356"/>
      <c r="ICE510" s="359"/>
      <c r="ICG510" s="303"/>
      <c r="ICH510" s="356"/>
      <c r="ICI510" s="359"/>
      <c r="ICK510" s="303"/>
      <c r="ICL510" s="356"/>
      <c r="ICM510" s="359"/>
      <c r="ICO510" s="303"/>
      <c r="ICP510" s="356"/>
      <c r="ICQ510" s="359"/>
      <c r="ICS510" s="303"/>
      <c r="ICT510" s="356"/>
      <c r="ICU510" s="359"/>
      <c r="ICW510" s="303"/>
      <c r="ICX510" s="356"/>
      <c r="ICY510" s="359"/>
      <c r="IDA510" s="303"/>
      <c r="IDB510" s="356"/>
      <c r="IDC510" s="359"/>
      <c r="IDE510" s="303"/>
      <c r="IDF510" s="356"/>
      <c r="IDG510" s="359"/>
      <c r="IDI510" s="303"/>
      <c r="IDJ510" s="356"/>
      <c r="IDK510" s="359"/>
      <c r="IDM510" s="303"/>
      <c r="IDN510" s="356"/>
      <c r="IDO510" s="359"/>
      <c r="IDQ510" s="303"/>
      <c r="IDR510" s="356"/>
      <c r="IDS510" s="359"/>
      <c r="IDU510" s="303"/>
      <c r="IDV510" s="356"/>
      <c r="IDW510" s="359"/>
      <c r="IDY510" s="303"/>
      <c r="IDZ510" s="356"/>
      <c r="IEA510" s="359"/>
      <c r="IEC510" s="303"/>
      <c r="IED510" s="356"/>
      <c r="IEE510" s="359"/>
      <c r="IEG510" s="303"/>
      <c r="IEH510" s="356"/>
      <c r="IEI510" s="359"/>
      <c r="IEK510" s="303"/>
      <c r="IEL510" s="356"/>
      <c r="IEM510" s="359"/>
      <c r="IEO510" s="303"/>
      <c r="IEP510" s="356"/>
      <c r="IEQ510" s="359"/>
      <c r="IES510" s="303"/>
      <c r="IET510" s="356"/>
      <c r="IEU510" s="359"/>
      <c r="IEW510" s="303"/>
      <c r="IEX510" s="356"/>
      <c r="IEY510" s="359"/>
      <c r="IFA510" s="303"/>
      <c r="IFB510" s="356"/>
      <c r="IFC510" s="359"/>
      <c r="IFE510" s="303"/>
      <c r="IFF510" s="356"/>
      <c r="IFG510" s="359"/>
      <c r="IFI510" s="303"/>
      <c r="IFJ510" s="356"/>
      <c r="IFK510" s="359"/>
      <c r="IFM510" s="303"/>
      <c r="IFN510" s="356"/>
      <c r="IFO510" s="359"/>
      <c r="IFQ510" s="303"/>
      <c r="IFR510" s="356"/>
      <c r="IFS510" s="359"/>
      <c r="IFU510" s="303"/>
      <c r="IFV510" s="356"/>
      <c r="IFW510" s="359"/>
      <c r="IFY510" s="303"/>
      <c r="IFZ510" s="356"/>
      <c r="IGA510" s="359"/>
      <c r="IGC510" s="303"/>
      <c r="IGD510" s="356"/>
      <c r="IGE510" s="359"/>
      <c r="IGG510" s="303"/>
      <c r="IGH510" s="356"/>
      <c r="IGI510" s="359"/>
      <c r="IGK510" s="303"/>
      <c r="IGL510" s="356"/>
      <c r="IGM510" s="359"/>
      <c r="IGO510" s="303"/>
      <c r="IGP510" s="356"/>
      <c r="IGQ510" s="359"/>
      <c r="IGS510" s="303"/>
      <c r="IGT510" s="356"/>
      <c r="IGU510" s="359"/>
      <c r="IGW510" s="303"/>
      <c r="IGX510" s="356"/>
      <c r="IGY510" s="359"/>
      <c r="IHA510" s="303"/>
      <c r="IHB510" s="356"/>
      <c r="IHC510" s="359"/>
      <c r="IHE510" s="303"/>
      <c r="IHF510" s="356"/>
      <c r="IHG510" s="359"/>
      <c r="IHI510" s="303"/>
      <c r="IHJ510" s="356"/>
      <c r="IHK510" s="359"/>
      <c r="IHM510" s="303"/>
      <c r="IHN510" s="356"/>
      <c r="IHO510" s="359"/>
      <c r="IHQ510" s="303"/>
      <c r="IHR510" s="356"/>
      <c r="IHS510" s="359"/>
      <c r="IHU510" s="303"/>
      <c r="IHV510" s="356"/>
      <c r="IHW510" s="359"/>
      <c r="IHY510" s="303"/>
      <c r="IHZ510" s="356"/>
      <c r="IIA510" s="359"/>
      <c r="IIC510" s="303"/>
      <c r="IID510" s="356"/>
      <c r="IIE510" s="359"/>
      <c r="IIG510" s="303"/>
      <c r="IIH510" s="356"/>
      <c r="III510" s="359"/>
      <c r="IIK510" s="303"/>
      <c r="IIL510" s="356"/>
      <c r="IIM510" s="359"/>
      <c r="IIO510" s="303"/>
      <c r="IIP510" s="356"/>
      <c r="IIQ510" s="359"/>
      <c r="IIS510" s="303"/>
      <c r="IIT510" s="356"/>
      <c r="IIU510" s="359"/>
      <c r="IIW510" s="303"/>
      <c r="IIX510" s="356"/>
      <c r="IIY510" s="359"/>
      <c r="IJA510" s="303"/>
      <c r="IJB510" s="356"/>
      <c r="IJC510" s="359"/>
      <c r="IJE510" s="303"/>
      <c r="IJF510" s="356"/>
      <c r="IJG510" s="359"/>
      <c r="IJI510" s="303"/>
      <c r="IJJ510" s="356"/>
      <c r="IJK510" s="359"/>
      <c r="IJM510" s="303"/>
      <c r="IJN510" s="356"/>
      <c r="IJO510" s="359"/>
      <c r="IJQ510" s="303"/>
      <c r="IJR510" s="356"/>
      <c r="IJS510" s="359"/>
      <c r="IJU510" s="303"/>
      <c r="IJV510" s="356"/>
      <c r="IJW510" s="359"/>
      <c r="IJY510" s="303"/>
      <c r="IJZ510" s="356"/>
      <c r="IKA510" s="359"/>
      <c r="IKC510" s="303"/>
      <c r="IKD510" s="356"/>
      <c r="IKE510" s="359"/>
      <c r="IKG510" s="303"/>
      <c r="IKH510" s="356"/>
      <c r="IKI510" s="359"/>
      <c r="IKK510" s="303"/>
      <c r="IKL510" s="356"/>
      <c r="IKM510" s="359"/>
      <c r="IKO510" s="303"/>
      <c r="IKP510" s="356"/>
      <c r="IKQ510" s="359"/>
      <c r="IKS510" s="303"/>
      <c r="IKT510" s="356"/>
      <c r="IKU510" s="359"/>
      <c r="IKW510" s="303"/>
      <c r="IKX510" s="356"/>
      <c r="IKY510" s="359"/>
      <c r="ILA510" s="303"/>
      <c r="ILB510" s="356"/>
      <c r="ILC510" s="359"/>
      <c r="ILE510" s="303"/>
      <c r="ILF510" s="356"/>
      <c r="ILG510" s="359"/>
      <c r="ILI510" s="303"/>
      <c r="ILJ510" s="356"/>
      <c r="ILK510" s="359"/>
      <c r="ILM510" s="303"/>
      <c r="ILN510" s="356"/>
      <c r="ILO510" s="359"/>
      <c r="ILQ510" s="303"/>
      <c r="ILR510" s="356"/>
      <c r="ILS510" s="359"/>
      <c r="ILU510" s="303"/>
      <c r="ILV510" s="356"/>
      <c r="ILW510" s="359"/>
      <c r="ILY510" s="303"/>
      <c r="ILZ510" s="356"/>
      <c r="IMA510" s="359"/>
      <c r="IMC510" s="303"/>
      <c r="IMD510" s="356"/>
      <c r="IME510" s="359"/>
      <c r="IMG510" s="303"/>
      <c r="IMH510" s="356"/>
      <c r="IMI510" s="359"/>
      <c r="IMK510" s="303"/>
      <c r="IML510" s="356"/>
      <c r="IMM510" s="359"/>
      <c r="IMO510" s="303"/>
      <c r="IMP510" s="356"/>
      <c r="IMQ510" s="359"/>
      <c r="IMS510" s="303"/>
      <c r="IMT510" s="356"/>
      <c r="IMU510" s="359"/>
      <c r="IMW510" s="303"/>
      <c r="IMX510" s="356"/>
      <c r="IMY510" s="359"/>
      <c r="INA510" s="303"/>
      <c r="INB510" s="356"/>
      <c r="INC510" s="359"/>
      <c r="INE510" s="303"/>
      <c r="INF510" s="356"/>
      <c r="ING510" s="359"/>
      <c r="INI510" s="303"/>
      <c r="INJ510" s="356"/>
      <c r="INK510" s="359"/>
      <c r="INM510" s="303"/>
      <c r="INN510" s="356"/>
      <c r="INO510" s="359"/>
      <c r="INQ510" s="303"/>
      <c r="INR510" s="356"/>
      <c r="INS510" s="359"/>
      <c r="INU510" s="303"/>
      <c r="INV510" s="356"/>
      <c r="INW510" s="359"/>
      <c r="INY510" s="303"/>
      <c r="INZ510" s="356"/>
      <c r="IOA510" s="359"/>
      <c r="IOC510" s="303"/>
      <c r="IOD510" s="356"/>
      <c r="IOE510" s="359"/>
      <c r="IOG510" s="303"/>
      <c r="IOH510" s="356"/>
      <c r="IOI510" s="359"/>
      <c r="IOK510" s="303"/>
      <c r="IOL510" s="356"/>
      <c r="IOM510" s="359"/>
      <c r="IOO510" s="303"/>
      <c r="IOP510" s="356"/>
      <c r="IOQ510" s="359"/>
      <c r="IOS510" s="303"/>
      <c r="IOT510" s="356"/>
      <c r="IOU510" s="359"/>
      <c r="IOW510" s="303"/>
      <c r="IOX510" s="356"/>
      <c r="IOY510" s="359"/>
      <c r="IPA510" s="303"/>
      <c r="IPB510" s="356"/>
      <c r="IPC510" s="359"/>
      <c r="IPE510" s="303"/>
      <c r="IPF510" s="356"/>
      <c r="IPG510" s="359"/>
      <c r="IPI510" s="303"/>
      <c r="IPJ510" s="356"/>
      <c r="IPK510" s="359"/>
      <c r="IPM510" s="303"/>
      <c r="IPN510" s="356"/>
      <c r="IPO510" s="359"/>
      <c r="IPQ510" s="303"/>
      <c r="IPR510" s="356"/>
      <c r="IPS510" s="359"/>
      <c r="IPU510" s="303"/>
      <c r="IPV510" s="356"/>
      <c r="IPW510" s="359"/>
      <c r="IPY510" s="303"/>
      <c r="IPZ510" s="356"/>
      <c r="IQA510" s="359"/>
      <c r="IQC510" s="303"/>
      <c r="IQD510" s="356"/>
      <c r="IQE510" s="359"/>
      <c r="IQG510" s="303"/>
      <c r="IQH510" s="356"/>
      <c r="IQI510" s="359"/>
      <c r="IQK510" s="303"/>
      <c r="IQL510" s="356"/>
      <c r="IQM510" s="359"/>
      <c r="IQO510" s="303"/>
      <c r="IQP510" s="356"/>
      <c r="IQQ510" s="359"/>
      <c r="IQS510" s="303"/>
      <c r="IQT510" s="356"/>
      <c r="IQU510" s="359"/>
      <c r="IQW510" s="303"/>
      <c r="IQX510" s="356"/>
      <c r="IQY510" s="359"/>
      <c r="IRA510" s="303"/>
      <c r="IRB510" s="356"/>
      <c r="IRC510" s="359"/>
      <c r="IRE510" s="303"/>
      <c r="IRF510" s="356"/>
      <c r="IRG510" s="359"/>
      <c r="IRI510" s="303"/>
      <c r="IRJ510" s="356"/>
      <c r="IRK510" s="359"/>
      <c r="IRM510" s="303"/>
      <c r="IRN510" s="356"/>
      <c r="IRO510" s="359"/>
      <c r="IRQ510" s="303"/>
      <c r="IRR510" s="356"/>
      <c r="IRS510" s="359"/>
      <c r="IRU510" s="303"/>
      <c r="IRV510" s="356"/>
      <c r="IRW510" s="359"/>
      <c r="IRY510" s="303"/>
      <c r="IRZ510" s="356"/>
      <c r="ISA510" s="359"/>
      <c r="ISC510" s="303"/>
      <c r="ISD510" s="356"/>
      <c r="ISE510" s="359"/>
      <c r="ISG510" s="303"/>
      <c r="ISH510" s="356"/>
      <c r="ISI510" s="359"/>
      <c r="ISK510" s="303"/>
      <c r="ISL510" s="356"/>
      <c r="ISM510" s="359"/>
      <c r="ISO510" s="303"/>
      <c r="ISP510" s="356"/>
      <c r="ISQ510" s="359"/>
      <c r="ISS510" s="303"/>
      <c r="IST510" s="356"/>
      <c r="ISU510" s="359"/>
      <c r="ISW510" s="303"/>
      <c r="ISX510" s="356"/>
      <c r="ISY510" s="359"/>
      <c r="ITA510" s="303"/>
      <c r="ITB510" s="356"/>
      <c r="ITC510" s="359"/>
      <c r="ITE510" s="303"/>
      <c r="ITF510" s="356"/>
      <c r="ITG510" s="359"/>
      <c r="ITI510" s="303"/>
      <c r="ITJ510" s="356"/>
      <c r="ITK510" s="359"/>
      <c r="ITM510" s="303"/>
      <c r="ITN510" s="356"/>
      <c r="ITO510" s="359"/>
      <c r="ITQ510" s="303"/>
      <c r="ITR510" s="356"/>
      <c r="ITS510" s="359"/>
      <c r="ITU510" s="303"/>
      <c r="ITV510" s="356"/>
      <c r="ITW510" s="359"/>
      <c r="ITY510" s="303"/>
      <c r="ITZ510" s="356"/>
      <c r="IUA510" s="359"/>
      <c r="IUC510" s="303"/>
      <c r="IUD510" s="356"/>
      <c r="IUE510" s="359"/>
      <c r="IUG510" s="303"/>
      <c r="IUH510" s="356"/>
      <c r="IUI510" s="359"/>
      <c r="IUK510" s="303"/>
      <c r="IUL510" s="356"/>
      <c r="IUM510" s="359"/>
      <c r="IUO510" s="303"/>
      <c r="IUP510" s="356"/>
      <c r="IUQ510" s="359"/>
      <c r="IUS510" s="303"/>
      <c r="IUT510" s="356"/>
      <c r="IUU510" s="359"/>
      <c r="IUW510" s="303"/>
      <c r="IUX510" s="356"/>
      <c r="IUY510" s="359"/>
      <c r="IVA510" s="303"/>
      <c r="IVB510" s="356"/>
      <c r="IVC510" s="359"/>
      <c r="IVE510" s="303"/>
      <c r="IVF510" s="356"/>
      <c r="IVG510" s="359"/>
      <c r="IVI510" s="303"/>
      <c r="IVJ510" s="356"/>
      <c r="IVK510" s="359"/>
      <c r="IVM510" s="303"/>
      <c r="IVN510" s="356"/>
      <c r="IVO510" s="359"/>
      <c r="IVQ510" s="303"/>
      <c r="IVR510" s="356"/>
      <c r="IVS510" s="359"/>
      <c r="IVU510" s="303"/>
      <c r="IVV510" s="356"/>
      <c r="IVW510" s="359"/>
      <c r="IVY510" s="303"/>
      <c r="IVZ510" s="356"/>
      <c r="IWA510" s="359"/>
      <c r="IWC510" s="303"/>
      <c r="IWD510" s="356"/>
      <c r="IWE510" s="359"/>
      <c r="IWG510" s="303"/>
      <c r="IWH510" s="356"/>
      <c r="IWI510" s="359"/>
      <c r="IWK510" s="303"/>
      <c r="IWL510" s="356"/>
      <c r="IWM510" s="359"/>
      <c r="IWO510" s="303"/>
      <c r="IWP510" s="356"/>
      <c r="IWQ510" s="359"/>
      <c r="IWS510" s="303"/>
      <c r="IWT510" s="356"/>
      <c r="IWU510" s="359"/>
      <c r="IWW510" s="303"/>
      <c r="IWX510" s="356"/>
      <c r="IWY510" s="359"/>
      <c r="IXA510" s="303"/>
      <c r="IXB510" s="356"/>
      <c r="IXC510" s="359"/>
      <c r="IXE510" s="303"/>
      <c r="IXF510" s="356"/>
      <c r="IXG510" s="359"/>
      <c r="IXI510" s="303"/>
      <c r="IXJ510" s="356"/>
      <c r="IXK510" s="359"/>
      <c r="IXM510" s="303"/>
      <c r="IXN510" s="356"/>
      <c r="IXO510" s="359"/>
      <c r="IXQ510" s="303"/>
      <c r="IXR510" s="356"/>
      <c r="IXS510" s="359"/>
      <c r="IXU510" s="303"/>
      <c r="IXV510" s="356"/>
      <c r="IXW510" s="359"/>
      <c r="IXY510" s="303"/>
      <c r="IXZ510" s="356"/>
      <c r="IYA510" s="359"/>
      <c r="IYC510" s="303"/>
      <c r="IYD510" s="356"/>
      <c r="IYE510" s="359"/>
      <c r="IYG510" s="303"/>
      <c r="IYH510" s="356"/>
      <c r="IYI510" s="359"/>
      <c r="IYK510" s="303"/>
      <c r="IYL510" s="356"/>
      <c r="IYM510" s="359"/>
      <c r="IYO510" s="303"/>
      <c r="IYP510" s="356"/>
      <c r="IYQ510" s="359"/>
      <c r="IYS510" s="303"/>
      <c r="IYT510" s="356"/>
      <c r="IYU510" s="359"/>
      <c r="IYW510" s="303"/>
      <c r="IYX510" s="356"/>
      <c r="IYY510" s="359"/>
      <c r="IZA510" s="303"/>
      <c r="IZB510" s="356"/>
      <c r="IZC510" s="359"/>
      <c r="IZE510" s="303"/>
      <c r="IZF510" s="356"/>
      <c r="IZG510" s="359"/>
      <c r="IZI510" s="303"/>
      <c r="IZJ510" s="356"/>
      <c r="IZK510" s="359"/>
      <c r="IZM510" s="303"/>
      <c r="IZN510" s="356"/>
      <c r="IZO510" s="359"/>
      <c r="IZQ510" s="303"/>
      <c r="IZR510" s="356"/>
      <c r="IZS510" s="359"/>
      <c r="IZU510" s="303"/>
      <c r="IZV510" s="356"/>
      <c r="IZW510" s="359"/>
      <c r="IZY510" s="303"/>
      <c r="IZZ510" s="356"/>
      <c r="JAA510" s="359"/>
      <c r="JAC510" s="303"/>
      <c r="JAD510" s="356"/>
      <c r="JAE510" s="359"/>
      <c r="JAG510" s="303"/>
      <c r="JAH510" s="356"/>
      <c r="JAI510" s="359"/>
      <c r="JAK510" s="303"/>
      <c r="JAL510" s="356"/>
      <c r="JAM510" s="359"/>
      <c r="JAO510" s="303"/>
      <c r="JAP510" s="356"/>
      <c r="JAQ510" s="359"/>
      <c r="JAS510" s="303"/>
      <c r="JAT510" s="356"/>
      <c r="JAU510" s="359"/>
      <c r="JAW510" s="303"/>
      <c r="JAX510" s="356"/>
      <c r="JAY510" s="359"/>
      <c r="JBA510" s="303"/>
      <c r="JBB510" s="356"/>
      <c r="JBC510" s="359"/>
      <c r="JBE510" s="303"/>
      <c r="JBF510" s="356"/>
      <c r="JBG510" s="359"/>
      <c r="JBI510" s="303"/>
      <c r="JBJ510" s="356"/>
      <c r="JBK510" s="359"/>
      <c r="JBM510" s="303"/>
      <c r="JBN510" s="356"/>
      <c r="JBO510" s="359"/>
      <c r="JBQ510" s="303"/>
      <c r="JBR510" s="356"/>
      <c r="JBS510" s="359"/>
      <c r="JBU510" s="303"/>
      <c r="JBV510" s="356"/>
      <c r="JBW510" s="359"/>
      <c r="JBY510" s="303"/>
      <c r="JBZ510" s="356"/>
      <c r="JCA510" s="359"/>
      <c r="JCC510" s="303"/>
      <c r="JCD510" s="356"/>
      <c r="JCE510" s="359"/>
      <c r="JCG510" s="303"/>
      <c r="JCH510" s="356"/>
      <c r="JCI510" s="359"/>
      <c r="JCK510" s="303"/>
      <c r="JCL510" s="356"/>
      <c r="JCM510" s="359"/>
      <c r="JCO510" s="303"/>
      <c r="JCP510" s="356"/>
      <c r="JCQ510" s="359"/>
      <c r="JCS510" s="303"/>
      <c r="JCT510" s="356"/>
      <c r="JCU510" s="359"/>
      <c r="JCW510" s="303"/>
      <c r="JCX510" s="356"/>
      <c r="JCY510" s="359"/>
      <c r="JDA510" s="303"/>
      <c r="JDB510" s="356"/>
      <c r="JDC510" s="359"/>
      <c r="JDE510" s="303"/>
      <c r="JDF510" s="356"/>
      <c r="JDG510" s="359"/>
      <c r="JDI510" s="303"/>
      <c r="JDJ510" s="356"/>
      <c r="JDK510" s="359"/>
      <c r="JDM510" s="303"/>
      <c r="JDN510" s="356"/>
      <c r="JDO510" s="359"/>
      <c r="JDQ510" s="303"/>
      <c r="JDR510" s="356"/>
      <c r="JDS510" s="359"/>
      <c r="JDU510" s="303"/>
      <c r="JDV510" s="356"/>
      <c r="JDW510" s="359"/>
      <c r="JDY510" s="303"/>
      <c r="JDZ510" s="356"/>
      <c r="JEA510" s="359"/>
      <c r="JEC510" s="303"/>
      <c r="JED510" s="356"/>
      <c r="JEE510" s="359"/>
      <c r="JEG510" s="303"/>
      <c r="JEH510" s="356"/>
      <c r="JEI510" s="359"/>
      <c r="JEK510" s="303"/>
      <c r="JEL510" s="356"/>
      <c r="JEM510" s="359"/>
      <c r="JEO510" s="303"/>
      <c r="JEP510" s="356"/>
      <c r="JEQ510" s="359"/>
      <c r="JES510" s="303"/>
      <c r="JET510" s="356"/>
      <c r="JEU510" s="359"/>
      <c r="JEW510" s="303"/>
      <c r="JEX510" s="356"/>
      <c r="JEY510" s="359"/>
      <c r="JFA510" s="303"/>
      <c r="JFB510" s="356"/>
      <c r="JFC510" s="359"/>
      <c r="JFE510" s="303"/>
      <c r="JFF510" s="356"/>
      <c r="JFG510" s="359"/>
      <c r="JFI510" s="303"/>
      <c r="JFJ510" s="356"/>
      <c r="JFK510" s="359"/>
      <c r="JFM510" s="303"/>
      <c r="JFN510" s="356"/>
      <c r="JFO510" s="359"/>
      <c r="JFQ510" s="303"/>
      <c r="JFR510" s="356"/>
      <c r="JFS510" s="359"/>
      <c r="JFU510" s="303"/>
      <c r="JFV510" s="356"/>
      <c r="JFW510" s="359"/>
      <c r="JFY510" s="303"/>
      <c r="JFZ510" s="356"/>
      <c r="JGA510" s="359"/>
      <c r="JGC510" s="303"/>
      <c r="JGD510" s="356"/>
      <c r="JGE510" s="359"/>
      <c r="JGG510" s="303"/>
      <c r="JGH510" s="356"/>
      <c r="JGI510" s="359"/>
      <c r="JGK510" s="303"/>
      <c r="JGL510" s="356"/>
      <c r="JGM510" s="359"/>
      <c r="JGO510" s="303"/>
      <c r="JGP510" s="356"/>
      <c r="JGQ510" s="359"/>
      <c r="JGS510" s="303"/>
      <c r="JGT510" s="356"/>
      <c r="JGU510" s="359"/>
      <c r="JGW510" s="303"/>
      <c r="JGX510" s="356"/>
      <c r="JGY510" s="359"/>
      <c r="JHA510" s="303"/>
      <c r="JHB510" s="356"/>
      <c r="JHC510" s="359"/>
      <c r="JHE510" s="303"/>
      <c r="JHF510" s="356"/>
      <c r="JHG510" s="359"/>
      <c r="JHI510" s="303"/>
      <c r="JHJ510" s="356"/>
      <c r="JHK510" s="359"/>
      <c r="JHM510" s="303"/>
      <c r="JHN510" s="356"/>
      <c r="JHO510" s="359"/>
      <c r="JHQ510" s="303"/>
      <c r="JHR510" s="356"/>
      <c r="JHS510" s="359"/>
      <c r="JHU510" s="303"/>
      <c r="JHV510" s="356"/>
      <c r="JHW510" s="359"/>
      <c r="JHY510" s="303"/>
      <c r="JHZ510" s="356"/>
      <c r="JIA510" s="359"/>
      <c r="JIC510" s="303"/>
      <c r="JID510" s="356"/>
      <c r="JIE510" s="359"/>
      <c r="JIG510" s="303"/>
      <c r="JIH510" s="356"/>
      <c r="JII510" s="359"/>
      <c r="JIK510" s="303"/>
      <c r="JIL510" s="356"/>
      <c r="JIM510" s="359"/>
      <c r="JIO510" s="303"/>
      <c r="JIP510" s="356"/>
      <c r="JIQ510" s="359"/>
      <c r="JIS510" s="303"/>
      <c r="JIT510" s="356"/>
      <c r="JIU510" s="359"/>
      <c r="JIW510" s="303"/>
      <c r="JIX510" s="356"/>
      <c r="JIY510" s="359"/>
      <c r="JJA510" s="303"/>
      <c r="JJB510" s="356"/>
      <c r="JJC510" s="359"/>
      <c r="JJE510" s="303"/>
      <c r="JJF510" s="356"/>
      <c r="JJG510" s="359"/>
      <c r="JJI510" s="303"/>
      <c r="JJJ510" s="356"/>
      <c r="JJK510" s="359"/>
      <c r="JJM510" s="303"/>
      <c r="JJN510" s="356"/>
      <c r="JJO510" s="359"/>
      <c r="JJQ510" s="303"/>
      <c r="JJR510" s="356"/>
      <c r="JJS510" s="359"/>
      <c r="JJU510" s="303"/>
      <c r="JJV510" s="356"/>
      <c r="JJW510" s="359"/>
      <c r="JJY510" s="303"/>
      <c r="JJZ510" s="356"/>
      <c r="JKA510" s="359"/>
      <c r="JKC510" s="303"/>
      <c r="JKD510" s="356"/>
      <c r="JKE510" s="359"/>
      <c r="JKG510" s="303"/>
      <c r="JKH510" s="356"/>
      <c r="JKI510" s="359"/>
      <c r="JKK510" s="303"/>
      <c r="JKL510" s="356"/>
      <c r="JKM510" s="359"/>
      <c r="JKO510" s="303"/>
      <c r="JKP510" s="356"/>
      <c r="JKQ510" s="359"/>
      <c r="JKS510" s="303"/>
      <c r="JKT510" s="356"/>
      <c r="JKU510" s="359"/>
      <c r="JKW510" s="303"/>
      <c r="JKX510" s="356"/>
      <c r="JKY510" s="359"/>
      <c r="JLA510" s="303"/>
      <c r="JLB510" s="356"/>
      <c r="JLC510" s="359"/>
      <c r="JLE510" s="303"/>
      <c r="JLF510" s="356"/>
      <c r="JLG510" s="359"/>
      <c r="JLI510" s="303"/>
      <c r="JLJ510" s="356"/>
      <c r="JLK510" s="359"/>
      <c r="JLM510" s="303"/>
      <c r="JLN510" s="356"/>
      <c r="JLO510" s="359"/>
      <c r="JLQ510" s="303"/>
      <c r="JLR510" s="356"/>
      <c r="JLS510" s="359"/>
      <c r="JLU510" s="303"/>
      <c r="JLV510" s="356"/>
      <c r="JLW510" s="359"/>
      <c r="JLY510" s="303"/>
      <c r="JLZ510" s="356"/>
      <c r="JMA510" s="359"/>
      <c r="JMC510" s="303"/>
      <c r="JMD510" s="356"/>
      <c r="JME510" s="359"/>
      <c r="JMG510" s="303"/>
      <c r="JMH510" s="356"/>
      <c r="JMI510" s="359"/>
      <c r="JMK510" s="303"/>
      <c r="JML510" s="356"/>
      <c r="JMM510" s="359"/>
      <c r="JMO510" s="303"/>
      <c r="JMP510" s="356"/>
      <c r="JMQ510" s="359"/>
      <c r="JMS510" s="303"/>
      <c r="JMT510" s="356"/>
      <c r="JMU510" s="359"/>
      <c r="JMW510" s="303"/>
      <c r="JMX510" s="356"/>
      <c r="JMY510" s="359"/>
      <c r="JNA510" s="303"/>
      <c r="JNB510" s="356"/>
      <c r="JNC510" s="359"/>
      <c r="JNE510" s="303"/>
      <c r="JNF510" s="356"/>
      <c r="JNG510" s="359"/>
      <c r="JNI510" s="303"/>
      <c r="JNJ510" s="356"/>
      <c r="JNK510" s="359"/>
      <c r="JNM510" s="303"/>
      <c r="JNN510" s="356"/>
      <c r="JNO510" s="359"/>
      <c r="JNQ510" s="303"/>
      <c r="JNR510" s="356"/>
      <c r="JNS510" s="359"/>
      <c r="JNU510" s="303"/>
      <c r="JNV510" s="356"/>
      <c r="JNW510" s="359"/>
      <c r="JNY510" s="303"/>
      <c r="JNZ510" s="356"/>
      <c r="JOA510" s="359"/>
      <c r="JOC510" s="303"/>
      <c r="JOD510" s="356"/>
      <c r="JOE510" s="359"/>
      <c r="JOG510" s="303"/>
      <c r="JOH510" s="356"/>
      <c r="JOI510" s="359"/>
      <c r="JOK510" s="303"/>
      <c r="JOL510" s="356"/>
      <c r="JOM510" s="359"/>
      <c r="JOO510" s="303"/>
      <c r="JOP510" s="356"/>
      <c r="JOQ510" s="359"/>
      <c r="JOS510" s="303"/>
      <c r="JOT510" s="356"/>
      <c r="JOU510" s="359"/>
      <c r="JOW510" s="303"/>
      <c r="JOX510" s="356"/>
      <c r="JOY510" s="359"/>
      <c r="JPA510" s="303"/>
      <c r="JPB510" s="356"/>
      <c r="JPC510" s="359"/>
      <c r="JPE510" s="303"/>
      <c r="JPF510" s="356"/>
      <c r="JPG510" s="359"/>
      <c r="JPI510" s="303"/>
      <c r="JPJ510" s="356"/>
      <c r="JPK510" s="359"/>
      <c r="JPM510" s="303"/>
      <c r="JPN510" s="356"/>
      <c r="JPO510" s="359"/>
      <c r="JPQ510" s="303"/>
      <c r="JPR510" s="356"/>
      <c r="JPS510" s="359"/>
      <c r="JPU510" s="303"/>
      <c r="JPV510" s="356"/>
      <c r="JPW510" s="359"/>
      <c r="JPY510" s="303"/>
      <c r="JPZ510" s="356"/>
      <c r="JQA510" s="359"/>
      <c r="JQC510" s="303"/>
      <c r="JQD510" s="356"/>
      <c r="JQE510" s="359"/>
      <c r="JQG510" s="303"/>
      <c r="JQH510" s="356"/>
      <c r="JQI510" s="359"/>
      <c r="JQK510" s="303"/>
      <c r="JQL510" s="356"/>
      <c r="JQM510" s="359"/>
      <c r="JQO510" s="303"/>
      <c r="JQP510" s="356"/>
      <c r="JQQ510" s="359"/>
      <c r="JQS510" s="303"/>
      <c r="JQT510" s="356"/>
      <c r="JQU510" s="359"/>
      <c r="JQW510" s="303"/>
      <c r="JQX510" s="356"/>
      <c r="JQY510" s="359"/>
      <c r="JRA510" s="303"/>
      <c r="JRB510" s="356"/>
      <c r="JRC510" s="359"/>
      <c r="JRE510" s="303"/>
      <c r="JRF510" s="356"/>
      <c r="JRG510" s="359"/>
      <c r="JRI510" s="303"/>
      <c r="JRJ510" s="356"/>
      <c r="JRK510" s="359"/>
      <c r="JRM510" s="303"/>
      <c r="JRN510" s="356"/>
      <c r="JRO510" s="359"/>
      <c r="JRQ510" s="303"/>
      <c r="JRR510" s="356"/>
      <c r="JRS510" s="359"/>
      <c r="JRU510" s="303"/>
      <c r="JRV510" s="356"/>
      <c r="JRW510" s="359"/>
      <c r="JRY510" s="303"/>
      <c r="JRZ510" s="356"/>
      <c r="JSA510" s="359"/>
      <c r="JSC510" s="303"/>
      <c r="JSD510" s="356"/>
      <c r="JSE510" s="359"/>
      <c r="JSG510" s="303"/>
      <c r="JSH510" s="356"/>
      <c r="JSI510" s="359"/>
      <c r="JSK510" s="303"/>
      <c r="JSL510" s="356"/>
      <c r="JSM510" s="359"/>
      <c r="JSO510" s="303"/>
      <c r="JSP510" s="356"/>
      <c r="JSQ510" s="359"/>
      <c r="JSS510" s="303"/>
      <c r="JST510" s="356"/>
      <c r="JSU510" s="359"/>
      <c r="JSW510" s="303"/>
      <c r="JSX510" s="356"/>
      <c r="JSY510" s="359"/>
      <c r="JTA510" s="303"/>
      <c r="JTB510" s="356"/>
      <c r="JTC510" s="359"/>
      <c r="JTE510" s="303"/>
      <c r="JTF510" s="356"/>
      <c r="JTG510" s="359"/>
      <c r="JTI510" s="303"/>
      <c r="JTJ510" s="356"/>
      <c r="JTK510" s="359"/>
      <c r="JTM510" s="303"/>
      <c r="JTN510" s="356"/>
      <c r="JTO510" s="359"/>
      <c r="JTQ510" s="303"/>
      <c r="JTR510" s="356"/>
      <c r="JTS510" s="359"/>
      <c r="JTU510" s="303"/>
      <c r="JTV510" s="356"/>
      <c r="JTW510" s="359"/>
      <c r="JTY510" s="303"/>
      <c r="JTZ510" s="356"/>
      <c r="JUA510" s="359"/>
      <c r="JUC510" s="303"/>
      <c r="JUD510" s="356"/>
      <c r="JUE510" s="359"/>
      <c r="JUG510" s="303"/>
      <c r="JUH510" s="356"/>
      <c r="JUI510" s="359"/>
      <c r="JUK510" s="303"/>
      <c r="JUL510" s="356"/>
      <c r="JUM510" s="359"/>
      <c r="JUO510" s="303"/>
      <c r="JUP510" s="356"/>
      <c r="JUQ510" s="359"/>
      <c r="JUS510" s="303"/>
      <c r="JUT510" s="356"/>
      <c r="JUU510" s="359"/>
      <c r="JUW510" s="303"/>
      <c r="JUX510" s="356"/>
      <c r="JUY510" s="359"/>
      <c r="JVA510" s="303"/>
      <c r="JVB510" s="356"/>
      <c r="JVC510" s="359"/>
      <c r="JVE510" s="303"/>
      <c r="JVF510" s="356"/>
      <c r="JVG510" s="359"/>
      <c r="JVI510" s="303"/>
      <c r="JVJ510" s="356"/>
      <c r="JVK510" s="359"/>
      <c r="JVM510" s="303"/>
      <c r="JVN510" s="356"/>
      <c r="JVO510" s="359"/>
      <c r="JVQ510" s="303"/>
      <c r="JVR510" s="356"/>
      <c r="JVS510" s="359"/>
      <c r="JVU510" s="303"/>
      <c r="JVV510" s="356"/>
      <c r="JVW510" s="359"/>
      <c r="JVY510" s="303"/>
      <c r="JVZ510" s="356"/>
      <c r="JWA510" s="359"/>
      <c r="JWC510" s="303"/>
      <c r="JWD510" s="356"/>
      <c r="JWE510" s="359"/>
      <c r="JWG510" s="303"/>
      <c r="JWH510" s="356"/>
      <c r="JWI510" s="359"/>
      <c r="JWK510" s="303"/>
      <c r="JWL510" s="356"/>
      <c r="JWM510" s="359"/>
      <c r="JWO510" s="303"/>
      <c r="JWP510" s="356"/>
      <c r="JWQ510" s="359"/>
      <c r="JWS510" s="303"/>
      <c r="JWT510" s="356"/>
      <c r="JWU510" s="359"/>
      <c r="JWW510" s="303"/>
      <c r="JWX510" s="356"/>
      <c r="JWY510" s="359"/>
      <c r="JXA510" s="303"/>
      <c r="JXB510" s="356"/>
      <c r="JXC510" s="359"/>
      <c r="JXE510" s="303"/>
      <c r="JXF510" s="356"/>
      <c r="JXG510" s="359"/>
      <c r="JXI510" s="303"/>
      <c r="JXJ510" s="356"/>
      <c r="JXK510" s="359"/>
      <c r="JXM510" s="303"/>
      <c r="JXN510" s="356"/>
      <c r="JXO510" s="359"/>
      <c r="JXQ510" s="303"/>
      <c r="JXR510" s="356"/>
      <c r="JXS510" s="359"/>
      <c r="JXU510" s="303"/>
      <c r="JXV510" s="356"/>
      <c r="JXW510" s="359"/>
      <c r="JXY510" s="303"/>
      <c r="JXZ510" s="356"/>
      <c r="JYA510" s="359"/>
      <c r="JYC510" s="303"/>
      <c r="JYD510" s="356"/>
      <c r="JYE510" s="359"/>
      <c r="JYG510" s="303"/>
      <c r="JYH510" s="356"/>
      <c r="JYI510" s="359"/>
      <c r="JYK510" s="303"/>
      <c r="JYL510" s="356"/>
      <c r="JYM510" s="359"/>
      <c r="JYO510" s="303"/>
      <c r="JYP510" s="356"/>
      <c r="JYQ510" s="359"/>
      <c r="JYS510" s="303"/>
      <c r="JYT510" s="356"/>
      <c r="JYU510" s="359"/>
      <c r="JYW510" s="303"/>
      <c r="JYX510" s="356"/>
      <c r="JYY510" s="359"/>
      <c r="JZA510" s="303"/>
      <c r="JZB510" s="356"/>
      <c r="JZC510" s="359"/>
      <c r="JZE510" s="303"/>
      <c r="JZF510" s="356"/>
      <c r="JZG510" s="359"/>
      <c r="JZI510" s="303"/>
      <c r="JZJ510" s="356"/>
      <c r="JZK510" s="359"/>
      <c r="JZM510" s="303"/>
      <c r="JZN510" s="356"/>
      <c r="JZO510" s="359"/>
      <c r="JZQ510" s="303"/>
      <c r="JZR510" s="356"/>
      <c r="JZS510" s="359"/>
      <c r="JZU510" s="303"/>
      <c r="JZV510" s="356"/>
      <c r="JZW510" s="359"/>
      <c r="JZY510" s="303"/>
      <c r="JZZ510" s="356"/>
      <c r="KAA510" s="359"/>
      <c r="KAC510" s="303"/>
      <c r="KAD510" s="356"/>
      <c r="KAE510" s="359"/>
      <c r="KAG510" s="303"/>
      <c r="KAH510" s="356"/>
      <c r="KAI510" s="359"/>
      <c r="KAK510" s="303"/>
      <c r="KAL510" s="356"/>
      <c r="KAM510" s="359"/>
      <c r="KAO510" s="303"/>
      <c r="KAP510" s="356"/>
      <c r="KAQ510" s="359"/>
      <c r="KAS510" s="303"/>
      <c r="KAT510" s="356"/>
      <c r="KAU510" s="359"/>
      <c r="KAW510" s="303"/>
      <c r="KAX510" s="356"/>
      <c r="KAY510" s="359"/>
      <c r="KBA510" s="303"/>
      <c r="KBB510" s="356"/>
      <c r="KBC510" s="359"/>
      <c r="KBE510" s="303"/>
      <c r="KBF510" s="356"/>
      <c r="KBG510" s="359"/>
      <c r="KBI510" s="303"/>
      <c r="KBJ510" s="356"/>
      <c r="KBK510" s="359"/>
      <c r="KBM510" s="303"/>
      <c r="KBN510" s="356"/>
      <c r="KBO510" s="359"/>
      <c r="KBQ510" s="303"/>
      <c r="KBR510" s="356"/>
      <c r="KBS510" s="359"/>
      <c r="KBU510" s="303"/>
      <c r="KBV510" s="356"/>
      <c r="KBW510" s="359"/>
      <c r="KBY510" s="303"/>
      <c r="KBZ510" s="356"/>
      <c r="KCA510" s="359"/>
      <c r="KCC510" s="303"/>
      <c r="KCD510" s="356"/>
      <c r="KCE510" s="359"/>
      <c r="KCG510" s="303"/>
      <c r="KCH510" s="356"/>
      <c r="KCI510" s="359"/>
      <c r="KCK510" s="303"/>
      <c r="KCL510" s="356"/>
      <c r="KCM510" s="359"/>
      <c r="KCO510" s="303"/>
      <c r="KCP510" s="356"/>
      <c r="KCQ510" s="359"/>
      <c r="KCS510" s="303"/>
      <c r="KCT510" s="356"/>
      <c r="KCU510" s="359"/>
      <c r="KCW510" s="303"/>
      <c r="KCX510" s="356"/>
      <c r="KCY510" s="359"/>
      <c r="KDA510" s="303"/>
      <c r="KDB510" s="356"/>
      <c r="KDC510" s="359"/>
      <c r="KDE510" s="303"/>
      <c r="KDF510" s="356"/>
      <c r="KDG510" s="359"/>
      <c r="KDI510" s="303"/>
      <c r="KDJ510" s="356"/>
      <c r="KDK510" s="359"/>
      <c r="KDM510" s="303"/>
      <c r="KDN510" s="356"/>
      <c r="KDO510" s="359"/>
      <c r="KDQ510" s="303"/>
      <c r="KDR510" s="356"/>
      <c r="KDS510" s="359"/>
      <c r="KDU510" s="303"/>
      <c r="KDV510" s="356"/>
      <c r="KDW510" s="359"/>
      <c r="KDY510" s="303"/>
      <c r="KDZ510" s="356"/>
      <c r="KEA510" s="359"/>
      <c r="KEC510" s="303"/>
      <c r="KED510" s="356"/>
      <c r="KEE510" s="359"/>
      <c r="KEG510" s="303"/>
      <c r="KEH510" s="356"/>
      <c r="KEI510" s="359"/>
      <c r="KEK510" s="303"/>
      <c r="KEL510" s="356"/>
      <c r="KEM510" s="359"/>
      <c r="KEO510" s="303"/>
      <c r="KEP510" s="356"/>
      <c r="KEQ510" s="359"/>
      <c r="KES510" s="303"/>
      <c r="KET510" s="356"/>
      <c r="KEU510" s="359"/>
      <c r="KEW510" s="303"/>
      <c r="KEX510" s="356"/>
      <c r="KEY510" s="359"/>
      <c r="KFA510" s="303"/>
      <c r="KFB510" s="356"/>
      <c r="KFC510" s="359"/>
      <c r="KFE510" s="303"/>
      <c r="KFF510" s="356"/>
      <c r="KFG510" s="359"/>
      <c r="KFI510" s="303"/>
      <c r="KFJ510" s="356"/>
      <c r="KFK510" s="359"/>
      <c r="KFM510" s="303"/>
      <c r="KFN510" s="356"/>
      <c r="KFO510" s="359"/>
      <c r="KFQ510" s="303"/>
      <c r="KFR510" s="356"/>
      <c r="KFS510" s="359"/>
      <c r="KFU510" s="303"/>
      <c r="KFV510" s="356"/>
      <c r="KFW510" s="359"/>
      <c r="KFY510" s="303"/>
      <c r="KFZ510" s="356"/>
      <c r="KGA510" s="359"/>
      <c r="KGC510" s="303"/>
      <c r="KGD510" s="356"/>
      <c r="KGE510" s="359"/>
      <c r="KGG510" s="303"/>
      <c r="KGH510" s="356"/>
      <c r="KGI510" s="359"/>
      <c r="KGK510" s="303"/>
      <c r="KGL510" s="356"/>
      <c r="KGM510" s="359"/>
      <c r="KGO510" s="303"/>
      <c r="KGP510" s="356"/>
      <c r="KGQ510" s="359"/>
      <c r="KGS510" s="303"/>
      <c r="KGT510" s="356"/>
      <c r="KGU510" s="359"/>
      <c r="KGW510" s="303"/>
      <c r="KGX510" s="356"/>
      <c r="KGY510" s="359"/>
      <c r="KHA510" s="303"/>
      <c r="KHB510" s="356"/>
      <c r="KHC510" s="359"/>
      <c r="KHE510" s="303"/>
      <c r="KHF510" s="356"/>
      <c r="KHG510" s="359"/>
      <c r="KHI510" s="303"/>
      <c r="KHJ510" s="356"/>
      <c r="KHK510" s="359"/>
      <c r="KHM510" s="303"/>
      <c r="KHN510" s="356"/>
      <c r="KHO510" s="359"/>
      <c r="KHQ510" s="303"/>
      <c r="KHR510" s="356"/>
      <c r="KHS510" s="359"/>
      <c r="KHU510" s="303"/>
      <c r="KHV510" s="356"/>
      <c r="KHW510" s="359"/>
      <c r="KHY510" s="303"/>
      <c r="KHZ510" s="356"/>
      <c r="KIA510" s="359"/>
      <c r="KIC510" s="303"/>
      <c r="KID510" s="356"/>
      <c r="KIE510" s="359"/>
      <c r="KIG510" s="303"/>
      <c r="KIH510" s="356"/>
      <c r="KII510" s="359"/>
      <c r="KIK510" s="303"/>
      <c r="KIL510" s="356"/>
      <c r="KIM510" s="359"/>
      <c r="KIO510" s="303"/>
      <c r="KIP510" s="356"/>
      <c r="KIQ510" s="359"/>
      <c r="KIS510" s="303"/>
      <c r="KIT510" s="356"/>
      <c r="KIU510" s="359"/>
      <c r="KIW510" s="303"/>
      <c r="KIX510" s="356"/>
      <c r="KIY510" s="359"/>
      <c r="KJA510" s="303"/>
      <c r="KJB510" s="356"/>
      <c r="KJC510" s="359"/>
      <c r="KJE510" s="303"/>
      <c r="KJF510" s="356"/>
      <c r="KJG510" s="359"/>
      <c r="KJI510" s="303"/>
      <c r="KJJ510" s="356"/>
      <c r="KJK510" s="359"/>
      <c r="KJM510" s="303"/>
      <c r="KJN510" s="356"/>
      <c r="KJO510" s="359"/>
      <c r="KJQ510" s="303"/>
      <c r="KJR510" s="356"/>
      <c r="KJS510" s="359"/>
      <c r="KJU510" s="303"/>
      <c r="KJV510" s="356"/>
      <c r="KJW510" s="359"/>
      <c r="KJY510" s="303"/>
      <c r="KJZ510" s="356"/>
      <c r="KKA510" s="359"/>
      <c r="KKC510" s="303"/>
      <c r="KKD510" s="356"/>
      <c r="KKE510" s="359"/>
      <c r="KKG510" s="303"/>
      <c r="KKH510" s="356"/>
      <c r="KKI510" s="359"/>
      <c r="KKK510" s="303"/>
      <c r="KKL510" s="356"/>
      <c r="KKM510" s="359"/>
      <c r="KKO510" s="303"/>
      <c r="KKP510" s="356"/>
      <c r="KKQ510" s="359"/>
      <c r="KKS510" s="303"/>
      <c r="KKT510" s="356"/>
      <c r="KKU510" s="359"/>
      <c r="KKW510" s="303"/>
      <c r="KKX510" s="356"/>
      <c r="KKY510" s="359"/>
      <c r="KLA510" s="303"/>
      <c r="KLB510" s="356"/>
      <c r="KLC510" s="359"/>
      <c r="KLE510" s="303"/>
      <c r="KLF510" s="356"/>
      <c r="KLG510" s="359"/>
      <c r="KLI510" s="303"/>
      <c r="KLJ510" s="356"/>
      <c r="KLK510" s="359"/>
      <c r="KLM510" s="303"/>
      <c r="KLN510" s="356"/>
      <c r="KLO510" s="359"/>
      <c r="KLQ510" s="303"/>
      <c r="KLR510" s="356"/>
      <c r="KLS510" s="359"/>
      <c r="KLU510" s="303"/>
      <c r="KLV510" s="356"/>
      <c r="KLW510" s="359"/>
      <c r="KLY510" s="303"/>
      <c r="KLZ510" s="356"/>
      <c r="KMA510" s="359"/>
      <c r="KMC510" s="303"/>
      <c r="KMD510" s="356"/>
      <c r="KME510" s="359"/>
      <c r="KMG510" s="303"/>
      <c r="KMH510" s="356"/>
      <c r="KMI510" s="359"/>
      <c r="KMK510" s="303"/>
      <c r="KML510" s="356"/>
      <c r="KMM510" s="359"/>
      <c r="KMO510" s="303"/>
      <c r="KMP510" s="356"/>
      <c r="KMQ510" s="359"/>
      <c r="KMS510" s="303"/>
      <c r="KMT510" s="356"/>
      <c r="KMU510" s="359"/>
      <c r="KMW510" s="303"/>
      <c r="KMX510" s="356"/>
      <c r="KMY510" s="359"/>
      <c r="KNA510" s="303"/>
      <c r="KNB510" s="356"/>
      <c r="KNC510" s="359"/>
      <c r="KNE510" s="303"/>
      <c r="KNF510" s="356"/>
      <c r="KNG510" s="359"/>
      <c r="KNI510" s="303"/>
      <c r="KNJ510" s="356"/>
      <c r="KNK510" s="359"/>
      <c r="KNM510" s="303"/>
      <c r="KNN510" s="356"/>
      <c r="KNO510" s="359"/>
      <c r="KNQ510" s="303"/>
      <c r="KNR510" s="356"/>
      <c r="KNS510" s="359"/>
      <c r="KNU510" s="303"/>
      <c r="KNV510" s="356"/>
      <c r="KNW510" s="359"/>
      <c r="KNY510" s="303"/>
      <c r="KNZ510" s="356"/>
      <c r="KOA510" s="359"/>
      <c r="KOC510" s="303"/>
      <c r="KOD510" s="356"/>
      <c r="KOE510" s="359"/>
      <c r="KOG510" s="303"/>
      <c r="KOH510" s="356"/>
      <c r="KOI510" s="359"/>
      <c r="KOK510" s="303"/>
      <c r="KOL510" s="356"/>
      <c r="KOM510" s="359"/>
      <c r="KOO510" s="303"/>
      <c r="KOP510" s="356"/>
      <c r="KOQ510" s="359"/>
      <c r="KOS510" s="303"/>
      <c r="KOT510" s="356"/>
      <c r="KOU510" s="359"/>
      <c r="KOW510" s="303"/>
      <c r="KOX510" s="356"/>
      <c r="KOY510" s="359"/>
      <c r="KPA510" s="303"/>
      <c r="KPB510" s="356"/>
      <c r="KPC510" s="359"/>
      <c r="KPE510" s="303"/>
      <c r="KPF510" s="356"/>
      <c r="KPG510" s="359"/>
      <c r="KPI510" s="303"/>
      <c r="KPJ510" s="356"/>
      <c r="KPK510" s="359"/>
      <c r="KPM510" s="303"/>
      <c r="KPN510" s="356"/>
      <c r="KPO510" s="359"/>
      <c r="KPQ510" s="303"/>
      <c r="KPR510" s="356"/>
      <c r="KPS510" s="359"/>
      <c r="KPU510" s="303"/>
      <c r="KPV510" s="356"/>
      <c r="KPW510" s="359"/>
      <c r="KPY510" s="303"/>
      <c r="KPZ510" s="356"/>
      <c r="KQA510" s="359"/>
      <c r="KQC510" s="303"/>
      <c r="KQD510" s="356"/>
      <c r="KQE510" s="359"/>
      <c r="KQG510" s="303"/>
      <c r="KQH510" s="356"/>
      <c r="KQI510" s="359"/>
      <c r="KQK510" s="303"/>
      <c r="KQL510" s="356"/>
      <c r="KQM510" s="359"/>
      <c r="KQO510" s="303"/>
      <c r="KQP510" s="356"/>
      <c r="KQQ510" s="359"/>
      <c r="KQS510" s="303"/>
      <c r="KQT510" s="356"/>
      <c r="KQU510" s="359"/>
      <c r="KQW510" s="303"/>
      <c r="KQX510" s="356"/>
      <c r="KQY510" s="359"/>
      <c r="KRA510" s="303"/>
      <c r="KRB510" s="356"/>
      <c r="KRC510" s="359"/>
      <c r="KRE510" s="303"/>
      <c r="KRF510" s="356"/>
      <c r="KRG510" s="359"/>
      <c r="KRI510" s="303"/>
      <c r="KRJ510" s="356"/>
      <c r="KRK510" s="359"/>
      <c r="KRM510" s="303"/>
      <c r="KRN510" s="356"/>
      <c r="KRO510" s="359"/>
      <c r="KRQ510" s="303"/>
      <c r="KRR510" s="356"/>
      <c r="KRS510" s="359"/>
      <c r="KRU510" s="303"/>
      <c r="KRV510" s="356"/>
      <c r="KRW510" s="359"/>
      <c r="KRY510" s="303"/>
      <c r="KRZ510" s="356"/>
      <c r="KSA510" s="359"/>
      <c r="KSC510" s="303"/>
      <c r="KSD510" s="356"/>
      <c r="KSE510" s="359"/>
      <c r="KSG510" s="303"/>
      <c r="KSH510" s="356"/>
      <c r="KSI510" s="359"/>
      <c r="KSK510" s="303"/>
      <c r="KSL510" s="356"/>
      <c r="KSM510" s="359"/>
      <c r="KSO510" s="303"/>
      <c r="KSP510" s="356"/>
      <c r="KSQ510" s="359"/>
      <c r="KSS510" s="303"/>
      <c r="KST510" s="356"/>
      <c r="KSU510" s="359"/>
      <c r="KSW510" s="303"/>
      <c r="KSX510" s="356"/>
      <c r="KSY510" s="359"/>
      <c r="KTA510" s="303"/>
      <c r="KTB510" s="356"/>
      <c r="KTC510" s="359"/>
      <c r="KTE510" s="303"/>
      <c r="KTF510" s="356"/>
      <c r="KTG510" s="359"/>
      <c r="KTI510" s="303"/>
      <c r="KTJ510" s="356"/>
      <c r="KTK510" s="359"/>
      <c r="KTM510" s="303"/>
      <c r="KTN510" s="356"/>
      <c r="KTO510" s="359"/>
      <c r="KTQ510" s="303"/>
      <c r="KTR510" s="356"/>
      <c r="KTS510" s="359"/>
      <c r="KTU510" s="303"/>
      <c r="KTV510" s="356"/>
      <c r="KTW510" s="359"/>
      <c r="KTY510" s="303"/>
      <c r="KTZ510" s="356"/>
      <c r="KUA510" s="359"/>
      <c r="KUC510" s="303"/>
      <c r="KUD510" s="356"/>
      <c r="KUE510" s="359"/>
      <c r="KUG510" s="303"/>
      <c r="KUH510" s="356"/>
      <c r="KUI510" s="359"/>
      <c r="KUK510" s="303"/>
      <c r="KUL510" s="356"/>
      <c r="KUM510" s="359"/>
      <c r="KUO510" s="303"/>
      <c r="KUP510" s="356"/>
      <c r="KUQ510" s="359"/>
      <c r="KUS510" s="303"/>
      <c r="KUT510" s="356"/>
      <c r="KUU510" s="359"/>
      <c r="KUW510" s="303"/>
      <c r="KUX510" s="356"/>
      <c r="KUY510" s="359"/>
      <c r="KVA510" s="303"/>
      <c r="KVB510" s="356"/>
      <c r="KVC510" s="359"/>
      <c r="KVE510" s="303"/>
      <c r="KVF510" s="356"/>
      <c r="KVG510" s="359"/>
      <c r="KVI510" s="303"/>
      <c r="KVJ510" s="356"/>
      <c r="KVK510" s="359"/>
      <c r="KVM510" s="303"/>
      <c r="KVN510" s="356"/>
      <c r="KVO510" s="359"/>
      <c r="KVQ510" s="303"/>
      <c r="KVR510" s="356"/>
      <c r="KVS510" s="359"/>
      <c r="KVU510" s="303"/>
      <c r="KVV510" s="356"/>
      <c r="KVW510" s="359"/>
      <c r="KVY510" s="303"/>
      <c r="KVZ510" s="356"/>
      <c r="KWA510" s="359"/>
      <c r="KWC510" s="303"/>
      <c r="KWD510" s="356"/>
      <c r="KWE510" s="359"/>
      <c r="KWG510" s="303"/>
      <c r="KWH510" s="356"/>
      <c r="KWI510" s="359"/>
      <c r="KWK510" s="303"/>
      <c r="KWL510" s="356"/>
      <c r="KWM510" s="359"/>
      <c r="KWO510" s="303"/>
      <c r="KWP510" s="356"/>
      <c r="KWQ510" s="359"/>
      <c r="KWS510" s="303"/>
      <c r="KWT510" s="356"/>
      <c r="KWU510" s="359"/>
      <c r="KWW510" s="303"/>
      <c r="KWX510" s="356"/>
      <c r="KWY510" s="359"/>
      <c r="KXA510" s="303"/>
      <c r="KXB510" s="356"/>
      <c r="KXC510" s="359"/>
      <c r="KXE510" s="303"/>
      <c r="KXF510" s="356"/>
      <c r="KXG510" s="359"/>
      <c r="KXI510" s="303"/>
      <c r="KXJ510" s="356"/>
      <c r="KXK510" s="359"/>
      <c r="KXM510" s="303"/>
      <c r="KXN510" s="356"/>
      <c r="KXO510" s="359"/>
      <c r="KXQ510" s="303"/>
      <c r="KXR510" s="356"/>
      <c r="KXS510" s="359"/>
      <c r="KXU510" s="303"/>
      <c r="KXV510" s="356"/>
      <c r="KXW510" s="359"/>
      <c r="KXY510" s="303"/>
      <c r="KXZ510" s="356"/>
      <c r="KYA510" s="359"/>
      <c r="KYC510" s="303"/>
      <c r="KYD510" s="356"/>
      <c r="KYE510" s="359"/>
      <c r="KYG510" s="303"/>
      <c r="KYH510" s="356"/>
      <c r="KYI510" s="359"/>
      <c r="KYK510" s="303"/>
      <c r="KYL510" s="356"/>
      <c r="KYM510" s="359"/>
      <c r="KYO510" s="303"/>
      <c r="KYP510" s="356"/>
      <c r="KYQ510" s="359"/>
      <c r="KYS510" s="303"/>
      <c r="KYT510" s="356"/>
      <c r="KYU510" s="359"/>
      <c r="KYW510" s="303"/>
      <c r="KYX510" s="356"/>
      <c r="KYY510" s="359"/>
      <c r="KZA510" s="303"/>
      <c r="KZB510" s="356"/>
      <c r="KZC510" s="359"/>
      <c r="KZE510" s="303"/>
      <c r="KZF510" s="356"/>
      <c r="KZG510" s="359"/>
      <c r="KZI510" s="303"/>
      <c r="KZJ510" s="356"/>
      <c r="KZK510" s="359"/>
      <c r="KZM510" s="303"/>
      <c r="KZN510" s="356"/>
      <c r="KZO510" s="359"/>
      <c r="KZQ510" s="303"/>
      <c r="KZR510" s="356"/>
      <c r="KZS510" s="359"/>
      <c r="KZU510" s="303"/>
      <c r="KZV510" s="356"/>
      <c r="KZW510" s="359"/>
      <c r="KZY510" s="303"/>
      <c r="KZZ510" s="356"/>
      <c r="LAA510" s="359"/>
      <c r="LAC510" s="303"/>
      <c r="LAD510" s="356"/>
      <c r="LAE510" s="359"/>
      <c r="LAG510" s="303"/>
      <c r="LAH510" s="356"/>
      <c r="LAI510" s="359"/>
      <c r="LAK510" s="303"/>
      <c r="LAL510" s="356"/>
      <c r="LAM510" s="359"/>
      <c r="LAO510" s="303"/>
      <c r="LAP510" s="356"/>
      <c r="LAQ510" s="359"/>
      <c r="LAS510" s="303"/>
      <c r="LAT510" s="356"/>
      <c r="LAU510" s="359"/>
      <c r="LAW510" s="303"/>
      <c r="LAX510" s="356"/>
      <c r="LAY510" s="359"/>
      <c r="LBA510" s="303"/>
      <c r="LBB510" s="356"/>
      <c r="LBC510" s="359"/>
      <c r="LBE510" s="303"/>
      <c r="LBF510" s="356"/>
      <c r="LBG510" s="359"/>
      <c r="LBI510" s="303"/>
      <c r="LBJ510" s="356"/>
      <c r="LBK510" s="359"/>
      <c r="LBM510" s="303"/>
      <c r="LBN510" s="356"/>
      <c r="LBO510" s="359"/>
      <c r="LBQ510" s="303"/>
      <c r="LBR510" s="356"/>
      <c r="LBS510" s="359"/>
      <c r="LBU510" s="303"/>
      <c r="LBV510" s="356"/>
      <c r="LBW510" s="359"/>
      <c r="LBY510" s="303"/>
      <c r="LBZ510" s="356"/>
      <c r="LCA510" s="359"/>
      <c r="LCC510" s="303"/>
      <c r="LCD510" s="356"/>
      <c r="LCE510" s="359"/>
      <c r="LCG510" s="303"/>
      <c r="LCH510" s="356"/>
      <c r="LCI510" s="359"/>
      <c r="LCK510" s="303"/>
      <c r="LCL510" s="356"/>
      <c r="LCM510" s="359"/>
      <c r="LCO510" s="303"/>
      <c r="LCP510" s="356"/>
      <c r="LCQ510" s="359"/>
      <c r="LCS510" s="303"/>
      <c r="LCT510" s="356"/>
      <c r="LCU510" s="359"/>
      <c r="LCW510" s="303"/>
      <c r="LCX510" s="356"/>
      <c r="LCY510" s="359"/>
      <c r="LDA510" s="303"/>
      <c r="LDB510" s="356"/>
      <c r="LDC510" s="359"/>
      <c r="LDE510" s="303"/>
      <c r="LDF510" s="356"/>
      <c r="LDG510" s="359"/>
      <c r="LDI510" s="303"/>
      <c r="LDJ510" s="356"/>
      <c r="LDK510" s="359"/>
      <c r="LDM510" s="303"/>
      <c r="LDN510" s="356"/>
      <c r="LDO510" s="359"/>
      <c r="LDQ510" s="303"/>
      <c r="LDR510" s="356"/>
      <c r="LDS510" s="359"/>
      <c r="LDU510" s="303"/>
      <c r="LDV510" s="356"/>
      <c r="LDW510" s="359"/>
      <c r="LDY510" s="303"/>
      <c r="LDZ510" s="356"/>
      <c r="LEA510" s="359"/>
      <c r="LEC510" s="303"/>
      <c r="LED510" s="356"/>
      <c r="LEE510" s="359"/>
      <c r="LEG510" s="303"/>
      <c r="LEH510" s="356"/>
      <c r="LEI510" s="359"/>
      <c r="LEK510" s="303"/>
      <c r="LEL510" s="356"/>
      <c r="LEM510" s="359"/>
      <c r="LEO510" s="303"/>
      <c r="LEP510" s="356"/>
      <c r="LEQ510" s="359"/>
      <c r="LES510" s="303"/>
      <c r="LET510" s="356"/>
      <c r="LEU510" s="359"/>
      <c r="LEW510" s="303"/>
      <c r="LEX510" s="356"/>
      <c r="LEY510" s="359"/>
      <c r="LFA510" s="303"/>
      <c r="LFB510" s="356"/>
      <c r="LFC510" s="359"/>
      <c r="LFE510" s="303"/>
      <c r="LFF510" s="356"/>
      <c r="LFG510" s="359"/>
      <c r="LFI510" s="303"/>
      <c r="LFJ510" s="356"/>
      <c r="LFK510" s="359"/>
      <c r="LFM510" s="303"/>
      <c r="LFN510" s="356"/>
      <c r="LFO510" s="359"/>
      <c r="LFQ510" s="303"/>
      <c r="LFR510" s="356"/>
      <c r="LFS510" s="359"/>
      <c r="LFU510" s="303"/>
      <c r="LFV510" s="356"/>
      <c r="LFW510" s="359"/>
      <c r="LFY510" s="303"/>
      <c r="LFZ510" s="356"/>
      <c r="LGA510" s="359"/>
      <c r="LGC510" s="303"/>
      <c r="LGD510" s="356"/>
      <c r="LGE510" s="359"/>
      <c r="LGG510" s="303"/>
      <c r="LGH510" s="356"/>
      <c r="LGI510" s="359"/>
      <c r="LGK510" s="303"/>
      <c r="LGL510" s="356"/>
      <c r="LGM510" s="359"/>
      <c r="LGO510" s="303"/>
      <c r="LGP510" s="356"/>
      <c r="LGQ510" s="359"/>
      <c r="LGS510" s="303"/>
      <c r="LGT510" s="356"/>
      <c r="LGU510" s="359"/>
      <c r="LGW510" s="303"/>
      <c r="LGX510" s="356"/>
      <c r="LGY510" s="359"/>
      <c r="LHA510" s="303"/>
      <c r="LHB510" s="356"/>
      <c r="LHC510" s="359"/>
      <c r="LHE510" s="303"/>
      <c r="LHF510" s="356"/>
      <c r="LHG510" s="359"/>
      <c r="LHI510" s="303"/>
      <c r="LHJ510" s="356"/>
      <c r="LHK510" s="359"/>
      <c r="LHM510" s="303"/>
      <c r="LHN510" s="356"/>
      <c r="LHO510" s="359"/>
      <c r="LHQ510" s="303"/>
      <c r="LHR510" s="356"/>
      <c r="LHS510" s="359"/>
      <c r="LHU510" s="303"/>
      <c r="LHV510" s="356"/>
      <c r="LHW510" s="359"/>
      <c r="LHY510" s="303"/>
      <c r="LHZ510" s="356"/>
      <c r="LIA510" s="359"/>
      <c r="LIC510" s="303"/>
      <c r="LID510" s="356"/>
      <c r="LIE510" s="359"/>
      <c r="LIG510" s="303"/>
      <c r="LIH510" s="356"/>
      <c r="LII510" s="359"/>
      <c r="LIK510" s="303"/>
      <c r="LIL510" s="356"/>
      <c r="LIM510" s="359"/>
      <c r="LIO510" s="303"/>
      <c r="LIP510" s="356"/>
      <c r="LIQ510" s="359"/>
      <c r="LIS510" s="303"/>
      <c r="LIT510" s="356"/>
      <c r="LIU510" s="359"/>
      <c r="LIW510" s="303"/>
      <c r="LIX510" s="356"/>
      <c r="LIY510" s="359"/>
      <c r="LJA510" s="303"/>
      <c r="LJB510" s="356"/>
      <c r="LJC510" s="359"/>
      <c r="LJE510" s="303"/>
      <c r="LJF510" s="356"/>
      <c r="LJG510" s="359"/>
      <c r="LJI510" s="303"/>
      <c r="LJJ510" s="356"/>
      <c r="LJK510" s="359"/>
      <c r="LJM510" s="303"/>
      <c r="LJN510" s="356"/>
      <c r="LJO510" s="359"/>
      <c r="LJQ510" s="303"/>
      <c r="LJR510" s="356"/>
      <c r="LJS510" s="359"/>
      <c r="LJU510" s="303"/>
      <c r="LJV510" s="356"/>
      <c r="LJW510" s="359"/>
      <c r="LJY510" s="303"/>
      <c r="LJZ510" s="356"/>
      <c r="LKA510" s="359"/>
      <c r="LKC510" s="303"/>
      <c r="LKD510" s="356"/>
      <c r="LKE510" s="359"/>
      <c r="LKG510" s="303"/>
      <c r="LKH510" s="356"/>
      <c r="LKI510" s="359"/>
      <c r="LKK510" s="303"/>
      <c r="LKL510" s="356"/>
      <c r="LKM510" s="359"/>
      <c r="LKO510" s="303"/>
      <c r="LKP510" s="356"/>
      <c r="LKQ510" s="359"/>
      <c r="LKS510" s="303"/>
      <c r="LKT510" s="356"/>
      <c r="LKU510" s="359"/>
      <c r="LKW510" s="303"/>
      <c r="LKX510" s="356"/>
      <c r="LKY510" s="359"/>
      <c r="LLA510" s="303"/>
      <c r="LLB510" s="356"/>
      <c r="LLC510" s="359"/>
      <c r="LLE510" s="303"/>
      <c r="LLF510" s="356"/>
      <c r="LLG510" s="359"/>
      <c r="LLI510" s="303"/>
      <c r="LLJ510" s="356"/>
      <c r="LLK510" s="359"/>
      <c r="LLM510" s="303"/>
      <c r="LLN510" s="356"/>
      <c r="LLO510" s="359"/>
      <c r="LLQ510" s="303"/>
      <c r="LLR510" s="356"/>
      <c r="LLS510" s="359"/>
      <c r="LLU510" s="303"/>
      <c r="LLV510" s="356"/>
      <c r="LLW510" s="359"/>
      <c r="LLY510" s="303"/>
      <c r="LLZ510" s="356"/>
      <c r="LMA510" s="359"/>
      <c r="LMC510" s="303"/>
      <c r="LMD510" s="356"/>
      <c r="LME510" s="359"/>
      <c r="LMG510" s="303"/>
      <c r="LMH510" s="356"/>
      <c r="LMI510" s="359"/>
      <c r="LMK510" s="303"/>
      <c r="LML510" s="356"/>
      <c r="LMM510" s="359"/>
      <c r="LMO510" s="303"/>
      <c r="LMP510" s="356"/>
      <c r="LMQ510" s="359"/>
      <c r="LMS510" s="303"/>
      <c r="LMT510" s="356"/>
      <c r="LMU510" s="359"/>
      <c r="LMW510" s="303"/>
      <c r="LMX510" s="356"/>
      <c r="LMY510" s="359"/>
      <c r="LNA510" s="303"/>
      <c r="LNB510" s="356"/>
      <c r="LNC510" s="359"/>
      <c r="LNE510" s="303"/>
      <c r="LNF510" s="356"/>
      <c r="LNG510" s="359"/>
      <c r="LNI510" s="303"/>
      <c r="LNJ510" s="356"/>
      <c r="LNK510" s="359"/>
      <c r="LNM510" s="303"/>
      <c r="LNN510" s="356"/>
      <c r="LNO510" s="359"/>
      <c r="LNQ510" s="303"/>
      <c r="LNR510" s="356"/>
      <c r="LNS510" s="359"/>
      <c r="LNU510" s="303"/>
      <c r="LNV510" s="356"/>
      <c r="LNW510" s="359"/>
      <c r="LNY510" s="303"/>
      <c r="LNZ510" s="356"/>
      <c r="LOA510" s="359"/>
      <c r="LOC510" s="303"/>
      <c r="LOD510" s="356"/>
      <c r="LOE510" s="359"/>
      <c r="LOG510" s="303"/>
      <c r="LOH510" s="356"/>
      <c r="LOI510" s="359"/>
      <c r="LOK510" s="303"/>
      <c r="LOL510" s="356"/>
      <c r="LOM510" s="359"/>
      <c r="LOO510" s="303"/>
      <c r="LOP510" s="356"/>
      <c r="LOQ510" s="359"/>
      <c r="LOS510" s="303"/>
      <c r="LOT510" s="356"/>
      <c r="LOU510" s="359"/>
      <c r="LOW510" s="303"/>
      <c r="LOX510" s="356"/>
      <c r="LOY510" s="359"/>
      <c r="LPA510" s="303"/>
      <c r="LPB510" s="356"/>
      <c r="LPC510" s="359"/>
      <c r="LPE510" s="303"/>
      <c r="LPF510" s="356"/>
      <c r="LPG510" s="359"/>
      <c r="LPI510" s="303"/>
      <c r="LPJ510" s="356"/>
      <c r="LPK510" s="359"/>
      <c r="LPM510" s="303"/>
      <c r="LPN510" s="356"/>
      <c r="LPO510" s="359"/>
      <c r="LPQ510" s="303"/>
      <c r="LPR510" s="356"/>
      <c r="LPS510" s="359"/>
      <c r="LPU510" s="303"/>
      <c r="LPV510" s="356"/>
      <c r="LPW510" s="359"/>
      <c r="LPY510" s="303"/>
      <c r="LPZ510" s="356"/>
      <c r="LQA510" s="359"/>
      <c r="LQC510" s="303"/>
      <c r="LQD510" s="356"/>
      <c r="LQE510" s="359"/>
      <c r="LQG510" s="303"/>
      <c r="LQH510" s="356"/>
      <c r="LQI510" s="359"/>
      <c r="LQK510" s="303"/>
      <c r="LQL510" s="356"/>
      <c r="LQM510" s="359"/>
      <c r="LQO510" s="303"/>
      <c r="LQP510" s="356"/>
      <c r="LQQ510" s="359"/>
      <c r="LQS510" s="303"/>
      <c r="LQT510" s="356"/>
      <c r="LQU510" s="359"/>
      <c r="LQW510" s="303"/>
      <c r="LQX510" s="356"/>
      <c r="LQY510" s="359"/>
      <c r="LRA510" s="303"/>
      <c r="LRB510" s="356"/>
      <c r="LRC510" s="359"/>
      <c r="LRE510" s="303"/>
      <c r="LRF510" s="356"/>
      <c r="LRG510" s="359"/>
      <c r="LRI510" s="303"/>
      <c r="LRJ510" s="356"/>
      <c r="LRK510" s="359"/>
      <c r="LRM510" s="303"/>
      <c r="LRN510" s="356"/>
      <c r="LRO510" s="359"/>
      <c r="LRQ510" s="303"/>
      <c r="LRR510" s="356"/>
      <c r="LRS510" s="359"/>
      <c r="LRU510" s="303"/>
      <c r="LRV510" s="356"/>
      <c r="LRW510" s="359"/>
      <c r="LRY510" s="303"/>
      <c r="LRZ510" s="356"/>
      <c r="LSA510" s="359"/>
      <c r="LSC510" s="303"/>
      <c r="LSD510" s="356"/>
      <c r="LSE510" s="359"/>
      <c r="LSG510" s="303"/>
      <c r="LSH510" s="356"/>
      <c r="LSI510" s="359"/>
      <c r="LSK510" s="303"/>
      <c r="LSL510" s="356"/>
      <c r="LSM510" s="359"/>
      <c r="LSO510" s="303"/>
      <c r="LSP510" s="356"/>
      <c r="LSQ510" s="359"/>
      <c r="LSS510" s="303"/>
      <c r="LST510" s="356"/>
      <c r="LSU510" s="359"/>
      <c r="LSW510" s="303"/>
      <c r="LSX510" s="356"/>
      <c r="LSY510" s="359"/>
      <c r="LTA510" s="303"/>
      <c r="LTB510" s="356"/>
      <c r="LTC510" s="359"/>
      <c r="LTE510" s="303"/>
      <c r="LTF510" s="356"/>
      <c r="LTG510" s="359"/>
      <c r="LTI510" s="303"/>
      <c r="LTJ510" s="356"/>
      <c r="LTK510" s="359"/>
      <c r="LTM510" s="303"/>
      <c r="LTN510" s="356"/>
      <c r="LTO510" s="359"/>
      <c r="LTQ510" s="303"/>
      <c r="LTR510" s="356"/>
      <c r="LTS510" s="359"/>
      <c r="LTU510" s="303"/>
      <c r="LTV510" s="356"/>
      <c r="LTW510" s="359"/>
      <c r="LTY510" s="303"/>
      <c r="LTZ510" s="356"/>
      <c r="LUA510" s="359"/>
      <c r="LUC510" s="303"/>
      <c r="LUD510" s="356"/>
      <c r="LUE510" s="359"/>
      <c r="LUG510" s="303"/>
      <c r="LUH510" s="356"/>
      <c r="LUI510" s="359"/>
      <c r="LUK510" s="303"/>
      <c r="LUL510" s="356"/>
      <c r="LUM510" s="359"/>
      <c r="LUO510" s="303"/>
      <c r="LUP510" s="356"/>
      <c r="LUQ510" s="359"/>
      <c r="LUS510" s="303"/>
      <c r="LUT510" s="356"/>
      <c r="LUU510" s="359"/>
      <c r="LUW510" s="303"/>
      <c r="LUX510" s="356"/>
      <c r="LUY510" s="359"/>
      <c r="LVA510" s="303"/>
      <c r="LVB510" s="356"/>
      <c r="LVC510" s="359"/>
      <c r="LVE510" s="303"/>
      <c r="LVF510" s="356"/>
      <c r="LVG510" s="359"/>
      <c r="LVI510" s="303"/>
      <c r="LVJ510" s="356"/>
      <c r="LVK510" s="359"/>
      <c r="LVM510" s="303"/>
      <c r="LVN510" s="356"/>
      <c r="LVO510" s="359"/>
      <c r="LVQ510" s="303"/>
      <c r="LVR510" s="356"/>
      <c r="LVS510" s="359"/>
      <c r="LVU510" s="303"/>
      <c r="LVV510" s="356"/>
      <c r="LVW510" s="359"/>
      <c r="LVY510" s="303"/>
      <c r="LVZ510" s="356"/>
      <c r="LWA510" s="359"/>
      <c r="LWC510" s="303"/>
      <c r="LWD510" s="356"/>
      <c r="LWE510" s="359"/>
      <c r="LWG510" s="303"/>
      <c r="LWH510" s="356"/>
      <c r="LWI510" s="359"/>
      <c r="LWK510" s="303"/>
      <c r="LWL510" s="356"/>
      <c r="LWM510" s="359"/>
      <c r="LWO510" s="303"/>
      <c r="LWP510" s="356"/>
      <c r="LWQ510" s="359"/>
      <c r="LWS510" s="303"/>
      <c r="LWT510" s="356"/>
      <c r="LWU510" s="359"/>
      <c r="LWW510" s="303"/>
      <c r="LWX510" s="356"/>
      <c r="LWY510" s="359"/>
      <c r="LXA510" s="303"/>
      <c r="LXB510" s="356"/>
      <c r="LXC510" s="359"/>
      <c r="LXE510" s="303"/>
      <c r="LXF510" s="356"/>
      <c r="LXG510" s="359"/>
      <c r="LXI510" s="303"/>
      <c r="LXJ510" s="356"/>
      <c r="LXK510" s="359"/>
      <c r="LXM510" s="303"/>
      <c r="LXN510" s="356"/>
      <c r="LXO510" s="359"/>
      <c r="LXQ510" s="303"/>
      <c r="LXR510" s="356"/>
      <c r="LXS510" s="359"/>
      <c r="LXU510" s="303"/>
      <c r="LXV510" s="356"/>
      <c r="LXW510" s="359"/>
      <c r="LXY510" s="303"/>
      <c r="LXZ510" s="356"/>
      <c r="LYA510" s="359"/>
      <c r="LYC510" s="303"/>
      <c r="LYD510" s="356"/>
      <c r="LYE510" s="359"/>
      <c r="LYG510" s="303"/>
      <c r="LYH510" s="356"/>
      <c r="LYI510" s="359"/>
      <c r="LYK510" s="303"/>
      <c r="LYL510" s="356"/>
      <c r="LYM510" s="359"/>
      <c r="LYO510" s="303"/>
      <c r="LYP510" s="356"/>
      <c r="LYQ510" s="359"/>
      <c r="LYS510" s="303"/>
      <c r="LYT510" s="356"/>
      <c r="LYU510" s="359"/>
      <c r="LYW510" s="303"/>
      <c r="LYX510" s="356"/>
      <c r="LYY510" s="359"/>
      <c r="LZA510" s="303"/>
      <c r="LZB510" s="356"/>
      <c r="LZC510" s="359"/>
      <c r="LZE510" s="303"/>
      <c r="LZF510" s="356"/>
      <c r="LZG510" s="359"/>
      <c r="LZI510" s="303"/>
      <c r="LZJ510" s="356"/>
      <c r="LZK510" s="359"/>
      <c r="LZM510" s="303"/>
      <c r="LZN510" s="356"/>
      <c r="LZO510" s="359"/>
      <c r="LZQ510" s="303"/>
      <c r="LZR510" s="356"/>
      <c r="LZS510" s="359"/>
      <c r="LZU510" s="303"/>
      <c r="LZV510" s="356"/>
      <c r="LZW510" s="359"/>
      <c r="LZY510" s="303"/>
      <c r="LZZ510" s="356"/>
      <c r="MAA510" s="359"/>
      <c r="MAC510" s="303"/>
      <c r="MAD510" s="356"/>
      <c r="MAE510" s="359"/>
      <c r="MAG510" s="303"/>
      <c r="MAH510" s="356"/>
      <c r="MAI510" s="359"/>
      <c r="MAK510" s="303"/>
      <c r="MAL510" s="356"/>
      <c r="MAM510" s="359"/>
      <c r="MAO510" s="303"/>
      <c r="MAP510" s="356"/>
      <c r="MAQ510" s="359"/>
      <c r="MAS510" s="303"/>
      <c r="MAT510" s="356"/>
      <c r="MAU510" s="359"/>
      <c r="MAW510" s="303"/>
      <c r="MAX510" s="356"/>
      <c r="MAY510" s="359"/>
      <c r="MBA510" s="303"/>
      <c r="MBB510" s="356"/>
      <c r="MBC510" s="359"/>
      <c r="MBE510" s="303"/>
      <c r="MBF510" s="356"/>
      <c r="MBG510" s="359"/>
      <c r="MBI510" s="303"/>
      <c r="MBJ510" s="356"/>
      <c r="MBK510" s="359"/>
      <c r="MBM510" s="303"/>
      <c r="MBN510" s="356"/>
      <c r="MBO510" s="359"/>
      <c r="MBQ510" s="303"/>
      <c r="MBR510" s="356"/>
      <c r="MBS510" s="359"/>
      <c r="MBU510" s="303"/>
      <c r="MBV510" s="356"/>
      <c r="MBW510" s="359"/>
      <c r="MBY510" s="303"/>
      <c r="MBZ510" s="356"/>
      <c r="MCA510" s="359"/>
      <c r="MCC510" s="303"/>
      <c r="MCD510" s="356"/>
      <c r="MCE510" s="359"/>
      <c r="MCG510" s="303"/>
      <c r="MCH510" s="356"/>
      <c r="MCI510" s="359"/>
      <c r="MCK510" s="303"/>
      <c r="MCL510" s="356"/>
      <c r="MCM510" s="359"/>
      <c r="MCO510" s="303"/>
      <c r="MCP510" s="356"/>
      <c r="MCQ510" s="359"/>
      <c r="MCS510" s="303"/>
      <c r="MCT510" s="356"/>
      <c r="MCU510" s="359"/>
      <c r="MCW510" s="303"/>
      <c r="MCX510" s="356"/>
      <c r="MCY510" s="359"/>
      <c r="MDA510" s="303"/>
      <c r="MDB510" s="356"/>
      <c r="MDC510" s="359"/>
      <c r="MDE510" s="303"/>
      <c r="MDF510" s="356"/>
      <c r="MDG510" s="359"/>
      <c r="MDI510" s="303"/>
      <c r="MDJ510" s="356"/>
      <c r="MDK510" s="359"/>
      <c r="MDM510" s="303"/>
      <c r="MDN510" s="356"/>
      <c r="MDO510" s="359"/>
      <c r="MDQ510" s="303"/>
      <c r="MDR510" s="356"/>
      <c r="MDS510" s="359"/>
      <c r="MDU510" s="303"/>
      <c r="MDV510" s="356"/>
      <c r="MDW510" s="359"/>
      <c r="MDY510" s="303"/>
      <c r="MDZ510" s="356"/>
      <c r="MEA510" s="359"/>
      <c r="MEC510" s="303"/>
      <c r="MED510" s="356"/>
      <c r="MEE510" s="359"/>
      <c r="MEG510" s="303"/>
      <c r="MEH510" s="356"/>
      <c r="MEI510" s="359"/>
      <c r="MEK510" s="303"/>
      <c r="MEL510" s="356"/>
      <c r="MEM510" s="359"/>
      <c r="MEO510" s="303"/>
      <c r="MEP510" s="356"/>
      <c r="MEQ510" s="359"/>
      <c r="MES510" s="303"/>
      <c r="MET510" s="356"/>
      <c r="MEU510" s="359"/>
      <c r="MEW510" s="303"/>
      <c r="MEX510" s="356"/>
      <c r="MEY510" s="359"/>
      <c r="MFA510" s="303"/>
      <c r="MFB510" s="356"/>
      <c r="MFC510" s="359"/>
      <c r="MFE510" s="303"/>
      <c r="MFF510" s="356"/>
      <c r="MFG510" s="359"/>
      <c r="MFI510" s="303"/>
      <c r="MFJ510" s="356"/>
      <c r="MFK510" s="359"/>
      <c r="MFM510" s="303"/>
      <c r="MFN510" s="356"/>
      <c r="MFO510" s="359"/>
      <c r="MFQ510" s="303"/>
      <c r="MFR510" s="356"/>
      <c r="MFS510" s="359"/>
      <c r="MFU510" s="303"/>
      <c r="MFV510" s="356"/>
      <c r="MFW510" s="359"/>
      <c r="MFY510" s="303"/>
      <c r="MFZ510" s="356"/>
      <c r="MGA510" s="359"/>
      <c r="MGC510" s="303"/>
      <c r="MGD510" s="356"/>
      <c r="MGE510" s="359"/>
      <c r="MGG510" s="303"/>
      <c r="MGH510" s="356"/>
      <c r="MGI510" s="359"/>
      <c r="MGK510" s="303"/>
      <c r="MGL510" s="356"/>
      <c r="MGM510" s="359"/>
      <c r="MGO510" s="303"/>
      <c r="MGP510" s="356"/>
      <c r="MGQ510" s="359"/>
      <c r="MGS510" s="303"/>
      <c r="MGT510" s="356"/>
      <c r="MGU510" s="359"/>
      <c r="MGW510" s="303"/>
      <c r="MGX510" s="356"/>
      <c r="MGY510" s="359"/>
      <c r="MHA510" s="303"/>
      <c r="MHB510" s="356"/>
      <c r="MHC510" s="359"/>
      <c r="MHE510" s="303"/>
      <c r="MHF510" s="356"/>
      <c r="MHG510" s="359"/>
      <c r="MHI510" s="303"/>
      <c r="MHJ510" s="356"/>
      <c r="MHK510" s="359"/>
      <c r="MHM510" s="303"/>
      <c r="MHN510" s="356"/>
      <c r="MHO510" s="359"/>
      <c r="MHQ510" s="303"/>
      <c r="MHR510" s="356"/>
      <c r="MHS510" s="359"/>
      <c r="MHU510" s="303"/>
      <c r="MHV510" s="356"/>
      <c r="MHW510" s="359"/>
      <c r="MHY510" s="303"/>
      <c r="MHZ510" s="356"/>
      <c r="MIA510" s="359"/>
      <c r="MIC510" s="303"/>
      <c r="MID510" s="356"/>
      <c r="MIE510" s="359"/>
      <c r="MIG510" s="303"/>
      <c r="MIH510" s="356"/>
      <c r="MII510" s="359"/>
      <c r="MIK510" s="303"/>
      <c r="MIL510" s="356"/>
      <c r="MIM510" s="359"/>
      <c r="MIO510" s="303"/>
      <c r="MIP510" s="356"/>
      <c r="MIQ510" s="359"/>
      <c r="MIS510" s="303"/>
      <c r="MIT510" s="356"/>
      <c r="MIU510" s="359"/>
      <c r="MIW510" s="303"/>
      <c r="MIX510" s="356"/>
      <c r="MIY510" s="359"/>
      <c r="MJA510" s="303"/>
      <c r="MJB510" s="356"/>
      <c r="MJC510" s="359"/>
      <c r="MJE510" s="303"/>
      <c r="MJF510" s="356"/>
      <c r="MJG510" s="359"/>
      <c r="MJI510" s="303"/>
      <c r="MJJ510" s="356"/>
      <c r="MJK510" s="359"/>
      <c r="MJM510" s="303"/>
      <c r="MJN510" s="356"/>
      <c r="MJO510" s="359"/>
      <c r="MJQ510" s="303"/>
      <c r="MJR510" s="356"/>
      <c r="MJS510" s="359"/>
      <c r="MJU510" s="303"/>
      <c r="MJV510" s="356"/>
      <c r="MJW510" s="359"/>
      <c r="MJY510" s="303"/>
      <c r="MJZ510" s="356"/>
      <c r="MKA510" s="359"/>
      <c r="MKC510" s="303"/>
      <c r="MKD510" s="356"/>
      <c r="MKE510" s="359"/>
      <c r="MKG510" s="303"/>
      <c r="MKH510" s="356"/>
      <c r="MKI510" s="359"/>
      <c r="MKK510" s="303"/>
      <c r="MKL510" s="356"/>
      <c r="MKM510" s="359"/>
      <c r="MKO510" s="303"/>
      <c r="MKP510" s="356"/>
      <c r="MKQ510" s="359"/>
      <c r="MKS510" s="303"/>
      <c r="MKT510" s="356"/>
      <c r="MKU510" s="359"/>
      <c r="MKW510" s="303"/>
      <c r="MKX510" s="356"/>
      <c r="MKY510" s="359"/>
      <c r="MLA510" s="303"/>
      <c r="MLB510" s="356"/>
      <c r="MLC510" s="359"/>
      <c r="MLE510" s="303"/>
      <c r="MLF510" s="356"/>
      <c r="MLG510" s="359"/>
      <c r="MLI510" s="303"/>
      <c r="MLJ510" s="356"/>
      <c r="MLK510" s="359"/>
      <c r="MLM510" s="303"/>
      <c r="MLN510" s="356"/>
      <c r="MLO510" s="359"/>
      <c r="MLQ510" s="303"/>
      <c r="MLR510" s="356"/>
      <c r="MLS510" s="359"/>
      <c r="MLU510" s="303"/>
      <c r="MLV510" s="356"/>
      <c r="MLW510" s="359"/>
      <c r="MLY510" s="303"/>
      <c r="MLZ510" s="356"/>
      <c r="MMA510" s="359"/>
      <c r="MMC510" s="303"/>
      <c r="MMD510" s="356"/>
      <c r="MME510" s="359"/>
      <c r="MMG510" s="303"/>
      <c r="MMH510" s="356"/>
      <c r="MMI510" s="359"/>
      <c r="MMK510" s="303"/>
      <c r="MML510" s="356"/>
      <c r="MMM510" s="359"/>
      <c r="MMO510" s="303"/>
      <c r="MMP510" s="356"/>
      <c r="MMQ510" s="359"/>
      <c r="MMS510" s="303"/>
      <c r="MMT510" s="356"/>
      <c r="MMU510" s="359"/>
      <c r="MMW510" s="303"/>
      <c r="MMX510" s="356"/>
      <c r="MMY510" s="359"/>
      <c r="MNA510" s="303"/>
      <c r="MNB510" s="356"/>
      <c r="MNC510" s="359"/>
      <c r="MNE510" s="303"/>
      <c r="MNF510" s="356"/>
      <c r="MNG510" s="359"/>
      <c r="MNI510" s="303"/>
      <c r="MNJ510" s="356"/>
      <c r="MNK510" s="359"/>
      <c r="MNM510" s="303"/>
      <c r="MNN510" s="356"/>
      <c r="MNO510" s="359"/>
      <c r="MNQ510" s="303"/>
      <c r="MNR510" s="356"/>
      <c r="MNS510" s="359"/>
      <c r="MNU510" s="303"/>
      <c r="MNV510" s="356"/>
      <c r="MNW510" s="359"/>
      <c r="MNY510" s="303"/>
      <c r="MNZ510" s="356"/>
      <c r="MOA510" s="359"/>
      <c r="MOC510" s="303"/>
      <c r="MOD510" s="356"/>
      <c r="MOE510" s="359"/>
      <c r="MOG510" s="303"/>
      <c r="MOH510" s="356"/>
      <c r="MOI510" s="359"/>
      <c r="MOK510" s="303"/>
      <c r="MOL510" s="356"/>
      <c r="MOM510" s="359"/>
      <c r="MOO510" s="303"/>
      <c r="MOP510" s="356"/>
      <c r="MOQ510" s="359"/>
      <c r="MOS510" s="303"/>
      <c r="MOT510" s="356"/>
      <c r="MOU510" s="359"/>
      <c r="MOW510" s="303"/>
      <c r="MOX510" s="356"/>
      <c r="MOY510" s="359"/>
      <c r="MPA510" s="303"/>
      <c r="MPB510" s="356"/>
      <c r="MPC510" s="359"/>
      <c r="MPE510" s="303"/>
      <c r="MPF510" s="356"/>
      <c r="MPG510" s="359"/>
      <c r="MPI510" s="303"/>
      <c r="MPJ510" s="356"/>
      <c r="MPK510" s="359"/>
      <c r="MPM510" s="303"/>
      <c r="MPN510" s="356"/>
      <c r="MPO510" s="359"/>
      <c r="MPQ510" s="303"/>
      <c r="MPR510" s="356"/>
      <c r="MPS510" s="359"/>
      <c r="MPU510" s="303"/>
      <c r="MPV510" s="356"/>
      <c r="MPW510" s="359"/>
      <c r="MPY510" s="303"/>
      <c r="MPZ510" s="356"/>
      <c r="MQA510" s="359"/>
      <c r="MQC510" s="303"/>
      <c r="MQD510" s="356"/>
      <c r="MQE510" s="359"/>
      <c r="MQG510" s="303"/>
      <c r="MQH510" s="356"/>
      <c r="MQI510" s="359"/>
      <c r="MQK510" s="303"/>
      <c r="MQL510" s="356"/>
      <c r="MQM510" s="359"/>
      <c r="MQO510" s="303"/>
      <c r="MQP510" s="356"/>
      <c r="MQQ510" s="359"/>
      <c r="MQS510" s="303"/>
      <c r="MQT510" s="356"/>
      <c r="MQU510" s="359"/>
      <c r="MQW510" s="303"/>
      <c r="MQX510" s="356"/>
      <c r="MQY510" s="359"/>
      <c r="MRA510" s="303"/>
      <c r="MRB510" s="356"/>
      <c r="MRC510" s="359"/>
      <c r="MRE510" s="303"/>
      <c r="MRF510" s="356"/>
      <c r="MRG510" s="359"/>
      <c r="MRI510" s="303"/>
      <c r="MRJ510" s="356"/>
      <c r="MRK510" s="359"/>
      <c r="MRM510" s="303"/>
      <c r="MRN510" s="356"/>
      <c r="MRO510" s="359"/>
      <c r="MRQ510" s="303"/>
      <c r="MRR510" s="356"/>
      <c r="MRS510" s="359"/>
      <c r="MRU510" s="303"/>
      <c r="MRV510" s="356"/>
      <c r="MRW510" s="359"/>
      <c r="MRY510" s="303"/>
      <c r="MRZ510" s="356"/>
      <c r="MSA510" s="359"/>
      <c r="MSC510" s="303"/>
      <c r="MSD510" s="356"/>
      <c r="MSE510" s="359"/>
      <c r="MSG510" s="303"/>
      <c r="MSH510" s="356"/>
      <c r="MSI510" s="359"/>
      <c r="MSK510" s="303"/>
      <c r="MSL510" s="356"/>
      <c r="MSM510" s="359"/>
      <c r="MSO510" s="303"/>
      <c r="MSP510" s="356"/>
      <c r="MSQ510" s="359"/>
      <c r="MSS510" s="303"/>
      <c r="MST510" s="356"/>
      <c r="MSU510" s="359"/>
      <c r="MSW510" s="303"/>
      <c r="MSX510" s="356"/>
      <c r="MSY510" s="359"/>
      <c r="MTA510" s="303"/>
      <c r="MTB510" s="356"/>
      <c r="MTC510" s="359"/>
      <c r="MTE510" s="303"/>
      <c r="MTF510" s="356"/>
      <c r="MTG510" s="359"/>
      <c r="MTI510" s="303"/>
      <c r="MTJ510" s="356"/>
      <c r="MTK510" s="359"/>
      <c r="MTM510" s="303"/>
      <c r="MTN510" s="356"/>
      <c r="MTO510" s="359"/>
      <c r="MTQ510" s="303"/>
      <c r="MTR510" s="356"/>
      <c r="MTS510" s="359"/>
      <c r="MTU510" s="303"/>
      <c r="MTV510" s="356"/>
      <c r="MTW510" s="359"/>
      <c r="MTY510" s="303"/>
      <c r="MTZ510" s="356"/>
      <c r="MUA510" s="359"/>
      <c r="MUC510" s="303"/>
      <c r="MUD510" s="356"/>
      <c r="MUE510" s="359"/>
      <c r="MUG510" s="303"/>
      <c r="MUH510" s="356"/>
      <c r="MUI510" s="359"/>
      <c r="MUK510" s="303"/>
      <c r="MUL510" s="356"/>
      <c r="MUM510" s="359"/>
      <c r="MUO510" s="303"/>
      <c r="MUP510" s="356"/>
      <c r="MUQ510" s="359"/>
      <c r="MUS510" s="303"/>
      <c r="MUT510" s="356"/>
      <c r="MUU510" s="359"/>
      <c r="MUW510" s="303"/>
      <c r="MUX510" s="356"/>
      <c r="MUY510" s="359"/>
      <c r="MVA510" s="303"/>
      <c r="MVB510" s="356"/>
      <c r="MVC510" s="359"/>
      <c r="MVE510" s="303"/>
      <c r="MVF510" s="356"/>
      <c r="MVG510" s="359"/>
      <c r="MVI510" s="303"/>
      <c r="MVJ510" s="356"/>
      <c r="MVK510" s="359"/>
      <c r="MVM510" s="303"/>
      <c r="MVN510" s="356"/>
      <c r="MVO510" s="359"/>
      <c r="MVQ510" s="303"/>
      <c r="MVR510" s="356"/>
      <c r="MVS510" s="359"/>
      <c r="MVU510" s="303"/>
      <c r="MVV510" s="356"/>
      <c r="MVW510" s="359"/>
      <c r="MVY510" s="303"/>
      <c r="MVZ510" s="356"/>
      <c r="MWA510" s="359"/>
      <c r="MWC510" s="303"/>
      <c r="MWD510" s="356"/>
      <c r="MWE510" s="359"/>
      <c r="MWG510" s="303"/>
      <c r="MWH510" s="356"/>
      <c r="MWI510" s="359"/>
      <c r="MWK510" s="303"/>
      <c r="MWL510" s="356"/>
      <c r="MWM510" s="359"/>
      <c r="MWO510" s="303"/>
      <c r="MWP510" s="356"/>
      <c r="MWQ510" s="359"/>
      <c r="MWS510" s="303"/>
      <c r="MWT510" s="356"/>
      <c r="MWU510" s="359"/>
      <c r="MWW510" s="303"/>
      <c r="MWX510" s="356"/>
      <c r="MWY510" s="359"/>
      <c r="MXA510" s="303"/>
      <c r="MXB510" s="356"/>
      <c r="MXC510" s="359"/>
      <c r="MXE510" s="303"/>
      <c r="MXF510" s="356"/>
      <c r="MXG510" s="359"/>
      <c r="MXI510" s="303"/>
      <c r="MXJ510" s="356"/>
      <c r="MXK510" s="359"/>
      <c r="MXM510" s="303"/>
      <c r="MXN510" s="356"/>
      <c r="MXO510" s="359"/>
      <c r="MXQ510" s="303"/>
      <c r="MXR510" s="356"/>
      <c r="MXS510" s="359"/>
      <c r="MXU510" s="303"/>
      <c r="MXV510" s="356"/>
      <c r="MXW510" s="359"/>
      <c r="MXY510" s="303"/>
      <c r="MXZ510" s="356"/>
      <c r="MYA510" s="359"/>
      <c r="MYC510" s="303"/>
      <c r="MYD510" s="356"/>
      <c r="MYE510" s="359"/>
      <c r="MYG510" s="303"/>
      <c r="MYH510" s="356"/>
      <c r="MYI510" s="359"/>
      <c r="MYK510" s="303"/>
      <c r="MYL510" s="356"/>
      <c r="MYM510" s="359"/>
      <c r="MYO510" s="303"/>
      <c r="MYP510" s="356"/>
      <c r="MYQ510" s="359"/>
      <c r="MYS510" s="303"/>
      <c r="MYT510" s="356"/>
      <c r="MYU510" s="359"/>
      <c r="MYW510" s="303"/>
      <c r="MYX510" s="356"/>
      <c r="MYY510" s="359"/>
      <c r="MZA510" s="303"/>
      <c r="MZB510" s="356"/>
      <c r="MZC510" s="359"/>
      <c r="MZE510" s="303"/>
      <c r="MZF510" s="356"/>
      <c r="MZG510" s="359"/>
      <c r="MZI510" s="303"/>
      <c r="MZJ510" s="356"/>
      <c r="MZK510" s="359"/>
      <c r="MZM510" s="303"/>
      <c r="MZN510" s="356"/>
      <c r="MZO510" s="359"/>
      <c r="MZQ510" s="303"/>
      <c r="MZR510" s="356"/>
      <c r="MZS510" s="359"/>
      <c r="MZU510" s="303"/>
      <c r="MZV510" s="356"/>
      <c r="MZW510" s="359"/>
      <c r="MZY510" s="303"/>
      <c r="MZZ510" s="356"/>
      <c r="NAA510" s="359"/>
      <c r="NAC510" s="303"/>
      <c r="NAD510" s="356"/>
      <c r="NAE510" s="359"/>
      <c r="NAG510" s="303"/>
      <c r="NAH510" s="356"/>
      <c r="NAI510" s="359"/>
      <c r="NAK510" s="303"/>
      <c r="NAL510" s="356"/>
      <c r="NAM510" s="359"/>
      <c r="NAO510" s="303"/>
      <c r="NAP510" s="356"/>
      <c r="NAQ510" s="359"/>
      <c r="NAS510" s="303"/>
      <c r="NAT510" s="356"/>
      <c r="NAU510" s="359"/>
      <c r="NAW510" s="303"/>
      <c r="NAX510" s="356"/>
      <c r="NAY510" s="359"/>
      <c r="NBA510" s="303"/>
      <c r="NBB510" s="356"/>
      <c r="NBC510" s="359"/>
      <c r="NBE510" s="303"/>
      <c r="NBF510" s="356"/>
      <c r="NBG510" s="359"/>
      <c r="NBI510" s="303"/>
      <c r="NBJ510" s="356"/>
      <c r="NBK510" s="359"/>
      <c r="NBM510" s="303"/>
      <c r="NBN510" s="356"/>
      <c r="NBO510" s="359"/>
      <c r="NBQ510" s="303"/>
      <c r="NBR510" s="356"/>
      <c r="NBS510" s="359"/>
      <c r="NBU510" s="303"/>
      <c r="NBV510" s="356"/>
      <c r="NBW510" s="359"/>
      <c r="NBY510" s="303"/>
      <c r="NBZ510" s="356"/>
      <c r="NCA510" s="359"/>
      <c r="NCC510" s="303"/>
      <c r="NCD510" s="356"/>
      <c r="NCE510" s="359"/>
      <c r="NCG510" s="303"/>
      <c r="NCH510" s="356"/>
      <c r="NCI510" s="359"/>
      <c r="NCK510" s="303"/>
      <c r="NCL510" s="356"/>
      <c r="NCM510" s="359"/>
      <c r="NCO510" s="303"/>
      <c r="NCP510" s="356"/>
      <c r="NCQ510" s="359"/>
      <c r="NCS510" s="303"/>
      <c r="NCT510" s="356"/>
      <c r="NCU510" s="359"/>
      <c r="NCW510" s="303"/>
      <c r="NCX510" s="356"/>
      <c r="NCY510" s="359"/>
      <c r="NDA510" s="303"/>
      <c r="NDB510" s="356"/>
      <c r="NDC510" s="359"/>
      <c r="NDE510" s="303"/>
      <c r="NDF510" s="356"/>
      <c r="NDG510" s="359"/>
      <c r="NDI510" s="303"/>
      <c r="NDJ510" s="356"/>
      <c r="NDK510" s="359"/>
      <c r="NDM510" s="303"/>
      <c r="NDN510" s="356"/>
      <c r="NDO510" s="359"/>
      <c r="NDQ510" s="303"/>
      <c r="NDR510" s="356"/>
      <c r="NDS510" s="359"/>
      <c r="NDU510" s="303"/>
      <c r="NDV510" s="356"/>
      <c r="NDW510" s="359"/>
      <c r="NDY510" s="303"/>
      <c r="NDZ510" s="356"/>
      <c r="NEA510" s="359"/>
      <c r="NEC510" s="303"/>
      <c r="NED510" s="356"/>
      <c r="NEE510" s="359"/>
      <c r="NEG510" s="303"/>
      <c r="NEH510" s="356"/>
      <c r="NEI510" s="359"/>
      <c r="NEK510" s="303"/>
      <c r="NEL510" s="356"/>
      <c r="NEM510" s="359"/>
      <c r="NEO510" s="303"/>
      <c r="NEP510" s="356"/>
      <c r="NEQ510" s="359"/>
      <c r="NES510" s="303"/>
      <c r="NET510" s="356"/>
      <c r="NEU510" s="359"/>
      <c r="NEW510" s="303"/>
      <c r="NEX510" s="356"/>
      <c r="NEY510" s="359"/>
      <c r="NFA510" s="303"/>
      <c r="NFB510" s="356"/>
      <c r="NFC510" s="359"/>
      <c r="NFE510" s="303"/>
      <c r="NFF510" s="356"/>
      <c r="NFG510" s="359"/>
      <c r="NFI510" s="303"/>
      <c r="NFJ510" s="356"/>
      <c r="NFK510" s="359"/>
      <c r="NFM510" s="303"/>
      <c r="NFN510" s="356"/>
      <c r="NFO510" s="359"/>
      <c r="NFQ510" s="303"/>
      <c r="NFR510" s="356"/>
      <c r="NFS510" s="359"/>
      <c r="NFU510" s="303"/>
      <c r="NFV510" s="356"/>
      <c r="NFW510" s="359"/>
      <c r="NFY510" s="303"/>
      <c r="NFZ510" s="356"/>
      <c r="NGA510" s="359"/>
      <c r="NGC510" s="303"/>
      <c r="NGD510" s="356"/>
      <c r="NGE510" s="359"/>
      <c r="NGG510" s="303"/>
      <c r="NGH510" s="356"/>
      <c r="NGI510" s="359"/>
      <c r="NGK510" s="303"/>
      <c r="NGL510" s="356"/>
      <c r="NGM510" s="359"/>
      <c r="NGO510" s="303"/>
      <c r="NGP510" s="356"/>
      <c r="NGQ510" s="359"/>
      <c r="NGS510" s="303"/>
      <c r="NGT510" s="356"/>
      <c r="NGU510" s="359"/>
      <c r="NGW510" s="303"/>
      <c r="NGX510" s="356"/>
      <c r="NGY510" s="359"/>
      <c r="NHA510" s="303"/>
      <c r="NHB510" s="356"/>
      <c r="NHC510" s="359"/>
      <c r="NHE510" s="303"/>
      <c r="NHF510" s="356"/>
      <c r="NHG510" s="359"/>
      <c r="NHI510" s="303"/>
      <c r="NHJ510" s="356"/>
      <c r="NHK510" s="359"/>
      <c r="NHM510" s="303"/>
      <c r="NHN510" s="356"/>
      <c r="NHO510" s="359"/>
      <c r="NHQ510" s="303"/>
      <c r="NHR510" s="356"/>
      <c r="NHS510" s="359"/>
      <c r="NHU510" s="303"/>
      <c r="NHV510" s="356"/>
      <c r="NHW510" s="359"/>
      <c r="NHY510" s="303"/>
      <c r="NHZ510" s="356"/>
      <c r="NIA510" s="359"/>
      <c r="NIC510" s="303"/>
      <c r="NID510" s="356"/>
      <c r="NIE510" s="359"/>
      <c r="NIG510" s="303"/>
      <c r="NIH510" s="356"/>
      <c r="NII510" s="359"/>
      <c r="NIK510" s="303"/>
      <c r="NIL510" s="356"/>
      <c r="NIM510" s="359"/>
      <c r="NIO510" s="303"/>
      <c r="NIP510" s="356"/>
      <c r="NIQ510" s="359"/>
      <c r="NIS510" s="303"/>
      <c r="NIT510" s="356"/>
      <c r="NIU510" s="359"/>
      <c r="NIW510" s="303"/>
      <c r="NIX510" s="356"/>
      <c r="NIY510" s="359"/>
      <c r="NJA510" s="303"/>
      <c r="NJB510" s="356"/>
      <c r="NJC510" s="359"/>
      <c r="NJE510" s="303"/>
      <c r="NJF510" s="356"/>
      <c r="NJG510" s="359"/>
      <c r="NJI510" s="303"/>
      <c r="NJJ510" s="356"/>
      <c r="NJK510" s="359"/>
      <c r="NJM510" s="303"/>
      <c r="NJN510" s="356"/>
      <c r="NJO510" s="359"/>
      <c r="NJQ510" s="303"/>
      <c r="NJR510" s="356"/>
      <c r="NJS510" s="359"/>
      <c r="NJU510" s="303"/>
      <c r="NJV510" s="356"/>
      <c r="NJW510" s="359"/>
      <c r="NJY510" s="303"/>
      <c r="NJZ510" s="356"/>
      <c r="NKA510" s="359"/>
      <c r="NKC510" s="303"/>
      <c r="NKD510" s="356"/>
      <c r="NKE510" s="359"/>
      <c r="NKG510" s="303"/>
      <c r="NKH510" s="356"/>
      <c r="NKI510" s="359"/>
      <c r="NKK510" s="303"/>
      <c r="NKL510" s="356"/>
      <c r="NKM510" s="359"/>
      <c r="NKO510" s="303"/>
      <c r="NKP510" s="356"/>
      <c r="NKQ510" s="359"/>
      <c r="NKS510" s="303"/>
      <c r="NKT510" s="356"/>
      <c r="NKU510" s="359"/>
      <c r="NKW510" s="303"/>
      <c r="NKX510" s="356"/>
      <c r="NKY510" s="359"/>
      <c r="NLA510" s="303"/>
      <c r="NLB510" s="356"/>
      <c r="NLC510" s="359"/>
      <c r="NLE510" s="303"/>
      <c r="NLF510" s="356"/>
      <c r="NLG510" s="359"/>
      <c r="NLI510" s="303"/>
      <c r="NLJ510" s="356"/>
      <c r="NLK510" s="359"/>
      <c r="NLM510" s="303"/>
      <c r="NLN510" s="356"/>
      <c r="NLO510" s="359"/>
      <c r="NLQ510" s="303"/>
      <c r="NLR510" s="356"/>
      <c r="NLS510" s="359"/>
      <c r="NLU510" s="303"/>
      <c r="NLV510" s="356"/>
      <c r="NLW510" s="359"/>
      <c r="NLY510" s="303"/>
      <c r="NLZ510" s="356"/>
      <c r="NMA510" s="359"/>
      <c r="NMC510" s="303"/>
      <c r="NMD510" s="356"/>
      <c r="NME510" s="359"/>
      <c r="NMG510" s="303"/>
      <c r="NMH510" s="356"/>
      <c r="NMI510" s="359"/>
      <c r="NMK510" s="303"/>
      <c r="NML510" s="356"/>
      <c r="NMM510" s="359"/>
      <c r="NMO510" s="303"/>
      <c r="NMP510" s="356"/>
      <c r="NMQ510" s="359"/>
      <c r="NMS510" s="303"/>
      <c r="NMT510" s="356"/>
      <c r="NMU510" s="359"/>
      <c r="NMW510" s="303"/>
      <c r="NMX510" s="356"/>
      <c r="NMY510" s="359"/>
      <c r="NNA510" s="303"/>
      <c r="NNB510" s="356"/>
      <c r="NNC510" s="359"/>
      <c r="NNE510" s="303"/>
      <c r="NNF510" s="356"/>
      <c r="NNG510" s="359"/>
      <c r="NNI510" s="303"/>
      <c r="NNJ510" s="356"/>
      <c r="NNK510" s="359"/>
      <c r="NNM510" s="303"/>
      <c r="NNN510" s="356"/>
      <c r="NNO510" s="359"/>
      <c r="NNQ510" s="303"/>
      <c r="NNR510" s="356"/>
      <c r="NNS510" s="359"/>
      <c r="NNU510" s="303"/>
      <c r="NNV510" s="356"/>
      <c r="NNW510" s="359"/>
      <c r="NNY510" s="303"/>
      <c r="NNZ510" s="356"/>
      <c r="NOA510" s="359"/>
      <c r="NOC510" s="303"/>
      <c r="NOD510" s="356"/>
      <c r="NOE510" s="359"/>
      <c r="NOG510" s="303"/>
      <c r="NOH510" s="356"/>
      <c r="NOI510" s="359"/>
      <c r="NOK510" s="303"/>
      <c r="NOL510" s="356"/>
      <c r="NOM510" s="359"/>
      <c r="NOO510" s="303"/>
      <c r="NOP510" s="356"/>
      <c r="NOQ510" s="359"/>
      <c r="NOS510" s="303"/>
      <c r="NOT510" s="356"/>
      <c r="NOU510" s="359"/>
      <c r="NOW510" s="303"/>
      <c r="NOX510" s="356"/>
      <c r="NOY510" s="359"/>
      <c r="NPA510" s="303"/>
      <c r="NPB510" s="356"/>
      <c r="NPC510" s="359"/>
      <c r="NPE510" s="303"/>
      <c r="NPF510" s="356"/>
      <c r="NPG510" s="359"/>
      <c r="NPI510" s="303"/>
      <c r="NPJ510" s="356"/>
      <c r="NPK510" s="359"/>
      <c r="NPM510" s="303"/>
      <c r="NPN510" s="356"/>
      <c r="NPO510" s="359"/>
      <c r="NPQ510" s="303"/>
      <c r="NPR510" s="356"/>
      <c r="NPS510" s="359"/>
      <c r="NPU510" s="303"/>
      <c r="NPV510" s="356"/>
      <c r="NPW510" s="359"/>
      <c r="NPY510" s="303"/>
      <c r="NPZ510" s="356"/>
      <c r="NQA510" s="359"/>
      <c r="NQC510" s="303"/>
      <c r="NQD510" s="356"/>
      <c r="NQE510" s="359"/>
      <c r="NQG510" s="303"/>
      <c r="NQH510" s="356"/>
      <c r="NQI510" s="359"/>
      <c r="NQK510" s="303"/>
      <c r="NQL510" s="356"/>
      <c r="NQM510" s="359"/>
      <c r="NQO510" s="303"/>
      <c r="NQP510" s="356"/>
      <c r="NQQ510" s="359"/>
      <c r="NQS510" s="303"/>
      <c r="NQT510" s="356"/>
      <c r="NQU510" s="359"/>
      <c r="NQW510" s="303"/>
      <c r="NQX510" s="356"/>
      <c r="NQY510" s="359"/>
      <c r="NRA510" s="303"/>
      <c r="NRB510" s="356"/>
      <c r="NRC510" s="359"/>
      <c r="NRE510" s="303"/>
      <c r="NRF510" s="356"/>
      <c r="NRG510" s="359"/>
      <c r="NRI510" s="303"/>
      <c r="NRJ510" s="356"/>
      <c r="NRK510" s="359"/>
      <c r="NRM510" s="303"/>
      <c r="NRN510" s="356"/>
      <c r="NRO510" s="359"/>
      <c r="NRQ510" s="303"/>
      <c r="NRR510" s="356"/>
      <c r="NRS510" s="359"/>
      <c r="NRU510" s="303"/>
      <c r="NRV510" s="356"/>
      <c r="NRW510" s="359"/>
      <c r="NRY510" s="303"/>
      <c r="NRZ510" s="356"/>
      <c r="NSA510" s="359"/>
      <c r="NSC510" s="303"/>
      <c r="NSD510" s="356"/>
      <c r="NSE510" s="359"/>
      <c r="NSG510" s="303"/>
      <c r="NSH510" s="356"/>
      <c r="NSI510" s="359"/>
      <c r="NSK510" s="303"/>
      <c r="NSL510" s="356"/>
      <c r="NSM510" s="359"/>
      <c r="NSO510" s="303"/>
      <c r="NSP510" s="356"/>
      <c r="NSQ510" s="359"/>
      <c r="NSS510" s="303"/>
      <c r="NST510" s="356"/>
      <c r="NSU510" s="359"/>
      <c r="NSW510" s="303"/>
      <c r="NSX510" s="356"/>
      <c r="NSY510" s="359"/>
      <c r="NTA510" s="303"/>
      <c r="NTB510" s="356"/>
      <c r="NTC510" s="359"/>
      <c r="NTE510" s="303"/>
      <c r="NTF510" s="356"/>
      <c r="NTG510" s="359"/>
      <c r="NTI510" s="303"/>
      <c r="NTJ510" s="356"/>
      <c r="NTK510" s="359"/>
      <c r="NTM510" s="303"/>
      <c r="NTN510" s="356"/>
      <c r="NTO510" s="359"/>
      <c r="NTQ510" s="303"/>
      <c r="NTR510" s="356"/>
      <c r="NTS510" s="359"/>
      <c r="NTU510" s="303"/>
      <c r="NTV510" s="356"/>
      <c r="NTW510" s="359"/>
      <c r="NTY510" s="303"/>
      <c r="NTZ510" s="356"/>
      <c r="NUA510" s="359"/>
      <c r="NUC510" s="303"/>
      <c r="NUD510" s="356"/>
      <c r="NUE510" s="359"/>
      <c r="NUG510" s="303"/>
      <c r="NUH510" s="356"/>
      <c r="NUI510" s="359"/>
      <c r="NUK510" s="303"/>
      <c r="NUL510" s="356"/>
      <c r="NUM510" s="359"/>
      <c r="NUO510" s="303"/>
      <c r="NUP510" s="356"/>
      <c r="NUQ510" s="359"/>
      <c r="NUS510" s="303"/>
      <c r="NUT510" s="356"/>
      <c r="NUU510" s="359"/>
      <c r="NUW510" s="303"/>
      <c r="NUX510" s="356"/>
      <c r="NUY510" s="359"/>
      <c r="NVA510" s="303"/>
      <c r="NVB510" s="356"/>
      <c r="NVC510" s="359"/>
      <c r="NVE510" s="303"/>
      <c r="NVF510" s="356"/>
      <c r="NVG510" s="359"/>
      <c r="NVI510" s="303"/>
      <c r="NVJ510" s="356"/>
      <c r="NVK510" s="359"/>
      <c r="NVM510" s="303"/>
      <c r="NVN510" s="356"/>
      <c r="NVO510" s="359"/>
      <c r="NVQ510" s="303"/>
      <c r="NVR510" s="356"/>
      <c r="NVS510" s="359"/>
      <c r="NVU510" s="303"/>
      <c r="NVV510" s="356"/>
      <c r="NVW510" s="359"/>
      <c r="NVY510" s="303"/>
      <c r="NVZ510" s="356"/>
      <c r="NWA510" s="359"/>
      <c r="NWC510" s="303"/>
      <c r="NWD510" s="356"/>
      <c r="NWE510" s="359"/>
      <c r="NWG510" s="303"/>
      <c r="NWH510" s="356"/>
      <c r="NWI510" s="359"/>
      <c r="NWK510" s="303"/>
      <c r="NWL510" s="356"/>
      <c r="NWM510" s="359"/>
      <c r="NWO510" s="303"/>
      <c r="NWP510" s="356"/>
      <c r="NWQ510" s="359"/>
      <c r="NWS510" s="303"/>
      <c r="NWT510" s="356"/>
      <c r="NWU510" s="359"/>
      <c r="NWW510" s="303"/>
      <c r="NWX510" s="356"/>
      <c r="NWY510" s="359"/>
      <c r="NXA510" s="303"/>
      <c r="NXB510" s="356"/>
      <c r="NXC510" s="359"/>
      <c r="NXE510" s="303"/>
      <c r="NXF510" s="356"/>
      <c r="NXG510" s="359"/>
      <c r="NXI510" s="303"/>
      <c r="NXJ510" s="356"/>
      <c r="NXK510" s="359"/>
      <c r="NXM510" s="303"/>
      <c r="NXN510" s="356"/>
      <c r="NXO510" s="359"/>
      <c r="NXQ510" s="303"/>
      <c r="NXR510" s="356"/>
      <c r="NXS510" s="359"/>
      <c r="NXU510" s="303"/>
      <c r="NXV510" s="356"/>
      <c r="NXW510" s="359"/>
      <c r="NXY510" s="303"/>
      <c r="NXZ510" s="356"/>
      <c r="NYA510" s="359"/>
      <c r="NYC510" s="303"/>
      <c r="NYD510" s="356"/>
      <c r="NYE510" s="359"/>
      <c r="NYG510" s="303"/>
      <c r="NYH510" s="356"/>
      <c r="NYI510" s="359"/>
      <c r="NYK510" s="303"/>
      <c r="NYL510" s="356"/>
      <c r="NYM510" s="359"/>
      <c r="NYO510" s="303"/>
      <c r="NYP510" s="356"/>
      <c r="NYQ510" s="359"/>
      <c r="NYS510" s="303"/>
      <c r="NYT510" s="356"/>
      <c r="NYU510" s="359"/>
      <c r="NYW510" s="303"/>
      <c r="NYX510" s="356"/>
      <c r="NYY510" s="359"/>
      <c r="NZA510" s="303"/>
      <c r="NZB510" s="356"/>
      <c r="NZC510" s="359"/>
      <c r="NZE510" s="303"/>
      <c r="NZF510" s="356"/>
      <c r="NZG510" s="359"/>
      <c r="NZI510" s="303"/>
      <c r="NZJ510" s="356"/>
      <c r="NZK510" s="359"/>
      <c r="NZM510" s="303"/>
      <c r="NZN510" s="356"/>
      <c r="NZO510" s="359"/>
      <c r="NZQ510" s="303"/>
      <c r="NZR510" s="356"/>
      <c r="NZS510" s="359"/>
      <c r="NZU510" s="303"/>
      <c r="NZV510" s="356"/>
      <c r="NZW510" s="359"/>
      <c r="NZY510" s="303"/>
      <c r="NZZ510" s="356"/>
      <c r="OAA510" s="359"/>
      <c r="OAC510" s="303"/>
      <c r="OAD510" s="356"/>
      <c r="OAE510" s="359"/>
      <c r="OAG510" s="303"/>
      <c r="OAH510" s="356"/>
      <c r="OAI510" s="359"/>
      <c r="OAK510" s="303"/>
      <c r="OAL510" s="356"/>
      <c r="OAM510" s="359"/>
      <c r="OAO510" s="303"/>
      <c r="OAP510" s="356"/>
      <c r="OAQ510" s="359"/>
      <c r="OAS510" s="303"/>
      <c r="OAT510" s="356"/>
      <c r="OAU510" s="359"/>
      <c r="OAW510" s="303"/>
      <c r="OAX510" s="356"/>
      <c r="OAY510" s="359"/>
      <c r="OBA510" s="303"/>
      <c r="OBB510" s="356"/>
      <c r="OBC510" s="359"/>
      <c r="OBE510" s="303"/>
      <c r="OBF510" s="356"/>
      <c r="OBG510" s="359"/>
      <c r="OBI510" s="303"/>
      <c r="OBJ510" s="356"/>
      <c r="OBK510" s="359"/>
      <c r="OBM510" s="303"/>
      <c r="OBN510" s="356"/>
      <c r="OBO510" s="359"/>
      <c r="OBQ510" s="303"/>
      <c r="OBR510" s="356"/>
      <c r="OBS510" s="359"/>
      <c r="OBU510" s="303"/>
      <c r="OBV510" s="356"/>
      <c r="OBW510" s="359"/>
      <c r="OBY510" s="303"/>
      <c r="OBZ510" s="356"/>
      <c r="OCA510" s="359"/>
      <c r="OCC510" s="303"/>
      <c r="OCD510" s="356"/>
      <c r="OCE510" s="359"/>
      <c r="OCG510" s="303"/>
      <c r="OCH510" s="356"/>
      <c r="OCI510" s="359"/>
      <c r="OCK510" s="303"/>
      <c r="OCL510" s="356"/>
      <c r="OCM510" s="359"/>
      <c r="OCO510" s="303"/>
      <c r="OCP510" s="356"/>
      <c r="OCQ510" s="359"/>
      <c r="OCS510" s="303"/>
      <c r="OCT510" s="356"/>
      <c r="OCU510" s="359"/>
      <c r="OCW510" s="303"/>
      <c r="OCX510" s="356"/>
      <c r="OCY510" s="359"/>
      <c r="ODA510" s="303"/>
      <c r="ODB510" s="356"/>
      <c r="ODC510" s="359"/>
      <c r="ODE510" s="303"/>
      <c r="ODF510" s="356"/>
      <c r="ODG510" s="359"/>
      <c r="ODI510" s="303"/>
      <c r="ODJ510" s="356"/>
      <c r="ODK510" s="359"/>
      <c r="ODM510" s="303"/>
      <c r="ODN510" s="356"/>
      <c r="ODO510" s="359"/>
      <c r="ODQ510" s="303"/>
      <c r="ODR510" s="356"/>
      <c r="ODS510" s="359"/>
      <c r="ODU510" s="303"/>
      <c r="ODV510" s="356"/>
      <c r="ODW510" s="359"/>
      <c r="ODY510" s="303"/>
      <c r="ODZ510" s="356"/>
      <c r="OEA510" s="359"/>
      <c r="OEC510" s="303"/>
      <c r="OED510" s="356"/>
      <c r="OEE510" s="359"/>
      <c r="OEG510" s="303"/>
      <c r="OEH510" s="356"/>
      <c r="OEI510" s="359"/>
      <c r="OEK510" s="303"/>
      <c r="OEL510" s="356"/>
      <c r="OEM510" s="359"/>
      <c r="OEO510" s="303"/>
      <c r="OEP510" s="356"/>
      <c r="OEQ510" s="359"/>
      <c r="OES510" s="303"/>
      <c r="OET510" s="356"/>
      <c r="OEU510" s="359"/>
      <c r="OEW510" s="303"/>
      <c r="OEX510" s="356"/>
      <c r="OEY510" s="359"/>
      <c r="OFA510" s="303"/>
      <c r="OFB510" s="356"/>
      <c r="OFC510" s="359"/>
      <c r="OFE510" s="303"/>
      <c r="OFF510" s="356"/>
      <c r="OFG510" s="359"/>
      <c r="OFI510" s="303"/>
      <c r="OFJ510" s="356"/>
      <c r="OFK510" s="359"/>
      <c r="OFM510" s="303"/>
      <c r="OFN510" s="356"/>
      <c r="OFO510" s="359"/>
      <c r="OFQ510" s="303"/>
      <c r="OFR510" s="356"/>
      <c r="OFS510" s="359"/>
      <c r="OFU510" s="303"/>
      <c r="OFV510" s="356"/>
      <c r="OFW510" s="359"/>
      <c r="OFY510" s="303"/>
      <c r="OFZ510" s="356"/>
      <c r="OGA510" s="359"/>
      <c r="OGC510" s="303"/>
      <c r="OGD510" s="356"/>
      <c r="OGE510" s="359"/>
      <c r="OGG510" s="303"/>
      <c r="OGH510" s="356"/>
      <c r="OGI510" s="359"/>
      <c r="OGK510" s="303"/>
      <c r="OGL510" s="356"/>
      <c r="OGM510" s="359"/>
      <c r="OGO510" s="303"/>
      <c r="OGP510" s="356"/>
      <c r="OGQ510" s="359"/>
      <c r="OGS510" s="303"/>
      <c r="OGT510" s="356"/>
      <c r="OGU510" s="359"/>
      <c r="OGW510" s="303"/>
      <c r="OGX510" s="356"/>
      <c r="OGY510" s="359"/>
      <c r="OHA510" s="303"/>
      <c r="OHB510" s="356"/>
      <c r="OHC510" s="359"/>
      <c r="OHE510" s="303"/>
      <c r="OHF510" s="356"/>
      <c r="OHG510" s="359"/>
      <c r="OHI510" s="303"/>
      <c r="OHJ510" s="356"/>
      <c r="OHK510" s="359"/>
      <c r="OHM510" s="303"/>
      <c r="OHN510" s="356"/>
      <c r="OHO510" s="359"/>
      <c r="OHQ510" s="303"/>
      <c r="OHR510" s="356"/>
      <c r="OHS510" s="359"/>
      <c r="OHU510" s="303"/>
      <c r="OHV510" s="356"/>
      <c r="OHW510" s="359"/>
      <c r="OHY510" s="303"/>
      <c r="OHZ510" s="356"/>
      <c r="OIA510" s="359"/>
      <c r="OIC510" s="303"/>
      <c r="OID510" s="356"/>
      <c r="OIE510" s="359"/>
      <c r="OIG510" s="303"/>
      <c r="OIH510" s="356"/>
      <c r="OII510" s="359"/>
      <c r="OIK510" s="303"/>
      <c r="OIL510" s="356"/>
      <c r="OIM510" s="359"/>
      <c r="OIO510" s="303"/>
      <c r="OIP510" s="356"/>
      <c r="OIQ510" s="359"/>
      <c r="OIS510" s="303"/>
      <c r="OIT510" s="356"/>
      <c r="OIU510" s="359"/>
      <c r="OIW510" s="303"/>
      <c r="OIX510" s="356"/>
      <c r="OIY510" s="359"/>
      <c r="OJA510" s="303"/>
      <c r="OJB510" s="356"/>
      <c r="OJC510" s="359"/>
      <c r="OJE510" s="303"/>
      <c r="OJF510" s="356"/>
      <c r="OJG510" s="359"/>
      <c r="OJI510" s="303"/>
      <c r="OJJ510" s="356"/>
      <c r="OJK510" s="359"/>
      <c r="OJM510" s="303"/>
      <c r="OJN510" s="356"/>
      <c r="OJO510" s="359"/>
      <c r="OJQ510" s="303"/>
      <c r="OJR510" s="356"/>
      <c r="OJS510" s="359"/>
      <c r="OJU510" s="303"/>
      <c r="OJV510" s="356"/>
      <c r="OJW510" s="359"/>
      <c r="OJY510" s="303"/>
      <c r="OJZ510" s="356"/>
      <c r="OKA510" s="359"/>
      <c r="OKC510" s="303"/>
      <c r="OKD510" s="356"/>
      <c r="OKE510" s="359"/>
      <c r="OKG510" s="303"/>
      <c r="OKH510" s="356"/>
      <c r="OKI510" s="359"/>
      <c r="OKK510" s="303"/>
      <c r="OKL510" s="356"/>
      <c r="OKM510" s="359"/>
      <c r="OKO510" s="303"/>
      <c r="OKP510" s="356"/>
      <c r="OKQ510" s="359"/>
      <c r="OKS510" s="303"/>
      <c r="OKT510" s="356"/>
      <c r="OKU510" s="359"/>
      <c r="OKW510" s="303"/>
      <c r="OKX510" s="356"/>
      <c r="OKY510" s="359"/>
      <c r="OLA510" s="303"/>
      <c r="OLB510" s="356"/>
      <c r="OLC510" s="359"/>
      <c r="OLE510" s="303"/>
      <c r="OLF510" s="356"/>
      <c r="OLG510" s="359"/>
      <c r="OLI510" s="303"/>
      <c r="OLJ510" s="356"/>
      <c r="OLK510" s="359"/>
      <c r="OLM510" s="303"/>
      <c r="OLN510" s="356"/>
      <c r="OLO510" s="359"/>
      <c r="OLQ510" s="303"/>
      <c r="OLR510" s="356"/>
      <c r="OLS510" s="359"/>
      <c r="OLU510" s="303"/>
      <c r="OLV510" s="356"/>
      <c r="OLW510" s="359"/>
      <c r="OLY510" s="303"/>
      <c r="OLZ510" s="356"/>
      <c r="OMA510" s="359"/>
      <c r="OMC510" s="303"/>
      <c r="OMD510" s="356"/>
      <c r="OME510" s="359"/>
      <c r="OMG510" s="303"/>
      <c r="OMH510" s="356"/>
      <c r="OMI510" s="359"/>
      <c r="OMK510" s="303"/>
      <c r="OML510" s="356"/>
      <c r="OMM510" s="359"/>
      <c r="OMO510" s="303"/>
      <c r="OMP510" s="356"/>
      <c r="OMQ510" s="359"/>
      <c r="OMS510" s="303"/>
      <c r="OMT510" s="356"/>
      <c r="OMU510" s="359"/>
      <c r="OMW510" s="303"/>
      <c r="OMX510" s="356"/>
      <c r="OMY510" s="359"/>
      <c r="ONA510" s="303"/>
      <c r="ONB510" s="356"/>
      <c r="ONC510" s="359"/>
      <c r="ONE510" s="303"/>
      <c r="ONF510" s="356"/>
      <c r="ONG510" s="359"/>
      <c r="ONI510" s="303"/>
      <c r="ONJ510" s="356"/>
      <c r="ONK510" s="359"/>
      <c r="ONM510" s="303"/>
      <c r="ONN510" s="356"/>
      <c r="ONO510" s="359"/>
      <c r="ONQ510" s="303"/>
      <c r="ONR510" s="356"/>
      <c r="ONS510" s="359"/>
      <c r="ONU510" s="303"/>
      <c r="ONV510" s="356"/>
      <c r="ONW510" s="359"/>
      <c r="ONY510" s="303"/>
      <c r="ONZ510" s="356"/>
      <c r="OOA510" s="359"/>
      <c r="OOC510" s="303"/>
      <c r="OOD510" s="356"/>
      <c r="OOE510" s="359"/>
      <c r="OOG510" s="303"/>
      <c r="OOH510" s="356"/>
      <c r="OOI510" s="359"/>
      <c r="OOK510" s="303"/>
      <c r="OOL510" s="356"/>
      <c r="OOM510" s="359"/>
      <c r="OOO510" s="303"/>
      <c r="OOP510" s="356"/>
      <c r="OOQ510" s="359"/>
      <c r="OOS510" s="303"/>
      <c r="OOT510" s="356"/>
      <c r="OOU510" s="359"/>
      <c r="OOW510" s="303"/>
      <c r="OOX510" s="356"/>
      <c r="OOY510" s="359"/>
      <c r="OPA510" s="303"/>
      <c r="OPB510" s="356"/>
      <c r="OPC510" s="359"/>
      <c r="OPE510" s="303"/>
      <c r="OPF510" s="356"/>
      <c r="OPG510" s="359"/>
      <c r="OPI510" s="303"/>
      <c r="OPJ510" s="356"/>
      <c r="OPK510" s="359"/>
      <c r="OPM510" s="303"/>
      <c r="OPN510" s="356"/>
      <c r="OPO510" s="359"/>
      <c r="OPQ510" s="303"/>
      <c r="OPR510" s="356"/>
      <c r="OPS510" s="359"/>
      <c r="OPU510" s="303"/>
      <c r="OPV510" s="356"/>
      <c r="OPW510" s="359"/>
      <c r="OPY510" s="303"/>
      <c r="OPZ510" s="356"/>
      <c r="OQA510" s="359"/>
      <c r="OQC510" s="303"/>
      <c r="OQD510" s="356"/>
      <c r="OQE510" s="359"/>
      <c r="OQG510" s="303"/>
      <c r="OQH510" s="356"/>
      <c r="OQI510" s="359"/>
      <c r="OQK510" s="303"/>
      <c r="OQL510" s="356"/>
      <c r="OQM510" s="359"/>
      <c r="OQO510" s="303"/>
      <c r="OQP510" s="356"/>
      <c r="OQQ510" s="359"/>
      <c r="OQS510" s="303"/>
      <c r="OQT510" s="356"/>
      <c r="OQU510" s="359"/>
      <c r="OQW510" s="303"/>
      <c r="OQX510" s="356"/>
      <c r="OQY510" s="359"/>
      <c r="ORA510" s="303"/>
      <c r="ORB510" s="356"/>
      <c r="ORC510" s="359"/>
      <c r="ORE510" s="303"/>
      <c r="ORF510" s="356"/>
      <c r="ORG510" s="359"/>
      <c r="ORI510" s="303"/>
      <c r="ORJ510" s="356"/>
      <c r="ORK510" s="359"/>
      <c r="ORM510" s="303"/>
      <c r="ORN510" s="356"/>
      <c r="ORO510" s="359"/>
      <c r="ORQ510" s="303"/>
      <c r="ORR510" s="356"/>
      <c r="ORS510" s="359"/>
      <c r="ORU510" s="303"/>
      <c r="ORV510" s="356"/>
      <c r="ORW510" s="359"/>
      <c r="ORY510" s="303"/>
      <c r="ORZ510" s="356"/>
      <c r="OSA510" s="359"/>
      <c r="OSC510" s="303"/>
      <c r="OSD510" s="356"/>
      <c r="OSE510" s="359"/>
      <c r="OSG510" s="303"/>
      <c r="OSH510" s="356"/>
      <c r="OSI510" s="359"/>
      <c r="OSK510" s="303"/>
      <c r="OSL510" s="356"/>
      <c r="OSM510" s="359"/>
      <c r="OSO510" s="303"/>
      <c r="OSP510" s="356"/>
      <c r="OSQ510" s="359"/>
      <c r="OSS510" s="303"/>
      <c r="OST510" s="356"/>
      <c r="OSU510" s="359"/>
      <c r="OSW510" s="303"/>
      <c r="OSX510" s="356"/>
      <c r="OSY510" s="359"/>
      <c r="OTA510" s="303"/>
      <c r="OTB510" s="356"/>
      <c r="OTC510" s="359"/>
      <c r="OTE510" s="303"/>
      <c r="OTF510" s="356"/>
      <c r="OTG510" s="359"/>
      <c r="OTI510" s="303"/>
      <c r="OTJ510" s="356"/>
      <c r="OTK510" s="359"/>
      <c r="OTM510" s="303"/>
      <c r="OTN510" s="356"/>
      <c r="OTO510" s="359"/>
      <c r="OTQ510" s="303"/>
      <c r="OTR510" s="356"/>
      <c r="OTS510" s="359"/>
      <c r="OTU510" s="303"/>
      <c r="OTV510" s="356"/>
      <c r="OTW510" s="359"/>
      <c r="OTY510" s="303"/>
      <c r="OTZ510" s="356"/>
      <c r="OUA510" s="359"/>
      <c r="OUC510" s="303"/>
      <c r="OUD510" s="356"/>
      <c r="OUE510" s="359"/>
      <c r="OUG510" s="303"/>
      <c r="OUH510" s="356"/>
      <c r="OUI510" s="359"/>
      <c r="OUK510" s="303"/>
      <c r="OUL510" s="356"/>
      <c r="OUM510" s="359"/>
      <c r="OUO510" s="303"/>
      <c r="OUP510" s="356"/>
      <c r="OUQ510" s="359"/>
      <c r="OUS510" s="303"/>
      <c r="OUT510" s="356"/>
      <c r="OUU510" s="359"/>
      <c r="OUW510" s="303"/>
      <c r="OUX510" s="356"/>
      <c r="OUY510" s="359"/>
      <c r="OVA510" s="303"/>
      <c r="OVB510" s="356"/>
      <c r="OVC510" s="359"/>
      <c r="OVE510" s="303"/>
      <c r="OVF510" s="356"/>
      <c r="OVG510" s="359"/>
      <c r="OVI510" s="303"/>
      <c r="OVJ510" s="356"/>
      <c r="OVK510" s="359"/>
      <c r="OVM510" s="303"/>
      <c r="OVN510" s="356"/>
      <c r="OVO510" s="359"/>
      <c r="OVQ510" s="303"/>
      <c r="OVR510" s="356"/>
      <c r="OVS510" s="359"/>
      <c r="OVU510" s="303"/>
      <c r="OVV510" s="356"/>
      <c r="OVW510" s="359"/>
      <c r="OVY510" s="303"/>
      <c r="OVZ510" s="356"/>
      <c r="OWA510" s="359"/>
      <c r="OWC510" s="303"/>
      <c r="OWD510" s="356"/>
      <c r="OWE510" s="359"/>
      <c r="OWG510" s="303"/>
      <c r="OWH510" s="356"/>
      <c r="OWI510" s="359"/>
      <c r="OWK510" s="303"/>
      <c r="OWL510" s="356"/>
      <c r="OWM510" s="359"/>
      <c r="OWO510" s="303"/>
      <c r="OWP510" s="356"/>
      <c r="OWQ510" s="359"/>
      <c r="OWS510" s="303"/>
      <c r="OWT510" s="356"/>
      <c r="OWU510" s="359"/>
      <c r="OWW510" s="303"/>
      <c r="OWX510" s="356"/>
      <c r="OWY510" s="359"/>
      <c r="OXA510" s="303"/>
      <c r="OXB510" s="356"/>
      <c r="OXC510" s="359"/>
      <c r="OXE510" s="303"/>
      <c r="OXF510" s="356"/>
      <c r="OXG510" s="359"/>
      <c r="OXI510" s="303"/>
      <c r="OXJ510" s="356"/>
      <c r="OXK510" s="359"/>
      <c r="OXM510" s="303"/>
      <c r="OXN510" s="356"/>
      <c r="OXO510" s="359"/>
      <c r="OXQ510" s="303"/>
      <c r="OXR510" s="356"/>
      <c r="OXS510" s="359"/>
      <c r="OXU510" s="303"/>
      <c r="OXV510" s="356"/>
      <c r="OXW510" s="359"/>
      <c r="OXY510" s="303"/>
      <c r="OXZ510" s="356"/>
      <c r="OYA510" s="359"/>
      <c r="OYC510" s="303"/>
      <c r="OYD510" s="356"/>
      <c r="OYE510" s="359"/>
      <c r="OYG510" s="303"/>
      <c r="OYH510" s="356"/>
      <c r="OYI510" s="359"/>
      <c r="OYK510" s="303"/>
      <c r="OYL510" s="356"/>
      <c r="OYM510" s="359"/>
      <c r="OYO510" s="303"/>
      <c r="OYP510" s="356"/>
      <c r="OYQ510" s="359"/>
      <c r="OYS510" s="303"/>
      <c r="OYT510" s="356"/>
      <c r="OYU510" s="359"/>
      <c r="OYW510" s="303"/>
      <c r="OYX510" s="356"/>
      <c r="OYY510" s="359"/>
      <c r="OZA510" s="303"/>
      <c r="OZB510" s="356"/>
      <c r="OZC510" s="359"/>
      <c r="OZE510" s="303"/>
      <c r="OZF510" s="356"/>
      <c r="OZG510" s="359"/>
      <c r="OZI510" s="303"/>
      <c r="OZJ510" s="356"/>
      <c r="OZK510" s="359"/>
      <c r="OZM510" s="303"/>
      <c r="OZN510" s="356"/>
      <c r="OZO510" s="359"/>
      <c r="OZQ510" s="303"/>
      <c r="OZR510" s="356"/>
      <c r="OZS510" s="359"/>
      <c r="OZU510" s="303"/>
      <c r="OZV510" s="356"/>
      <c r="OZW510" s="359"/>
      <c r="OZY510" s="303"/>
      <c r="OZZ510" s="356"/>
      <c r="PAA510" s="359"/>
      <c r="PAC510" s="303"/>
      <c r="PAD510" s="356"/>
      <c r="PAE510" s="359"/>
      <c r="PAG510" s="303"/>
      <c r="PAH510" s="356"/>
      <c r="PAI510" s="359"/>
      <c r="PAK510" s="303"/>
      <c r="PAL510" s="356"/>
      <c r="PAM510" s="359"/>
      <c r="PAO510" s="303"/>
      <c r="PAP510" s="356"/>
      <c r="PAQ510" s="359"/>
      <c r="PAS510" s="303"/>
      <c r="PAT510" s="356"/>
      <c r="PAU510" s="359"/>
      <c r="PAW510" s="303"/>
      <c r="PAX510" s="356"/>
      <c r="PAY510" s="359"/>
      <c r="PBA510" s="303"/>
      <c r="PBB510" s="356"/>
      <c r="PBC510" s="359"/>
      <c r="PBE510" s="303"/>
      <c r="PBF510" s="356"/>
      <c r="PBG510" s="359"/>
      <c r="PBI510" s="303"/>
      <c r="PBJ510" s="356"/>
      <c r="PBK510" s="359"/>
      <c r="PBM510" s="303"/>
      <c r="PBN510" s="356"/>
      <c r="PBO510" s="359"/>
      <c r="PBQ510" s="303"/>
      <c r="PBR510" s="356"/>
      <c r="PBS510" s="359"/>
      <c r="PBU510" s="303"/>
      <c r="PBV510" s="356"/>
      <c r="PBW510" s="359"/>
      <c r="PBY510" s="303"/>
      <c r="PBZ510" s="356"/>
      <c r="PCA510" s="359"/>
      <c r="PCC510" s="303"/>
      <c r="PCD510" s="356"/>
      <c r="PCE510" s="359"/>
      <c r="PCG510" s="303"/>
      <c r="PCH510" s="356"/>
      <c r="PCI510" s="359"/>
      <c r="PCK510" s="303"/>
      <c r="PCL510" s="356"/>
      <c r="PCM510" s="359"/>
      <c r="PCO510" s="303"/>
      <c r="PCP510" s="356"/>
      <c r="PCQ510" s="359"/>
      <c r="PCS510" s="303"/>
      <c r="PCT510" s="356"/>
      <c r="PCU510" s="359"/>
      <c r="PCW510" s="303"/>
      <c r="PCX510" s="356"/>
      <c r="PCY510" s="359"/>
      <c r="PDA510" s="303"/>
      <c r="PDB510" s="356"/>
      <c r="PDC510" s="359"/>
      <c r="PDE510" s="303"/>
      <c r="PDF510" s="356"/>
      <c r="PDG510" s="359"/>
      <c r="PDI510" s="303"/>
      <c r="PDJ510" s="356"/>
      <c r="PDK510" s="359"/>
      <c r="PDM510" s="303"/>
      <c r="PDN510" s="356"/>
      <c r="PDO510" s="359"/>
      <c r="PDQ510" s="303"/>
      <c r="PDR510" s="356"/>
      <c r="PDS510" s="359"/>
      <c r="PDU510" s="303"/>
      <c r="PDV510" s="356"/>
      <c r="PDW510" s="359"/>
      <c r="PDY510" s="303"/>
      <c r="PDZ510" s="356"/>
      <c r="PEA510" s="359"/>
      <c r="PEC510" s="303"/>
      <c r="PED510" s="356"/>
      <c r="PEE510" s="359"/>
      <c r="PEG510" s="303"/>
      <c r="PEH510" s="356"/>
      <c r="PEI510" s="359"/>
      <c r="PEK510" s="303"/>
      <c r="PEL510" s="356"/>
      <c r="PEM510" s="359"/>
      <c r="PEO510" s="303"/>
      <c r="PEP510" s="356"/>
      <c r="PEQ510" s="359"/>
      <c r="PES510" s="303"/>
      <c r="PET510" s="356"/>
      <c r="PEU510" s="359"/>
      <c r="PEW510" s="303"/>
      <c r="PEX510" s="356"/>
      <c r="PEY510" s="359"/>
      <c r="PFA510" s="303"/>
      <c r="PFB510" s="356"/>
      <c r="PFC510" s="359"/>
      <c r="PFE510" s="303"/>
      <c r="PFF510" s="356"/>
      <c r="PFG510" s="359"/>
      <c r="PFI510" s="303"/>
      <c r="PFJ510" s="356"/>
      <c r="PFK510" s="359"/>
      <c r="PFM510" s="303"/>
      <c r="PFN510" s="356"/>
      <c r="PFO510" s="359"/>
      <c r="PFQ510" s="303"/>
      <c r="PFR510" s="356"/>
      <c r="PFS510" s="359"/>
      <c r="PFU510" s="303"/>
      <c r="PFV510" s="356"/>
      <c r="PFW510" s="359"/>
      <c r="PFY510" s="303"/>
      <c r="PFZ510" s="356"/>
      <c r="PGA510" s="359"/>
      <c r="PGC510" s="303"/>
      <c r="PGD510" s="356"/>
      <c r="PGE510" s="359"/>
      <c r="PGG510" s="303"/>
      <c r="PGH510" s="356"/>
      <c r="PGI510" s="359"/>
      <c r="PGK510" s="303"/>
      <c r="PGL510" s="356"/>
      <c r="PGM510" s="359"/>
      <c r="PGO510" s="303"/>
      <c r="PGP510" s="356"/>
      <c r="PGQ510" s="359"/>
      <c r="PGS510" s="303"/>
      <c r="PGT510" s="356"/>
      <c r="PGU510" s="359"/>
      <c r="PGW510" s="303"/>
      <c r="PGX510" s="356"/>
      <c r="PGY510" s="359"/>
      <c r="PHA510" s="303"/>
      <c r="PHB510" s="356"/>
      <c r="PHC510" s="359"/>
      <c r="PHE510" s="303"/>
      <c r="PHF510" s="356"/>
      <c r="PHG510" s="359"/>
      <c r="PHI510" s="303"/>
      <c r="PHJ510" s="356"/>
      <c r="PHK510" s="359"/>
      <c r="PHM510" s="303"/>
      <c r="PHN510" s="356"/>
      <c r="PHO510" s="359"/>
      <c r="PHQ510" s="303"/>
      <c r="PHR510" s="356"/>
      <c r="PHS510" s="359"/>
      <c r="PHU510" s="303"/>
      <c r="PHV510" s="356"/>
      <c r="PHW510" s="359"/>
      <c r="PHY510" s="303"/>
      <c r="PHZ510" s="356"/>
      <c r="PIA510" s="359"/>
      <c r="PIC510" s="303"/>
      <c r="PID510" s="356"/>
      <c r="PIE510" s="359"/>
      <c r="PIG510" s="303"/>
      <c r="PIH510" s="356"/>
      <c r="PII510" s="359"/>
      <c r="PIK510" s="303"/>
      <c r="PIL510" s="356"/>
      <c r="PIM510" s="359"/>
      <c r="PIO510" s="303"/>
      <c r="PIP510" s="356"/>
      <c r="PIQ510" s="359"/>
      <c r="PIS510" s="303"/>
      <c r="PIT510" s="356"/>
      <c r="PIU510" s="359"/>
      <c r="PIW510" s="303"/>
      <c r="PIX510" s="356"/>
      <c r="PIY510" s="359"/>
      <c r="PJA510" s="303"/>
      <c r="PJB510" s="356"/>
      <c r="PJC510" s="359"/>
      <c r="PJE510" s="303"/>
      <c r="PJF510" s="356"/>
      <c r="PJG510" s="359"/>
      <c r="PJI510" s="303"/>
      <c r="PJJ510" s="356"/>
      <c r="PJK510" s="359"/>
      <c r="PJM510" s="303"/>
      <c r="PJN510" s="356"/>
      <c r="PJO510" s="359"/>
      <c r="PJQ510" s="303"/>
      <c r="PJR510" s="356"/>
      <c r="PJS510" s="359"/>
      <c r="PJU510" s="303"/>
      <c r="PJV510" s="356"/>
      <c r="PJW510" s="359"/>
      <c r="PJY510" s="303"/>
      <c r="PJZ510" s="356"/>
      <c r="PKA510" s="359"/>
      <c r="PKC510" s="303"/>
      <c r="PKD510" s="356"/>
      <c r="PKE510" s="359"/>
      <c r="PKG510" s="303"/>
      <c r="PKH510" s="356"/>
      <c r="PKI510" s="359"/>
      <c r="PKK510" s="303"/>
      <c r="PKL510" s="356"/>
      <c r="PKM510" s="359"/>
      <c r="PKO510" s="303"/>
      <c r="PKP510" s="356"/>
      <c r="PKQ510" s="359"/>
      <c r="PKS510" s="303"/>
      <c r="PKT510" s="356"/>
      <c r="PKU510" s="359"/>
      <c r="PKW510" s="303"/>
      <c r="PKX510" s="356"/>
      <c r="PKY510" s="359"/>
      <c r="PLA510" s="303"/>
      <c r="PLB510" s="356"/>
      <c r="PLC510" s="359"/>
      <c r="PLE510" s="303"/>
      <c r="PLF510" s="356"/>
      <c r="PLG510" s="359"/>
      <c r="PLI510" s="303"/>
      <c r="PLJ510" s="356"/>
      <c r="PLK510" s="359"/>
      <c r="PLM510" s="303"/>
      <c r="PLN510" s="356"/>
      <c r="PLO510" s="359"/>
      <c r="PLQ510" s="303"/>
      <c r="PLR510" s="356"/>
      <c r="PLS510" s="359"/>
      <c r="PLU510" s="303"/>
      <c r="PLV510" s="356"/>
      <c r="PLW510" s="359"/>
      <c r="PLY510" s="303"/>
      <c r="PLZ510" s="356"/>
      <c r="PMA510" s="359"/>
      <c r="PMC510" s="303"/>
      <c r="PMD510" s="356"/>
      <c r="PME510" s="359"/>
      <c r="PMG510" s="303"/>
      <c r="PMH510" s="356"/>
      <c r="PMI510" s="359"/>
      <c r="PMK510" s="303"/>
      <c r="PML510" s="356"/>
      <c r="PMM510" s="359"/>
      <c r="PMO510" s="303"/>
      <c r="PMP510" s="356"/>
      <c r="PMQ510" s="359"/>
      <c r="PMS510" s="303"/>
      <c r="PMT510" s="356"/>
      <c r="PMU510" s="359"/>
      <c r="PMW510" s="303"/>
      <c r="PMX510" s="356"/>
      <c r="PMY510" s="359"/>
      <c r="PNA510" s="303"/>
      <c r="PNB510" s="356"/>
      <c r="PNC510" s="359"/>
      <c r="PNE510" s="303"/>
      <c r="PNF510" s="356"/>
      <c r="PNG510" s="359"/>
      <c r="PNI510" s="303"/>
      <c r="PNJ510" s="356"/>
      <c r="PNK510" s="359"/>
      <c r="PNM510" s="303"/>
      <c r="PNN510" s="356"/>
      <c r="PNO510" s="359"/>
      <c r="PNQ510" s="303"/>
      <c r="PNR510" s="356"/>
      <c r="PNS510" s="359"/>
      <c r="PNU510" s="303"/>
      <c r="PNV510" s="356"/>
      <c r="PNW510" s="359"/>
      <c r="PNY510" s="303"/>
      <c r="PNZ510" s="356"/>
      <c r="POA510" s="359"/>
      <c r="POC510" s="303"/>
      <c r="POD510" s="356"/>
      <c r="POE510" s="359"/>
      <c r="POG510" s="303"/>
      <c r="POH510" s="356"/>
      <c r="POI510" s="359"/>
      <c r="POK510" s="303"/>
      <c r="POL510" s="356"/>
      <c r="POM510" s="359"/>
      <c r="POO510" s="303"/>
      <c r="POP510" s="356"/>
      <c r="POQ510" s="359"/>
      <c r="POS510" s="303"/>
      <c r="POT510" s="356"/>
      <c r="POU510" s="359"/>
      <c r="POW510" s="303"/>
      <c r="POX510" s="356"/>
      <c r="POY510" s="359"/>
      <c r="PPA510" s="303"/>
      <c r="PPB510" s="356"/>
      <c r="PPC510" s="359"/>
      <c r="PPE510" s="303"/>
      <c r="PPF510" s="356"/>
      <c r="PPG510" s="359"/>
      <c r="PPI510" s="303"/>
      <c r="PPJ510" s="356"/>
      <c r="PPK510" s="359"/>
      <c r="PPM510" s="303"/>
      <c r="PPN510" s="356"/>
      <c r="PPO510" s="359"/>
      <c r="PPQ510" s="303"/>
      <c r="PPR510" s="356"/>
      <c r="PPS510" s="359"/>
      <c r="PPU510" s="303"/>
      <c r="PPV510" s="356"/>
      <c r="PPW510" s="359"/>
      <c r="PPY510" s="303"/>
      <c r="PPZ510" s="356"/>
      <c r="PQA510" s="359"/>
      <c r="PQC510" s="303"/>
      <c r="PQD510" s="356"/>
      <c r="PQE510" s="359"/>
      <c r="PQG510" s="303"/>
      <c r="PQH510" s="356"/>
      <c r="PQI510" s="359"/>
      <c r="PQK510" s="303"/>
      <c r="PQL510" s="356"/>
      <c r="PQM510" s="359"/>
      <c r="PQO510" s="303"/>
      <c r="PQP510" s="356"/>
      <c r="PQQ510" s="359"/>
      <c r="PQS510" s="303"/>
      <c r="PQT510" s="356"/>
      <c r="PQU510" s="359"/>
      <c r="PQW510" s="303"/>
      <c r="PQX510" s="356"/>
      <c r="PQY510" s="359"/>
      <c r="PRA510" s="303"/>
      <c r="PRB510" s="356"/>
      <c r="PRC510" s="359"/>
      <c r="PRE510" s="303"/>
      <c r="PRF510" s="356"/>
      <c r="PRG510" s="359"/>
      <c r="PRI510" s="303"/>
      <c r="PRJ510" s="356"/>
      <c r="PRK510" s="359"/>
      <c r="PRM510" s="303"/>
      <c r="PRN510" s="356"/>
      <c r="PRO510" s="359"/>
      <c r="PRQ510" s="303"/>
      <c r="PRR510" s="356"/>
      <c r="PRS510" s="359"/>
      <c r="PRU510" s="303"/>
      <c r="PRV510" s="356"/>
      <c r="PRW510" s="359"/>
      <c r="PRY510" s="303"/>
      <c r="PRZ510" s="356"/>
      <c r="PSA510" s="359"/>
      <c r="PSC510" s="303"/>
      <c r="PSD510" s="356"/>
      <c r="PSE510" s="359"/>
      <c r="PSG510" s="303"/>
      <c r="PSH510" s="356"/>
      <c r="PSI510" s="359"/>
      <c r="PSK510" s="303"/>
      <c r="PSL510" s="356"/>
      <c r="PSM510" s="359"/>
      <c r="PSO510" s="303"/>
      <c r="PSP510" s="356"/>
      <c r="PSQ510" s="359"/>
      <c r="PSS510" s="303"/>
      <c r="PST510" s="356"/>
      <c r="PSU510" s="359"/>
      <c r="PSW510" s="303"/>
      <c r="PSX510" s="356"/>
      <c r="PSY510" s="359"/>
      <c r="PTA510" s="303"/>
      <c r="PTB510" s="356"/>
      <c r="PTC510" s="359"/>
      <c r="PTE510" s="303"/>
      <c r="PTF510" s="356"/>
      <c r="PTG510" s="359"/>
      <c r="PTI510" s="303"/>
      <c r="PTJ510" s="356"/>
      <c r="PTK510" s="359"/>
      <c r="PTM510" s="303"/>
      <c r="PTN510" s="356"/>
      <c r="PTO510" s="359"/>
      <c r="PTQ510" s="303"/>
      <c r="PTR510" s="356"/>
      <c r="PTS510" s="359"/>
      <c r="PTU510" s="303"/>
      <c r="PTV510" s="356"/>
      <c r="PTW510" s="359"/>
      <c r="PTY510" s="303"/>
      <c r="PTZ510" s="356"/>
      <c r="PUA510" s="359"/>
      <c r="PUC510" s="303"/>
      <c r="PUD510" s="356"/>
      <c r="PUE510" s="359"/>
      <c r="PUG510" s="303"/>
      <c r="PUH510" s="356"/>
      <c r="PUI510" s="359"/>
      <c r="PUK510" s="303"/>
      <c r="PUL510" s="356"/>
      <c r="PUM510" s="359"/>
      <c r="PUO510" s="303"/>
      <c r="PUP510" s="356"/>
      <c r="PUQ510" s="359"/>
      <c r="PUS510" s="303"/>
      <c r="PUT510" s="356"/>
      <c r="PUU510" s="359"/>
      <c r="PUW510" s="303"/>
      <c r="PUX510" s="356"/>
      <c r="PUY510" s="359"/>
      <c r="PVA510" s="303"/>
      <c r="PVB510" s="356"/>
      <c r="PVC510" s="359"/>
      <c r="PVE510" s="303"/>
      <c r="PVF510" s="356"/>
      <c r="PVG510" s="359"/>
      <c r="PVI510" s="303"/>
      <c r="PVJ510" s="356"/>
      <c r="PVK510" s="359"/>
      <c r="PVM510" s="303"/>
      <c r="PVN510" s="356"/>
      <c r="PVO510" s="359"/>
      <c r="PVQ510" s="303"/>
      <c r="PVR510" s="356"/>
      <c r="PVS510" s="359"/>
      <c r="PVU510" s="303"/>
      <c r="PVV510" s="356"/>
      <c r="PVW510" s="359"/>
      <c r="PVY510" s="303"/>
      <c r="PVZ510" s="356"/>
      <c r="PWA510" s="359"/>
      <c r="PWC510" s="303"/>
      <c r="PWD510" s="356"/>
      <c r="PWE510" s="359"/>
      <c r="PWG510" s="303"/>
      <c r="PWH510" s="356"/>
      <c r="PWI510" s="359"/>
      <c r="PWK510" s="303"/>
      <c r="PWL510" s="356"/>
      <c r="PWM510" s="359"/>
      <c r="PWO510" s="303"/>
      <c r="PWP510" s="356"/>
      <c r="PWQ510" s="359"/>
      <c r="PWS510" s="303"/>
      <c r="PWT510" s="356"/>
      <c r="PWU510" s="359"/>
      <c r="PWW510" s="303"/>
      <c r="PWX510" s="356"/>
      <c r="PWY510" s="359"/>
      <c r="PXA510" s="303"/>
      <c r="PXB510" s="356"/>
      <c r="PXC510" s="359"/>
      <c r="PXE510" s="303"/>
      <c r="PXF510" s="356"/>
      <c r="PXG510" s="359"/>
      <c r="PXI510" s="303"/>
      <c r="PXJ510" s="356"/>
      <c r="PXK510" s="359"/>
      <c r="PXM510" s="303"/>
      <c r="PXN510" s="356"/>
      <c r="PXO510" s="359"/>
      <c r="PXQ510" s="303"/>
      <c r="PXR510" s="356"/>
      <c r="PXS510" s="359"/>
      <c r="PXU510" s="303"/>
      <c r="PXV510" s="356"/>
      <c r="PXW510" s="359"/>
      <c r="PXY510" s="303"/>
      <c r="PXZ510" s="356"/>
      <c r="PYA510" s="359"/>
      <c r="PYC510" s="303"/>
      <c r="PYD510" s="356"/>
      <c r="PYE510" s="359"/>
      <c r="PYG510" s="303"/>
      <c r="PYH510" s="356"/>
      <c r="PYI510" s="359"/>
      <c r="PYK510" s="303"/>
      <c r="PYL510" s="356"/>
      <c r="PYM510" s="359"/>
      <c r="PYO510" s="303"/>
      <c r="PYP510" s="356"/>
      <c r="PYQ510" s="359"/>
      <c r="PYS510" s="303"/>
      <c r="PYT510" s="356"/>
      <c r="PYU510" s="359"/>
      <c r="PYW510" s="303"/>
      <c r="PYX510" s="356"/>
      <c r="PYY510" s="359"/>
      <c r="PZA510" s="303"/>
      <c r="PZB510" s="356"/>
      <c r="PZC510" s="359"/>
      <c r="PZE510" s="303"/>
      <c r="PZF510" s="356"/>
      <c r="PZG510" s="359"/>
      <c r="PZI510" s="303"/>
      <c r="PZJ510" s="356"/>
      <c r="PZK510" s="359"/>
      <c r="PZM510" s="303"/>
      <c r="PZN510" s="356"/>
      <c r="PZO510" s="359"/>
      <c r="PZQ510" s="303"/>
      <c r="PZR510" s="356"/>
      <c r="PZS510" s="359"/>
      <c r="PZU510" s="303"/>
      <c r="PZV510" s="356"/>
      <c r="PZW510" s="359"/>
      <c r="PZY510" s="303"/>
      <c r="PZZ510" s="356"/>
      <c r="QAA510" s="359"/>
      <c r="QAC510" s="303"/>
      <c r="QAD510" s="356"/>
      <c r="QAE510" s="359"/>
      <c r="QAG510" s="303"/>
      <c r="QAH510" s="356"/>
      <c r="QAI510" s="359"/>
      <c r="QAK510" s="303"/>
      <c r="QAL510" s="356"/>
      <c r="QAM510" s="359"/>
      <c r="QAO510" s="303"/>
      <c r="QAP510" s="356"/>
      <c r="QAQ510" s="359"/>
      <c r="QAS510" s="303"/>
      <c r="QAT510" s="356"/>
      <c r="QAU510" s="359"/>
      <c r="QAW510" s="303"/>
      <c r="QAX510" s="356"/>
      <c r="QAY510" s="359"/>
      <c r="QBA510" s="303"/>
      <c r="QBB510" s="356"/>
      <c r="QBC510" s="359"/>
      <c r="QBE510" s="303"/>
      <c r="QBF510" s="356"/>
      <c r="QBG510" s="359"/>
      <c r="QBI510" s="303"/>
      <c r="QBJ510" s="356"/>
      <c r="QBK510" s="359"/>
      <c r="QBM510" s="303"/>
      <c r="QBN510" s="356"/>
      <c r="QBO510" s="359"/>
      <c r="QBQ510" s="303"/>
      <c r="QBR510" s="356"/>
      <c r="QBS510" s="359"/>
      <c r="QBU510" s="303"/>
      <c r="QBV510" s="356"/>
      <c r="QBW510" s="359"/>
      <c r="QBY510" s="303"/>
      <c r="QBZ510" s="356"/>
      <c r="QCA510" s="359"/>
      <c r="QCC510" s="303"/>
      <c r="QCD510" s="356"/>
      <c r="QCE510" s="359"/>
      <c r="QCG510" s="303"/>
      <c r="QCH510" s="356"/>
      <c r="QCI510" s="359"/>
      <c r="QCK510" s="303"/>
      <c r="QCL510" s="356"/>
      <c r="QCM510" s="359"/>
      <c r="QCO510" s="303"/>
      <c r="QCP510" s="356"/>
      <c r="QCQ510" s="359"/>
      <c r="QCS510" s="303"/>
      <c r="QCT510" s="356"/>
      <c r="QCU510" s="359"/>
      <c r="QCW510" s="303"/>
      <c r="QCX510" s="356"/>
      <c r="QCY510" s="359"/>
      <c r="QDA510" s="303"/>
      <c r="QDB510" s="356"/>
      <c r="QDC510" s="359"/>
      <c r="QDE510" s="303"/>
      <c r="QDF510" s="356"/>
      <c r="QDG510" s="359"/>
      <c r="QDI510" s="303"/>
      <c r="QDJ510" s="356"/>
      <c r="QDK510" s="359"/>
      <c r="QDM510" s="303"/>
      <c r="QDN510" s="356"/>
      <c r="QDO510" s="359"/>
      <c r="QDQ510" s="303"/>
      <c r="QDR510" s="356"/>
      <c r="QDS510" s="359"/>
      <c r="QDU510" s="303"/>
      <c r="QDV510" s="356"/>
      <c r="QDW510" s="359"/>
      <c r="QDY510" s="303"/>
      <c r="QDZ510" s="356"/>
      <c r="QEA510" s="359"/>
      <c r="QEC510" s="303"/>
      <c r="QED510" s="356"/>
      <c r="QEE510" s="359"/>
      <c r="QEG510" s="303"/>
      <c r="QEH510" s="356"/>
      <c r="QEI510" s="359"/>
      <c r="QEK510" s="303"/>
      <c r="QEL510" s="356"/>
      <c r="QEM510" s="359"/>
      <c r="QEO510" s="303"/>
      <c r="QEP510" s="356"/>
      <c r="QEQ510" s="359"/>
      <c r="QES510" s="303"/>
      <c r="QET510" s="356"/>
      <c r="QEU510" s="359"/>
      <c r="QEW510" s="303"/>
      <c r="QEX510" s="356"/>
      <c r="QEY510" s="359"/>
      <c r="QFA510" s="303"/>
      <c r="QFB510" s="356"/>
      <c r="QFC510" s="359"/>
      <c r="QFE510" s="303"/>
      <c r="QFF510" s="356"/>
      <c r="QFG510" s="359"/>
      <c r="QFI510" s="303"/>
      <c r="QFJ510" s="356"/>
      <c r="QFK510" s="359"/>
      <c r="QFM510" s="303"/>
      <c r="QFN510" s="356"/>
      <c r="QFO510" s="359"/>
      <c r="QFQ510" s="303"/>
      <c r="QFR510" s="356"/>
      <c r="QFS510" s="359"/>
      <c r="QFU510" s="303"/>
      <c r="QFV510" s="356"/>
      <c r="QFW510" s="359"/>
      <c r="QFY510" s="303"/>
      <c r="QFZ510" s="356"/>
      <c r="QGA510" s="359"/>
      <c r="QGC510" s="303"/>
      <c r="QGD510" s="356"/>
      <c r="QGE510" s="359"/>
      <c r="QGG510" s="303"/>
      <c r="QGH510" s="356"/>
      <c r="QGI510" s="359"/>
      <c r="QGK510" s="303"/>
      <c r="QGL510" s="356"/>
      <c r="QGM510" s="359"/>
      <c r="QGO510" s="303"/>
      <c r="QGP510" s="356"/>
      <c r="QGQ510" s="359"/>
      <c r="QGS510" s="303"/>
      <c r="QGT510" s="356"/>
      <c r="QGU510" s="359"/>
      <c r="QGW510" s="303"/>
      <c r="QGX510" s="356"/>
      <c r="QGY510" s="359"/>
      <c r="QHA510" s="303"/>
      <c r="QHB510" s="356"/>
      <c r="QHC510" s="359"/>
      <c r="QHE510" s="303"/>
      <c r="QHF510" s="356"/>
      <c r="QHG510" s="359"/>
      <c r="QHI510" s="303"/>
      <c r="QHJ510" s="356"/>
      <c r="QHK510" s="359"/>
      <c r="QHM510" s="303"/>
      <c r="QHN510" s="356"/>
      <c r="QHO510" s="359"/>
      <c r="QHQ510" s="303"/>
      <c r="QHR510" s="356"/>
      <c r="QHS510" s="359"/>
      <c r="QHU510" s="303"/>
      <c r="QHV510" s="356"/>
      <c r="QHW510" s="359"/>
      <c r="QHY510" s="303"/>
      <c r="QHZ510" s="356"/>
      <c r="QIA510" s="359"/>
      <c r="QIC510" s="303"/>
      <c r="QID510" s="356"/>
      <c r="QIE510" s="359"/>
      <c r="QIG510" s="303"/>
      <c r="QIH510" s="356"/>
      <c r="QII510" s="359"/>
      <c r="QIK510" s="303"/>
      <c r="QIL510" s="356"/>
      <c r="QIM510" s="359"/>
      <c r="QIO510" s="303"/>
      <c r="QIP510" s="356"/>
      <c r="QIQ510" s="359"/>
      <c r="QIS510" s="303"/>
      <c r="QIT510" s="356"/>
      <c r="QIU510" s="359"/>
      <c r="QIW510" s="303"/>
      <c r="QIX510" s="356"/>
      <c r="QIY510" s="359"/>
      <c r="QJA510" s="303"/>
      <c r="QJB510" s="356"/>
      <c r="QJC510" s="359"/>
      <c r="QJE510" s="303"/>
      <c r="QJF510" s="356"/>
      <c r="QJG510" s="359"/>
      <c r="QJI510" s="303"/>
      <c r="QJJ510" s="356"/>
      <c r="QJK510" s="359"/>
      <c r="QJM510" s="303"/>
      <c r="QJN510" s="356"/>
      <c r="QJO510" s="359"/>
      <c r="QJQ510" s="303"/>
      <c r="QJR510" s="356"/>
      <c r="QJS510" s="359"/>
      <c r="QJU510" s="303"/>
      <c r="QJV510" s="356"/>
      <c r="QJW510" s="359"/>
      <c r="QJY510" s="303"/>
      <c r="QJZ510" s="356"/>
      <c r="QKA510" s="359"/>
      <c r="QKC510" s="303"/>
      <c r="QKD510" s="356"/>
      <c r="QKE510" s="359"/>
      <c r="QKG510" s="303"/>
      <c r="QKH510" s="356"/>
      <c r="QKI510" s="359"/>
      <c r="QKK510" s="303"/>
      <c r="QKL510" s="356"/>
      <c r="QKM510" s="359"/>
      <c r="QKO510" s="303"/>
      <c r="QKP510" s="356"/>
      <c r="QKQ510" s="359"/>
      <c r="QKS510" s="303"/>
      <c r="QKT510" s="356"/>
      <c r="QKU510" s="359"/>
      <c r="QKW510" s="303"/>
      <c r="QKX510" s="356"/>
      <c r="QKY510" s="359"/>
      <c r="QLA510" s="303"/>
      <c r="QLB510" s="356"/>
      <c r="QLC510" s="359"/>
      <c r="QLE510" s="303"/>
      <c r="QLF510" s="356"/>
      <c r="QLG510" s="359"/>
      <c r="QLI510" s="303"/>
      <c r="QLJ510" s="356"/>
      <c r="QLK510" s="359"/>
      <c r="QLM510" s="303"/>
      <c r="QLN510" s="356"/>
      <c r="QLO510" s="359"/>
      <c r="QLQ510" s="303"/>
      <c r="QLR510" s="356"/>
      <c r="QLS510" s="359"/>
      <c r="QLU510" s="303"/>
      <c r="QLV510" s="356"/>
      <c r="QLW510" s="359"/>
      <c r="QLY510" s="303"/>
      <c r="QLZ510" s="356"/>
      <c r="QMA510" s="359"/>
      <c r="QMC510" s="303"/>
      <c r="QMD510" s="356"/>
      <c r="QME510" s="359"/>
      <c r="QMG510" s="303"/>
      <c r="QMH510" s="356"/>
      <c r="QMI510" s="359"/>
      <c r="QMK510" s="303"/>
      <c r="QML510" s="356"/>
      <c r="QMM510" s="359"/>
      <c r="QMO510" s="303"/>
      <c r="QMP510" s="356"/>
      <c r="QMQ510" s="359"/>
      <c r="QMS510" s="303"/>
      <c r="QMT510" s="356"/>
      <c r="QMU510" s="359"/>
      <c r="QMW510" s="303"/>
      <c r="QMX510" s="356"/>
      <c r="QMY510" s="359"/>
      <c r="QNA510" s="303"/>
      <c r="QNB510" s="356"/>
      <c r="QNC510" s="359"/>
      <c r="QNE510" s="303"/>
      <c r="QNF510" s="356"/>
      <c r="QNG510" s="359"/>
      <c r="QNI510" s="303"/>
      <c r="QNJ510" s="356"/>
      <c r="QNK510" s="359"/>
      <c r="QNM510" s="303"/>
      <c r="QNN510" s="356"/>
      <c r="QNO510" s="359"/>
      <c r="QNQ510" s="303"/>
      <c r="QNR510" s="356"/>
      <c r="QNS510" s="359"/>
      <c r="QNU510" s="303"/>
      <c r="QNV510" s="356"/>
      <c r="QNW510" s="359"/>
      <c r="QNY510" s="303"/>
      <c r="QNZ510" s="356"/>
      <c r="QOA510" s="359"/>
      <c r="QOC510" s="303"/>
      <c r="QOD510" s="356"/>
      <c r="QOE510" s="359"/>
      <c r="QOG510" s="303"/>
      <c r="QOH510" s="356"/>
      <c r="QOI510" s="359"/>
      <c r="QOK510" s="303"/>
      <c r="QOL510" s="356"/>
      <c r="QOM510" s="359"/>
      <c r="QOO510" s="303"/>
      <c r="QOP510" s="356"/>
      <c r="QOQ510" s="359"/>
      <c r="QOS510" s="303"/>
      <c r="QOT510" s="356"/>
      <c r="QOU510" s="359"/>
      <c r="QOW510" s="303"/>
      <c r="QOX510" s="356"/>
      <c r="QOY510" s="359"/>
      <c r="QPA510" s="303"/>
      <c r="QPB510" s="356"/>
      <c r="QPC510" s="359"/>
      <c r="QPE510" s="303"/>
      <c r="QPF510" s="356"/>
      <c r="QPG510" s="359"/>
      <c r="QPI510" s="303"/>
      <c r="QPJ510" s="356"/>
      <c r="QPK510" s="359"/>
      <c r="QPM510" s="303"/>
      <c r="QPN510" s="356"/>
      <c r="QPO510" s="359"/>
      <c r="QPQ510" s="303"/>
      <c r="QPR510" s="356"/>
      <c r="QPS510" s="359"/>
      <c r="QPU510" s="303"/>
      <c r="QPV510" s="356"/>
      <c r="QPW510" s="359"/>
      <c r="QPY510" s="303"/>
      <c r="QPZ510" s="356"/>
      <c r="QQA510" s="359"/>
      <c r="QQC510" s="303"/>
      <c r="QQD510" s="356"/>
      <c r="QQE510" s="359"/>
      <c r="QQG510" s="303"/>
      <c r="QQH510" s="356"/>
      <c r="QQI510" s="359"/>
      <c r="QQK510" s="303"/>
      <c r="QQL510" s="356"/>
      <c r="QQM510" s="359"/>
      <c r="QQO510" s="303"/>
      <c r="QQP510" s="356"/>
      <c r="QQQ510" s="359"/>
      <c r="QQS510" s="303"/>
      <c r="QQT510" s="356"/>
      <c r="QQU510" s="359"/>
      <c r="QQW510" s="303"/>
      <c r="QQX510" s="356"/>
      <c r="QQY510" s="359"/>
      <c r="QRA510" s="303"/>
      <c r="QRB510" s="356"/>
      <c r="QRC510" s="359"/>
      <c r="QRE510" s="303"/>
      <c r="QRF510" s="356"/>
      <c r="QRG510" s="359"/>
      <c r="QRI510" s="303"/>
      <c r="QRJ510" s="356"/>
      <c r="QRK510" s="359"/>
      <c r="QRM510" s="303"/>
      <c r="QRN510" s="356"/>
      <c r="QRO510" s="359"/>
      <c r="QRQ510" s="303"/>
      <c r="QRR510" s="356"/>
      <c r="QRS510" s="359"/>
      <c r="QRU510" s="303"/>
      <c r="QRV510" s="356"/>
      <c r="QRW510" s="359"/>
      <c r="QRY510" s="303"/>
      <c r="QRZ510" s="356"/>
      <c r="QSA510" s="359"/>
      <c r="QSC510" s="303"/>
      <c r="QSD510" s="356"/>
      <c r="QSE510" s="359"/>
      <c r="QSG510" s="303"/>
      <c r="QSH510" s="356"/>
      <c r="QSI510" s="359"/>
      <c r="QSK510" s="303"/>
      <c r="QSL510" s="356"/>
      <c r="QSM510" s="359"/>
      <c r="QSO510" s="303"/>
      <c r="QSP510" s="356"/>
      <c r="QSQ510" s="359"/>
      <c r="QSS510" s="303"/>
      <c r="QST510" s="356"/>
      <c r="QSU510" s="359"/>
      <c r="QSW510" s="303"/>
      <c r="QSX510" s="356"/>
      <c r="QSY510" s="359"/>
      <c r="QTA510" s="303"/>
      <c r="QTB510" s="356"/>
      <c r="QTC510" s="359"/>
      <c r="QTE510" s="303"/>
      <c r="QTF510" s="356"/>
      <c r="QTG510" s="359"/>
      <c r="QTI510" s="303"/>
      <c r="QTJ510" s="356"/>
      <c r="QTK510" s="359"/>
      <c r="QTM510" s="303"/>
      <c r="QTN510" s="356"/>
      <c r="QTO510" s="359"/>
      <c r="QTQ510" s="303"/>
      <c r="QTR510" s="356"/>
      <c r="QTS510" s="359"/>
      <c r="QTU510" s="303"/>
      <c r="QTV510" s="356"/>
      <c r="QTW510" s="359"/>
      <c r="QTY510" s="303"/>
      <c r="QTZ510" s="356"/>
      <c r="QUA510" s="359"/>
      <c r="QUC510" s="303"/>
      <c r="QUD510" s="356"/>
      <c r="QUE510" s="359"/>
      <c r="QUG510" s="303"/>
      <c r="QUH510" s="356"/>
      <c r="QUI510" s="359"/>
      <c r="QUK510" s="303"/>
      <c r="QUL510" s="356"/>
      <c r="QUM510" s="359"/>
      <c r="QUO510" s="303"/>
      <c r="QUP510" s="356"/>
      <c r="QUQ510" s="359"/>
      <c r="QUS510" s="303"/>
      <c r="QUT510" s="356"/>
      <c r="QUU510" s="359"/>
      <c r="QUW510" s="303"/>
      <c r="QUX510" s="356"/>
      <c r="QUY510" s="359"/>
      <c r="QVA510" s="303"/>
      <c r="QVB510" s="356"/>
      <c r="QVC510" s="359"/>
      <c r="QVE510" s="303"/>
      <c r="QVF510" s="356"/>
      <c r="QVG510" s="359"/>
      <c r="QVI510" s="303"/>
      <c r="QVJ510" s="356"/>
      <c r="QVK510" s="359"/>
      <c r="QVM510" s="303"/>
      <c r="QVN510" s="356"/>
      <c r="QVO510" s="359"/>
      <c r="QVQ510" s="303"/>
      <c r="QVR510" s="356"/>
      <c r="QVS510" s="359"/>
      <c r="QVU510" s="303"/>
      <c r="QVV510" s="356"/>
      <c r="QVW510" s="359"/>
      <c r="QVY510" s="303"/>
      <c r="QVZ510" s="356"/>
      <c r="QWA510" s="359"/>
      <c r="QWC510" s="303"/>
      <c r="QWD510" s="356"/>
      <c r="QWE510" s="359"/>
      <c r="QWG510" s="303"/>
      <c r="QWH510" s="356"/>
      <c r="QWI510" s="359"/>
      <c r="QWK510" s="303"/>
      <c r="QWL510" s="356"/>
      <c r="QWM510" s="359"/>
      <c r="QWO510" s="303"/>
      <c r="QWP510" s="356"/>
      <c r="QWQ510" s="359"/>
      <c r="QWS510" s="303"/>
      <c r="QWT510" s="356"/>
      <c r="QWU510" s="359"/>
      <c r="QWW510" s="303"/>
      <c r="QWX510" s="356"/>
      <c r="QWY510" s="359"/>
      <c r="QXA510" s="303"/>
      <c r="QXB510" s="356"/>
      <c r="QXC510" s="359"/>
      <c r="QXE510" s="303"/>
      <c r="QXF510" s="356"/>
      <c r="QXG510" s="359"/>
      <c r="QXI510" s="303"/>
      <c r="QXJ510" s="356"/>
      <c r="QXK510" s="359"/>
      <c r="QXM510" s="303"/>
      <c r="QXN510" s="356"/>
      <c r="QXO510" s="359"/>
      <c r="QXQ510" s="303"/>
      <c r="QXR510" s="356"/>
      <c r="QXS510" s="359"/>
      <c r="QXU510" s="303"/>
      <c r="QXV510" s="356"/>
      <c r="QXW510" s="359"/>
      <c r="QXY510" s="303"/>
      <c r="QXZ510" s="356"/>
      <c r="QYA510" s="359"/>
      <c r="QYC510" s="303"/>
      <c r="QYD510" s="356"/>
      <c r="QYE510" s="359"/>
      <c r="QYG510" s="303"/>
      <c r="QYH510" s="356"/>
      <c r="QYI510" s="359"/>
      <c r="QYK510" s="303"/>
      <c r="QYL510" s="356"/>
      <c r="QYM510" s="359"/>
      <c r="QYO510" s="303"/>
      <c r="QYP510" s="356"/>
      <c r="QYQ510" s="359"/>
      <c r="QYS510" s="303"/>
      <c r="QYT510" s="356"/>
      <c r="QYU510" s="359"/>
      <c r="QYW510" s="303"/>
      <c r="QYX510" s="356"/>
      <c r="QYY510" s="359"/>
      <c r="QZA510" s="303"/>
      <c r="QZB510" s="356"/>
      <c r="QZC510" s="359"/>
      <c r="QZE510" s="303"/>
      <c r="QZF510" s="356"/>
      <c r="QZG510" s="359"/>
      <c r="QZI510" s="303"/>
      <c r="QZJ510" s="356"/>
      <c r="QZK510" s="359"/>
      <c r="QZM510" s="303"/>
      <c r="QZN510" s="356"/>
      <c r="QZO510" s="359"/>
      <c r="QZQ510" s="303"/>
      <c r="QZR510" s="356"/>
      <c r="QZS510" s="359"/>
      <c r="QZU510" s="303"/>
      <c r="QZV510" s="356"/>
      <c r="QZW510" s="359"/>
      <c r="QZY510" s="303"/>
      <c r="QZZ510" s="356"/>
      <c r="RAA510" s="359"/>
      <c r="RAC510" s="303"/>
      <c r="RAD510" s="356"/>
      <c r="RAE510" s="359"/>
      <c r="RAG510" s="303"/>
      <c r="RAH510" s="356"/>
      <c r="RAI510" s="359"/>
      <c r="RAK510" s="303"/>
      <c r="RAL510" s="356"/>
      <c r="RAM510" s="359"/>
      <c r="RAO510" s="303"/>
      <c r="RAP510" s="356"/>
      <c r="RAQ510" s="359"/>
      <c r="RAS510" s="303"/>
      <c r="RAT510" s="356"/>
      <c r="RAU510" s="359"/>
      <c r="RAW510" s="303"/>
      <c r="RAX510" s="356"/>
      <c r="RAY510" s="359"/>
      <c r="RBA510" s="303"/>
      <c r="RBB510" s="356"/>
      <c r="RBC510" s="359"/>
      <c r="RBE510" s="303"/>
      <c r="RBF510" s="356"/>
      <c r="RBG510" s="359"/>
      <c r="RBI510" s="303"/>
      <c r="RBJ510" s="356"/>
      <c r="RBK510" s="359"/>
      <c r="RBM510" s="303"/>
      <c r="RBN510" s="356"/>
      <c r="RBO510" s="359"/>
      <c r="RBQ510" s="303"/>
      <c r="RBR510" s="356"/>
      <c r="RBS510" s="359"/>
      <c r="RBU510" s="303"/>
      <c r="RBV510" s="356"/>
      <c r="RBW510" s="359"/>
      <c r="RBY510" s="303"/>
      <c r="RBZ510" s="356"/>
      <c r="RCA510" s="359"/>
      <c r="RCC510" s="303"/>
      <c r="RCD510" s="356"/>
      <c r="RCE510" s="359"/>
      <c r="RCG510" s="303"/>
      <c r="RCH510" s="356"/>
      <c r="RCI510" s="359"/>
      <c r="RCK510" s="303"/>
      <c r="RCL510" s="356"/>
      <c r="RCM510" s="359"/>
      <c r="RCO510" s="303"/>
      <c r="RCP510" s="356"/>
      <c r="RCQ510" s="359"/>
      <c r="RCS510" s="303"/>
      <c r="RCT510" s="356"/>
      <c r="RCU510" s="359"/>
      <c r="RCW510" s="303"/>
      <c r="RCX510" s="356"/>
      <c r="RCY510" s="359"/>
      <c r="RDA510" s="303"/>
      <c r="RDB510" s="356"/>
      <c r="RDC510" s="359"/>
      <c r="RDE510" s="303"/>
      <c r="RDF510" s="356"/>
      <c r="RDG510" s="359"/>
      <c r="RDI510" s="303"/>
      <c r="RDJ510" s="356"/>
      <c r="RDK510" s="359"/>
      <c r="RDM510" s="303"/>
      <c r="RDN510" s="356"/>
      <c r="RDO510" s="359"/>
      <c r="RDQ510" s="303"/>
      <c r="RDR510" s="356"/>
      <c r="RDS510" s="359"/>
      <c r="RDU510" s="303"/>
      <c r="RDV510" s="356"/>
      <c r="RDW510" s="359"/>
      <c r="RDY510" s="303"/>
      <c r="RDZ510" s="356"/>
      <c r="REA510" s="359"/>
      <c r="REC510" s="303"/>
      <c r="RED510" s="356"/>
      <c r="REE510" s="359"/>
      <c r="REG510" s="303"/>
      <c r="REH510" s="356"/>
      <c r="REI510" s="359"/>
      <c r="REK510" s="303"/>
      <c r="REL510" s="356"/>
      <c r="REM510" s="359"/>
      <c r="REO510" s="303"/>
      <c r="REP510" s="356"/>
      <c r="REQ510" s="359"/>
      <c r="RES510" s="303"/>
      <c r="RET510" s="356"/>
      <c r="REU510" s="359"/>
      <c r="REW510" s="303"/>
      <c r="REX510" s="356"/>
      <c r="REY510" s="359"/>
      <c r="RFA510" s="303"/>
      <c r="RFB510" s="356"/>
      <c r="RFC510" s="359"/>
      <c r="RFE510" s="303"/>
      <c r="RFF510" s="356"/>
      <c r="RFG510" s="359"/>
      <c r="RFI510" s="303"/>
      <c r="RFJ510" s="356"/>
      <c r="RFK510" s="359"/>
      <c r="RFM510" s="303"/>
      <c r="RFN510" s="356"/>
      <c r="RFO510" s="359"/>
      <c r="RFQ510" s="303"/>
      <c r="RFR510" s="356"/>
      <c r="RFS510" s="359"/>
      <c r="RFU510" s="303"/>
      <c r="RFV510" s="356"/>
      <c r="RFW510" s="359"/>
      <c r="RFY510" s="303"/>
      <c r="RFZ510" s="356"/>
      <c r="RGA510" s="359"/>
      <c r="RGC510" s="303"/>
      <c r="RGD510" s="356"/>
      <c r="RGE510" s="359"/>
      <c r="RGG510" s="303"/>
      <c r="RGH510" s="356"/>
      <c r="RGI510" s="359"/>
      <c r="RGK510" s="303"/>
      <c r="RGL510" s="356"/>
      <c r="RGM510" s="359"/>
      <c r="RGO510" s="303"/>
      <c r="RGP510" s="356"/>
      <c r="RGQ510" s="359"/>
      <c r="RGS510" s="303"/>
      <c r="RGT510" s="356"/>
      <c r="RGU510" s="359"/>
      <c r="RGW510" s="303"/>
      <c r="RGX510" s="356"/>
      <c r="RGY510" s="359"/>
      <c r="RHA510" s="303"/>
      <c r="RHB510" s="356"/>
      <c r="RHC510" s="359"/>
      <c r="RHE510" s="303"/>
      <c r="RHF510" s="356"/>
      <c r="RHG510" s="359"/>
      <c r="RHI510" s="303"/>
      <c r="RHJ510" s="356"/>
      <c r="RHK510" s="359"/>
      <c r="RHM510" s="303"/>
      <c r="RHN510" s="356"/>
      <c r="RHO510" s="359"/>
      <c r="RHQ510" s="303"/>
      <c r="RHR510" s="356"/>
      <c r="RHS510" s="359"/>
      <c r="RHU510" s="303"/>
      <c r="RHV510" s="356"/>
      <c r="RHW510" s="359"/>
      <c r="RHY510" s="303"/>
      <c r="RHZ510" s="356"/>
      <c r="RIA510" s="359"/>
      <c r="RIC510" s="303"/>
      <c r="RID510" s="356"/>
      <c r="RIE510" s="359"/>
      <c r="RIG510" s="303"/>
      <c r="RIH510" s="356"/>
      <c r="RII510" s="359"/>
      <c r="RIK510" s="303"/>
      <c r="RIL510" s="356"/>
      <c r="RIM510" s="359"/>
      <c r="RIO510" s="303"/>
      <c r="RIP510" s="356"/>
      <c r="RIQ510" s="359"/>
      <c r="RIS510" s="303"/>
      <c r="RIT510" s="356"/>
      <c r="RIU510" s="359"/>
      <c r="RIW510" s="303"/>
      <c r="RIX510" s="356"/>
      <c r="RIY510" s="359"/>
      <c r="RJA510" s="303"/>
      <c r="RJB510" s="356"/>
      <c r="RJC510" s="359"/>
      <c r="RJE510" s="303"/>
      <c r="RJF510" s="356"/>
      <c r="RJG510" s="359"/>
      <c r="RJI510" s="303"/>
      <c r="RJJ510" s="356"/>
      <c r="RJK510" s="359"/>
      <c r="RJM510" s="303"/>
      <c r="RJN510" s="356"/>
      <c r="RJO510" s="359"/>
      <c r="RJQ510" s="303"/>
      <c r="RJR510" s="356"/>
      <c r="RJS510" s="359"/>
      <c r="RJU510" s="303"/>
      <c r="RJV510" s="356"/>
      <c r="RJW510" s="359"/>
      <c r="RJY510" s="303"/>
      <c r="RJZ510" s="356"/>
      <c r="RKA510" s="359"/>
      <c r="RKC510" s="303"/>
      <c r="RKD510" s="356"/>
      <c r="RKE510" s="359"/>
      <c r="RKG510" s="303"/>
      <c r="RKH510" s="356"/>
      <c r="RKI510" s="359"/>
      <c r="RKK510" s="303"/>
      <c r="RKL510" s="356"/>
      <c r="RKM510" s="359"/>
      <c r="RKO510" s="303"/>
      <c r="RKP510" s="356"/>
      <c r="RKQ510" s="359"/>
      <c r="RKS510" s="303"/>
      <c r="RKT510" s="356"/>
      <c r="RKU510" s="359"/>
      <c r="RKW510" s="303"/>
      <c r="RKX510" s="356"/>
      <c r="RKY510" s="359"/>
      <c r="RLA510" s="303"/>
      <c r="RLB510" s="356"/>
      <c r="RLC510" s="359"/>
      <c r="RLE510" s="303"/>
      <c r="RLF510" s="356"/>
      <c r="RLG510" s="359"/>
      <c r="RLI510" s="303"/>
      <c r="RLJ510" s="356"/>
      <c r="RLK510" s="359"/>
      <c r="RLM510" s="303"/>
      <c r="RLN510" s="356"/>
      <c r="RLO510" s="359"/>
      <c r="RLQ510" s="303"/>
      <c r="RLR510" s="356"/>
      <c r="RLS510" s="359"/>
      <c r="RLU510" s="303"/>
      <c r="RLV510" s="356"/>
      <c r="RLW510" s="359"/>
      <c r="RLY510" s="303"/>
      <c r="RLZ510" s="356"/>
      <c r="RMA510" s="359"/>
      <c r="RMC510" s="303"/>
      <c r="RMD510" s="356"/>
      <c r="RME510" s="359"/>
      <c r="RMG510" s="303"/>
      <c r="RMH510" s="356"/>
      <c r="RMI510" s="359"/>
      <c r="RMK510" s="303"/>
      <c r="RML510" s="356"/>
      <c r="RMM510" s="359"/>
      <c r="RMO510" s="303"/>
      <c r="RMP510" s="356"/>
      <c r="RMQ510" s="359"/>
      <c r="RMS510" s="303"/>
      <c r="RMT510" s="356"/>
      <c r="RMU510" s="359"/>
      <c r="RMW510" s="303"/>
      <c r="RMX510" s="356"/>
      <c r="RMY510" s="359"/>
      <c r="RNA510" s="303"/>
      <c r="RNB510" s="356"/>
      <c r="RNC510" s="359"/>
      <c r="RNE510" s="303"/>
      <c r="RNF510" s="356"/>
      <c r="RNG510" s="359"/>
      <c r="RNI510" s="303"/>
      <c r="RNJ510" s="356"/>
      <c r="RNK510" s="359"/>
      <c r="RNM510" s="303"/>
      <c r="RNN510" s="356"/>
      <c r="RNO510" s="359"/>
      <c r="RNQ510" s="303"/>
      <c r="RNR510" s="356"/>
      <c r="RNS510" s="359"/>
      <c r="RNU510" s="303"/>
      <c r="RNV510" s="356"/>
      <c r="RNW510" s="359"/>
      <c r="RNY510" s="303"/>
      <c r="RNZ510" s="356"/>
      <c r="ROA510" s="359"/>
      <c r="ROC510" s="303"/>
      <c r="ROD510" s="356"/>
      <c r="ROE510" s="359"/>
      <c r="ROG510" s="303"/>
      <c r="ROH510" s="356"/>
      <c r="ROI510" s="359"/>
      <c r="ROK510" s="303"/>
      <c r="ROL510" s="356"/>
      <c r="ROM510" s="359"/>
      <c r="ROO510" s="303"/>
      <c r="ROP510" s="356"/>
      <c r="ROQ510" s="359"/>
      <c r="ROS510" s="303"/>
      <c r="ROT510" s="356"/>
      <c r="ROU510" s="359"/>
      <c r="ROW510" s="303"/>
      <c r="ROX510" s="356"/>
      <c r="ROY510" s="359"/>
      <c r="RPA510" s="303"/>
      <c r="RPB510" s="356"/>
      <c r="RPC510" s="359"/>
      <c r="RPE510" s="303"/>
      <c r="RPF510" s="356"/>
      <c r="RPG510" s="359"/>
      <c r="RPI510" s="303"/>
      <c r="RPJ510" s="356"/>
      <c r="RPK510" s="359"/>
      <c r="RPM510" s="303"/>
      <c r="RPN510" s="356"/>
      <c r="RPO510" s="359"/>
      <c r="RPQ510" s="303"/>
      <c r="RPR510" s="356"/>
      <c r="RPS510" s="359"/>
      <c r="RPU510" s="303"/>
      <c r="RPV510" s="356"/>
      <c r="RPW510" s="359"/>
      <c r="RPY510" s="303"/>
      <c r="RPZ510" s="356"/>
      <c r="RQA510" s="359"/>
      <c r="RQC510" s="303"/>
      <c r="RQD510" s="356"/>
      <c r="RQE510" s="359"/>
      <c r="RQG510" s="303"/>
      <c r="RQH510" s="356"/>
      <c r="RQI510" s="359"/>
      <c r="RQK510" s="303"/>
      <c r="RQL510" s="356"/>
      <c r="RQM510" s="359"/>
      <c r="RQO510" s="303"/>
      <c r="RQP510" s="356"/>
      <c r="RQQ510" s="359"/>
      <c r="RQS510" s="303"/>
      <c r="RQT510" s="356"/>
      <c r="RQU510" s="359"/>
      <c r="RQW510" s="303"/>
      <c r="RQX510" s="356"/>
      <c r="RQY510" s="359"/>
      <c r="RRA510" s="303"/>
      <c r="RRB510" s="356"/>
      <c r="RRC510" s="359"/>
      <c r="RRE510" s="303"/>
      <c r="RRF510" s="356"/>
      <c r="RRG510" s="359"/>
      <c r="RRI510" s="303"/>
      <c r="RRJ510" s="356"/>
      <c r="RRK510" s="359"/>
      <c r="RRM510" s="303"/>
      <c r="RRN510" s="356"/>
      <c r="RRO510" s="359"/>
      <c r="RRQ510" s="303"/>
      <c r="RRR510" s="356"/>
      <c r="RRS510" s="359"/>
      <c r="RRU510" s="303"/>
      <c r="RRV510" s="356"/>
      <c r="RRW510" s="359"/>
      <c r="RRY510" s="303"/>
      <c r="RRZ510" s="356"/>
      <c r="RSA510" s="359"/>
      <c r="RSC510" s="303"/>
      <c r="RSD510" s="356"/>
      <c r="RSE510" s="359"/>
      <c r="RSG510" s="303"/>
      <c r="RSH510" s="356"/>
      <c r="RSI510" s="359"/>
      <c r="RSK510" s="303"/>
      <c r="RSL510" s="356"/>
      <c r="RSM510" s="359"/>
      <c r="RSO510" s="303"/>
      <c r="RSP510" s="356"/>
      <c r="RSQ510" s="359"/>
      <c r="RSS510" s="303"/>
      <c r="RST510" s="356"/>
      <c r="RSU510" s="359"/>
      <c r="RSW510" s="303"/>
      <c r="RSX510" s="356"/>
      <c r="RSY510" s="359"/>
      <c r="RTA510" s="303"/>
      <c r="RTB510" s="356"/>
      <c r="RTC510" s="359"/>
      <c r="RTE510" s="303"/>
      <c r="RTF510" s="356"/>
      <c r="RTG510" s="359"/>
      <c r="RTI510" s="303"/>
      <c r="RTJ510" s="356"/>
      <c r="RTK510" s="359"/>
      <c r="RTM510" s="303"/>
      <c r="RTN510" s="356"/>
      <c r="RTO510" s="359"/>
      <c r="RTQ510" s="303"/>
      <c r="RTR510" s="356"/>
      <c r="RTS510" s="359"/>
      <c r="RTU510" s="303"/>
      <c r="RTV510" s="356"/>
      <c r="RTW510" s="359"/>
      <c r="RTY510" s="303"/>
      <c r="RTZ510" s="356"/>
      <c r="RUA510" s="359"/>
      <c r="RUC510" s="303"/>
      <c r="RUD510" s="356"/>
      <c r="RUE510" s="359"/>
      <c r="RUG510" s="303"/>
      <c r="RUH510" s="356"/>
      <c r="RUI510" s="359"/>
      <c r="RUK510" s="303"/>
      <c r="RUL510" s="356"/>
      <c r="RUM510" s="359"/>
      <c r="RUO510" s="303"/>
      <c r="RUP510" s="356"/>
      <c r="RUQ510" s="359"/>
      <c r="RUS510" s="303"/>
      <c r="RUT510" s="356"/>
      <c r="RUU510" s="359"/>
      <c r="RUW510" s="303"/>
      <c r="RUX510" s="356"/>
      <c r="RUY510" s="359"/>
      <c r="RVA510" s="303"/>
      <c r="RVB510" s="356"/>
      <c r="RVC510" s="359"/>
      <c r="RVE510" s="303"/>
      <c r="RVF510" s="356"/>
      <c r="RVG510" s="359"/>
      <c r="RVI510" s="303"/>
      <c r="RVJ510" s="356"/>
      <c r="RVK510" s="359"/>
      <c r="RVM510" s="303"/>
      <c r="RVN510" s="356"/>
      <c r="RVO510" s="359"/>
      <c r="RVQ510" s="303"/>
      <c r="RVR510" s="356"/>
      <c r="RVS510" s="359"/>
      <c r="RVU510" s="303"/>
      <c r="RVV510" s="356"/>
      <c r="RVW510" s="359"/>
      <c r="RVY510" s="303"/>
      <c r="RVZ510" s="356"/>
      <c r="RWA510" s="359"/>
      <c r="RWC510" s="303"/>
      <c r="RWD510" s="356"/>
      <c r="RWE510" s="359"/>
      <c r="RWG510" s="303"/>
      <c r="RWH510" s="356"/>
      <c r="RWI510" s="359"/>
      <c r="RWK510" s="303"/>
      <c r="RWL510" s="356"/>
      <c r="RWM510" s="359"/>
      <c r="RWO510" s="303"/>
      <c r="RWP510" s="356"/>
      <c r="RWQ510" s="359"/>
      <c r="RWS510" s="303"/>
      <c r="RWT510" s="356"/>
      <c r="RWU510" s="359"/>
      <c r="RWW510" s="303"/>
      <c r="RWX510" s="356"/>
      <c r="RWY510" s="359"/>
      <c r="RXA510" s="303"/>
      <c r="RXB510" s="356"/>
      <c r="RXC510" s="359"/>
      <c r="RXE510" s="303"/>
      <c r="RXF510" s="356"/>
      <c r="RXG510" s="359"/>
      <c r="RXI510" s="303"/>
      <c r="RXJ510" s="356"/>
      <c r="RXK510" s="359"/>
      <c r="RXM510" s="303"/>
      <c r="RXN510" s="356"/>
      <c r="RXO510" s="359"/>
      <c r="RXQ510" s="303"/>
      <c r="RXR510" s="356"/>
      <c r="RXS510" s="359"/>
      <c r="RXU510" s="303"/>
      <c r="RXV510" s="356"/>
      <c r="RXW510" s="359"/>
      <c r="RXY510" s="303"/>
      <c r="RXZ510" s="356"/>
      <c r="RYA510" s="359"/>
      <c r="RYC510" s="303"/>
      <c r="RYD510" s="356"/>
      <c r="RYE510" s="359"/>
      <c r="RYG510" s="303"/>
      <c r="RYH510" s="356"/>
      <c r="RYI510" s="359"/>
      <c r="RYK510" s="303"/>
      <c r="RYL510" s="356"/>
      <c r="RYM510" s="359"/>
      <c r="RYO510" s="303"/>
      <c r="RYP510" s="356"/>
      <c r="RYQ510" s="359"/>
      <c r="RYS510" s="303"/>
      <c r="RYT510" s="356"/>
      <c r="RYU510" s="359"/>
      <c r="RYW510" s="303"/>
      <c r="RYX510" s="356"/>
      <c r="RYY510" s="359"/>
      <c r="RZA510" s="303"/>
      <c r="RZB510" s="356"/>
      <c r="RZC510" s="359"/>
      <c r="RZE510" s="303"/>
      <c r="RZF510" s="356"/>
      <c r="RZG510" s="359"/>
      <c r="RZI510" s="303"/>
      <c r="RZJ510" s="356"/>
      <c r="RZK510" s="359"/>
      <c r="RZM510" s="303"/>
      <c r="RZN510" s="356"/>
      <c r="RZO510" s="359"/>
      <c r="RZQ510" s="303"/>
      <c r="RZR510" s="356"/>
      <c r="RZS510" s="359"/>
      <c r="RZU510" s="303"/>
      <c r="RZV510" s="356"/>
      <c r="RZW510" s="359"/>
      <c r="RZY510" s="303"/>
      <c r="RZZ510" s="356"/>
      <c r="SAA510" s="359"/>
      <c r="SAC510" s="303"/>
      <c r="SAD510" s="356"/>
      <c r="SAE510" s="359"/>
      <c r="SAG510" s="303"/>
      <c r="SAH510" s="356"/>
      <c r="SAI510" s="359"/>
      <c r="SAK510" s="303"/>
      <c r="SAL510" s="356"/>
      <c r="SAM510" s="359"/>
      <c r="SAO510" s="303"/>
      <c r="SAP510" s="356"/>
      <c r="SAQ510" s="359"/>
      <c r="SAS510" s="303"/>
      <c r="SAT510" s="356"/>
      <c r="SAU510" s="359"/>
      <c r="SAW510" s="303"/>
      <c r="SAX510" s="356"/>
      <c r="SAY510" s="359"/>
      <c r="SBA510" s="303"/>
      <c r="SBB510" s="356"/>
      <c r="SBC510" s="359"/>
      <c r="SBE510" s="303"/>
      <c r="SBF510" s="356"/>
      <c r="SBG510" s="359"/>
      <c r="SBI510" s="303"/>
      <c r="SBJ510" s="356"/>
      <c r="SBK510" s="359"/>
      <c r="SBM510" s="303"/>
      <c r="SBN510" s="356"/>
      <c r="SBO510" s="359"/>
      <c r="SBQ510" s="303"/>
      <c r="SBR510" s="356"/>
      <c r="SBS510" s="359"/>
      <c r="SBU510" s="303"/>
      <c r="SBV510" s="356"/>
      <c r="SBW510" s="359"/>
      <c r="SBY510" s="303"/>
      <c r="SBZ510" s="356"/>
      <c r="SCA510" s="359"/>
      <c r="SCC510" s="303"/>
      <c r="SCD510" s="356"/>
      <c r="SCE510" s="359"/>
      <c r="SCG510" s="303"/>
      <c r="SCH510" s="356"/>
      <c r="SCI510" s="359"/>
      <c r="SCK510" s="303"/>
      <c r="SCL510" s="356"/>
      <c r="SCM510" s="359"/>
      <c r="SCO510" s="303"/>
      <c r="SCP510" s="356"/>
      <c r="SCQ510" s="359"/>
      <c r="SCS510" s="303"/>
      <c r="SCT510" s="356"/>
      <c r="SCU510" s="359"/>
      <c r="SCW510" s="303"/>
      <c r="SCX510" s="356"/>
      <c r="SCY510" s="359"/>
      <c r="SDA510" s="303"/>
      <c r="SDB510" s="356"/>
      <c r="SDC510" s="359"/>
      <c r="SDE510" s="303"/>
      <c r="SDF510" s="356"/>
      <c r="SDG510" s="359"/>
      <c r="SDI510" s="303"/>
      <c r="SDJ510" s="356"/>
      <c r="SDK510" s="359"/>
      <c r="SDM510" s="303"/>
      <c r="SDN510" s="356"/>
      <c r="SDO510" s="359"/>
      <c r="SDQ510" s="303"/>
      <c r="SDR510" s="356"/>
      <c r="SDS510" s="359"/>
      <c r="SDU510" s="303"/>
      <c r="SDV510" s="356"/>
      <c r="SDW510" s="359"/>
      <c r="SDY510" s="303"/>
      <c r="SDZ510" s="356"/>
      <c r="SEA510" s="359"/>
      <c r="SEC510" s="303"/>
      <c r="SED510" s="356"/>
      <c r="SEE510" s="359"/>
      <c r="SEG510" s="303"/>
      <c r="SEH510" s="356"/>
      <c r="SEI510" s="359"/>
      <c r="SEK510" s="303"/>
      <c r="SEL510" s="356"/>
      <c r="SEM510" s="359"/>
      <c r="SEO510" s="303"/>
      <c r="SEP510" s="356"/>
      <c r="SEQ510" s="359"/>
      <c r="SES510" s="303"/>
      <c r="SET510" s="356"/>
      <c r="SEU510" s="359"/>
      <c r="SEW510" s="303"/>
      <c r="SEX510" s="356"/>
      <c r="SEY510" s="359"/>
      <c r="SFA510" s="303"/>
      <c r="SFB510" s="356"/>
      <c r="SFC510" s="359"/>
      <c r="SFE510" s="303"/>
      <c r="SFF510" s="356"/>
      <c r="SFG510" s="359"/>
      <c r="SFI510" s="303"/>
      <c r="SFJ510" s="356"/>
      <c r="SFK510" s="359"/>
      <c r="SFM510" s="303"/>
      <c r="SFN510" s="356"/>
      <c r="SFO510" s="359"/>
      <c r="SFQ510" s="303"/>
      <c r="SFR510" s="356"/>
      <c r="SFS510" s="359"/>
      <c r="SFU510" s="303"/>
      <c r="SFV510" s="356"/>
      <c r="SFW510" s="359"/>
      <c r="SFY510" s="303"/>
      <c r="SFZ510" s="356"/>
      <c r="SGA510" s="359"/>
      <c r="SGC510" s="303"/>
      <c r="SGD510" s="356"/>
      <c r="SGE510" s="359"/>
      <c r="SGG510" s="303"/>
      <c r="SGH510" s="356"/>
      <c r="SGI510" s="359"/>
      <c r="SGK510" s="303"/>
      <c r="SGL510" s="356"/>
      <c r="SGM510" s="359"/>
      <c r="SGO510" s="303"/>
      <c r="SGP510" s="356"/>
      <c r="SGQ510" s="359"/>
      <c r="SGS510" s="303"/>
      <c r="SGT510" s="356"/>
      <c r="SGU510" s="359"/>
      <c r="SGW510" s="303"/>
      <c r="SGX510" s="356"/>
      <c r="SGY510" s="359"/>
      <c r="SHA510" s="303"/>
      <c r="SHB510" s="356"/>
      <c r="SHC510" s="359"/>
      <c r="SHE510" s="303"/>
      <c r="SHF510" s="356"/>
      <c r="SHG510" s="359"/>
      <c r="SHI510" s="303"/>
      <c r="SHJ510" s="356"/>
      <c r="SHK510" s="359"/>
      <c r="SHM510" s="303"/>
      <c r="SHN510" s="356"/>
      <c r="SHO510" s="359"/>
      <c r="SHQ510" s="303"/>
      <c r="SHR510" s="356"/>
      <c r="SHS510" s="359"/>
      <c r="SHU510" s="303"/>
      <c r="SHV510" s="356"/>
      <c r="SHW510" s="359"/>
      <c r="SHY510" s="303"/>
      <c r="SHZ510" s="356"/>
      <c r="SIA510" s="359"/>
      <c r="SIC510" s="303"/>
      <c r="SID510" s="356"/>
      <c r="SIE510" s="359"/>
      <c r="SIG510" s="303"/>
      <c r="SIH510" s="356"/>
      <c r="SII510" s="359"/>
      <c r="SIK510" s="303"/>
      <c r="SIL510" s="356"/>
      <c r="SIM510" s="359"/>
      <c r="SIO510" s="303"/>
      <c r="SIP510" s="356"/>
      <c r="SIQ510" s="359"/>
      <c r="SIS510" s="303"/>
      <c r="SIT510" s="356"/>
      <c r="SIU510" s="359"/>
      <c r="SIW510" s="303"/>
      <c r="SIX510" s="356"/>
      <c r="SIY510" s="359"/>
      <c r="SJA510" s="303"/>
      <c r="SJB510" s="356"/>
      <c r="SJC510" s="359"/>
      <c r="SJE510" s="303"/>
      <c r="SJF510" s="356"/>
      <c r="SJG510" s="359"/>
      <c r="SJI510" s="303"/>
      <c r="SJJ510" s="356"/>
      <c r="SJK510" s="359"/>
      <c r="SJM510" s="303"/>
      <c r="SJN510" s="356"/>
      <c r="SJO510" s="359"/>
      <c r="SJQ510" s="303"/>
      <c r="SJR510" s="356"/>
      <c r="SJS510" s="359"/>
      <c r="SJU510" s="303"/>
      <c r="SJV510" s="356"/>
      <c r="SJW510" s="359"/>
      <c r="SJY510" s="303"/>
      <c r="SJZ510" s="356"/>
      <c r="SKA510" s="359"/>
      <c r="SKC510" s="303"/>
      <c r="SKD510" s="356"/>
      <c r="SKE510" s="359"/>
      <c r="SKG510" s="303"/>
      <c r="SKH510" s="356"/>
      <c r="SKI510" s="359"/>
      <c r="SKK510" s="303"/>
      <c r="SKL510" s="356"/>
      <c r="SKM510" s="359"/>
      <c r="SKO510" s="303"/>
      <c r="SKP510" s="356"/>
      <c r="SKQ510" s="359"/>
      <c r="SKS510" s="303"/>
      <c r="SKT510" s="356"/>
      <c r="SKU510" s="359"/>
      <c r="SKW510" s="303"/>
      <c r="SKX510" s="356"/>
      <c r="SKY510" s="359"/>
      <c r="SLA510" s="303"/>
      <c r="SLB510" s="356"/>
      <c r="SLC510" s="359"/>
      <c r="SLE510" s="303"/>
      <c r="SLF510" s="356"/>
      <c r="SLG510" s="359"/>
      <c r="SLI510" s="303"/>
      <c r="SLJ510" s="356"/>
      <c r="SLK510" s="359"/>
      <c r="SLM510" s="303"/>
      <c r="SLN510" s="356"/>
      <c r="SLO510" s="359"/>
      <c r="SLQ510" s="303"/>
      <c r="SLR510" s="356"/>
      <c r="SLS510" s="359"/>
      <c r="SLU510" s="303"/>
      <c r="SLV510" s="356"/>
      <c r="SLW510" s="359"/>
      <c r="SLY510" s="303"/>
      <c r="SLZ510" s="356"/>
      <c r="SMA510" s="359"/>
      <c r="SMC510" s="303"/>
      <c r="SMD510" s="356"/>
      <c r="SME510" s="359"/>
      <c r="SMG510" s="303"/>
      <c r="SMH510" s="356"/>
      <c r="SMI510" s="359"/>
      <c r="SMK510" s="303"/>
      <c r="SML510" s="356"/>
      <c r="SMM510" s="359"/>
      <c r="SMO510" s="303"/>
      <c r="SMP510" s="356"/>
      <c r="SMQ510" s="359"/>
      <c r="SMS510" s="303"/>
      <c r="SMT510" s="356"/>
      <c r="SMU510" s="359"/>
      <c r="SMW510" s="303"/>
      <c r="SMX510" s="356"/>
      <c r="SMY510" s="359"/>
      <c r="SNA510" s="303"/>
      <c r="SNB510" s="356"/>
      <c r="SNC510" s="359"/>
      <c r="SNE510" s="303"/>
      <c r="SNF510" s="356"/>
      <c r="SNG510" s="359"/>
      <c r="SNI510" s="303"/>
      <c r="SNJ510" s="356"/>
      <c r="SNK510" s="359"/>
      <c r="SNM510" s="303"/>
      <c r="SNN510" s="356"/>
      <c r="SNO510" s="359"/>
      <c r="SNQ510" s="303"/>
      <c r="SNR510" s="356"/>
      <c r="SNS510" s="359"/>
      <c r="SNU510" s="303"/>
      <c r="SNV510" s="356"/>
      <c r="SNW510" s="359"/>
      <c r="SNY510" s="303"/>
      <c r="SNZ510" s="356"/>
      <c r="SOA510" s="359"/>
      <c r="SOC510" s="303"/>
      <c r="SOD510" s="356"/>
      <c r="SOE510" s="359"/>
      <c r="SOG510" s="303"/>
      <c r="SOH510" s="356"/>
      <c r="SOI510" s="359"/>
      <c r="SOK510" s="303"/>
      <c r="SOL510" s="356"/>
      <c r="SOM510" s="359"/>
      <c r="SOO510" s="303"/>
      <c r="SOP510" s="356"/>
      <c r="SOQ510" s="359"/>
      <c r="SOS510" s="303"/>
      <c r="SOT510" s="356"/>
      <c r="SOU510" s="359"/>
      <c r="SOW510" s="303"/>
      <c r="SOX510" s="356"/>
      <c r="SOY510" s="359"/>
      <c r="SPA510" s="303"/>
      <c r="SPB510" s="356"/>
      <c r="SPC510" s="359"/>
      <c r="SPE510" s="303"/>
      <c r="SPF510" s="356"/>
      <c r="SPG510" s="359"/>
      <c r="SPI510" s="303"/>
      <c r="SPJ510" s="356"/>
      <c r="SPK510" s="359"/>
      <c r="SPM510" s="303"/>
      <c r="SPN510" s="356"/>
      <c r="SPO510" s="359"/>
      <c r="SPQ510" s="303"/>
      <c r="SPR510" s="356"/>
      <c r="SPS510" s="359"/>
      <c r="SPU510" s="303"/>
      <c r="SPV510" s="356"/>
      <c r="SPW510" s="359"/>
      <c r="SPY510" s="303"/>
      <c r="SPZ510" s="356"/>
      <c r="SQA510" s="359"/>
      <c r="SQC510" s="303"/>
      <c r="SQD510" s="356"/>
      <c r="SQE510" s="359"/>
      <c r="SQG510" s="303"/>
      <c r="SQH510" s="356"/>
      <c r="SQI510" s="359"/>
      <c r="SQK510" s="303"/>
      <c r="SQL510" s="356"/>
      <c r="SQM510" s="359"/>
      <c r="SQO510" s="303"/>
      <c r="SQP510" s="356"/>
      <c r="SQQ510" s="359"/>
      <c r="SQS510" s="303"/>
      <c r="SQT510" s="356"/>
      <c r="SQU510" s="359"/>
      <c r="SQW510" s="303"/>
      <c r="SQX510" s="356"/>
      <c r="SQY510" s="359"/>
      <c r="SRA510" s="303"/>
      <c r="SRB510" s="356"/>
      <c r="SRC510" s="359"/>
      <c r="SRE510" s="303"/>
      <c r="SRF510" s="356"/>
      <c r="SRG510" s="359"/>
      <c r="SRI510" s="303"/>
      <c r="SRJ510" s="356"/>
      <c r="SRK510" s="359"/>
      <c r="SRM510" s="303"/>
      <c r="SRN510" s="356"/>
      <c r="SRO510" s="359"/>
      <c r="SRQ510" s="303"/>
      <c r="SRR510" s="356"/>
      <c r="SRS510" s="359"/>
      <c r="SRU510" s="303"/>
      <c r="SRV510" s="356"/>
      <c r="SRW510" s="359"/>
      <c r="SRY510" s="303"/>
      <c r="SRZ510" s="356"/>
      <c r="SSA510" s="359"/>
      <c r="SSC510" s="303"/>
      <c r="SSD510" s="356"/>
      <c r="SSE510" s="359"/>
      <c r="SSG510" s="303"/>
      <c r="SSH510" s="356"/>
      <c r="SSI510" s="359"/>
      <c r="SSK510" s="303"/>
      <c r="SSL510" s="356"/>
      <c r="SSM510" s="359"/>
      <c r="SSO510" s="303"/>
      <c r="SSP510" s="356"/>
      <c r="SSQ510" s="359"/>
      <c r="SSS510" s="303"/>
      <c r="SST510" s="356"/>
      <c r="SSU510" s="359"/>
      <c r="SSW510" s="303"/>
      <c r="SSX510" s="356"/>
      <c r="SSY510" s="359"/>
      <c r="STA510" s="303"/>
      <c r="STB510" s="356"/>
      <c r="STC510" s="359"/>
      <c r="STE510" s="303"/>
      <c r="STF510" s="356"/>
      <c r="STG510" s="359"/>
      <c r="STI510" s="303"/>
      <c r="STJ510" s="356"/>
      <c r="STK510" s="359"/>
      <c r="STM510" s="303"/>
      <c r="STN510" s="356"/>
      <c r="STO510" s="359"/>
      <c r="STQ510" s="303"/>
      <c r="STR510" s="356"/>
      <c r="STS510" s="359"/>
      <c r="STU510" s="303"/>
      <c r="STV510" s="356"/>
      <c r="STW510" s="359"/>
      <c r="STY510" s="303"/>
      <c r="STZ510" s="356"/>
      <c r="SUA510" s="359"/>
      <c r="SUC510" s="303"/>
      <c r="SUD510" s="356"/>
      <c r="SUE510" s="359"/>
      <c r="SUG510" s="303"/>
      <c r="SUH510" s="356"/>
      <c r="SUI510" s="359"/>
      <c r="SUK510" s="303"/>
      <c r="SUL510" s="356"/>
      <c r="SUM510" s="359"/>
      <c r="SUO510" s="303"/>
      <c r="SUP510" s="356"/>
      <c r="SUQ510" s="359"/>
      <c r="SUS510" s="303"/>
      <c r="SUT510" s="356"/>
      <c r="SUU510" s="359"/>
      <c r="SUW510" s="303"/>
      <c r="SUX510" s="356"/>
      <c r="SUY510" s="359"/>
      <c r="SVA510" s="303"/>
      <c r="SVB510" s="356"/>
      <c r="SVC510" s="359"/>
      <c r="SVE510" s="303"/>
      <c r="SVF510" s="356"/>
      <c r="SVG510" s="359"/>
      <c r="SVI510" s="303"/>
      <c r="SVJ510" s="356"/>
      <c r="SVK510" s="359"/>
      <c r="SVM510" s="303"/>
      <c r="SVN510" s="356"/>
      <c r="SVO510" s="359"/>
      <c r="SVQ510" s="303"/>
      <c r="SVR510" s="356"/>
      <c r="SVS510" s="359"/>
      <c r="SVU510" s="303"/>
      <c r="SVV510" s="356"/>
      <c r="SVW510" s="359"/>
      <c r="SVY510" s="303"/>
      <c r="SVZ510" s="356"/>
      <c r="SWA510" s="359"/>
      <c r="SWC510" s="303"/>
      <c r="SWD510" s="356"/>
      <c r="SWE510" s="359"/>
      <c r="SWG510" s="303"/>
      <c r="SWH510" s="356"/>
      <c r="SWI510" s="359"/>
      <c r="SWK510" s="303"/>
      <c r="SWL510" s="356"/>
      <c r="SWM510" s="359"/>
      <c r="SWO510" s="303"/>
      <c r="SWP510" s="356"/>
      <c r="SWQ510" s="359"/>
      <c r="SWS510" s="303"/>
      <c r="SWT510" s="356"/>
      <c r="SWU510" s="359"/>
      <c r="SWW510" s="303"/>
      <c r="SWX510" s="356"/>
      <c r="SWY510" s="359"/>
      <c r="SXA510" s="303"/>
      <c r="SXB510" s="356"/>
      <c r="SXC510" s="359"/>
      <c r="SXE510" s="303"/>
      <c r="SXF510" s="356"/>
      <c r="SXG510" s="359"/>
      <c r="SXI510" s="303"/>
      <c r="SXJ510" s="356"/>
      <c r="SXK510" s="359"/>
      <c r="SXM510" s="303"/>
      <c r="SXN510" s="356"/>
      <c r="SXO510" s="359"/>
      <c r="SXQ510" s="303"/>
      <c r="SXR510" s="356"/>
      <c r="SXS510" s="359"/>
      <c r="SXU510" s="303"/>
      <c r="SXV510" s="356"/>
      <c r="SXW510" s="359"/>
      <c r="SXY510" s="303"/>
      <c r="SXZ510" s="356"/>
      <c r="SYA510" s="359"/>
      <c r="SYC510" s="303"/>
      <c r="SYD510" s="356"/>
      <c r="SYE510" s="359"/>
      <c r="SYG510" s="303"/>
      <c r="SYH510" s="356"/>
      <c r="SYI510" s="359"/>
      <c r="SYK510" s="303"/>
      <c r="SYL510" s="356"/>
      <c r="SYM510" s="359"/>
      <c r="SYO510" s="303"/>
      <c r="SYP510" s="356"/>
      <c r="SYQ510" s="359"/>
      <c r="SYS510" s="303"/>
      <c r="SYT510" s="356"/>
      <c r="SYU510" s="359"/>
      <c r="SYW510" s="303"/>
      <c r="SYX510" s="356"/>
      <c r="SYY510" s="359"/>
      <c r="SZA510" s="303"/>
      <c r="SZB510" s="356"/>
      <c r="SZC510" s="359"/>
      <c r="SZE510" s="303"/>
      <c r="SZF510" s="356"/>
      <c r="SZG510" s="359"/>
      <c r="SZI510" s="303"/>
      <c r="SZJ510" s="356"/>
      <c r="SZK510" s="359"/>
      <c r="SZM510" s="303"/>
      <c r="SZN510" s="356"/>
      <c r="SZO510" s="359"/>
      <c r="SZQ510" s="303"/>
      <c r="SZR510" s="356"/>
      <c r="SZS510" s="359"/>
      <c r="SZU510" s="303"/>
      <c r="SZV510" s="356"/>
      <c r="SZW510" s="359"/>
      <c r="SZY510" s="303"/>
      <c r="SZZ510" s="356"/>
      <c r="TAA510" s="359"/>
      <c r="TAC510" s="303"/>
      <c r="TAD510" s="356"/>
      <c r="TAE510" s="359"/>
      <c r="TAG510" s="303"/>
      <c r="TAH510" s="356"/>
      <c r="TAI510" s="359"/>
      <c r="TAK510" s="303"/>
      <c r="TAL510" s="356"/>
      <c r="TAM510" s="359"/>
      <c r="TAO510" s="303"/>
      <c r="TAP510" s="356"/>
      <c r="TAQ510" s="359"/>
      <c r="TAS510" s="303"/>
      <c r="TAT510" s="356"/>
      <c r="TAU510" s="359"/>
      <c r="TAW510" s="303"/>
      <c r="TAX510" s="356"/>
      <c r="TAY510" s="359"/>
      <c r="TBA510" s="303"/>
      <c r="TBB510" s="356"/>
      <c r="TBC510" s="359"/>
      <c r="TBE510" s="303"/>
      <c r="TBF510" s="356"/>
      <c r="TBG510" s="359"/>
      <c r="TBI510" s="303"/>
      <c r="TBJ510" s="356"/>
      <c r="TBK510" s="359"/>
      <c r="TBM510" s="303"/>
      <c r="TBN510" s="356"/>
      <c r="TBO510" s="359"/>
      <c r="TBQ510" s="303"/>
      <c r="TBR510" s="356"/>
      <c r="TBS510" s="359"/>
      <c r="TBU510" s="303"/>
      <c r="TBV510" s="356"/>
      <c r="TBW510" s="359"/>
      <c r="TBY510" s="303"/>
      <c r="TBZ510" s="356"/>
      <c r="TCA510" s="359"/>
      <c r="TCC510" s="303"/>
      <c r="TCD510" s="356"/>
      <c r="TCE510" s="359"/>
      <c r="TCG510" s="303"/>
      <c r="TCH510" s="356"/>
      <c r="TCI510" s="359"/>
      <c r="TCK510" s="303"/>
      <c r="TCL510" s="356"/>
      <c r="TCM510" s="359"/>
      <c r="TCO510" s="303"/>
      <c r="TCP510" s="356"/>
      <c r="TCQ510" s="359"/>
      <c r="TCS510" s="303"/>
      <c r="TCT510" s="356"/>
      <c r="TCU510" s="359"/>
      <c r="TCW510" s="303"/>
      <c r="TCX510" s="356"/>
      <c r="TCY510" s="359"/>
      <c r="TDA510" s="303"/>
      <c r="TDB510" s="356"/>
      <c r="TDC510" s="359"/>
      <c r="TDE510" s="303"/>
      <c r="TDF510" s="356"/>
      <c r="TDG510" s="359"/>
      <c r="TDI510" s="303"/>
      <c r="TDJ510" s="356"/>
      <c r="TDK510" s="359"/>
      <c r="TDM510" s="303"/>
      <c r="TDN510" s="356"/>
      <c r="TDO510" s="359"/>
      <c r="TDQ510" s="303"/>
      <c r="TDR510" s="356"/>
      <c r="TDS510" s="359"/>
      <c r="TDU510" s="303"/>
      <c r="TDV510" s="356"/>
      <c r="TDW510" s="359"/>
      <c r="TDY510" s="303"/>
      <c r="TDZ510" s="356"/>
      <c r="TEA510" s="359"/>
      <c r="TEC510" s="303"/>
      <c r="TED510" s="356"/>
      <c r="TEE510" s="359"/>
      <c r="TEG510" s="303"/>
      <c r="TEH510" s="356"/>
      <c r="TEI510" s="359"/>
      <c r="TEK510" s="303"/>
      <c r="TEL510" s="356"/>
      <c r="TEM510" s="359"/>
      <c r="TEO510" s="303"/>
      <c r="TEP510" s="356"/>
      <c r="TEQ510" s="359"/>
      <c r="TES510" s="303"/>
      <c r="TET510" s="356"/>
      <c r="TEU510" s="359"/>
      <c r="TEW510" s="303"/>
      <c r="TEX510" s="356"/>
      <c r="TEY510" s="359"/>
      <c r="TFA510" s="303"/>
      <c r="TFB510" s="356"/>
      <c r="TFC510" s="359"/>
      <c r="TFE510" s="303"/>
      <c r="TFF510" s="356"/>
      <c r="TFG510" s="359"/>
      <c r="TFI510" s="303"/>
      <c r="TFJ510" s="356"/>
      <c r="TFK510" s="359"/>
      <c r="TFM510" s="303"/>
      <c r="TFN510" s="356"/>
      <c r="TFO510" s="359"/>
      <c r="TFQ510" s="303"/>
      <c r="TFR510" s="356"/>
      <c r="TFS510" s="359"/>
      <c r="TFU510" s="303"/>
      <c r="TFV510" s="356"/>
      <c r="TFW510" s="359"/>
      <c r="TFY510" s="303"/>
      <c r="TFZ510" s="356"/>
      <c r="TGA510" s="359"/>
      <c r="TGC510" s="303"/>
      <c r="TGD510" s="356"/>
      <c r="TGE510" s="359"/>
      <c r="TGG510" s="303"/>
      <c r="TGH510" s="356"/>
      <c r="TGI510" s="359"/>
      <c r="TGK510" s="303"/>
      <c r="TGL510" s="356"/>
      <c r="TGM510" s="359"/>
      <c r="TGO510" s="303"/>
      <c r="TGP510" s="356"/>
      <c r="TGQ510" s="359"/>
      <c r="TGS510" s="303"/>
      <c r="TGT510" s="356"/>
      <c r="TGU510" s="359"/>
      <c r="TGW510" s="303"/>
      <c r="TGX510" s="356"/>
      <c r="TGY510" s="359"/>
      <c r="THA510" s="303"/>
      <c r="THB510" s="356"/>
      <c r="THC510" s="359"/>
      <c r="THE510" s="303"/>
      <c r="THF510" s="356"/>
      <c r="THG510" s="359"/>
      <c r="THI510" s="303"/>
      <c r="THJ510" s="356"/>
      <c r="THK510" s="359"/>
      <c r="THM510" s="303"/>
      <c r="THN510" s="356"/>
      <c r="THO510" s="359"/>
      <c r="THQ510" s="303"/>
      <c r="THR510" s="356"/>
      <c r="THS510" s="359"/>
      <c r="THU510" s="303"/>
      <c r="THV510" s="356"/>
      <c r="THW510" s="359"/>
      <c r="THY510" s="303"/>
      <c r="THZ510" s="356"/>
      <c r="TIA510" s="359"/>
      <c r="TIC510" s="303"/>
      <c r="TID510" s="356"/>
      <c r="TIE510" s="359"/>
      <c r="TIG510" s="303"/>
      <c r="TIH510" s="356"/>
      <c r="TII510" s="359"/>
      <c r="TIK510" s="303"/>
      <c r="TIL510" s="356"/>
      <c r="TIM510" s="359"/>
      <c r="TIO510" s="303"/>
      <c r="TIP510" s="356"/>
      <c r="TIQ510" s="359"/>
      <c r="TIS510" s="303"/>
      <c r="TIT510" s="356"/>
      <c r="TIU510" s="359"/>
      <c r="TIW510" s="303"/>
      <c r="TIX510" s="356"/>
      <c r="TIY510" s="359"/>
      <c r="TJA510" s="303"/>
      <c r="TJB510" s="356"/>
      <c r="TJC510" s="359"/>
      <c r="TJE510" s="303"/>
      <c r="TJF510" s="356"/>
      <c r="TJG510" s="359"/>
      <c r="TJI510" s="303"/>
      <c r="TJJ510" s="356"/>
      <c r="TJK510" s="359"/>
      <c r="TJM510" s="303"/>
      <c r="TJN510" s="356"/>
      <c r="TJO510" s="359"/>
      <c r="TJQ510" s="303"/>
      <c r="TJR510" s="356"/>
      <c r="TJS510" s="359"/>
      <c r="TJU510" s="303"/>
      <c r="TJV510" s="356"/>
      <c r="TJW510" s="359"/>
      <c r="TJY510" s="303"/>
      <c r="TJZ510" s="356"/>
      <c r="TKA510" s="359"/>
      <c r="TKC510" s="303"/>
      <c r="TKD510" s="356"/>
      <c r="TKE510" s="359"/>
      <c r="TKG510" s="303"/>
      <c r="TKH510" s="356"/>
      <c r="TKI510" s="359"/>
      <c r="TKK510" s="303"/>
      <c r="TKL510" s="356"/>
      <c r="TKM510" s="359"/>
      <c r="TKO510" s="303"/>
      <c r="TKP510" s="356"/>
      <c r="TKQ510" s="359"/>
      <c r="TKS510" s="303"/>
      <c r="TKT510" s="356"/>
      <c r="TKU510" s="359"/>
      <c r="TKW510" s="303"/>
      <c r="TKX510" s="356"/>
      <c r="TKY510" s="359"/>
      <c r="TLA510" s="303"/>
      <c r="TLB510" s="356"/>
      <c r="TLC510" s="359"/>
      <c r="TLE510" s="303"/>
      <c r="TLF510" s="356"/>
      <c r="TLG510" s="359"/>
      <c r="TLI510" s="303"/>
      <c r="TLJ510" s="356"/>
      <c r="TLK510" s="359"/>
      <c r="TLM510" s="303"/>
      <c r="TLN510" s="356"/>
      <c r="TLO510" s="359"/>
      <c r="TLQ510" s="303"/>
      <c r="TLR510" s="356"/>
      <c r="TLS510" s="359"/>
      <c r="TLU510" s="303"/>
      <c r="TLV510" s="356"/>
      <c r="TLW510" s="359"/>
      <c r="TLY510" s="303"/>
      <c r="TLZ510" s="356"/>
      <c r="TMA510" s="359"/>
      <c r="TMC510" s="303"/>
      <c r="TMD510" s="356"/>
      <c r="TME510" s="359"/>
      <c r="TMG510" s="303"/>
      <c r="TMH510" s="356"/>
      <c r="TMI510" s="359"/>
      <c r="TMK510" s="303"/>
      <c r="TML510" s="356"/>
      <c r="TMM510" s="359"/>
      <c r="TMO510" s="303"/>
      <c r="TMP510" s="356"/>
      <c r="TMQ510" s="359"/>
      <c r="TMS510" s="303"/>
      <c r="TMT510" s="356"/>
      <c r="TMU510" s="359"/>
      <c r="TMW510" s="303"/>
      <c r="TMX510" s="356"/>
      <c r="TMY510" s="359"/>
      <c r="TNA510" s="303"/>
      <c r="TNB510" s="356"/>
      <c r="TNC510" s="359"/>
      <c r="TNE510" s="303"/>
      <c r="TNF510" s="356"/>
      <c r="TNG510" s="359"/>
      <c r="TNI510" s="303"/>
      <c r="TNJ510" s="356"/>
      <c r="TNK510" s="359"/>
      <c r="TNM510" s="303"/>
      <c r="TNN510" s="356"/>
      <c r="TNO510" s="359"/>
      <c r="TNQ510" s="303"/>
      <c r="TNR510" s="356"/>
      <c r="TNS510" s="359"/>
      <c r="TNU510" s="303"/>
      <c r="TNV510" s="356"/>
      <c r="TNW510" s="359"/>
      <c r="TNY510" s="303"/>
      <c r="TNZ510" s="356"/>
      <c r="TOA510" s="359"/>
      <c r="TOC510" s="303"/>
      <c r="TOD510" s="356"/>
      <c r="TOE510" s="359"/>
      <c r="TOG510" s="303"/>
      <c r="TOH510" s="356"/>
      <c r="TOI510" s="359"/>
      <c r="TOK510" s="303"/>
      <c r="TOL510" s="356"/>
      <c r="TOM510" s="359"/>
      <c r="TOO510" s="303"/>
      <c r="TOP510" s="356"/>
      <c r="TOQ510" s="359"/>
      <c r="TOS510" s="303"/>
      <c r="TOT510" s="356"/>
      <c r="TOU510" s="359"/>
      <c r="TOW510" s="303"/>
      <c r="TOX510" s="356"/>
      <c r="TOY510" s="359"/>
      <c r="TPA510" s="303"/>
      <c r="TPB510" s="356"/>
      <c r="TPC510" s="359"/>
      <c r="TPE510" s="303"/>
      <c r="TPF510" s="356"/>
      <c r="TPG510" s="359"/>
      <c r="TPI510" s="303"/>
      <c r="TPJ510" s="356"/>
      <c r="TPK510" s="359"/>
      <c r="TPM510" s="303"/>
      <c r="TPN510" s="356"/>
      <c r="TPO510" s="359"/>
      <c r="TPQ510" s="303"/>
      <c r="TPR510" s="356"/>
      <c r="TPS510" s="359"/>
      <c r="TPU510" s="303"/>
      <c r="TPV510" s="356"/>
      <c r="TPW510" s="359"/>
      <c r="TPY510" s="303"/>
      <c r="TPZ510" s="356"/>
      <c r="TQA510" s="359"/>
      <c r="TQC510" s="303"/>
      <c r="TQD510" s="356"/>
      <c r="TQE510" s="359"/>
      <c r="TQG510" s="303"/>
      <c r="TQH510" s="356"/>
      <c r="TQI510" s="359"/>
      <c r="TQK510" s="303"/>
      <c r="TQL510" s="356"/>
      <c r="TQM510" s="359"/>
      <c r="TQO510" s="303"/>
      <c r="TQP510" s="356"/>
      <c r="TQQ510" s="359"/>
      <c r="TQS510" s="303"/>
      <c r="TQT510" s="356"/>
      <c r="TQU510" s="359"/>
      <c r="TQW510" s="303"/>
      <c r="TQX510" s="356"/>
      <c r="TQY510" s="359"/>
      <c r="TRA510" s="303"/>
      <c r="TRB510" s="356"/>
      <c r="TRC510" s="359"/>
      <c r="TRE510" s="303"/>
      <c r="TRF510" s="356"/>
      <c r="TRG510" s="359"/>
      <c r="TRI510" s="303"/>
      <c r="TRJ510" s="356"/>
      <c r="TRK510" s="359"/>
      <c r="TRM510" s="303"/>
      <c r="TRN510" s="356"/>
      <c r="TRO510" s="359"/>
      <c r="TRQ510" s="303"/>
      <c r="TRR510" s="356"/>
      <c r="TRS510" s="359"/>
      <c r="TRU510" s="303"/>
      <c r="TRV510" s="356"/>
      <c r="TRW510" s="359"/>
      <c r="TRY510" s="303"/>
      <c r="TRZ510" s="356"/>
      <c r="TSA510" s="359"/>
      <c r="TSC510" s="303"/>
      <c r="TSD510" s="356"/>
      <c r="TSE510" s="359"/>
      <c r="TSG510" s="303"/>
      <c r="TSH510" s="356"/>
      <c r="TSI510" s="359"/>
      <c r="TSK510" s="303"/>
      <c r="TSL510" s="356"/>
      <c r="TSM510" s="359"/>
      <c r="TSO510" s="303"/>
      <c r="TSP510" s="356"/>
      <c r="TSQ510" s="359"/>
      <c r="TSS510" s="303"/>
      <c r="TST510" s="356"/>
      <c r="TSU510" s="359"/>
      <c r="TSW510" s="303"/>
      <c r="TSX510" s="356"/>
      <c r="TSY510" s="359"/>
      <c r="TTA510" s="303"/>
      <c r="TTB510" s="356"/>
      <c r="TTC510" s="359"/>
      <c r="TTE510" s="303"/>
      <c r="TTF510" s="356"/>
      <c r="TTG510" s="359"/>
      <c r="TTI510" s="303"/>
      <c r="TTJ510" s="356"/>
      <c r="TTK510" s="359"/>
      <c r="TTM510" s="303"/>
      <c r="TTN510" s="356"/>
      <c r="TTO510" s="359"/>
      <c r="TTQ510" s="303"/>
      <c r="TTR510" s="356"/>
      <c r="TTS510" s="359"/>
      <c r="TTU510" s="303"/>
      <c r="TTV510" s="356"/>
      <c r="TTW510" s="359"/>
      <c r="TTY510" s="303"/>
      <c r="TTZ510" s="356"/>
      <c r="TUA510" s="359"/>
      <c r="TUC510" s="303"/>
      <c r="TUD510" s="356"/>
      <c r="TUE510" s="359"/>
      <c r="TUG510" s="303"/>
      <c r="TUH510" s="356"/>
      <c r="TUI510" s="359"/>
      <c r="TUK510" s="303"/>
      <c r="TUL510" s="356"/>
      <c r="TUM510" s="359"/>
      <c r="TUO510" s="303"/>
      <c r="TUP510" s="356"/>
      <c r="TUQ510" s="359"/>
      <c r="TUS510" s="303"/>
      <c r="TUT510" s="356"/>
      <c r="TUU510" s="359"/>
      <c r="TUW510" s="303"/>
      <c r="TUX510" s="356"/>
      <c r="TUY510" s="359"/>
      <c r="TVA510" s="303"/>
      <c r="TVB510" s="356"/>
      <c r="TVC510" s="359"/>
      <c r="TVE510" s="303"/>
      <c r="TVF510" s="356"/>
      <c r="TVG510" s="359"/>
      <c r="TVI510" s="303"/>
      <c r="TVJ510" s="356"/>
      <c r="TVK510" s="359"/>
      <c r="TVM510" s="303"/>
      <c r="TVN510" s="356"/>
      <c r="TVO510" s="359"/>
      <c r="TVQ510" s="303"/>
      <c r="TVR510" s="356"/>
      <c r="TVS510" s="359"/>
      <c r="TVU510" s="303"/>
      <c r="TVV510" s="356"/>
      <c r="TVW510" s="359"/>
      <c r="TVY510" s="303"/>
      <c r="TVZ510" s="356"/>
      <c r="TWA510" s="359"/>
      <c r="TWC510" s="303"/>
      <c r="TWD510" s="356"/>
      <c r="TWE510" s="359"/>
      <c r="TWG510" s="303"/>
      <c r="TWH510" s="356"/>
      <c r="TWI510" s="359"/>
      <c r="TWK510" s="303"/>
      <c r="TWL510" s="356"/>
      <c r="TWM510" s="359"/>
      <c r="TWO510" s="303"/>
      <c r="TWP510" s="356"/>
      <c r="TWQ510" s="359"/>
      <c r="TWS510" s="303"/>
      <c r="TWT510" s="356"/>
      <c r="TWU510" s="359"/>
      <c r="TWW510" s="303"/>
      <c r="TWX510" s="356"/>
      <c r="TWY510" s="359"/>
      <c r="TXA510" s="303"/>
      <c r="TXB510" s="356"/>
      <c r="TXC510" s="359"/>
      <c r="TXE510" s="303"/>
      <c r="TXF510" s="356"/>
      <c r="TXG510" s="359"/>
      <c r="TXI510" s="303"/>
      <c r="TXJ510" s="356"/>
      <c r="TXK510" s="359"/>
      <c r="TXM510" s="303"/>
      <c r="TXN510" s="356"/>
      <c r="TXO510" s="359"/>
      <c r="TXQ510" s="303"/>
      <c r="TXR510" s="356"/>
      <c r="TXS510" s="359"/>
      <c r="TXU510" s="303"/>
      <c r="TXV510" s="356"/>
      <c r="TXW510" s="359"/>
      <c r="TXY510" s="303"/>
      <c r="TXZ510" s="356"/>
      <c r="TYA510" s="359"/>
      <c r="TYC510" s="303"/>
      <c r="TYD510" s="356"/>
      <c r="TYE510" s="359"/>
      <c r="TYG510" s="303"/>
      <c r="TYH510" s="356"/>
      <c r="TYI510" s="359"/>
      <c r="TYK510" s="303"/>
      <c r="TYL510" s="356"/>
      <c r="TYM510" s="359"/>
      <c r="TYO510" s="303"/>
      <c r="TYP510" s="356"/>
      <c r="TYQ510" s="359"/>
      <c r="TYS510" s="303"/>
      <c r="TYT510" s="356"/>
      <c r="TYU510" s="359"/>
      <c r="TYW510" s="303"/>
      <c r="TYX510" s="356"/>
      <c r="TYY510" s="359"/>
      <c r="TZA510" s="303"/>
      <c r="TZB510" s="356"/>
      <c r="TZC510" s="359"/>
      <c r="TZE510" s="303"/>
      <c r="TZF510" s="356"/>
      <c r="TZG510" s="359"/>
      <c r="TZI510" s="303"/>
      <c r="TZJ510" s="356"/>
      <c r="TZK510" s="359"/>
      <c r="TZM510" s="303"/>
      <c r="TZN510" s="356"/>
      <c r="TZO510" s="359"/>
      <c r="TZQ510" s="303"/>
      <c r="TZR510" s="356"/>
      <c r="TZS510" s="359"/>
      <c r="TZU510" s="303"/>
      <c r="TZV510" s="356"/>
      <c r="TZW510" s="359"/>
      <c r="TZY510" s="303"/>
      <c r="TZZ510" s="356"/>
      <c r="UAA510" s="359"/>
      <c r="UAC510" s="303"/>
      <c r="UAD510" s="356"/>
      <c r="UAE510" s="359"/>
      <c r="UAG510" s="303"/>
      <c r="UAH510" s="356"/>
      <c r="UAI510" s="359"/>
      <c r="UAK510" s="303"/>
      <c r="UAL510" s="356"/>
      <c r="UAM510" s="359"/>
      <c r="UAO510" s="303"/>
      <c r="UAP510" s="356"/>
      <c r="UAQ510" s="359"/>
      <c r="UAS510" s="303"/>
      <c r="UAT510" s="356"/>
      <c r="UAU510" s="359"/>
      <c r="UAW510" s="303"/>
      <c r="UAX510" s="356"/>
      <c r="UAY510" s="359"/>
      <c r="UBA510" s="303"/>
      <c r="UBB510" s="356"/>
      <c r="UBC510" s="359"/>
      <c r="UBE510" s="303"/>
      <c r="UBF510" s="356"/>
      <c r="UBG510" s="359"/>
      <c r="UBI510" s="303"/>
      <c r="UBJ510" s="356"/>
      <c r="UBK510" s="359"/>
      <c r="UBM510" s="303"/>
      <c r="UBN510" s="356"/>
      <c r="UBO510" s="359"/>
      <c r="UBQ510" s="303"/>
      <c r="UBR510" s="356"/>
      <c r="UBS510" s="359"/>
      <c r="UBU510" s="303"/>
      <c r="UBV510" s="356"/>
      <c r="UBW510" s="359"/>
      <c r="UBY510" s="303"/>
      <c r="UBZ510" s="356"/>
      <c r="UCA510" s="359"/>
      <c r="UCC510" s="303"/>
      <c r="UCD510" s="356"/>
      <c r="UCE510" s="359"/>
      <c r="UCG510" s="303"/>
      <c r="UCH510" s="356"/>
      <c r="UCI510" s="359"/>
      <c r="UCK510" s="303"/>
      <c r="UCL510" s="356"/>
      <c r="UCM510" s="359"/>
      <c r="UCO510" s="303"/>
      <c r="UCP510" s="356"/>
      <c r="UCQ510" s="359"/>
      <c r="UCS510" s="303"/>
      <c r="UCT510" s="356"/>
      <c r="UCU510" s="359"/>
      <c r="UCW510" s="303"/>
      <c r="UCX510" s="356"/>
      <c r="UCY510" s="359"/>
      <c r="UDA510" s="303"/>
      <c r="UDB510" s="356"/>
      <c r="UDC510" s="359"/>
      <c r="UDE510" s="303"/>
      <c r="UDF510" s="356"/>
      <c r="UDG510" s="359"/>
      <c r="UDI510" s="303"/>
      <c r="UDJ510" s="356"/>
      <c r="UDK510" s="359"/>
      <c r="UDM510" s="303"/>
      <c r="UDN510" s="356"/>
      <c r="UDO510" s="359"/>
      <c r="UDQ510" s="303"/>
      <c r="UDR510" s="356"/>
      <c r="UDS510" s="359"/>
      <c r="UDU510" s="303"/>
      <c r="UDV510" s="356"/>
      <c r="UDW510" s="359"/>
      <c r="UDY510" s="303"/>
      <c r="UDZ510" s="356"/>
      <c r="UEA510" s="359"/>
      <c r="UEC510" s="303"/>
      <c r="UED510" s="356"/>
      <c r="UEE510" s="359"/>
      <c r="UEG510" s="303"/>
      <c r="UEH510" s="356"/>
      <c r="UEI510" s="359"/>
      <c r="UEK510" s="303"/>
      <c r="UEL510" s="356"/>
      <c r="UEM510" s="359"/>
      <c r="UEO510" s="303"/>
      <c r="UEP510" s="356"/>
      <c r="UEQ510" s="359"/>
      <c r="UES510" s="303"/>
      <c r="UET510" s="356"/>
      <c r="UEU510" s="359"/>
      <c r="UEW510" s="303"/>
      <c r="UEX510" s="356"/>
      <c r="UEY510" s="359"/>
      <c r="UFA510" s="303"/>
      <c r="UFB510" s="356"/>
      <c r="UFC510" s="359"/>
      <c r="UFE510" s="303"/>
      <c r="UFF510" s="356"/>
      <c r="UFG510" s="359"/>
      <c r="UFI510" s="303"/>
      <c r="UFJ510" s="356"/>
      <c r="UFK510" s="359"/>
      <c r="UFM510" s="303"/>
      <c r="UFN510" s="356"/>
      <c r="UFO510" s="359"/>
      <c r="UFQ510" s="303"/>
      <c r="UFR510" s="356"/>
      <c r="UFS510" s="359"/>
      <c r="UFU510" s="303"/>
      <c r="UFV510" s="356"/>
      <c r="UFW510" s="359"/>
      <c r="UFY510" s="303"/>
      <c r="UFZ510" s="356"/>
      <c r="UGA510" s="359"/>
      <c r="UGC510" s="303"/>
      <c r="UGD510" s="356"/>
      <c r="UGE510" s="359"/>
      <c r="UGG510" s="303"/>
      <c r="UGH510" s="356"/>
      <c r="UGI510" s="359"/>
      <c r="UGK510" s="303"/>
      <c r="UGL510" s="356"/>
      <c r="UGM510" s="359"/>
      <c r="UGO510" s="303"/>
      <c r="UGP510" s="356"/>
      <c r="UGQ510" s="359"/>
      <c r="UGS510" s="303"/>
      <c r="UGT510" s="356"/>
      <c r="UGU510" s="359"/>
      <c r="UGW510" s="303"/>
      <c r="UGX510" s="356"/>
      <c r="UGY510" s="359"/>
      <c r="UHA510" s="303"/>
      <c r="UHB510" s="356"/>
      <c r="UHC510" s="359"/>
      <c r="UHE510" s="303"/>
      <c r="UHF510" s="356"/>
      <c r="UHG510" s="359"/>
      <c r="UHI510" s="303"/>
      <c r="UHJ510" s="356"/>
      <c r="UHK510" s="359"/>
      <c r="UHM510" s="303"/>
      <c r="UHN510" s="356"/>
      <c r="UHO510" s="359"/>
      <c r="UHQ510" s="303"/>
      <c r="UHR510" s="356"/>
      <c r="UHS510" s="359"/>
      <c r="UHU510" s="303"/>
      <c r="UHV510" s="356"/>
      <c r="UHW510" s="359"/>
      <c r="UHY510" s="303"/>
      <c r="UHZ510" s="356"/>
      <c r="UIA510" s="359"/>
      <c r="UIC510" s="303"/>
      <c r="UID510" s="356"/>
      <c r="UIE510" s="359"/>
      <c r="UIG510" s="303"/>
      <c r="UIH510" s="356"/>
      <c r="UII510" s="359"/>
      <c r="UIK510" s="303"/>
      <c r="UIL510" s="356"/>
      <c r="UIM510" s="359"/>
      <c r="UIO510" s="303"/>
      <c r="UIP510" s="356"/>
      <c r="UIQ510" s="359"/>
      <c r="UIS510" s="303"/>
      <c r="UIT510" s="356"/>
      <c r="UIU510" s="359"/>
      <c r="UIW510" s="303"/>
      <c r="UIX510" s="356"/>
      <c r="UIY510" s="359"/>
      <c r="UJA510" s="303"/>
      <c r="UJB510" s="356"/>
      <c r="UJC510" s="359"/>
      <c r="UJE510" s="303"/>
      <c r="UJF510" s="356"/>
      <c r="UJG510" s="359"/>
      <c r="UJI510" s="303"/>
      <c r="UJJ510" s="356"/>
      <c r="UJK510" s="359"/>
      <c r="UJM510" s="303"/>
      <c r="UJN510" s="356"/>
      <c r="UJO510" s="359"/>
      <c r="UJQ510" s="303"/>
      <c r="UJR510" s="356"/>
      <c r="UJS510" s="359"/>
      <c r="UJU510" s="303"/>
      <c r="UJV510" s="356"/>
      <c r="UJW510" s="359"/>
      <c r="UJY510" s="303"/>
      <c r="UJZ510" s="356"/>
      <c r="UKA510" s="359"/>
      <c r="UKC510" s="303"/>
      <c r="UKD510" s="356"/>
      <c r="UKE510" s="359"/>
      <c r="UKG510" s="303"/>
      <c r="UKH510" s="356"/>
      <c r="UKI510" s="359"/>
      <c r="UKK510" s="303"/>
      <c r="UKL510" s="356"/>
      <c r="UKM510" s="359"/>
      <c r="UKO510" s="303"/>
      <c r="UKP510" s="356"/>
      <c r="UKQ510" s="359"/>
      <c r="UKS510" s="303"/>
      <c r="UKT510" s="356"/>
      <c r="UKU510" s="359"/>
      <c r="UKW510" s="303"/>
      <c r="UKX510" s="356"/>
      <c r="UKY510" s="359"/>
      <c r="ULA510" s="303"/>
      <c r="ULB510" s="356"/>
      <c r="ULC510" s="359"/>
      <c r="ULE510" s="303"/>
      <c r="ULF510" s="356"/>
      <c r="ULG510" s="359"/>
      <c r="ULI510" s="303"/>
      <c r="ULJ510" s="356"/>
      <c r="ULK510" s="359"/>
      <c r="ULM510" s="303"/>
      <c r="ULN510" s="356"/>
      <c r="ULO510" s="359"/>
      <c r="ULQ510" s="303"/>
      <c r="ULR510" s="356"/>
      <c r="ULS510" s="359"/>
      <c r="ULU510" s="303"/>
      <c r="ULV510" s="356"/>
      <c r="ULW510" s="359"/>
      <c r="ULY510" s="303"/>
      <c r="ULZ510" s="356"/>
      <c r="UMA510" s="359"/>
      <c r="UMC510" s="303"/>
      <c r="UMD510" s="356"/>
      <c r="UME510" s="359"/>
      <c r="UMG510" s="303"/>
      <c r="UMH510" s="356"/>
      <c r="UMI510" s="359"/>
      <c r="UMK510" s="303"/>
      <c r="UML510" s="356"/>
      <c r="UMM510" s="359"/>
      <c r="UMO510" s="303"/>
      <c r="UMP510" s="356"/>
      <c r="UMQ510" s="359"/>
      <c r="UMS510" s="303"/>
      <c r="UMT510" s="356"/>
      <c r="UMU510" s="359"/>
      <c r="UMW510" s="303"/>
      <c r="UMX510" s="356"/>
      <c r="UMY510" s="359"/>
      <c r="UNA510" s="303"/>
      <c r="UNB510" s="356"/>
      <c r="UNC510" s="359"/>
      <c r="UNE510" s="303"/>
      <c r="UNF510" s="356"/>
      <c r="UNG510" s="359"/>
      <c r="UNI510" s="303"/>
      <c r="UNJ510" s="356"/>
      <c r="UNK510" s="359"/>
      <c r="UNM510" s="303"/>
      <c r="UNN510" s="356"/>
      <c r="UNO510" s="359"/>
      <c r="UNQ510" s="303"/>
      <c r="UNR510" s="356"/>
      <c r="UNS510" s="359"/>
      <c r="UNU510" s="303"/>
      <c r="UNV510" s="356"/>
      <c r="UNW510" s="359"/>
      <c r="UNY510" s="303"/>
      <c r="UNZ510" s="356"/>
      <c r="UOA510" s="359"/>
      <c r="UOC510" s="303"/>
      <c r="UOD510" s="356"/>
      <c r="UOE510" s="359"/>
      <c r="UOG510" s="303"/>
      <c r="UOH510" s="356"/>
      <c r="UOI510" s="359"/>
      <c r="UOK510" s="303"/>
      <c r="UOL510" s="356"/>
      <c r="UOM510" s="359"/>
      <c r="UOO510" s="303"/>
      <c r="UOP510" s="356"/>
      <c r="UOQ510" s="359"/>
      <c r="UOS510" s="303"/>
      <c r="UOT510" s="356"/>
      <c r="UOU510" s="359"/>
      <c r="UOW510" s="303"/>
      <c r="UOX510" s="356"/>
      <c r="UOY510" s="359"/>
      <c r="UPA510" s="303"/>
      <c r="UPB510" s="356"/>
      <c r="UPC510" s="359"/>
      <c r="UPE510" s="303"/>
      <c r="UPF510" s="356"/>
      <c r="UPG510" s="359"/>
      <c r="UPI510" s="303"/>
      <c r="UPJ510" s="356"/>
      <c r="UPK510" s="359"/>
      <c r="UPM510" s="303"/>
      <c r="UPN510" s="356"/>
      <c r="UPO510" s="359"/>
      <c r="UPQ510" s="303"/>
      <c r="UPR510" s="356"/>
      <c r="UPS510" s="359"/>
      <c r="UPU510" s="303"/>
      <c r="UPV510" s="356"/>
      <c r="UPW510" s="359"/>
      <c r="UPY510" s="303"/>
      <c r="UPZ510" s="356"/>
      <c r="UQA510" s="359"/>
      <c r="UQC510" s="303"/>
      <c r="UQD510" s="356"/>
      <c r="UQE510" s="359"/>
      <c r="UQG510" s="303"/>
      <c r="UQH510" s="356"/>
      <c r="UQI510" s="359"/>
      <c r="UQK510" s="303"/>
      <c r="UQL510" s="356"/>
      <c r="UQM510" s="359"/>
      <c r="UQO510" s="303"/>
      <c r="UQP510" s="356"/>
      <c r="UQQ510" s="359"/>
      <c r="UQS510" s="303"/>
      <c r="UQT510" s="356"/>
      <c r="UQU510" s="359"/>
      <c r="UQW510" s="303"/>
      <c r="UQX510" s="356"/>
      <c r="UQY510" s="359"/>
      <c r="URA510" s="303"/>
      <c r="URB510" s="356"/>
      <c r="URC510" s="359"/>
      <c r="URE510" s="303"/>
      <c r="URF510" s="356"/>
      <c r="URG510" s="359"/>
      <c r="URI510" s="303"/>
      <c r="URJ510" s="356"/>
      <c r="URK510" s="359"/>
      <c r="URM510" s="303"/>
      <c r="URN510" s="356"/>
      <c r="URO510" s="359"/>
      <c r="URQ510" s="303"/>
      <c r="URR510" s="356"/>
      <c r="URS510" s="359"/>
      <c r="URU510" s="303"/>
      <c r="URV510" s="356"/>
      <c r="URW510" s="359"/>
      <c r="URY510" s="303"/>
      <c r="URZ510" s="356"/>
      <c r="USA510" s="359"/>
      <c r="USC510" s="303"/>
      <c r="USD510" s="356"/>
      <c r="USE510" s="359"/>
      <c r="USG510" s="303"/>
      <c r="USH510" s="356"/>
      <c r="USI510" s="359"/>
      <c r="USK510" s="303"/>
      <c r="USL510" s="356"/>
      <c r="USM510" s="359"/>
      <c r="USO510" s="303"/>
      <c r="USP510" s="356"/>
      <c r="USQ510" s="359"/>
      <c r="USS510" s="303"/>
      <c r="UST510" s="356"/>
      <c r="USU510" s="359"/>
      <c r="USW510" s="303"/>
      <c r="USX510" s="356"/>
      <c r="USY510" s="359"/>
      <c r="UTA510" s="303"/>
      <c r="UTB510" s="356"/>
      <c r="UTC510" s="359"/>
      <c r="UTE510" s="303"/>
      <c r="UTF510" s="356"/>
      <c r="UTG510" s="359"/>
      <c r="UTI510" s="303"/>
      <c r="UTJ510" s="356"/>
      <c r="UTK510" s="359"/>
      <c r="UTM510" s="303"/>
      <c r="UTN510" s="356"/>
      <c r="UTO510" s="359"/>
      <c r="UTQ510" s="303"/>
      <c r="UTR510" s="356"/>
      <c r="UTS510" s="359"/>
      <c r="UTU510" s="303"/>
      <c r="UTV510" s="356"/>
      <c r="UTW510" s="359"/>
      <c r="UTY510" s="303"/>
      <c r="UTZ510" s="356"/>
      <c r="UUA510" s="359"/>
      <c r="UUC510" s="303"/>
      <c r="UUD510" s="356"/>
      <c r="UUE510" s="359"/>
      <c r="UUG510" s="303"/>
      <c r="UUH510" s="356"/>
      <c r="UUI510" s="359"/>
      <c r="UUK510" s="303"/>
      <c r="UUL510" s="356"/>
      <c r="UUM510" s="359"/>
      <c r="UUO510" s="303"/>
      <c r="UUP510" s="356"/>
      <c r="UUQ510" s="359"/>
      <c r="UUS510" s="303"/>
      <c r="UUT510" s="356"/>
      <c r="UUU510" s="359"/>
      <c r="UUW510" s="303"/>
      <c r="UUX510" s="356"/>
      <c r="UUY510" s="359"/>
      <c r="UVA510" s="303"/>
      <c r="UVB510" s="356"/>
      <c r="UVC510" s="359"/>
      <c r="UVE510" s="303"/>
      <c r="UVF510" s="356"/>
      <c r="UVG510" s="359"/>
      <c r="UVI510" s="303"/>
      <c r="UVJ510" s="356"/>
      <c r="UVK510" s="359"/>
      <c r="UVM510" s="303"/>
      <c r="UVN510" s="356"/>
      <c r="UVO510" s="359"/>
      <c r="UVQ510" s="303"/>
      <c r="UVR510" s="356"/>
      <c r="UVS510" s="359"/>
      <c r="UVU510" s="303"/>
      <c r="UVV510" s="356"/>
      <c r="UVW510" s="359"/>
      <c r="UVY510" s="303"/>
      <c r="UVZ510" s="356"/>
      <c r="UWA510" s="359"/>
      <c r="UWC510" s="303"/>
      <c r="UWD510" s="356"/>
      <c r="UWE510" s="359"/>
      <c r="UWG510" s="303"/>
      <c r="UWH510" s="356"/>
      <c r="UWI510" s="359"/>
      <c r="UWK510" s="303"/>
      <c r="UWL510" s="356"/>
      <c r="UWM510" s="359"/>
      <c r="UWO510" s="303"/>
      <c r="UWP510" s="356"/>
      <c r="UWQ510" s="359"/>
      <c r="UWS510" s="303"/>
      <c r="UWT510" s="356"/>
      <c r="UWU510" s="359"/>
      <c r="UWW510" s="303"/>
      <c r="UWX510" s="356"/>
      <c r="UWY510" s="359"/>
      <c r="UXA510" s="303"/>
      <c r="UXB510" s="356"/>
      <c r="UXC510" s="359"/>
      <c r="UXE510" s="303"/>
      <c r="UXF510" s="356"/>
      <c r="UXG510" s="359"/>
      <c r="UXI510" s="303"/>
      <c r="UXJ510" s="356"/>
      <c r="UXK510" s="359"/>
      <c r="UXM510" s="303"/>
      <c r="UXN510" s="356"/>
      <c r="UXO510" s="359"/>
      <c r="UXQ510" s="303"/>
      <c r="UXR510" s="356"/>
      <c r="UXS510" s="359"/>
      <c r="UXU510" s="303"/>
      <c r="UXV510" s="356"/>
      <c r="UXW510" s="359"/>
      <c r="UXY510" s="303"/>
      <c r="UXZ510" s="356"/>
      <c r="UYA510" s="359"/>
      <c r="UYC510" s="303"/>
      <c r="UYD510" s="356"/>
      <c r="UYE510" s="359"/>
      <c r="UYG510" s="303"/>
      <c r="UYH510" s="356"/>
      <c r="UYI510" s="359"/>
      <c r="UYK510" s="303"/>
      <c r="UYL510" s="356"/>
      <c r="UYM510" s="359"/>
      <c r="UYO510" s="303"/>
      <c r="UYP510" s="356"/>
      <c r="UYQ510" s="359"/>
      <c r="UYS510" s="303"/>
      <c r="UYT510" s="356"/>
      <c r="UYU510" s="359"/>
      <c r="UYW510" s="303"/>
      <c r="UYX510" s="356"/>
      <c r="UYY510" s="359"/>
      <c r="UZA510" s="303"/>
      <c r="UZB510" s="356"/>
      <c r="UZC510" s="359"/>
      <c r="UZE510" s="303"/>
      <c r="UZF510" s="356"/>
      <c r="UZG510" s="359"/>
      <c r="UZI510" s="303"/>
      <c r="UZJ510" s="356"/>
      <c r="UZK510" s="359"/>
      <c r="UZM510" s="303"/>
      <c r="UZN510" s="356"/>
      <c r="UZO510" s="359"/>
      <c r="UZQ510" s="303"/>
      <c r="UZR510" s="356"/>
      <c r="UZS510" s="359"/>
      <c r="UZU510" s="303"/>
      <c r="UZV510" s="356"/>
      <c r="UZW510" s="359"/>
      <c r="UZY510" s="303"/>
      <c r="UZZ510" s="356"/>
      <c r="VAA510" s="359"/>
      <c r="VAC510" s="303"/>
      <c r="VAD510" s="356"/>
      <c r="VAE510" s="359"/>
      <c r="VAG510" s="303"/>
      <c r="VAH510" s="356"/>
      <c r="VAI510" s="359"/>
      <c r="VAK510" s="303"/>
      <c r="VAL510" s="356"/>
      <c r="VAM510" s="359"/>
      <c r="VAO510" s="303"/>
      <c r="VAP510" s="356"/>
      <c r="VAQ510" s="359"/>
      <c r="VAS510" s="303"/>
      <c r="VAT510" s="356"/>
      <c r="VAU510" s="359"/>
      <c r="VAW510" s="303"/>
      <c r="VAX510" s="356"/>
      <c r="VAY510" s="359"/>
      <c r="VBA510" s="303"/>
      <c r="VBB510" s="356"/>
      <c r="VBC510" s="359"/>
      <c r="VBE510" s="303"/>
      <c r="VBF510" s="356"/>
      <c r="VBG510" s="359"/>
      <c r="VBI510" s="303"/>
      <c r="VBJ510" s="356"/>
      <c r="VBK510" s="359"/>
      <c r="VBM510" s="303"/>
      <c r="VBN510" s="356"/>
      <c r="VBO510" s="359"/>
      <c r="VBQ510" s="303"/>
      <c r="VBR510" s="356"/>
      <c r="VBS510" s="359"/>
      <c r="VBU510" s="303"/>
      <c r="VBV510" s="356"/>
      <c r="VBW510" s="359"/>
      <c r="VBY510" s="303"/>
      <c r="VBZ510" s="356"/>
      <c r="VCA510" s="359"/>
      <c r="VCC510" s="303"/>
      <c r="VCD510" s="356"/>
      <c r="VCE510" s="359"/>
      <c r="VCG510" s="303"/>
      <c r="VCH510" s="356"/>
      <c r="VCI510" s="359"/>
      <c r="VCK510" s="303"/>
      <c r="VCL510" s="356"/>
      <c r="VCM510" s="359"/>
      <c r="VCO510" s="303"/>
      <c r="VCP510" s="356"/>
      <c r="VCQ510" s="359"/>
      <c r="VCS510" s="303"/>
      <c r="VCT510" s="356"/>
      <c r="VCU510" s="359"/>
      <c r="VCW510" s="303"/>
      <c r="VCX510" s="356"/>
      <c r="VCY510" s="359"/>
      <c r="VDA510" s="303"/>
      <c r="VDB510" s="356"/>
      <c r="VDC510" s="359"/>
      <c r="VDE510" s="303"/>
      <c r="VDF510" s="356"/>
      <c r="VDG510" s="359"/>
      <c r="VDI510" s="303"/>
      <c r="VDJ510" s="356"/>
      <c r="VDK510" s="359"/>
      <c r="VDM510" s="303"/>
      <c r="VDN510" s="356"/>
      <c r="VDO510" s="359"/>
      <c r="VDQ510" s="303"/>
      <c r="VDR510" s="356"/>
      <c r="VDS510" s="359"/>
      <c r="VDU510" s="303"/>
      <c r="VDV510" s="356"/>
      <c r="VDW510" s="359"/>
      <c r="VDY510" s="303"/>
      <c r="VDZ510" s="356"/>
      <c r="VEA510" s="359"/>
      <c r="VEC510" s="303"/>
      <c r="VED510" s="356"/>
      <c r="VEE510" s="359"/>
      <c r="VEG510" s="303"/>
      <c r="VEH510" s="356"/>
      <c r="VEI510" s="359"/>
      <c r="VEK510" s="303"/>
      <c r="VEL510" s="356"/>
      <c r="VEM510" s="359"/>
      <c r="VEO510" s="303"/>
      <c r="VEP510" s="356"/>
      <c r="VEQ510" s="359"/>
      <c r="VES510" s="303"/>
      <c r="VET510" s="356"/>
      <c r="VEU510" s="359"/>
      <c r="VEW510" s="303"/>
      <c r="VEX510" s="356"/>
      <c r="VEY510" s="359"/>
      <c r="VFA510" s="303"/>
      <c r="VFB510" s="356"/>
      <c r="VFC510" s="359"/>
      <c r="VFE510" s="303"/>
      <c r="VFF510" s="356"/>
      <c r="VFG510" s="359"/>
      <c r="VFI510" s="303"/>
      <c r="VFJ510" s="356"/>
      <c r="VFK510" s="359"/>
      <c r="VFM510" s="303"/>
      <c r="VFN510" s="356"/>
      <c r="VFO510" s="359"/>
      <c r="VFQ510" s="303"/>
      <c r="VFR510" s="356"/>
      <c r="VFS510" s="359"/>
      <c r="VFU510" s="303"/>
      <c r="VFV510" s="356"/>
      <c r="VFW510" s="359"/>
      <c r="VFY510" s="303"/>
      <c r="VFZ510" s="356"/>
      <c r="VGA510" s="359"/>
      <c r="VGC510" s="303"/>
      <c r="VGD510" s="356"/>
      <c r="VGE510" s="359"/>
      <c r="VGG510" s="303"/>
      <c r="VGH510" s="356"/>
      <c r="VGI510" s="359"/>
      <c r="VGK510" s="303"/>
      <c r="VGL510" s="356"/>
      <c r="VGM510" s="359"/>
      <c r="VGO510" s="303"/>
      <c r="VGP510" s="356"/>
      <c r="VGQ510" s="359"/>
      <c r="VGS510" s="303"/>
      <c r="VGT510" s="356"/>
      <c r="VGU510" s="359"/>
      <c r="VGW510" s="303"/>
      <c r="VGX510" s="356"/>
      <c r="VGY510" s="359"/>
      <c r="VHA510" s="303"/>
      <c r="VHB510" s="356"/>
      <c r="VHC510" s="359"/>
      <c r="VHE510" s="303"/>
      <c r="VHF510" s="356"/>
      <c r="VHG510" s="359"/>
      <c r="VHI510" s="303"/>
      <c r="VHJ510" s="356"/>
      <c r="VHK510" s="359"/>
      <c r="VHM510" s="303"/>
      <c r="VHN510" s="356"/>
      <c r="VHO510" s="359"/>
      <c r="VHQ510" s="303"/>
      <c r="VHR510" s="356"/>
      <c r="VHS510" s="359"/>
      <c r="VHU510" s="303"/>
      <c r="VHV510" s="356"/>
      <c r="VHW510" s="359"/>
      <c r="VHY510" s="303"/>
      <c r="VHZ510" s="356"/>
      <c r="VIA510" s="359"/>
      <c r="VIC510" s="303"/>
      <c r="VID510" s="356"/>
      <c r="VIE510" s="359"/>
      <c r="VIG510" s="303"/>
      <c r="VIH510" s="356"/>
      <c r="VII510" s="359"/>
      <c r="VIK510" s="303"/>
      <c r="VIL510" s="356"/>
      <c r="VIM510" s="359"/>
      <c r="VIO510" s="303"/>
      <c r="VIP510" s="356"/>
      <c r="VIQ510" s="359"/>
      <c r="VIS510" s="303"/>
      <c r="VIT510" s="356"/>
      <c r="VIU510" s="359"/>
      <c r="VIW510" s="303"/>
      <c r="VIX510" s="356"/>
      <c r="VIY510" s="359"/>
      <c r="VJA510" s="303"/>
      <c r="VJB510" s="356"/>
      <c r="VJC510" s="359"/>
      <c r="VJE510" s="303"/>
      <c r="VJF510" s="356"/>
      <c r="VJG510" s="359"/>
      <c r="VJI510" s="303"/>
      <c r="VJJ510" s="356"/>
      <c r="VJK510" s="359"/>
      <c r="VJM510" s="303"/>
      <c r="VJN510" s="356"/>
      <c r="VJO510" s="359"/>
      <c r="VJQ510" s="303"/>
      <c r="VJR510" s="356"/>
      <c r="VJS510" s="359"/>
      <c r="VJU510" s="303"/>
      <c r="VJV510" s="356"/>
      <c r="VJW510" s="359"/>
      <c r="VJY510" s="303"/>
      <c r="VJZ510" s="356"/>
      <c r="VKA510" s="359"/>
      <c r="VKC510" s="303"/>
      <c r="VKD510" s="356"/>
      <c r="VKE510" s="359"/>
      <c r="VKG510" s="303"/>
      <c r="VKH510" s="356"/>
      <c r="VKI510" s="359"/>
      <c r="VKK510" s="303"/>
      <c r="VKL510" s="356"/>
      <c r="VKM510" s="359"/>
      <c r="VKO510" s="303"/>
      <c r="VKP510" s="356"/>
      <c r="VKQ510" s="359"/>
      <c r="VKS510" s="303"/>
      <c r="VKT510" s="356"/>
      <c r="VKU510" s="359"/>
      <c r="VKW510" s="303"/>
      <c r="VKX510" s="356"/>
      <c r="VKY510" s="359"/>
      <c r="VLA510" s="303"/>
      <c r="VLB510" s="356"/>
      <c r="VLC510" s="359"/>
      <c r="VLE510" s="303"/>
      <c r="VLF510" s="356"/>
      <c r="VLG510" s="359"/>
      <c r="VLI510" s="303"/>
      <c r="VLJ510" s="356"/>
      <c r="VLK510" s="359"/>
      <c r="VLM510" s="303"/>
      <c r="VLN510" s="356"/>
      <c r="VLO510" s="359"/>
      <c r="VLQ510" s="303"/>
      <c r="VLR510" s="356"/>
      <c r="VLS510" s="359"/>
      <c r="VLU510" s="303"/>
      <c r="VLV510" s="356"/>
      <c r="VLW510" s="359"/>
      <c r="VLY510" s="303"/>
      <c r="VLZ510" s="356"/>
      <c r="VMA510" s="359"/>
      <c r="VMC510" s="303"/>
      <c r="VMD510" s="356"/>
      <c r="VME510" s="359"/>
      <c r="VMG510" s="303"/>
      <c r="VMH510" s="356"/>
      <c r="VMI510" s="359"/>
      <c r="VMK510" s="303"/>
      <c r="VML510" s="356"/>
      <c r="VMM510" s="359"/>
      <c r="VMO510" s="303"/>
      <c r="VMP510" s="356"/>
      <c r="VMQ510" s="359"/>
      <c r="VMS510" s="303"/>
      <c r="VMT510" s="356"/>
      <c r="VMU510" s="359"/>
      <c r="VMW510" s="303"/>
      <c r="VMX510" s="356"/>
      <c r="VMY510" s="359"/>
      <c r="VNA510" s="303"/>
      <c r="VNB510" s="356"/>
      <c r="VNC510" s="359"/>
      <c r="VNE510" s="303"/>
      <c r="VNF510" s="356"/>
      <c r="VNG510" s="359"/>
      <c r="VNI510" s="303"/>
      <c r="VNJ510" s="356"/>
      <c r="VNK510" s="359"/>
      <c r="VNM510" s="303"/>
      <c r="VNN510" s="356"/>
      <c r="VNO510" s="359"/>
      <c r="VNQ510" s="303"/>
      <c r="VNR510" s="356"/>
      <c r="VNS510" s="359"/>
      <c r="VNU510" s="303"/>
      <c r="VNV510" s="356"/>
      <c r="VNW510" s="359"/>
      <c r="VNY510" s="303"/>
      <c r="VNZ510" s="356"/>
      <c r="VOA510" s="359"/>
      <c r="VOC510" s="303"/>
      <c r="VOD510" s="356"/>
      <c r="VOE510" s="359"/>
      <c r="VOG510" s="303"/>
      <c r="VOH510" s="356"/>
      <c r="VOI510" s="359"/>
      <c r="VOK510" s="303"/>
      <c r="VOL510" s="356"/>
      <c r="VOM510" s="359"/>
      <c r="VOO510" s="303"/>
      <c r="VOP510" s="356"/>
      <c r="VOQ510" s="359"/>
      <c r="VOS510" s="303"/>
      <c r="VOT510" s="356"/>
      <c r="VOU510" s="359"/>
      <c r="VOW510" s="303"/>
      <c r="VOX510" s="356"/>
      <c r="VOY510" s="359"/>
      <c r="VPA510" s="303"/>
      <c r="VPB510" s="356"/>
      <c r="VPC510" s="359"/>
      <c r="VPE510" s="303"/>
      <c r="VPF510" s="356"/>
      <c r="VPG510" s="359"/>
      <c r="VPI510" s="303"/>
      <c r="VPJ510" s="356"/>
      <c r="VPK510" s="359"/>
      <c r="VPM510" s="303"/>
      <c r="VPN510" s="356"/>
      <c r="VPO510" s="359"/>
      <c r="VPQ510" s="303"/>
      <c r="VPR510" s="356"/>
      <c r="VPS510" s="359"/>
      <c r="VPU510" s="303"/>
      <c r="VPV510" s="356"/>
      <c r="VPW510" s="359"/>
      <c r="VPY510" s="303"/>
      <c r="VPZ510" s="356"/>
      <c r="VQA510" s="359"/>
      <c r="VQC510" s="303"/>
      <c r="VQD510" s="356"/>
      <c r="VQE510" s="359"/>
      <c r="VQG510" s="303"/>
      <c r="VQH510" s="356"/>
      <c r="VQI510" s="359"/>
      <c r="VQK510" s="303"/>
      <c r="VQL510" s="356"/>
      <c r="VQM510" s="359"/>
      <c r="VQO510" s="303"/>
      <c r="VQP510" s="356"/>
      <c r="VQQ510" s="359"/>
      <c r="VQS510" s="303"/>
      <c r="VQT510" s="356"/>
      <c r="VQU510" s="359"/>
      <c r="VQW510" s="303"/>
      <c r="VQX510" s="356"/>
      <c r="VQY510" s="359"/>
      <c r="VRA510" s="303"/>
      <c r="VRB510" s="356"/>
      <c r="VRC510" s="359"/>
      <c r="VRE510" s="303"/>
      <c r="VRF510" s="356"/>
      <c r="VRG510" s="359"/>
      <c r="VRI510" s="303"/>
      <c r="VRJ510" s="356"/>
      <c r="VRK510" s="359"/>
      <c r="VRM510" s="303"/>
      <c r="VRN510" s="356"/>
      <c r="VRO510" s="359"/>
      <c r="VRQ510" s="303"/>
      <c r="VRR510" s="356"/>
      <c r="VRS510" s="359"/>
      <c r="VRU510" s="303"/>
      <c r="VRV510" s="356"/>
      <c r="VRW510" s="359"/>
      <c r="VRY510" s="303"/>
      <c r="VRZ510" s="356"/>
      <c r="VSA510" s="359"/>
      <c r="VSC510" s="303"/>
      <c r="VSD510" s="356"/>
      <c r="VSE510" s="359"/>
      <c r="VSG510" s="303"/>
      <c r="VSH510" s="356"/>
      <c r="VSI510" s="359"/>
      <c r="VSK510" s="303"/>
      <c r="VSL510" s="356"/>
      <c r="VSM510" s="359"/>
      <c r="VSO510" s="303"/>
      <c r="VSP510" s="356"/>
      <c r="VSQ510" s="359"/>
      <c r="VSS510" s="303"/>
      <c r="VST510" s="356"/>
      <c r="VSU510" s="359"/>
      <c r="VSW510" s="303"/>
      <c r="VSX510" s="356"/>
      <c r="VSY510" s="359"/>
      <c r="VTA510" s="303"/>
      <c r="VTB510" s="356"/>
      <c r="VTC510" s="359"/>
      <c r="VTE510" s="303"/>
      <c r="VTF510" s="356"/>
      <c r="VTG510" s="359"/>
      <c r="VTI510" s="303"/>
      <c r="VTJ510" s="356"/>
      <c r="VTK510" s="359"/>
      <c r="VTM510" s="303"/>
      <c r="VTN510" s="356"/>
      <c r="VTO510" s="359"/>
      <c r="VTQ510" s="303"/>
      <c r="VTR510" s="356"/>
      <c r="VTS510" s="359"/>
      <c r="VTU510" s="303"/>
      <c r="VTV510" s="356"/>
      <c r="VTW510" s="359"/>
      <c r="VTY510" s="303"/>
      <c r="VTZ510" s="356"/>
      <c r="VUA510" s="359"/>
      <c r="VUC510" s="303"/>
      <c r="VUD510" s="356"/>
      <c r="VUE510" s="359"/>
      <c r="VUG510" s="303"/>
      <c r="VUH510" s="356"/>
      <c r="VUI510" s="359"/>
      <c r="VUK510" s="303"/>
      <c r="VUL510" s="356"/>
      <c r="VUM510" s="359"/>
      <c r="VUO510" s="303"/>
      <c r="VUP510" s="356"/>
      <c r="VUQ510" s="359"/>
      <c r="VUS510" s="303"/>
      <c r="VUT510" s="356"/>
      <c r="VUU510" s="359"/>
      <c r="VUW510" s="303"/>
      <c r="VUX510" s="356"/>
      <c r="VUY510" s="359"/>
      <c r="VVA510" s="303"/>
      <c r="VVB510" s="356"/>
      <c r="VVC510" s="359"/>
      <c r="VVE510" s="303"/>
      <c r="VVF510" s="356"/>
      <c r="VVG510" s="359"/>
      <c r="VVI510" s="303"/>
      <c r="VVJ510" s="356"/>
      <c r="VVK510" s="359"/>
      <c r="VVM510" s="303"/>
      <c r="VVN510" s="356"/>
      <c r="VVO510" s="359"/>
      <c r="VVQ510" s="303"/>
      <c r="VVR510" s="356"/>
      <c r="VVS510" s="359"/>
      <c r="VVU510" s="303"/>
      <c r="VVV510" s="356"/>
      <c r="VVW510" s="359"/>
      <c r="VVY510" s="303"/>
      <c r="VVZ510" s="356"/>
      <c r="VWA510" s="359"/>
      <c r="VWC510" s="303"/>
      <c r="VWD510" s="356"/>
      <c r="VWE510" s="359"/>
      <c r="VWG510" s="303"/>
      <c r="VWH510" s="356"/>
      <c r="VWI510" s="359"/>
      <c r="VWK510" s="303"/>
      <c r="VWL510" s="356"/>
      <c r="VWM510" s="359"/>
      <c r="VWO510" s="303"/>
      <c r="VWP510" s="356"/>
      <c r="VWQ510" s="359"/>
      <c r="VWS510" s="303"/>
      <c r="VWT510" s="356"/>
      <c r="VWU510" s="359"/>
      <c r="VWW510" s="303"/>
      <c r="VWX510" s="356"/>
      <c r="VWY510" s="359"/>
      <c r="VXA510" s="303"/>
      <c r="VXB510" s="356"/>
      <c r="VXC510" s="359"/>
      <c r="VXE510" s="303"/>
      <c r="VXF510" s="356"/>
      <c r="VXG510" s="359"/>
      <c r="VXI510" s="303"/>
      <c r="VXJ510" s="356"/>
      <c r="VXK510" s="359"/>
      <c r="VXM510" s="303"/>
      <c r="VXN510" s="356"/>
      <c r="VXO510" s="359"/>
      <c r="VXQ510" s="303"/>
      <c r="VXR510" s="356"/>
      <c r="VXS510" s="359"/>
      <c r="VXU510" s="303"/>
      <c r="VXV510" s="356"/>
      <c r="VXW510" s="359"/>
      <c r="VXY510" s="303"/>
      <c r="VXZ510" s="356"/>
      <c r="VYA510" s="359"/>
      <c r="VYC510" s="303"/>
      <c r="VYD510" s="356"/>
      <c r="VYE510" s="359"/>
      <c r="VYG510" s="303"/>
      <c r="VYH510" s="356"/>
      <c r="VYI510" s="359"/>
      <c r="VYK510" s="303"/>
      <c r="VYL510" s="356"/>
      <c r="VYM510" s="359"/>
      <c r="VYO510" s="303"/>
      <c r="VYP510" s="356"/>
      <c r="VYQ510" s="359"/>
      <c r="VYS510" s="303"/>
      <c r="VYT510" s="356"/>
      <c r="VYU510" s="359"/>
      <c r="VYW510" s="303"/>
      <c r="VYX510" s="356"/>
      <c r="VYY510" s="359"/>
      <c r="VZA510" s="303"/>
      <c r="VZB510" s="356"/>
      <c r="VZC510" s="359"/>
      <c r="VZE510" s="303"/>
      <c r="VZF510" s="356"/>
      <c r="VZG510" s="359"/>
      <c r="VZI510" s="303"/>
      <c r="VZJ510" s="356"/>
      <c r="VZK510" s="359"/>
      <c r="VZM510" s="303"/>
      <c r="VZN510" s="356"/>
      <c r="VZO510" s="359"/>
      <c r="VZQ510" s="303"/>
      <c r="VZR510" s="356"/>
      <c r="VZS510" s="359"/>
      <c r="VZU510" s="303"/>
      <c r="VZV510" s="356"/>
      <c r="VZW510" s="359"/>
      <c r="VZY510" s="303"/>
      <c r="VZZ510" s="356"/>
      <c r="WAA510" s="359"/>
      <c r="WAC510" s="303"/>
      <c r="WAD510" s="356"/>
      <c r="WAE510" s="359"/>
      <c r="WAG510" s="303"/>
      <c r="WAH510" s="356"/>
      <c r="WAI510" s="359"/>
      <c r="WAK510" s="303"/>
      <c r="WAL510" s="356"/>
      <c r="WAM510" s="359"/>
      <c r="WAO510" s="303"/>
      <c r="WAP510" s="356"/>
      <c r="WAQ510" s="359"/>
      <c r="WAS510" s="303"/>
      <c r="WAT510" s="356"/>
      <c r="WAU510" s="359"/>
      <c r="WAW510" s="303"/>
      <c r="WAX510" s="356"/>
      <c r="WAY510" s="359"/>
      <c r="WBA510" s="303"/>
      <c r="WBB510" s="356"/>
      <c r="WBC510" s="359"/>
      <c r="WBE510" s="303"/>
      <c r="WBF510" s="356"/>
      <c r="WBG510" s="359"/>
      <c r="WBI510" s="303"/>
      <c r="WBJ510" s="356"/>
      <c r="WBK510" s="359"/>
      <c r="WBM510" s="303"/>
      <c r="WBN510" s="356"/>
      <c r="WBO510" s="359"/>
      <c r="WBQ510" s="303"/>
      <c r="WBR510" s="356"/>
      <c r="WBS510" s="359"/>
      <c r="WBU510" s="303"/>
      <c r="WBV510" s="356"/>
      <c r="WBW510" s="359"/>
      <c r="WBY510" s="303"/>
      <c r="WBZ510" s="356"/>
      <c r="WCA510" s="359"/>
      <c r="WCC510" s="303"/>
      <c r="WCD510" s="356"/>
      <c r="WCE510" s="359"/>
      <c r="WCG510" s="303"/>
      <c r="WCH510" s="356"/>
      <c r="WCI510" s="359"/>
      <c r="WCK510" s="303"/>
      <c r="WCL510" s="356"/>
      <c r="WCM510" s="359"/>
      <c r="WCO510" s="303"/>
      <c r="WCP510" s="356"/>
      <c r="WCQ510" s="359"/>
      <c r="WCS510" s="303"/>
      <c r="WCT510" s="356"/>
      <c r="WCU510" s="359"/>
      <c r="WCW510" s="303"/>
      <c r="WCX510" s="356"/>
      <c r="WCY510" s="359"/>
      <c r="WDA510" s="303"/>
      <c r="WDB510" s="356"/>
      <c r="WDC510" s="359"/>
      <c r="WDE510" s="303"/>
      <c r="WDF510" s="356"/>
      <c r="WDG510" s="359"/>
      <c r="WDI510" s="303"/>
      <c r="WDJ510" s="356"/>
      <c r="WDK510" s="359"/>
      <c r="WDM510" s="303"/>
      <c r="WDN510" s="356"/>
      <c r="WDO510" s="359"/>
      <c r="WDQ510" s="303"/>
      <c r="WDR510" s="356"/>
      <c r="WDS510" s="359"/>
      <c r="WDU510" s="303"/>
      <c r="WDV510" s="356"/>
      <c r="WDW510" s="359"/>
      <c r="WDY510" s="303"/>
      <c r="WDZ510" s="356"/>
      <c r="WEA510" s="359"/>
      <c r="WEC510" s="303"/>
      <c r="WED510" s="356"/>
      <c r="WEE510" s="359"/>
      <c r="WEG510" s="303"/>
      <c r="WEH510" s="356"/>
      <c r="WEI510" s="359"/>
      <c r="WEK510" s="303"/>
      <c r="WEL510" s="356"/>
      <c r="WEM510" s="359"/>
      <c r="WEO510" s="303"/>
      <c r="WEP510" s="356"/>
      <c r="WEQ510" s="359"/>
      <c r="WES510" s="303"/>
      <c r="WET510" s="356"/>
      <c r="WEU510" s="359"/>
      <c r="WEW510" s="303"/>
      <c r="WEX510" s="356"/>
      <c r="WEY510" s="359"/>
      <c r="WFA510" s="303"/>
      <c r="WFB510" s="356"/>
      <c r="WFC510" s="359"/>
      <c r="WFE510" s="303"/>
      <c r="WFF510" s="356"/>
      <c r="WFG510" s="359"/>
      <c r="WFI510" s="303"/>
      <c r="WFJ510" s="356"/>
      <c r="WFK510" s="359"/>
      <c r="WFM510" s="303"/>
      <c r="WFN510" s="356"/>
      <c r="WFO510" s="359"/>
      <c r="WFQ510" s="303"/>
      <c r="WFR510" s="356"/>
      <c r="WFS510" s="359"/>
      <c r="WFU510" s="303"/>
      <c r="WFV510" s="356"/>
      <c r="WFW510" s="359"/>
      <c r="WFY510" s="303"/>
      <c r="WFZ510" s="356"/>
      <c r="WGA510" s="359"/>
      <c r="WGC510" s="303"/>
      <c r="WGD510" s="356"/>
      <c r="WGE510" s="359"/>
      <c r="WGG510" s="303"/>
      <c r="WGH510" s="356"/>
      <c r="WGI510" s="359"/>
      <c r="WGK510" s="303"/>
      <c r="WGL510" s="356"/>
      <c r="WGM510" s="359"/>
      <c r="WGO510" s="303"/>
      <c r="WGP510" s="356"/>
      <c r="WGQ510" s="359"/>
      <c r="WGS510" s="303"/>
      <c r="WGT510" s="356"/>
      <c r="WGU510" s="359"/>
      <c r="WGW510" s="303"/>
      <c r="WGX510" s="356"/>
      <c r="WGY510" s="359"/>
      <c r="WHA510" s="303"/>
      <c r="WHB510" s="356"/>
      <c r="WHC510" s="359"/>
      <c r="WHE510" s="303"/>
      <c r="WHF510" s="356"/>
      <c r="WHG510" s="359"/>
      <c r="WHI510" s="303"/>
      <c r="WHJ510" s="356"/>
      <c r="WHK510" s="359"/>
      <c r="WHM510" s="303"/>
      <c r="WHN510" s="356"/>
      <c r="WHO510" s="359"/>
      <c r="WHQ510" s="303"/>
      <c r="WHR510" s="356"/>
      <c r="WHS510" s="359"/>
      <c r="WHU510" s="303"/>
      <c r="WHV510" s="356"/>
      <c r="WHW510" s="359"/>
      <c r="WHY510" s="303"/>
      <c r="WHZ510" s="356"/>
      <c r="WIA510" s="359"/>
      <c r="WIC510" s="303"/>
      <c r="WID510" s="356"/>
      <c r="WIE510" s="359"/>
      <c r="WIG510" s="303"/>
      <c r="WIH510" s="356"/>
      <c r="WII510" s="359"/>
      <c r="WIK510" s="303"/>
      <c r="WIL510" s="356"/>
      <c r="WIM510" s="359"/>
      <c r="WIO510" s="303"/>
      <c r="WIP510" s="356"/>
      <c r="WIQ510" s="359"/>
      <c r="WIS510" s="303"/>
      <c r="WIT510" s="356"/>
      <c r="WIU510" s="359"/>
      <c r="WIW510" s="303"/>
      <c r="WIX510" s="356"/>
      <c r="WIY510" s="359"/>
      <c r="WJA510" s="303"/>
      <c r="WJB510" s="356"/>
      <c r="WJC510" s="359"/>
      <c r="WJE510" s="303"/>
      <c r="WJF510" s="356"/>
      <c r="WJG510" s="359"/>
      <c r="WJI510" s="303"/>
      <c r="WJJ510" s="356"/>
      <c r="WJK510" s="359"/>
      <c r="WJM510" s="303"/>
      <c r="WJN510" s="356"/>
      <c r="WJO510" s="359"/>
      <c r="WJQ510" s="303"/>
      <c r="WJR510" s="356"/>
      <c r="WJS510" s="359"/>
      <c r="WJU510" s="303"/>
      <c r="WJV510" s="356"/>
      <c r="WJW510" s="359"/>
      <c r="WJY510" s="303"/>
      <c r="WJZ510" s="356"/>
      <c r="WKA510" s="359"/>
      <c r="WKC510" s="303"/>
      <c r="WKD510" s="356"/>
      <c r="WKE510" s="359"/>
      <c r="WKG510" s="303"/>
      <c r="WKH510" s="356"/>
      <c r="WKI510" s="359"/>
      <c r="WKK510" s="303"/>
      <c r="WKL510" s="356"/>
      <c r="WKM510" s="359"/>
      <c r="WKO510" s="303"/>
      <c r="WKP510" s="356"/>
      <c r="WKQ510" s="359"/>
      <c r="WKS510" s="303"/>
      <c r="WKT510" s="356"/>
      <c r="WKU510" s="359"/>
      <c r="WKW510" s="303"/>
      <c r="WKX510" s="356"/>
      <c r="WKY510" s="359"/>
      <c r="WLA510" s="303"/>
      <c r="WLB510" s="356"/>
      <c r="WLC510" s="359"/>
      <c r="WLE510" s="303"/>
      <c r="WLF510" s="356"/>
      <c r="WLG510" s="359"/>
      <c r="WLI510" s="303"/>
      <c r="WLJ510" s="356"/>
      <c r="WLK510" s="359"/>
      <c r="WLM510" s="303"/>
      <c r="WLN510" s="356"/>
      <c r="WLO510" s="359"/>
      <c r="WLQ510" s="303"/>
      <c r="WLR510" s="356"/>
      <c r="WLS510" s="359"/>
      <c r="WLU510" s="303"/>
      <c r="WLV510" s="356"/>
      <c r="WLW510" s="359"/>
      <c r="WLY510" s="303"/>
      <c r="WLZ510" s="356"/>
      <c r="WMA510" s="359"/>
      <c r="WMC510" s="303"/>
      <c r="WMD510" s="356"/>
      <c r="WME510" s="359"/>
      <c r="WMG510" s="303"/>
      <c r="WMH510" s="356"/>
      <c r="WMI510" s="359"/>
      <c r="WMK510" s="303"/>
      <c r="WML510" s="356"/>
      <c r="WMM510" s="359"/>
      <c r="WMO510" s="303"/>
      <c r="WMP510" s="356"/>
      <c r="WMQ510" s="359"/>
      <c r="WMS510" s="303"/>
      <c r="WMT510" s="356"/>
      <c r="WMU510" s="359"/>
      <c r="WMW510" s="303"/>
      <c r="WMX510" s="356"/>
      <c r="WMY510" s="359"/>
      <c r="WNA510" s="303"/>
      <c r="WNB510" s="356"/>
      <c r="WNC510" s="359"/>
      <c r="WNE510" s="303"/>
      <c r="WNF510" s="356"/>
      <c r="WNG510" s="359"/>
      <c r="WNI510" s="303"/>
      <c r="WNJ510" s="356"/>
      <c r="WNK510" s="359"/>
      <c r="WNM510" s="303"/>
      <c r="WNN510" s="356"/>
      <c r="WNO510" s="359"/>
      <c r="WNQ510" s="303"/>
      <c r="WNR510" s="356"/>
      <c r="WNS510" s="359"/>
      <c r="WNU510" s="303"/>
      <c r="WNV510" s="356"/>
      <c r="WNW510" s="359"/>
      <c r="WNY510" s="303"/>
      <c r="WNZ510" s="356"/>
      <c r="WOA510" s="359"/>
      <c r="WOC510" s="303"/>
      <c r="WOD510" s="356"/>
      <c r="WOE510" s="359"/>
      <c r="WOG510" s="303"/>
      <c r="WOH510" s="356"/>
      <c r="WOI510" s="359"/>
      <c r="WOK510" s="303"/>
      <c r="WOL510" s="356"/>
      <c r="WOM510" s="359"/>
      <c r="WOO510" s="303"/>
      <c r="WOP510" s="356"/>
      <c r="WOQ510" s="359"/>
      <c r="WOS510" s="303"/>
      <c r="WOT510" s="356"/>
      <c r="WOU510" s="359"/>
      <c r="WOW510" s="303"/>
      <c r="WOX510" s="356"/>
      <c r="WOY510" s="359"/>
      <c r="WPA510" s="303"/>
      <c r="WPB510" s="356"/>
      <c r="WPC510" s="359"/>
      <c r="WPE510" s="303"/>
      <c r="WPF510" s="356"/>
      <c r="WPG510" s="359"/>
      <c r="WPI510" s="303"/>
      <c r="WPJ510" s="356"/>
      <c r="WPK510" s="359"/>
      <c r="WPM510" s="303"/>
      <c r="WPN510" s="356"/>
      <c r="WPO510" s="359"/>
      <c r="WPQ510" s="303"/>
      <c r="WPR510" s="356"/>
      <c r="WPS510" s="359"/>
      <c r="WPU510" s="303"/>
      <c r="WPV510" s="356"/>
      <c r="WPW510" s="359"/>
      <c r="WPY510" s="303"/>
      <c r="WPZ510" s="356"/>
      <c r="WQA510" s="359"/>
      <c r="WQC510" s="303"/>
      <c r="WQD510" s="356"/>
      <c r="WQE510" s="359"/>
      <c r="WQG510" s="303"/>
      <c r="WQH510" s="356"/>
      <c r="WQI510" s="359"/>
      <c r="WQK510" s="303"/>
      <c r="WQL510" s="356"/>
      <c r="WQM510" s="359"/>
      <c r="WQO510" s="303"/>
      <c r="WQP510" s="356"/>
      <c r="WQQ510" s="359"/>
      <c r="WQS510" s="303"/>
      <c r="WQT510" s="356"/>
      <c r="WQU510" s="359"/>
      <c r="WQW510" s="303"/>
      <c r="WQX510" s="356"/>
      <c r="WQY510" s="359"/>
      <c r="WRA510" s="303"/>
      <c r="WRB510" s="356"/>
      <c r="WRC510" s="359"/>
      <c r="WRE510" s="303"/>
      <c r="WRF510" s="356"/>
      <c r="WRG510" s="359"/>
      <c r="WRI510" s="303"/>
      <c r="WRJ510" s="356"/>
      <c r="WRK510" s="359"/>
      <c r="WRM510" s="303"/>
      <c r="WRN510" s="356"/>
      <c r="WRO510" s="359"/>
      <c r="WRQ510" s="303"/>
      <c r="WRR510" s="356"/>
      <c r="WRS510" s="359"/>
      <c r="WRU510" s="303"/>
      <c r="WRV510" s="356"/>
      <c r="WRW510" s="359"/>
      <c r="WRY510" s="303"/>
      <c r="WRZ510" s="356"/>
      <c r="WSA510" s="359"/>
      <c r="WSC510" s="303"/>
      <c r="WSD510" s="356"/>
      <c r="WSE510" s="359"/>
      <c r="WSG510" s="303"/>
      <c r="WSH510" s="356"/>
      <c r="WSI510" s="359"/>
      <c r="WSK510" s="303"/>
      <c r="WSL510" s="356"/>
      <c r="WSM510" s="359"/>
      <c r="WSO510" s="303"/>
      <c r="WSP510" s="356"/>
      <c r="WSQ510" s="359"/>
      <c r="WSS510" s="303"/>
      <c r="WST510" s="356"/>
      <c r="WSU510" s="359"/>
      <c r="WSW510" s="303"/>
      <c r="WSX510" s="356"/>
      <c r="WSY510" s="359"/>
      <c r="WTA510" s="303"/>
      <c r="WTB510" s="356"/>
      <c r="WTC510" s="359"/>
      <c r="WTE510" s="303"/>
      <c r="WTF510" s="356"/>
      <c r="WTG510" s="359"/>
      <c r="WTI510" s="303"/>
      <c r="WTJ510" s="356"/>
      <c r="WTK510" s="359"/>
      <c r="WTM510" s="303"/>
      <c r="WTN510" s="356"/>
      <c r="WTO510" s="359"/>
      <c r="WTQ510" s="303"/>
      <c r="WTR510" s="356"/>
      <c r="WTS510" s="359"/>
      <c r="WTU510" s="303"/>
      <c r="WTV510" s="356"/>
      <c r="WTW510" s="359"/>
      <c r="WTY510" s="303"/>
      <c r="WTZ510" s="356"/>
      <c r="WUA510" s="359"/>
      <c r="WUC510" s="303"/>
      <c r="WUD510" s="356"/>
      <c r="WUE510" s="359"/>
      <c r="WUG510" s="303"/>
      <c r="WUH510" s="356"/>
      <c r="WUI510" s="359"/>
      <c r="WUK510" s="303"/>
      <c r="WUL510" s="356"/>
      <c r="WUM510" s="359"/>
      <c r="WUO510" s="303"/>
      <c r="WUP510" s="356"/>
      <c r="WUQ510" s="359"/>
      <c r="WUS510" s="303"/>
      <c r="WUT510" s="356"/>
      <c r="WUU510" s="359"/>
      <c r="WUW510" s="303"/>
      <c r="WUX510" s="356"/>
      <c r="WUY510" s="359"/>
      <c r="WVA510" s="303"/>
      <c r="WVB510" s="356"/>
      <c r="WVC510" s="359"/>
      <c r="WVE510" s="303"/>
      <c r="WVF510" s="356"/>
      <c r="WVG510" s="359"/>
      <c r="WVI510" s="303"/>
      <c r="WVJ510" s="356"/>
      <c r="WVK510" s="359"/>
      <c r="WVM510" s="303"/>
      <c r="WVN510" s="356"/>
      <c r="WVO510" s="359"/>
      <c r="WVQ510" s="303"/>
      <c r="WVR510" s="356"/>
      <c r="WVS510" s="359"/>
      <c r="WVU510" s="303"/>
      <c r="WVV510" s="356"/>
      <c r="WVW510" s="359"/>
      <c r="WVY510" s="303"/>
      <c r="WVZ510" s="356"/>
      <c r="WWA510" s="359"/>
      <c r="WWC510" s="303"/>
      <c r="WWD510" s="356"/>
      <c r="WWE510" s="359"/>
      <c r="WWG510" s="303"/>
      <c r="WWH510" s="356"/>
      <c r="WWI510" s="359"/>
      <c r="WWK510" s="303"/>
      <c r="WWL510" s="356"/>
      <c r="WWM510" s="359"/>
      <c r="WWO510" s="303"/>
      <c r="WWP510" s="356"/>
      <c r="WWQ510" s="359"/>
      <c r="WWS510" s="303"/>
      <c r="WWT510" s="356"/>
      <c r="WWU510" s="359"/>
      <c r="WWW510" s="303"/>
      <c r="WWX510" s="356"/>
      <c r="WWY510" s="359"/>
      <c r="WXA510" s="303"/>
      <c r="WXB510" s="356"/>
      <c r="WXC510" s="359"/>
      <c r="WXE510" s="303"/>
      <c r="WXF510" s="356"/>
      <c r="WXG510" s="359"/>
      <c r="WXI510" s="303"/>
      <c r="WXJ510" s="356"/>
      <c r="WXK510" s="359"/>
      <c r="WXM510" s="303"/>
      <c r="WXN510" s="356"/>
      <c r="WXO510" s="359"/>
      <c r="WXQ510" s="303"/>
      <c r="WXR510" s="356"/>
      <c r="WXS510" s="359"/>
      <c r="WXU510" s="303"/>
      <c r="WXV510" s="356"/>
      <c r="WXW510" s="359"/>
      <c r="WXY510" s="303"/>
      <c r="WXZ510" s="356"/>
      <c r="WYA510" s="359"/>
      <c r="WYC510" s="303"/>
      <c r="WYD510" s="356"/>
      <c r="WYE510" s="359"/>
      <c r="WYG510" s="303"/>
      <c r="WYH510" s="356"/>
      <c r="WYI510" s="359"/>
      <c r="WYK510" s="303"/>
      <c r="WYL510" s="356"/>
      <c r="WYM510" s="359"/>
      <c r="WYO510" s="303"/>
      <c r="WYP510" s="356"/>
      <c r="WYQ510" s="359"/>
      <c r="WYS510" s="303"/>
      <c r="WYT510" s="356"/>
      <c r="WYU510" s="359"/>
      <c r="WYW510" s="303"/>
      <c r="WYX510" s="356"/>
      <c r="WYY510" s="359"/>
      <c r="WZA510" s="303"/>
      <c r="WZB510" s="356"/>
      <c r="WZC510" s="359"/>
      <c r="WZE510" s="303"/>
      <c r="WZF510" s="356"/>
      <c r="WZG510" s="359"/>
      <c r="WZI510" s="303"/>
      <c r="WZJ510" s="356"/>
      <c r="WZK510" s="359"/>
      <c r="WZM510" s="303"/>
      <c r="WZN510" s="356"/>
      <c r="WZO510" s="359"/>
      <c r="WZQ510" s="303"/>
      <c r="WZR510" s="356"/>
      <c r="WZS510" s="359"/>
      <c r="WZU510" s="303"/>
      <c r="WZV510" s="356"/>
      <c r="WZW510" s="359"/>
      <c r="WZY510" s="303"/>
      <c r="WZZ510" s="356"/>
      <c r="XAA510" s="359"/>
      <c r="XAC510" s="303"/>
      <c r="XAD510" s="356"/>
      <c r="XAE510" s="359"/>
      <c r="XAG510" s="303"/>
      <c r="XAH510" s="356"/>
      <c r="XAI510" s="359"/>
      <c r="XAK510" s="303"/>
      <c r="XAL510" s="356"/>
      <c r="XAM510" s="359"/>
      <c r="XAO510" s="303"/>
      <c r="XAP510" s="356"/>
      <c r="XAQ510" s="359"/>
      <c r="XAS510" s="303"/>
      <c r="XAT510" s="356"/>
      <c r="XAU510" s="359"/>
      <c r="XAW510" s="303"/>
      <c r="XAX510" s="356"/>
      <c r="XAY510" s="359"/>
      <c r="XBA510" s="303"/>
      <c r="XBB510" s="356"/>
      <c r="XBC510" s="359"/>
      <c r="XBE510" s="303"/>
      <c r="XBF510" s="356"/>
      <c r="XBG510" s="359"/>
      <c r="XBI510" s="303"/>
      <c r="XBJ510" s="356"/>
      <c r="XBK510" s="359"/>
      <c r="XBM510" s="303"/>
      <c r="XBN510" s="356"/>
      <c r="XBO510" s="359"/>
      <c r="XBQ510" s="303"/>
      <c r="XBR510" s="356"/>
      <c r="XBS510" s="359"/>
      <c r="XBU510" s="303"/>
      <c r="XBV510" s="356"/>
      <c r="XBW510" s="359"/>
      <c r="XBY510" s="303"/>
      <c r="XBZ510" s="356"/>
      <c r="XCA510" s="359"/>
      <c r="XCC510" s="303"/>
      <c r="XCD510" s="356"/>
      <c r="XCE510" s="359"/>
      <c r="XCG510" s="303"/>
      <c r="XCH510" s="356"/>
      <c r="XCI510" s="359"/>
      <c r="XCK510" s="303"/>
      <c r="XCL510" s="356"/>
      <c r="XCM510" s="359"/>
      <c r="XCO510" s="303"/>
      <c r="XCP510" s="356"/>
      <c r="XCQ510" s="359"/>
      <c r="XCS510" s="303"/>
      <c r="XCT510" s="356"/>
      <c r="XCU510" s="359"/>
      <c r="XCW510" s="303"/>
      <c r="XCX510" s="356"/>
      <c r="XCY510" s="359"/>
      <c r="XDA510" s="303"/>
      <c r="XDB510" s="356"/>
      <c r="XDC510" s="359"/>
      <c r="XDE510" s="303"/>
      <c r="XDF510" s="356"/>
      <c r="XDG510" s="359"/>
      <c r="XDI510" s="303"/>
      <c r="XDJ510" s="356"/>
      <c r="XDK510" s="359"/>
      <c r="XDM510" s="303"/>
      <c r="XDN510" s="356"/>
      <c r="XDO510" s="359"/>
      <c r="XDQ510" s="303"/>
      <c r="XDR510" s="356"/>
      <c r="XDS510" s="359"/>
      <c r="XDU510" s="303"/>
      <c r="XDV510" s="356"/>
      <c r="XDW510" s="359"/>
      <c r="XDY510" s="303"/>
      <c r="XDZ510" s="356"/>
      <c r="XEA510" s="359"/>
      <c r="XEC510" s="303"/>
      <c r="XED510" s="356"/>
      <c r="XEE510" s="359"/>
      <c r="XEG510" s="303"/>
      <c r="XEH510" s="356"/>
      <c r="XEI510" s="359"/>
      <c r="XEK510" s="303"/>
      <c r="XEL510" s="356"/>
      <c r="XEM510" s="359"/>
      <c r="XEO510" s="303"/>
      <c r="XEP510" s="356"/>
      <c r="XEQ510" s="359"/>
      <c r="XES510" s="303"/>
      <c r="XET510" s="356"/>
      <c r="XEU510" s="359"/>
      <c r="XEW510" s="303"/>
      <c r="XEX510" s="356"/>
      <c r="XEY510" s="359"/>
      <c r="XFA510" s="303"/>
      <c r="XFB510" s="356"/>
      <c r="XFC510" s="359"/>
    </row>
    <row r="511" spans="1:1023 1025:2047 2049:3071 3073:4095 4097:5119 5121:6143 6145:7167 7169:8191 8193:9215 9217:10239 10241:11263 11265:12287 12289:13311 13313:14335 14337:15359 15361:16383" s="341" customFormat="1" x14ac:dyDescent="0.2">
      <c r="A511" s="341" t="s">
        <v>1620</v>
      </c>
      <c r="B511" s="361" t="s">
        <v>1033</v>
      </c>
      <c r="C511" s="341" t="s">
        <v>825</v>
      </c>
      <c r="D511" s="341" t="s">
        <v>826</v>
      </c>
      <c r="E511" s="4"/>
    </row>
    <row r="512" spans="1:1023 1025:2047 2049:3071 3073:4095 4097:5119 5121:6143 6145:7167 7169:8191 8193:9215 9217:10239 10241:11263 11265:12287 12289:13311 13313:14335 14337:15359 15361:16383" ht="16" customHeight="1" x14ac:dyDescent="0.2">
      <c r="A512" s="341" t="s">
        <v>1620</v>
      </c>
      <c r="B512" s="356" t="s">
        <v>1034</v>
      </c>
      <c r="C512" s="357" t="s">
        <v>827</v>
      </c>
      <c r="D512" s="341" t="s">
        <v>828</v>
      </c>
      <c r="E512" s="4"/>
    </row>
    <row r="513" spans="1:5" x14ac:dyDescent="0.2">
      <c r="B513" s="360"/>
      <c r="E513" s="4"/>
    </row>
    <row r="514" spans="1:5" s="341" customFormat="1" x14ac:dyDescent="0.2">
      <c r="A514" s="341" t="s">
        <v>1630</v>
      </c>
      <c r="B514" s="361" t="s">
        <v>1631</v>
      </c>
      <c r="C514" s="364" t="s">
        <v>1632</v>
      </c>
      <c r="D514" s="341" t="s">
        <v>1633</v>
      </c>
      <c r="E514" s="4"/>
    </row>
    <row r="515" spans="1:5" s="341" customFormat="1" x14ac:dyDescent="0.2">
      <c r="A515" s="341" t="s">
        <v>1630</v>
      </c>
      <c r="B515" s="361" t="s">
        <v>1634</v>
      </c>
      <c r="C515" s="364" t="s">
        <v>1635</v>
      </c>
      <c r="D515" s="341" t="s">
        <v>1636</v>
      </c>
      <c r="E515" s="4"/>
    </row>
    <row r="516" spans="1:5" s="341" customFormat="1" ht="32" customHeight="1" x14ac:dyDescent="0.2">
      <c r="A516" s="341" t="s">
        <v>1630</v>
      </c>
      <c r="B516" s="361" t="s">
        <v>1637</v>
      </c>
      <c r="C516" s="365" t="s">
        <v>1638</v>
      </c>
      <c r="D516" s="338" t="s">
        <v>1639</v>
      </c>
      <c r="E516" s="4"/>
    </row>
    <row r="517" spans="1:5" s="341" customFormat="1" ht="48" customHeight="1" x14ac:dyDescent="0.2">
      <c r="A517" s="341" t="s">
        <v>1630</v>
      </c>
      <c r="B517" s="361" t="s">
        <v>1640</v>
      </c>
      <c r="C517" s="365" t="s">
        <v>1641</v>
      </c>
      <c r="D517" s="341" t="s">
        <v>1642</v>
      </c>
      <c r="E517" s="4"/>
    </row>
    <row r="518" spans="1:5" s="341" customFormat="1" ht="16" customHeight="1" x14ac:dyDescent="0.2">
      <c r="A518" s="341" t="s">
        <v>1630</v>
      </c>
      <c r="B518" s="361" t="s">
        <v>1643</v>
      </c>
      <c r="C518" s="365" t="s">
        <v>1644</v>
      </c>
      <c r="D518" s="341" t="s">
        <v>1645</v>
      </c>
      <c r="E518" s="4"/>
    </row>
    <row r="519" spans="1:5" s="341" customFormat="1" ht="16" customHeight="1" x14ac:dyDescent="0.2">
      <c r="A519" s="341" t="s">
        <v>1630</v>
      </c>
      <c r="B519" s="361" t="s">
        <v>1646</v>
      </c>
      <c r="C519" s="365" t="s">
        <v>1647</v>
      </c>
      <c r="D519" s="341" t="s">
        <v>1648</v>
      </c>
      <c r="E519" s="4"/>
    </row>
    <row r="520" spans="1:5" s="341" customFormat="1" ht="16" customHeight="1" x14ac:dyDescent="0.2">
      <c r="A520" s="341" t="s">
        <v>1630</v>
      </c>
      <c r="B520" s="356" t="s">
        <v>1085</v>
      </c>
      <c r="C520" s="359" t="s">
        <v>1592</v>
      </c>
      <c r="D520" s="341" t="s">
        <v>1367</v>
      </c>
      <c r="E520" s="4"/>
    </row>
    <row r="521" spans="1:5" s="341" customFormat="1" ht="16" customHeight="1" x14ac:dyDescent="0.2">
      <c r="A521" s="341" t="s">
        <v>1630</v>
      </c>
      <c r="B521" s="361" t="s">
        <v>1033</v>
      </c>
      <c r="C521" s="365" t="s">
        <v>825</v>
      </c>
      <c r="D521" s="338" t="s">
        <v>826</v>
      </c>
      <c r="E521" s="4"/>
    </row>
    <row r="522" spans="1:5" s="341" customFormat="1" ht="16" customHeight="1" x14ac:dyDescent="0.2">
      <c r="A522" s="341" t="s">
        <v>1630</v>
      </c>
      <c r="B522" s="361" t="s">
        <v>1034</v>
      </c>
      <c r="C522" s="365" t="s">
        <v>827</v>
      </c>
      <c r="D522" s="341" t="s">
        <v>1649</v>
      </c>
      <c r="E522" s="4"/>
    </row>
    <row r="523" spans="1:5" x14ac:dyDescent="0.2">
      <c r="B523" s="360"/>
      <c r="C523" s="366"/>
    </row>
    <row r="524" spans="1:5" s="341" customFormat="1" x14ac:dyDescent="0.2">
      <c r="A524" s="341" t="s">
        <v>1650</v>
      </c>
      <c r="B524" s="356" t="s">
        <v>1651</v>
      </c>
      <c r="C524" s="364" t="s">
        <v>1652</v>
      </c>
      <c r="D524" s="338" t="s">
        <v>1653</v>
      </c>
      <c r="E524" s="4"/>
    </row>
    <row r="525" spans="1:5" s="341" customFormat="1" x14ac:dyDescent="0.2">
      <c r="A525" s="341" t="s">
        <v>1650</v>
      </c>
      <c r="B525" s="356" t="s">
        <v>1000</v>
      </c>
      <c r="C525" s="364" t="s">
        <v>1654</v>
      </c>
      <c r="D525" s="341" t="s">
        <v>1655</v>
      </c>
      <c r="E525" s="4"/>
    </row>
    <row r="526" spans="1:5" s="341" customFormat="1" x14ac:dyDescent="0.2">
      <c r="A526" s="341" t="s">
        <v>1650</v>
      </c>
      <c r="B526" s="356" t="s">
        <v>1656</v>
      </c>
      <c r="C526" s="364" t="s">
        <v>1657</v>
      </c>
      <c r="D526" s="341" t="s">
        <v>1658</v>
      </c>
      <c r="E526" s="4"/>
    </row>
    <row r="527" spans="1:5" s="341" customFormat="1" x14ac:dyDescent="0.2">
      <c r="A527" s="341" t="s">
        <v>1650</v>
      </c>
      <c r="B527" s="356" t="s">
        <v>1659</v>
      </c>
      <c r="C527" s="364" t="s">
        <v>1660</v>
      </c>
      <c r="D527" s="338" t="s">
        <v>1661</v>
      </c>
      <c r="E527" s="4"/>
    </row>
    <row r="528" spans="1:5" s="341" customFormat="1" x14ac:dyDescent="0.2">
      <c r="A528" s="341" t="s">
        <v>1650</v>
      </c>
      <c r="B528" s="356" t="s">
        <v>1084</v>
      </c>
      <c r="C528" s="364" t="s">
        <v>1662</v>
      </c>
      <c r="D528" s="341" t="s">
        <v>1663</v>
      </c>
      <c r="E528" s="4"/>
    </row>
    <row r="529" spans="1:5" x14ac:dyDescent="0.2">
      <c r="B529" s="367"/>
      <c r="C529" s="368"/>
    </row>
    <row r="530" spans="1:5" s="341" customFormat="1" x14ac:dyDescent="0.2">
      <c r="A530" s="341" t="s">
        <v>1664</v>
      </c>
      <c r="B530" s="361" t="s">
        <v>1665</v>
      </c>
      <c r="C530" s="341" t="s">
        <v>1666</v>
      </c>
      <c r="D530" s="341" t="s">
        <v>1667</v>
      </c>
      <c r="E530" s="4"/>
    </row>
    <row r="531" spans="1:5" s="341" customFormat="1" x14ac:dyDescent="0.2">
      <c r="A531" s="341" t="s">
        <v>1664</v>
      </c>
      <c r="B531" s="361" t="s">
        <v>1668</v>
      </c>
      <c r="C531" s="341" t="s">
        <v>1669</v>
      </c>
      <c r="D531" s="341" t="s">
        <v>1670</v>
      </c>
      <c r="E531" s="4"/>
    </row>
    <row r="532" spans="1:5" s="341" customFormat="1" x14ac:dyDescent="0.2">
      <c r="A532" s="341" t="s">
        <v>1664</v>
      </c>
      <c r="B532" s="361" t="s">
        <v>1671</v>
      </c>
      <c r="C532" s="341" t="s">
        <v>1672</v>
      </c>
      <c r="D532" s="341" t="s">
        <v>1673</v>
      </c>
      <c r="E532" s="4"/>
    </row>
    <row r="533" spans="1:5" s="341" customFormat="1" x14ac:dyDescent="0.2">
      <c r="A533" s="341" t="s">
        <v>1664</v>
      </c>
      <c r="B533" s="361" t="s">
        <v>1674</v>
      </c>
      <c r="C533" s="341" t="s">
        <v>1675</v>
      </c>
      <c r="D533" s="341" t="s">
        <v>1676</v>
      </c>
      <c r="E533" s="4"/>
    </row>
    <row r="534" spans="1:5" s="341" customFormat="1" x14ac:dyDescent="0.2">
      <c r="A534" s="341" t="s">
        <v>1664</v>
      </c>
      <c r="B534" s="361" t="s">
        <v>1677</v>
      </c>
      <c r="C534" s="341" t="s">
        <v>1678</v>
      </c>
      <c r="D534" s="341" t="s">
        <v>1679</v>
      </c>
      <c r="E534" s="4"/>
    </row>
    <row r="535" spans="1:5" s="341" customFormat="1" x14ac:dyDescent="0.2">
      <c r="A535" s="341" t="s">
        <v>1664</v>
      </c>
      <c r="B535" s="361" t="s">
        <v>1680</v>
      </c>
      <c r="C535" s="341" t="s">
        <v>1681</v>
      </c>
      <c r="D535" s="341" t="s">
        <v>1682</v>
      </c>
      <c r="E535" s="4"/>
    </row>
    <row r="536" spans="1:5" s="341" customFormat="1" x14ac:dyDescent="0.2">
      <c r="A536" s="341" t="s">
        <v>1664</v>
      </c>
      <c r="B536" s="361" t="s">
        <v>1683</v>
      </c>
      <c r="C536" s="341" t="s">
        <v>1684</v>
      </c>
      <c r="D536" s="341" t="s">
        <v>1685</v>
      </c>
      <c r="E536" s="4"/>
    </row>
    <row r="537" spans="1:5" s="341" customFormat="1" x14ac:dyDescent="0.2">
      <c r="A537" s="341" t="s">
        <v>1664</v>
      </c>
      <c r="B537" s="361" t="s">
        <v>1686</v>
      </c>
      <c r="C537" s="341" t="s">
        <v>1687</v>
      </c>
      <c r="D537" s="341" t="s">
        <v>1688</v>
      </c>
      <c r="E537" s="4"/>
    </row>
    <row r="538" spans="1:5" s="341" customFormat="1" x14ac:dyDescent="0.2">
      <c r="A538" s="341" t="s">
        <v>1664</v>
      </c>
      <c r="B538" s="361" t="s">
        <v>1689</v>
      </c>
      <c r="C538" s="341" t="s">
        <v>1690</v>
      </c>
      <c r="D538" s="341" t="s">
        <v>1691</v>
      </c>
      <c r="E538" s="4"/>
    </row>
    <row r="539" spans="1:5" s="341" customFormat="1" x14ac:dyDescent="0.2">
      <c r="A539" s="341" t="s">
        <v>1664</v>
      </c>
      <c r="B539" s="361" t="s">
        <v>1692</v>
      </c>
      <c r="C539" s="341" t="s">
        <v>1693</v>
      </c>
      <c r="D539" s="341" t="s">
        <v>1694</v>
      </c>
      <c r="E539" s="4"/>
    </row>
    <row r="540" spans="1:5" s="341" customFormat="1" x14ac:dyDescent="0.2">
      <c r="A540" s="341" t="s">
        <v>1664</v>
      </c>
      <c r="B540" s="361" t="s">
        <v>1695</v>
      </c>
      <c r="C540" s="341" t="s">
        <v>1696</v>
      </c>
      <c r="D540" s="341" t="s">
        <v>1697</v>
      </c>
      <c r="E540" s="4"/>
    </row>
    <row r="541" spans="1:5" s="341" customFormat="1" x14ac:dyDescent="0.2">
      <c r="A541" s="341" t="s">
        <v>1664</v>
      </c>
      <c r="B541" s="361" t="s">
        <v>1698</v>
      </c>
      <c r="C541" s="341" t="s">
        <v>1699</v>
      </c>
      <c r="D541" s="341" t="s">
        <v>1700</v>
      </c>
      <c r="E541" s="4"/>
    </row>
    <row r="542" spans="1:5" s="341" customFormat="1" x14ac:dyDescent="0.2">
      <c r="A542" s="341" t="s">
        <v>1664</v>
      </c>
      <c r="B542" s="361" t="s">
        <v>1701</v>
      </c>
      <c r="C542" s="341" t="s">
        <v>1702</v>
      </c>
      <c r="D542" s="341" t="s">
        <v>1703</v>
      </c>
      <c r="E542" s="4"/>
    </row>
    <row r="543" spans="1:5" s="341" customFormat="1" x14ac:dyDescent="0.2">
      <c r="A543" s="341" t="s">
        <v>1664</v>
      </c>
      <c r="B543" s="361" t="s">
        <v>1704</v>
      </c>
      <c r="C543" s="341" t="s">
        <v>1705</v>
      </c>
      <c r="D543" s="341" t="s">
        <v>1706</v>
      </c>
      <c r="E543" s="4"/>
    </row>
    <row r="544" spans="1:5" s="341" customFormat="1" x14ac:dyDescent="0.2">
      <c r="A544" s="341" t="s">
        <v>1664</v>
      </c>
      <c r="B544" s="361" t="s">
        <v>1707</v>
      </c>
      <c r="C544" s="341" t="s">
        <v>1708</v>
      </c>
      <c r="D544" s="341" t="s">
        <v>1709</v>
      </c>
      <c r="E544" s="4"/>
    </row>
    <row r="545" spans="1:5" s="341" customFormat="1" x14ac:dyDescent="0.2">
      <c r="A545" s="341" t="s">
        <v>1664</v>
      </c>
      <c r="B545" s="361" t="s">
        <v>1710</v>
      </c>
      <c r="C545" s="341" t="s">
        <v>1711</v>
      </c>
      <c r="D545" s="341" t="s">
        <v>1712</v>
      </c>
      <c r="E545" s="4"/>
    </row>
    <row r="546" spans="1:5" s="341" customFormat="1" x14ac:dyDescent="0.2">
      <c r="A546" s="341" t="s">
        <v>1664</v>
      </c>
      <c r="B546" s="361" t="s">
        <v>1713</v>
      </c>
      <c r="C546" s="341" t="s">
        <v>1714</v>
      </c>
      <c r="D546" s="341" t="s">
        <v>1715</v>
      </c>
      <c r="E546" s="4"/>
    </row>
    <row r="547" spans="1:5" s="341" customFormat="1" x14ac:dyDescent="0.2">
      <c r="A547" s="341" t="s">
        <v>1664</v>
      </c>
      <c r="B547" s="361" t="s">
        <v>1716</v>
      </c>
      <c r="C547" s="341" t="s">
        <v>1717</v>
      </c>
      <c r="D547" s="341" t="s">
        <v>1718</v>
      </c>
      <c r="E547" s="4"/>
    </row>
    <row r="548" spans="1:5" s="341" customFormat="1" x14ac:dyDescent="0.2">
      <c r="A548" s="341" t="s">
        <v>1664</v>
      </c>
      <c r="B548" s="361" t="s">
        <v>1719</v>
      </c>
      <c r="C548" s="341" t="s">
        <v>1720</v>
      </c>
      <c r="D548" s="341" t="s">
        <v>1721</v>
      </c>
      <c r="E548" s="4"/>
    </row>
    <row r="549" spans="1:5" s="341" customFormat="1" x14ac:dyDescent="0.2">
      <c r="A549" s="341" t="s">
        <v>1664</v>
      </c>
      <c r="B549" s="361" t="s">
        <v>1722</v>
      </c>
      <c r="C549" s="341" t="s">
        <v>1723</v>
      </c>
      <c r="D549" s="341" t="s">
        <v>1724</v>
      </c>
      <c r="E549" s="4"/>
    </row>
    <row r="550" spans="1:5" s="341" customFormat="1" x14ac:dyDescent="0.2">
      <c r="A550" s="341" t="s">
        <v>1664</v>
      </c>
      <c r="B550" s="361" t="s">
        <v>1725</v>
      </c>
      <c r="C550" s="341" t="s">
        <v>1726</v>
      </c>
      <c r="D550" s="341" t="s">
        <v>1727</v>
      </c>
      <c r="E550" s="4"/>
    </row>
    <row r="551" spans="1:5" s="341" customFormat="1" x14ac:dyDescent="0.2">
      <c r="A551" s="341" t="s">
        <v>1664</v>
      </c>
      <c r="B551" s="361" t="s">
        <v>1728</v>
      </c>
      <c r="C551" s="341" t="s">
        <v>1729</v>
      </c>
      <c r="D551" s="341" t="s">
        <v>1730</v>
      </c>
      <c r="E551" s="4"/>
    </row>
    <row r="552" spans="1:5" s="341" customFormat="1" x14ac:dyDescent="0.2">
      <c r="A552" s="341" t="s">
        <v>1664</v>
      </c>
      <c r="B552" s="361" t="s">
        <v>1731</v>
      </c>
      <c r="C552" s="341" t="s">
        <v>1732</v>
      </c>
      <c r="D552" s="341" t="s">
        <v>1733</v>
      </c>
      <c r="E552" s="4"/>
    </row>
    <row r="553" spans="1:5" s="341" customFormat="1" x14ac:dyDescent="0.2">
      <c r="A553" s="341" t="s">
        <v>1664</v>
      </c>
      <c r="B553" s="361" t="s">
        <v>1734</v>
      </c>
      <c r="C553" s="341" t="s">
        <v>1735</v>
      </c>
      <c r="D553" s="341" t="s">
        <v>1736</v>
      </c>
      <c r="E553" s="4"/>
    </row>
    <row r="554" spans="1:5" s="341" customFormat="1" x14ac:dyDescent="0.2">
      <c r="A554" s="341" t="s">
        <v>1664</v>
      </c>
      <c r="B554" s="361" t="s">
        <v>1737</v>
      </c>
      <c r="C554" s="341" t="s">
        <v>1738</v>
      </c>
      <c r="D554" s="341" t="s">
        <v>1739</v>
      </c>
      <c r="E554" s="4"/>
    </row>
    <row r="555" spans="1:5" s="341" customFormat="1" x14ac:dyDescent="0.2">
      <c r="A555" s="341" t="s">
        <v>1664</v>
      </c>
      <c r="B555" s="361" t="s">
        <v>1740</v>
      </c>
      <c r="C555" s="341" t="s">
        <v>1741</v>
      </c>
      <c r="D555" s="341" t="s">
        <v>1742</v>
      </c>
      <c r="E555" s="4"/>
    </row>
    <row r="556" spans="1:5" s="341" customFormat="1" x14ac:dyDescent="0.2">
      <c r="A556" s="341" t="s">
        <v>1664</v>
      </c>
      <c r="B556" s="361" t="s">
        <v>1743</v>
      </c>
      <c r="C556" s="341" t="s">
        <v>1744</v>
      </c>
      <c r="D556" s="341" t="s">
        <v>1745</v>
      </c>
      <c r="E556" s="4"/>
    </row>
    <row r="557" spans="1:5" s="341" customFormat="1" x14ac:dyDescent="0.2">
      <c r="A557" s="341" t="s">
        <v>1664</v>
      </c>
      <c r="B557" s="361" t="s">
        <v>1746</v>
      </c>
      <c r="C557" s="341" t="s">
        <v>1747</v>
      </c>
      <c r="D557" s="341" t="s">
        <v>1748</v>
      </c>
      <c r="E557" s="4"/>
    </row>
    <row r="558" spans="1:5" s="341" customFormat="1" x14ac:dyDescent="0.2">
      <c r="A558" s="341" t="s">
        <v>1664</v>
      </c>
      <c r="B558" s="361" t="s">
        <v>1749</v>
      </c>
      <c r="C558" s="341" t="s">
        <v>1750</v>
      </c>
      <c r="D558" s="341" t="s">
        <v>1751</v>
      </c>
      <c r="E558" s="4"/>
    </row>
    <row r="559" spans="1:5" s="341" customFormat="1" x14ac:dyDescent="0.2">
      <c r="A559" s="341" t="s">
        <v>1664</v>
      </c>
      <c r="B559" s="361" t="s">
        <v>1752</v>
      </c>
      <c r="C559" s="341" t="s">
        <v>1753</v>
      </c>
      <c r="D559" s="341" t="s">
        <v>1754</v>
      </c>
      <c r="E559" s="4"/>
    </row>
    <row r="560" spans="1:5" s="341" customFormat="1" x14ac:dyDescent="0.2">
      <c r="A560" s="341" t="s">
        <v>1664</v>
      </c>
      <c r="B560" s="361" t="s">
        <v>1755</v>
      </c>
      <c r="C560" s="341" t="s">
        <v>1756</v>
      </c>
      <c r="D560" s="341" t="s">
        <v>1757</v>
      </c>
      <c r="E560" s="4"/>
    </row>
    <row r="561" spans="1:5" s="341" customFormat="1" x14ac:dyDescent="0.2">
      <c r="A561" s="341" t="s">
        <v>1664</v>
      </c>
      <c r="B561" s="361" t="s">
        <v>1758</v>
      </c>
      <c r="C561" s="341" t="s">
        <v>1759</v>
      </c>
      <c r="D561" s="341" t="s">
        <v>1760</v>
      </c>
      <c r="E561" s="4"/>
    </row>
    <row r="562" spans="1:5" s="341" customFormat="1" x14ac:dyDescent="0.2">
      <c r="A562" s="341" t="s">
        <v>1664</v>
      </c>
      <c r="B562" s="361" t="s">
        <v>1761</v>
      </c>
      <c r="C562" s="341" t="s">
        <v>1762</v>
      </c>
      <c r="D562" s="341" t="s">
        <v>1763</v>
      </c>
      <c r="E562" s="4"/>
    </row>
    <row r="563" spans="1:5" s="341" customFormat="1" x14ac:dyDescent="0.2">
      <c r="A563" s="341" t="s">
        <v>1664</v>
      </c>
      <c r="B563" s="361" t="s">
        <v>1764</v>
      </c>
      <c r="C563" s="341" t="s">
        <v>1765</v>
      </c>
      <c r="D563" s="341" t="s">
        <v>1766</v>
      </c>
      <c r="E563" s="4"/>
    </row>
    <row r="564" spans="1:5" s="341" customFormat="1" x14ac:dyDescent="0.2">
      <c r="A564" s="341" t="s">
        <v>1664</v>
      </c>
      <c r="B564" s="361" t="s">
        <v>1767</v>
      </c>
      <c r="C564" s="341" t="s">
        <v>1768</v>
      </c>
      <c r="D564" s="341" t="s">
        <v>1769</v>
      </c>
      <c r="E564" s="4"/>
    </row>
    <row r="565" spans="1:5" s="341" customFormat="1" x14ac:dyDescent="0.2">
      <c r="A565" s="341" t="s">
        <v>1664</v>
      </c>
      <c r="B565" s="361" t="s">
        <v>1770</v>
      </c>
      <c r="C565" s="341" t="s">
        <v>1771</v>
      </c>
      <c r="D565" s="341" t="s">
        <v>1772</v>
      </c>
      <c r="E565" s="4"/>
    </row>
    <row r="566" spans="1:5" s="341" customFormat="1" x14ac:dyDescent="0.2">
      <c r="A566" s="341" t="s">
        <v>1664</v>
      </c>
      <c r="B566" s="361" t="s">
        <v>1773</v>
      </c>
      <c r="C566" s="341" t="s">
        <v>1774</v>
      </c>
      <c r="D566" s="341" t="s">
        <v>1775</v>
      </c>
      <c r="E566" s="4"/>
    </row>
    <row r="567" spans="1:5" s="341" customFormat="1" x14ac:dyDescent="0.2">
      <c r="A567" s="341" t="s">
        <v>1664</v>
      </c>
      <c r="B567" s="361" t="s">
        <v>1776</v>
      </c>
      <c r="C567" s="341" t="s">
        <v>1777</v>
      </c>
      <c r="D567" s="341" t="s">
        <v>1778</v>
      </c>
      <c r="E567" s="4"/>
    </row>
    <row r="568" spans="1:5" s="341" customFormat="1" x14ac:dyDescent="0.2">
      <c r="A568" s="341" t="s">
        <v>1664</v>
      </c>
      <c r="B568" s="361" t="s">
        <v>1779</v>
      </c>
      <c r="C568" s="341" t="s">
        <v>1780</v>
      </c>
      <c r="D568" s="341" t="s">
        <v>1781</v>
      </c>
      <c r="E568" s="4"/>
    </row>
    <row r="569" spans="1:5" s="341" customFormat="1" x14ac:dyDescent="0.2">
      <c r="A569" s="341" t="s">
        <v>1664</v>
      </c>
      <c r="B569" s="361" t="s">
        <v>1782</v>
      </c>
      <c r="C569" s="341" t="s">
        <v>1783</v>
      </c>
      <c r="D569" s="341" t="s">
        <v>1784</v>
      </c>
      <c r="E569" s="4"/>
    </row>
    <row r="570" spans="1:5" s="341" customFormat="1" x14ac:dyDescent="0.2">
      <c r="A570" s="341" t="s">
        <v>1664</v>
      </c>
      <c r="B570" s="361" t="s">
        <v>1785</v>
      </c>
      <c r="C570" s="341" t="s">
        <v>1786</v>
      </c>
      <c r="D570" s="341" t="s">
        <v>1787</v>
      </c>
      <c r="E570" s="4"/>
    </row>
    <row r="571" spans="1:5" s="341" customFormat="1" x14ac:dyDescent="0.2">
      <c r="A571" s="341" t="s">
        <v>1664</v>
      </c>
      <c r="B571" s="361" t="s">
        <v>1788</v>
      </c>
      <c r="C571" s="341" t="s">
        <v>1789</v>
      </c>
      <c r="D571" s="341" t="s">
        <v>1790</v>
      </c>
      <c r="E571" s="4"/>
    </row>
    <row r="572" spans="1:5" s="341" customFormat="1" x14ac:dyDescent="0.2">
      <c r="A572" s="341" t="s">
        <v>1664</v>
      </c>
      <c r="B572" s="361" t="s">
        <v>1791</v>
      </c>
      <c r="C572" s="341" t="s">
        <v>1792</v>
      </c>
      <c r="D572" s="341" t="s">
        <v>1793</v>
      </c>
      <c r="E572" s="4"/>
    </row>
    <row r="573" spans="1:5" s="341" customFormat="1" x14ac:dyDescent="0.2">
      <c r="A573" s="341" t="s">
        <v>1664</v>
      </c>
      <c r="B573" s="361" t="s">
        <v>1794</v>
      </c>
      <c r="C573" s="341" t="s">
        <v>1795</v>
      </c>
      <c r="D573" s="341" t="s">
        <v>1796</v>
      </c>
      <c r="E573" s="4"/>
    </row>
    <row r="574" spans="1:5" s="341" customFormat="1" x14ac:dyDescent="0.2">
      <c r="A574" s="341" t="s">
        <v>1664</v>
      </c>
      <c r="B574" s="361" t="s">
        <v>1797</v>
      </c>
      <c r="C574" s="341" t="s">
        <v>1798</v>
      </c>
      <c r="D574" s="341" t="s">
        <v>1799</v>
      </c>
      <c r="E574" s="4"/>
    </row>
    <row r="575" spans="1:5" s="341" customFormat="1" x14ac:dyDescent="0.2">
      <c r="A575" s="341" t="s">
        <v>1664</v>
      </c>
      <c r="B575" s="361" t="s">
        <v>1800</v>
      </c>
      <c r="C575" s="341" t="s">
        <v>1801</v>
      </c>
      <c r="D575" s="341" t="s">
        <v>1802</v>
      </c>
      <c r="E575" s="4"/>
    </row>
    <row r="576" spans="1:5" s="341" customFormat="1" x14ac:dyDescent="0.2">
      <c r="A576" s="341" t="s">
        <v>1664</v>
      </c>
      <c r="B576" s="361" t="s">
        <v>1803</v>
      </c>
      <c r="C576" s="341" t="s">
        <v>1804</v>
      </c>
      <c r="D576" s="341" t="s">
        <v>1805</v>
      </c>
      <c r="E576" s="4"/>
    </row>
    <row r="577" spans="1:5" s="341" customFormat="1" x14ac:dyDescent="0.2">
      <c r="A577" s="341" t="s">
        <v>1664</v>
      </c>
      <c r="B577" s="361" t="s">
        <v>1806</v>
      </c>
      <c r="C577" s="341" t="s">
        <v>1807</v>
      </c>
      <c r="D577" s="341" t="s">
        <v>1808</v>
      </c>
      <c r="E577" s="4"/>
    </row>
    <row r="578" spans="1:5" s="341" customFormat="1" x14ac:dyDescent="0.2">
      <c r="A578" s="341" t="s">
        <v>1664</v>
      </c>
      <c r="B578" s="361" t="s">
        <v>1809</v>
      </c>
      <c r="C578" s="341" t="s">
        <v>1810</v>
      </c>
      <c r="D578" s="341" t="s">
        <v>1811</v>
      </c>
      <c r="E578" s="4"/>
    </row>
    <row r="579" spans="1:5" s="341" customFormat="1" x14ac:dyDescent="0.2">
      <c r="A579" s="341" t="s">
        <v>1664</v>
      </c>
      <c r="B579" s="361" t="s">
        <v>1812</v>
      </c>
      <c r="C579" s="341" t="s">
        <v>1813</v>
      </c>
      <c r="D579" s="341" t="s">
        <v>1814</v>
      </c>
      <c r="E579" s="4"/>
    </row>
    <row r="580" spans="1:5" s="341" customFormat="1" x14ac:dyDescent="0.2">
      <c r="A580" s="341" t="s">
        <v>1664</v>
      </c>
      <c r="B580" s="361" t="s">
        <v>1815</v>
      </c>
      <c r="C580" s="341" t="s">
        <v>1816</v>
      </c>
      <c r="D580" s="341" t="s">
        <v>1817</v>
      </c>
      <c r="E580" s="4"/>
    </row>
    <row r="581" spans="1:5" s="341" customFormat="1" x14ac:dyDescent="0.2">
      <c r="A581" s="341" t="s">
        <v>1664</v>
      </c>
      <c r="B581" s="361" t="s">
        <v>1818</v>
      </c>
      <c r="C581" s="341" t="s">
        <v>1819</v>
      </c>
      <c r="D581" s="341" t="s">
        <v>1820</v>
      </c>
      <c r="E581" s="4"/>
    </row>
    <row r="582" spans="1:5" s="341" customFormat="1" x14ac:dyDescent="0.2">
      <c r="A582" s="341" t="s">
        <v>1664</v>
      </c>
      <c r="B582" s="361" t="s">
        <v>1821</v>
      </c>
      <c r="C582" s="341" t="s">
        <v>1822</v>
      </c>
      <c r="D582" s="341" t="s">
        <v>1823</v>
      </c>
      <c r="E582" s="4"/>
    </row>
    <row r="583" spans="1:5" s="341" customFormat="1" x14ac:dyDescent="0.2">
      <c r="A583" s="341" t="s">
        <v>1664</v>
      </c>
      <c r="B583" s="361" t="s">
        <v>1824</v>
      </c>
      <c r="C583" s="341" t="s">
        <v>1825</v>
      </c>
      <c r="D583" s="341" t="s">
        <v>1826</v>
      </c>
      <c r="E583" s="4"/>
    </row>
    <row r="584" spans="1:5" s="341" customFormat="1" x14ac:dyDescent="0.2">
      <c r="A584" s="341" t="s">
        <v>1664</v>
      </c>
      <c r="B584" s="361" t="s">
        <v>1827</v>
      </c>
      <c r="C584" s="341" t="s">
        <v>1828</v>
      </c>
      <c r="D584" s="341" t="s">
        <v>1829</v>
      </c>
      <c r="E584" s="4"/>
    </row>
    <row r="585" spans="1:5" s="341" customFormat="1" x14ac:dyDescent="0.2">
      <c r="A585" s="341" t="s">
        <v>1664</v>
      </c>
      <c r="B585" s="361" t="s">
        <v>1830</v>
      </c>
      <c r="C585" s="341" t="s">
        <v>1831</v>
      </c>
      <c r="D585" s="341" t="s">
        <v>1832</v>
      </c>
      <c r="E585" s="4"/>
    </row>
    <row r="586" spans="1:5" s="341" customFormat="1" x14ac:dyDescent="0.2">
      <c r="A586" s="341" t="s">
        <v>1664</v>
      </c>
      <c r="B586" s="361" t="s">
        <v>1833</v>
      </c>
      <c r="C586" s="341" t="s">
        <v>1834</v>
      </c>
      <c r="D586" s="341" t="s">
        <v>1835</v>
      </c>
      <c r="E586" s="4"/>
    </row>
    <row r="587" spans="1:5" s="341" customFormat="1" x14ac:dyDescent="0.2">
      <c r="A587" s="341" t="s">
        <v>1664</v>
      </c>
      <c r="B587" s="361" t="s">
        <v>1836</v>
      </c>
      <c r="C587" s="341" t="s">
        <v>1837</v>
      </c>
      <c r="D587" s="341" t="s">
        <v>1838</v>
      </c>
      <c r="E587" s="4"/>
    </row>
    <row r="588" spans="1:5" s="341" customFormat="1" x14ac:dyDescent="0.2">
      <c r="A588" s="341" t="s">
        <v>1664</v>
      </c>
      <c r="B588" s="361" t="s">
        <v>1839</v>
      </c>
      <c r="C588" s="341" t="s">
        <v>1840</v>
      </c>
      <c r="D588" s="341" t="s">
        <v>1841</v>
      </c>
      <c r="E588" s="4"/>
    </row>
    <row r="589" spans="1:5" s="341" customFormat="1" x14ac:dyDescent="0.2">
      <c r="A589" s="341" t="s">
        <v>1664</v>
      </c>
      <c r="B589" s="361" t="s">
        <v>1842</v>
      </c>
      <c r="C589" s="341" t="s">
        <v>1843</v>
      </c>
      <c r="D589" s="341" t="s">
        <v>1844</v>
      </c>
      <c r="E589" s="4"/>
    </row>
    <row r="590" spans="1:5" s="341" customFormat="1" x14ac:dyDescent="0.2">
      <c r="A590" s="341" t="s">
        <v>1664</v>
      </c>
      <c r="B590" s="361" t="s">
        <v>1845</v>
      </c>
      <c r="C590" s="341" t="s">
        <v>1846</v>
      </c>
      <c r="D590" s="341" t="s">
        <v>1847</v>
      </c>
      <c r="E590" s="4"/>
    </row>
    <row r="591" spans="1:5" s="341" customFormat="1" x14ac:dyDescent="0.2">
      <c r="A591" s="341" t="s">
        <v>1664</v>
      </c>
      <c r="B591" s="361" t="s">
        <v>1848</v>
      </c>
      <c r="C591" s="341" t="s">
        <v>1849</v>
      </c>
      <c r="D591" s="341" t="s">
        <v>1850</v>
      </c>
      <c r="E591" s="4"/>
    </row>
    <row r="592" spans="1:5" s="341" customFormat="1" x14ac:dyDescent="0.2">
      <c r="A592" s="341" t="s">
        <v>1664</v>
      </c>
      <c r="B592" s="361" t="s">
        <v>1851</v>
      </c>
      <c r="C592" s="341" t="s">
        <v>1852</v>
      </c>
      <c r="D592" s="341" t="s">
        <v>1853</v>
      </c>
      <c r="E592" s="4"/>
    </row>
    <row r="593" spans="1:5" s="341" customFormat="1" x14ac:dyDescent="0.2">
      <c r="A593" s="341" t="s">
        <v>1664</v>
      </c>
      <c r="B593" s="361" t="s">
        <v>1854</v>
      </c>
      <c r="C593" s="341" t="s">
        <v>1855</v>
      </c>
      <c r="D593" s="341" t="s">
        <v>1856</v>
      </c>
      <c r="E593" s="4"/>
    </row>
    <row r="594" spans="1:5" s="341" customFormat="1" x14ac:dyDescent="0.2">
      <c r="A594" s="341" t="s">
        <v>1664</v>
      </c>
      <c r="B594" s="361" t="s">
        <v>1857</v>
      </c>
      <c r="C594" s="341" t="s">
        <v>1858</v>
      </c>
      <c r="D594" s="341" t="s">
        <v>1859</v>
      </c>
      <c r="E594" s="4"/>
    </row>
    <row r="595" spans="1:5" s="341" customFormat="1" x14ac:dyDescent="0.2">
      <c r="A595" s="341" t="s">
        <v>1664</v>
      </c>
      <c r="B595" s="361" t="s">
        <v>1860</v>
      </c>
      <c r="C595" s="341" t="s">
        <v>1861</v>
      </c>
      <c r="D595" s="341" t="s">
        <v>1862</v>
      </c>
      <c r="E595" s="4"/>
    </row>
    <row r="596" spans="1:5" s="341" customFormat="1" x14ac:dyDescent="0.2">
      <c r="A596" s="341" t="s">
        <v>1664</v>
      </c>
      <c r="B596" s="361" t="s">
        <v>1863</v>
      </c>
      <c r="C596" s="341" t="s">
        <v>1864</v>
      </c>
      <c r="D596" s="341" t="s">
        <v>1865</v>
      </c>
      <c r="E596" s="4"/>
    </row>
    <row r="597" spans="1:5" s="341" customFormat="1" x14ac:dyDescent="0.2">
      <c r="A597" s="341" t="s">
        <v>1664</v>
      </c>
      <c r="B597" s="361" t="s">
        <v>1866</v>
      </c>
      <c r="C597" s="341" t="s">
        <v>1867</v>
      </c>
      <c r="D597" s="341" t="s">
        <v>1868</v>
      </c>
      <c r="E597" s="4"/>
    </row>
    <row r="598" spans="1:5" s="341" customFormat="1" x14ac:dyDescent="0.2">
      <c r="A598" s="341" t="s">
        <v>1664</v>
      </c>
      <c r="B598" s="361" t="s">
        <v>1869</v>
      </c>
      <c r="C598" s="341" t="s">
        <v>1870</v>
      </c>
      <c r="D598" s="341" t="s">
        <v>1871</v>
      </c>
      <c r="E598" s="4"/>
    </row>
    <row r="599" spans="1:5" s="341" customFormat="1" x14ac:dyDescent="0.2">
      <c r="A599" s="341" t="s">
        <v>1664</v>
      </c>
      <c r="B599" s="361" t="s">
        <v>1872</v>
      </c>
      <c r="C599" s="341" t="s">
        <v>1873</v>
      </c>
      <c r="D599" s="341" t="s">
        <v>1874</v>
      </c>
      <c r="E599" s="4"/>
    </row>
    <row r="600" spans="1:5" s="341" customFormat="1" x14ac:dyDescent="0.2">
      <c r="A600" s="341" t="s">
        <v>1664</v>
      </c>
      <c r="B600" s="361" t="s">
        <v>1875</v>
      </c>
      <c r="C600" s="341" t="s">
        <v>1876</v>
      </c>
      <c r="D600" s="341" t="s">
        <v>1877</v>
      </c>
      <c r="E600" s="4"/>
    </row>
    <row r="601" spans="1:5" s="341" customFormat="1" x14ac:dyDescent="0.2">
      <c r="A601" s="341" t="s">
        <v>1664</v>
      </c>
      <c r="B601" s="361" t="s">
        <v>1878</v>
      </c>
      <c r="C601" s="341" t="s">
        <v>1879</v>
      </c>
      <c r="D601" s="341" t="s">
        <v>1880</v>
      </c>
      <c r="E601" s="4"/>
    </row>
    <row r="602" spans="1:5" s="341" customFormat="1" x14ac:dyDescent="0.2">
      <c r="A602" s="341" t="s">
        <v>1664</v>
      </c>
      <c r="B602" s="361" t="s">
        <v>1881</v>
      </c>
      <c r="C602" s="341" t="s">
        <v>1882</v>
      </c>
      <c r="D602" s="341" t="s">
        <v>1883</v>
      </c>
      <c r="E602" s="4"/>
    </row>
    <row r="603" spans="1:5" s="341" customFormat="1" x14ac:dyDescent="0.2">
      <c r="A603" s="341" t="s">
        <v>1664</v>
      </c>
      <c r="B603" s="361" t="s">
        <v>1884</v>
      </c>
      <c r="C603" s="341" t="s">
        <v>1885</v>
      </c>
      <c r="D603" s="341" t="s">
        <v>1886</v>
      </c>
      <c r="E603" s="4"/>
    </row>
    <row r="604" spans="1:5" s="341" customFormat="1" x14ac:dyDescent="0.2">
      <c r="A604" s="341" t="s">
        <v>1664</v>
      </c>
      <c r="B604" s="361" t="s">
        <v>1887</v>
      </c>
      <c r="C604" s="341" t="s">
        <v>1888</v>
      </c>
      <c r="D604" s="341" t="s">
        <v>1889</v>
      </c>
      <c r="E604" s="4"/>
    </row>
    <row r="605" spans="1:5" s="341" customFormat="1" x14ac:dyDescent="0.2">
      <c r="A605" s="341" t="s">
        <v>1664</v>
      </c>
      <c r="B605" s="361" t="s">
        <v>1890</v>
      </c>
      <c r="C605" s="341" t="s">
        <v>1891</v>
      </c>
      <c r="D605" s="341" t="s">
        <v>1892</v>
      </c>
      <c r="E605" s="4"/>
    </row>
    <row r="606" spans="1:5" s="341" customFormat="1" x14ac:dyDescent="0.2">
      <c r="A606" s="341" t="s">
        <v>1664</v>
      </c>
      <c r="B606" s="361" t="s">
        <v>1893</v>
      </c>
      <c r="C606" s="341" t="s">
        <v>1894</v>
      </c>
      <c r="D606" s="341" t="s">
        <v>1895</v>
      </c>
      <c r="E606" s="4"/>
    </row>
    <row r="607" spans="1:5" s="341" customFormat="1" x14ac:dyDescent="0.2">
      <c r="A607" s="341" t="s">
        <v>1664</v>
      </c>
      <c r="B607" s="361" t="s">
        <v>1896</v>
      </c>
      <c r="C607" s="341" t="s">
        <v>1897</v>
      </c>
      <c r="D607" s="341" t="s">
        <v>1898</v>
      </c>
      <c r="E607" s="4"/>
    </row>
    <row r="608" spans="1:5" s="341" customFormat="1" x14ac:dyDescent="0.2">
      <c r="A608" s="341" t="s">
        <v>1664</v>
      </c>
      <c r="B608" s="361" t="s">
        <v>1899</v>
      </c>
      <c r="C608" s="341" t="s">
        <v>1900</v>
      </c>
      <c r="D608" s="341" t="s">
        <v>1901</v>
      </c>
      <c r="E608" s="4"/>
    </row>
    <row r="609" spans="1:5" s="341" customFormat="1" x14ac:dyDescent="0.2">
      <c r="A609" s="341" t="s">
        <v>1664</v>
      </c>
      <c r="B609" s="361" t="s">
        <v>1902</v>
      </c>
      <c r="C609" s="341" t="s">
        <v>1903</v>
      </c>
      <c r="D609" s="341" t="s">
        <v>1904</v>
      </c>
      <c r="E609" s="4"/>
    </row>
    <row r="610" spans="1:5" s="341" customFormat="1" x14ac:dyDescent="0.2">
      <c r="A610" s="341" t="s">
        <v>1664</v>
      </c>
      <c r="B610" s="361" t="s">
        <v>1905</v>
      </c>
      <c r="C610" s="341" t="s">
        <v>1906</v>
      </c>
      <c r="D610" s="341" t="s">
        <v>1907</v>
      </c>
      <c r="E610" s="4"/>
    </row>
    <row r="611" spans="1:5" s="341" customFormat="1" x14ac:dyDescent="0.2">
      <c r="A611" s="341" t="s">
        <v>1664</v>
      </c>
      <c r="B611" s="361" t="s">
        <v>1908</v>
      </c>
      <c r="C611" s="341" t="s">
        <v>1909</v>
      </c>
      <c r="D611" s="341" t="s">
        <v>1910</v>
      </c>
      <c r="E611" s="4"/>
    </row>
    <row r="612" spans="1:5" s="341" customFormat="1" x14ac:dyDescent="0.2">
      <c r="A612" s="341" t="s">
        <v>1664</v>
      </c>
      <c r="B612" s="361" t="s">
        <v>1911</v>
      </c>
      <c r="C612" s="341" t="s">
        <v>1912</v>
      </c>
      <c r="D612" s="341" t="s">
        <v>1913</v>
      </c>
      <c r="E612" s="4"/>
    </row>
    <row r="613" spans="1:5" s="341" customFormat="1" x14ac:dyDescent="0.2">
      <c r="A613" s="341" t="s">
        <v>1664</v>
      </c>
      <c r="B613" s="361" t="s">
        <v>1914</v>
      </c>
      <c r="C613" s="341" t="s">
        <v>1915</v>
      </c>
      <c r="D613" s="341" t="s">
        <v>1916</v>
      </c>
      <c r="E613" s="4"/>
    </row>
    <row r="614" spans="1:5" s="341" customFormat="1" x14ac:dyDescent="0.2">
      <c r="A614" s="341" t="s">
        <v>1664</v>
      </c>
      <c r="B614" s="361" t="s">
        <v>1917</v>
      </c>
      <c r="C614" s="341" t="s">
        <v>1918</v>
      </c>
      <c r="D614" s="341" t="s">
        <v>1919</v>
      </c>
      <c r="E614" s="4"/>
    </row>
    <row r="615" spans="1:5" s="341" customFormat="1" x14ac:dyDescent="0.2">
      <c r="A615" s="341" t="s">
        <v>1664</v>
      </c>
      <c r="B615" s="361" t="s">
        <v>1920</v>
      </c>
      <c r="C615" s="341" t="s">
        <v>1921</v>
      </c>
      <c r="D615" s="341" t="s">
        <v>1922</v>
      </c>
      <c r="E615" s="4"/>
    </row>
    <row r="616" spans="1:5" s="341" customFormat="1" x14ac:dyDescent="0.2">
      <c r="A616" s="341" t="s">
        <v>1664</v>
      </c>
      <c r="B616" s="361" t="s">
        <v>1923</v>
      </c>
      <c r="C616" s="341" t="s">
        <v>1924</v>
      </c>
      <c r="D616" s="341" t="s">
        <v>1925</v>
      </c>
      <c r="E616" s="4"/>
    </row>
    <row r="617" spans="1:5" s="341" customFormat="1" x14ac:dyDescent="0.2">
      <c r="A617" s="341" t="s">
        <v>1664</v>
      </c>
      <c r="B617" s="361" t="s">
        <v>1926</v>
      </c>
      <c r="C617" s="341" t="s">
        <v>1927</v>
      </c>
      <c r="D617" s="341" t="s">
        <v>1928</v>
      </c>
      <c r="E617" s="4"/>
    </row>
    <row r="618" spans="1:5" s="341" customFormat="1" x14ac:dyDescent="0.2">
      <c r="A618" s="341" t="s">
        <v>1664</v>
      </c>
      <c r="B618" s="361" t="s">
        <v>1929</v>
      </c>
      <c r="C618" s="341" t="s">
        <v>1930</v>
      </c>
      <c r="D618" s="341" t="s">
        <v>1931</v>
      </c>
      <c r="E618" s="4"/>
    </row>
    <row r="619" spans="1:5" s="341" customFormat="1" x14ac:dyDescent="0.2">
      <c r="A619" s="341" t="s">
        <v>1664</v>
      </c>
      <c r="B619" s="361" t="s">
        <v>1932</v>
      </c>
      <c r="C619" s="341" t="s">
        <v>1933</v>
      </c>
      <c r="D619" s="341" t="s">
        <v>1934</v>
      </c>
      <c r="E619" s="4"/>
    </row>
    <row r="620" spans="1:5" s="341" customFormat="1" x14ac:dyDescent="0.2">
      <c r="A620" s="341" t="s">
        <v>1664</v>
      </c>
      <c r="B620" s="361" t="s">
        <v>1935</v>
      </c>
      <c r="C620" s="341" t="s">
        <v>1936</v>
      </c>
      <c r="D620" s="341" t="s">
        <v>1937</v>
      </c>
      <c r="E620" s="4"/>
    </row>
    <row r="621" spans="1:5" s="341" customFormat="1" x14ac:dyDescent="0.2">
      <c r="A621" s="341" t="s">
        <v>1664</v>
      </c>
      <c r="B621" s="361" t="s">
        <v>1938</v>
      </c>
      <c r="C621" s="341" t="s">
        <v>1939</v>
      </c>
      <c r="D621" s="341" t="s">
        <v>826</v>
      </c>
      <c r="E621" s="4"/>
    </row>
    <row r="622" spans="1:5" s="341" customFormat="1" x14ac:dyDescent="0.2">
      <c r="A622" s="341" t="s">
        <v>1664</v>
      </c>
      <c r="B622" s="361" t="s">
        <v>1940</v>
      </c>
      <c r="C622" s="341" t="s">
        <v>1941</v>
      </c>
      <c r="D622" s="341" t="s">
        <v>828</v>
      </c>
      <c r="E622" s="4"/>
    </row>
    <row r="623" spans="1:5" s="341" customFormat="1" x14ac:dyDescent="0.2">
      <c r="B623" s="361"/>
      <c r="E623" s="4"/>
    </row>
    <row r="624" spans="1:5" s="341" customFormat="1" x14ac:dyDescent="0.2">
      <c r="A624" s="341" t="s">
        <v>1942</v>
      </c>
      <c r="B624" s="361" t="s">
        <v>1665</v>
      </c>
      <c r="C624" s="341" t="s">
        <v>1666</v>
      </c>
      <c r="D624" s="341" t="s">
        <v>1667</v>
      </c>
      <c r="E624" s="4"/>
    </row>
    <row r="625" spans="1:5" s="341" customFormat="1" x14ac:dyDescent="0.2">
      <c r="A625" s="341" t="s">
        <v>1942</v>
      </c>
      <c r="B625" s="361" t="s">
        <v>1668</v>
      </c>
      <c r="C625" s="341" t="s">
        <v>1669</v>
      </c>
      <c r="D625" s="341" t="s">
        <v>1670</v>
      </c>
      <c r="E625" s="4"/>
    </row>
    <row r="626" spans="1:5" s="341" customFormat="1" x14ac:dyDescent="0.2">
      <c r="A626" s="341" t="s">
        <v>1942</v>
      </c>
      <c r="B626" s="361" t="s">
        <v>1671</v>
      </c>
      <c r="C626" s="341" t="s">
        <v>1672</v>
      </c>
      <c r="D626" s="341" t="s">
        <v>1673</v>
      </c>
      <c r="E626" s="4"/>
    </row>
    <row r="627" spans="1:5" s="341" customFormat="1" x14ac:dyDescent="0.2">
      <c r="A627" s="341" t="s">
        <v>1942</v>
      </c>
      <c r="B627" s="361" t="s">
        <v>1674</v>
      </c>
      <c r="C627" s="341" t="s">
        <v>1675</v>
      </c>
      <c r="D627" s="341" t="s">
        <v>1676</v>
      </c>
      <c r="E627" s="4"/>
    </row>
    <row r="628" spans="1:5" s="341" customFormat="1" x14ac:dyDescent="0.2">
      <c r="A628" s="341" t="s">
        <v>1942</v>
      </c>
      <c r="B628" s="361" t="s">
        <v>1677</v>
      </c>
      <c r="C628" s="341" t="s">
        <v>1678</v>
      </c>
      <c r="D628" s="341" t="s">
        <v>1679</v>
      </c>
      <c r="E628" s="4"/>
    </row>
    <row r="629" spans="1:5" s="341" customFormat="1" x14ac:dyDescent="0.2">
      <c r="A629" s="341" t="s">
        <v>1942</v>
      </c>
      <c r="B629" s="361" t="s">
        <v>1680</v>
      </c>
      <c r="C629" s="341" t="s">
        <v>1681</v>
      </c>
      <c r="D629" s="341" t="s">
        <v>1682</v>
      </c>
      <c r="E629" s="4"/>
    </row>
    <row r="630" spans="1:5" s="341" customFormat="1" x14ac:dyDescent="0.2">
      <c r="A630" s="341" t="s">
        <v>1942</v>
      </c>
      <c r="B630" s="361" t="s">
        <v>1683</v>
      </c>
      <c r="C630" s="341" t="s">
        <v>1684</v>
      </c>
      <c r="D630" s="341" t="s">
        <v>1685</v>
      </c>
      <c r="E630" s="4"/>
    </row>
    <row r="631" spans="1:5" s="341" customFormat="1" x14ac:dyDescent="0.2">
      <c r="A631" s="341" t="s">
        <v>1942</v>
      </c>
      <c r="B631" s="361" t="s">
        <v>1686</v>
      </c>
      <c r="C631" s="341" t="s">
        <v>1687</v>
      </c>
      <c r="D631" s="341" t="s">
        <v>1688</v>
      </c>
      <c r="E631" s="4"/>
    </row>
    <row r="632" spans="1:5" s="341" customFormat="1" x14ac:dyDescent="0.2">
      <c r="A632" s="341" t="s">
        <v>1942</v>
      </c>
      <c r="B632" s="361" t="s">
        <v>1689</v>
      </c>
      <c r="C632" s="341" t="s">
        <v>1690</v>
      </c>
      <c r="D632" s="341" t="s">
        <v>1691</v>
      </c>
      <c r="E632" s="4"/>
    </row>
    <row r="633" spans="1:5" s="341" customFormat="1" x14ac:dyDescent="0.2">
      <c r="A633" s="341" t="s">
        <v>1942</v>
      </c>
      <c r="B633" s="361" t="s">
        <v>1692</v>
      </c>
      <c r="C633" s="341" t="s">
        <v>1693</v>
      </c>
      <c r="D633" s="341" t="s">
        <v>1694</v>
      </c>
      <c r="E633" s="4"/>
    </row>
    <row r="634" spans="1:5" s="341" customFormat="1" x14ac:dyDescent="0.2">
      <c r="A634" s="341" t="s">
        <v>1942</v>
      </c>
      <c r="B634" s="361" t="s">
        <v>1695</v>
      </c>
      <c r="C634" s="341" t="s">
        <v>1696</v>
      </c>
      <c r="D634" s="341" t="s">
        <v>1697</v>
      </c>
      <c r="E634" s="4"/>
    </row>
    <row r="635" spans="1:5" s="341" customFormat="1" x14ac:dyDescent="0.2">
      <c r="A635" s="341" t="s">
        <v>1942</v>
      </c>
      <c r="B635" s="361" t="s">
        <v>1698</v>
      </c>
      <c r="C635" s="341" t="s">
        <v>1699</v>
      </c>
      <c r="D635" s="341" t="s">
        <v>1700</v>
      </c>
      <c r="E635" s="4"/>
    </row>
    <row r="636" spans="1:5" s="341" customFormat="1" x14ac:dyDescent="0.2">
      <c r="A636" s="341" t="s">
        <v>1942</v>
      </c>
      <c r="B636" s="361" t="s">
        <v>1701</v>
      </c>
      <c r="C636" s="341" t="s">
        <v>1702</v>
      </c>
      <c r="D636" s="341" t="s">
        <v>1703</v>
      </c>
      <c r="E636" s="4"/>
    </row>
    <row r="637" spans="1:5" s="341" customFormat="1" x14ac:dyDescent="0.2">
      <c r="A637" s="341" t="s">
        <v>1942</v>
      </c>
      <c r="B637" s="361" t="s">
        <v>1704</v>
      </c>
      <c r="C637" s="341" t="s">
        <v>1705</v>
      </c>
      <c r="D637" s="341" t="s">
        <v>1706</v>
      </c>
      <c r="E637" s="4"/>
    </row>
    <row r="638" spans="1:5" s="341" customFormat="1" x14ac:dyDescent="0.2">
      <c r="A638" s="341" t="s">
        <v>1942</v>
      </c>
      <c r="B638" s="361" t="s">
        <v>1707</v>
      </c>
      <c r="C638" s="341" t="s">
        <v>1708</v>
      </c>
      <c r="D638" s="341" t="s">
        <v>1709</v>
      </c>
      <c r="E638" s="4"/>
    </row>
    <row r="639" spans="1:5" s="341" customFormat="1" x14ac:dyDescent="0.2">
      <c r="A639" s="341" t="s">
        <v>1942</v>
      </c>
      <c r="B639" s="361" t="s">
        <v>1710</v>
      </c>
      <c r="C639" s="341" t="s">
        <v>1711</v>
      </c>
      <c r="D639" s="341" t="s">
        <v>1712</v>
      </c>
      <c r="E639" s="4"/>
    </row>
    <row r="640" spans="1:5" s="341" customFormat="1" x14ac:dyDescent="0.2">
      <c r="A640" s="341" t="s">
        <v>1942</v>
      </c>
      <c r="B640" s="361" t="s">
        <v>1713</v>
      </c>
      <c r="C640" s="341" t="s">
        <v>1714</v>
      </c>
      <c r="D640" s="341" t="s">
        <v>1715</v>
      </c>
      <c r="E640" s="4"/>
    </row>
    <row r="641" spans="1:5" s="341" customFormat="1" x14ac:dyDescent="0.2">
      <c r="A641" s="341" t="s">
        <v>1942</v>
      </c>
      <c r="B641" s="361" t="s">
        <v>1716</v>
      </c>
      <c r="C641" s="341" t="s">
        <v>1717</v>
      </c>
      <c r="D641" s="341" t="s">
        <v>1718</v>
      </c>
      <c r="E641" s="4"/>
    </row>
    <row r="642" spans="1:5" s="341" customFormat="1" x14ac:dyDescent="0.2">
      <c r="A642" s="341" t="s">
        <v>1942</v>
      </c>
      <c r="B642" s="361" t="s">
        <v>1719</v>
      </c>
      <c r="C642" s="341" t="s">
        <v>1720</v>
      </c>
      <c r="D642" s="341" t="s">
        <v>1721</v>
      </c>
      <c r="E642" s="4"/>
    </row>
    <row r="643" spans="1:5" s="341" customFormat="1" x14ac:dyDescent="0.2">
      <c r="A643" s="341" t="s">
        <v>1942</v>
      </c>
      <c r="B643" s="361" t="s">
        <v>1722</v>
      </c>
      <c r="C643" s="341" t="s">
        <v>1723</v>
      </c>
      <c r="D643" s="341" t="s">
        <v>1724</v>
      </c>
      <c r="E643" s="4"/>
    </row>
    <row r="644" spans="1:5" s="341" customFormat="1" x14ac:dyDescent="0.2">
      <c r="A644" s="341" t="s">
        <v>1942</v>
      </c>
      <c r="B644" s="361" t="s">
        <v>1725</v>
      </c>
      <c r="C644" s="341" t="s">
        <v>1726</v>
      </c>
      <c r="D644" s="341" t="s">
        <v>1727</v>
      </c>
      <c r="E644" s="4"/>
    </row>
    <row r="645" spans="1:5" s="341" customFormat="1" x14ac:dyDescent="0.2">
      <c r="A645" s="341" t="s">
        <v>1942</v>
      </c>
      <c r="B645" s="361" t="s">
        <v>1728</v>
      </c>
      <c r="C645" s="341" t="s">
        <v>1729</v>
      </c>
      <c r="D645" s="341" t="s">
        <v>1730</v>
      </c>
      <c r="E645" s="4"/>
    </row>
    <row r="646" spans="1:5" s="341" customFormat="1" x14ac:dyDescent="0.2">
      <c r="A646" s="341" t="s">
        <v>1942</v>
      </c>
      <c r="B646" s="361" t="s">
        <v>1731</v>
      </c>
      <c r="C646" s="341" t="s">
        <v>1732</v>
      </c>
      <c r="D646" s="341" t="s">
        <v>1733</v>
      </c>
      <c r="E646" s="4"/>
    </row>
    <row r="647" spans="1:5" s="341" customFormat="1" x14ac:dyDescent="0.2">
      <c r="A647" s="341" t="s">
        <v>1942</v>
      </c>
      <c r="B647" s="361" t="s">
        <v>1734</v>
      </c>
      <c r="C647" s="341" t="s">
        <v>1735</v>
      </c>
      <c r="D647" s="341" t="s">
        <v>1736</v>
      </c>
      <c r="E647" s="4"/>
    </row>
    <row r="648" spans="1:5" s="341" customFormat="1" x14ac:dyDescent="0.2">
      <c r="A648" s="341" t="s">
        <v>1942</v>
      </c>
      <c r="B648" s="361" t="s">
        <v>1737</v>
      </c>
      <c r="C648" s="341" t="s">
        <v>1738</v>
      </c>
      <c r="D648" s="341" t="s">
        <v>1739</v>
      </c>
      <c r="E648" s="4"/>
    </row>
    <row r="649" spans="1:5" s="341" customFormat="1" x14ac:dyDescent="0.2">
      <c r="A649" s="341" t="s">
        <v>1942</v>
      </c>
      <c r="B649" s="361" t="s">
        <v>1740</v>
      </c>
      <c r="C649" s="341" t="s">
        <v>1741</v>
      </c>
      <c r="D649" s="341" t="s">
        <v>1742</v>
      </c>
      <c r="E649" s="4"/>
    </row>
    <row r="650" spans="1:5" s="341" customFormat="1" x14ac:dyDescent="0.2">
      <c r="A650" s="341" t="s">
        <v>1942</v>
      </c>
      <c r="B650" s="361" t="s">
        <v>1743</v>
      </c>
      <c r="C650" s="341" t="s">
        <v>1744</v>
      </c>
      <c r="D650" s="341" t="s">
        <v>1745</v>
      </c>
      <c r="E650" s="4"/>
    </row>
    <row r="651" spans="1:5" s="341" customFormat="1" x14ac:dyDescent="0.2">
      <c r="A651" s="341" t="s">
        <v>1942</v>
      </c>
      <c r="B651" s="361" t="s">
        <v>1746</v>
      </c>
      <c r="C651" s="341" t="s">
        <v>1747</v>
      </c>
      <c r="D651" s="341" t="s">
        <v>1748</v>
      </c>
      <c r="E651" s="4"/>
    </row>
    <row r="652" spans="1:5" s="341" customFormat="1" x14ac:dyDescent="0.2">
      <c r="A652" s="341" t="s">
        <v>1942</v>
      </c>
      <c r="B652" s="361" t="s">
        <v>1749</v>
      </c>
      <c r="C652" s="341" t="s">
        <v>1750</v>
      </c>
      <c r="D652" s="341" t="s">
        <v>1751</v>
      </c>
      <c r="E652" s="4"/>
    </row>
    <row r="653" spans="1:5" s="341" customFormat="1" x14ac:dyDescent="0.2">
      <c r="A653" s="341" t="s">
        <v>1942</v>
      </c>
      <c r="B653" s="361" t="s">
        <v>1752</v>
      </c>
      <c r="C653" s="341" t="s">
        <v>1753</v>
      </c>
      <c r="D653" s="341" t="s">
        <v>1754</v>
      </c>
      <c r="E653" s="4"/>
    </row>
    <row r="654" spans="1:5" s="341" customFormat="1" x14ac:dyDescent="0.2">
      <c r="A654" s="341" t="s">
        <v>1942</v>
      </c>
      <c r="B654" s="361" t="s">
        <v>1755</v>
      </c>
      <c r="C654" s="341" t="s">
        <v>1756</v>
      </c>
      <c r="D654" s="341" t="s">
        <v>1757</v>
      </c>
      <c r="E654" s="4"/>
    </row>
    <row r="655" spans="1:5" s="341" customFormat="1" x14ac:dyDescent="0.2">
      <c r="A655" s="341" t="s">
        <v>1942</v>
      </c>
      <c r="B655" s="361" t="s">
        <v>1758</v>
      </c>
      <c r="C655" s="341" t="s">
        <v>1759</v>
      </c>
      <c r="D655" s="341" t="s">
        <v>1760</v>
      </c>
      <c r="E655" s="4"/>
    </row>
    <row r="656" spans="1:5" s="341" customFormat="1" x14ac:dyDescent="0.2">
      <c r="A656" s="341" t="s">
        <v>1942</v>
      </c>
      <c r="B656" s="361" t="s">
        <v>1761</v>
      </c>
      <c r="C656" s="341" t="s">
        <v>1762</v>
      </c>
      <c r="D656" s="341" t="s">
        <v>1763</v>
      </c>
      <c r="E656" s="4"/>
    </row>
    <row r="657" spans="1:5" s="341" customFormat="1" x14ac:dyDescent="0.2">
      <c r="A657" s="341" t="s">
        <v>1942</v>
      </c>
      <c r="B657" s="361" t="s">
        <v>1764</v>
      </c>
      <c r="C657" s="341" t="s">
        <v>1765</v>
      </c>
      <c r="D657" s="341" t="s">
        <v>1766</v>
      </c>
      <c r="E657" s="4"/>
    </row>
    <row r="658" spans="1:5" s="341" customFormat="1" x14ac:dyDescent="0.2">
      <c r="A658" s="341" t="s">
        <v>1942</v>
      </c>
      <c r="B658" s="361" t="s">
        <v>1767</v>
      </c>
      <c r="C658" s="341" t="s">
        <v>1768</v>
      </c>
      <c r="D658" s="341" t="s">
        <v>1769</v>
      </c>
      <c r="E658" s="4"/>
    </row>
    <row r="659" spans="1:5" s="341" customFormat="1" x14ac:dyDescent="0.2">
      <c r="A659" s="341" t="s">
        <v>1942</v>
      </c>
      <c r="B659" s="361" t="s">
        <v>1770</v>
      </c>
      <c r="C659" s="341" t="s">
        <v>1771</v>
      </c>
      <c r="D659" s="341" t="s">
        <v>1772</v>
      </c>
      <c r="E659" s="4"/>
    </row>
    <row r="660" spans="1:5" s="341" customFormat="1" x14ac:dyDescent="0.2">
      <c r="A660" s="341" t="s">
        <v>1942</v>
      </c>
      <c r="B660" s="361" t="s">
        <v>1773</v>
      </c>
      <c r="C660" s="341" t="s">
        <v>1774</v>
      </c>
      <c r="D660" s="341" t="s">
        <v>1775</v>
      </c>
      <c r="E660" s="4"/>
    </row>
    <row r="661" spans="1:5" s="341" customFormat="1" x14ac:dyDescent="0.2">
      <c r="A661" s="341" t="s">
        <v>1942</v>
      </c>
      <c r="B661" s="361" t="s">
        <v>1776</v>
      </c>
      <c r="C661" s="341" t="s">
        <v>1777</v>
      </c>
      <c r="D661" s="341" t="s">
        <v>1778</v>
      </c>
      <c r="E661" s="4"/>
    </row>
    <row r="662" spans="1:5" s="341" customFormat="1" x14ac:dyDescent="0.2">
      <c r="A662" s="341" t="s">
        <v>1942</v>
      </c>
      <c r="B662" s="361" t="s">
        <v>1779</v>
      </c>
      <c r="C662" s="341" t="s">
        <v>1780</v>
      </c>
      <c r="D662" s="341" t="s">
        <v>1781</v>
      </c>
      <c r="E662" s="4"/>
    </row>
    <row r="663" spans="1:5" s="341" customFormat="1" x14ac:dyDescent="0.2">
      <c r="A663" s="341" t="s">
        <v>1942</v>
      </c>
      <c r="B663" s="361" t="s">
        <v>1782</v>
      </c>
      <c r="C663" s="341" t="s">
        <v>1783</v>
      </c>
      <c r="D663" s="341" t="s">
        <v>1784</v>
      </c>
      <c r="E663" s="4"/>
    </row>
    <row r="664" spans="1:5" s="341" customFormat="1" x14ac:dyDescent="0.2">
      <c r="A664" s="341" t="s">
        <v>1942</v>
      </c>
      <c r="B664" s="361" t="s">
        <v>1785</v>
      </c>
      <c r="C664" s="341" t="s">
        <v>1786</v>
      </c>
      <c r="D664" s="341" t="s">
        <v>1787</v>
      </c>
      <c r="E664" s="4"/>
    </row>
    <row r="665" spans="1:5" s="341" customFormat="1" x14ac:dyDescent="0.2">
      <c r="A665" s="341" t="s">
        <v>1942</v>
      </c>
      <c r="B665" s="361" t="s">
        <v>1788</v>
      </c>
      <c r="C665" s="341" t="s">
        <v>1789</v>
      </c>
      <c r="D665" s="341" t="s">
        <v>1790</v>
      </c>
      <c r="E665" s="4"/>
    </row>
    <row r="666" spans="1:5" s="341" customFormat="1" x14ac:dyDescent="0.2">
      <c r="A666" s="341" t="s">
        <v>1942</v>
      </c>
      <c r="B666" s="361" t="s">
        <v>1791</v>
      </c>
      <c r="C666" s="341" t="s">
        <v>1792</v>
      </c>
      <c r="D666" s="341" t="s">
        <v>1793</v>
      </c>
      <c r="E666" s="4"/>
    </row>
    <row r="667" spans="1:5" s="341" customFormat="1" x14ac:dyDescent="0.2">
      <c r="A667" s="341" t="s">
        <v>1942</v>
      </c>
      <c r="B667" s="361" t="s">
        <v>1794</v>
      </c>
      <c r="C667" s="341" t="s">
        <v>1795</v>
      </c>
      <c r="D667" s="341" t="s">
        <v>1796</v>
      </c>
      <c r="E667" s="4"/>
    </row>
    <row r="668" spans="1:5" s="341" customFormat="1" x14ac:dyDescent="0.2">
      <c r="A668" s="341" t="s">
        <v>1942</v>
      </c>
      <c r="B668" s="361" t="s">
        <v>1797</v>
      </c>
      <c r="C668" s="341" t="s">
        <v>1798</v>
      </c>
      <c r="D668" s="341" t="s">
        <v>1799</v>
      </c>
      <c r="E668" s="4"/>
    </row>
    <row r="669" spans="1:5" s="341" customFormat="1" x14ac:dyDescent="0.2">
      <c r="A669" s="341" t="s">
        <v>1942</v>
      </c>
      <c r="B669" s="361" t="s">
        <v>1800</v>
      </c>
      <c r="C669" s="341" t="s">
        <v>1801</v>
      </c>
      <c r="D669" s="341" t="s">
        <v>1802</v>
      </c>
      <c r="E669" s="4"/>
    </row>
    <row r="670" spans="1:5" s="341" customFormat="1" x14ac:dyDescent="0.2">
      <c r="A670" s="341" t="s">
        <v>1942</v>
      </c>
      <c r="B670" s="361" t="s">
        <v>1803</v>
      </c>
      <c r="C670" s="341" t="s">
        <v>1804</v>
      </c>
      <c r="D670" s="341" t="s">
        <v>1805</v>
      </c>
      <c r="E670" s="4"/>
    </row>
    <row r="671" spans="1:5" s="341" customFormat="1" x14ac:dyDescent="0.2">
      <c r="A671" s="341" t="s">
        <v>1942</v>
      </c>
      <c r="B671" s="361" t="s">
        <v>1806</v>
      </c>
      <c r="C671" s="341" t="s">
        <v>1807</v>
      </c>
      <c r="D671" s="341" t="s">
        <v>1808</v>
      </c>
      <c r="E671" s="4"/>
    </row>
    <row r="672" spans="1:5" s="341" customFormat="1" x14ac:dyDescent="0.2">
      <c r="A672" s="341" t="s">
        <v>1942</v>
      </c>
      <c r="B672" s="361" t="s">
        <v>1809</v>
      </c>
      <c r="C672" s="341" t="s">
        <v>1810</v>
      </c>
      <c r="D672" s="341" t="s">
        <v>1811</v>
      </c>
      <c r="E672" s="4"/>
    </row>
    <row r="673" spans="1:5" s="341" customFormat="1" x14ac:dyDescent="0.2">
      <c r="A673" s="341" t="s">
        <v>1942</v>
      </c>
      <c r="B673" s="361" t="s">
        <v>1812</v>
      </c>
      <c r="C673" s="341" t="s">
        <v>1813</v>
      </c>
      <c r="D673" s="341" t="s">
        <v>1814</v>
      </c>
      <c r="E673" s="4"/>
    </row>
    <row r="674" spans="1:5" s="341" customFormat="1" x14ac:dyDescent="0.2">
      <c r="A674" s="341" t="s">
        <v>1942</v>
      </c>
      <c r="B674" s="361" t="s">
        <v>1815</v>
      </c>
      <c r="C674" s="341" t="s">
        <v>1816</v>
      </c>
      <c r="D674" s="341" t="s">
        <v>1817</v>
      </c>
      <c r="E674" s="4"/>
    </row>
    <row r="675" spans="1:5" s="341" customFormat="1" x14ac:dyDescent="0.2">
      <c r="A675" s="341" t="s">
        <v>1942</v>
      </c>
      <c r="B675" s="361" t="s">
        <v>1818</v>
      </c>
      <c r="C675" s="341" t="s">
        <v>1819</v>
      </c>
      <c r="D675" s="341" t="s">
        <v>1820</v>
      </c>
      <c r="E675" s="4"/>
    </row>
    <row r="676" spans="1:5" s="341" customFormat="1" x14ac:dyDescent="0.2">
      <c r="A676" s="341" t="s">
        <v>1942</v>
      </c>
      <c r="B676" s="361" t="s">
        <v>1821</v>
      </c>
      <c r="C676" s="341" t="s">
        <v>1822</v>
      </c>
      <c r="D676" s="341" t="s">
        <v>1823</v>
      </c>
      <c r="E676" s="4"/>
    </row>
    <row r="677" spans="1:5" s="341" customFormat="1" x14ac:dyDescent="0.2">
      <c r="A677" s="341" t="s">
        <v>1942</v>
      </c>
      <c r="B677" s="361" t="s">
        <v>1824</v>
      </c>
      <c r="C677" s="341" t="s">
        <v>1825</v>
      </c>
      <c r="D677" s="341" t="s">
        <v>1826</v>
      </c>
      <c r="E677" s="4"/>
    </row>
    <row r="678" spans="1:5" s="341" customFormat="1" x14ac:dyDescent="0.2">
      <c r="A678" s="341" t="s">
        <v>1942</v>
      </c>
      <c r="B678" s="361" t="s">
        <v>1827</v>
      </c>
      <c r="C678" s="341" t="s">
        <v>1828</v>
      </c>
      <c r="D678" s="341" t="s">
        <v>1829</v>
      </c>
      <c r="E678" s="4"/>
    </row>
    <row r="679" spans="1:5" s="341" customFormat="1" x14ac:dyDescent="0.2">
      <c r="A679" s="341" t="s">
        <v>1942</v>
      </c>
      <c r="B679" s="361" t="s">
        <v>1830</v>
      </c>
      <c r="C679" s="341" t="s">
        <v>1831</v>
      </c>
      <c r="D679" s="341" t="s">
        <v>1832</v>
      </c>
      <c r="E679" s="4"/>
    </row>
    <row r="680" spans="1:5" s="341" customFormat="1" x14ac:dyDescent="0.2">
      <c r="A680" s="341" t="s">
        <v>1942</v>
      </c>
      <c r="B680" s="361" t="s">
        <v>1833</v>
      </c>
      <c r="C680" s="341" t="s">
        <v>1834</v>
      </c>
      <c r="D680" s="341" t="s">
        <v>1835</v>
      </c>
      <c r="E680" s="4"/>
    </row>
    <row r="681" spans="1:5" s="341" customFormat="1" x14ac:dyDescent="0.2">
      <c r="A681" s="341" t="s">
        <v>1942</v>
      </c>
      <c r="B681" s="361" t="s">
        <v>1836</v>
      </c>
      <c r="C681" s="341" t="s">
        <v>1837</v>
      </c>
      <c r="D681" s="341" t="s">
        <v>1838</v>
      </c>
      <c r="E681" s="4"/>
    </row>
    <row r="682" spans="1:5" s="341" customFormat="1" x14ac:dyDescent="0.2">
      <c r="A682" s="341" t="s">
        <v>1942</v>
      </c>
      <c r="B682" s="361" t="s">
        <v>1839</v>
      </c>
      <c r="C682" s="341" t="s">
        <v>1840</v>
      </c>
      <c r="D682" s="341" t="s">
        <v>1841</v>
      </c>
      <c r="E682" s="4"/>
    </row>
    <row r="683" spans="1:5" s="341" customFormat="1" x14ac:dyDescent="0.2">
      <c r="A683" s="341" t="s">
        <v>1942</v>
      </c>
      <c r="B683" s="361" t="s">
        <v>1842</v>
      </c>
      <c r="C683" s="341" t="s">
        <v>1843</v>
      </c>
      <c r="D683" s="341" t="s">
        <v>1844</v>
      </c>
      <c r="E683" s="4"/>
    </row>
    <row r="684" spans="1:5" s="341" customFormat="1" x14ac:dyDescent="0.2">
      <c r="A684" s="341" t="s">
        <v>1942</v>
      </c>
      <c r="B684" s="361" t="s">
        <v>1845</v>
      </c>
      <c r="C684" s="341" t="s">
        <v>1846</v>
      </c>
      <c r="D684" s="341" t="s">
        <v>1847</v>
      </c>
      <c r="E684" s="4"/>
    </row>
    <row r="685" spans="1:5" s="341" customFormat="1" x14ac:dyDescent="0.2">
      <c r="A685" s="341" t="s">
        <v>1942</v>
      </c>
      <c r="B685" s="361" t="s">
        <v>1848</v>
      </c>
      <c r="C685" s="341" t="s">
        <v>1849</v>
      </c>
      <c r="D685" s="341" t="s">
        <v>1850</v>
      </c>
      <c r="E685" s="4"/>
    </row>
    <row r="686" spans="1:5" s="341" customFormat="1" x14ac:dyDescent="0.2">
      <c r="A686" s="341" t="s">
        <v>1942</v>
      </c>
      <c r="B686" s="361" t="s">
        <v>1851</v>
      </c>
      <c r="C686" s="341" t="s">
        <v>1852</v>
      </c>
      <c r="D686" s="341" t="s">
        <v>1853</v>
      </c>
      <c r="E686" s="4"/>
    </row>
    <row r="687" spans="1:5" s="341" customFormat="1" x14ac:dyDescent="0.2">
      <c r="A687" s="341" t="s">
        <v>1942</v>
      </c>
      <c r="B687" s="361" t="s">
        <v>1854</v>
      </c>
      <c r="C687" s="341" t="s">
        <v>1855</v>
      </c>
      <c r="D687" s="341" t="s">
        <v>1856</v>
      </c>
      <c r="E687" s="4"/>
    </row>
    <row r="688" spans="1:5" s="341" customFormat="1" x14ac:dyDescent="0.2">
      <c r="A688" s="341" t="s">
        <v>1942</v>
      </c>
      <c r="B688" s="361" t="s">
        <v>1857</v>
      </c>
      <c r="C688" s="341" t="s">
        <v>1858</v>
      </c>
      <c r="D688" s="341" t="s">
        <v>1859</v>
      </c>
      <c r="E688" s="4"/>
    </row>
    <row r="689" spans="1:5" s="341" customFormat="1" x14ac:dyDescent="0.2">
      <c r="A689" s="341" t="s">
        <v>1942</v>
      </c>
      <c r="B689" s="361" t="s">
        <v>1860</v>
      </c>
      <c r="C689" s="341" t="s">
        <v>1861</v>
      </c>
      <c r="D689" s="341" t="s">
        <v>1862</v>
      </c>
      <c r="E689" s="4"/>
    </row>
    <row r="690" spans="1:5" s="341" customFormat="1" x14ac:dyDescent="0.2">
      <c r="A690" s="341" t="s">
        <v>1942</v>
      </c>
      <c r="B690" s="361" t="s">
        <v>1863</v>
      </c>
      <c r="C690" s="341" t="s">
        <v>1864</v>
      </c>
      <c r="D690" s="341" t="s">
        <v>1865</v>
      </c>
      <c r="E690" s="4"/>
    </row>
    <row r="691" spans="1:5" s="341" customFormat="1" x14ac:dyDescent="0.2">
      <c r="A691" s="341" t="s">
        <v>1942</v>
      </c>
      <c r="B691" s="361" t="s">
        <v>1866</v>
      </c>
      <c r="C691" s="341" t="s">
        <v>1867</v>
      </c>
      <c r="D691" s="341" t="s">
        <v>1868</v>
      </c>
      <c r="E691" s="4"/>
    </row>
    <row r="692" spans="1:5" s="341" customFormat="1" x14ac:dyDescent="0.2">
      <c r="A692" s="341" t="s">
        <v>1942</v>
      </c>
      <c r="B692" s="361" t="s">
        <v>1869</v>
      </c>
      <c r="C692" s="341" t="s">
        <v>1870</v>
      </c>
      <c r="D692" s="341" t="s">
        <v>1871</v>
      </c>
      <c r="E692" s="4"/>
    </row>
    <row r="693" spans="1:5" s="341" customFormat="1" x14ac:dyDescent="0.2">
      <c r="A693" s="341" t="s">
        <v>1942</v>
      </c>
      <c r="B693" s="361" t="s">
        <v>1872</v>
      </c>
      <c r="C693" s="341" t="s">
        <v>1873</v>
      </c>
      <c r="D693" s="341" t="s">
        <v>1874</v>
      </c>
      <c r="E693" s="4"/>
    </row>
    <row r="694" spans="1:5" s="341" customFormat="1" x14ac:dyDescent="0.2">
      <c r="A694" s="341" t="s">
        <v>1942</v>
      </c>
      <c r="B694" s="361" t="s">
        <v>1875</v>
      </c>
      <c r="C694" s="341" t="s">
        <v>1876</v>
      </c>
      <c r="D694" s="341" t="s">
        <v>1877</v>
      </c>
      <c r="E694" s="4"/>
    </row>
    <row r="695" spans="1:5" s="341" customFormat="1" x14ac:dyDescent="0.2">
      <c r="A695" s="341" t="s">
        <v>1942</v>
      </c>
      <c r="B695" s="361" t="s">
        <v>1878</v>
      </c>
      <c r="C695" s="341" t="s">
        <v>1879</v>
      </c>
      <c r="D695" s="341" t="s">
        <v>1880</v>
      </c>
      <c r="E695" s="4"/>
    </row>
    <row r="696" spans="1:5" s="341" customFormat="1" x14ac:dyDescent="0.2">
      <c r="A696" s="341" t="s">
        <v>1942</v>
      </c>
      <c r="B696" s="361" t="s">
        <v>1881</v>
      </c>
      <c r="C696" s="341" t="s">
        <v>1882</v>
      </c>
      <c r="D696" s="341" t="s">
        <v>1883</v>
      </c>
      <c r="E696" s="4"/>
    </row>
    <row r="697" spans="1:5" s="341" customFormat="1" x14ac:dyDescent="0.2">
      <c r="A697" s="341" t="s">
        <v>1942</v>
      </c>
      <c r="B697" s="361" t="s">
        <v>1884</v>
      </c>
      <c r="C697" s="341" t="s">
        <v>1885</v>
      </c>
      <c r="D697" s="341" t="s">
        <v>1886</v>
      </c>
      <c r="E697" s="4"/>
    </row>
    <row r="698" spans="1:5" s="341" customFormat="1" x14ac:dyDescent="0.2">
      <c r="A698" s="341" t="s">
        <v>1942</v>
      </c>
      <c r="B698" s="361" t="s">
        <v>1887</v>
      </c>
      <c r="C698" s="341" t="s">
        <v>1888</v>
      </c>
      <c r="D698" s="341" t="s">
        <v>1889</v>
      </c>
      <c r="E698" s="4"/>
    </row>
    <row r="699" spans="1:5" s="341" customFormat="1" x14ac:dyDescent="0.2">
      <c r="A699" s="341" t="s">
        <v>1942</v>
      </c>
      <c r="B699" s="361" t="s">
        <v>1890</v>
      </c>
      <c r="C699" s="341" t="s">
        <v>1891</v>
      </c>
      <c r="D699" s="341" t="s">
        <v>1892</v>
      </c>
      <c r="E699" s="4"/>
    </row>
    <row r="700" spans="1:5" s="341" customFormat="1" x14ac:dyDescent="0.2">
      <c r="A700" s="341" t="s">
        <v>1942</v>
      </c>
      <c r="B700" s="361" t="s">
        <v>1893</v>
      </c>
      <c r="C700" s="341" t="s">
        <v>1894</v>
      </c>
      <c r="D700" s="341" t="s">
        <v>1895</v>
      </c>
      <c r="E700" s="4"/>
    </row>
    <row r="701" spans="1:5" s="341" customFormat="1" x14ac:dyDescent="0.2">
      <c r="A701" s="341" t="s">
        <v>1942</v>
      </c>
      <c r="B701" s="361" t="s">
        <v>1896</v>
      </c>
      <c r="C701" s="341" t="s">
        <v>1897</v>
      </c>
      <c r="D701" s="341" t="s">
        <v>1898</v>
      </c>
      <c r="E701" s="4"/>
    </row>
    <row r="702" spans="1:5" s="341" customFormat="1" x14ac:dyDescent="0.2">
      <c r="A702" s="341" t="s">
        <v>1942</v>
      </c>
      <c r="B702" s="361" t="s">
        <v>1899</v>
      </c>
      <c r="C702" s="341" t="s">
        <v>1900</v>
      </c>
      <c r="D702" s="341" t="s">
        <v>1901</v>
      </c>
      <c r="E702" s="4"/>
    </row>
    <row r="703" spans="1:5" s="341" customFormat="1" x14ac:dyDescent="0.2">
      <c r="A703" s="341" t="s">
        <v>1942</v>
      </c>
      <c r="B703" s="361" t="s">
        <v>1902</v>
      </c>
      <c r="C703" s="341" t="s">
        <v>1903</v>
      </c>
      <c r="D703" s="341" t="s">
        <v>1904</v>
      </c>
      <c r="E703" s="4"/>
    </row>
    <row r="704" spans="1:5" s="341" customFormat="1" x14ac:dyDescent="0.2">
      <c r="A704" s="341" t="s">
        <v>1942</v>
      </c>
      <c r="B704" s="361" t="s">
        <v>1905</v>
      </c>
      <c r="C704" s="341" t="s">
        <v>1906</v>
      </c>
      <c r="D704" s="341" t="s">
        <v>1907</v>
      </c>
      <c r="E704" s="4"/>
    </row>
    <row r="705" spans="1:5" s="341" customFormat="1" x14ac:dyDescent="0.2">
      <c r="A705" s="341" t="s">
        <v>1942</v>
      </c>
      <c r="B705" s="361" t="s">
        <v>1908</v>
      </c>
      <c r="C705" s="341" t="s">
        <v>1909</v>
      </c>
      <c r="D705" s="341" t="s">
        <v>1910</v>
      </c>
      <c r="E705" s="4"/>
    </row>
    <row r="706" spans="1:5" s="341" customFormat="1" x14ac:dyDescent="0.2">
      <c r="A706" s="341" t="s">
        <v>1942</v>
      </c>
      <c r="B706" s="361" t="s">
        <v>1911</v>
      </c>
      <c r="C706" s="341" t="s">
        <v>1912</v>
      </c>
      <c r="D706" s="341" t="s">
        <v>1913</v>
      </c>
      <c r="E706" s="4"/>
    </row>
    <row r="707" spans="1:5" s="341" customFormat="1" x14ac:dyDescent="0.2">
      <c r="A707" s="341" t="s">
        <v>1942</v>
      </c>
      <c r="B707" s="361" t="s">
        <v>1914</v>
      </c>
      <c r="C707" s="341" t="s">
        <v>1915</v>
      </c>
      <c r="D707" s="341" t="s">
        <v>1916</v>
      </c>
      <c r="E707" s="4"/>
    </row>
    <row r="708" spans="1:5" s="341" customFormat="1" x14ac:dyDescent="0.2">
      <c r="A708" s="341" t="s">
        <v>1942</v>
      </c>
      <c r="B708" s="361" t="s">
        <v>1917</v>
      </c>
      <c r="C708" s="341" t="s">
        <v>1918</v>
      </c>
      <c r="D708" s="341" t="s">
        <v>1919</v>
      </c>
      <c r="E708" s="4"/>
    </row>
    <row r="709" spans="1:5" s="341" customFormat="1" x14ac:dyDescent="0.2">
      <c r="A709" s="341" t="s">
        <v>1942</v>
      </c>
      <c r="B709" s="361" t="s">
        <v>1920</v>
      </c>
      <c r="C709" s="341" t="s">
        <v>1921</v>
      </c>
      <c r="D709" s="341" t="s">
        <v>1922</v>
      </c>
      <c r="E709" s="4"/>
    </row>
    <row r="710" spans="1:5" s="341" customFormat="1" x14ac:dyDescent="0.2">
      <c r="A710" s="341" t="s">
        <v>1942</v>
      </c>
      <c r="B710" s="361" t="s">
        <v>1923</v>
      </c>
      <c r="C710" s="341" t="s">
        <v>1924</v>
      </c>
      <c r="D710" s="341" t="s">
        <v>1925</v>
      </c>
      <c r="E710" s="4"/>
    </row>
    <row r="711" spans="1:5" s="341" customFormat="1" x14ac:dyDescent="0.2">
      <c r="A711" s="341" t="s">
        <v>1942</v>
      </c>
      <c r="B711" s="361" t="s">
        <v>1926</v>
      </c>
      <c r="C711" s="341" t="s">
        <v>1927</v>
      </c>
      <c r="D711" s="341" t="s">
        <v>1928</v>
      </c>
      <c r="E711" s="4"/>
    </row>
    <row r="712" spans="1:5" s="341" customFormat="1" x14ac:dyDescent="0.2">
      <c r="A712" s="341" t="s">
        <v>1942</v>
      </c>
      <c r="B712" s="361" t="s">
        <v>1929</v>
      </c>
      <c r="C712" s="341" t="s">
        <v>1930</v>
      </c>
      <c r="D712" s="341" t="s">
        <v>1931</v>
      </c>
      <c r="E712" s="4"/>
    </row>
    <row r="713" spans="1:5" s="341" customFormat="1" x14ac:dyDescent="0.2">
      <c r="A713" s="341" t="s">
        <v>1942</v>
      </c>
      <c r="B713" s="361" t="s">
        <v>1932</v>
      </c>
      <c r="C713" s="341" t="s">
        <v>1933</v>
      </c>
      <c r="D713" s="341" t="s">
        <v>1934</v>
      </c>
      <c r="E713" s="4"/>
    </row>
    <row r="714" spans="1:5" s="341" customFormat="1" x14ac:dyDescent="0.2">
      <c r="A714" s="341" t="s">
        <v>1942</v>
      </c>
      <c r="B714" s="361" t="s">
        <v>1943</v>
      </c>
      <c r="C714" s="341" t="s">
        <v>1944</v>
      </c>
      <c r="D714" s="341" t="s">
        <v>1945</v>
      </c>
      <c r="E714" s="4"/>
    </row>
    <row r="715" spans="1:5" s="341" customFormat="1" x14ac:dyDescent="0.2">
      <c r="A715" s="341" t="s">
        <v>1942</v>
      </c>
      <c r="B715" s="361" t="s">
        <v>1938</v>
      </c>
      <c r="C715" s="341" t="s">
        <v>1939</v>
      </c>
      <c r="D715" s="341" t="s">
        <v>826</v>
      </c>
      <c r="E715" s="4"/>
    </row>
    <row r="716" spans="1:5" s="341" customFormat="1" x14ac:dyDescent="0.2">
      <c r="A716" s="341" t="s">
        <v>1942</v>
      </c>
      <c r="B716" s="361" t="s">
        <v>1940</v>
      </c>
      <c r="C716" s="341" t="s">
        <v>1941</v>
      </c>
      <c r="D716" s="341" t="s">
        <v>828</v>
      </c>
      <c r="E716" s="4"/>
    </row>
    <row r="717" spans="1:5" s="341" customFormat="1" x14ac:dyDescent="0.2">
      <c r="B717" s="361"/>
      <c r="E717" s="4"/>
    </row>
    <row r="718" spans="1:5" s="341" customFormat="1" x14ac:dyDescent="0.2">
      <c r="A718" s="341" t="s">
        <v>1946</v>
      </c>
      <c r="B718" s="361" t="s">
        <v>1665</v>
      </c>
      <c r="C718" s="341" t="s">
        <v>1666</v>
      </c>
      <c r="D718" s="341" t="s">
        <v>1667</v>
      </c>
      <c r="E718" s="4"/>
    </row>
    <row r="719" spans="1:5" s="341" customFormat="1" x14ac:dyDescent="0.2">
      <c r="A719" s="341" t="s">
        <v>1946</v>
      </c>
      <c r="B719" s="361" t="s">
        <v>1668</v>
      </c>
      <c r="C719" s="341" t="s">
        <v>1669</v>
      </c>
      <c r="D719" s="341" t="s">
        <v>1670</v>
      </c>
      <c r="E719" s="4"/>
    </row>
    <row r="720" spans="1:5" s="341" customFormat="1" x14ac:dyDescent="0.2">
      <c r="A720" s="341" t="s">
        <v>1946</v>
      </c>
      <c r="B720" s="361" t="s">
        <v>1671</v>
      </c>
      <c r="C720" s="341" t="s">
        <v>1672</v>
      </c>
      <c r="D720" s="341" t="s">
        <v>1673</v>
      </c>
      <c r="E720" s="4"/>
    </row>
    <row r="721" spans="1:5" s="341" customFormat="1" x14ac:dyDescent="0.2">
      <c r="A721" s="341" t="s">
        <v>1946</v>
      </c>
      <c r="B721" s="361" t="s">
        <v>1674</v>
      </c>
      <c r="C721" s="341" t="s">
        <v>1675</v>
      </c>
      <c r="D721" s="341" t="s">
        <v>1676</v>
      </c>
      <c r="E721" s="4"/>
    </row>
    <row r="722" spans="1:5" s="341" customFormat="1" x14ac:dyDescent="0.2">
      <c r="A722" s="341" t="s">
        <v>1946</v>
      </c>
      <c r="B722" s="361" t="s">
        <v>1677</v>
      </c>
      <c r="C722" s="341" t="s">
        <v>1678</v>
      </c>
      <c r="D722" s="341" t="s">
        <v>1679</v>
      </c>
      <c r="E722" s="4"/>
    </row>
    <row r="723" spans="1:5" s="341" customFormat="1" x14ac:dyDescent="0.2">
      <c r="A723" s="341" t="s">
        <v>1946</v>
      </c>
      <c r="B723" s="361" t="s">
        <v>1680</v>
      </c>
      <c r="C723" s="341" t="s">
        <v>1681</v>
      </c>
      <c r="D723" s="341" t="s">
        <v>1682</v>
      </c>
      <c r="E723" s="4"/>
    </row>
    <row r="724" spans="1:5" s="341" customFormat="1" x14ac:dyDescent="0.2">
      <c r="A724" s="341" t="s">
        <v>1946</v>
      </c>
      <c r="B724" s="361" t="s">
        <v>1683</v>
      </c>
      <c r="C724" s="341" t="s">
        <v>1684</v>
      </c>
      <c r="D724" s="341" t="s">
        <v>1685</v>
      </c>
      <c r="E724" s="4"/>
    </row>
    <row r="725" spans="1:5" s="341" customFormat="1" x14ac:dyDescent="0.2">
      <c r="A725" s="341" t="s">
        <v>1946</v>
      </c>
      <c r="B725" s="361" t="s">
        <v>1686</v>
      </c>
      <c r="C725" s="341" t="s">
        <v>1687</v>
      </c>
      <c r="D725" s="341" t="s">
        <v>1688</v>
      </c>
      <c r="E725" s="4"/>
    </row>
    <row r="726" spans="1:5" s="341" customFormat="1" x14ac:dyDescent="0.2">
      <c r="A726" s="341" t="s">
        <v>1946</v>
      </c>
      <c r="B726" s="361" t="s">
        <v>1689</v>
      </c>
      <c r="C726" s="341" t="s">
        <v>1690</v>
      </c>
      <c r="D726" s="341" t="s">
        <v>1691</v>
      </c>
      <c r="E726" s="4"/>
    </row>
    <row r="727" spans="1:5" s="341" customFormat="1" x14ac:dyDescent="0.2">
      <c r="A727" s="341" t="s">
        <v>1946</v>
      </c>
      <c r="B727" s="361" t="s">
        <v>1692</v>
      </c>
      <c r="C727" s="341" t="s">
        <v>1693</v>
      </c>
      <c r="D727" s="341" t="s">
        <v>1694</v>
      </c>
      <c r="E727" s="4"/>
    </row>
    <row r="728" spans="1:5" s="341" customFormat="1" x14ac:dyDescent="0.2">
      <c r="A728" s="341" t="s">
        <v>1946</v>
      </c>
      <c r="B728" s="361" t="s">
        <v>1695</v>
      </c>
      <c r="C728" s="341" t="s">
        <v>1696</v>
      </c>
      <c r="D728" s="341" t="s">
        <v>1697</v>
      </c>
      <c r="E728" s="4"/>
    </row>
    <row r="729" spans="1:5" s="341" customFormat="1" x14ac:dyDescent="0.2">
      <c r="A729" s="341" t="s">
        <v>1946</v>
      </c>
      <c r="B729" s="361" t="s">
        <v>1698</v>
      </c>
      <c r="C729" s="341" t="s">
        <v>1699</v>
      </c>
      <c r="D729" s="341" t="s">
        <v>1700</v>
      </c>
      <c r="E729" s="4"/>
    </row>
    <row r="730" spans="1:5" s="341" customFormat="1" x14ac:dyDescent="0.2">
      <c r="A730" s="341" t="s">
        <v>1946</v>
      </c>
      <c r="B730" s="361" t="s">
        <v>1701</v>
      </c>
      <c r="C730" s="341" t="s">
        <v>1702</v>
      </c>
      <c r="D730" s="341" t="s">
        <v>1703</v>
      </c>
      <c r="E730" s="4"/>
    </row>
    <row r="731" spans="1:5" s="341" customFormat="1" x14ac:dyDescent="0.2">
      <c r="A731" s="341" t="s">
        <v>1946</v>
      </c>
      <c r="B731" s="361" t="s">
        <v>1704</v>
      </c>
      <c r="C731" s="341" t="s">
        <v>1705</v>
      </c>
      <c r="D731" s="341" t="s">
        <v>1706</v>
      </c>
      <c r="E731" s="4"/>
    </row>
    <row r="732" spans="1:5" s="341" customFormat="1" x14ac:dyDescent="0.2">
      <c r="A732" s="341" t="s">
        <v>1946</v>
      </c>
      <c r="B732" s="361" t="s">
        <v>1707</v>
      </c>
      <c r="C732" s="341" t="s">
        <v>1708</v>
      </c>
      <c r="D732" s="341" t="s">
        <v>1709</v>
      </c>
      <c r="E732" s="4"/>
    </row>
    <row r="733" spans="1:5" s="341" customFormat="1" x14ac:dyDescent="0.2">
      <c r="A733" s="341" t="s">
        <v>1946</v>
      </c>
      <c r="B733" s="361" t="s">
        <v>1710</v>
      </c>
      <c r="C733" s="341" t="s">
        <v>1711</v>
      </c>
      <c r="D733" s="341" t="s">
        <v>1712</v>
      </c>
      <c r="E733" s="4"/>
    </row>
    <row r="734" spans="1:5" s="341" customFormat="1" x14ac:dyDescent="0.2">
      <c r="A734" s="341" t="s">
        <v>1946</v>
      </c>
      <c r="B734" s="361" t="s">
        <v>1713</v>
      </c>
      <c r="C734" s="341" t="s">
        <v>1714</v>
      </c>
      <c r="D734" s="341" t="s">
        <v>1715</v>
      </c>
      <c r="E734" s="4"/>
    </row>
    <row r="735" spans="1:5" s="341" customFormat="1" x14ac:dyDescent="0.2">
      <c r="A735" s="341" t="s">
        <v>1946</v>
      </c>
      <c r="B735" s="361" t="s">
        <v>1716</v>
      </c>
      <c r="C735" s="341" t="s">
        <v>1717</v>
      </c>
      <c r="D735" s="341" t="s">
        <v>1718</v>
      </c>
      <c r="E735" s="4"/>
    </row>
    <row r="736" spans="1:5" s="341" customFormat="1" x14ac:dyDescent="0.2">
      <c r="A736" s="341" t="s">
        <v>1946</v>
      </c>
      <c r="B736" s="361" t="s">
        <v>1719</v>
      </c>
      <c r="C736" s="341" t="s">
        <v>1720</v>
      </c>
      <c r="D736" s="341" t="s">
        <v>1721</v>
      </c>
      <c r="E736" s="4"/>
    </row>
    <row r="737" spans="1:5" s="341" customFormat="1" x14ac:dyDescent="0.2">
      <c r="A737" s="341" t="s">
        <v>1946</v>
      </c>
      <c r="B737" s="361" t="s">
        <v>1722</v>
      </c>
      <c r="C737" s="341" t="s">
        <v>1723</v>
      </c>
      <c r="D737" s="341" t="s">
        <v>1724</v>
      </c>
      <c r="E737" s="4"/>
    </row>
    <row r="738" spans="1:5" s="341" customFormat="1" x14ac:dyDescent="0.2">
      <c r="A738" s="341" t="s">
        <v>1946</v>
      </c>
      <c r="B738" s="361" t="s">
        <v>1725</v>
      </c>
      <c r="C738" s="341" t="s">
        <v>1726</v>
      </c>
      <c r="D738" s="341" t="s">
        <v>1727</v>
      </c>
      <c r="E738" s="4"/>
    </row>
    <row r="739" spans="1:5" s="341" customFormat="1" x14ac:dyDescent="0.2">
      <c r="A739" s="341" t="s">
        <v>1946</v>
      </c>
      <c r="B739" s="361" t="s">
        <v>1728</v>
      </c>
      <c r="C739" s="341" t="s">
        <v>1729</v>
      </c>
      <c r="D739" s="341" t="s">
        <v>1730</v>
      </c>
      <c r="E739" s="4"/>
    </row>
    <row r="740" spans="1:5" s="341" customFormat="1" x14ac:dyDescent="0.2">
      <c r="A740" s="341" t="s">
        <v>1946</v>
      </c>
      <c r="B740" s="361" t="s">
        <v>1731</v>
      </c>
      <c r="C740" s="341" t="s">
        <v>1732</v>
      </c>
      <c r="D740" s="341" t="s">
        <v>1733</v>
      </c>
      <c r="E740" s="4"/>
    </row>
    <row r="741" spans="1:5" s="341" customFormat="1" x14ac:dyDescent="0.2">
      <c r="A741" s="341" t="s">
        <v>1946</v>
      </c>
      <c r="B741" s="361" t="s">
        <v>1734</v>
      </c>
      <c r="C741" s="341" t="s">
        <v>1735</v>
      </c>
      <c r="D741" s="341" t="s">
        <v>1736</v>
      </c>
      <c r="E741" s="4"/>
    </row>
    <row r="742" spans="1:5" s="341" customFormat="1" x14ac:dyDescent="0.2">
      <c r="A742" s="341" t="s">
        <v>1946</v>
      </c>
      <c r="B742" s="361" t="s">
        <v>1737</v>
      </c>
      <c r="C742" s="341" t="s">
        <v>1738</v>
      </c>
      <c r="D742" s="341" t="s">
        <v>1739</v>
      </c>
      <c r="E742" s="4"/>
    </row>
    <row r="743" spans="1:5" s="341" customFormat="1" x14ac:dyDescent="0.2">
      <c r="A743" s="341" t="s">
        <v>1946</v>
      </c>
      <c r="B743" s="361" t="s">
        <v>1740</v>
      </c>
      <c r="C743" s="341" t="s">
        <v>1741</v>
      </c>
      <c r="D743" s="341" t="s">
        <v>1742</v>
      </c>
      <c r="E743" s="4"/>
    </row>
    <row r="744" spans="1:5" s="341" customFormat="1" x14ac:dyDescent="0.2">
      <c r="A744" s="341" t="s">
        <v>1946</v>
      </c>
      <c r="B744" s="361" t="s">
        <v>1743</v>
      </c>
      <c r="C744" s="341" t="s">
        <v>1744</v>
      </c>
      <c r="D744" s="341" t="s">
        <v>1745</v>
      </c>
      <c r="E744" s="4"/>
    </row>
    <row r="745" spans="1:5" s="341" customFormat="1" x14ac:dyDescent="0.2">
      <c r="A745" s="341" t="s">
        <v>1946</v>
      </c>
      <c r="B745" s="361" t="s">
        <v>1746</v>
      </c>
      <c r="C745" s="341" t="s">
        <v>1747</v>
      </c>
      <c r="D745" s="341" t="s">
        <v>1748</v>
      </c>
      <c r="E745" s="4"/>
    </row>
    <row r="746" spans="1:5" s="341" customFormat="1" x14ac:dyDescent="0.2">
      <c r="A746" s="341" t="s">
        <v>1946</v>
      </c>
      <c r="B746" s="361" t="s">
        <v>1749</v>
      </c>
      <c r="C746" s="341" t="s">
        <v>1750</v>
      </c>
      <c r="D746" s="341" t="s">
        <v>1751</v>
      </c>
      <c r="E746" s="4"/>
    </row>
    <row r="747" spans="1:5" s="341" customFormat="1" x14ac:dyDescent="0.2">
      <c r="A747" s="341" t="s">
        <v>1946</v>
      </c>
      <c r="B747" s="361" t="s">
        <v>1752</v>
      </c>
      <c r="C747" s="341" t="s">
        <v>1753</v>
      </c>
      <c r="D747" s="341" t="s">
        <v>1754</v>
      </c>
      <c r="E747" s="4"/>
    </row>
    <row r="748" spans="1:5" s="341" customFormat="1" x14ac:dyDescent="0.2">
      <c r="A748" s="341" t="s">
        <v>1946</v>
      </c>
      <c r="B748" s="361" t="s">
        <v>1755</v>
      </c>
      <c r="C748" s="341" t="s">
        <v>1756</v>
      </c>
      <c r="D748" s="341" t="s">
        <v>1757</v>
      </c>
      <c r="E748" s="4"/>
    </row>
    <row r="749" spans="1:5" s="341" customFormat="1" x14ac:dyDescent="0.2">
      <c r="A749" s="341" t="s">
        <v>1946</v>
      </c>
      <c r="B749" s="361" t="s">
        <v>1758</v>
      </c>
      <c r="C749" s="341" t="s">
        <v>1759</v>
      </c>
      <c r="D749" s="341" t="s">
        <v>1760</v>
      </c>
      <c r="E749" s="4"/>
    </row>
    <row r="750" spans="1:5" s="341" customFormat="1" x14ac:dyDescent="0.2">
      <c r="A750" s="341" t="s">
        <v>1946</v>
      </c>
      <c r="B750" s="361" t="s">
        <v>1761</v>
      </c>
      <c r="C750" s="341" t="s">
        <v>1762</v>
      </c>
      <c r="D750" s="341" t="s">
        <v>1763</v>
      </c>
      <c r="E750" s="4"/>
    </row>
    <row r="751" spans="1:5" s="341" customFormat="1" x14ac:dyDescent="0.2">
      <c r="A751" s="341" t="s">
        <v>1946</v>
      </c>
      <c r="B751" s="361" t="s">
        <v>1764</v>
      </c>
      <c r="C751" s="341" t="s">
        <v>1765</v>
      </c>
      <c r="D751" s="341" t="s">
        <v>1766</v>
      </c>
      <c r="E751" s="4"/>
    </row>
    <row r="752" spans="1:5" s="341" customFormat="1" x14ac:dyDescent="0.2">
      <c r="A752" s="341" t="s">
        <v>1946</v>
      </c>
      <c r="B752" s="361" t="s">
        <v>1767</v>
      </c>
      <c r="C752" s="341" t="s">
        <v>1768</v>
      </c>
      <c r="D752" s="341" t="s">
        <v>1769</v>
      </c>
      <c r="E752" s="4"/>
    </row>
    <row r="753" spans="1:5" s="341" customFormat="1" x14ac:dyDescent="0.2">
      <c r="A753" s="341" t="s">
        <v>1946</v>
      </c>
      <c r="B753" s="361" t="s">
        <v>1770</v>
      </c>
      <c r="C753" s="341" t="s">
        <v>1771</v>
      </c>
      <c r="D753" s="341" t="s">
        <v>1772</v>
      </c>
      <c r="E753" s="4"/>
    </row>
    <row r="754" spans="1:5" s="341" customFormat="1" x14ac:dyDescent="0.2">
      <c r="A754" s="341" t="s">
        <v>1946</v>
      </c>
      <c r="B754" s="361" t="s">
        <v>1773</v>
      </c>
      <c r="C754" s="341" t="s">
        <v>1774</v>
      </c>
      <c r="D754" s="341" t="s">
        <v>1775</v>
      </c>
      <c r="E754" s="4"/>
    </row>
    <row r="755" spans="1:5" s="341" customFormat="1" x14ac:dyDescent="0.2">
      <c r="A755" s="341" t="s">
        <v>1946</v>
      </c>
      <c r="B755" s="361" t="s">
        <v>1776</v>
      </c>
      <c r="C755" s="341" t="s">
        <v>1777</v>
      </c>
      <c r="D755" s="341" t="s">
        <v>1778</v>
      </c>
      <c r="E755" s="4"/>
    </row>
    <row r="756" spans="1:5" s="341" customFormat="1" x14ac:dyDescent="0.2">
      <c r="A756" s="341" t="s">
        <v>1946</v>
      </c>
      <c r="B756" s="361" t="s">
        <v>1779</v>
      </c>
      <c r="C756" s="341" t="s">
        <v>1780</v>
      </c>
      <c r="D756" s="341" t="s">
        <v>1781</v>
      </c>
      <c r="E756" s="4"/>
    </row>
    <row r="757" spans="1:5" s="341" customFormat="1" x14ac:dyDescent="0.2">
      <c r="A757" s="341" t="s">
        <v>1946</v>
      </c>
      <c r="B757" s="361" t="s">
        <v>1782</v>
      </c>
      <c r="C757" s="341" t="s">
        <v>1783</v>
      </c>
      <c r="D757" s="341" t="s">
        <v>1784</v>
      </c>
      <c r="E757" s="4"/>
    </row>
    <row r="758" spans="1:5" s="341" customFormat="1" x14ac:dyDescent="0.2">
      <c r="A758" s="341" t="s">
        <v>1946</v>
      </c>
      <c r="B758" s="361" t="s">
        <v>1785</v>
      </c>
      <c r="C758" s="341" t="s">
        <v>1786</v>
      </c>
      <c r="D758" s="341" t="s">
        <v>1787</v>
      </c>
      <c r="E758" s="4"/>
    </row>
    <row r="759" spans="1:5" s="341" customFormat="1" x14ac:dyDescent="0.2">
      <c r="A759" s="341" t="s">
        <v>1946</v>
      </c>
      <c r="B759" s="361" t="s">
        <v>1788</v>
      </c>
      <c r="C759" s="341" t="s">
        <v>1789</v>
      </c>
      <c r="D759" s="341" t="s">
        <v>1790</v>
      </c>
      <c r="E759" s="4"/>
    </row>
    <row r="760" spans="1:5" s="341" customFormat="1" x14ac:dyDescent="0.2">
      <c r="A760" s="341" t="s">
        <v>1946</v>
      </c>
      <c r="B760" s="361" t="s">
        <v>1791</v>
      </c>
      <c r="C760" s="341" t="s">
        <v>1792</v>
      </c>
      <c r="D760" s="341" t="s">
        <v>1793</v>
      </c>
      <c r="E760" s="4"/>
    </row>
    <row r="761" spans="1:5" s="341" customFormat="1" x14ac:dyDescent="0.2">
      <c r="A761" s="341" t="s">
        <v>1946</v>
      </c>
      <c r="B761" s="361" t="s">
        <v>1794</v>
      </c>
      <c r="C761" s="341" t="s">
        <v>1795</v>
      </c>
      <c r="D761" s="341" t="s">
        <v>1796</v>
      </c>
      <c r="E761" s="4"/>
    </row>
    <row r="762" spans="1:5" s="341" customFormat="1" x14ac:dyDescent="0.2">
      <c r="A762" s="341" t="s">
        <v>1946</v>
      </c>
      <c r="B762" s="361" t="s">
        <v>1797</v>
      </c>
      <c r="C762" s="341" t="s">
        <v>1798</v>
      </c>
      <c r="D762" s="341" t="s">
        <v>1799</v>
      </c>
      <c r="E762" s="4"/>
    </row>
    <row r="763" spans="1:5" s="341" customFormat="1" x14ac:dyDescent="0.2">
      <c r="A763" s="341" t="s">
        <v>1946</v>
      </c>
      <c r="B763" s="361" t="s">
        <v>1800</v>
      </c>
      <c r="C763" s="341" t="s">
        <v>1801</v>
      </c>
      <c r="D763" s="341" t="s">
        <v>1802</v>
      </c>
      <c r="E763" s="4"/>
    </row>
    <row r="764" spans="1:5" s="341" customFormat="1" x14ac:dyDescent="0.2">
      <c r="A764" s="341" t="s">
        <v>1946</v>
      </c>
      <c r="B764" s="361" t="s">
        <v>1803</v>
      </c>
      <c r="C764" s="341" t="s">
        <v>1804</v>
      </c>
      <c r="D764" s="341" t="s">
        <v>1805</v>
      </c>
      <c r="E764" s="4"/>
    </row>
    <row r="765" spans="1:5" s="341" customFormat="1" x14ac:dyDescent="0.2">
      <c r="A765" s="341" t="s">
        <v>1946</v>
      </c>
      <c r="B765" s="361" t="s">
        <v>1806</v>
      </c>
      <c r="C765" s="341" t="s">
        <v>1807</v>
      </c>
      <c r="D765" s="341" t="s">
        <v>1808</v>
      </c>
      <c r="E765" s="4"/>
    </row>
    <row r="766" spans="1:5" s="341" customFormat="1" x14ac:dyDescent="0.2">
      <c r="A766" s="341" t="s">
        <v>1946</v>
      </c>
      <c r="B766" s="361" t="s">
        <v>1809</v>
      </c>
      <c r="C766" s="341" t="s">
        <v>1810</v>
      </c>
      <c r="D766" s="341" t="s">
        <v>1811</v>
      </c>
      <c r="E766" s="4"/>
    </row>
    <row r="767" spans="1:5" s="341" customFormat="1" x14ac:dyDescent="0.2">
      <c r="A767" s="341" t="s">
        <v>1946</v>
      </c>
      <c r="B767" s="361" t="s">
        <v>1812</v>
      </c>
      <c r="C767" s="341" t="s">
        <v>1813</v>
      </c>
      <c r="D767" s="341" t="s">
        <v>1814</v>
      </c>
      <c r="E767" s="4"/>
    </row>
    <row r="768" spans="1:5" s="341" customFormat="1" x14ac:dyDescent="0.2">
      <c r="A768" s="341" t="s">
        <v>1946</v>
      </c>
      <c r="B768" s="361" t="s">
        <v>1815</v>
      </c>
      <c r="C768" s="341" t="s">
        <v>1816</v>
      </c>
      <c r="D768" s="341" t="s">
        <v>1817</v>
      </c>
      <c r="E768" s="4"/>
    </row>
    <row r="769" spans="1:5" s="341" customFormat="1" x14ac:dyDescent="0.2">
      <c r="A769" s="341" t="s">
        <v>1946</v>
      </c>
      <c r="B769" s="361" t="s">
        <v>1818</v>
      </c>
      <c r="C769" s="341" t="s">
        <v>1819</v>
      </c>
      <c r="D769" s="341" t="s">
        <v>1820</v>
      </c>
      <c r="E769" s="4"/>
    </row>
    <row r="770" spans="1:5" s="341" customFormat="1" x14ac:dyDescent="0.2">
      <c r="A770" s="341" t="s">
        <v>1946</v>
      </c>
      <c r="B770" s="361" t="s">
        <v>1821</v>
      </c>
      <c r="C770" s="341" t="s">
        <v>1822</v>
      </c>
      <c r="D770" s="341" t="s">
        <v>1823</v>
      </c>
      <c r="E770" s="4"/>
    </row>
    <row r="771" spans="1:5" s="341" customFormat="1" x14ac:dyDescent="0.2">
      <c r="A771" s="341" t="s">
        <v>1946</v>
      </c>
      <c r="B771" s="361" t="s">
        <v>1824</v>
      </c>
      <c r="C771" s="341" t="s">
        <v>1825</v>
      </c>
      <c r="D771" s="341" t="s">
        <v>1826</v>
      </c>
      <c r="E771" s="4"/>
    </row>
    <row r="772" spans="1:5" s="341" customFormat="1" x14ac:dyDescent="0.2">
      <c r="A772" s="341" t="s">
        <v>1946</v>
      </c>
      <c r="B772" s="361" t="s">
        <v>1827</v>
      </c>
      <c r="C772" s="341" t="s">
        <v>1828</v>
      </c>
      <c r="D772" s="341" t="s">
        <v>1829</v>
      </c>
      <c r="E772" s="4"/>
    </row>
    <row r="773" spans="1:5" s="341" customFormat="1" x14ac:dyDescent="0.2">
      <c r="A773" s="341" t="s">
        <v>1946</v>
      </c>
      <c r="B773" s="361" t="s">
        <v>1830</v>
      </c>
      <c r="C773" s="341" t="s">
        <v>1831</v>
      </c>
      <c r="D773" s="341" t="s">
        <v>1832</v>
      </c>
      <c r="E773" s="4"/>
    </row>
    <row r="774" spans="1:5" s="341" customFormat="1" x14ac:dyDescent="0.2">
      <c r="A774" s="341" t="s">
        <v>1946</v>
      </c>
      <c r="B774" s="361" t="s">
        <v>1833</v>
      </c>
      <c r="C774" s="341" t="s">
        <v>1834</v>
      </c>
      <c r="D774" s="341" t="s">
        <v>1835</v>
      </c>
      <c r="E774" s="4"/>
    </row>
    <row r="775" spans="1:5" s="341" customFormat="1" x14ac:dyDescent="0.2">
      <c r="A775" s="341" t="s">
        <v>1946</v>
      </c>
      <c r="B775" s="361" t="s">
        <v>1836</v>
      </c>
      <c r="C775" s="341" t="s">
        <v>1837</v>
      </c>
      <c r="D775" s="341" t="s">
        <v>1838</v>
      </c>
      <c r="E775" s="4"/>
    </row>
    <row r="776" spans="1:5" s="341" customFormat="1" x14ac:dyDescent="0.2">
      <c r="A776" s="341" t="s">
        <v>1946</v>
      </c>
      <c r="B776" s="361" t="s">
        <v>1839</v>
      </c>
      <c r="C776" s="341" t="s">
        <v>1840</v>
      </c>
      <c r="D776" s="341" t="s">
        <v>1841</v>
      </c>
      <c r="E776" s="4"/>
    </row>
    <row r="777" spans="1:5" s="341" customFormat="1" x14ac:dyDescent="0.2">
      <c r="A777" s="341" t="s">
        <v>1946</v>
      </c>
      <c r="B777" s="361" t="s">
        <v>1842</v>
      </c>
      <c r="C777" s="341" t="s">
        <v>1843</v>
      </c>
      <c r="D777" s="341" t="s">
        <v>1844</v>
      </c>
      <c r="E777" s="4"/>
    </row>
    <row r="778" spans="1:5" s="341" customFormat="1" x14ac:dyDescent="0.2">
      <c r="A778" s="341" t="s">
        <v>1946</v>
      </c>
      <c r="B778" s="361" t="s">
        <v>1845</v>
      </c>
      <c r="C778" s="341" t="s">
        <v>1846</v>
      </c>
      <c r="D778" s="341" t="s">
        <v>1847</v>
      </c>
      <c r="E778" s="4"/>
    </row>
    <row r="779" spans="1:5" s="341" customFormat="1" x14ac:dyDescent="0.2">
      <c r="A779" s="341" t="s">
        <v>1946</v>
      </c>
      <c r="B779" s="361" t="s">
        <v>1848</v>
      </c>
      <c r="C779" s="341" t="s">
        <v>1849</v>
      </c>
      <c r="D779" s="341" t="s">
        <v>1850</v>
      </c>
      <c r="E779" s="4"/>
    </row>
    <row r="780" spans="1:5" s="341" customFormat="1" x14ac:dyDescent="0.2">
      <c r="A780" s="341" t="s">
        <v>1946</v>
      </c>
      <c r="B780" s="361" t="s">
        <v>1851</v>
      </c>
      <c r="C780" s="341" t="s">
        <v>1852</v>
      </c>
      <c r="D780" s="341" t="s">
        <v>1853</v>
      </c>
      <c r="E780" s="4"/>
    </row>
    <row r="781" spans="1:5" s="341" customFormat="1" x14ac:dyDescent="0.2">
      <c r="A781" s="341" t="s">
        <v>1946</v>
      </c>
      <c r="B781" s="361" t="s">
        <v>1854</v>
      </c>
      <c r="C781" s="341" t="s">
        <v>1855</v>
      </c>
      <c r="D781" s="341" t="s">
        <v>1856</v>
      </c>
      <c r="E781" s="4"/>
    </row>
    <row r="782" spans="1:5" s="341" customFormat="1" x14ac:dyDescent="0.2">
      <c r="A782" s="341" t="s">
        <v>1946</v>
      </c>
      <c r="B782" s="361" t="s">
        <v>1857</v>
      </c>
      <c r="C782" s="341" t="s">
        <v>1858</v>
      </c>
      <c r="D782" s="341" t="s">
        <v>1859</v>
      </c>
      <c r="E782" s="4"/>
    </row>
    <row r="783" spans="1:5" s="341" customFormat="1" x14ac:dyDescent="0.2">
      <c r="A783" s="341" t="s">
        <v>1946</v>
      </c>
      <c r="B783" s="361" t="s">
        <v>1860</v>
      </c>
      <c r="C783" s="341" t="s">
        <v>1861</v>
      </c>
      <c r="D783" s="341" t="s">
        <v>1862</v>
      </c>
      <c r="E783" s="4"/>
    </row>
    <row r="784" spans="1:5" s="341" customFormat="1" x14ac:dyDescent="0.2">
      <c r="A784" s="341" t="s">
        <v>1946</v>
      </c>
      <c r="B784" s="361" t="s">
        <v>1863</v>
      </c>
      <c r="C784" s="341" t="s">
        <v>1864</v>
      </c>
      <c r="D784" s="341" t="s">
        <v>1865</v>
      </c>
      <c r="E784" s="4"/>
    </row>
    <row r="785" spans="1:5" s="341" customFormat="1" x14ac:dyDescent="0.2">
      <c r="A785" s="341" t="s">
        <v>1946</v>
      </c>
      <c r="B785" s="361" t="s">
        <v>1866</v>
      </c>
      <c r="C785" s="341" t="s">
        <v>1867</v>
      </c>
      <c r="D785" s="341" t="s">
        <v>1868</v>
      </c>
      <c r="E785" s="4"/>
    </row>
    <row r="786" spans="1:5" s="341" customFormat="1" x14ac:dyDescent="0.2">
      <c r="A786" s="341" t="s">
        <v>1946</v>
      </c>
      <c r="B786" s="361" t="s">
        <v>1869</v>
      </c>
      <c r="C786" s="341" t="s">
        <v>1870</v>
      </c>
      <c r="D786" s="341" t="s">
        <v>1871</v>
      </c>
      <c r="E786" s="4"/>
    </row>
    <row r="787" spans="1:5" s="341" customFormat="1" x14ac:dyDescent="0.2">
      <c r="A787" s="341" t="s">
        <v>1946</v>
      </c>
      <c r="B787" s="361" t="s">
        <v>1872</v>
      </c>
      <c r="C787" s="341" t="s">
        <v>1873</v>
      </c>
      <c r="D787" s="341" t="s">
        <v>1874</v>
      </c>
      <c r="E787" s="4"/>
    </row>
    <row r="788" spans="1:5" s="341" customFormat="1" x14ac:dyDescent="0.2">
      <c r="A788" s="341" t="s">
        <v>1946</v>
      </c>
      <c r="B788" s="361" t="s">
        <v>1875</v>
      </c>
      <c r="C788" s="341" t="s">
        <v>1876</v>
      </c>
      <c r="D788" s="341" t="s">
        <v>1877</v>
      </c>
      <c r="E788" s="4"/>
    </row>
    <row r="789" spans="1:5" s="341" customFormat="1" x14ac:dyDescent="0.2">
      <c r="A789" s="341" t="s">
        <v>1946</v>
      </c>
      <c r="B789" s="361" t="s">
        <v>1878</v>
      </c>
      <c r="C789" s="341" t="s">
        <v>1879</v>
      </c>
      <c r="D789" s="341" t="s">
        <v>1880</v>
      </c>
      <c r="E789" s="4"/>
    </row>
    <row r="790" spans="1:5" s="341" customFormat="1" x14ac:dyDescent="0.2">
      <c r="A790" s="341" t="s">
        <v>1946</v>
      </c>
      <c r="B790" s="361" t="s">
        <v>1881</v>
      </c>
      <c r="C790" s="341" t="s">
        <v>1882</v>
      </c>
      <c r="D790" s="341" t="s">
        <v>1883</v>
      </c>
      <c r="E790" s="4"/>
    </row>
    <row r="791" spans="1:5" s="341" customFormat="1" x14ac:dyDescent="0.2">
      <c r="A791" s="341" t="s">
        <v>1946</v>
      </c>
      <c r="B791" s="361" t="s">
        <v>1884</v>
      </c>
      <c r="C791" s="341" t="s">
        <v>1885</v>
      </c>
      <c r="D791" s="341" t="s">
        <v>1886</v>
      </c>
      <c r="E791" s="4"/>
    </row>
    <row r="792" spans="1:5" s="341" customFormat="1" x14ac:dyDescent="0.2">
      <c r="A792" s="341" t="s">
        <v>1946</v>
      </c>
      <c r="B792" s="361" t="s">
        <v>1887</v>
      </c>
      <c r="C792" s="341" t="s">
        <v>1888</v>
      </c>
      <c r="D792" s="341" t="s">
        <v>1889</v>
      </c>
      <c r="E792" s="4"/>
    </row>
    <row r="793" spans="1:5" s="341" customFormat="1" x14ac:dyDescent="0.2">
      <c r="A793" s="341" t="s">
        <v>1946</v>
      </c>
      <c r="B793" s="361" t="s">
        <v>1890</v>
      </c>
      <c r="C793" s="341" t="s">
        <v>1891</v>
      </c>
      <c r="D793" s="341" t="s">
        <v>1892</v>
      </c>
      <c r="E793" s="4"/>
    </row>
    <row r="794" spans="1:5" s="341" customFormat="1" x14ac:dyDescent="0.2">
      <c r="A794" s="341" t="s">
        <v>1946</v>
      </c>
      <c r="B794" s="361" t="s">
        <v>1893</v>
      </c>
      <c r="C794" s="341" t="s">
        <v>1894</v>
      </c>
      <c r="D794" s="341" t="s">
        <v>1895</v>
      </c>
      <c r="E794" s="4"/>
    </row>
    <row r="795" spans="1:5" s="341" customFormat="1" x14ac:dyDescent="0.2">
      <c r="A795" s="341" t="s">
        <v>1946</v>
      </c>
      <c r="B795" s="361" t="s">
        <v>1896</v>
      </c>
      <c r="C795" s="341" t="s">
        <v>1897</v>
      </c>
      <c r="D795" s="341" t="s">
        <v>1898</v>
      </c>
      <c r="E795" s="4"/>
    </row>
    <row r="796" spans="1:5" s="341" customFormat="1" x14ac:dyDescent="0.2">
      <c r="A796" s="341" t="s">
        <v>1946</v>
      </c>
      <c r="B796" s="361" t="s">
        <v>1899</v>
      </c>
      <c r="C796" s="341" t="s">
        <v>1900</v>
      </c>
      <c r="D796" s="341" t="s">
        <v>1901</v>
      </c>
      <c r="E796" s="4"/>
    </row>
    <row r="797" spans="1:5" s="341" customFormat="1" x14ac:dyDescent="0.2">
      <c r="A797" s="341" t="s">
        <v>1946</v>
      </c>
      <c r="B797" s="361" t="s">
        <v>1902</v>
      </c>
      <c r="C797" s="341" t="s">
        <v>1903</v>
      </c>
      <c r="D797" s="341" t="s">
        <v>1904</v>
      </c>
      <c r="E797" s="4"/>
    </row>
    <row r="798" spans="1:5" s="341" customFormat="1" x14ac:dyDescent="0.2">
      <c r="A798" s="341" t="s">
        <v>1946</v>
      </c>
      <c r="B798" s="361" t="s">
        <v>1905</v>
      </c>
      <c r="C798" s="341" t="s">
        <v>1906</v>
      </c>
      <c r="D798" s="341" t="s">
        <v>1907</v>
      </c>
      <c r="E798" s="4"/>
    </row>
    <row r="799" spans="1:5" s="341" customFormat="1" x14ac:dyDescent="0.2">
      <c r="A799" s="341" t="s">
        <v>1946</v>
      </c>
      <c r="B799" s="361" t="s">
        <v>1908</v>
      </c>
      <c r="C799" s="341" t="s">
        <v>1909</v>
      </c>
      <c r="D799" s="341" t="s">
        <v>1910</v>
      </c>
      <c r="E799" s="4"/>
    </row>
    <row r="800" spans="1:5" s="341" customFormat="1" x14ac:dyDescent="0.2">
      <c r="A800" s="341" t="s">
        <v>1946</v>
      </c>
      <c r="B800" s="361" t="s">
        <v>1911</v>
      </c>
      <c r="C800" s="341" t="s">
        <v>1912</v>
      </c>
      <c r="D800" s="341" t="s">
        <v>1913</v>
      </c>
      <c r="E800" s="4"/>
    </row>
    <row r="801" spans="1:5" s="341" customFormat="1" x14ac:dyDescent="0.2">
      <c r="A801" s="341" t="s">
        <v>1946</v>
      </c>
      <c r="B801" s="361" t="s">
        <v>1914</v>
      </c>
      <c r="C801" s="341" t="s">
        <v>1915</v>
      </c>
      <c r="D801" s="341" t="s">
        <v>1916</v>
      </c>
      <c r="E801" s="4"/>
    </row>
    <row r="802" spans="1:5" s="341" customFormat="1" x14ac:dyDescent="0.2">
      <c r="A802" s="341" t="s">
        <v>1946</v>
      </c>
      <c r="B802" s="361" t="s">
        <v>1917</v>
      </c>
      <c r="C802" s="341" t="s">
        <v>1918</v>
      </c>
      <c r="D802" s="341" t="s">
        <v>1919</v>
      </c>
      <c r="E802" s="4"/>
    </row>
    <row r="803" spans="1:5" s="341" customFormat="1" x14ac:dyDescent="0.2">
      <c r="A803" s="341" t="s">
        <v>1946</v>
      </c>
      <c r="B803" s="361" t="s">
        <v>1920</v>
      </c>
      <c r="C803" s="341" t="s">
        <v>1921</v>
      </c>
      <c r="D803" s="341" t="s">
        <v>1922</v>
      </c>
      <c r="E803" s="4"/>
    </row>
    <row r="804" spans="1:5" s="341" customFormat="1" x14ac:dyDescent="0.2">
      <c r="A804" s="341" t="s">
        <v>1946</v>
      </c>
      <c r="B804" s="361" t="s">
        <v>1923</v>
      </c>
      <c r="C804" s="341" t="s">
        <v>1924</v>
      </c>
      <c r="D804" s="341" t="s">
        <v>1925</v>
      </c>
      <c r="E804" s="4"/>
    </row>
    <row r="805" spans="1:5" s="341" customFormat="1" x14ac:dyDescent="0.2">
      <c r="A805" s="341" t="s">
        <v>1946</v>
      </c>
      <c r="B805" s="361" t="s">
        <v>1926</v>
      </c>
      <c r="C805" s="341" t="s">
        <v>1927</v>
      </c>
      <c r="D805" s="341" t="s">
        <v>1928</v>
      </c>
      <c r="E805" s="4"/>
    </row>
    <row r="806" spans="1:5" s="341" customFormat="1" x14ac:dyDescent="0.2">
      <c r="A806" s="341" t="s">
        <v>1946</v>
      </c>
      <c r="B806" s="361" t="s">
        <v>1929</v>
      </c>
      <c r="C806" s="341" t="s">
        <v>1930</v>
      </c>
      <c r="D806" s="341" t="s">
        <v>1931</v>
      </c>
      <c r="E806" s="4"/>
    </row>
    <row r="807" spans="1:5" s="341" customFormat="1" x14ac:dyDescent="0.2">
      <c r="A807" s="341" t="s">
        <v>1946</v>
      </c>
      <c r="B807" s="361" t="s">
        <v>1932</v>
      </c>
      <c r="C807" s="341" t="s">
        <v>1933</v>
      </c>
      <c r="D807" s="341" t="s">
        <v>1934</v>
      </c>
      <c r="E807" s="4"/>
    </row>
    <row r="808" spans="1:5" s="341" customFormat="1" x14ac:dyDescent="0.2">
      <c r="A808" s="341" t="s">
        <v>1946</v>
      </c>
      <c r="B808" s="361" t="s">
        <v>1938</v>
      </c>
      <c r="C808" s="341" t="s">
        <v>1939</v>
      </c>
      <c r="D808" s="341" t="s">
        <v>826</v>
      </c>
      <c r="E808" s="4"/>
    </row>
    <row r="809" spans="1:5" s="341" customFormat="1" x14ac:dyDescent="0.2">
      <c r="A809" s="341" t="s">
        <v>1946</v>
      </c>
      <c r="B809" s="361" t="s">
        <v>1940</v>
      </c>
      <c r="C809" s="341" t="s">
        <v>1941</v>
      </c>
      <c r="D809" s="341" t="s">
        <v>828</v>
      </c>
      <c r="E809" s="4"/>
    </row>
    <row r="810" spans="1:5" x14ac:dyDescent="0.2">
      <c r="B810" s="360"/>
      <c r="E810" s="4"/>
    </row>
    <row r="811" spans="1:5" x14ac:dyDescent="0.2">
      <c r="A811" s="341" t="s">
        <v>42</v>
      </c>
      <c r="B811" s="361">
        <v>1</v>
      </c>
      <c r="C811" s="338" t="s">
        <v>2045</v>
      </c>
      <c r="D811" s="338" t="s">
        <v>2046</v>
      </c>
      <c r="E811" s="4"/>
    </row>
    <row r="812" spans="1:5" x14ac:dyDescent="0.2">
      <c r="A812" s="341" t="s">
        <v>42</v>
      </c>
      <c r="B812" s="361">
        <v>2</v>
      </c>
      <c r="C812" s="338" t="s">
        <v>2047</v>
      </c>
      <c r="D812" s="338" t="s">
        <v>2048</v>
      </c>
      <c r="E812" s="4"/>
    </row>
    <row r="813" spans="1:5" x14ac:dyDescent="0.2">
      <c r="A813" s="341" t="s">
        <v>42</v>
      </c>
      <c r="B813" s="361">
        <v>3</v>
      </c>
      <c r="C813" s="338" t="s">
        <v>2049</v>
      </c>
      <c r="D813" s="338" t="s">
        <v>2050</v>
      </c>
      <c r="E813" s="4"/>
    </row>
    <row r="814" spans="1:5" x14ac:dyDescent="0.2">
      <c r="A814" s="341" t="s">
        <v>42</v>
      </c>
      <c r="B814" s="361">
        <v>4</v>
      </c>
      <c r="C814" s="338" t="s">
        <v>2051</v>
      </c>
      <c r="D814" s="338" t="s">
        <v>2052</v>
      </c>
      <c r="E814" s="4"/>
    </row>
    <row r="815" spans="1:5" x14ac:dyDescent="0.2">
      <c r="A815" s="341" t="s">
        <v>42</v>
      </c>
      <c r="B815" s="361">
        <v>5</v>
      </c>
      <c r="C815" s="338" t="s">
        <v>2053</v>
      </c>
      <c r="D815" s="338" t="s">
        <v>2054</v>
      </c>
      <c r="E815" s="4"/>
    </row>
    <row r="816" spans="1:5" x14ac:dyDescent="0.2">
      <c r="A816" s="341" t="s">
        <v>42</v>
      </c>
      <c r="B816" s="361">
        <v>6</v>
      </c>
      <c r="C816" s="338" t="s">
        <v>2055</v>
      </c>
      <c r="D816" s="338" t="s">
        <v>2056</v>
      </c>
      <c r="E816" s="4"/>
    </row>
    <row r="817" spans="1:5" x14ac:dyDescent="0.2">
      <c r="A817" s="341" t="s">
        <v>42</v>
      </c>
      <c r="B817" s="361">
        <v>7</v>
      </c>
      <c r="C817" s="338" t="s">
        <v>2057</v>
      </c>
      <c r="D817" s="338" t="s">
        <v>2058</v>
      </c>
      <c r="E817" s="4"/>
    </row>
    <row r="818" spans="1:5" x14ac:dyDescent="0.2">
      <c r="A818" s="341" t="s">
        <v>42</v>
      </c>
      <c r="B818" s="361">
        <v>8</v>
      </c>
      <c r="C818" s="338" t="s">
        <v>2059</v>
      </c>
      <c r="D818" s="338" t="s">
        <v>2060</v>
      </c>
      <c r="E818" s="4"/>
    </row>
    <row r="819" spans="1:5" x14ac:dyDescent="0.2">
      <c r="A819" s="341" t="s">
        <v>42</v>
      </c>
      <c r="B819" s="361">
        <v>9</v>
      </c>
      <c r="C819" s="338" t="s">
        <v>2061</v>
      </c>
      <c r="D819" s="338" t="s">
        <v>2062</v>
      </c>
      <c r="E819" s="4"/>
    </row>
    <row r="820" spans="1:5" x14ac:dyDescent="0.2">
      <c r="A820" s="341" t="s">
        <v>42</v>
      </c>
      <c r="B820" s="361">
        <v>10</v>
      </c>
      <c r="C820" s="338" t="s">
        <v>2063</v>
      </c>
      <c r="D820" s="338" t="s">
        <v>2064</v>
      </c>
      <c r="E820" s="4"/>
    </row>
    <row r="821" spans="1:5" x14ac:dyDescent="0.2">
      <c r="A821" s="341" t="s">
        <v>42</v>
      </c>
      <c r="B821" s="361">
        <v>11</v>
      </c>
      <c r="C821" s="338" t="s">
        <v>2065</v>
      </c>
      <c r="D821" s="338" t="s">
        <v>2066</v>
      </c>
      <c r="E821" s="4"/>
    </row>
    <row r="822" spans="1:5" x14ac:dyDescent="0.2">
      <c r="A822" s="341" t="s">
        <v>42</v>
      </c>
      <c r="B822" s="361">
        <v>12</v>
      </c>
      <c r="C822" s="338" t="s">
        <v>2067</v>
      </c>
      <c r="D822" s="338" t="s">
        <v>2068</v>
      </c>
      <c r="E822" s="4"/>
    </row>
    <row r="823" spans="1:5" x14ac:dyDescent="0.2">
      <c r="A823" s="341" t="s">
        <v>42</v>
      </c>
      <c r="B823" s="361">
        <v>13</v>
      </c>
      <c r="C823" s="338" t="s">
        <v>2069</v>
      </c>
      <c r="D823" s="338" t="s">
        <v>2070</v>
      </c>
      <c r="E823" s="4"/>
    </row>
    <row r="824" spans="1:5" x14ac:dyDescent="0.2">
      <c r="A824" s="341" t="s">
        <v>42</v>
      </c>
      <c r="B824" s="361">
        <v>14</v>
      </c>
      <c r="C824" s="338" t="s">
        <v>2071</v>
      </c>
      <c r="D824" s="338" t="s">
        <v>2072</v>
      </c>
      <c r="E824" s="4"/>
    </row>
    <row r="825" spans="1:5" x14ac:dyDescent="0.2">
      <c r="A825" s="341" t="s">
        <v>42</v>
      </c>
      <c r="B825" s="361">
        <v>15</v>
      </c>
      <c r="C825" s="338" t="s">
        <v>2073</v>
      </c>
      <c r="D825" s="338" t="s">
        <v>2074</v>
      </c>
      <c r="E825" s="4"/>
    </row>
    <row r="826" spans="1:5" x14ac:dyDescent="0.2">
      <c r="A826" s="341" t="s">
        <v>42</v>
      </c>
      <c r="B826" s="361">
        <v>16</v>
      </c>
      <c r="C826" s="338" t="s">
        <v>2075</v>
      </c>
      <c r="D826" s="338" t="s">
        <v>2076</v>
      </c>
      <c r="E826" s="4"/>
    </row>
    <row r="827" spans="1:5" x14ac:dyDescent="0.2">
      <c r="A827" s="341" t="s">
        <v>42</v>
      </c>
      <c r="B827" s="361">
        <v>17</v>
      </c>
      <c r="C827" s="338" t="s">
        <v>2077</v>
      </c>
      <c r="D827" s="338" t="s">
        <v>2078</v>
      </c>
      <c r="E827" s="4"/>
    </row>
    <row r="828" spans="1:5" x14ac:dyDescent="0.2">
      <c r="A828" s="341" t="s">
        <v>42</v>
      </c>
      <c r="B828" s="361">
        <v>18</v>
      </c>
      <c r="C828" s="338" t="s">
        <v>2079</v>
      </c>
      <c r="D828" s="338" t="s">
        <v>2080</v>
      </c>
      <c r="E828" s="4"/>
    </row>
    <row r="829" spans="1:5" x14ac:dyDescent="0.2">
      <c r="A829" s="341" t="s">
        <v>42</v>
      </c>
      <c r="B829" s="361">
        <v>19</v>
      </c>
      <c r="C829" s="338" t="s">
        <v>2081</v>
      </c>
      <c r="D829" s="338" t="s">
        <v>2082</v>
      </c>
      <c r="E829" s="4"/>
    </row>
    <row r="830" spans="1:5" x14ac:dyDescent="0.2">
      <c r="A830" s="341" t="s">
        <v>42</v>
      </c>
      <c r="B830" s="361">
        <v>20</v>
      </c>
      <c r="C830" s="338" t="s">
        <v>2083</v>
      </c>
      <c r="D830" s="338" t="s">
        <v>2084</v>
      </c>
      <c r="E830" s="4"/>
    </row>
    <row r="831" spans="1:5" x14ac:dyDescent="0.2">
      <c r="A831" s="341" t="s">
        <v>42</v>
      </c>
      <c r="B831" s="361">
        <v>21</v>
      </c>
      <c r="C831" s="338" t="s">
        <v>2085</v>
      </c>
      <c r="D831" s="338" t="s">
        <v>2086</v>
      </c>
      <c r="E831" s="4"/>
    </row>
    <row r="832" spans="1:5" x14ac:dyDescent="0.2">
      <c r="A832" s="341" t="s">
        <v>42</v>
      </c>
      <c r="B832" s="361">
        <v>22</v>
      </c>
      <c r="C832" s="338" t="s">
        <v>2087</v>
      </c>
      <c r="D832" s="338" t="s">
        <v>2088</v>
      </c>
      <c r="E832" s="4"/>
    </row>
    <row r="833" spans="1:5" x14ac:dyDescent="0.2">
      <c r="A833" s="341" t="s">
        <v>42</v>
      </c>
      <c r="B833" s="361">
        <v>23</v>
      </c>
      <c r="C833" s="338" t="s">
        <v>2089</v>
      </c>
      <c r="D833" s="338" t="s">
        <v>2090</v>
      </c>
      <c r="E833" s="4"/>
    </row>
    <row r="834" spans="1:5" x14ac:dyDescent="0.2">
      <c r="A834" s="341" t="s">
        <v>42</v>
      </c>
      <c r="B834" s="361">
        <v>24</v>
      </c>
      <c r="C834" s="338" t="s">
        <v>2091</v>
      </c>
      <c r="D834" s="338" t="s">
        <v>2092</v>
      </c>
      <c r="E834" s="4"/>
    </row>
    <row r="835" spans="1:5" x14ac:dyDescent="0.2">
      <c r="A835" s="341" t="s">
        <v>42</v>
      </c>
      <c r="B835" s="361">
        <v>25</v>
      </c>
      <c r="C835" s="338" t="s">
        <v>2093</v>
      </c>
      <c r="D835" s="338" t="s">
        <v>2094</v>
      </c>
      <c r="E835" s="4"/>
    </row>
    <row r="836" spans="1:5" x14ac:dyDescent="0.2">
      <c r="A836" s="341" t="s">
        <v>42</v>
      </c>
      <c r="B836" s="361">
        <v>26</v>
      </c>
      <c r="C836" s="338" t="s">
        <v>2095</v>
      </c>
      <c r="D836" s="338" t="s">
        <v>2096</v>
      </c>
      <c r="E836" s="4"/>
    </row>
    <row r="837" spans="1:5" x14ac:dyDescent="0.2">
      <c r="A837" s="341" t="s">
        <v>42</v>
      </c>
      <c r="B837" s="361">
        <v>27</v>
      </c>
      <c r="C837" s="338" t="s">
        <v>2097</v>
      </c>
      <c r="D837" s="338" t="s">
        <v>2098</v>
      </c>
      <c r="E837" s="4"/>
    </row>
    <row r="838" spans="1:5" x14ac:dyDescent="0.2">
      <c r="A838" s="341" t="s">
        <v>42</v>
      </c>
      <c r="B838" s="361">
        <v>28</v>
      </c>
      <c r="C838" s="338" t="s">
        <v>2099</v>
      </c>
      <c r="D838" s="338" t="s">
        <v>2100</v>
      </c>
      <c r="E838" s="4"/>
    </row>
    <row r="839" spans="1:5" x14ac:dyDescent="0.2">
      <c r="A839" s="341" t="s">
        <v>42</v>
      </c>
      <c r="B839" s="361">
        <v>29</v>
      </c>
      <c r="C839" s="338" t="s">
        <v>2101</v>
      </c>
      <c r="D839" s="338" t="s">
        <v>2102</v>
      </c>
      <c r="E839" s="4"/>
    </row>
    <row r="840" spans="1:5" x14ac:dyDescent="0.2">
      <c r="A840" s="341" t="s">
        <v>42</v>
      </c>
      <c r="B840" s="361">
        <v>30</v>
      </c>
      <c r="C840" s="338" t="s">
        <v>2103</v>
      </c>
      <c r="D840" s="338" t="s">
        <v>2104</v>
      </c>
      <c r="E840" s="4"/>
    </row>
    <row r="841" spans="1:5" x14ac:dyDescent="0.2">
      <c r="A841" s="341" t="s">
        <v>42</v>
      </c>
      <c r="B841" s="361">
        <v>31</v>
      </c>
      <c r="C841" s="338" t="s">
        <v>2105</v>
      </c>
      <c r="D841" s="338" t="s">
        <v>2106</v>
      </c>
      <c r="E841" s="4"/>
    </row>
    <row r="842" spans="1:5" x14ac:dyDescent="0.2">
      <c r="A842" s="341" t="s">
        <v>42</v>
      </c>
      <c r="B842" s="361">
        <v>32</v>
      </c>
      <c r="C842" s="338" t="s">
        <v>2107</v>
      </c>
      <c r="D842" s="338" t="s">
        <v>2108</v>
      </c>
      <c r="E842" s="4"/>
    </row>
    <row r="843" spans="1:5" x14ac:dyDescent="0.2">
      <c r="A843" s="341" t="s">
        <v>42</v>
      </c>
      <c r="B843" s="361">
        <v>33</v>
      </c>
      <c r="C843" s="338" t="s">
        <v>2109</v>
      </c>
      <c r="D843" s="338" t="s">
        <v>2110</v>
      </c>
      <c r="E843" s="4"/>
    </row>
    <row r="844" spans="1:5" x14ac:dyDescent="0.2">
      <c r="A844" s="341" t="s">
        <v>42</v>
      </c>
      <c r="B844" s="361">
        <v>34</v>
      </c>
      <c r="C844" s="338" t="s">
        <v>2111</v>
      </c>
      <c r="D844" s="338" t="s">
        <v>2112</v>
      </c>
      <c r="E844" s="4"/>
    </row>
    <row r="845" spans="1:5" x14ac:dyDescent="0.2">
      <c r="A845" s="341" t="s">
        <v>42</v>
      </c>
      <c r="B845" s="361">
        <v>35</v>
      </c>
      <c r="C845" s="338" t="s">
        <v>2113</v>
      </c>
      <c r="D845" s="338" t="s">
        <v>2114</v>
      </c>
      <c r="E845" s="4"/>
    </row>
    <row r="846" spans="1:5" x14ac:dyDescent="0.2">
      <c r="A846" s="341" t="s">
        <v>42</v>
      </c>
      <c r="B846" s="361">
        <v>36</v>
      </c>
      <c r="C846" s="338" t="s">
        <v>2115</v>
      </c>
      <c r="D846" s="338" t="s">
        <v>2116</v>
      </c>
      <c r="E846" s="4"/>
    </row>
    <row r="847" spans="1:5" x14ac:dyDescent="0.2">
      <c r="A847" s="341" t="s">
        <v>42</v>
      </c>
      <c r="B847" s="361">
        <v>37</v>
      </c>
      <c r="C847" s="338" t="s">
        <v>2117</v>
      </c>
      <c r="D847" s="338" t="s">
        <v>2118</v>
      </c>
      <c r="E847" s="4"/>
    </row>
    <row r="848" spans="1:5" x14ac:dyDescent="0.2">
      <c r="A848" s="341" t="s">
        <v>42</v>
      </c>
      <c r="B848" s="361">
        <v>38</v>
      </c>
      <c r="C848" s="338" t="s">
        <v>2119</v>
      </c>
      <c r="D848" s="338" t="s">
        <v>2120</v>
      </c>
      <c r="E848" s="4"/>
    </row>
    <row r="849" spans="1:5" x14ac:dyDescent="0.2">
      <c r="A849" s="341" t="s">
        <v>42</v>
      </c>
      <c r="B849" s="361">
        <v>39</v>
      </c>
      <c r="C849" s="338" t="s">
        <v>2121</v>
      </c>
      <c r="D849" s="338" t="s">
        <v>2122</v>
      </c>
      <c r="E849" s="4"/>
    </row>
    <row r="850" spans="1:5" x14ac:dyDescent="0.2">
      <c r="A850" s="341" t="s">
        <v>42</v>
      </c>
      <c r="B850" s="361">
        <v>40</v>
      </c>
      <c r="C850" s="338" t="s">
        <v>2123</v>
      </c>
      <c r="D850" s="338" t="s">
        <v>2124</v>
      </c>
      <c r="E850" s="4"/>
    </row>
    <row r="851" spans="1:5" x14ac:dyDescent="0.2">
      <c r="A851" s="341" t="s">
        <v>42</v>
      </c>
      <c r="B851" s="361">
        <v>41</v>
      </c>
      <c r="C851" s="338" t="s">
        <v>2125</v>
      </c>
      <c r="D851" s="338" t="s">
        <v>2126</v>
      </c>
      <c r="E851" s="4"/>
    </row>
    <row r="852" spans="1:5" x14ac:dyDescent="0.2">
      <c r="A852" s="341" t="s">
        <v>42</v>
      </c>
      <c r="B852" s="361">
        <v>42</v>
      </c>
      <c r="C852" s="338" t="s">
        <v>2127</v>
      </c>
      <c r="D852" s="338" t="s">
        <v>2128</v>
      </c>
      <c r="E852" s="4"/>
    </row>
    <row r="853" spans="1:5" x14ac:dyDescent="0.2">
      <c r="A853" s="341" t="s">
        <v>42</v>
      </c>
      <c r="B853" s="361">
        <v>43</v>
      </c>
      <c r="C853" s="338" t="s">
        <v>2129</v>
      </c>
      <c r="D853" s="338" t="s">
        <v>2130</v>
      </c>
      <c r="E853" s="4"/>
    </row>
    <row r="854" spans="1:5" x14ac:dyDescent="0.2">
      <c r="A854" s="341" t="s">
        <v>42</v>
      </c>
      <c r="B854" s="361">
        <v>44</v>
      </c>
      <c r="C854" s="338" t="s">
        <v>2131</v>
      </c>
      <c r="D854" s="338" t="s">
        <v>2132</v>
      </c>
      <c r="E854" s="4"/>
    </row>
    <row r="855" spans="1:5" x14ac:dyDescent="0.2">
      <c r="A855" s="341" t="s">
        <v>42</v>
      </c>
      <c r="B855" s="361">
        <v>45</v>
      </c>
      <c r="C855" s="338" t="s">
        <v>2133</v>
      </c>
      <c r="D855" s="338" t="s">
        <v>2134</v>
      </c>
      <c r="E855" s="4"/>
    </row>
    <row r="856" spans="1:5" x14ac:dyDescent="0.2">
      <c r="A856" s="341" t="s">
        <v>42</v>
      </c>
      <c r="B856" s="361">
        <v>46</v>
      </c>
      <c r="C856" s="338" t="s">
        <v>2135</v>
      </c>
      <c r="D856" s="338" t="s">
        <v>2136</v>
      </c>
      <c r="E856" s="4"/>
    </row>
    <row r="857" spans="1:5" x14ac:dyDescent="0.2">
      <c r="A857" s="341" t="s">
        <v>42</v>
      </c>
      <c r="B857" s="361">
        <v>47</v>
      </c>
      <c r="C857" s="338" t="s">
        <v>2137</v>
      </c>
      <c r="D857" s="338" t="s">
        <v>2138</v>
      </c>
      <c r="E857" s="4"/>
    </row>
    <row r="858" spans="1:5" x14ac:dyDescent="0.2">
      <c r="A858" s="341" t="s">
        <v>42</v>
      </c>
      <c r="B858" s="361">
        <v>48</v>
      </c>
      <c r="C858" s="338" t="s">
        <v>2139</v>
      </c>
      <c r="D858" s="338" t="s">
        <v>2140</v>
      </c>
      <c r="E858" s="4"/>
    </row>
    <row r="859" spans="1:5" x14ac:dyDescent="0.2">
      <c r="A859" s="341" t="s">
        <v>42</v>
      </c>
      <c r="B859" s="361">
        <v>49</v>
      </c>
      <c r="C859" s="338" t="s">
        <v>2141</v>
      </c>
      <c r="D859" s="338" t="s">
        <v>2142</v>
      </c>
      <c r="E859" s="4"/>
    </row>
    <row r="860" spans="1:5" x14ac:dyDescent="0.2">
      <c r="A860" s="341" t="s">
        <v>42</v>
      </c>
      <c r="B860" s="361">
        <v>50</v>
      </c>
      <c r="C860" s="338" t="s">
        <v>2143</v>
      </c>
      <c r="D860" s="338" t="s">
        <v>2144</v>
      </c>
      <c r="E860" s="4"/>
    </row>
    <row r="861" spans="1:5" x14ac:dyDescent="0.2">
      <c r="A861" s="341" t="s">
        <v>42</v>
      </c>
      <c r="B861" s="361">
        <v>51</v>
      </c>
      <c r="C861" s="338" t="s">
        <v>2145</v>
      </c>
      <c r="D861" s="338" t="s">
        <v>2146</v>
      </c>
      <c r="E861" s="4"/>
    </row>
    <row r="862" spans="1:5" x14ac:dyDescent="0.2">
      <c r="A862" s="341" t="s">
        <v>42</v>
      </c>
      <c r="B862" s="361">
        <v>52</v>
      </c>
      <c r="C862" s="338" t="s">
        <v>2147</v>
      </c>
      <c r="D862" s="338" t="s">
        <v>2148</v>
      </c>
      <c r="E862" s="4"/>
    </row>
    <row r="863" spans="1:5" x14ac:dyDescent="0.2">
      <c r="A863" s="341" t="s">
        <v>42</v>
      </c>
      <c r="B863" s="361">
        <v>53</v>
      </c>
      <c r="C863" s="338" t="s">
        <v>2149</v>
      </c>
      <c r="D863" s="338" t="s">
        <v>2150</v>
      </c>
      <c r="E863" s="4"/>
    </row>
    <row r="864" spans="1:5" x14ac:dyDescent="0.2">
      <c r="A864" s="341" t="s">
        <v>42</v>
      </c>
      <c r="B864" s="361">
        <v>54</v>
      </c>
      <c r="C864" s="338" t="s">
        <v>2151</v>
      </c>
      <c r="D864" s="338" t="s">
        <v>2152</v>
      </c>
      <c r="E864" s="4"/>
    </row>
    <row r="865" spans="1:5" x14ac:dyDescent="0.2">
      <c r="A865" s="341" t="s">
        <v>42</v>
      </c>
      <c r="B865" s="361">
        <v>55</v>
      </c>
      <c r="C865" s="338" t="s">
        <v>2153</v>
      </c>
      <c r="D865" s="338" t="s">
        <v>2154</v>
      </c>
      <c r="E865" s="4"/>
    </row>
    <row r="866" spans="1:5" x14ac:dyDescent="0.2">
      <c r="A866" s="341" t="s">
        <v>42</v>
      </c>
      <c r="B866" s="361">
        <v>56</v>
      </c>
      <c r="C866" s="338" t="s">
        <v>2155</v>
      </c>
      <c r="D866" s="338" t="s">
        <v>2156</v>
      </c>
      <c r="E866" s="4"/>
    </row>
    <row r="867" spans="1:5" x14ac:dyDescent="0.2">
      <c r="A867" s="341" t="s">
        <v>42</v>
      </c>
      <c r="B867" s="361">
        <v>57</v>
      </c>
      <c r="C867" s="338" t="s">
        <v>2157</v>
      </c>
      <c r="D867" s="338" t="s">
        <v>2158</v>
      </c>
      <c r="E867" s="4"/>
    </row>
    <row r="868" spans="1:5" x14ac:dyDescent="0.2">
      <c r="A868" s="341" t="s">
        <v>42</v>
      </c>
      <c r="B868" s="361">
        <v>58</v>
      </c>
      <c r="C868" s="338" t="s">
        <v>2159</v>
      </c>
      <c r="D868" s="338" t="s">
        <v>2160</v>
      </c>
      <c r="E868" s="4"/>
    </row>
    <row r="869" spans="1:5" x14ac:dyDescent="0.2">
      <c r="A869" s="341" t="s">
        <v>42</v>
      </c>
      <c r="B869" s="361">
        <v>59</v>
      </c>
      <c r="C869" s="338" t="s">
        <v>2161</v>
      </c>
      <c r="D869" s="338" t="s">
        <v>2162</v>
      </c>
      <c r="E869" s="4"/>
    </row>
    <row r="870" spans="1:5" x14ac:dyDescent="0.2">
      <c r="A870" s="341" t="s">
        <v>42</v>
      </c>
      <c r="B870" s="361">
        <v>60</v>
      </c>
      <c r="C870" s="338" t="s">
        <v>2163</v>
      </c>
      <c r="D870" s="338" t="s">
        <v>2164</v>
      </c>
      <c r="E870" s="4"/>
    </row>
    <row r="871" spans="1:5" x14ac:dyDescent="0.2">
      <c r="A871" s="341" t="s">
        <v>42</v>
      </c>
      <c r="B871" s="361">
        <v>61</v>
      </c>
      <c r="C871" s="338" t="s">
        <v>2165</v>
      </c>
      <c r="D871" s="338" t="s">
        <v>2166</v>
      </c>
      <c r="E871" s="4"/>
    </row>
    <row r="872" spans="1:5" x14ac:dyDescent="0.2">
      <c r="A872" s="341" t="s">
        <v>42</v>
      </c>
      <c r="B872" s="361">
        <v>62</v>
      </c>
      <c r="C872" s="341" t="s">
        <v>2167</v>
      </c>
      <c r="D872" s="338" t="s">
        <v>2168</v>
      </c>
      <c r="E872" s="4"/>
    </row>
    <row r="873" spans="1:5" x14ac:dyDescent="0.2">
      <c r="A873" s="341" t="s">
        <v>42</v>
      </c>
      <c r="B873" s="361">
        <v>63</v>
      </c>
      <c r="C873" s="341" t="s">
        <v>2169</v>
      </c>
      <c r="D873" s="338" t="s">
        <v>2170</v>
      </c>
      <c r="E873" s="4"/>
    </row>
    <row r="874" spans="1:5" x14ac:dyDescent="0.2">
      <c r="A874" s="341" t="s">
        <v>42</v>
      </c>
      <c r="B874" s="361">
        <v>64</v>
      </c>
      <c r="C874" s="341" t="s">
        <v>2171</v>
      </c>
      <c r="D874" s="338" t="s">
        <v>2172</v>
      </c>
      <c r="E874" s="4"/>
    </row>
    <row r="875" spans="1:5" x14ac:dyDescent="0.2">
      <c r="A875" s="341" t="s">
        <v>42</v>
      </c>
      <c r="B875" s="361">
        <v>65</v>
      </c>
      <c r="C875" s="341" t="s">
        <v>2173</v>
      </c>
      <c r="D875" s="341" t="s">
        <v>2174</v>
      </c>
      <c r="E875" s="4"/>
    </row>
    <row r="876" spans="1:5" x14ac:dyDescent="0.2">
      <c r="A876" s="341" t="s">
        <v>42</v>
      </c>
      <c r="B876" s="361">
        <v>66</v>
      </c>
      <c r="C876" s="341" t="s">
        <v>2175</v>
      </c>
      <c r="D876" s="341" t="s">
        <v>2176</v>
      </c>
      <c r="E876" s="4"/>
    </row>
    <row r="877" spans="1:5" x14ac:dyDescent="0.2">
      <c r="A877" s="341" t="s">
        <v>42</v>
      </c>
      <c r="B877" s="361">
        <v>67</v>
      </c>
      <c r="C877" s="341" t="s">
        <v>2177</v>
      </c>
      <c r="D877" s="341" t="s">
        <v>2178</v>
      </c>
      <c r="E877" s="4"/>
    </row>
    <row r="878" spans="1:5" x14ac:dyDescent="0.2">
      <c r="A878" s="341" t="s">
        <v>42</v>
      </c>
      <c r="B878" s="361">
        <v>68</v>
      </c>
      <c r="C878" s="341" t="s">
        <v>2179</v>
      </c>
      <c r="D878" s="341" t="s">
        <v>2180</v>
      </c>
      <c r="E878" s="4"/>
    </row>
    <row r="881" spans="1:6" x14ac:dyDescent="0.2">
      <c r="A881" t="s">
        <v>1947</v>
      </c>
      <c r="B881" t="s">
        <v>1948</v>
      </c>
      <c r="C881" t="s">
        <v>1949</v>
      </c>
      <c r="D881" s="3" t="s">
        <v>1950</v>
      </c>
    </row>
    <row r="882" spans="1:6" x14ac:dyDescent="0.2">
      <c r="A882" t="s">
        <v>1947</v>
      </c>
      <c r="B882" t="s">
        <v>1951</v>
      </c>
      <c r="C882" t="s">
        <v>1952</v>
      </c>
      <c r="D882" s="3" t="s">
        <v>1953</v>
      </c>
    </row>
    <row r="883" spans="1:6" x14ac:dyDescent="0.2">
      <c r="A883" t="s">
        <v>1947</v>
      </c>
      <c r="B883" t="s">
        <v>1954</v>
      </c>
      <c r="C883" t="s">
        <v>1955</v>
      </c>
      <c r="D883" s="3" t="s">
        <v>1956</v>
      </c>
    </row>
    <row r="884" spans="1:6" x14ac:dyDescent="0.2">
      <c r="A884" t="s">
        <v>1947</v>
      </c>
      <c r="B884" t="s">
        <v>1957</v>
      </c>
      <c r="C884" t="s">
        <v>1958</v>
      </c>
      <c r="D884" s="3" t="s">
        <v>1959</v>
      </c>
    </row>
    <row r="885" spans="1:6" x14ac:dyDescent="0.2">
      <c r="A885" t="s">
        <v>1947</v>
      </c>
      <c r="B885" t="s">
        <v>1960</v>
      </c>
      <c r="C885" t="s">
        <v>1961</v>
      </c>
      <c r="D885" s="3" t="s">
        <v>1962</v>
      </c>
    </row>
    <row r="886" spans="1:6" x14ac:dyDescent="0.2">
      <c r="A886" t="s">
        <v>1947</v>
      </c>
      <c r="B886" t="s">
        <v>1963</v>
      </c>
      <c r="C886" t="s">
        <v>1964</v>
      </c>
      <c r="D886" s="3" t="s">
        <v>1965</v>
      </c>
    </row>
    <row r="887" spans="1:6" x14ac:dyDescent="0.2">
      <c r="A887" t="s">
        <v>1947</v>
      </c>
      <c r="B887" t="s">
        <v>1966</v>
      </c>
      <c r="C887" t="s">
        <v>1967</v>
      </c>
      <c r="D887" s="3" t="s">
        <v>1968</v>
      </c>
    </row>
    <row r="888" spans="1:6" x14ac:dyDescent="0.2">
      <c r="A888" t="s">
        <v>1947</v>
      </c>
      <c r="B888" t="s">
        <v>1969</v>
      </c>
      <c r="C888" t="s">
        <v>1970</v>
      </c>
      <c r="D888" s="3" t="s">
        <v>1971</v>
      </c>
    </row>
    <row r="890" spans="1:6" x14ac:dyDescent="0.2">
      <c r="A890" t="s">
        <v>1972</v>
      </c>
      <c r="B890" t="s">
        <v>1973</v>
      </c>
      <c r="C890" t="s">
        <v>1949</v>
      </c>
      <c r="D890" s="3" t="s">
        <v>1950</v>
      </c>
      <c r="F890" t="s">
        <v>1948</v>
      </c>
    </row>
    <row r="891" spans="1:6" x14ac:dyDescent="0.2">
      <c r="A891" t="s">
        <v>1972</v>
      </c>
      <c r="B891" t="s">
        <v>1974</v>
      </c>
      <c r="C891" t="s">
        <v>1975</v>
      </c>
      <c r="D891" s="3" t="s">
        <v>1976</v>
      </c>
      <c r="F891" t="s">
        <v>1969</v>
      </c>
    </row>
    <row r="892" spans="1:6" x14ac:dyDescent="0.2">
      <c r="A892" t="s">
        <v>1972</v>
      </c>
      <c r="B892" t="s">
        <v>1977</v>
      </c>
      <c r="C892" t="s">
        <v>1978</v>
      </c>
      <c r="D892" s="3" t="s">
        <v>1979</v>
      </c>
      <c r="F892" t="s">
        <v>1969</v>
      </c>
    </row>
    <row r="893" spans="1:6" x14ac:dyDescent="0.2">
      <c r="A893" t="s">
        <v>1972</v>
      </c>
      <c r="B893" t="s">
        <v>1980</v>
      </c>
      <c r="C893" t="s">
        <v>1981</v>
      </c>
      <c r="D893" s="3" t="s">
        <v>1982</v>
      </c>
      <c r="F893" t="s">
        <v>1951</v>
      </c>
    </row>
    <row r="894" spans="1:6" x14ac:dyDescent="0.2">
      <c r="A894" t="s">
        <v>1972</v>
      </c>
      <c r="B894" t="s">
        <v>1983</v>
      </c>
      <c r="C894" t="s">
        <v>1984</v>
      </c>
      <c r="D894" s="3" t="s">
        <v>1985</v>
      </c>
      <c r="F894" t="s">
        <v>1951</v>
      </c>
    </row>
    <row r="895" spans="1:6" x14ac:dyDescent="0.2">
      <c r="A895" t="s">
        <v>1972</v>
      </c>
      <c r="B895" t="s">
        <v>1986</v>
      </c>
      <c r="C895" t="s">
        <v>1987</v>
      </c>
      <c r="D895" s="3" t="s">
        <v>1988</v>
      </c>
      <c r="F895" t="s">
        <v>1951</v>
      </c>
    </row>
    <row r="896" spans="1:6" x14ac:dyDescent="0.2">
      <c r="A896" t="s">
        <v>1972</v>
      </c>
      <c r="B896" t="s">
        <v>1989</v>
      </c>
      <c r="C896" t="s">
        <v>1990</v>
      </c>
      <c r="D896" s="3" t="s">
        <v>1991</v>
      </c>
      <c r="F896" t="s">
        <v>1954</v>
      </c>
    </row>
    <row r="897" spans="1:6" x14ac:dyDescent="0.2">
      <c r="A897" t="s">
        <v>1972</v>
      </c>
      <c r="B897" t="s">
        <v>1992</v>
      </c>
      <c r="C897" t="s">
        <v>1993</v>
      </c>
      <c r="D897" s="3" t="s">
        <v>1994</v>
      </c>
      <c r="F897" t="s">
        <v>1954</v>
      </c>
    </row>
    <row r="898" spans="1:6" x14ac:dyDescent="0.2">
      <c r="A898" t="s">
        <v>1972</v>
      </c>
      <c r="B898" t="s">
        <v>1995</v>
      </c>
      <c r="C898" t="s">
        <v>1996</v>
      </c>
      <c r="D898" s="3" t="s">
        <v>1997</v>
      </c>
      <c r="F898" t="s">
        <v>1954</v>
      </c>
    </row>
    <row r="899" spans="1:6" x14ac:dyDescent="0.2">
      <c r="A899" t="s">
        <v>1972</v>
      </c>
      <c r="B899" t="s">
        <v>1998</v>
      </c>
      <c r="C899" t="s">
        <v>1999</v>
      </c>
      <c r="D899" s="3" t="s">
        <v>2000</v>
      </c>
      <c r="F899" t="s">
        <v>1954</v>
      </c>
    </row>
    <row r="900" spans="1:6" x14ac:dyDescent="0.2">
      <c r="A900" t="s">
        <v>1972</v>
      </c>
      <c r="B900" t="s">
        <v>2001</v>
      </c>
      <c r="C900" t="s">
        <v>2002</v>
      </c>
      <c r="D900" s="3" t="s">
        <v>2003</v>
      </c>
      <c r="F900" t="s">
        <v>1954</v>
      </c>
    </row>
    <row r="901" spans="1:6" x14ac:dyDescent="0.2">
      <c r="A901" t="s">
        <v>1972</v>
      </c>
      <c r="B901" t="s">
        <v>2004</v>
      </c>
      <c r="C901" t="s">
        <v>2005</v>
      </c>
      <c r="D901" s="3" t="s">
        <v>2006</v>
      </c>
      <c r="F901" t="s">
        <v>1954</v>
      </c>
    </row>
    <row r="902" spans="1:6" x14ac:dyDescent="0.2">
      <c r="A902" t="s">
        <v>1972</v>
      </c>
      <c r="B902" t="s">
        <v>2007</v>
      </c>
      <c r="C902" t="s">
        <v>2008</v>
      </c>
      <c r="D902" s="3" t="s">
        <v>2009</v>
      </c>
      <c r="F902" t="s">
        <v>1957</v>
      </c>
    </row>
    <row r="903" spans="1:6" x14ac:dyDescent="0.2">
      <c r="A903" t="s">
        <v>1972</v>
      </c>
      <c r="B903" t="s">
        <v>2010</v>
      </c>
      <c r="C903" t="s">
        <v>2011</v>
      </c>
      <c r="D903" s="3" t="s">
        <v>2012</v>
      </c>
      <c r="F903" t="s">
        <v>1957</v>
      </c>
    </row>
    <row r="904" spans="1:6" x14ac:dyDescent="0.2">
      <c r="A904" t="s">
        <v>1972</v>
      </c>
      <c r="B904" t="s">
        <v>2013</v>
      </c>
      <c r="C904" t="s">
        <v>2014</v>
      </c>
      <c r="D904" s="3" t="s">
        <v>2015</v>
      </c>
      <c r="F904" t="s">
        <v>1957</v>
      </c>
    </row>
    <row r="905" spans="1:6" x14ac:dyDescent="0.2">
      <c r="A905" t="s">
        <v>1972</v>
      </c>
      <c r="B905" t="s">
        <v>2016</v>
      </c>
      <c r="C905" t="s">
        <v>1958</v>
      </c>
      <c r="D905" s="3" t="s">
        <v>1959</v>
      </c>
      <c r="F905" t="s">
        <v>1957</v>
      </c>
    </row>
    <row r="906" spans="1:6" x14ac:dyDescent="0.2">
      <c r="A906" t="s">
        <v>1972</v>
      </c>
      <c r="B906" t="s">
        <v>2017</v>
      </c>
      <c r="C906" t="s">
        <v>1967</v>
      </c>
      <c r="D906" s="3" t="s">
        <v>1968</v>
      </c>
      <c r="F906" t="s">
        <v>1966</v>
      </c>
    </row>
    <row r="907" spans="1:6" x14ac:dyDescent="0.2">
      <c r="A907" t="s">
        <v>1972</v>
      </c>
      <c r="B907" t="s">
        <v>2018</v>
      </c>
      <c r="C907" t="s">
        <v>2019</v>
      </c>
      <c r="D907" s="3" t="s">
        <v>2020</v>
      </c>
      <c r="F907" t="s">
        <v>1960</v>
      </c>
    </row>
    <row r="908" spans="1:6" x14ac:dyDescent="0.2">
      <c r="A908" t="s">
        <v>1972</v>
      </c>
      <c r="B908" t="s">
        <v>2021</v>
      </c>
      <c r="C908" t="s">
        <v>2022</v>
      </c>
      <c r="D908" s="3" t="s">
        <v>2023</v>
      </c>
      <c r="F908" t="s">
        <v>1960</v>
      </c>
    </row>
    <row r="909" spans="1:6" x14ac:dyDescent="0.2">
      <c r="A909" t="s">
        <v>1972</v>
      </c>
      <c r="B909" t="s">
        <v>2024</v>
      </c>
      <c r="C909" t="s">
        <v>2025</v>
      </c>
      <c r="D909" s="3" t="s">
        <v>2026</v>
      </c>
      <c r="F909" t="s">
        <v>1960</v>
      </c>
    </row>
    <row r="910" spans="1:6" x14ac:dyDescent="0.2">
      <c r="A910" t="s">
        <v>1972</v>
      </c>
      <c r="B910" t="s">
        <v>2027</v>
      </c>
      <c r="C910" t="s">
        <v>2028</v>
      </c>
      <c r="D910" s="3" t="s">
        <v>2029</v>
      </c>
      <c r="F910" t="s">
        <v>1960</v>
      </c>
    </row>
    <row r="911" spans="1:6" x14ac:dyDescent="0.2">
      <c r="A911" t="s">
        <v>1972</v>
      </c>
      <c r="B911" t="s">
        <v>2030</v>
      </c>
      <c r="C911" t="s">
        <v>2031</v>
      </c>
      <c r="D911" s="3" t="s">
        <v>2032</v>
      </c>
      <c r="F911" t="s">
        <v>1960</v>
      </c>
    </row>
    <row r="912" spans="1:6" x14ac:dyDescent="0.2">
      <c r="A912" t="s">
        <v>1972</v>
      </c>
      <c r="B912" t="s">
        <v>2033</v>
      </c>
      <c r="C912" t="s">
        <v>2034</v>
      </c>
      <c r="D912" s="3" t="s">
        <v>2035</v>
      </c>
      <c r="F912" t="s">
        <v>1960</v>
      </c>
    </row>
    <row r="913" spans="1:6" x14ac:dyDescent="0.2">
      <c r="A913" t="s">
        <v>1972</v>
      </c>
      <c r="B913" t="s">
        <v>2036</v>
      </c>
      <c r="C913" t="s">
        <v>2037</v>
      </c>
      <c r="D913" s="3" t="s">
        <v>2038</v>
      </c>
      <c r="F913" t="s">
        <v>1963</v>
      </c>
    </row>
    <row r="914" spans="1:6" x14ac:dyDescent="0.2">
      <c r="A914" t="s">
        <v>1972</v>
      </c>
      <c r="B914" t="s">
        <v>2039</v>
      </c>
      <c r="C914" t="s">
        <v>2040</v>
      </c>
      <c r="D914" s="3" t="s">
        <v>2041</v>
      </c>
      <c r="F914" t="s">
        <v>1963</v>
      </c>
    </row>
    <row r="915" spans="1:6" x14ac:dyDescent="0.2">
      <c r="A915" t="s">
        <v>1972</v>
      </c>
      <c r="B915" t="s">
        <v>2042</v>
      </c>
      <c r="C915" t="s">
        <v>2043</v>
      </c>
      <c r="D915" s="3" t="s">
        <v>2044</v>
      </c>
      <c r="F915" t="s">
        <v>1963</v>
      </c>
    </row>
  </sheetData>
  <sheetProtection algorithmName="SHA-512" hashValue="mfWx0saXsmAtqgrjYTILQky2FpqovYcsbQA/abCbCMY5L/AcRCMa5GnPQx5kLPq6GfdQiCedLcsO6I1I/8qfFA==" saltValue="7LGNmsoJOIgJ+2M1ieLGEw==" spinCount="100000" sheet="1" formatCells="0" formatColumns="0" formatRows="0" insertColumns="0" insertRows="0" deleteColumns="0" deleteRows="0"/>
  <phoneticPr fontId="29"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A4" sqref="A4"/>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2184</v>
      </c>
      <c r="B1" s="6" t="s">
        <v>2185</v>
      </c>
      <c r="C1" s="6" t="s">
        <v>2186</v>
      </c>
      <c r="D1" s="6" t="s">
        <v>2187</v>
      </c>
    </row>
    <row r="2" spans="1:4" x14ac:dyDescent="0.2">
      <c r="A2" s="3" t="s">
        <v>2188</v>
      </c>
      <c r="B2" s="4" t="s">
        <v>2189</v>
      </c>
      <c r="C2" t="s">
        <v>40</v>
      </c>
      <c r="D2" s="3" t="s">
        <v>2190</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
    </sheetView>
  </sheetViews>
  <sheetFormatPr baseColWidth="10" defaultColWidth="10.83203125" defaultRowHeight="15" x14ac:dyDescent="0.2"/>
  <cols>
    <col min="1" max="2" width="10.83203125" style="127" customWidth="1"/>
    <col min="3" max="3" width="15.1640625" style="141" customWidth="1"/>
    <col min="4" max="4" width="10.83203125" style="142" customWidth="1"/>
    <col min="5" max="5" width="28.83203125" style="143" customWidth="1"/>
    <col min="6" max="6" width="32" style="143" customWidth="1"/>
    <col min="7" max="7" width="10.83203125" style="127" customWidth="1"/>
    <col min="8" max="16384" width="10.83203125" style="127"/>
  </cols>
  <sheetData>
    <row r="2" spans="2:6" x14ac:dyDescent="0.2">
      <c r="C2" s="128"/>
      <c r="D2" s="129"/>
      <c r="E2" s="130"/>
      <c r="F2" s="130"/>
    </row>
    <row r="3" spans="2:6" ht="48" customHeight="1" x14ac:dyDescent="0.2">
      <c r="B3" s="131"/>
      <c r="C3" s="132" t="s">
        <v>2191</v>
      </c>
      <c r="D3" s="133" t="s">
        <v>2192</v>
      </c>
      <c r="E3" s="134" t="s">
        <v>2193</v>
      </c>
      <c r="F3" s="134" t="s">
        <v>2194</v>
      </c>
    </row>
    <row r="4" spans="2:6" ht="16" customHeight="1" x14ac:dyDescent="0.2">
      <c r="B4" s="131"/>
      <c r="C4" s="9"/>
      <c r="D4" s="135" t="s">
        <v>1695</v>
      </c>
      <c r="E4" s="136" t="s">
        <v>1696</v>
      </c>
      <c r="F4" s="255" t="s">
        <v>1697</v>
      </c>
    </row>
    <row r="5" spans="2:6" ht="16" customHeight="1" x14ac:dyDescent="0.2">
      <c r="B5" s="131"/>
      <c r="C5" s="9" t="s">
        <v>2195</v>
      </c>
      <c r="D5" s="135" t="s">
        <v>1665</v>
      </c>
      <c r="E5" s="136" t="s">
        <v>1666</v>
      </c>
      <c r="F5" s="256" t="s">
        <v>1667</v>
      </c>
    </row>
    <row r="6" spans="2:6" ht="16" customHeight="1" x14ac:dyDescent="0.2">
      <c r="B6" s="131"/>
      <c r="C6" s="9"/>
      <c r="D6" s="135" t="s">
        <v>1698</v>
      </c>
      <c r="E6" s="136" t="s">
        <v>1699</v>
      </c>
      <c r="F6" s="256" t="s">
        <v>1700</v>
      </c>
    </row>
    <row r="7" spans="2:6" ht="16" customHeight="1" x14ac:dyDescent="0.2">
      <c r="B7" s="131"/>
      <c r="C7" s="9"/>
      <c r="D7" s="135" t="s">
        <v>1701</v>
      </c>
      <c r="E7" s="136" t="s">
        <v>1702</v>
      </c>
      <c r="F7" s="256" t="s">
        <v>1703</v>
      </c>
    </row>
    <row r="8" spans="2:6" ht="16" customHeight="1" x14ac:dyDescent="0.2">
      <c r="B8" s="131"/>
      <c r="C8" s="9"/>
      <c r="D8" s="135" t="s">
        <v>1704</v>
      </c>
      <c r="E8" s="136" t="s">
        <v>1705</v>
      </c>
      <c r="F8" s="256" t="s">
        <v>1706</v>
      </c>
    </row>
    <row r="9" spans="2:6" ht="16" customHeight="1" x14ac:dyDescent="0.2">
      <c r="B9" s="131"/>
      <c r="C9" s="9" t="s">
        <v>2195</v>
      </c>
      <c r="D9" s="135" t="s">
        <v>1668</v>
      </c>
      <c r="E9" s="136" t="s">
        <v>1669</v>
      </c>
      <c r="F9" s="256" t="s">
        <v>1670</v>
      </c>
    </row>
    <row r="10" spans="2:6" ht="16" customHeight="1" x14ac:dyDescent="0.2">
      <c r="B10" s="131"/>
      <c r="C10" s="170"/>
      <c r="D10" s="135" t="s">
        <v>1707</v>
      </c>
      <c r="E10" s="137" t="s">
        <v>1708</v>
      </c>
      <c r="F10" s="257" t="s">
        <v>1709</v>
      </c>
    </row>
    <row r="11" spans="2:6" ht="16" customHeight="1" x14ac:dyDescent="0.2">
      <c r="B11" s="131"/>
      <c r="C11" s="9"/>
      <c r="D11" s="135" t="s">
        <v>1710</v>
      </c>
      <c r="E11" s="136" t="s">
        <v>1711</v>
      </c>
      <c r="F11" s="256" t="s">
        <v>1712</v>
      </c>
    </row>
    <row r="12" spans="2:6" ht="16" customHeight="1" x14ac:dyDescent="0.2">
      <c r="B12" s="131"/>
      <c r="C12" s="9" t="s">
        <v>2195</v>
      </c>
      <c r="D12" s="135" t="s">
        <v>1671</v>
      </c>
      <c r="E12" s="136" t="s">
        <v>1672</v>
      </c>
      <c r="F12" s="256" t="s">
        <v>1673</v>
      </c>
    </row>
    <row r="13" spans="2:6" ht="16" customHeight="1" x14ac:dyDescent="0.2">
      <c r="B13" s="131"/>
      <c r="C13" s="9"/>
      <c r="D13" s="135" t="s">
        <v>1713</v>
      </c>
      <c r="E13" s="136" t="s">
        <v>1714</v>
      </c>
      <c r="F13" s="256" t="s">
        <v>1715</v>
      </c>
    </row>
    <row r="14" spans="2:6" ht="16" customHeight="1" x14ac:dyDescent="0.2">
      <c r="B14" s="131"/>
      <c r="C14" s="9"/>
      <c r="D14" s="135" t="s">
        <v>1716</v>
      </c>
      <c r="E14" s="136" t="s">
        <v>1717</v>
      </c>
      <c r="F14" s="256" t="s">
        <v>1718</v>
      </c>
    </row>
    <row r="15" spans="2:6" ht="16" customHeight="1" x14ac:dyDescent="0.2">
      <c r="B15" s="131"/>
      <c r="C15" s="9"/>
      <c r="D15" s="135" t="s">
        <v>1719</v>
      </c>
      <c r="E15" s="136" t="s">
        <v>1720</v>
      </c>
      <c r="F15" s="256" t="s">
        <v>1721</v>
      </c>
    </row>
    <row r="16" spans="2:6" ht="16" customHeight="1" x14ac:dyDescent="0.2">
      <c r="B16" s="131"/>
      <c r="C16" s="9"/>
      <c r="D16" s="135" t="s">
        <v>1722</v>
      </c>
      <c r="E16" s="136" t="s">
        <v>1723</v>
      </c>
      <c r="F16" s="256" t="s">
        <v>1724</v>
      </c>
    </row>
    <row r="17" spans="2:6" ht="16" customHeight="1" x14ac:dyDescent="0.2">
      <c r="B17" s="131"/>
      <c r="C17" s="170"/>
      <c r="D17" s="135" t="s">
        <v>1725</v>
      </c>
      <c r="E17" s="137" t="s">
        <v>1726</v>
      </c>
      <c r="F17" s="257" t="s">
        <v>1727</v>
      </c>
    </row>
    <row r="18" spans="2:6" ht="16" customHeight="1" x14ac:dyDescent="0.2">
      <c r="B18" s="131"/>
      <c r="C18" s="9"/>
      <c r="D18" s="135" t="s">
        <v>1728</v>
      </c>
      <c r="E18" s="136" t="s">
        <v>1729</v>
      </c>
      <c r="F18" s="256" t="s">
        <v>1730</v>
      </c>
    </row>
    <row r="19" spans="2:6" ht="16" customHeight="1" x14ac:dyDescent="0.2">
      <c r="B19" s="131"/>
      <c r="C19" s="9"/>
      <c r="D19" s="135" t="s">
        <v>1731</v>
      </c>
      <c r="E19" s="136" t="s">
        <v>1732</v>
      </c>
      <c r="F19" s="256" t="s">
        <v>1733</v>
      </c>
    </row>
    <row r="20" spans="2:6" ht="16" customHeight="1" x14ac:dyDescent="0.2">
      <c r="B20" s="131"/>
      <c r="C20" s="9"/>
      <c r="D20" s="135" t="s">
        <v>1734</v>
      </c>
      <c r="E20" s="136" t="s">
        <v>1735</v>
      </c>
      <c r="F20" s="256" t="s">
        <v>1736</v>
      </c>
    </row>
    <row r="21" spans="2:6" ht="16" customHeight="1" x14ac:dyDescent="0.2">
      <c r="B21" s="131"/>
      <c r="C21" s="9"/>
      <c r="D21" s="135" t="s">
        <v>1737</v>
      </c>
      <c r="E21" s="136" t="s">
        <v>1738</v>
      </c>
      <c r="F21" s="256" t="s">
        <v>1739</v>
      </c>
    </row>
    <row r="22" spans="2:6" ht="16" customHeight="1" x14ac:dyDescent="0.2">
      <c r="B22" s="131"/>
      <c r="C22" s="9"/>
      <c r="D22" s="135" t="s">
        <v>1740</v>
      </c>
      <c r="E22" s="136" t="s">
        <v>1741</v>
      </c>
      <c r="F22" s="256" t="s">
        <v>1742</v>
      </c>
    </row>
    <row r="23" spans="2:6" ht="16" customHeight="1" x14ac:dyDescent="0.2">
      <c r="B23" s="131"/>
      <c r="C23" s="9"/>
      <c r="D23" s="135" t="s">
        <v>1743</v>
      </c>
      <c r="E23" s="136" t="s">
        <v>1744</v>
      </c>
      <c r="F23" s="256" t="s">
        <v>1745</v>
      </c>
    </row>
    <row r="24" spans="2:6" ht="16" customHeight="1" x14ac:dyDescent="0.2">
      <c r="B24" s="131"/>
      <c r="C24" s="9"/>
      <c r="D24" s="135" t="s">
        <v>1746</v>
      </c>
      <c r="E24" s="136" t="s">
        <v>1747</v>
      </c>
      <c r="F24" s="256" t="s">
        <v>1748</v>
      </c>
    </row>
    <row r="25" spans="2:6" ht="16" customHeight="1" x14ac:dyDescent="0.2">
      <c r="B25" s="131"/>
      <c r="C25" s="170"/>
      <c r="D25" s="135" t="s">
        <v>1749</v>
      </c>
      <c r="E25" s="137" t="s">
        <v>1750</v>
      </c>
      <c r="F25" s="257" t="s">
        <v>1751</v>
      </c>
    </row>
    <row r="26" spans="2:6" ht="16" customHeight="1" x14ac:dyDescent="0.2">
      <c r="B26" s="131"/>
      <c r="C26" s="9"/>
      <c r="D26" s="135" t="s">
        <v>1752</v>
      </c>
      <c r="E26" s="136" t="s">
        <v>1753</v>
      </c>
      <c r="F26" s="256" t="s">
        <v>1754</v>
      </c>
    </row>
    <row r="27" spans="2:6" ht="16" customHeight="1" x14ac:dyDescent="0.2">
      <c r="B27" s="131"/>
      <c r="C27" s="9"/>
      <c r="D27" s="135" t="s">
        <v>1758</v>
      </c>
      <c r="E27" s="136" t="s">
        <v>1759</v>
      </c>
      <c r="F27" s="256" t="s">
        <v>1760</v>
      </c>
    </row>
    <row r="28" spans="2:6" ht="16" customHeight="1" x14ac:dyDescent="0.2">
      <c r="B28" s="131"/>
      <c r="C28" s="9"/>
      <c r="D28" s="135" t="s">
        <v>1761</v>
      </c>
      <c r="E28" s="136" t="s">
        <v>1762</v>
      </c>
      <c r="F28" s="256" t="s">
        <v>1763</v>
      </c>
    </row>
    <row r="29" spans="2:6" ht="16" customHeight="1" x14ac:dyDescent="0.2">
      <c r="B29" s="131"/>
      <c r="C29" s="9"/>
      <c r="D29" s="135" t="s">
        <v>1764</v>
      </c>
      <c r="E29" s="136" t="s">
        <v>1765</v>
      </c>
      <c r="F29" s="256" t="s">
        <v>1766</v>
      </c>
    </row>
    <row r="30" spans="2:6" ht="16" customHeight="1" x14ac:dyDescent="0.2">
      <c r="B30" s="131"/>
      <c r="C30" s="9"/>
      <c r="D30" s="135" t="s">
        <v>1767</v>
      </c>
      <c r="E30" s="136" t="s">
        <v>1768</v>
      </c>
      <c r="F30" s="256" t="s">
        <v>1769</v>
      </c>
    </row>
    <row r="31" spans="2:6" ht="16" customHeight="1" x14ac:dyDescent="0.2">
      <c r="B31" s="131"/>
      <c r="C31" s="9"/>
      <c r="D31" s="135" t="s">
        <v>1770</v>
      </c>
      <c r="E31" s="136" t="s">
        <v>1771</v>
      </c>
      <c r="F31" s="256" t="s">
        <v>1772</v>
      </c>
    </row>
    <row r="32" spans="2:6" ht="16" customHeight="1" x14ac:dyDescent="0.2">
      <c r="B32" s="131"/>
      <c r="C32" s="9"/>
      <c r="D32" s="135" t="s">
        <v>1773</v>
      </c>
      <c r="E32" s="136" t="s">
        <v>1774</v>
      </c>
      <c r="F32" s="256" t="s">
        <v>1775</v>
      </c>
    </row>
    <row r="33" spans="2:6" ht="32" customHeight="1" x14ac:dyDescent="0.2">
      <c r="B33" s="131"/>
      <c r="C33" s="9"/>
      <c r="D33" s="135" t="s">
        <v>1776</v>
      </c>
      <c r="E33" s="136" t="s">
        <v>1777</v>
      </c>
      <c r="F33" s="256" t="s">
        <v>2181</v>
      </c>
    </row>
    <row r="34" spans="2:6" ht="16" customHeight="1" x14ac:dyDescent="0.2">
      <c r="B34" s="131"/>
      <c r="C34" s="9"/>
      <c r="D34" s="135" t="s">
        <v>1755</v>
      </c>
      <c r="E34" s="136" t="s">
        <v>1756</v>
      </c>
      <c r="F34" s="256" t="s">
        <v>1757</v>
      </c>
    </row>
    <row r="35" spans="2:6" ht="16" customHeight="1" x14ac:dyDescent="0.2">
      <c r="B35" s="131"/>
      <c r="C35" s="170"/>
      <c r="D35" s="135" t="s">
        <v>1779</v>
      </c>
      <c r="E35" s="137" t="s">
        <v>1780</v>
      </c>
      <c r="F35" s="257" t="s">
        <v>1781</v>
      </c>
    </row>
    <row r="36" spans="2:6" ht="16" customHeight="1" x14ac:dyDescent="0.2">
      <c r="B36" s="131"/>
      <c r="C36" s="9" t="s">
        <v>2195</v>
      </c>
      <c r="D36" s="135" t="s">
        <v>1674</v>
      </c>
      <c r="E36" s="136" t="s">
        <v>1675</v>
      </c>
      <c r="F36" s="256" t="s">
        <v>1676</v>
      </c>
    </row>
    <row r="37" spans="2:6" ht="16" customHeight="1" x14ac:dyDescent="0.2">
      <c r="B37" s="131"/>
      <c r="C37" s="9"/>
      <c r="D37" s="135" t="s">
        <v>1788</v>
      </c>
      <c r="E37" s="136" t="s">
        <v>1789</v>
      </c>
      <c r="F37" s="256" t="s">
        <v>1790</v>
      </c>
    </row>
    <row r="38" spans="2:6" ht="16" customHeight="1" x14ac:dyDescent="0.2">
      <c r="B38" s="131"/>
      <c r="C38" s="9"/>
      <c r="D38" s="135" t="s">
        <v>1791</v>
      </c>
      <c r="E38" s="136" t="s">
        <v>1792</v>
      </c>
      <c r="F38" s="256" t="s">
        <v>1793</v>
      </c>
    </row>
    <row r="39" spans="2:6" ht="16" customHeight="1" x14ac:dyDescent="0.2">
      <c r="B39" s="131"/>
      <c r="C39" s="9"/>
      <c r="D39" s="135" t="s">
        <v>1794</v>
      </c>
      <c r="E39" s="136" t="s">
        <v>1795</v>
      </c>
      <c r="F39" s="256" t="s">
        <v>1796</v>
      </c>
    </row>
    <row r="40" spans="2:6" ht="16" customHeight="1" x14ac:dyDescent="0.2">
      <c r="B40" s="131"/>
      <c r="C40" s="9"/>
      <c r="D40" s="135" t="s">
        <v>1797</v>
      </c>
      <c r="E40" s="136" t="s">
        <v>1798</v>
      </c>
      <c r="F40" s="256" t="s">
        <v>1799</v>
      </c>
    </row>
    <row r="41" spans="2:6" ht="16" customHeight="1" x14ac:dyDescent="0.2">
      <c r="B41" s="131"/>
      <c r="C41" s="9"/>
      <c r="D41" s="135" t="s">
        <v>1800</v>
      </c>
      <c r="E41" s="136" t="s">
        <v>1801</v>
      </c>
      <c r="F41" s="256" t="s">
        <v>1802</v>
      </c>
    </row>
    <row r="42" spans="2:6" ht="16" customHeight="1" x14ac:dyDescent="0.2">
      <c r="B42" s="131"/>
      <c r="C42" s="9"/>
      <c r="D42" s="135" t="s">
        <v>1803</v>
      </c>
      <c r="E42" s="136" t="s">
        <v>1804</v>
      </c>
      <c r="F42" s="256" t="s">
        <v>1805</v>
      </c>
    </row>
    <row r="43" spans="2:6" ht="16" customHeight="1" x14ac:dyDescent="0.2">
      <c r="B43" s="131"/>
      <c r="C43" s="9"/>
      <c r="D43" s="135" t="s">
        <v>1806</v>
      </c>
      <c r="E43" s="136" t="s">
        <v>1807</v>
      </c>
      <c r="F43" s="256" t="s">
        <v>1808</v>
      </c>
    </row>
    <row r="44" spans="2:6" ht="16" customHeight="1" x14ac:dyDescent="0.2">
      <c r="B44" s="131"/>
      <c r="C44" s="9"/>
      <c r="D44" s="135" t="s">
        <v>1809</v>
      </c>
      <c r="E44" s="136" t="s">
        <v>1810</v>
      </c>
      <c r="F44" s="256" t="s">
        <v>1811</v>
      </c>
    </row>
    <row r="45" spans="2:6" ht="16" customHeight="1" x14ac:dyDescent="0.2">
      <c r="B45" s="131"/>
      <c r="C45" s="9"/>
      <c r="D45" s="135" t="s">
        <v>1782</v>
      </c>
      <c r="E45" s="136" t="s">
        <v>1783</v>
      </c>
      <c r="F45" s="256" t="s">
        <v>1784</v>
      </c>
    </row>
    <row r="46" spans="2:6" ht="16" customHeight="1" x14ac:dyDescent="0.2">
      <c r="B46" s="131"/>
      <c r="C46" s="9"/>
      <c r="D46" s="135" t="s">
        <v>1785</v>
      </c>
      <c r="E46" s="136" t="s">
        <v>1786</v>
      </c>
      <c r="F46" s="256" t="s">
        <v>1787</v>
      </c>
    </row>
    <row r="47" spans="2:6" ht="16" customHeight="1" x14ac:dyDescent="0.2">
      <c r="B47" s="131"/>
      <c r="C47" s="170"/>
      <c r="D47" s="135" t="s">
        <v>1812</v>
      </c>
      <c r="E47" s="137" t="s">
        <v>1813</v>
      </c>
      <c r="F47" s="257" t="s">
        <v>1814</v>
      </c>
    </row>
    <row r="48" spans="2:6" ht="16" customHeight="1" x14ac:dyDescent="0.2">
      <c r="B48" s="131"/>
      <c r="C48" s="9"/>
      <c r="D48" s="135" t="s">
        <v>1815</v>
      </c>
      <c r="E48" s="136" t="s">
        <v>1816</v>
      </c>
      <c r="F48" s="256" t="s">
        <v>1817</v>
      </c>
    </row>
    <row r="49" spans="2:6" ht="16" customHeight="1" x14ac:dyDescent="0.2">
      <c r="B49" s="131"/>
      <c r="C49" s="9" t="s">
        <v>2195</v>
      </c>
      <c r="D49" s="135" t="s">
        <v>1677</v>
      </c>
      <c r="E49" s="136" t="s">
        <v>1678</v>
      </c>
      <c r="F49" s="256" t="s">
        <v>1679</v>
      </c>
    </row>
    <row r="50" spans="2:6" ht="16" customHeight="1" x14ac:dyDescent="0.2">
      <c r="B50" s="131"/>
      <c r="C50" s="9"/>
      <c r="D50" s="135" t="s">
        <v>1818</v>
      </c>
      <c r="E50" s="136" t="s">
        <v>1819</v>
      </c>
      <c r="F50" s="256" t="s">
        <v>1820</v>
      </c>
    </row>
    <row r="51" spans="2:6" ht="16" customHeight="1" x14ac:dyDescent="0.2">
      <c r="B51" s="131"/>
      <c r="C51" s="9"/>
      <c r="D51" s="135" t="s">
        <v>1821</v>
      </c>
      <c r="E51" s="136" t="s">
        <v>1822</v>
      </c>
      <c r="F51" s="256" t="s">
        <v>1823</v>
      </c>
    </row>
    <row r="52" spans="2:6" ht="16" customHeight="1" x14ac:dyDescent="0.2">
      <c r="B52" s="131"/>
      <c r="C52" s="170"/>
      <c r="D52" s="135" t="s">
        <v>1824</v>
      </c>
      <c r="E52" s="137" t="s">
        <v>1825</v>
      </c>
      <c r="F52" s="257" t="s">
        <v>1826</v>
      </c>
    </row>
    <row r="53" spans="2:6" ht="16" customHeight="1" x14ac:dyDescent="0.2">
      <c r="B53" s="131"/>
      <c r="C53" s="9"/>
      <c r="D53" s="135" t="s">
        <v>1827</v>
      </c>
      <c r="E53" s="136" t="s">
        <v>1828</v>
      </c>
      <c r="F53" s="256" t="s">
        <v>1829</v>
      </c>
    </row>
    <row r="54" spans="2:6" ht="16" customHeight="1" x14ac:dyDescent="0.2">
      <c r="B54" s="131"/>
      <c r="C54" s="9"/>
      <c r="D54" s="135" t="s">
        <v>1845</v>
      </c>
      <c r="E54" s="136" t="s">
        <v>1846</v>
      </c>
      <c r="F54" s="256" t="s">
        <v>1847</v>
      </c>
    </row>
    <row r="55" spans="2:6" ht="16" customHeight="1" x14ac:dyDescent="0.2">
      <c r="B55" s="131"/>
      <c r="C55" s="9"/>
      <c r="D55" s="135" t="s">
        <v>1848</v>
      </c>
      <c r="E55" s="136" t="s">
        <v>1849</v>
      </c>
      <c r="F55" s="256" t="s">
        <v>1850</v>
      </c>
    </row>
    <row r="56" spans="2:6" ht="16" customHeight="1" x14ac:dyDescent="0.2">
      <c r="B56" s="131"/>
      <c r="C56" s="9"/>
      <c r="D56" s="135" t="s">
        <v>1851</v>
      </c>
      <c r="E56" s="136" t="s">
        <v>1852</v>
      </c>
      <c r="F56" s="256" t="s">
        <v>1853</v>
      </c>
    </row>
    <row r="57" spans="2:6" ht="16" customHeight="1" x14ac:dyDescent="0.2">
      <c r="B57" s="131"/>
      <c r="C57" s="9"/>
      <c r="D57" s="135" t="s">
        <v>1854</v>
      </c>
      <c r="E57" s="136" t="s">
        <v>1855</v>
      </c>
      <c r="F57" s="256" t="s">
        <v>1856</v>
      </c>
    </row>
    <row r="58" spans="2:6" ht="16" customHeight="1" x14ac:dyDescent="0.2">
      <c r="B58" s="131"/>
      <c r="C58" s="9"/>
      <c r="D58" s="135" t="s">
        <v>1857</v>
      </c>
      <c r="E58" s="136" t="s">
        <v>1858</v>
      </c>
      <c r="F58" s="256" t="s">
        <v>1859</v>
      </c>
    </row>
    <row r="59" spans="2:6" ht="16" customHeight="1" x14ac:dyDescent="0.2">
      <c r="B59" s="131"/>
      <c r="C59" s="9"/>
      <c r="D59" s="135" t="s">
        <v>1860</v>
      </c>
      <c r="E59" s="136" t="s">
        <v>1861</v>
      </c>
      <c r="F59" s="256" t="s">
        <v>1862</v>
      </c>
    </row>
    <row r="60" spans="2:6" ht="16" customHeight="1" x14ac:dyDescent="0.2">
      <c r="B60" s="131"/>
      <c r="C60" s="9"/>
      <c r="D60" s="135" t="s">
        <v>1863</v>
      </c>
      <c r="E60" s="136" t="s">
        <v>1864</v>
      </c>
      <c r="F60" s="256" t="s">
        <v>1865</v>
      </c>
    </row>
    <row r="61" spans="2:6" ht="16" customHeight="1" x14ac:dyDescent="0.2">
      <c r="B61" s="131"/>
      <c r="C61" s="9"/>
      <c r="D61" s="135" t="s">
        <v>1866</v>
      </c>
      <c r="E61" s="136" t="s">
        <v>1867</v>
      </c>
      <c r="F61" s="256" t="s">
        <v>1868</v>
      </c>
    </row>
    <row r="62" spans="2:6" ht="16" customHeight="1" x14ac:dyDescent="0.2">
      <c r="B62" s="131"/>
      <c r="C62" s="9"/>
      <c r="D62" s="135" t="s">
        <v>1830</v>
      </c>
      <c r="E62" s="136" t="s">
        <v>1831</v>
      </c>
      <c r="F62" s="256" t="s">
        <v>1832</v>
      </c>
    </row>
    <row r="63" spans="2:6" ht="16" customHeight="1" x14ac:dyDescent="0.2">
      <c r="B63" s="131"/>
      <c r="C63" s="9" t="s">
        <v>2195</v>
      </c>
      <c r="D63" s="135" t="s">
        <v>1680</v>
      </c>
      <c r="E63" s="136" t="s">
        <v>1681</v>
      </c>
      <c r="F63" s="256" t="s">
        <v>1682</v>
      </c>
    </row>
    <row r="64" spans="2:6" ht="16" customHeight="1" x14ac:dyDescent="0.2">
      <c r="B64" s="131"/>
      <c r="C64" s="9" t="s">
        <v>2195</v>
      </c>
      <c r="D64" s="135" t="s">
        <v>1683</v>
      </c>
      <c r="E64" s="136" t="s">
        <v>1684</v>
      </c>
      <c r="F64" s="256" t="s">
        <v>1685</v>
      </c>
    </row>
    <row r="65" spans="2:6" ht="16" customHeight="1" x14ac:dyDescent="0.2">
      <c r="B65" s="131"/>
      <c r="C65" s="9" t="s">
        <v>2195</v>
      </c>
      <c r="D65" s="135" t="s">
        <v>1686</v>
      </c>
      <c r="E65" s="136" t="s">
        <v>1687</v>
      </c>
      <c r="F65" s="256" t="s">
        <v>1688</v>
      </c>
    </row>
    <row r="66" spans="2:6" ht="16" customHeight="1" x14ac:dyDescent="0.2">
      <c r="B66" s="131"/>
      <c r="C66" s="9"/>
      <c r="D66" s="135" t="s">
        <v>1833</v>
      </c>
      <c r="E66" s="136" t="s">
        <v>1834</v>
      </c>
      <c r="F66" s="256" t="s">
        <v>1835</v>
      </c>
    </row>
    <row r="67" spans="2:6" ht="16" customHeight="1" x14ac:dyDescent="0.2">
      <c r="B67" s="131"/>
      <c r="C67" s="9"/>
      <c r="D67" s="135" t="s">
        <v>1836</v>
      </c>
      <c r="E67" s="136" t="s">
        <v>1837</v>
      </c>
      <c r="F67" s="256" t="s">
        <v>1838</v>
      </c>
    </row>
    <row r="68" spans="2:6" ht="16" customHeight="1" x14ac:dyDescent="0.2">
      <c r="B68" s="131"/>
      <c r="C68" s="9" t="s">
        <v>2195</v>
      </c>
      <c r="D68" s="135" t="s">
        <v>1689</v>
      </c>
      <c r="E68" s="136" t="s">
        <v>1690</v>
      </c>
      <c r="F68" s="256" t="s">
        <v>1691</v>
      </c>
    </row>
    <row r="69" spans="2:6" ht="16" customHeight="1" x14ac:dyDescent="0.2">
      <c r="B69" s="131"/>
      <c r="C69" s="9"/>
      <c r="D69" s="135" t="s">
        <v>1839</v>
      </c>
      <c r="E69" s="136" t="s">
        <v>1840</v>
      </c>
      <c r="F69" s="256" t="s">
        <v>1841</v>
      </c>
    </row>
    <row r="70" spans="2:6" ht="16" customHeight="1" x14ac:dyDescent="0.2">
      <c r="B70" s="131"/>
      <c r="C70" s="9"/>
      <c r="D70" s="135" t="s">
        <v>1842</v>
      </c>
      <c r="E70" s="136" t="s">
        <v>1843</v>
      </c>
      <c r="F70" s="256" t="s">
        <v>1844</v>
      </c>
    </row>
    <row r="71" spans="2:6" ht="16" customHeight="1" x14ac:dyDescent="0.2">
      <c r="B71" s="131"/>
      <c r="C71" s="170"/>
      <c r="D71" s="135" t="s">
        <v>1869</v>
      </c>
      <c r="E71" s="137" t="s">
        <v>1870</v>
      </c>
      <c r="F71" s="257" t="s">
        <v>1871</v>
      </c>
    </row>
    <row r="72" spans="2:6" ht="16" customHeight="1" x14ac:dyDescent="0.2">
      <c r="B72" s="131"/>
      <c r="C72" s="9"/>
      <c r="D72" s="135" t="s">
        <v>1872</v>
      </c>
      <c r="E72" s="136" t="s">
        <v>1873</v>
      </c>
      <c r="F72" s="256" t="s">
        <v>1874</v>
      </c>
    </row>
    <row r="73" spans="2:6" ht="16" customHeight="1" x14ac:dyDescent="0.2">
      <c r="B73" s="131"/>
      <c r="C73" s="9"/>
      <c r="D73" s="135" t="s">
        <v>1875</v>
      </c>
      <c r="E73" s="136" t="s">
        <v>1876</v>
      </c>
      <c r="F73" s="256" t="s">
        <v>1877</v>
      </c>
    </row>
    <row r="74" spans="2:6" ht="16" customHeight="1" x14ac:dyDescent="0.2">
      <c r="B74" s="131"/>
      <c r="C74" s="9"/>
      <c r="D74" s="135" t="s">
        <v>1878</v>
      </c>
      <c r="E74" s="136" t="s">
        <v>1879</v>
      </c>
      <c r="F74" s="256" t="s">
        <v>1880</v>
      </c>
    </row>
    <row r="75" spans="2:6" ht="16" customHeight="1" x14ac:dyDescent="0.2">
      <c r="B75" s="131"/>
      <c r="C75" s="9"/>
      <c r="D75" s="135" t="s">
        <v>1881</v>
      </c>
      <c r="E75" s="136" t="s">
        <v>1882</v>
      </c>
      <c r="F75" s="256" t="s">
        <v>1883</v>
      </c>
    </row>
    <row r="76" spans="2:6" ht="16" customHeight="1" x14ac:dyDescent="0.2">
      <c r="B76" s="131"/>
      <c r="C76" s="9"/>
      <c r="D76" s="135" t="s">
        <v>1884</v>
      </c>
      <c r="E76" s="136" t="s">
        <v>1885</v>
      </c>
      <c r="F76" s="256" t="s">
        <v>1886</v>
      </c>
    </row>
    <row r="77" spans="2:6" ht="16" customHeight="1" x14ac:dyDescent="0.2">
      <c r="B77" s="131"/>
      <c r="C77" s="9"/>
      <c r="D77" s="135" t="s">
        <v>1887</v>
      </c>
      <c r="E77" s="136" t="s">
        <v>1888</v>
      </c>
      <c r="F77" s="256" t="s">
        <v>1889</v>
      </c>
    </row>
    <row r="78" spans="2:6" ht="16" customHeight="1" x14ac:dyDescent="0.2">
      <c r="B78" s="131"/>
      <c r="C78" s="9"/>
      <c r="D78" s="135" t="s">
        <v>1890</v>
      </c>
      <c r="E78" s="136" t="s">
        <v>1891</v>
      </c>
      <c r="F78" s="256" t="s">
        <v>1892</v>
      </c>
    </row>
    <row r="79" spans="2:6" ht="16" customHeight="1" x14ac:dyDescent="0.2">
      <c r="B79" s="131"/>
      <c r="C79" s="9"/>
      <c r="D79" s="135" t="s">
        <v>1893</v>
      </c>
      <c r="E79" s="136" t="s">
        <v>1894</v>
      </c>
      <c r="F79" s="256" t="s">
        <v>1895</v>
      </c>
    </row>
    <row r="80" spans="2:6" ht="16" customHeight="1" x14ac:dyDescent="0.2">
      <c r="B80" s="131"/>
      <c r="C80" s="170"/>
      <c r="D80" s="135" t="s">
        <v>1896</v>
      </c>
      <c r="E80" s="137" t="s">
        <v>1897</v>
      </c>
      <c r="F80" s="257" t="s">
        <v>1898</v>
      </c>
    </row>
    <row r="81" spans="2:6" ht="16" customHeight="1" x14ac:dyDescent="0.2">
      <c r="B81" s="131"/>
      <c r="C81" s="9"/>
      <c r="D81" s="135" t="s">
        <v>1899</v>
      </c>
      <c r="E81" s="136" t="s">
        <v>1900</v>
      </c>
      <c r="F81" s="256" t="s">
        <v>1901</v>
      </c>
    </row>
    <row r="82" spans="2:6" ht="16" customHeight="1" x14ac:dyDescent="0.2">
      <c r="B82" s="131"/>
      <c r="C82" s="9"/>
      <c r="D82" s="135" t="s">
        <v>1902</v>
      </c>
      <c r="E82" s="136" t="s">
        <v>1903</v>
      </c>
      <c r="F82" s="256" t="s">
        <v>1904</v>
      </c>
    </row>
    <row r="83" spans="2:6" ht="16" customHeight="1" x14ac:dyDescent="0.2">
      <c r="B83" s="131"/>
      <c r="C83" s="9"/>
      <c r="D83" s="135" t="s">
        <v>1905</v>
      </c>
      <c r="E83" s="136" t="s">
        <v>1906</v>
      </c>
      <c r="F83" s="256" t="s">
        <v>1907</v>
      </c>
    </row>
    <row r="84" spans="2:6" ht="16" customHeight="1" x14ac:dyDescent="0.2">
      <c r="B84" s="131"/>
      <c r="C84" s="9"/>
      <c r="D84" s="135" t="s">
        <v>1908</v>
      </c>
      <c r="E84" s="136" t="s">
        <v>1909</v>
      </c>
      <c r="F84" s="256" t="s">
        <v>1910</v>
      </c>
    </row>
    <row r="85" spans="2:6" ht="16" customHeight="1" x14ac:dyDescent="0.2">
      <c r="B85" s="131"/>
      <c r="C85" s="9"/>
      <c r="D85" s="135" t="s">
        <v>1911</v>
      </c>
      <c r="E85" s="136" t="s">
        <v>1912</v>
      </c>
      <c r="F85" s="256" t="s">
        <v>1913</v>
      </c>
    </row>
    <row r="86" spans="2:6" ht="16" customHeight="1" x14ac:dyDescent="0.2">
      <c r="B86" s="131"/>
      <c r="C86" s="170"/>
      <c r="D86" s="135" t="s">
        <v>1914</v>
      </c>
      <c r="E86" s="137" t="s">
        <v>1915</v>
      </c>
      <c r="F86" s="257" t="s">
        <v>1916</v>
      </c>
    </row>
    <row r="87" spans="2:6" ht="16" customHeight="1" x14ac:dyDescent="0.2">
      <c r="B87" s="131"/>
      <c r="C87" s="9"/>
      <c r="D87" s="135" t="s">
        <v>1917</v>
      </c>
      <c r="E87" s="136" t="s">
        <v>1918</v>
      </c>
      <c r="F87" s="256" t="s">
        <v>1919</v>
      </c>
    </row>
    <row r="88" spans="2:6" ht="16" customHeight="1" x14ac:dyDescent="0.2">
      <c r="B88" s="131"/>
      <c r="C88" s="9"/>
      <c r="D88" s="135" t="s">
        <v>1920</v>
      </c>
      <c r="E88" s="136" t="s">
        <v>1921</v>
      </c>
      <c r="F88" s="256" t="s">
        <v>1922</v>
      </c>
    </row>
    <row r="89" spans="2:6" ht="16" customHeight="1" x14ac:dyDescent="0.2">
      <c r="B89" s="131"/>
      <c r="C89" s="9"/>
      <c r="D89" s="135" t="s">
        <v>1923</v>
      </c>
      <c r="E89" s="136" t="s">
        <v>1924</v>
      </c>
      <c r="F89" s="256" t="s">
        <v>1925</v>
      </c>
    </row>
    <row r="90" spans="2:6" ht="16" customHeight="1" x14ac:dyDescent="0.2">
      <c r="B90" s="131"/>
      <c r="C90" s="9"/>
      <c r="D90" s="135" t="s">
        <v>1926</v>
      </c>
      <c r="E90" s="136" t="s">
        <v>1927</v>
      </c>
      <c r="F90" s="256" t="s">
        <v>1928</v>
      </c>
    </row>
    <row r="91" spans="2:6" ht="16" customHeight="1" x14ac:dyDescent="0.2">
      <c r="B91" s="131"/>
      <c r="C91" s="9" t="s">
        <v>2195</v>
      </c>
      <c r="D91" s="135" t="s">
        <v>1692</v>
      </c>
      <c r="E91" s="136" t="s">
        <v>1693</v>
      </c>
      <c r="F91" s="256" t="s">
        <v>1694</v>
      </c>
    </row>
    <row r="92" spans="2:6" ht="16" customHeight="1" x14ac:dyDescent="0.2">
      <c r="B92" s="131"/>
      <c r="C92" s="9"/>
      <c r="D92" s="135" t="s">
        <v>1929</v>
      </c>
      <c r="E92" s="136" t="s">
        <v>1930</v>
      </c>
      <c r="F92" s="256" t="s">
        <v>1931</v>
      </c>
    </row>
    <row r="93" spans="2:6" ht="16" customHeight="1" x14ac:dyDescent="0.2">
      <c r="B93" s="131"/>
      <c r="C93" s="170"/>
      <c r="D93" s="135" t="s">
        <v>1932</v>
      </c>
      <c r="E93" s="137" t="s">
        <v>1933</v>
      </c>
      <c r="F93" s="257" t="s">
        <v>1934</v>
      </c>
    </row>
    <row r="94" spans="2:6" x14ac:dyDescent="0.2">
      <c r="C94" s="138"/>
      <c r="D94" s="139"/>
      <c r="E94" s="140"/>
      <c r="F94" s="140"/>
    </row>
  </sheetData>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Normal="80" workbookViewId="0">
      <selection activeCell="D10" sqref="D10"/>
    </sheetView>
  </sheetViews>
  <sheetFormatPr baseColWidth="10" defaultColWidth="10.83203125" defaultRowHeight="16" x14ac:dyDescent="0.2"/>
  <cols>
    <col min="1" max="1" width="10.83203125" style="16" customWidth="1"/>
    <col min="2" max="2" width="8.83203125" style="16" customWidth="1"/>
    <col min="3" max="3" width="27.83203125" style="16" customWidth="1"/>
    <col min="4" max="5" width="20.83203125" style="16" customWidth="1"/>
    <col min="6" max="7" width="46.5" style="38" customWidth="1"/>
    <col min="8" max="8" width="20.83203125" style="211" customWidth="1"/>
    <col min="9" max="9" width="20.83203125" style="16" customWidth="1"/>
    <col min="10" max="10" width="10.83203125" style="16" customWidth="1"/>
    <col min="11" max="16384" width="10.83203125" style="16"/>
  </cols>
  <sheetData>
    <row r="1" spans="1:11" ht="17" customHeight="1" thickBot="1" x14ac:dyDescent="0.25">
      <c r="C1" s="17"/>
      <c r="D1" s="17"/>
      <c r="E1" s="17"/>
      <c r="F1" s="35"/>
      <c r="G1" s="35"/>
      <c r="H1" s="209"/>
      <c r="I1" s="17"/>
    </row>
    <row r="2" spans="1:11" s="38" customFormat="1" ht="17" customHeight="1" thickBot="1" x14ac:dyDescent="0.25">
      <c r="A2" s="57"/>
      <c r="B2" s="58"/>
      <c r="C2" s="59" t="s">
        <v>2196</v>
      </c>
      <c r="D2" s="60" t="s">
        <v>2197</v>
      </c>
      <c r="E2" s="204" t="s">
        <v>2198</v>
      </c>
      <c r="F2" s="206" t="s">
        <v>2199</v>
      </c>
      <c r="G2" s="36" t="s">
        <v>2200</v>
      </c>
      <c r="H2" s="212" t="s">
        <v>2201</v>
      </c>
      <c r="I2" s="61" t="s">
        <v>2202</v>
      </c>
      <c r="J2" s="62"/>
    </row>
    <row r="3" spans="1:11" ht="62.5" customHeight="1" x14ac:dyDescent="0.2">
      <c r="A3" s="18"/>
      <c r="B3" s="377" t="s">
        <v>2203</v>
      </c>
      <c r="C3" s="44" t="s">
        <v>2204</v>
      </c>
      <c r="D3" s="293" t="s">
        <v>2205</v>
      </c>
      <c r="E3" s="217" t="str">
        <f>IF(D3="","",D3)</f>
        <v>xxxxxxxx</v>
      </c>
      <c r="F3" s="287" t="s">
        <v>2206</v>
      </c>
      <c r="G3" s="167" t="s">
        <v>2207</v>
      </c>
      <c r="H3" s="213" t="s">
        <v>2208</v>
      </c>
      <c r="I3" s="232" t="s">
        <v>2208</v>
      </c>
      <c r="J3" s="19"/>
    </row>
    <row r="4" spans="1:11" ht="31.75" customHeight="1" x14ac:dyDescent="0.2">
      <c r="A4" s="18"/>
      <c r="B4" s="374"/>
      <c r="C4" s="27" t="s">
        <v>2209</v>
      </c>
      <c r="D4" s="166">
        <v>18</v>
      </c>
      <c r="E4" s="218">
        <f>IF(D4="","",D4)</f>
        <v>18</v>
      </c>
      <c r="F4" s="169" t="s">
        <v>2210</v>
      </c>
      <c r="G4" s="168" t="s">
        <v>2211</v>
      </c>
      <c r="H4" s="254">
        <v>18</v>
      </c>
      <c r="I4" s="233">
        <v>18</v>
      </c>
      <c r="J4" s="19"/>
    </row>
    <row r="5" spans="1:11" ht="43.5" customHeight="1" x14ac:dyDescent="0.2">
      <c r="A5" s="18"/>
      <c r="B5" s="374"/>
      <c r="C5" s="28" t="s">
        <v>2212</v>
      </c>
      <c r="D5" s="25" t="s">
        <v>2213</v>
      </c>
      <c r="E5" s="281" t="s">
        <v>2182</v>
      </c>
      <c r="F5" s="237" t="s">
        <v>2214</v>
      </c>
      <c r="G5" s="168" t="s">
        <v>2215</v>
      </c>
      <c r="H5" s="253" t="s">
        <v>2216</v>
      </c>
      <c r="I5" s="234" t="s">
        <v>2217</v>
      </c>
      <c r="J5" s="19"/>
    </row>
    <row r="6" spans="1:11" ht="48" customHeight="1" x14ac:dyDescent="0.2">
      <c r="A6" s="18"/>
      <c r="B6" s="374"/>
      <c r="C6" s="29" t="s">
        <v>2218</v>
      </c>
      <c r="D6" s="25" t="s">
        <v>2219</v>
      </c>
      <c r="E6" s="281" t="s">
        <v>2183</v>
      </c>
      <c r="F6" s="237" t="s">
        <v>2220</v>
      </c>
      <c r="G6" s="169" t="s">
        <v>2221</v>
      </c>
      <c r="H6" s="249" t="s">
        <v>2219</v>
      </c>
      <c r="I6" s="230" t="s">
        <v>2222</v>
      </c>
      <c r="J6" s="19"/>
    </row>
    <row r="7" spans="1:11" s="187" customFormat="1" ht="80" customHeight="1" x14ac:dyDescent="0.2">
      <c r="A7" s="183"/>
      <c r="B7" s="374"/>
      <c r="C7" s="184" t="s">
        <v>2223</v>
      </c>
      <c r="D7" s="219" t="s">
        <v>2224</v>
      </c>
      <c r="E7" s="343" t="s">
        <v>2225</v>
      </c>
      <c r="F7" s="237" t="s">
        <v>2226</v>
      </c>
      <c r="G7" s="185" t="s">
        <v>2227</v>
      </c>
      <c r="H7" s="249" t="s">
        <v>2228</v>
      </c>
      <c r="I7" s="231" t="s">
        <v>2229</v>
      </c>
      <c r="J7" s="186"/>
    </row>
    <row r="8" spans="1:11" ht="80" customHeight="1" x14ac:dyDescent="0.2">
      <c r="A8" s="18"/>
      <c r="B8" s="374"/>
      <c r="C8" s="29" t="s">
        <v>2230</v>
      </c>
      <c r="D8" s="25" t="s">
        <v>2231</v>
      </c>
      <c r="E8" s="25" t="s">
        <v>2232</v>
      </c>
      <c r="F8" s="238" t="s">
        <v>2233</v>
      </c>
      <c r="G8" s="236" t="s">
        <v>2234</v>
      </c>
      <c r="H8" s="250" t="s">
        <v>2235</v>
      </c>
      <c r="I8" s="20" t="s">
        <v>2236</v>
      </c>
      <c r="J8" s="19"/>
      <c r="K8" s="295"/>
    </row>
    <row r="9" spans="1:11" ht="96" customHeight="1" x14ac:dyDescent="0.2">
      <c r="A9" s="18"/>
      <c r="B9" s="374"/>
      <c r="C9" s="29" t="s">
        <v>2237</v>
      </c>
      <c r="D9" s="219" t="s">
        <v>2238</v>
      </c>
      <c r="E9" s="294" t="str">
        <f>IF(D9="ليس في الموسم بعد","Not yet in season",IF(D9="إعداد الأرض","Land preparation",IF(D9="الزرع","Planting",IF(D9="النمو المبكر","Early growing",IF(D9="النمو","Growing",IF(D9="النضوج","Maturing",IF(D9="الحصاد","Harvesting",IF(D9="انتهى مؤخرا","Recently Finished",""))))))))</f>
        <v>Planting</v>
      </c>
      <c r="F9" s="207" t="s">
        <v>2239</v>
      </c>
      <c r="G9" s="236" t="s">
        <v>2240</v>
      </c>
      <c r="H9" s="251" t="s">
        <v>2241</v>
      </c>
      <c r="I9" s="230" t="s">
        <v>2242</v>
      </c>
      <c r="J9" s="19"/>
    </row>
    <row r="10" spans="1:11" s="187" customFormat="1" ht="58" customHeight="1" x14ac:dyDescent="0.2">
      <c r="A10" s="183"/>
      <c r="B10" s="374"/>
      <c r="C10" s="285" t="s">
        <v>2243</v>
      </c>
      <c r="D10" s="296" t="s">
        <v>2244</v>
      </c>
      <c r="E10" s="296" t="s">
        <v>2245</v>
      </c>
      <c r="F10" s="207" t="s">
        <v>2246</v>
      </c>
      <c r="G10" s="22" t="s">
        <v>2247</v>
      </c>
      <c r="H10" s="252" t="s">
        <v>2248</v>
      </c>
      <c r="I10" s="188" t="s">
        <v>2249</v>
      </c>
      <c r="J10" s="186"/>
    </row>
    <row r="11" spans="1:11" s="187" customFormat="1" ht="63" customHeight="1" thickBot="1" x14ac:dyDescent="0.25">
      <c r="A11" s="183"/>
      <c r="B11" s="375"/>
      <c r="C11" s="286" t="s">
        <v>2250</v>
      </c>
      <c r="D11" s="297">
        <v>10</v>
      </c>
      <c r="E11" s="220">
        <f>IF(D11&lt;&gt;"",D11,"")</f>
        <v>10</v>
      </c>
      <c r="F11" s="239" t="s">
        <v>2251</v>
      </c>
      <c r="G11" s="21" t="s">
        <v>2252</v>
      </c>
      <c r="H11" s="215">
        <v>0.2</v>
      </c>
      <c r="I11" s="229">
        <v>0.2</v>
      </c>
      <c r="J11" s="186"/>
    </row>
    <row r="12" spans="1:11" ht="32" customHeight="1" x14ac:dyDescent="0.2">
      <c r="A12" s="18"/>
      <c r="B12" s="373" t="s">
        <v>2253</v>
      </c>
      <c r="C12" s="30" t="s">
        <v>2254</v>
      </c>
      <c r="D12" s="24" t="s">
        <v>2255</v>
      </c>
      <c r="E12" s="342" t="s">
        <v>2256</v>
      </c>
      <c r="F12" s="240" t="s">
        <v>2257</v>
      </c>
      <c r="G12" s="245" t="s">
        <v>2258</v>
      </c>
      <c r="H12" s="246" t="s">
        <v>2259</v>
      </c>
      <c r="I12" s="227" t="s">
        <v>2260</v>
      </c>
      <c r="J12" s="19"/>
    </row>
    <row r="13" spans="1:11" ht="112" customHeight="1" x14ac:dyDescent="0.2">
      <c r="A13" s="18"/>
      <c r="B13" s="374"/>
      <c r="C13" s="123" t="s">
        <v>2261</v>
      </c>
      <c r="D13" s="298"/>
      <c r="E13" s="218" t="str">
        <f>IF(D13="","",D13)</f>
        <v/>
      </c>
      <c r="F13" s="241" t="s">
        <v>2262</v>
      </c>
      <c r="G13" s="124" t="s">
        <v>2263</v>
      </c>
      <c r="H13" s="214">
        <v>5</v>
      </c>
      <c r="I13" s="228">
        <v>5</v>
      </c>
      <c r="J13" s="34"/>
      <c r="K13" s="54"/>
    </row>
    <row r="14" spans="1:11" ht="127" customHeight="1" x14ac:dyDescent="0.2">
      <c r="A14" s="18"/>
      <c r="B14" s="374"/>
      <c r="C14" s="123" t="s">
        <v>2264</v>
      </c>
      <c r="D14" s="298"/>
      <c r="E14" s="218" t="str">
        <f>IF(D14="","",D14)</f>
        <v/>
      </c>
      <c r="F14" s="242" t="s">
        <v>2265</v>
      </c>
      <c r="G14" s="22" t="s">
        <v>2266</v>
      </c>
      <c r="H14" s="214">
        <v>1200000</v>
      </c>
      <c r="I14" s="228">
        <v>1200000</v>
      </c>
      <c r="J14" s="19"/>
    </row>
    <row r="15" spans="1:11" ht="32" customHeight="1" x14ac:dyDescent="0.2">
      <c r="A15" s="18"/>
      <c r="B15" s="374"/>
      <c r="C15" s="56" t="s">
        <v>2267</v>
      </c>
      <c r="D15" s="25" t="s">
        <v>2268</v>
      </c>
      <c r="E15" s="25" t="s">
        <v>2269</v>
      </c>
      <c r="F15" s="241" t="s">
        <v>2270</v>
      </c>
      <c r="G15" s="236" t="s">
        <v>2271</v>
      </c>
      <c r="H15" s="247" t="s">
        <v>2272</v>
      </c>
      <c r="I15" s="20" t="s">
        <v>2273</v>
      </c>
      <c r="J15" s="19"/>
    </row>
    <row r="16" spans="1:11" ht="33" customHeight="1" thickBot="1" x14ac:dyDescent="0.25">
      <c r="A16" s="18"/>
      <c r="B16" s="375"/>
      <c r="C16" s="122" t="s">
        <v>2274</v>
      </c>
      <c r="D16" s="26" t="s">
        <v>2275</v>
      </c>
      <c r="E16" s="26" t="s">
        <v>2276</v>
      </c>
      <c r="F16" s="243" t="s">
        <v>2277</v>
      </c>
      <c r="G16" s="244" t="s">
        <v>2278</v>
      </c>
      <c r="H16" s="248" t="s">
        <v>2279</v>
      </c>
      <c r="I16" s="126" t="s">
        <v>2280</v>
      </c>
      <c r="J16" s="19"/>
    </row>
    <row r="17" spans="1:10" s="55" customFormat="1" ht="5.5" customHeight="1" thickBot="1" x14ac:dyDescent="0.25">
      <c r="A17" s="49"/>
      <c r="B17" s="50"/>
      <c r="C17" s="51"/>
      <c r="D17" s="125"/>
      <c r="E17" s="205"/>
      <c r="F17" s="208"/>
      <c r="G17" s="52"/>
      <c r="H17" s="216"/>
      <c r="I17" s="53"/>
      <c r="J17" s="54"/>
    </row>
    <row r="18" spans="1:10" ht="160" customHeight="1" x14ac:dyDescent="0.2">
      <c r="A18" s="18"/>
      <c r="B18" s="376" t="s">
        <v>2281</v>
      </c>
      <c r="C18" s="45" t="s">
        <v>2282</v>
      </c>
      <c r="D18" s="165">
        <v>0.91</v>
      </c>
      <c r="E18" s="299">
        <f>IF(D18="","",D18)</f>
        <v>0.91</v>
      </c>
      <c r="F18" s="260" t="s">
        <v>2283</v>
      </c>
      <c r="G18" s="46" t="s">
        <v>2284</v>
      </c>
      <c r="H18" s="221">
        <v>0.91</v>
      </c>
      <c r="I18" s="222">
        <v>0.91</v>
      </c>
      <c r="J18" s="19"/>
    </row>
    <row r="19" spans="1:10" ht="160" customHeight="1" x14ac:dyDescent="0.2">
      <c r="A19" s="18"/>
      <c r="B19" s="374"/>
      <c r="C19" s="31" t="s">
        <v>2285</v>
      </c>
      <c r="D19" s="344">
        <v>0.09</v>
      </c>
      <c r="E19" s="345">
        <f>IF(D19="","",D19)</f>
        <v>0.09</v>
      </c>
      <c r="F19" s="261" t="s">
        <v>2286</v>
      </c>
      <c r="G19" s="47" t="s">
        <v>2287</v>
      </c>
      <c r="H19" s="223">
        <v>0.91</v>
      </c>
      <c r="I19" s="224">
        <v>0.91</v>
      </c>
      <c r="J19" s="19"/>
    </row>
    <row r="20" spans="1:10" ht="141" customHeight="1" thickBot="1" x14ac:dyDescent="0.25">
      <c r="A20" s="18"/>
      <c r="B20" s="375"/>
      <c r="C20" s="32" t="s">
        <v>2288</v>
      </c>
      <c r="D20" s="346">
        <v>0</v>
      </c>
      <c r="E20" s="347">
        <f>IF(D20="","",D20)</f>
        <v>0</v>
      </c>
      <c r="F20" s="243" t="s">
        <v>2289</v>
      </c>
      <c r="G20" s="48" t="s">
        <v>2290</v>
      </c>
      <c r="H20" s="225">
        <v>0.05</v>
      </c>
      <c r="I20" s="226">
        <v>0.05</v>
      </c>
      <c r="J20" s="19"/>
    </row>
    <row r="21" spans="1:10" x14ac:dyDescent="0.2">
      <c r="B21" s="23"/>
      <c r="C21" s="23"/>
      <c r="D21" s="23"/>
      <c r="E21" s="23"/>
      <c r="F21" s="37"/>
      <c r="G21" s="37"/>
      <c r="H21" s="210"/>
      <c r="I21" s="23"/>
    </row>
  </sheetData>
  <mergeCells count="3">
    <mergeCell ref="B12:B16"/>
    <mergeCell ref="B18:B20"/>
    <mergeCell ref="B3:B11"/>
  </mergeCells>
  <dataValidations count="2">
    <dataValidation type="list" showInputMessage="1" showErrorMessage="1" sqref="D7" xr:uid="{00000000-0002-0000-0400-000000000000}">
      <formula1>"العام العادي,  العام الماضي"</formula1>
    </dataValidation>
    <dataValidation type="list" showInputMessage="1" showErrorMessage="1" sqref="D9" xr:uid="{00000000-0002-0000-0400-000001000000}">
      <formula1>"ليس في الموسم بعد,إعداد الأرض,الزرع,النمو المبكر,النمو,النضوج,الحصاد,انتهى مؤخرا"</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2023-10-23T13:55:06Z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2023-10-23T13:26:58Z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05ad6855-2a00-4758-8ca0-775c52772354</vt:lpwstr>
  </property>
  <property fmtid="{D5CDD505-2E9C-101B-9397-08002B2CF9AE}" pid="8" name="MSIP_Label_46ec50b2-b191-4ad7-ba82-7deb0436e358_ContentBits">
    <vt:lpwstr>0</vt:lpwstr>
  </property>
</Properties>
</file>