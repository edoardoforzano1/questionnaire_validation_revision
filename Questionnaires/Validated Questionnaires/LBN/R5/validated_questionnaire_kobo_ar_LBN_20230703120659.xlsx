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LBN/R5/"/>
    </mc:Choice>
  </mc:AlternateContent>
  <xr:revisionPtr revIDLastSave="0" documentId="13_ncr:1_{A40D79CC-8CF3-DF4B-89FC-2E283A2FEC2A}" xr6:coauthVersionLast="47" xr6:coauthVersionMax="47" xr10:uidLastSave="{00000000-0000-0000-0000-000000000000}"/>
  <bookViews>
    <workbookView xWindow="0" yWindow="500" windowWidth="33600" windowHeight="19600" activeTab="1" xr2:uid="{00000000-000D-0000-FFFF-FFFF00000000}"/>
  </bookViews>
  <sheets>
    <sheet name="survey" sheetId="4" r:id="rId1"/>
    <sheet name="choices" sheetId="10" r:id="rId2"/>
    <sheet name="settings" sheetId="3" r:id="rId3"/>
    <sheet name="Crop list" sheetId="9" state="hidden" r:id="rId4"/>
    <sheet name="Additional information" sheetId="11" state="hidden" r:id="rId5"/>
  </sheets>
  <externalReferences>
    <externalReference r:id="rId6"/>
  </externalReferences>
  <definedNames>
    <definedName name="_xlnm._FilterDatabase" localSheetId="1" hidden="1">choices!#REF!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58" i="4" l="1"/>
  <c r="Y158" i="4"/>
  <c r="Z120" i="4"/>
  <c r="Y120" i="4"/>
  <c r="X120" i="4"/>
  <c r="Z118" i="4"/>
  <c r="X118" i="4"/>
  <c r="Z235" i="4" l="1"/>
  <c r="Y235"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152" i="4"/>
  <c r="Y152" i="4"/>
  <c r="Z53" i="4"/>
  <c r="Y53" i="4"/>
  <c r="Z51" i="4"/>
  <c r="Y51" i="4"/>
  <c r="Z38" i="4"/>
  <c r="Y38" i="4"/>
  <c r="AA9" i="4"/>
  <c r="Z9" i="4"/>
  <c r="Y9" i="4"/>
  <c r="E9" i="11" l="1"/>
  <c r="E20" i="11"/>
  <c r="E19" i="11"/>
  <c r="E18" i="11"/>
  <c r="E14" i="11"/>
  <c r="E13" i="11"/>
  <c r="E11" i="11"/>
  <c r="E4" i="11"/>
  <c r="E3" i="11"/>
  <c r="Z75" i="4"/>
  <c r="Y75" i="4"/>
  <c r="X75" i="4"/>
  <c r="Z66" i="4"/>
  <c r="Y66" i="4"/>
  <c r="X66" i="4"/>
  <c r="X127" i="4"/>
  <c r="X129" i="4"/>
  <c r="X128" i="4"/>
  <c r="X93" i="4"/>
  <c r="X92" i="4"/>
  <c r="Z92" i="4" s="1"/>
  <c r="X91" i="4"/>
  <c r="X90" i="4"/>
  <c r="Y90" i="4" s="1"/>
  <c r="X89" i="4"/>
  <c r="X86" i="4"/>
  <c r="X85" i="4"/>
  <c r="Y85" i="4" s="1"/>
  <c r="X84" i="4"/>
  <c r="Y84" i="4" s="1"/>
  <c r="X83" i="4"/>
  <c r="Y83" i="4" s="1"/>
  <c r="X82" i="4"/>
  <c r="X81" i="4"/>
  <c r="Z81" i="4" s="1"/>
  <c r="X80" i="4"/>
  <c r="X79" i="4"/>
  <c r="Z79" i="4" s="1"/>
  <c r="X78" i="4"/>
  <c r="X74" i="4"/>
  <c r="X73" i="4"/>
  <c r="Z73" i="4" s="1"/>
  <c r="X72" i="4"/>
  <c r="Y72" i="4" s="1"/>
  <c r="X71" i="4"/>
  <c r="Y71" i="4" s="1"/>
  <c r="X70" i="4"/>
  <c r="X69" i="4"/>
  <c r="Y69" i="4" s="1"/>
  <c r="X68" i="4"/>
  <c r="X67" i="4"/>
  <c r="Y67" i="4" s="1"/>
  <c r="X62" i="4"/>
  <c r="X61" i="4"/>
  <c r="Z61" i="4" s="1"/>
  <c r="X60" i="4"/>
  <c r="Y60" i="4" s="1"/>
  <c r="X59" i="4"/>
  <c r="Y59" i="4" s="1"/>
  <c r="X58" i="4"/>
  <c r="X57" i="4"/>
  <c r="Z57" i="4" s="1"/>
  <c r="X56" i="4"/>
  <c r="X55" i="4"/>
  <c r="X54" i="4"/>
  <c r="X50" i="4"/>
  <c r="Y50" i="4" s="1"/>
  <c r="X49" i="4"/>
  <c r="X48" i="4"/>
  <c r="Y48" i="4" s="1"/>
  <c r="X47" i="4"/>
  <c r="X46" i="4"/>
  <c r="Y46" i="4" s="1"/>
  <c r="X45" i="4"/>
  <c r="X44" i="4"/>
  <c r="Z44" i="4" s="1"/>
  <c r="X42" i="4"/>
  <c r="X37" i="4"/>
  <c r="Y37" i="4" s="1"/>
  <c r="X36" i="4"/>
  <c r="X35" i="4"/>
  <c r="X34" i="4"/>
  <c r="Y34" i="4" s="1"/>
  <c r="X33" i="4"/>
  <c r="X32" i="4"/>
  <c r="Z32" i="4" s="1"/>
  <c r="X31" i="4"/>
  <c r="X30" i="4"/>
  <c r="Y30" i="4" s="1"/>
  <c r="X29" i="4"/>
  <c r="X28" i="4"/>
  <c r="Z28" i="4" s="1"/>
  <c r="X27" i="4"/>
  <c r="X26" i="4"/>
  <c r="Y26" i="4" s="1"/>
  <c r="X25" i="4"/>
  <c r="Y25" i="4" s="1"/>
  <c r="Z24" i="4"/>
  <c r="Y24" i="4"/>
  <c r="X17" i="4"/>
  <c r="Z17" i="4" s="1"/>
  <c r="X126" i="4"/>
  <c r="Y126" i="4" s="1"/>
  <c r="X125" i="4"/>
  <c r="Y125" i="4" s="1"/>
  <c r="Z293"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19" i="4"/>
  <c r="Y219" i="4"/>
  <c r="Z218" i="4"/>
  <c r="Y218" i="4"/>
  <c r="Z217" i="4"/>
  <c r="Y217" i="4"/>
  <c r="Z216" i="4"/>
  <c r="Y216" i="4"/>
  <c r="Z215" i="4"/>
  <c r="Y215" i="4"/>
  <c r="Z214" i="4"/>
  <c r="Y214" i="4"/>
  <c r="Z213" i="4"/>
  <c r="Y213" i="4"/>
  <c r="Z212" i="4"/>
  <c r="Y212" i="4"/>
  <c r="Z211" i="4"/>
  <c r="Y211" i="4"/>
  <c r="Z210" i="4"/>
  <c r="Y210" i="4"/>
  <c r="Z209" i="4"/>
  <c r="Y209" i="4"/>
  <c r="Z208" i="4"/>
  <c r="Y208" i="4"/>
  <c r="Z207" i="4"/>
  <c r="Y207" i="4"/>
  <c r="Z206" i="4"/>
  <c r="Y206" i="4"/>
  <c r="Z205" i="4"/>
  <c r="Y205" i="4"/>
  <c r="Z204" i="4"/>
  <c r="Y204" i="4"/>
  <c r="Z203" i="4"/>
  <c r="Y203" i="4"/>
  <c r="Z202" i="4"/>
  <c r="Y202" i="4"/>
  <c r="Z201" i="4"/>
  <c r="Y201" i="4"/>
  <c r="Z200" i="4"/>
  <c r="Y200" i="4"/>
  <c r="Z199" i="4"/>
  <c r="Y199" i="4"/>
  <c r="Z198" i="4"/>
  <c r="Y198" i="4"/>
  <c r="X198" i="4"/>
  <c r="X197" i="4"/>
  <c r="Y197" i="4" s="1"/>
  <c r="Z196" i="4"/>
  <c r="Y196" i="4"/>
  <c r="X196" i="4"/>
  <c r="Z195" i="4"/>
  <c r="Y195" i="4"/>
  <c r="X195" i="4"/>
  <c r="X194" i="4"/>
  <c r="Y194" i="4" s="1"/>
  <c r="X193" i="4"/>
  <c r="Y193" i="4" s="1"/>
  <c r="Z192" i="4"/>
  <c r="Y192" i="4"/>
  <c r="X192" i="4"/>
  <c r="Z191" i="4"/>
  <c r="Y191" i="4"/>
  <c r="X191" i="4"/>
  <c r="Z190" i="4"/>
  <c r="Y190" i="4"/>
  <c r="X190" i="4"/>
  <c r="X189" i="4"/>
  <c r="Z189" i="4" s="1"/>
  <c r="Z188" i="4"/>
  <c r="Y188" i="4"/>
  <c r="X188" i="4"/>
  <c r="Z187" i="4"/>
  <c r="Y187" i="4"/>
  <c r="Z186" i="4"/>
  <c r="Y186" i="4"/>
  <c r="Z185" i="4"/>
  <c r="Y185" i="4"/>
  <c r="X185" i="4"/>
  <c r="Z184" i="4"/>
  <c r="Y184" i="4"/>
  <c r="X184" i="4"/>
  <c r="Z183" i="4"/>
  <c r="X183" i="4"/>
  <c r="Y183" i="4" s="1"/>
  <c r="Z182" i="4"/>
  <c r="Y182" i="4"/>
  <c r="X182" i="4"/>
  <c r="Z181" i="4"/>
  <c r="Y181" i="4"/>
  <c r="X181" i="4"/>
  <c r="X180" i="4"/>
  <c r="Z180" i="4" s="1"/>
  <c r="X179" i="4"/>
  <c r="Y179" i="4" s="1"/>
  <c r="Z178" i="4"/>
  <c r="Y178" i="4"/>
  <c r="X178" i="4"/>
  <c r="X177" i="4"/>
  <c r="Y177" i="4" s="1"/>
  <c r="Z176" i="4"/>
  <c r="Y176" i="4"/>
  <c r="X176" i="4"/>
  <c r="X175" i="4"/>
  <c r="Z175" i="4" s="1"/>
  <c r="Z174" i="4"/>
  <c r="Y174" i="4"/>
  <c r="X174" i="4"/>
  <c r="X173" i="4"/>
  <c r="Z173" i="4" s="1"/>
  <c r="Z172" i="4"/>
  <c r="Y172" i="4"/>
  <c r="Z171" i="4"/>
  <c r="Y171" i="4"/>
  <c r="Z170" i="4"/>
  <c r="Y170" i="4"/>
  <c r="X170" i="4"/>
  <c r="X169" i="4"/>
  <c r="Z169" i="4" s="1"/>
  <c r="Z168" i="4"/>
  <c r="Y168" i="4"/>
  <c r="X168" i="4"/>
  <c r="X167" i="4"/>
  <c r="Y167" i="4" s="1"/>
  <c r="X166" i="4"/>
  <c r="Z166" i="4" s="1"/>
  <c r="Z165" i="4"/>
  <c r="Y165" i="4"/>
  <c r="X165" i="4"/>
  <c r="Z164" i="4"/>
  <c r="Y164" i="4"/>
  <c r="X164" i="4"/>
  <c r="X163" i="4"/>
  <c r="Y163" i="4" s="1"/>
  <c r="Z162" i="4"/>
  <c r="Y162" i="4"/>
  <c r="X162" i="4"/>
  <c r="Z161" i="4"/>
  <c r="Y161" i="4"/>
  <c r="Z160" i="4"/>
  <c r="Y160" i="4"/>
  <c r="Z153" i="4"/>
  <c r="X153" i="4"/>
  <c r="Y153" i="4" s="1"/>
  <c r="X151" i="4"/>
  <c r="Z151" i="4" s="1"/>
  <c r="X150" i="4"/>
  <c r="Y150" i="4" s="1"/>
  <c r="Z149" i="4"/>
  <c r="Y149" i="4"/>
  <c r="X149" i="4"/>
  <c r="Z148" i="4"/>
  <c r="X148" i="4"/>
  <c r="Y148" i="4" s="1"/>
  <c r="Z147" i="4"/>
  <c r="Y147" i="4"/>
  <c r="X147" i="4"/>
  <c r="X146" i="4"/>
  <c r="Z146" i="4" s="1"/>
  <c r="Z145" i="4"/>
  <c r="Y145" i="4"/>
  <c r="X145" i="4"/>
  <c r="Z144" i="4"/>
  <c r="Y144" i="4"/>
  <c r="X144" i="4"/>
  <c r="X143" i="4"/>
  <c r="Z143" i="4" s="1"/>
  <c r="X142" i="4"/>
  <c r="Y142" i="4" s="1"/>
  <c r="Z141" i="4"/>
  <c r="Y141" i="4"/>
  <c r="X141" i="4"/>
  <c r="Z140" i="4"/>
  <c r="Y140" i="4"/>
  <c r="X140" i="4"/>
  <c r="X139" i="4"/>
  <c r="Y139" i="4" s="1"/>
  <c r="Z138" i="4"/>
  <c r="Y138" i="4"/>
  <c r="X138" i="4"/>
  <c r="X137" i="4"/>
  <c r="Y137" i="4" s="1"/>
  <c r="Z136" i="4"/>
  <c r="Y136" i="4"/>
  <c r="Z135" i="4"/>
  <c r="Y135" i="4"/>
  <c r="Z134" i="4"/>
  <c r="Y134" i="4"/>
  <c r="X134" i="4"/>
  <c r="X133" i="4"/>
  <c r="Z133" i="4" s="1"/>
  <c r="Z132" i="4"/>
  <c r="Y132" i="4"/>
  <c r="X132" i="4"/>
  <c r="X131" i="4"/>
  <c r="Y131" i="4" s="1"/>
  <c r="X130" i="4"/>
  <c r="Y130" i="4" s="1"/>
  <c r="Z124" i="4"/>
  <c r="Y124" i="4"/>
  <c r="Z123" i="4"/>
  <c r="Y123" i="4"/>
  <c r="Z117" i="4"/>
  <c r="X117" i="4"/>
  <c r="Y117" i="4" s="1"/>
  <c r="Z116" i="4"/>
  <c r="X116" i="4"/>
  <c r="Y116" i="4" s="1"/>
  <c r="Z115" i="4"/>
  <c r="Y115" i="4"/>
  <c r="X115" i="4"/>
  <c r="X114" i="4"/>
  <c r="Z114" i="4" s="1"/>
  <c r="X113" i="4"/>
  <c r="Z113" i="4" s="1"/>
  <c r="X112" i="4"/>
  <c r="Y112" i="4" s="1"/>
  <c r="Z111" i="4"/>
  <c r="Y111" i="4"/>
  <c r="X111" i="4"/>
  <c r="X110" i="4"/>
  <c r="Z110" i="4" s="1"/>
  <c r="Z109" i="4"/>
  <c r="Y109" i="4"/>
  <c r="X109" i="4"/>
  <c r="Z108" i="4"/>
  <c r="X108" i="4"/>
  <c r="Y108" i="4" s="1"/>
  <c r="Z107" i="4"/>
  <c r="Y107" i="4"/>
  <c r="X107" i="4"/>
  <c r="Z106" i="4"/>
  <c r="Y106" i="4"/>
  <c r="X106" i="4"/>
  <c r="X105" i="4"/>
  <c r="Y105" i="4" s="1"/>
  <c r="Z104" i="4"/>
  <c r="Y104" i="4"/>
  <c r="X104" i="4"/>
  <c r="X103" i="4"/>
  <c r="Y103" i="4" s="1"/>
  <c r="Z102" i="4"/>
  <c r="Y102" i="4"/>
  <c r="X102" i="4"/>
  <c r="X101" i="4"/>
  <c r="Z101" i="4" s="1"/>
  <c r="Z100" i="4"/>
  <c r="Y100" i="4"/>
  <c r="X100" i="4"/>
  <c r="X99" i="4"/>
  <c r="Z99" i="4" s="1"/>
  <c r="X98" i="4"/>
  <c r="Z98" i="4" s="1"/>
  <c r="Z97" i="4"/>
  <c r="Y97" i="4"/>
  <c r="X97" i="4"/>
  <c r="X96" i="4"/>
  <c r="Y96" i="4" s="1"/>
  <c r="Z95" i="4"/>
  <c r="Y95" i="4"/>
  <c r="Z94" i="4"/>
  <c r="Y94" i="4"/>
  <c r="Z93" i="4"/>
  <c r="Y93" i="4"/>
  <c r="Z91" i="4"/>
  <c r="Y91" i="4"/>
  <c r="Z89" i="4"/>
  <c r="Y89" i="4"/>
  <c r="Z86" i="4"/>
  <c r="Y86" i="4"/>
  <c r="Z82" i="4"/>
  <c r="Y82" i="4"/>
  <c r="Z80" i="4"/>
  <c r="Y80" i="4"/>
  <c r="Z78" i="4"/>
  <c r="Y78" i="4"/>
  <c r="Z74" i="4"/>
  <c r="Y74" i="4"/>
  <c r="Z70" i="4"/>
  <c r="Y70" i="4"/>
  <c r="Z68" i="4"/>
  <c r="Y68" i="4"/>
  <c r="Z62" i="4"/>
  <c r="Y62" i="4"/>
  <c r="Z58" i="4"/>
  <c r="Y58" i="4"/>
  <c r="Z56" i="4"/>
  <c r="Y56" i="4"/>
  <c r="Z55" i="4"/>
  <c r="Y55" i="4"/>
  <c r="Z54" i="4"/>
  <c r="Y54" i="4"/>
  <c r="Z50" i="4"/>
  <c r="Z49" i="4"/>
  <c r="Y49" i="4"/>
  <c r="Z47" i="4"/>
  <c r="Y47" i="4"/>
  <c r="Z45" i="4"/>
  <c r="Y45" i="4"/>
  <c r="Z42" i="4"/>
  <c r="Y42" i="4"/>
  <c r="Z41" i="4"/>
  <c r="Y41" i="4"/>
  <c r="Z40" i="4"/>
  <c r="Y40" i="4"/>
  <c r="Z36" i="4"/>
  <c r="Y36" i="4"/>
  <c r="Z35" i="4"/>
  <c r="Y35" i="4"/>
  <c r="Z33" i="4"/>
  <c r="Y33" i="4"/>
  <c r="Z31" i="4"/>
  <c r="Y31" i="4"/>
  <c r="Z30" i="4"/>
  <c r="Z29" i="4"/>
  <c r="Y29" i="4"/>
  <c r="Z27" i="4"/>
  <c r="Y27" i="4"/>
  <c r="Z23" i="4"/>
  <c r="Y23" i="4"/>
  <c r="Z18" i="4"/>
  <c r="Y18" i="4"/>
  <c r="Z16" i="4"/>
  <c r="Y16" i="4"/>
  <c r="Z11" i="4"/>
  <c r="Y11" i="4"/>
  <c r="Z10" i="4"/>
  <c r="Y10" i="4"/>
  <c r="Z5" i="4"/>
  <c r="Y5" i="4"/>
  <c r="Z4" i="4"/>
  <c r="Y4" i="4"/>
  <c r="Z3" i="4"/>
  <c r="Y3" i="4"/>
  <c r="Z2" i="4"/>
  <c r="Y2" i="4"/>
  <c r="Y79" i="4" l="1"/>
  <c r="Z90" i="4"/>
  <c r="Z83" i="4"/>
  <c r="Z60" i="4"/>
  <c r="Y17" i="4"/>
  <c r="Y169" i="4"/>
  <c r="Z67" i="4"/>
  <c r="Y81" i="4"/>
  <c r="Y166" i="4"/>
  <c r="Y113" i="4"/>
  <c r="Y98" i="4"/>
  <c r="Y73" i="4"/>
  <c r="Y114" i="4"/>
  <c r="Z177" i="4"/>
  <c r="Z25" i="4"/>
  <c r="Z72" i="4"/>
  <c r="Z96" i="4"/>
  <c r="Z112" i="4"/>
  <c r="Y180" i="4"/>
  <c r="Z85" i="4"/>
  <c r="Z179" i="4"/>
  <c r="Z26" i="4"/>
  <c r="Z163" i="4"/>
  <c r="Z167" i="4"/>
  <c r="Z137" i="4"/>
  <c r="Y57" i="4"/>
  <c r="Z46" i="4"/>
  <c r="Z105" i="4"/>
  <c r="Y61" i="4"/>
  <c r="Z34" i="4"/>
  <c r="Y175" i="4"/>
  <c r="Y92" i="4"/>
  <c r="Z84" i="4"/>
  <c r="Y189" i="4"/>
  <c r="Z130" i="4"/>
  <c r="Z71" i="4"/>
  <c r="Z194" i="4"/>
  <c r="Z197" i="4"/>
  <c r="Z37" i="4"/>
  <c r="Z103" i="4"/>
  <c r="Z142" i="4"/>
  <c r="Y32" i="4"/>
  <c r="Y146" i="4"/>
  <c r="Y143" i="4"/>
  <c r="Y99" i="4"/>
  <c r="Y151" i="4"/>
  <c r="Y44" i="4"/>
  <c r="Z139" i="4"/>
  <c r="Y133" i="4"/>
  <c r="Y173" i="4"/>
  <c r="Y110" i="4"/>
  <c r="Z131" i="4"/>
  <c r="Z59" i="4"/>
  <c r="Z69" i="4"/>
  <c r="Y101" i="4"/>
  <c r="Z150" i="4"/>
  <c r="Z193" i="4"/>
  <c r="Z48" i="4"/>
  <c r="Y28" i="4"/>
  <c r="Z300" i="4" l="1"/>
  <c r="Y300" i="4"/>
</calcChain>
</file>

<file path=xl/sharedStrings.xml><?xml version="1.0" encoding="utf-8"?>
<sst xmlns="http://schemas.openxmlformats.org/spreadsheetml/2006/main" count="5153" uniqueCount="2262">
  <si>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</si>
  <si>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</si>
  <si>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</si>
  <si>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</si>
  <si>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</si>
  <si>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</si>
  <si>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</si>
  <si>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</si>
  <si>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</si>
  <si>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</si>
  <si>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</si>
  <si>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</si>
  <si>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</si>
  <si>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</si>
  <si>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</si>
  <si>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</si>
  <si>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</si>
  <si>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</si>
  <si>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</si>
  <si>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</si>
  <si>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</si>
  <si>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</si>
  <si>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</si>
  <si>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</si>
  <si>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</si>
  <si>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</si>
  <si>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</si>
  <si>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</si>
  <si>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</si>
  <si>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</si>
  <si>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</si>
  <si>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</si>
  <si>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</si>
  <si>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</si>
  <si>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</si>
  <si>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اسم جامع البيانات</t>
  </si>
  <si>
    <t>true</t>
  </si>
  <si>
    <t>yes</t>
  </si>
  <si>
    <t>enumerator_</t>
  </si>
  <si>
    <t>jr:choice-name(${enumerator},'${enumerator}')</t>
  </si>
  <si>
    <t>note</t>
  </si>
  <si>
    <t>introduction</t>
  </si>
  <si>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</si>
  <si>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</si>
  <si>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</si>
  <si>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</si>
  <si>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</si>
  <si>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</si>
  <si>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</si>
  <si>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</si>
  <si>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${resp_agree} = '1'</t>
  </si>
  <si>
    <t>Refusal</t>
  </si>
  <si>
    <t>Thank you for your time, you will be removed from today's survey.</t>
  </si>
  <si>
    <t>شكراً جزيلاً على وقتك، سنقوم بحذف إسمك من دراسة اليوم.</t>
  </si>
  <si>
    <t>${resp_agree} = '2'</t>
  </si>
  <si>
    <t/>
  </si>
  <si>
    <t>begin_group</t>
  </si>
  <si>
    <t>eligibility</t>
  </si>
  <si>
    <t>ELIGIBILITY CRITERIA</t>
  </si>
  <si>
    <t>معايير الأهلية</t>
  </si>
  <si>
    <t>text</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</si>
  <si>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</si>
  <si>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</si>
  <si>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</si>
  <si>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</si>
  <si>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</si>
  <si>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</si>
  <si>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</si>
  <si>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</si>
  <si>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</si>
  <si>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</si>
  <si>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</si>
  <si>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</si>
  <si>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</si>
  <si>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</si>
  <si>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</si>
  <si>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</si>
  <si>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</si>
  <si>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</si>
  <si>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</si>
  <si>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</si>
  <si>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</si>
  <si>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</si>
  <si>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numbers</t>
  </si>
  <si>
    <t>yes - panel</t>
  </si>
  <si>
    <t>select_one admin1</t>
  </si>
  <si>
    <t>adm1_pcode</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</si>
  <si>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</si>
  <si>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</si>
  <si>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</si>
  <si>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</si>
  <si>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</si>
  <si>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</si>
  <si>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</si>
  <si>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</si>
  <si>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</si>
  <si>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</si>
  <si>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</si>
  <si>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</si>
  <si>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</si>
  <si>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</si>
  <si>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</si>
  <si>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</si>
  <si>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end_group</t>
  </si>
  <si>
    <t>generalInfo</t>
  </si>
  <si>
    <t>GENERAL INFORMATION</t>
  </si>
  <si>
    <t>معلومات عامة</t>
  </si>
  <si>
    <t>${resp_agree} = '1' and ${hh_agricactivity} != '5' and ${hh_agricactivity} != '6'</t>
  </si>
  <si>
    <t>select_one yes_no</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</si>
  <si>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</si>
  <si>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</si>
  <si>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</si>
  <si>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</si>
  <si>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</si>
  <si>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</si>
  <si>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</si>
  <si>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</si>
  <si>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</si>
  <si>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</si>
  <si>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</si>
  <si>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</si>
  <si>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</si>
  <si>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</si>
  <si>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</si>
  <si>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</si>
  <si>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</si>
  <si>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</si>
  <si>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</si>
  <si>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</si>
  <si>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</si>
  <si>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</si>
  <si>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</si>
  <si>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</si>
  <si>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</si>
  <si>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</si>
  <si>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</si>
  <si>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</si>
  <si>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</si>
  <si>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</si>
  <si>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</si>
  <si>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</si>
  <si>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</si>
  <si>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</si>
  <si>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that you sell produced by you or anyone in your household? </t>
  </si>
  <si>
    <t>هل المحاصيل التي تبيعها من إنتاجك أنت أو أي شخص في أسرتك؟</t>
  </si>
  <si>
    <t xml:space="preserve">${income_main} = '1' or ${income_main} = '2' or ${income_main} = '3' </t>
  </si>
  <si>
    <t>income_main_ls_check</t>
  </si>
  <si>
    <t xml:space="preserve">Are the livestock and livestock products that you sell produced by you or anyone in your household? </t>
  </si>
  <si>
    <t>هل المواشي ومنتجاتها التي تبيعها من إنتاجك أنت أو أي شخص في أسرتك؟</t>
  </si>
  <si>
    <t>${income_main} = '4'</t>
  </si>
  <si>
    <t>income_main_fish_check</t>
  </si>
  <si>
    <t xml:space="preserve">Are the fish and/or fish products that you sell also captured or harvested by you or anyone in your household? </t>
  </si>
  <si>
    <t>هل منتجات الأسماك التي تبيعها من إنتاجك أنت أو أي شخص في أسرتك؟</t>
  </si>
  <si>
    <t>${income_main} = '6'</t>
  </si>
  <si>
    <t>decimal</t>
  </si>
  <si>
    <t>${income_main} != '19' and ${income_main} != '20'</t>
  </si>
  <si>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</si>
  <si>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</si>
  <si>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</si>
  <si>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</si>
  <si>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</si>
  <si>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</si>
  <si>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</si>
  <si>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</si>
  <si>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</si>
  <si>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</si>
  <si>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</si>
  <si>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</si>
  <si>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</si>
  <si>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</si>
  <si>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</si>
  <si>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</si>
  <si>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</si>
  <si>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</si>
  <si>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</si>
  <si>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</si>
  <si>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</si>
  <si>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</si>
  <si>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</si>
  <si>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</si>
  <si>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 xml:space="preserve">Are the fish products that you sell produced by you or anyone in your household? </t>
  </si>
  <si>
    <t>${income_sec} = '6'</t>
  </si>
  <si>
    <t xml:space="preserve">${income_main} != '19' and ${income_main} != '20' and ${income_sec} != '19' and ${income_sec} != '20' and ${income_sec} != '21' </t>
  </si>
  <si>
    <t>income_sec_gender</t>
  </si>
  <si>
    <t>income_sec_control</t>
  </si>
  <si>
    <t>income_sec_comp</t>
  </si>
  <si>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</si>
  <si>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</si>
  <si>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</si>
  <si>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</si>
  <si>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</si>
  <si>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</si>
  <si>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</si>
  <si>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</si>
  <si>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</si>
  <si>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</si>
  <si>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</si>
  <si>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</si>
  <si>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</si>
  <si>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 xml:space="preserve">${income_main} != '19' and ${income_main} != '20' and ${income_sec} != '19' and ${income_sec} != '20' and ${income_sec} != '21' and ${income_third} != '19' and ${income_third} != '20' and ${income_third} != '21' </t>
  </si>
  <si>
    <t>income_third_gender</t>
  </si>
  <si>
    <t>income_third_control</t>
  </si>
  <si>
    <t>income_third_comp</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</si>
  <si>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</si>
  <si>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</si>
  <si>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</si>
  <si>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</si>
  <si>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</si>
  <si>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</si>
  <si>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</si>
  <si>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[INSTRUCTIONS: MULTIPLE RESPONSES POSSIBLE.]</t>
  </si>
  <si>
    <t>[تعليمات: احتمال وجود عدة استجابات]</t>
  </si>
  <si>
    <t>If other, specify.</t>
  </si>
  <si>
    <t>إذا كانت الإجابة "آخر"، حدد.</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</si>
  <si>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</si>
  <si>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</si>
  <si>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CropProduction_group</t>
  </si>
  <si>
    <t>CROP PRODUCTION</t>
  </si>
  <si>
    <t>إنتاج المحاصيل</t>
  </si>
  <si>
    <t>${resp_agree} = '1' and (${hh_agricactivity}='1' or ${hh_agricactivity} = '3' or ${income_main_crop_check}='1' or ${income_sec_crop_check}='1' or ${income_third_crop_check}='1')</t>
  </si>
  <si>
    <t>crp_intro</t>
  </si>
  <si>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</si>
  <si>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</si>
  <si>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</si>
  <si>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</si>
  <si>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</si>
  <si>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</si>
  <si>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</si>
  <si>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</si>
  <si>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</si>
  <si>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</si>
  <si>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</si>
  <si>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</si>
  <si>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</si>
  <si>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</si>
  <si>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</si>
  <si>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</si>
  <si>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</si>
  <si>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</si>
  <si>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</si>
  <si>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</si>
  <si>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</si>
  <si>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</si>
  <si>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</si>
  <si>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</si>
  <si>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</si>
  <si>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</si>
  <si>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</si>
  <si>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</si>
  <si>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${crp_irrig_source}='6' and (${crp_main} != '777' and ${crp_main} != '888' and ${crp_main} != '999')</t>
  </si>
  <si>
    <t xml:space="preserve">select_multiple seedsupply </t>
  </si>
  <si>
    <t>crp_seed</t>
  </si>
  <si>
    <t xml:space="preserve">Who do you normally procure your seeds from? </t>
  </si>
  <si>
    <t>من أين تحصل عادة على البذور؟</t>
  </si>
  <si>
    <t>if(selected(., 'ref') or selected(., 'dk'), count-selected(.) = 1, count-selected(.) &gt;= 1)</t>
  </si>
  <si>
    <t>crp_area_change</t>
  </si>
  <si>
    <t>crp_harv_change</t>
  </si>
  <si>
    <t>crp_proddif</t>
  </si>
  <si>
    <t>${crp_main} != '888' and ${crp_main} != '999' and ${crp_main_check} != 1</t>
  </si>
  <si>
    <t>select_multiple cropproddiff</t>
  </si>
  <si>
    <t>crp_proddif_</t>
  </si>
  <si>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</si>
  <si>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</si>
  <si>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</si>
  <si>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</si>
  <si>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</si>
  <si>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</si>
  <si>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</si>
  <si>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</si>
  <si>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</si>
  <si>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</si>
  <si>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</si>
  <si>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</si>
  <si>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</si>
  <si>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</si>
  <si>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</si>
  <si>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</si>
  <si>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</si>
  <si>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</si>
  <si>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</si>
  <si>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</si>
  <si>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</si>
  <si>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</si>
  <si>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</si>
  <si>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</si>
  <si>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</si>
  <si>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</si>
  <si>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</si>
  <si>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</si>
  <si>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</si>
  <si>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</si>
  <si>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</si>
  <si>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</si>
  <si>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</si>
  <si>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</si>
  <si>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</si>
  <si>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</si>
  <si>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</si>
  <si>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</si>
  <si>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</si>
  <si>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</si>
  <si>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</si>
  <si>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</si>
  <si>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t>[INSTRUCTIONS: INSIST ON THE MAIN PRODUCT MENTIONED.]</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</si>
  <si>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</si>
  <si>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</si>
  <si>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</si>
  <si>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</si>
  <si>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</si>
  <si>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</si>
  <si>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</si>
  <si>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</si>
  <si>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</si>
  <si>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and income generation in the last 12 months?</t>
  </si>
  <si>
    <t>ما هو الحيوان الرئيسي الذي قامت أسرتك بتربيته من أجل الغذاء وتوليد الدخل خلال الاثني عشر شهرًا الماضية؟</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</si>
  <si>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</si>
  <si>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</si>
  <si>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</si>
  <si>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</si>
  <si>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</si>
  <si>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</si>
  <si>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</si>
  <si>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</si>
  <si>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</si>
  <si>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</si>
  <si>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</si>
  <si>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</si>
  <si>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</si>
  <si>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</si>
  <si>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</si>
  <si>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</si>
  <si>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</si>
  <si>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</si>
  <si>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</si>
  <si>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</si>
  <si>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</si>
  <si>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</si>
  <si>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</si>
  <si>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</si>
  <si>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</si>
  <si>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</si>
  <si>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</si>
  <si>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</si>
  <si>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</si>
  <si>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</si>
  <si>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</si>
  <si>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</si>
  <si>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</si>
  <si>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</si>
  <si>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</si>
  <si>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</si>
  <si>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</si>
  <si>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</si>
  <si>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</si>
  <si>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</si>
  <si>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</si>
  <si>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</si>
  <si>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</si>
  <si>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</si>
  <si>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</si>
  <si>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</si>
  <si>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</si>
  <si>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</si>
  <si>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</si>
  <si>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</si>
  <si>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</si>
  <si>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</si>
  <si>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</si>
  <si>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</si>
  <si>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</si>
  <si>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</si>
  <si>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</si>
  <si>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</si>
  <si>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</si>
  <si>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</si>
  <si>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</si>
  <si>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</si>
  <si>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t>[تعليمات: قم بالإصرار على المنتج الرئيسي المذكور]</t>
  </si>
  <si>
    <t>Fishing_group</t>
  </si>
  <si>
    <t>FISHING / AQUACULTURE PRODUCTION</t>
  </si>
  <si>
    <t>إنتاج الأسماك وتربية الأحياء المائية</t>
  </si>
  <si>
    <t>${resp_agree} = '1' and (${income_main_fish_check}='1' or ${income_sec_fish_check}='1' or ${income_third_fish_check}='1')</t>
  </si>
  <si>
    <t>fish_intro</t>
  </si>
  <si>
    <t>We will now ask you some questions about fishing and aquaculture production which apply to you and anyone in your household that is involved in the capture, culture, processing or sales of fish.</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</si>
  <si>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</si>
  <si>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</si>
  <si>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</si>
  <si>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</si>
  <si>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</si>
  <si>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</si>
  <si>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</si>
  <si>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[capture fishery] in the last 3 months [or last harvest] compare to the same period [harvest] last year?</t>
  </si>
  <si>
    <t>كيف يتم صيد الأسماك [الصيد] في الأشهر الثلاثة الماضية [أو آخر حصاد] مقارنة بنفس الفترة [الحصاد] في العام الماضي؟</t>
  </si>
  <si>
    <t>fish_proddif</t>
  </si>
  <si>
    <t>Has your household faced any significant difficulty with fish catch and/or harvest in the last 3 months?</t>
  </si>
  <si>
    <t>هل واجهت أسرتك أي صعوبة في صيد الأسماك و / أو حصادها في الأشهر الثلاثة الماضية؟</t>
  </si>
  <si>
    <t>select_multiple fishproddiff</t>
  </si>
  <si>
    <t>fish_proddif_</t>
  </si>
  <si>
    <t>Which difficulties has your household faced with fish catch and/or harvest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</si>
  <si>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</si>
  <si>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</si>
  <si>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</si>
  <si>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</si>
  <si>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</si>
  <si>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</si>
  <si>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</si>
  <si>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</si>
  <si>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</si>
  <si>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</si>
  <si>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</si>
  <si>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</si>
  <si>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</si>
  <si>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</si>
  <si>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</si>
  <si>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</si>
  <si>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</si>
  <si>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product sold by your household in the last 3 months?</t>
  </si>
  <si>
    <t>ما هو المنتج السمكي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</si>
  <si>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</si>
  <si>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</si>
  <si>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</si>
  <si>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</si>
  <si>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</si>
  <si>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</si>
  <si>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</si>
  <si>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</si>
  <si>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</si>
  <si>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</si>
  <si>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</si>
  <si>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</si>
  <si>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</si>
  <si>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</si>
  <si>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</si>
  <si>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</si>
  <si>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</si>
  <si>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</si>
  <si>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</si>
  <si>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</si>
  <si>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</si>
  <si>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</si>
  <si>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</si>
  <si>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</si>
  <si>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</si>
  <si>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</si>
  <si>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</si>
  <si>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</si>
  <si>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</si>
  <si>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</si>
  <si>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</si>
  <si>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</si>
  <si>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</si>
  <si>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</si>
  <si>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</si>
  <si>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</si>
  <si>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</si>
  <si>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</si>
  <si>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</si>
  <si>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</si>
  <si>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</si>
  <si>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</si>
  <si>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</si>
  <si>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</si>
  <si>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</si>
  <si>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</si>
  <si>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</si>
  <si>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</si>
  <si>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</si>
  <si>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</si>
  <si>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</si>
  <si>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</si>
  <si>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</si>
  <si>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</si>
  <si>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</si>
  <si>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</si>
  <si>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</si>
  <si>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</si>
  <si>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</si>
  <si>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</si>
  <si>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</si>
  <si>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</si>
  <si>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</si>
  <si>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</si>
  <si>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</si>
  <si>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</si>
  <si>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</si>
  <si>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</si>
  <si>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</si>
  <si>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</si>
  <si>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</si>
  <si>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</si>
  <si>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</si>
  <si>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</si>
  <si>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</si>
  <si>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</si>
  <si>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</si>
  <si>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</si>
  <si>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</si>
  <si>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</si>
  <si>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</si>
  <si>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</si>
  <si>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</si>
  <si>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</si>
  <si>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</si>
  <si>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</si>
  <si>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</si>
  <si>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</si>
  <si>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</si>
  <si>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</si>
  <si>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</si>
  <si>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</si>
  <si>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cs_emergency_sold_last_female</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</si>
  <si>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</si>
  <si>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</si>
  <si>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</si>
  <si>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</si>
  <si>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</si>
  <si>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</si>
  <si>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</si>
  <si>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</si>
  <si>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</si>
  <si>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</si>
  <si>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</si>
  <si>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</si>
  <si>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</si>
  <si>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</si>
  <si>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</si>
  <si>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</si>
  <si>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</si>
  <si>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</si>
  <si>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</si>
  <si>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</si>
  <si>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</si>
  <si>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</si>
  <si>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</si>
  <si>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</si>
  <si>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</si>
  <si>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</si>
  <si>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</si>
  <si>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</si>
  <si>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</si>
  <si>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</si>
  <si>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</si>
  <si>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</si>
  <si>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</si>
  <si>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</si>
  <si>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t>fcs_fruit_days</t>
  </si>
  <si>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</si>
  <si>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</si>
  <si>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</si>
  <si>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</si>
  <si>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</si>
  <si>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</si>
  <si>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</si>
  <si>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</si>
  <si>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</si>
  <si>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</si>
  <si>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</si>
  <si>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</si>
  <si>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</si>
  <si>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</si>
  <si>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</si>
  <si>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</si>
  <si>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</si>
  <si>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</si>
  <si>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</si>
  <si>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</si>
  <si>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</si>
  <si>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</si>
  <si>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</si>
  <si>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</si>
  <si>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</si>
  <si>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</si>
  <si>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</si>
  <si>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</si>
  <si>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</si>
  <si>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</si>
  <si>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</si>
  <si>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</si>
  <si>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</si>
  <si>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</si>
  <si>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</si>
  <si>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</si>
  <si>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</si>
  <si>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</si>
  <si>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</si>
  <si>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</si>
  <si>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</si>
  <si>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</si>
  <si>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</si>
  <si>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</si>
  <si>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</si>
  <si>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</si>
  <si>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</si>
  <si>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</si>
  <si>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</si>
  <si>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</si>
  <si>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</si>
  <si>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</si>
  <si>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</si>
  <si>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</si>
  <si>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</si>
  <si>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</si>
  <si>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</si>
  <si>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</si>
  <si>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</si>
  <si>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</si>
  <si>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</si>
  <si>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</si>
  <si>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</si>
  <si>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</si>
  <si>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</si>
  <si>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</si>
  <si>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</si>
  <si>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</si>
  <si>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</si>
  <si>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</si>
  <si>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</si>
  <si>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</si>
  <si>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</si>
  <si>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</si>
  <si>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</si>
  <si>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</si>
  <si>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</si>
  <si>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</si>
  <si>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</si>
  <si>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</si>
  <si>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${callback} = '1'</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</si>
  <si>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</si>
  <si>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</si>
  <si>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</si>
  <si>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يوم (أيام)</t>
    </r>
    <r>
      <rPr>
        <sz val="11"/>
        <color theme="6" tint="-0.499984740745262"/>
        <rFont val="Calibri"/>
        <family val="2"/>
        <scheme val="minor"/>
      </rPr>
      <t xml:space="preserve"> يمكنني الاتصال بك؟</t>
    </r>
  </si>
  <si>
    <t>[INSTRUCTIONS: MULTIPLE ANSWERS POSSIBLE.]</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</si>
  <si>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</si>
  <si>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</si>
  <si>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</si>
  <si>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وقت (أوقات)</t>
    </r>
    <r>
      <rPr>
        <sz val="11"/>
        <color theme="6" tint="-0.499984740745262"/>
        <rFont val="Calibri"/>
        <family val="2"/>
        <scheme val="minor"/>
      </rPr>
      <t xml:space="preserve"> يمكنني الاتصال بك؟</t>
    </r>
  </si>
  <si>
    <t>select_one language</t>
  </si>
  <si>
    <t>language2</t>
  </si>
  <si>
    <t xml:space="preserve">Select the language that was mostly used to complete the interview. </t>
  </si>
  <si>
    <t>حدد اللغة التي تم استخدامها في الغالب لإكمال المقابلة.</t>
  </si>
  <si>
    <t>closeout</t>
  </si>
  <si>
    <r>
      <t>Thank you for your time. The interview has come to an end.</t>
    </r>
    <r>
      <rPr>
        <sz val="11"/>
        <color rgb="FF7030A0"/>
        <rFont val="Calibri"/>
        <family val="2"/>
        <scheme val="minor"/>
      </rPr>
      <t xml:space="preserve"> </t>
    </r>
  </si>
  <si>
    <t>شكرا لك على وقتك. انتهت المقابلة.</t>
  </si>
  <si>
    <t>time</t>
  </si>
  <si>
    <t>Interview_End_Time</t>
  </si>
  <si>
    <t>Interview End Time</t>
  </si>
  <si>
    <t>وقت انتهاء المقابلة</t>
  </si>
  <si>
    <t>enum_notes</t>
  </si>
  <si>
    <t>Enter any notes or feedback from this survey:</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</si>
  <si>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</si>
  <si>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</si>
  <si>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</si>
  <si>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</si>
  <si>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</si>
  <si>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</si>
  <si>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</si>
  <si>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yes_no</t>
  </si>
  <si>
    <t>Yes</t>
  </si>
  <si>
    <t>نعم</t>
  </si>
  <si>
    <t>No</t>
  </si>
  <si>
    <t>لا</t>
  </si>
  <si>
    <t>DON'T KNOW</t>
  </si>
  <si>
    <t>لا أعرف</t>
  </si>
  <si>
    <t>REFUSED</t>
  </si>
  <si>
    <t>رفض الإجابة</t>
  </si>
  <si>
    <t>continue</t>
  </si>
  <si>
    <t>تابع</t>
  </si>
  <si>
    <t>yesno</t>
  </si>
  <si>
    <t>language</t>
  </si>
  <si>
    <t>ar</t>
  </si>
  <si>
    <t>Arabic</t>
  </si>
  <si>
    <t>العربية</t>
  </si>
  <si>
    <t>gender</t>
  </si>
  <si>
    <t>Male</t>
  </si>
  <si>
    <t>ذكر</t>
  </si>
  <si>
    <t>Female</t>
  </si>
  <si>
    <t>أنثى</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</si>
  <si>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</si>
  <si>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</si>
  <si>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</si>
  <si>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</si>
  <si>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</si>
  <si>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</si>
  <si>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</si>
  <si>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</si>
  <si>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</si>
  <si>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</si>
  <si>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</si>
  <si>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</si>
  <si>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</si>
  <si>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</si>
  <si>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</si>
  <si>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</si>
  <si>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</si>
  <si>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</si>
  <si>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</si>
  <si>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</si>
  <si>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</si>
  <si>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</si>
  <si>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</si>
  <si>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</si>
  <si>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</si>
  <si>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</si>
  <si>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</si>
  <si>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</si>
  <si>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</si>
  <si>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</si>
  <si>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</si>
  <si>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</si>
  <si>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</si>
  <si>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</si>
  <si>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</si>
  <si>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</si>
  <si>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</si>
  <si>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</si>
  <si>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</si>
  <si>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other</t>
  </si>
  <si>
    <t>none</t>
  </si>
  <si>
    <t>dk</t>
  </si>
  <si>
    <t>ref</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</si>
  <si>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</si>
  <si>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</si>
  <si>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</si>
  <si>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</si>
  <si>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</si>
  <si>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</si>
  <si>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</si>
  <si>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and livestock products </t>
  </si>
  <si>
    <t>إنتاج وبيع المواشي ومنتجاتها</t>
  </si>
  <si>
    <t>Production and sale of honey and bee products</t>
  </si>
  <si>
    <t xml:space="preserve">انتاج و بيع العسل أو منتجات النحل </t>
  </si>
  <si>
    <t xml:space="preserve">Production and sale of fish </t>
  </si>
  <si>
    <t>إنتاج وبيع الأسماك</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</si>
  <si>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</si>
  <si>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</si>
  <si>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</si>
  <si>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</si>
  <si>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</si>
  <si>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</si>
  <si>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</si>
  <si>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</si>
  <si>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</si>
  <si>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</si>
  <si>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</si>
  <si>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</si>
  <si>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</si>
  <si>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</si>
  <si>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</si>
  <si>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</si>
  <si>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</si>
  <si>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</si>
  <si>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</si>
  <si>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</si>
  <si>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</si>
  <si>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</si>
  <si>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</si>
  <si>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</si>
  <si>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</si>
  <si>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</si>
  <si>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</si>
  <si>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</si>
  <si>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</si>
  <si>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</si>
  <si>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</si>
  <si>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</si>
  <si>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</si>
  <si>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</si>
  <si>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</si>
  <si>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</si>
  <si>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</si>
  <si>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</si>
  <si>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</si>
  <si>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</si>
  <si>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</si>
  <si>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</si>
  <si>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</si>
  <si>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</si>
  <si>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</si>
  <si>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</si>
  <si>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</si>
  <si>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</si>
  <si>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</si>
  <si>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</si>
  <si>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</si>
  <si>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</si>
  <si>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</si>
  <si>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</si>
  <si>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</si>
  <si>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</si>
  <si>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</si>
  <si>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</si>
  <si>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</si>
  <si>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</si>
  <si>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</si>
  <si>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</si>
  <si>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</si>
  <si>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</si>
  <si>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</si>
  <si>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</si>
  <si>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</si>
  <si>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</si>
  <si>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</si>
  <si>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</si>
  <si>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</si>
  <si>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l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</si>
  <si>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</si>
  <si>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</si>
  <si>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</si>
  <si>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</si>
  <si>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</si>
  <si>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</si>
  <si>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</si>
  <si>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</si>
  <si>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</si>
  <si>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</si>
  <si>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</si>
  <si>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</si>
  <si>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</si>
  <si>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</si>
  <si>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</si>
  <si>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</si>
  <si>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</si>
  <si>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</si>
  <si>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</si>
  <si>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</si>
  <si>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</si>
  <si>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</si>
  <si>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</si>
  <si>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</si>
  <si>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</si>
  <si>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</si>
  <si>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</si>
  <si>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</si>
  <si>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</si>
  <si>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</si>
  <si>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</si>
  <si>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</si>
  <si>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</si>
  <si>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</si>
  <si>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</si>
  <si>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</si>
  <si>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</si>
  <si>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</si>
  <si>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</si>
  <si>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</si>
  <si>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</si>
  <si>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</si>
  <si>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</si>
  <si>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</si>
  <si>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</si>
  <si>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</si>
  <si>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</si>
  <si>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</si>
  <si>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</si>
  <si>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</si>
  <si>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</si>
  <si>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</si>
  <si>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</si>
  <si>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</si>
  <si>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</si>
  <si>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</si>
  <si>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</si>
  <si>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</si>
  <si>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Other [specify]</t>
  </si>
  <si>
    <t>آخر [حدد]</t>
  </si>
  <si>
    <t>landsize_unit</t>
  </si>
  <si>
    <t>Acres</t>
  </si>
  <si>
    <t>فدان</t>
  </si>
  <si>
    <t>Hectares</t>
  </si>
  <si>
    <t>هكتار</t>
  </si>
  <si>
    <t>Square meters</t>
  </si>
  <si>
    <t>متر مربع</t>
  </si>
  <si>
    <t>Square feet</t>
  </si>
  <si>
    <t>قدم مربع</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</si>
  <si>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</si>
  <si>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</si>
  <si>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</si>
  <si>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</si>
  <si>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</si>
  <si>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</si>
  <si>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</si>
  <si>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</si>
  <si>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</si>
  <si>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</si>
  <si>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</si>
  <si>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</si>
  <si>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</si>
  <si>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</si>
  <si>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</si>
  <si>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</si>
  <si>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</si>
  <si>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</si>
  <si>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</si>
  <si>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</si>
  <si>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</si>
  <si>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</si>
  <si>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</si>
  <si>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</si>
  <si>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</si>
  <si>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</si>
  <si>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</si>
  <si>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</si>
  <si>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</si>
  <si>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</si>
  <si>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</si>
  <si>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</si>
  <si>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</si>
  <si>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</si>
  <si>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</si>
  <si>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</si>
  <si>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</si>
  <si>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</si>
  <si>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</si>
  <si>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</si>
  <si>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</si>
  <si>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</si>
  <si>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</si>
  <si>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</si>
  <si>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</si>
  <si>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</si>
  <si>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</si>
  <si>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</si>
  <si>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</si>
  <si>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</si>
  <si>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</si>
  <si>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</si>
  <si>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</si>
  <si>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</si>
  <si>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</si>
  <si>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</si>
  <si>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</si>
  <si>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</si>
  <si>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</si>
  <si>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</si>
  <si>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</si>
  <si>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</si>
  <si>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</si>
  <si>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</si>
  <si>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</si>
  <si>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</si>
  <si>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</si>
  <si>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</si>
  <si>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</si>
  <si>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</si>
  <si>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</si>
  <si>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</si>
  <si>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</si>
  <si>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</si>
  <si>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</si>
  <si>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</si>
  <si>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</si>
  <si>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</si>
  <si>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</si>
  <si>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</si>
  <si>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</si>
  <si>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</si>
  <si>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</si>
  <si>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</si>
  <si>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</si>
  <si>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</si>
  <si>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</si>
  <si>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</si>
  <si>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</si>
  <si>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</si>
  <si>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</si>
  <si>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</si>
  <si>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</si>
  <si>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</si>
  <si>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</si>
  <si>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</si>
  <si>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</si>
  <si>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</si>
  <si>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</si>
  <si>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</si>
  <si>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</si>
  <si>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</si>
  <si>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</si>
  <si>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</si>
  <si>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</si>
  <si>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</si>
  <si>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</si>
  <si>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</si>
  <si>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</si>
  <si>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</si>
  <si>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</si>
  <si>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</si>
  <si>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</si>
  <si>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</si>
  <si>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</si>
  <si>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</si>
  <si>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</si>
  <si>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</si>
  <si>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</si>
  <si>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</si>
  <si>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</si>
  <si>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</si>
  <si>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</si>
  <si>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</si>
  <si>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</si>
  <si>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</si>
  <si>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</si>
  <si>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</si>
  <si>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</si>
  <si>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</si>
  <si>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</si>
  <si>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</si>
  <si>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</si>
  <si>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</si>
  <si>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</si>
  <si>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</si>
  <si>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</si>
  <si>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</si>
  <si>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</si>
  <si>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</si>
  <si>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</si>
  <si>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</si>
  <si>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</si>
  <si>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</si>
  <si>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</si>
  <si>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</si>
  <si>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</si>
  <si>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</si>
  <si>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</si>
  <si>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</si>
  <si>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</si>
  <si>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</si>
  <si>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</si>
  <si>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</si>
  <si>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</si>
  <si>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</si>
  <si>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</si>
  <si>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</si>
  <si>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</si>
  <si>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</si>
  <si>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</si>
  <si>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</si>
  <si>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</si>
  <si>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</si>
  <si>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</si>
  <si>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</si>
  <si>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</si>
  <si>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</si>
  <si>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</si>
  <si>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</si>
  <si>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</si>
  <si>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</si>
  <si>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</si>
  <si>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</si>
  <si>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</si>
  <si>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</si>
  <si>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</si>
  <si>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</si>
  <si>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</si>
  <si>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</si>
  <si>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</si>
  <si>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</si>
  <si>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</si>
  <si>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</si>
  <si>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</si>
  <si>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</si>
  <si>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</si>
  <si>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</si>
  <si>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</si>
  <si>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</si>
  <si>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</si>
  <si>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</si>
  <si>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</si>
  <si>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</si>
  <si>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</si>
  <si>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</si>
  <si>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</si>
  <si>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</si>
  <si>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</si>
  <si>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</si>
  <si>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</si>
  <si>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</si>
  <si>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</si>
  <si>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</si>
  <si>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</si>
  <si>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</si>
  <si>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</si>
  <si>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</si>
  <si>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</si>
  <si>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</si>
  <si>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</si>
  <si>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</si>
  <si>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</si>
  <si>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</si>
  <si>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</si>
  <si>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</si>
  <si>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</si>
  <si>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</si>
  <si>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</si>
  <si>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</si>
  <si>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</si>
  <si>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</si>
  <si>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</si>
  <si>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</si>
  <si>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</si>
  <si>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</si>
  <si>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</si>
  <si>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</si>
  <si>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</si>
  <si>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</si>
  <si>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</si>
  <si>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</si>
  <si>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</si>
  <si>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</si>
  <si>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</si>
  <si>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</si>
  <si>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</si>
  <si>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</si>
  <si>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</si>
  <si>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</si>
  <si>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</si>
  <si>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</si>
  <si>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</si>
  <si>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</si>
  <si>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</si>
  <si>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</si>
  <si>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</si>
  <si>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</si>
  <si>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</si>
  <si>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</si>
  <si>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</si>
  <si>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</si>
  <si>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</si>
  <si>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</si>
  <si>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</si>
  <si>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</si>
  <si>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</si>
  <si>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</si>
  <si>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</si>
  <si>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</si>
  <si>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</si>
  <si>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</si>
  <si>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</si>
  <si>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</si>
  <si>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</si>
  <si>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</si>
  <si>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</si>
  <si>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</si>
  <si>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</si>
  <si>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</si>
  <si>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</si>
  <si>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</si>
  <si>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</si>
  <si>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</si>
  <si>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</si>
  <si>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</si>
  <si>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</si>
  <si>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</si>
  <si>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</si>
  <si>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</si>
  <si>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</si>
  <si>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</si>
  <si>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</si>
  <si>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</si>
  <si>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</si>
  <si>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</si>
  <si>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</si>
  <si>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</si>
  <si>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</si>
  <si>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</si>
  <si>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</si>
  <si>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</si>
  <si>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</si>
  <si>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</si>
  <si>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</si>
  <si>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</si>
  <si>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</si>
  <si>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</si>
  <si>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</si>
  <si>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</si>
  <si>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</si>
  <si>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fish [any kind, including invertebrates]</t>
  </si>
  <si>
    <t>السمك الطازج [أي نوع بما في ذلك اللافقاريات]</t>
  </si>
  <si>
    <t>Preserved fish [including dry fish, smoked fish, fermented fish, salt fish]</t>
  </si>
  <si>
    <t>الاسماك المحفوظة [بما في ذلك الاسماك الجافة / الاسماك المدخنة / الاسماك المملحة]</t>
  </si>
  <si>
    <t>Frozen fish</t>
  </si>
  <si>
    <t>الاسماك المجمدة</t>
  </si>
  <si>
    <t>Canned fish</t>
  </si>
  <si>
    <t>الاسماك المعلبة</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</si>
  <si>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</si>
  <si>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</si>
  <si>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</si>
  <si>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</si>
  <si>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</si>
  <si>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</si>
  <si>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</si>
  <si>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</si>
  <si>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</si>
  <si>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</si>
  <si>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</si>
  <si>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</si>
  <si>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</si>
  <si>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</si>
  <si>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</si>
  <si>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</si>
  <si>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</si>
  <si>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</si>
  <si>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</si>
  <si>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</si>
  <si>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</si>
  <si>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</si>
  <si>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</si>
  <si>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</si>
  <si>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</si>
  <si>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</si>
  <si>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</si>
  <si>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</si>
  <si>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rootstubers</t>
  </si>
  <si>
    <t>vegetables</t>
  </si>
  <si>
    <t>Vegetables [all]</t>
  </si>
  <si>
    <t>الخضار [الكل]</t>
  </si>
  <si>
    <t>fruits</t>
  </si>
  <si>
    <t>Fruit [all]</t>
  </si>
  <si>
    <t>الفواكه [الكل]</t>
  </si>
  <si>
    <t>meat</t>
  </si>
  <si>
    <t>eggs</t>
  </si>
  <si>
    <t>fish</t>
  </si>
  <si>
    <t>legumes</t>
  </si>
  <si>
    <t>milkdairy</t>
  </si>
  <si>
    <t>oils</t>
  </si>
  <si>
    <t>Oil/fat / butter [cooking / butter / margarine / fat/oil / other oil]</t>
  </si>
  <si>
    <t>الزيوت والدهون [ الزبدة / المارجرين / الدهون / الزيت / الزيوت الأخرى]</t>
  </si>
  <si>
    <t>sugar</t>
  </si>
  <si>
    <t>condiments</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</si>
  <si>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</si>
  <si>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</si>
  <si>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</si>
  <si>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</si>
  <si>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</si>
  <si>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</si>
  <si>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</si>
  <si>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</si>
  <si>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</si>
  <si>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</si>
  <si>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</si>
  <si>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</si>
  <si>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</si>
  <si>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</si>
  <si>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</si>
  <si>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</si>
  <si>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</si>
  <si>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</si>
  <si>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</si>
  <si>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</si>
  <si>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</si>
  <si>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</si>
  <si>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</si>
  <si>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</si>
  <si>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</si>
  <si>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</si>
  <si>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</si>
  <si>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</si>
  <si>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</si>
  <si>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</si>
  <si>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</si>
  <si>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</si>
  <si>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</si>
  <si>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</si>
  <si>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</si>
  <si>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</si>
  <si>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</si>
  <si>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</si>
  <si>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</si>
  <si>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</si>
  <si>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</si>
  <si>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</si>
  <si>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</si>
  <si>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</si>
  <si>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</si>
  <si>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</si>
  <si>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</si>
  <si>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</si>
  <si>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</si>
  <si>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</si>
  <si>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</si>
  <si>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</si>
  <si>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</si>
  <si>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</si>
  <si>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</si>
  <si>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</si>
  <si>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</si>
  <si>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</si>
  <si>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</si>
  <si>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</si>
  <si>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</si>
  <si>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</si>
  <si>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</si>
  <si>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</si>
  <si>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</si>
  <si>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</si>
  <si>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</si>
  <si>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</si>
  <si>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</si>
  <si>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</si>
  <si>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</si>
  <si>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</si>
  <si>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</si>
  <si>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</si>
  <si>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</si>
  <si>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</si>
  <si>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</si>
  <si>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</si>
  <si>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</si>
  <si>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</si>
  <si>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</si>
  <si>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</si>
  <si>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</si>
  <si>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</si>
  <si>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</si>
  <si>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</si>
  <si>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</si>
  <si>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</si>
  <si>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</si>
  <si>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</si>
  <si>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</si>
  <si>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</si>
  <si>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</si>
  <si>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</si>
  <si>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</si>
  <si>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</si>
  <si>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</si>
  <si>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</si>
  <si>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</si>
  <si>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</si>
  <si>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</si>
  <si>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</si>
  <si>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</si>
  <si>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</si>
  <si>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</si>
  <si>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</si>
  <si>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</si>
  <si>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</si>
  <si>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</si>
  <si>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</si>
  <si>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</si>
  <si>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</si>
  <si>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</si>
  <si>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</si>
  <si>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</si>
  <si>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</si>
  <si>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</si>
  <si>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</si>
  <si>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</si>
  <si>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</si>
  <si>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</si>
  <si>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</si>
  <si>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</si>
  <si>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</si>
  <si>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</si>
  <si>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version</t>
  </si>
  <si>
    <t>default_language</t>
  </si>
  <si>
    <t>allow_choice_duplicates</t>
  </si>
  <si>
    <t>style</t>
  </si>
  <si>
    <t>vM6cWXyHNhR3djPbARkHWi</t>
  </si>
  <si>
    <t>Arabic (ar)</t>
  </si>
  <si>
    <t>theme-grid no-text-transform</t>
  </si>
  <si>
    <t xml:space="preserve">Select top 10 crops </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</si>
  <si>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</si>
  <si>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</si>
  <si>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</si>
  <si>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</si>
  <si>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</si>
  <si>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</si>
  <si>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</si>
  <si>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</si>
  <si>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</si>
  <si>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</si>
  <si>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</si>
  <si>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</si>
  <si>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</si>
  <si>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</si>
  <si>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</si>
  <si>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</si>
  <si>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</si>
  <si>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</si>
  <si>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</si>
  <si>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</si>
  <si>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</si>
  <si>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</si>
  <si>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</si>
  <si>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</si>
  <si>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</si>
  <si>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</si>
  <si>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</si>
  <si>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</si>
  <si>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</si>
  <si>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</si>
  <si>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</si>
  <si>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</si>
  <si>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</si>
  <si>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</si>
  <si>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</si>
  <si>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</si>
  <si>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</si>
  <si>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</si>
  <si>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</si>
  <si>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</si>
  <si>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</si>
  <si>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</si>
  <si>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</si>
  <si>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</si>
  <si>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</si>
  <si>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</si>
  <si>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</si>
  <si>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</si>
  <si>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</si>
  <si>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</si>
  <si>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</si>
  <si>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</si>
  <si>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</si>
  <si>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</si>
  <si>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</si>
  <si>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</si>
  <si>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</si>
  <si>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</si>
  <si>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</si>
  <si>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</si>
  <si>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</si>
  <si>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</si>
  <si>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</si>
  <si>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</si>
  <si>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</si>
  <si>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</si>
  <si>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</si>
  <si>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</si>
  <si>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</si>
  <si>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</si>
  <si>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</si>
  <si>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</si>
  <si>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</si>
  <si>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</si>
  <si>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</si>
  <si>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</si>
  <si>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</si>
  <si>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</si>
  <si>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</si>
  <si>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</si>
  <si>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</si>
  <si>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</si>
  <si>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</si>
  <si>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</si>
  <si>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</si>
  <si>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</si>
  <si>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</si>
  <si>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</si>
  <si>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</si>
  <si>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</si>
  <si>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</si>
  <si>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</si>
  <si>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</si>
  <si>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</si>
  <si>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</si>
  <si>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</si>
  <si>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</si>
  <si>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</si>
  <si>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</si>
  <si>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</si>
  <si>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</si>
  <si>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</si>
  <si>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</si>
  <si>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</si>
  <si>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</si>
  <si>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</si>
  <si>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</si>
  <si>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</si>
  <si>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</si>
  <si>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</si>
  <si>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</si>
  <si>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</si>
  <si>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</si>
  <si>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</si>
  <si>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</si>
  <si>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</si>
  <si>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</si>
  <si>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</si>
  <si>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</si>
  <si>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</si>
  <si>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</si>
  <si>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</si>
  <si>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</si>
  <si>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</si>
  <si>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</si>
  <si>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</si>
  <si>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</si>
  <si>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</si>
  <si>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</si>
  <si>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</si>
  <si>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</si>
  <si>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</si>
  <si>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</si>
  <si>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</si>
  <si>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</si>
  <si>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</si>
  <si>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</si>
  <si>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</si>
  <si>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</si>
  <si>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</si>
  <si>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</si>
  <si>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</si>
  <si>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</si>
  <si>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</si>
  <si>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</si>
  <si>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</si>
  <si>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</si>
  <si>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</si>
  <si>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</si>
  <si>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</si>
  <si>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</si>
  <si>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</si>
  <si>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</si>
  <si>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</si>
  <si>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</si>
  <si>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</si>
  <si>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</si>
  <si>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</si>
  <si>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</si>
  <si>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</si>
  <si>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</si>
  <si>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</si>
  <si>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</si>
  <si>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</si>
  <si>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</si>
  <si>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</si>
  <si>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</si>
  <si>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</si>
  <si>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</si>
  <si>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</si>
  <si>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</si>
  <si>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</si>
  <si>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</si>
  <si>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</si>
  <si>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</si>
  <si>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</si>
  <si>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</si>
  <si>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</si>
  <si>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</si>
  <si>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</si>
  <si>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</si>
  <si>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</si>
  <si>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</si>
  <si>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</si>
  <si>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</si>
  <si>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</si>
  <si>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</si>
  <si>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</si>
  <si>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</si>
  <si>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</si>
  <si>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</si>
  <si>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</si>
  <si>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</si>
  <si>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</si>
  <si>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</si>
  <si>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</si>
  <si>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</si>
  <si>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</si>
  <si>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</si>
  <si>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</si>
  <si>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</si>
  <si>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</si>
  <si>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</si>
  <si>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</si>
  <si>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</si>
  <si>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</si>
  <si>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</si>
  <si>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</si>
  <si>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</si>
  <si>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</si>
  <si>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</si>
  <si>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</si>
  <si>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</si>
  <si>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</si>
  <si>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</si>
  <si>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</si>
  <si>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</si>
  <si>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</si>
  <si>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</si>
  <si>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</si>
  <si>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</si>
  <si>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</si>
  <si>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</si>
  <si>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</si>
  <si>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</si>
  <si>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</si>
  <si>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</si>
  <si>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</si>
  <si>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</si>
  <si>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</si>
  <si>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</si>
  <si>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</si>
  <si>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</si>
  <si>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</si>
  <si>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</si>
  <si>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</si>
  <si>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</si>
  <si>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</si>
  <si>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</si>
  <si>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</si>
  <si>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</si>
  <si>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</si>
  <si>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</si>
  <si>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</si>
  <si>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</si>
  <si>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</si>
  <si>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</si>
  <si>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</si>
  <si>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</si>
  <si>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</si>
  <si>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</si>
  <si>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</si>
  <si>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</si>
  <si>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</si>
  <si>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</si>
  <si>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</si>
  <si>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</si>
  <si>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</si>
  <si>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</si>
  <si>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</si>
  <si>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</si>
  <si>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</si>
  <si>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</si>
  <si>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</si>
  <si>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</si>
  <si>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</si>
  <si>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</si>
  <si>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</si>
  <si>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</si>
  <si>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</si>
  <si>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</si>
  <si>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</si>
  <si>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</si>
  <si>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Replacement (EN)</t>
  </si>
  <si>
    <t>Comment (AR)</t>
  </si>
  <si>
    <t>Comment (EN)</t>
  </si>
  <si>
    <t>Exemple (AR)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</si>
  <si>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</si>
  <si>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</si>
  <si>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</si>
  <si>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r>
      <t>اكتب رقم هاتف من بلدك بالتنسيق المعتاد ، على سبيل المثال ******٧٧  [من فضلك استخدم بالضبط عدد الأحرف الموجودة في رقم الهاتف].</t>
    </r>
    <r>
      <rPr>
        <b/>
        <sz val="11"/>
        <color rgb="FF000000"/>
        <rFont val="Calibri"/>
        <family val="2"/>
        <scheme val="minor"/>
      </rPr>
      <t xml:space="preserve"> يرجى إدخال الأرقام في الأبجدية اللاتينية (...3, 2, 1). </t>
    </r>
  </si>
  <si>
    <r>
      <t xml:space="preserve">Type a phone number from your country in typical format, e.g. 77******* [please use exactly the number of characters that are found in a phone number]. </t>
    </r>
    <r>
      <rPr>
        <b/>
        <sz val="11"/>
        <rFont val="Calibri"/>
        <family val="2"/>
      </rPr>
      <t>Only digits in Latin numbers should be inputted.</t>
    </r>
  </si>
  <si>
    <t>070******</t>
  </si>
  <si>
    <t>age</t>
  </si>
  <si>
    <r>
      <t xml:space="preserve">الحد الأدنى لسن المجيب (يفضل أن يكون عمره 18 عامًا على الأقل). </t>
    </r>
    <r>
      <rPr>
        <b/>
        <sz val="11"/>
        <color rgb="FF000000"/>
        <rFont val="Calibri"/>
        <family val="2"/>
      </rPr>
      <t xml:space="preserve"> يرجى إدخال الأرقام في الأبجدية اللاتينية (...3, 2, 1). </t>
    </r>
  </si>
  <si>
    <r>
      <t xml:space="preserve">Minimum age of respondent (recommend 18 years old). </t>
    </r>
    <r>
      <rPr>
        <b/>
        <sz val="11"/>
        <color rgb="FF000000"/>
        <rFont val="Calibri"/>
        <family val="2"/>
      </rPr>
      <t>Only digits in Latin numbers should be inputted.</t>
    </r>
  </si>
  <si>
    <t>ADMIN1</t>
  </si>
  <si>
    <r>
      <t xml:space="preserve">التقسيم الأول للبلاد ، بعد المستوى الوطني ؛ منطقة؛ محافظة؛ ولاية ؛ إلخ. </t>
    </r>
    <r>
      <rPr>
        <b/>
        <sz val="11"/>
        <color rgb="FF000000"/>
        <rFont val="Calibri"/>
        <family val="2"/>
      </rPr>
      <t>يجب إدخال كلمة واحدة فقط - لا تقم بتضمين مسافات.</t>
    </r>
  </si>
  <si>
    <r>
      <t xml:space="preserve">The first subdivision of the country, after national level; region; province; governorate; etc. </t>
    </r>
    <r>
      <rPr>
        <b/>
        <sz val="11"/>
        <color rgb="FF000000"/>
        <rFont val="Calibri"/>
        <family val="2"/>
      </rPr>
      <t>Only one word should be inputted - Do not include spaces.</t>
    </r>
  </si>
  <si>
    <t>منطقة</t>
  </si>
  <si>
    <t>region</t>
  </si>
  <si>
    <t>ADMIN2</t>
  </si>
  <si>
    <r>
      <t>التقسيم الثاني للبلاد ؛ قضاء؛ بلدية؛ إلخ.</t>
    </r>
    <r>
      <rPr>
        <b/>
        <sz val="11"/>
        <color rgb="FF000000"/>
        <rFont val="Calibri"/>
        <family val="2"/>
      </rPr>
      <t xml:space="preserve"> يجب إدخال كلمة واحدة فقط - لا تقم بتضمين مسافات.</t>
    </r>
  </si>
  <si>
    <r>
      <t xml:space="preserve">The second subdivision of the country; district; municipality; LGA; etc. </t>
    </r>
    <r>
      <rPr>
        <b/>
        <sz val="11"/>
        <color rgb="FF000000"/>
        <rFont val="Calibri"/>
        <family val="2"/>
      </rPr>
      <t>Only one word should be inputted - Do not include spaces.</t>
    </r>
  </si>
  <si>
    <t>قضاء</t>
  </si>
  <si>
    <t>district</t>
  </si>
  <si>
    <t>reference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</si>
  <si>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</si>
  <si>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</si>
  <si>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</si>
  <si>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</si>
  <si>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</si>
  <si>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</si>
  <si>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</si>
  <si>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</si>
  <si>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</si>
  <si>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</si>
  <si>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r>
      <t xml:space="preserve">حدد مرحلة الموسم </t>
    </r>
    <r>
      <rPr>
        <b/>
        <sz val="11"/>
        <rFont val="Calibri"/>
        <family val="2"/>
      </rPr>
      <t>في وقت جمع البيانات</t>
    </r>
    <r>
      <rPr>
        <sz val="11"/>
        <rFont val="Calibri"/>
        <family val="2"/>
      </rPr>
      <t>.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</si>
  <si>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</si>
  <si>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الحصاد</t>
  </si>
  <si>
    <t>Harvesting</t>
  </si>
  <si>
    <t>local measurement unit</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</si>
  <si>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</si>
  <si>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</si>
  <si>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جريب</t>
  </si>
  <si>
    <t>Jeribs</t>
  </si>
  <si>
    <t>local measurement unit conversion</t>
  </si>
  <si>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</si>
  <si>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</si>
  <si>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</si>
  <si>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</si>
  <si>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</si>
  <si>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</si>
  <si>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</si>
  <si>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</si>
  <si>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</si>
  <si>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</si>
  <si>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</si>
  <si>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t>THRESHOLD</t>
  </si>
  <si>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</si>
  <si>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</si>
  <si>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t>local vegetables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</si>
  <si>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</si>
  <si>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</si>
  <si>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</si>
  <si>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</si>
  <si>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local fruits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</si>
  <si>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</si>
  <si>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</si>
  <si>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</si>
  <si>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</si>
  <si>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r>
      <t xml:space="preserve">FILL OUT FOR QUESTIONNAIRE DURATION ESTIMATION    </t>
    </r>
    <r>
      <rPr>
        <sz val="12"/>
        <color theme="0"/>
        <rFont val="Calibri"/>
        <family val="2"/>
        <scheme val="minor"/>
      </rPr>
      <t>.</t>
    </r>
  </si>
  <si>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</si>
  <si>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</si>
  <si>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</si>
  <si>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</si>
  <si>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</si>
  <si>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</si>
  <si>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</si>
  <si>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</si>
  <si>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</si>
  <si>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o_enumerator_otherspecify</t>
  </si>
  <si>
    <t>إذا كانت الإجابة "غير ذلك"، حدد.</t>
  </si>
  <si>
    <t>[OPERATOR: RECORD THE OPEN RESPONSE GIVEN IN FEW WORDS. ENTER 888 FOR DON'T KNOW AND 999 FOR REFUSED]</t>
  </si>
  <si>
    <t>[المُشغل: سجل في بضع كلمات الاستجابة المفتوحة المعطاة . أدخل 888 للا أعرف و 999 في حالة الرفض.]</t>
  </si>
  <si>
    <t>selected(${enumerator}, 'other')</t>
  </si>
  <si>
    <t>phone_number</t>
  </si>
  <si>
    <t>Input the phone number that you are contacting:</t>
  </si>
  <si>
    <t>أدخل رقم الهاتف الذي تتصل به:</t>
  </si>
  <si>
    <t>use the format XXXXXXXX</t>
  </si>
  <si>
    <t>إستخدم التنسيق التالي  XXXXXXXX</t>
  </si>
  <si>
    <t>regex(.,’^[0-9]{8}$’)</t>
  </si>
  <si>
    <t>Please enter the telephone number in the correct format.</t>
  </si>
  <si>
    <t>o_HI</t>
  </si>
  <si>
    <t>Please insert the HI number</t>
  </si>
  <si>
    <t>الرجاء إدخال الرقم التسلسلي</t>
  </si>
  <si>
    <t>regex(.,’^[0-9]{1,4}$’)</t>
  </si>
  <si>
    <t>Please enter the HI number (at least one digit and maximum 4 digits)</t>
  </si>
  <si>
    <t>select_one calldispo</t>
  </si>
  <si>
    <t>calldispo</t>
  </si>
  <si>
    <t>Call status:</t>
  </si>
  <si>
    <t xml:space="preserve">حالة المكالمة: </t>
  </si>
  <si>
    <t>callstat</t>
  </si>
  <si>
    <t>${calldispo} = '1'</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</si>
  <si>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</si>
  <si>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</si>
  <si>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datetime</t>
  </si>
  <si>
    <t>WhenCallBack</t>
  </si>
  <si>
    <t>When would it be a good time to call you back?</t>
  </si>
  <si>
    <t>ما هو الوقت المناسب لمعاودة الاتصال بك؟</t>
  </si>
  <si>
    <t>[RECORD HH/MM/DD/MM OF CALLBACK]</t>
  </si>
  <si>
    <t>[سجل الساعة / الدقيقة / التاريخ / الشهر لمعاودة الاتصال]</t>
  </si>
  <si>
    <t>${resp_agree} = '3'</t>
  </si>
  <si>
    <t>CallbackMessageEN</t>
  </si>
  <si>
    <t>Thank you, we will call you back at the time and date requested. Thank you again and have a great day!</t>
  </si>
  <si>
    <t>شكرًا لك ، سنعاود الاتصال بك في الوقت والتاريخ اللذين اقترحتهما. شكرا لك مرة أخرى، طاب يومك!</t>
  </si>
  <si>
    <t>[OPERATOR: ENTER CALL NOTES BELOW, WHO YOU SPOKE TO AND WHAT THEY SAID]</t>
  </si>
  <si>
    <t>[المُشغل: أدخل الملاحظات من المكالمة أدناه ، مع من تحدثت وماذا قالوا]</t>
  </si>
  <si>
    <t>select_multiple sustainable_agripractices</t>
  </si>
  <si>
    <t>o_sustainable_agripractices</t>
  </si>
  <si>
    <t>What type of agricultural practices is your household using?</t>
  </si>
  <si>
    <t>ما نوع الممارسات الزراعية التي تعتمدها أسرتك؟</t>
  </si>
  <si>
    <t xml:space="preserve">[INSTRUCTIONS: MULTIPLE RESPONSES POSSIBLE. SELECT OPTION(S) THAT BEST FIT THE INFORMATION PROVIDED BY THE RESPONDENTS.] </t>
  </si>
  <si>
    <t>[المُشغل: عدة استجابات محتملة. حدد الخيار (الخيارات) الأنسب للمعلومات .المقدمة من المجيب.]).</t>
  </si>
  <si>
    <t>${hh_agricactivity}='1' or ${hh_agricactivity}='2' or ${hh_agricactivity}='3'</t>
  </si>
  <si>
    <t>o_cooperative_association</t>
  </si>
  <si>
    <t>Are you a member of an agricultural cooperative and/or association?</t>
  </si>
  <si>
    <t>هل أنت عضو في تعاونية و / أو جمعية زراعية؟</t>
  </si>
  <si>
    <t>[OPERATOR: SINGLE RESPONSE.]</t>
  </si>
  <si>
    <t>[المشغل: استجابة واحدة.]</t>
  </si>
  <si>
    <t>o_hh_agrigender</t>
  </si>
  <si>
    <t>Are females of the household also engaged in the agricultural-related activities of the household?</t>
  </si>
  <si>
    <t>هل تعمل نساء الأسرة أيضًا في الانشطة الزراعية؟</t>
  </si>
  <si>
    <t>select_multiple femaleagricactivity</t>
  </si>
  <si>
    <t>o_femaleagricactivity</t>
  </si>
  <si>
    <t>What types of agricultural activities are females contributing
to in the agricultural household?</t>
  </si>
  <si>
    <t xml:space="preserve"> ما هي أنواع الأنشطة الزراعية التي تساهم بها النساء في اسرتك الزراعية؟</t>
  </si>
  <si>
    <t>[المُشغل: عدة استجابات محتملة. حدد الخيار (الخيارات) الأنسب للمعلومات المقدمة من المجيب.]</t>
  </si>
  <si>
    <t xml:space="preserve">${o_hh_agrigender} = 1 </t>
  </si>
  <si>
    <t>o_femaleagricactivity_otherspecify</t>
  </si>
  <si>
    <t xml:space="preserve">selected(${o_femaleagricactivity}, 'other') </t>
  </si>
  <si>
    <t>select_one feed_type</t>
  </si>
  <si>
    <t>o_feed_type</t>
  </si>
  <si>
    <t>What is the primary type of ${lsmain} feed?</t>
  </si>
  <si>
    <t>ما هو نوع العلف الرئيسي المستخدم لتغذية ${lsmain}؟</t>
  </si>
  <si>
    <t xml:space="preserve"> [المشغل: استجابة واحدة.]
</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</si>
  <si>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</si>
  <si>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</si>
  <si>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</si>
  <si>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**Move children to less expensive school**</t>
  </si>
  <si>
    <t>cs_crisis_decr_agric_input_exp</t>
  </si>
  <si>
    <t>**Sell house or last piece of land**</t>
  </si>
  <si>
    <t>بيع منزل او آخر قطعة ارض</t>
  </si>
  <si>
    <t>**Sell last female animals**</t>
  </si>
  <si>
    <t>أدخل أي ملاحظات  من هذا الاستطلاع:</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</si>
  <si>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</si>
  <si>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</si>
  <si>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Someone answers</t>
  </si>
  <si>
    <t>يجيب شخص ما</t>
  </si>
  <si>
    <t>Answering machine</t>
  </si>
  <si>
    <t>جهاز الرد الالي</t>
  </si>
  <si>
    <t>No answer</t>
  </si>
  <si>
    <t>لا اجابة</t>
  </si>
  <si>
    <t>Hang up or refusal</t>
  </si>
  <si>
    <t>إنهاء المكالمة أو الرفض</t>
  </si>
  <si>
    <t>Disconnected</t>
  </si>
  <si>
    <t>انقطع الاتصال</t>
  </si>
  <si>
    <t>Not now</t>
  </si>
  <si>
    <t>ليس الآن</t>
  </si>
  <si>
    <t>sustainable_agripractices</t>
  </si>
  <si>
    <t>Traditional</t>
  </si>
  <si>
    <t>Traditional practices: Farming methods based on local knowledge (with or without using agrochemical inputs)</t>
  </si>
  <si>
    <t>الزراعة البلدية:الزراعة القائمة على المعرفة المحلية (مع أو بدون استخدام الكيماويات الزراعية)</t>
  </si>
  <si>
    <t>Conventional</t>
  </si>
  <si>
    <t>Conventional practices: Farming methods relying on chemical pesticides and synthetic fertilizers or concentrated feeding operations</t>
  </si>
  <si>
    <t>الزراعة التقليدية:الزراعة التي تعتمد على المبيدات الكيماوية والأسمدة الاصطناعية أو عمليات التّغذية المركّزة</t>
  </si>
  <si>
    <t>Organic</t>
  </si>
  <si>
    <t xml:space="preserve">Organic practices: Farming methods relying on biological pest control and organic fertilizers (with or without organic certification) </t>
  </si>
  <si>
    <t>الزراعة العضوية: الزراعة التي تعتمد على المكافحة البيولوجية للآفات والأسمدة العضوية (مع أو بدون شهادة عضوية)</t>
  </si>
  <si>
    <t>femaleagricactivity</t>
  </si>
  <si>
    <t>crpprod</t>
  </si>
  <si>
    <t>Crop production</t>
  </si>
  <si>
    <t>animprod</t>
  </si>
  <si>
    <t>Animal production</t>
  </si>
  <si>
    <t>إنتاج حيواني</t>
  </si>
  <si>
    <t>honybees</t>
  </si>
  <si>
    <t>Honeybees production</t>
  </si>
  <si>
    <t>إنتاج  العسل</t>
  </si>
  <si>
    <t>fishprod</t>
  </si>
  <si>
    <t>Fisheries production</t>
  </si>
  <si>
    <t>إنتاج الأسماك</t>
  </si>
  <si>
    <t>processagriprod</t>
  </si>
  <si>
    <t>Processing of agricultural products</t>
  </si>
  <si>
    <t>تحويل او تصنيع المنتجات الزراعية</t>
  </si>
  <si>
    <t>Other - specify</t>
  </si>
  <si>
    <t xml:space="preserve"> أخر - حدد </t>
  </si>
  <si>
    <t>feed_type</t>
  </si>
  <si>
    <t>Roughages_feed</t>
  </si>
  <si>
    <t xml:space="preserve">Roughages (such as pasture forage, hay and silage) </t>
  </si>
  <si>
    <t>الأعلاف الغليظة (مثل علف المرعى ، القشّ ، و العلف الأخضر المخمّر)</t>
  </si>
  <si>
    <t>Concentrate_feed</t>
  </si>
  <si>
    <t xml:space="preserve">Concentrate (such as grains rich in energy and/or proteins and supplements) </t>
  </si>
  <si>
    <t>الأعلاف المركزة (مثل الحبوب الغنية بالطاقة و / أو البروتينات والمكملات)</t>
  </si>
  <si>
    <t>Mixed_feed</t>
  </si>
  <si>
    <t>Mixed (a mixture of both roughages and concentrates)</t>
  </si>
  <si>
    <t>الأعلاف المختلطة (هي مزيجًا من الأعلاف الغليظة و المركّزة)</t>
  </si>
  <si>
    <t>crop</t>
  </si>
  <si>
    <t>أعشاب السلطة الخضراء (زعتر ، بقدونس ، نعناع ، جرجير ، أنواع أخرى)</t>
  </si>
  <si>
    <t>777</t>
  </si>
  <si>
    <t>No crop production</t>
  </si>
  <si>
    <t>لا إنتاج للمحصول</t>
  </si>
  <si>
    <t>888</t>
  </si>
  <si>
    <t>Don't know</t>
  </si>
  <si>
    <t>999</t>
  </si>
  <si>
    <t>Refused</t>
  </si>
  <si>
    <t>crop2</t>
  </si>
  <si>
    <t>666</t>
  </si>
  <si>
    <t>No other crop</t>
  </si>
  <si>
    <t>لا محاصيل أخرى</t>
  </si>
  <si>
    <t>crop3</t>
  </si>
  <si>
    <t>LB1</t>
  </si>
  <si>
    <t>Beirut</t>
  </si>
  <si>
    <t>بيروت</t>
  </si>
  <si>
    <t>LB2</t>
  </si>
  <si>
    <t>Bekaa</t>
  </si>
  <si>
    <t>البقاع</t>
  </si>
  <si>
    <t>LB3</t>
  </si>
  <si>
    <t>Mount Lebanon</t>
  </si>
  <si>
    <t>جبل لبنان</t>
  </si>
  <si>
    <t>LB4</t>
  </si>
  <si>
    <t>El Nabatieh</t>
  </si>
  <si>
    <t>النبطية</t>
  </si>
  <si>
    <t>LB5</t>
  </si>
  <si>
    <t>North</t>
  </si>
  <si>
    <t>الشمال</t>
  </si>
  <si>
    <t>LB6</t>
  </si>
  <si>
    <t>South</t>
  </si>
  <si>
    <t>الجنوب</t>
  </si>
  <si>
    <t>LB7</t>
  </si>
  <si>
    <t>Akkar</t>
  </si>
  <si>
    <t>عكار</t>
  </si>
  <si>
    <t>LB8</t>
  </si>
  <si>
    <t>Baalbek-El Hermel</t>
  </si>
  <si>
    <t>بعلبك الهرمل</t>
  </si>
  <si>
    <t>LB11</t>
  </si>
  <si>
    <t>LB21</t>
  </si>
  <si>
    <t>Baalbek</t>
  </si>
  <si>
    <t>بعلبك</t>
  </si>
  <si>
    <t>LB22</t>
  </si>
  <si>
    <t>El Hermel</t>
  </si>
  <si>
    <t> الهرمل</t>
  </si>
  <si>
    <t>LB23</t>
  </si>
  <si>
    <t>Rachaya</t>
  </si>
  <si>
    <t>راشيا</t>
  </si>
  <si>
    <t>LB24</t>
  </si>
  <si>
    <t>West Bekaa</t>
  </si>
  <si>
    <t>البقاع الغربي</t>
  </si>
  <si>
    <t>LB25</t>
  </si>
  <si>
    <t>Zahle</t>
  </si>
  <si>
    <t>زحلة</t>
  </si>
  <si>
    <t>LB31</t>
  </si>
  <si>
    <t>Aley</t>
  </si>
  <si>
    <t>عاليه</t>
  </si>
  <si>
    <t>LB32</t>
  </si>
  <si>
    <t>Baabda</t>
  </si>
  <si>
    <t>بعبدا</t>
  </si>
  <si>
    <t>LB33</t>
  </si>
  <si>
    <t>Chouf</t>
  </si>
  <si>
    <t> الشوف</t>
  </si>
  <si>
    <t>LB34</t>
  </si>
  <si>
    <t>Jbeil</t>
  </si>
  <si>
    <t>جبيل</t>
  </si>
  <si>
    <t>LB35</t>
  </si>
  <si>
    <t>Kesrwane</t>
  </si>
  <si>
    <t>LB36</t>
  </si>
  <si>
    <t>El Meten</t>
  </si>
  <si>
    <t>المتن</t>
  </si>
  <si>
    <t>LB41</t>
  </si>
  <si>
    <t>Bent Jbeil</t>
  </si>
  <si>
    <t>بنت جبيل</t>
  </si>
  <si>
    <t>LB42</t>
  </si>
  <si>
    <t>Hasbaya</t>
  </si>
  <si>
    <t>حاصبيا</t>
  </si>
  <si>
    <t>LB43</t>
  </si>
  <si>
    <t>Marjaayoun</t>
  </si>
  <si>
    <t>مرجعيون</t>
  </si>
  <si>
    <t>LB44</t>
  </si>
  <si>
    <t>LB51</t>
  </si>
  <si>
    <t>LB52</t>
  </si>
  <si>
    <t>El Batroun</t>
  </si>
  <si>
    <t>البترون</t>
  </si>
  <si>
    <t>LB53</t>
  </si>
  <si>
    <t>Bcharre</t>
  </si>
  <si>
    <t> بشري</t>
  </si>
  <si>
    <t>LB54</t>
  </si>
  <si>
    <t>El Koura</t>
  </si>
  <si>
    <t>الكورة</t>
  </si>
  <si>
    <t>LB55</t>
  </si>
  <si>
    <t>El Minieh-Dennie</t>
  </si>
  <si>
    <t>المنية الضنية</t>
  </si>
  <si>
    <t>LB56</t>
  </si>
  <si>
    <t>Tripoli</t>
  </si>
  <si>
    <t>طرابلس</t>
  </si>
  <si>
    <t>LB57</t>
  </si>
  <si>
    <t>Zgharta</t>
  </si>
  <si>
    <t>زغرتا</t>
  </si>
  <si>
    <t>LB61</t>
  </si>
  <si>
    <t>Saida</t>
  </si>
  <si>
    <t>صيدا</t>
  </si>
  <si>
    <t>LB62</t>
  </si>
  <si>
    <t>Jezzine</t>
  </si>
  <si>
    <t>جزين</t>
  </si>
  <si>
    <t>LB63</t>
  </si>
  <si>
    <t>Sour</t>
  </si>
  <si>
    <t>صور</t>
  </si>
  <si>
    <t>Ahmad Zeindine</t>
  </si>
  <si>
    <t>احمد زين الدين</t>
  </si>
  <si>
    <t>Amani Basma</t>
  </si>
  <si>
    <t>اماني بسمة</t>
  </si>
  <si>
    <t>Ibrahim Dib</t>
  </si>
  <si>
    <t>إبراهيم ديب</t>
  </si>
  <si>
    <t>Bassem Houmani</t>
  </si>
  <si>
    <t>باسم حوماني</t>
  </si>
  <si>
    <t>Bashar Choukeir</t>
  </si>
  <si>
    <t>بشار شقير</t>
  </si>
  <si>
    <t>Bilal Hammoud</t>
  </si>
  <si>
    <t>بلال حمود</t>
  </si>
  <si>
    <t>Pierre Nassar</t>
  </si>
  <si>
    <t>بيار نصار</t>
  </si>
  <si>
    <t>Jean Sarkis</t>
  </si>
  <si>
    <t>جان سركيس</t>
  </si>
  <si>
    <t>Jean Mrad</t>
  </si>
  <si>
    <t>جان مراد</t>
  </si>
  <si>
    <t>Jamal Alchaar</t>
  </si>
  <si>
    <t>جمال الشعار</t>
  </si>
  <si>
    <t>Georges Roustom</t>
  </si>
  <si>
    <t>جورج رستم</t>
  </si>
  <si>
    <t>Jihan Hamad</t>
  </si>
  <si>
    <t>جيهان حمد</t>
  </si>
  <si>
    <t>Habbouba Rhayyem</t>
  </si>
  <si>
    <t>حبوبة رحيم</t>
  </si>
  <si>
    <t>Khalil Akel</t>
  </si>
  <si>
    <t>خليل عقل</t>
  </si>
  <si>
    <t>Darine Masaad</t>
  </si>
  <si>
    <t xml:space="preserve">دارين مسعد </t>
  </si>
  <si>
    <t>Dana haidar</t>
  </si>
  <si>
    <t>دانا حيدر</t>
  </si>
  <si>
    <t>Doumoua Sweydan</t>
  </si>
  <si>
    <t>دموع سويدان</t>
  </si>
  <si>
    <t>Rashad Chamas</t>
  </si>
  <si>
    <t>رشاد شمص</t>
  </si>
  <si>
    <t>Rima Seifdine</t>
  </si>
  <si>
    <t>ريما سيف الدين</t>
  </si>
  <si>
    <t>Rima Mhanna</t>
  </si>
  <si>
    <t>ريما مهنا</t>
  </si>
  <si>
    <t>Ziad Bahmad</t>
  </si>
  <si>
    <t>زياد بحمد</t>
  </si>
  <si>
    <t>Zaynab Rammal</t>
  </si>
  <si>
    <t>زينب رمال</t>
  </si>
  <si>
    <t>Zeina Al Hassan</t>
  </si>
  <si>
    <t>زينة الحسن</t>
  </si>
  <si>
    <t>Sahar Nader</t>
  </si>
  <si>
    <t>سحر ناضر</t>
  </si>
  <si>
    <t>Salam Sbeity</t>
  </si>
  <si>
    <t>سلام سبيتي</t>
  </si>
  <si>
    <t>Samar Srouj</t>
  </si>
  <si>
    <t>سمر سروج</t>
  </si>
  <si>
    <t>Abdel Kader Yehya</t>
  </si>
  <si>
    <t>عبد القادر يحيى</t>
  </si>
  <si>
    <t>Ali Baalbaki</t>
  </si>
  <si>
    <t>علي بعلبكي</t>
  </si>
  <si>
    <t>Ali Haydar</t>
  </si>
  <si>
    <t>علي حيدر</t>
  </si>
  <si>
    <t>Ali Trad</t>
  </si>
  <si>
    <t>علي طراد</t>
  </si>
  <si>
    <t>Ali Yassine</t>
  </si>
  <si>
    <t>علي ياسين</t>
  </si>
  <si>
    <t>Ghazi Naserldin</t>
  </si>
  <si>
    <t>غازي ناصر الدين</t>
  </si>
  <si>
    <t>Fatima Taleb</t>
  </si>
  <si>
    <t>فاطمة طالب</t>
  </si>
  <si>
    <t>Fatima Meslmani</t>
  </si>
  <si>
    <t>فاطمة مسلماني</t>
  </si>
  <si>
    <t>Fayez Ahmed</t>
  </si>
  <si>
    <t>فايز أحمد</t>
  </si>
  <si>
    <t>Farah Khazem</t>
  </si>
  <si>
    <t>فرح خازم</t>
  </si>
  <si>
    <t>Farida Hajj Chhadeh</t>
  </si>
  <si>
    <t>فريدة حاج شحادة</t>
  </si>
  <si>
    <t>Fouad Adwiyeh</t>
  </si>
  <si>
    <t>فؤاد عدوية</t>
  </si>
  <si>
    <t>Fouad Wansa</t>
  </si>
  <si>
    <t>فؤاد ونسة</t>
  </si>
  <si>
    <t>Carla Abdou</t>
  </si>
  <si>
    <t>كارلا عبدو</t>
  </si>
  <si>
    <t>Christin Sahwe</t>
  </si>
  <si>
    <t>كريستسن صهوي</t>
  </si>
  <si>
    <t>Louay Jaydah</t>
  </si>
  <si>
    <t>لؤي جيدا</t>
  </si>
  <si>
    <t>Marlein Derjani</t>
  </si>
  <si>
    <t>مارلين درجاني</t>
  </si>
  <si>
    <t>Maguie El Hajj</t>
  </si>
  <si>
    <t>ماغي الحاج</t>
  </si>
  <si>
    <t>Maher Bourji</t>
  </si>
  <si>
    <t>ماهر برجي</t>
  </si>
  <si>
    <t>Mhamad Al Adroaa</t>
  </si>
  <si>
    <t>محمد الأدرع</t>
  </si>
  <si>
    <t>Mohammad Halawi</t>
  </si>
  <si>
    <t>محمد حلاوي</t>
  </si>
  <si>
    <t>Mohammad Deaibes</t>
  </si>
  <si>
    <t>محمد دعيبس</t>
  </si>
  <si>
    <t>Mohamad Zeitoun</t>
  </si>
  <si>
    <t>محمد زيتون</t>
  </si>
  <si>
    <t>Mohamad Chehadeh</t>
  </si>
  <si>
    <t>محمد شحادة</t>
  </si>
  <si>
    <t>Mohamed Chouk</t>
  </si>
  <si>
    <t>محمد شوك</t>
  </si>
  <si>
    <t>Mohammad Kawtharani</t>
  </si>
  <si>
    <t>محمد كوثراني</t>
  </si>
  <si>
    <t>Mohamad Hazimeh</t>
  </si>
  <si>
    <t>محمد هزيمة</t>
  </si>
  <si>
    <t>Moukhles Bou Kadal</t>
  </si>
  <si>
    <t>مخلص بو كدل</t>
  </si>
  <si>
    <t>Marwa Daher</t>
  </si>
  <si>
    <t>مروى ضاهر</t>
  </si>
  <si>
    <t>May Onaisy</t>
  </si>
  <si>
    <t>مي عنيسي</t>
  </si>
  <si>
    <t>Mayada Haydar Ahmad</t>
  </si>
  <si>
    <t>ميادة حيدر احمد</t>
  </si>
  <si>
    <t>Milia Chbeir</t>
  </si>
  <si>
    <t>ميليا شبير</t>
  </si>
  <si>
    <t>Nazem Tarabay</t>
  </si>
  <si>
    <t>ناظم طربيه</t>
  </si>
  <si>
    <t>Nasr Abbas</t>
  </si>
  <si>
    <t>نصر عباس</t>
  </si>
  <si>
    <t>Wissam Abbas</t>
  </si>
  <si>
    <t>وسام عباس</t>
  </si>
  <si>
    <t>Elisar  Sayegh</t>
  </si>
  <si>
    <t>اليسار صايغ</t>
  </si>
  <si>
    <t>Linda  Saleh</t>
  </si>
  <si>
    <t>ليندا صالح</t>
  </si>
  <si>
    <t>Mariam  Zreik</t>
  </si>
  <si>
    <t>مريم زريق</t>
  </si>
  <si>
    <t>Mariam  Fakais</t>
  </si>
  <si>
    <t>مريم فقيص</t>
  </si>
  <si>
    <t>Roula Malo</t>
  </si>
  <si>
    <t>رولا مالو</t>
  </si>
  <si>
    <t>Sanaa  Jomaa</t>
  </si>
  <si>
    <t>سناء جمعة</t>
  </si>
  <si>
    <t>Toni Makhlouf</t>
  </si>
  <si>
    <t>طوني مخلوف</t>
  </si>
  <si>
    <t>x</t>
  </si>
  <si>
    <t>XXXXXXXX</t>
  </si>
  <si>
    <t>محافظة</t>
  </si>
  <si>
    <t>العام الماضي</t>
  </si>
  <si>
    <t xml:space="preserve">الموسم
 الحالي </t>
  </si>
  <si>
    <t>Governorate</t>
  </si>
  <si>
    <t>District</t>
  </si>
  <si>
    <t>Current season</t>
  </si>
  <si>
    <t>النضوج</t>
  </si>
  <si>
    <t>دونم</t>
  </si>
  <si>
    <t>Dunum</t>
  </si>
  <si>
    <t>دولار</t>
  </si>
  <si>
    <t>Dollars</t>
  </si>
  <si>
    <t>باذنجان، كوسة، لوبياء، ملفوف</t>
  </si>
  <si>
    <t>eggplants, zucchini, haricots, cabbages</t>
  </si>
  <si>
    <t>التفاح والموز والبرنقال والعنب والمشمش والدراق</t>
  </si>
  <si>
    <t>apples, bananas, oranges, grapes, apricots, peaches</t>
  </si>
  <si>
    <t>Roots and tubers [sugar beets/ white sweet potato / potato or other tubers]</t>
  </si>
  <si>
    <t>الجذور والدرنات [الشمندر/ البطاطا الحلوة البيضاء / البطاطا أو درنات أخرى]</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</si>
  <si>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</si>
  <si>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</si>
  <si>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Fish or shellfish [fresh/canned or other seafood]</t>
  </si>
  <si>
    <t>الأسماك أو المحار [الأسماك الطازجة/المعلّبة او  غيرها]</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</si>
  <si>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</si>
  <si>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</si>
  <si>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 and other dairy products [fresh milk / yogurt / cheese / other dairy products]</t>
  </si>
  <si>
    <t>الحليب ومنتجات الألبان الأخرى [حليب طازج / لبن رائب / جبن / منتجات ألبان أخرى]</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</si>
  <si>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</si>
  <si>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</si>
  <si>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</si>
  <si>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</si>
  <si>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Cereals [wheat / rice /barley/ spaghetti /burgul/ bread or any other locally available grain]</t>
  </si>
  <si>
    <t>الحبوب [ القمح / الأرز/شعير / السباغيتي/البرغل / الخبز أو أي حبوب أخرى متوفرة محليًا]</t>
  </si>
  <si>
    <t>Last year</t>
  </si>
  <si>
    <t>[HINT: COMPARISON IN DOLLARS TERM BY REFERRING TO LAST YEAR.]
[OPERATOR: SINGLE RESPONSE.]</t>
  </si>
  <si>
    <t>[ملحوظة: المقارنة بالدولار  بالرجوع إلى .العام الماضي]
[المشغل: استجابة واحدة.]</t>
  </si>
  <si>
    <t>admin1</t>
  </si>
  <si>
    <t>admin2</t>
  </si>
  <si>
    <t>Have you changed your cropping pattern as a result of recent economic events?</t>
  </si>
  <si>
    <t>[OPERATOR: SINGLE RESPONSE]</t>
  </si>
  <si>
    <t>رفض اللإجابة</t>
  </si>
  <si>
    <t>If so, what was the crop that you typically grew, instead of {crp_main}?</t>
  </si>
  <si>
    <t>reason_crop_change</t>
  </si>
  <si>
    <t>What were the reasons for changing the crop type you are cultivating?</t>
  </si>
  <si>
    <t>Lack of available inputs for usual crops</t>
  </si>
  <si>
    <t>Lack of money to buy usual crop inputs</t>
  </si>
  <si>
    <t>Fuel needs for usual crop too high [due to higher prices at current]</t>
  </si>
  <si>
    <t>New crop inputs cheaper</t>
  </si>
  <si>
    <t>New crops use less work on field</t>
  </si>
  <si>
    <t>New crops use less fuel to cultivate</t>
  </si>
  <si>
    <t>New crops need less water on field</t>
  </si>
  <si>
    <t>New crops have higher value for sale</t>
  </si>
  <si>
    <t>New crops are growing faster</t>
  </si>
  <si>
    <t>New crops need less maintenance and work</t>
  </si>
  <si>
    <t>The climate in my area has changed and the new crop is more adapted</t>
  </si>
  <si>
    <t>نقص المدخلات الزراعيّة المتاحة للمحاصيل المعتادة</t>
  </si>
  <si>
    <t>احتياجات الوقود للمحاصيل المعتادة مرتفعة للغاية [بسبب ارتفاع الأسعار بالقيمة الحالية]</t>
  </si>
  <si>
    <t>تتطلّب المحاصيل الجديدة عملاً أقل في الحقل</t>
  </si>
  <si>
    <t>تتطلّب المحاصيل الجديدة وقودًا أقل للزراعة</t>
  </si>
  <si>
    <t>المحاصيل الجديدة لها قيمة أعلى في البيع</t>
  </si>
  <si>
    <t>تنمو المحاصيل الجديدة بشكل أسرع</t>
  </si>
  <si>
    <t>تحتاج المحاصيل الجديدة إلى صيانة وعمل أقل</t>
  </si>
  <si>
    <t>لقد تغير المناخ في منطقتي وأصبح المحصول الجديد أكثر تكيّفًا</t>
  </si>
  <si>
    <t>o_crp_main</t>
  </si>
  <si>
    <t>o_reason_crop_change</t>
  </si>
  <si>
    <t>select_multiple reason_crop_change</t>
  </si>
  <si>
    <t>Have you changed the composition of your herd/flock as a result of recent economic events?</t>
  </si>
  <si>
    <t>o_reason_herd_change</t>
  </si>
  <si>
    <t>If so, for what reason?</t>
  </si>
  <si>
    <t>إذا كان الأمر كذلك ، فما السبب؟</t>
  </si>
  <si>
    <t>select_multiple reason_herd_change</t>
  </si>
  <si>
    <t>reason_herd_change</t>
  </si>
  <si>
    <t>The natural environment around me (ex. Pasture) has become more appropriate to the new species</t>
  </si>
  <si>
    <t>The economic environment (ex. availability of inputs) has become more appropriate to the new species</t>
  </si>
  <si>
    <t>Disinvestment: the new species immobilizes less capital</t>
  </si>
  <si>
    <t>Investment: the new species requires more capital, for higher returns</t>
  </si>
  <si>
    <t>New species use less work</t>
  </si>
  <si>
    <t>New species sells more</t>
  </si>
  <si>
    <t>أصبحت البيئة الطبيعية من حولي (مثل المراعي) أكثر ملاءمة للأنواع الجديدة</t>
  </si>
  <si>
    <t>أصبحت البيئة الاقتصادية (مثل توافر المدخلات) أكثر ملاءمة للأنواع الجديدة</t>
  </si>
  <si>
    <t>الاستثمار: تتطلّب الأنواع الجديدة المزيد من رأس المال لتحقيق عوائد أعلى</t>
  </si>
  <si>
    <t>الأنواع الجديدة تتطلّب عملا أقلّ</t>
  </si>
  <si>
    <t>الأنواع الجديدة تباع أكثر</t>
  </si>
  <si>
    <t>o_ls_mortality</t>
  </si>
  <si>
    <t>Did you experience unusually livestock mortality in the last three months?</t>
  </si>
  <si>
    <t>هل عانيت من نفوق الماشية بشكل غير عادي في الأشهر الثلاثة الماضية؟</t>
  </si>
  <si>
    <t>select_multiple reason_ls_mortality</t>
  </si>
  <si>
    <t>o_reason_ls_mortality</t>
  </si>
  <si>
    <t>reason_ls_mortality</t>
  </si>
  <si>
    <t>Long drought</t>
  </si>
  <si>
    <t>Flooding</t>
  </si>
  <si>
    <t>Water scarcity and shortage</t>
  </si>
  <si>
    <t>Recent animal diseases outbreak</t>
  </si>
  <si>
    <t>Other (specify)</t>
  </si>
  <si>
    <t>الفيضانات</t>
  </si>
  <si>
    <t>شح ونقص المياه</t>
  </si>
  <si>
    <t>آخر (حدد)</t>
  </si>
  <si>
    <t>o_ls_mortality_lastyear</t>
  </si>
  <si>
    <t>Did you experience similar livestock mortality last year?</t>
  </si>
  <si>
    <t>هل واجهت نفوقًا مماثلًا للماشية العام الماضي؟</t>
  </si>
  <si>
    <t>o_crpmain</t>
  </si>
  <si>
    <t>natural_enviro_appropriate</t>
  </si>
  <si>
    <t>eco_enviro_appropriate</t>
  </si>
  <si>
    <t>disinvestment</t>
  </si>
  <si>
    <t>investment</t>
  </si>
  <si>
    <t>newspecies_lesswork</t>
  </si>
  <si>
    <t>newspecies_sellsmore</t>
  </si>
  <si>
    <t>lackinputs</t>
  </si>
  <si>
    <t>lackmoney</t>
  </si>
  <si>
    <t>fuelneeds</t>
  </si>
  <si>
    <t>crops_cheaper</t>
  </si>
  <si>
    <t>crops_lesswork</t>
  </si>
  <si>
    <t>crops_lessfuel</t>
  </si>
  <si>
    <t>crops_lesswater</t>
  </si>
  <si>
    <t>crops_highervalue</t>
  </si>
  <si>
    <t>crops_fastgrowing</t>
  </si>
  <si>
    <t>crops_lessmaint</t>
  </si>
  <si>
    <t>climatechanged</t>
  </si>
  <si>
    <t>long_drought</t>
  </si>
  <si>
    <t>waterscarcity</t>
  </si>
  <si>
    <t>recent_animaldisease</t>
  </si>
  <si>
    <t>o_cropping_change</t>
  </si>
  <si>
    <t>o_herd_change</t>
  </si>
  <si>
    <t>${hh_agricactivity}='1' or ${hh_agricactivity}='3'</t>
  </si>
  <si>
    <t>${o_cropping_change} != '2' and ${o_cropping_change} != '3' and ${o_cropping_change} != '4' and ${crp_main} != '888' and ${crp_main} != '999' and ${crp_main} != '777'</t>
  </si>
  <si>
    <t xml:space="preserve">${o_herd_change} != '2' and ${o_herd_change} != '3' and ${o_herd_change} != '4' </t>
  </si>
  <si>
    <t xml:space="preserve">${o_ls_mortality} != '2' and ${o_ls_mortality} != '3' and ${o_ls_mortality} != '4' </t>
  </si>
  <si>
    <t>o_reason_ls_mortality_otherspecify</t>
  </si>
  <si>
    <t xml:space="preserve">selected(${o_reason_ls_mortality}, 'other') </t>
  </si>
  <si>
    <t>إذا كان الأمر كذلك ، فما  السبب؟</t>
  </si>
  <si>
    <r>
      <t xml:space="preserve">نقص في المال لشراء </t>
    </r>
    <r>
      <rPr>
        <sz val="11"/>
        <color rgb="FF0070C0"/>
        <rFont val="Calibri"/>
        <family val="2"/>
        <scheme val="minor"/>
      </rPr>
      <t>ال</t>
    </r>
    <r>
      <rPr>
        <sz val="11"/>
        <color theme="1"/>
        <rFont val="Calibri"/>
        <family val="2"/>
        <scheme val="minor"/>
      </rPr>
      <t>مدخلات الزراعيّة للمحاصيل المعتادة</t>
    </r>
  </si>
  <si>
    <t xml:space="preserve">تقليل الاستثمار: الأنواع الجديدة تتطلب تجميد  رأس مال أقل </t>
  </si>
  <si>
    <t>جفاف لفترة طويلة</t>
  </si>
  <si>
    <t>تفشي الامراض الحيوانية في الآونة الأخيرة</t>
  </si>
  <si>
    <t>المدخلات الزراعيّة للمحاصيل الجديدة اقل كلفة</t>
  </si>
  <si>
    <t>تحتاج المحاصيل الجديدة إلى كميات أقل من المياه في الحقل</t>
  </si>
  <si>
    <t>هل قمت بتغيير تكوين القطيع (نواع الحيوانات) نتيجة الأحداث الاقتصادية الأخيرة؟</t>
  </si>
  <si>
    <t>إذا كانت الإجابة "آخر"، حدد</t>
  </si>
  <si>
    <t>If other, specify</t>
  </si>
  <si>
    <t>هل قمت بتغيير انواع  المحاصيل الذي تزرعها نتيجة للأحداث الاقتصادية الأخيرة؟</t>
  </si>
  <si>
    <t>إذا كان الأمر كذلك ، فما هو المحصول الذي زرعته بشكل اساسي، بدلاً من {crp_main}؟</t>
  </si>
  <si>
    <t>ما هي أسباب تغيير انواع  المحاصيل الذي تزرعها؟</t>
  </si>
  <si>
    <t>Remplacement (AR)</t>
  </si>
  <si>
    <t>Original</t>
  </si>
  <si>
    <t>Currently, in which Governorate does your household reside?</t>
  </si>
  <si>
    <t>Currently, in which District does your household reside?</t>
  </si>
  <si>
    <t>(. &gt;= 18 and . &lt;= 100) or . = 888</t>
  </si>
  <si>
    <t>Has your household's income from ${incomemain} changed in the last 3 months compared to the same period of Last year?</t>
  </si>
  <si>
    <t>Has your household's income from ${incomesec} changed in the last 3 months compared to the same period of Last year?</t>
  </si>
  <si>
    <t>Has your household's income from ${incomethird} changed in the last 3 months compared to the same period of Last year?</t>
  </si>
  <si>
    <t>How does the current price of your household's ${crp_sales_main} compare to the average price in the same period of Last year?</t>
  </si>
  <si>
    <t>How does the current price of your household's ${lssalesmain} compare to the average price in the same period of Last year?</t>
  </si>
  <si>
    <t xml:space="preserve">How does the current price of your household's ${fishsalesmain} compare to the average price in the same period/harvest of Last year? </t>
  </si>
  <si>
    <t>هل تغير دخل أسرتك من ${incomemain} في الأشهر الثلاثة الماضية مقارنة بنفس الفترة من العام الماضي؟</t>
  </si>
  <si>
    <t>هل تغير دخل أسرتك من ${incomesec} في الأشهر الثلاثة الماضية مقارنة بنفس الفترة من العام الماضي؟</t>
  </si>
  <si>
    <t>هل تغير دخل أسرتك من ${incomethird} في الأشهر الثلاثة الماضية مقارنة بنفس الفترة من العام الماضي؟</t>
  </si>
  <si>
    <t>كيف تقارن السعر الحالي ل${crp_sales_main} لأسرتك بمتوسط ​​السعر في نفس الفترة من العام الماضي؟</t>
  </si>
  <si>
    <t>كيف تقارن السعر الحالي ل ${lssalesmain} لأسرتك بمتوسط ​​السعر في نفس الفترة من العام الماضي؟</t>
  </si>
  <si>
    <t>كيف تقارن السعر الحالي لبيع  ${fishsalesmain}  لأسرتك بمتوسط ​​السعر في نفس الفترة من العام الماضي؟</t>
  </si>
  <si>
    <t>We will now ask you some questions about crop production which apply to you and anyone in your household that is involved in crop production or sales. All questions refer to the crops grown during Current season.</t>
  </si>
  <si>
    <t>What is the main crop that your household grows for food or income generation in Current season, if any?</t>
  </si>
  <si>
    <t>Why did you not produce any crops in Current season?</t>
  </si>
  <si>
    <t>How did the ***area planted*** for ${crpmain} from Current season compare to Last year?</t>
  </si>
  <si>
    <t>Has your household faced any significant difficulty ***in terms of crop production*** in Current season?</t>
  </si>
  <si>
    <t>Which difficulties has your household faced with crop production in Current season?</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</si>
  <si>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 </t>
  </si>
  <si>
    <t>ما هو المحصول الرئيسي الذي تزرعه أسرتك من أجل الغذاء وتوليد الدخل في موسم الموسم  الحالي  ، إن وجد؟</t>
  </si>
  <si>
    <t>لماذا لم تنتج أي محاصيل في الموسم  الحالي ؟</t>
  </si>
  <si>
    <t>كيف يمكن مقارنة ***المساحة المزروعة*** ل ${crpmain} في الموسم  الحالي  نسبةً ل العام الماضي؟</t>
  </si>
  <si>
    <t>هل واجهت أسرتك أي صعوبة ***في إنتاج المحاصيل*** في الموسم  الحالي ؟</t>
  </si>
  <si>
    <t>ما الصعوبات التي واجهتها أسرتك في إنتاج المحاصيل في الموسم  الحالي ؟</t>
  </si>
  <si>
    <t xml:space="preserve">How does the  ***harvest*** of ${crpmain} in the Current season compare to Last year? </t>
  </si>
  <si>
    <t>كيف يمكن مقارنة ***الحصاد***  لـ ${crpmain} في الموسم  الحالي  نسبةً ل العام الماضي؟</t>
  </si>
  <si>
    <t>How many days over *the last 7 days*, did members of your household eat **vegetables or leaves** such as eggplants, zucchini, haricots, cabbages and/or other leaves/vegetables?</t>
  </si>
  <si>
    <t>How many days over *the last 7 days*, did members of your household eat **fruit** such as apples, bananas, oranges, grapes, apricots, peaches and/or other fruits?</t>
  </si>
  <si>
    <t>كم يومًا خلال *السبعة أيام الماضية* ، تناول أفراد أسرتك **فواكه** مثل التفاح والموز والبرنقال والعنب والمشمش والدراق و / أو غيرها من الفواكه؟</t>
  </si>
  <si>
    <t>كم يومًا خلال *السبعة أيام الماضية* ، أكل أفراد أسرتك **خضروات أو خضار ورقية** مثل  باذنجان، كوسة، لوبياء، ملفوف و / أو خضار ورقية / خضروات أخرى؟</t>
  </si>
  <si>
    <t>حاليًا ، في أي محافظة تقيم أسرتك؟</t>
  </si>
  <si>
    <t>حاليًا ، في أي قضاء تقيم أسرتك؟</t>
  </si>
  <si>
    <t xml:space="preserve"> كسروان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</si>
</sst>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0"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sz val="11"/>
      <name val="Calibri (Body)"/>
    </font>
    <font>
      <sz val="8"/>
      <name val="Calibri"/>
      <family val="2"/>
      <scheme val="minor"/>
    </font>
    <font>
      <i/>
      <sz val="11"/>
      <color theme="0" tint="-0.34998626667073579"/>
      <name val="Calibri"/>
      <family val="2"/>
    </font>
    <font>
      <i/>
      <sz val="11"/>
      <color theme="0" tint="-0.34998626667073579"/>
      <name val="Calibri (Body)"/>
    </font>
    <font>
      <b/>
      <sz val="11"/>
      <color rgb="FF000000"/>
      <name val="Calibri"/>
      <family val="2"/>
      <scheme val="minor"/>
    </font>
    <font>
      <sz val="11"/>
      <color theme="1"/>
      <name val="Calibri"/>
      <family val="2"/>
    </font>
    <font>
      <sz val="11"/>
      <color rgb="FF000000"/>
      <name val="Calibri"/>
      <family val="2"/>
    </font>
    <font>
      <sz val="10"/>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5" tint="0.39997558519241921"/>
        <bgColor indexed="64"/>
      </patternFill>
    </fill>
    <fill>
      <patternFill patternType="solid">
        <fgColor rgb="FFF2DCDB"/>
        <bgColor rgb="FF000000"/>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s>
  <cellStyleXfs count="18">
    <xf numFmtId="0" fontId="0" fillId="0" borderId="0"/>
    <xf numFmtId="0" fontId="9" fillId="0" borderId="0"/>
    <xf numFmtId="0" fontId="12" fillId="0" borderId="0"/>
    <xf numFmtId="0" fontId="18" fillId="0" borderId="0"/>
    <xf numFmtId="0" fontId="8" fillId="0" borderId="0"/>
    <xf numFmtId="0" fontId="7" fillId="0" borderId="0"/>
    <xf numFmtId="0" fontId="23" fillId="4" borderId="14" applyNumberFormat="0" applyAlignment="0" applyProtection="0"/>
    <xf numFmtId="9" fontId="12" fillId="0" borderId="0" applyFont="0" applyFill="0" applyBorder="0" applyAlignment="0" applyProtection="0"/>
    <xf numFmtId="0" fontId="6" fillId="0" borderId="0"/>
    <xf numFmtId="0" fontId="6" fillId="0" borderId="0"/>
    <xf numFmtId="0" fontId="6" fillId="0" borderId="0"/>
    <xf numFmtId="0" fontId="5" fillId="0" borderId="0"/>
    <xf numFmtId="0" fontId="12" fillId="0" borderId="0"/>
    <xf numFmtId="0" fontId="5" fillId="0" borderId="0"/>
    <xf numFmtId="0" fontId="12" fillId="0" borderId="0"/>
    <xf numFmtId="0" fontId="4" fillId="0" borderId="0"/>
    <xf numFmtId="0" fontId="12" fillId="0" borderId="0"/>
    <xf numFmtId="0" fontId="3" fillId="0" borderId="0"/>
  </cellStyleXfs>
  <cellXfs count="367">
    <xf numFmtId="0" fontId="0" fillId="0" borderId="0" xfId="0"/>
    <xf numFmtId="0" fontId="11" fillId="2" borderId="0" xfId="0" applyFont="1" applyFill="1" applyProtection="1">
      <protection locked="0"/>
    </xf>
    <xf numFmtId="0" fontId="11" fillId="0" borderId="0" xfId="0" applyFont="1" applyProtection="1">
      <protection locked="0"/>
    </xf>
    <xf numFmtId="0" fontId="0" fillId="0" borderId="0" xfId="0" applyProtection="1">
      <protection locked="0"/>
    </xf>
    <xf numFmtId="0" fontId="0" fillId="2" borderId="0" xfId="0" applyFill="1" applyProtection="1">
      <protection locked="0"/>
    </xf>
    <xf numFmtId="0" fontId="13" fillId="2" borderId="0" xfId="0" applyFont="1" applyFill="1" applyProtection="1">
      <protection locked="0"/>
    </xf>
    <xf numFmtId="0" fontId="11" fillId="0" borderId="0" xfId="0" applyFont="1"/>
    <xf numFmtId="0" fontId="16" fillId="2" borderId="0" xfId="0" applyFont="1" applyFill="1" applyProtection="1">
      <protection locked="0"/>
    </xf>
    <xf numFmtId="0" fontId="10" fillId="2" borderId="0" xfId="0" applyFont="1" applyFill="1" applyProtection="1">
      <protection locked="0"/>
    </xf>
    <xf numFmtId="0" fontId="24" fillId="2" borderId="7" xfId="6" applyFont="1" applyFill="1" applyBorder="1" applyAlignment="1" applyProtection="1">
      <alignment horizontal="center" vertical="center"/>
      <protection locked="0"/>
    </xf>
    <xf numFmtId="0" fontId="16" fillId="0" borderId="0" xfId="0" applyFont="1" applyProtection="1">
      <protection locked="0"/>
    </xf>
    <xf numFmtId="0" fontId="10" fillId="0" borderId="0" xfId="0" applyFont="1" applyProtection="1">
      <protection locked="0"/>
    </xf>
    <xf numFmtId="0" fontId="14" fillId="0" borderId="0" xfId="0" applyFont="1" applyProtection="1">
      <protection locked="0"/>
    </xf>
    <xf numFmtId="0" fontId="13" fillId="0" borderId="0" xfId="0" applyFont="1" applyProtection="1">
      <protection locked="0"/>
    </xf>
    <xf numFmtId="0" fontId="14" fillId="2" borderId="0" xfId="0" applyFont="1" applyFill="1" applyProtection="1">
      <protection locked="0"/>
    </xf>
    <xf numFmtId="0" fontId="6" fillId="0" borderId="2" xfId="10" applyBorder="1"/>
    <xf numFmtId="0" fontId="6" fillId="0" borderId="13" xfId="10" applyBorder="1"/>
    <xf numFmtId="0" fontId="6" fillId="0" borderId="6" xfId="10" applyBorder="1"/>
    <xf numFmtId="0" fontId="6" fillId="0" borderId="23" xfId="10" applyBorder="1"/>
    <xf numFmtId="0" fontId="21" fillId="0" borderId="29" xfId="10" applyFont="1" applyBorder="1" applyAlignment="1">
      <alignment horizontal="center" vertical="center" wrapText="1"/>
    </xf>
    <xf numFmtId="0" fontId="21" fillId="0" borderId="36" xfId="10" applyFont="1" applyBorder="1" applyAlignment="1">
      <alignment vertical="center" wrapText="1"/>
    </xf>
    <xf numFmtId="0" fontId="21" fillId="0" borderId="19" xfId="10" applyFont="1" applyBorder="1" applyAlignment="1">
      <alignment vertical="center" wrapText="1"/>
    </xf>
    <xf numFmtId="0" fontId="6" fillId="0" borderId="3" xfId="10" applyBorder="1"/>
    <xf numFmtId="0" fontId="6" fillId="3" borderId="9" xfId="10" applyFill="1" applyBorder="1" applyAlignment="1" applyProtection="1">
      <alignment horizontal="center" vertical="center"/>
      <protection locked="0"/>
    </xf>
    <xf numFmtId="0" fontId="6" fillId="3" borderId="7" xfId="10" applyFill="1" applyBorder="1" applyAlignment="1" applyProtection="1">
      <alignment horizontal="center" vertical="center"/>
      <protection locked="0"/>
    </xf>
    <xf numFmtId="0" fontId="6" fillId="3" borderId="4" xfId="10" applyFill="1" applyBorder="1" applyAlignment="1" applyProtection="1">
      <alignment horizontal="center" vertical="center"/>
      <protection locked="0"/>
    </xf>
    <xf numFmtId="0" fontId="20" fillId="0" borderId="10" xfId="5" applyFont="1" applyBorder="1" applyAlignment="1">
      <alignment horizontal="left" vertical="center"/>
    </xf>
    <xf numFmtId="0" fontId="20" fillId="0" borderId="39" xfId="10" applyFont="1" applyBorder="1" applyAlignment="1">
      <alignment horizontal="left" vertical="center"/>
    </xf>
    <xf numFmtId="0" fontId="20" fillId="0" borderId="38" xfId="10" applyFont="1" applyBorder="1" applyAlignment="1">
      <alignment horizontal="left" vertical="center"/>
    </xf>
    <xf numFmtId="0" fontId="20" fillId="0" borderId="10" xfId="10" applyFont="1" applyBorder="1" applyAlignment="1">
      <alignment horizontal="left" vertical="center"/>
    </xf>
    <xf numFmtId="0" fontId="27" fillId="0" borderId="8" xfId="10" applyFont="1" applyBorder="1" applyAlignment="1">
      <alignment horizontal="center" vertical="center" wrapText="1"/>
    </xf>
    <xf numFmtId="0" fontId="27" fillId="0" borderId="5" xfId="10" applyFont="1" applyBorder="1" applyAlignment="1">
      <alignment horizontal="center" vertical="center" wrapText="1"/>
    </xf>
    <xf numFmtId="0" fontId="25" fillId="0" borderId="40" xfId="0" applyFont="1" applyBorder="1" applyAlignment="1" applyProtection="1">
      <alignment horizontal="center" vertical="center" wrapText="1"/>
      <protection locked="0"/>
    </xf>
    <xf numFmtId="0" fontId="6" fillId="0" borderId="41" xfId="10" applyBorder="1"/>
    <xf numFmtId="0" fontId="6" fillId="0" borderId="13" xfId="10" applyBorder="1" applyAlignment="1">
      <alignment vertical="center"/>
    </xf>
    <xf numFmtId="0" fontId="22" fillId="0" borderId="26" xfId="10" applyFont="1" applyBorder="1" applyAlignment="1">
      <alignment horizontal="center" vertical="center"/>
    </xf>
    <xf numFmtId="0" fontId="6" fillId="0" borderId="3" xfId="10" applyBorder="1" applyAlignment="1">
      <alignment vertical="center"/>
    </xf>
    <xf numFmtId="0" fontId="6"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3" fillId="0" borderId="0" xfId="0" applyFont="1" applyAlignment="1" applyProtection="1">
      <alignment vertical="top" wrapText="1"/>
      <protection locked="0"/>
    </xf>
    <xf numFmtId="0" fontId="20" fillId="0" borderId="15" xfId="5" applyFont="1" applyBorder="1" applyAlignment="1">
      <alignment horizontal="left" vertical="center" wrapText="1"/>
    </xf>
    <xf numFmtId="0" fontId="27" fillId="0" borderId="15" xfId="10" applyFont="1" applyBorder="1" applyAlignment="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6" fillId="5" borderId="6" xfId="10" applyFill="1" applyBorder="1"/>
    <xf numFmtId="0" fontId="6" fillId="5" borderId="34" xfId="10" applyFill="1" applyBorder="1" applyAlignment="1">
      <alignment wrapText="1"/>
    </xf>
    <xf numFmtId="0" fontId="20" fillId="5" borderId="35" xfId="10" applyFont="1" applyFill="1" applyBorder="1" applyAlignment="1">
      <alignment vertical="center"/>
    </xf>
    <xf numFmtId="0" fontId="21" fillId="5" borderId="36" xfId="10" applyFont="1" applyFill="1" applyBorder="1" applyAlignment="1">
      <alignment vertical="center" wrapText="1"/>
    </xf>
    <xf numFmtId="0" fontId="21" fillId="5" borderId="37" xfId="10" applyFont="1" applyFill="1" applyBorder="1" applyAlignment="1">
      <alignment horizontal="center" vertical="center" wrapText="1"/>
    </xf>
    <xf numFmtId="0" fontId="6" fillId="5" borderId="23" xfId="10" applyFill="1" applyBorder="1"/>
    <xf numFmtId="0" fontId="6" fillId="5" borderId="2" xfId="10" applyFill="1" applyBorder="1"/>
    <xf numFmtId="0" fontId="20" fillId="0" borderId="8" xfId="10" applyFont="1" applyBorder="1" applyAlignment="1">
      <alignment horizontal="left" vertical="center" wrapText="1"/>
    </xf>
    <xf numFmtId="0" fontId="6" fillId="0" borderId="6" xfId="10" applyBorder="1" applyAlignment="1">
      <alignment vertical="center"/>
    </xf>
    <xf numFmtId="0" fontId="6" fillId="0" borderId="25" xfId="10" applyBorder="1" applyAlignment="1">
      <alignment vertical="center"/>
    </xf>
    <xf numFmtId="0" fontId="22" fillId="0" borderId="12" xfId="10" applyFont="1" applyBorder="1" applyAlignment="1">
      <alignment horizontal="center" vertical="center" wrapText="1"/>
    </xf>
    <xf numFmtId="0" fontId="22" fillId="0" borderId="11" xfId="10" applyFont="1" applyBorder="1" applyAlignment="1">
      <alignment horizontal="center" vertical="center"/>
    </xf>
    <xf numFmtId="0" fontId="22" fillId="0" borderId="18" xfId="10" applyFont="1" applyBorder="1" applyAlignment="1">
      <alignment horizontal="center" vertical="center"/>
    </xf>
    <xf numFmtId="0" fontId="6" fillId="0" borderId="23" xfId="10" applyBorder="1" applyAlignment="1">
      <alignment vertical="center"/>
    </xf>
    <xf numFmtId="0" fontId="11" fillId="0" borderId="0" xfId="0" applyFont="1" applyAlignment="1">
      <alignment vertical="top"/>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0" fontId="25" fillId="0" borderId="0" xfId="0" applyFont="1" applyAlignment="1" applyProtection="1">
      <alignment vertical="top"/>
      <protection locked="0"/>
    </xf>
    <xf numFmtId="0" fontId="0" fillId="0" borderId="0" xfId="0" applyAlignment="1">
      <alignment vertical="top"/>
    </xf>
    <xf numFmtId="0" fontId="13" fillId="0" borderId="0" xfId="0"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4" fillId="2" borderId="0" xfId="0" applyFont="1" applyFill="1" applyAlignment="1" applyProtection="1">
      <alignment vertical="top" wrapText="1"/>
      <protection locked="0"/>
    </xf>
    <xf numFmtId="0" fontId="13" fillId="0" borderId="0" xfId="0" applyFont="1" applyAlignment="1">
      <alignment vertical="top"/>
    </xf>
    <xf numFmtId="0" fontId="13" fillId="0" borderId="0" xfId="0" applyFont="1" applyAlignment="1">
      <alignment vertical="top" wrapText="1"/>
    </xf>
    <xf numFmtId="0" fontId="25" fillId="0" borderId="0" xfId="0" applyFont="1" applyAlignment="1">
      <alignment vertical="top"/>
    </xf>
    <xf numFmtId="0" fontId="14"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11" fillId="0" borderId="0" xfId="0" applyFont="1" applyAlignment="1">
      <alignment vertical="top" wrapText="1"/>
    </xf>
    <xf numFmtId="0" fontId="11" fillId="0" borderId="0" xfId="0" applyFont="1" applyAlignment="1" applyProtection="1">
      <alignment vertical="top" wrapText="1"/>
      <protection locked="0"/>
    </xf>
    <xf numFmtId="0" fontId="13" fillId="0" borderId="1" xfId="0" applyFont="1" applyBorder="1" applyAlignment="1">
      <alignment vertical="top"/>
    </xf>
    <xf numFmtId="0" fontId="13" fillId="0" borderId="1" xfId="0" applyFont="1" applyBorder="1" applyAlignment="1">
      <alignment vertical="top" wrapText="1"/>
    </xf>
    <xf numFmtId="0" fontId="13" fillId="2" borderId="0" xfId="0" applyFont="1" applyFill="1" applyAlignment="1" applyProtection="1">
      <alignment vertical="top" wrapText="1"/>
      <protection locked="0"/>
    </xf>
    <xf numFmtId="0" fontId="15" fillId="0" borderId="0" xfId="0" applyFont="1" applyAlignment="1" applyProtection="1">
      <alignment vertical="top"/>
      <protection locked="0"/>
    </xf>
    <xf numFmtId="0" fontId="13"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5" fillId="0" borderId="0" xfId="0" applyFont="1" applyAlignment="1">
      <alignment vertical="top" wrapText="1"/>
    </xf>
    <xf numFmtId="0" fontId="17" fillId="2" borderId="0" xfId="0" applyFont="1" applyFill="1" applyAlignment="1" applyProtection="1">
      <alignment vertical="top"/>
      <protection locked="0"/>
    </xf>
    <xf numFmtId="0" fontId="15" fillId="2" borderId="0" xfId="0" applyFont="1" applyFill="1" applyAlignment="1" applyProtection="1">
      <alignment vertical="top"/>
      <protection locked="0"/>
    </xf>
    <xf numFmtId="0" fontId="15" fillId="0" borderId="0" xfId="0" applyFont="1" applyAlignment="1">
      <alignment vertical="top"/>
    </xf>
    <xf numFmtId="165"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1" fillId="0" borderId="0" xfId="0" applyFont="1" applyAlignment="1">
      <alignment horizontal="center" vertical="center"/>
    </xf>
    <xf numFmtId="0" fontId="11" fillId="0" borderId="0" xfId="0" applyFont="1" applyAlignment="1">
      <alignment horizontal="center" vertical="center" wrapText="1"/>
    </xf>
    <xf numFmtId="0" fontId="11" fillId="2" borderId="0" xfId="0" applyFont="1" applyFill="1" applyAlignment="1" applyProtection="1">
      <alignment horizontal="center" vertical="center" wrapText="1"/>
      <protection locked="0"/>
    </xf>
    <xf numFmtId="0" fontId="11" fillId="2" borderId="0" xfId="0" applyFont="1" applyFill="1" applyAlignment="1" applyProtection="1">
      <alignment horizontal="center" vertical="center"/>
      <protection locked="0"/>
    </xf>
    <xf numFmtId="0" fontId="11"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0" fillId="0" borderId="0" xfId="0" applyAlignment="1">
      <alignment vertical="center"/>
    </xf>
    <xf numFmtId="0" fontId="14" fillId="0" borderId="0" xfId="0" applyFont="1" applyAlignment="1" applyProtection="1">
      <alignment vertical="center"/>
      <protection locked="0"/>
    </xf>
    <xf numFmtId="0" fontId="13" fillId="0" borderId="0" xfId="0" applyFont="1" applyAlignment="1">
      <alignment vertical="center"/>
    </xf>
    <xf numFmtId="0" fontId="11" fillId="0" borderId="0" xfId="0" applyFont="1" applyAlignment="1">
      <alignment vertical="center"/>
    </xf>
    <xf numFmtId="0" fontId="11"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lignment vertical="center"/>
    </xf>
    <xf numFmtId="0" fontId="14" fillId="0" borderId="0" xfId="0" applyFont="1" applyAlignment="1">
      <alignment vertical="center"/>
    </xf>
    <xf numFmtId="0" fontId="13" fillId="0" borderId="1" xfId="0" applyFont="1" applyBorder="1" applyAlignment="1">
      <alignment vertical="center"/>
    </xf>
    <xf numFmtId="0" fontId="13" fillId="0" borderId="0" xfId="0" applyFont="1" applyAlignment="1" applyProtection="1">
      <alignment vertical="center"/>
      <protection locked="0"/>
    </xf>
    <xf numFmtId="0" fontId="0" fillId="0" borderId="1" xfId="0" applyBorder="1" applyAlignment="1">
      <alignment vertical="center"/>
    </xf>
    <xf numFmtId="0" fontId="25" fillId="0" borderId="0" xfId="0" applyFont="1" applyAlignment="1">
      <alignment vertical="center"/>
    </xf>
    <xf numFmtId="0" fontId="17"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0" fillId="0" borderId="0" xfId="0" applyFont="1" applyAlignment="1">
      <alignment vertical="center"/>
    </xf>
    <xf numFmtId="0" fontId="20" fillId="0" borderId="5" xfId="10" applyFont="1" applyBorder="1" applyAlignment="1">
      <alignment horizontal="left" vertical="center" wrapText="1"/>
    </xf>
    <xf numFmtId="0" fontId="20" fillId="0" borderId="8" xfId="10" applyFont="1" applyBorder="1" applyAlignment="1">
      <alignment horizontal="left" vertical="center"/>
    </xf>
    <xf numFmtId="0" fontId="21" fillId="0" borderId="19" xfId="5" applyFont="1" applyBorder="1" applyAlignment="1">
      <alignment vertical="center" wrapText="1"/>
    </xf>
    <xf numFmtId="0" fontId="6" fillId="5" borderId="24" xfId="10" applyFill="1" applyBorder="1" applyAlignment="1">
      <alignment horizontal="center" vertical="center"/>
    </xf>
    <xf numFmtId="0" fontId="21" fillId="0" borderId="22" xfId="10" applyFont="1" applyBorder="1" applyAlignment="1">
      <alignment horizontal="center" vertical="center" wrapText="1"/>
    </xf>
    <xf numFmtId="0" fontId="0" fillId="0" borderId="2" xfId="0" applyBorder="1"/>
    <xf numFmtId="0" fontId="13"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1" fillId="0" borderId="7" xfId="0" applyFont="1" applyBorder="1" applyAlignment="1">
      <alignment horizontal="center" vertical="center" wrapText="1"/>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13" fillId="0" borderId="7" xfId="0" applyFont="1" applyBorder="1" applyAlignment="1">
      <alignment horizontal="center" vertical="center"/>
    </xf>
    <xf numFmtId="0" fontId="13" fillId="0" borderId="7" xfId="0" applyFont="1" applyBorder="1" applyAlignment="1">
      <alignment wrapText="1"/>
    </xf>
    <xf numFmtId="0" fontId="25" fillId="0" borderId="7" xfId="0" applyFont="1" applyBorder="1" applyAlignment="1">
      <alignment wrapText="1"/>
    </xf>
    <xf numFmtId="0" fontId="13"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3"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6" fillId="0" borderId="0" xfId="0" applyFont="1" applyAlignment="1" applyProtection="1">
      <alignment vertical="top" wrapText="1"/>
      <protection locked="0"/>
    </xf>
    <xf numFmtId="9" fontId="14" fillId="0" borderId="0" xfId="0" applyNumberFormat="1" applyFont="1" applyAlignment="1" applyProtection="1">
      <alignment vertical="top"/>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9" fontId="13" fillId="0" borderId="0" xfId="7" applyFont="1" applyFill="1" applyAlignment="1" applyProtection="1">
      <alignment vertical="top"/>
      <protection locked="0"/>
    </xf>
    <xf numFmtId="164" fontId="13" fillId="0" borderId="0" xfId="0" applyNumberFormat="1" applyFont="1" applyAlignment="1" applyProtection="1">
      <alignment vertical="top"/>
      <protection locked="0"/>
    </xf>
    <xf numFmtId="164" fontId="13" fillId="0" borderId="0" xfId="0" applyNumberFormat="1" applyFont="1" applyAlignment="1" applyProtection="1">
      <alignment vertical="top" wrapText="1"/>
      <protection locked="0"/>
    </xf>
    <xf numFmtId="9" fontId="13" fillId="0" borderId="0" xfId="7" applyFont="1" applyFill="1" applyAlignment="1" applyProtection="1">
      <alignment vertical="top" wrapText="1"/>
      <protection locked="0"/>
    </xf>
    <xf numFmtId="9" fontId="13" fillId="0" borderId="0" xfId="7" applyFont="1" applyFill="1" applyBorder="1" applyAlignment="1" applyProtection="1">
      <alignment vertical="top"/>
      <protection locked="0"/>
    </xf>
    <xf numFmtId="164" fontId="14" fillId="0" borderId="0" xfId="0" applyNumberFormat="1" applyFont="1" applyAlignment="1" applyProtection="1">
      <alignment vertical="top"/>
      <protection locked="0"/>
    </xf>
    <xf numFmtId="9" fontId="14" fillId="0" borderId="0" xfId="7" applyFont="1" applyFill="1" applyBorder="1" applyAlignment="1" applyProtection="1">
      <alignment vertical="top"/>
      <protection locked="0"/>
    </xf>
    <xf numFmtId="9" fontId="25" fillId="0" borderId="17" xfId="7" applyFont="1" applyFill="1" applyBorder="1" applyAlignment="1" applyProtection="1">
      <alignment vertical="top"/>
      <protection locked="0"/>
    </xf>
    <xf numFmtId="0" fontId="25" fillId="0" borderId="18" xfId="0" applyFont="1" applyBorder="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49" fontId="39" fillId="0" borderId="0" xfId="0" applyNumberFormat="1" applyFont="1" applyAlignment="1">
      <alignment horizontal="left" vertical="top" wrapText="1"/>
    </xf>
    <xf numFmtId="1" fontId="37" fillId="2" borderId="7" xfId="5" applyNumberFormat="1" applyFont="1" applyFill="1" applyBorder="1" applyAlignment="1" applyProtection="1">
      <alignment horizontal="center" vertical="center"/>
      <protection locked="0"/>
    </xf>
    <xf numFmtId="0" fontId="21" fillId="0" borderId="16" xfId="5" applyFont="1" applyBorder="1" applyAlignment="1">
      <alignment vertical="center" wrapText="1"/>
    </xf>
    <xf numFmtId="0" fontId="20" fillId="0" borderId="9" xfId="5" applyFont="1" applyBorder="1" applyAlignment="1">
      <alignment vertical="center" wrapText="1"/>
    </xf>
    <xf numFmtId="0" fontId="20" fillId="0" borderId="7" xfId="5" applyFont="1" applyBorder="1" applyAlignment="1">
      <alignment vertical="center" wrapText="1"/>
    </xf>
    <xf numFmtId="0" fontId="24" fillId="0" borderId="7" xfId="6" applyFont="1" applyFill="1" applyBorder="1" applyAlignment="1" applyProtection="1">
      <alignment horizontal="center" vertical="center"/>
    </xf>
    <xf numFmtId="0" fontId="13" fillId="0" borderId="0" xfId="0" applyFont="1" applyAlignment="1" applyProtection="1">
      <alignment horizontal="right" vertical="top"/>
      <protection locked="0"/>
    </xf>
    <xf numFmtId="164" fontId="13" fillId="0" borderId="0" xfId="0" applyNumberFormat="1" applyFont="1" applyAlignment="1" applyProtection="1">
      <alignment horizontal="right" vertical="top"/>
      <protection locked="0"/>
    </xf>
    <xf numFmtId="164" fontId="13" fillId="0" borderId="0" xfId="0" applyNumberFormat="1" applyFont="1" applyAlignment="1">
      <alignment horizontal="right" vertical="top"/>
    </xf>
    <xf numFmtId="0" fontId="25" fillId="0" borderId="17" xfId="0" applyFont="1" applyBorder="1" applyAlignment="1" applyProtection="1">
      <alignment horizontal="right" vertical="top"/>
      <protection locked="0"/>
    </xf>
    <xf numFmtId="164" fontId="13" fillId="0" borderId="0" xfId="0" applyNumberFormat="1" applyFont="1" applyAlignment="1" applyProtection="1">
      <alignment horizontal="right" vertical="top" wrapText="1"/>
      <protection locked="0"/>
    </xf>
    <xf numFmtId="164" fontId="14" fillId="0" borderId="0" xfId="0" applyNumberFormat="1" applyFont="1" applyAlignment="1" applyProtection="1">
      <alignment horizontal="right" vertical="top"/>
      <protection locked="0"/>
    </xf>
    <xf numFmtId="0" fontId="11" fillId="0" borderId="34" xfId="0" applyFont="1" applyBorder="1" applyAlignment="1" applyProtection="1">
      <alignment horizontal="center" vertical="center" wrapText="1"/>
      <protection locked="0"/>
    </xf>
    <xf numFmtId="0" fontId="25" fillId="6" borderId="12" xfId="0" applyFont="1" applyFill="1" applyBorder="1" applyAlignment="1" applyProtection="1">
      <alignment horizontal="center" vertical="center" wrapText="1"/>
      <protection locked="0"/>
    </xf>
    <xf numFmtId="9" fontId="25" fillId="6" borderId="11" xfId="7" applyFont="1" applyFill="1" applyBorder="1" applyAlignment="1" applyProtection="1">
      <alignment horizontal="center" vertical="center" wrapText="1"/>
      <protection locked="0"/>
    </xf>
    <xf numFmtId="0" fontId="25" fillId="6" borderId="11" xfId="0" applyFont="1" applyFill="1" applyBorder="1" applyAlignment="1" applyProtection="1">
      <alignment horizontal="center" vertical="center" wrapText="1"/>
      <protection locked="0"/>
    </xf>
    <xf numFmtId="0" fontId="24" fillId="0" borderId="20" xfId="0" applyFont="1" applyBorder="1" applyProtection="1">
      <protection locked="0"/>
    </xf>
    <xf numFmtId="0" fontId="0" fillId="0" borderId="17" xfId="0" applyBorder="1" applyAlignment="1" applyProtection="1">
      <alignment vertical="top"/>
      <protection locked="0"/>
    </xf>
    <xf numFmtId="0" fontId="7" fillId="0" borderId="6" xfId="5" applyBorder="1"/>
    <xf numFmtId="0" fontId="20" fillId="0" borderId="19" xfId="5" applyFont="1" applyBorder="1" applyAlignment="1">
      <alignment horizontal="left" vertical="center" wrapText="1"/>
    </xf>
    <xf numFmtId="0" fontId="7" fillId="0" borderId="23" xfId="5" applyBorder="1"/>
    <xf numFmtId="0" fontId="7" fillId="0" borderId="2" xfId="5" applyBorder="1"/>
    <xf numFmtId="0" fontId="26" fillId="2" borderId="0" xfId="0" applyFont="1" applyFill="1" applyProtection="1">
      <protection locked="0"/>
    </xf>
    <xf numFmtId="0" fontId="26" fillId="0" borderId="0" xfId="0" applyFont="1" applyProtection="1">
      <protection locked="0"/>
    </xf>
    <xf numFmtId="0" fontId="21" fillId="0" borderId="29" xfId="5" applyFont="1" applyBorder="1" applyAlignment="1">
      <alignment horizontal="center" vertical="center" wrapText="1"/>
    </xf>
    <xf numFmtId="164" fontId="13" fillId="7" borderId="0" xfId="0" applyNumberFormat="1" applyFont="1" applyFill="1" applyAlignment="1" applyProtection="1">
      <alignment horizontal="right" vertical="top"/>
      <protection locked="0"/>
    </xf>
    <xf numFmtId="9" fontId="13" fillId="7" borderId="0" xfId="7" applyFont="1" applyFill="1" applyAlignment="1" applyProtection="1">
      <alignment vertical="top"/>
      <protection locked="0"/>
    </xf>
    <xf numFmtId="164" fontId="13" fillId="7" borderId="0" xfId="0" applyNumberFormat="1" applyFont="1" applyFill="1" applyAlignment="1" applyProtection="1">
      <alignment vertical="top"/>
      <protection locked="0"/>
    </xf>
    <xf numFmtId="9" fontId="13" fillId="0" borderId="0" xfId="7" applyFont="1" applyFill="1" applyAlignment="1" applyProtection="1">
      <alignment vertical="top"/>
    </xf>
    <xf numFmtId="164" fontId="13" fillId="0" borderId="0" xfId="0" applyNumberFormat="1" applyFont="1" applyAlignment="1">
      <alignment vertical="top"/>
    </xf>
    <xf numFmtId="0" fontId="13" fillId="0" borderId="0" xfId="0" applyFont="1" applyAlignment="1" applyProtection="1">
      <alignment horizontal="left" vertical="top" wrapText="1"/>
      <protection locked="0"/>
    </xf>
    <xf numFmtId="0" fontId="13" fillId="0" borderId="0" xfId="2" applyFont="1" applyAlignment="1">
      <alignment vertical="top" wrapText="1"/>
    </xf>
    <xf numFmtId="0" fontId="13" fillId="0" borderId="0" xfId="2" applyFont="1" applyAlignment="1" applyProtection="1">
      <alignment vertical="top" wrapText="1"/>
      <protection locked="0"/>
    </xf>
    <xf numFmtId="0" fontId="11" fillId="0" borderId="0" xfId="0" applyFont="1" applyAlignment="1">
      <alignment wrapText="1"/>
    </xf>
    <xf numFmtId="0" fontId="13"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13" fillId="0" borderId="0" xfId="2" applyFont="1" applyAlignment="1">
      <alignment horizontal="left" vertical="center" wrapText="1"/>
    </xf>
    <xf numFmtId="0" fontId="13" fillId="0" borderId="0" xfId="2" applyFont="1" applyAlignment="1" applyProtection="1">
      <alignment horizontal="left" vertical="center" wrapText="1"/>
      <protection locked="0"/>
    </xf>
    <xf numFmtId="0" fontId="14" fillId="0" borderId="0" xfId="2" applyFont="1" applyAlignment="1" applyProtection="1">
      <alignment vertical="center" wrapText="1"/>
      <protection locked="0"/>
    </xf>
    <xf numFmtId="0" fontId="22" fillId="0" borderId="45" xfId="10" applyFont="1" applyBorder="1" applyAlignment="1">
      <alignment horizontal="center" vertical="center"/>
    </xf>
    <xf numFmtId="0" fontId="6" fillId="5" borderId="46" xfId="10" applyFill="1" applyBorder="1" applyAlignment="1">
      <alignment horizontal="center" vertical="center"/>
    </xf>
    <xf numFmtId="0" fontId="22" fillId="0" borderId="47" xfId="10" applyFont="1" applyBorder="1" applyAlignment="1">
      <alignment horizontal="center" vertical="center"/>
    </xf>
    <xf numFmtId="0" fontId="21" fillId="0" borderId="38" xfId="17" applyFont="1" applyBorder="1" applyAlignment="1">
      <alignment vertical="center" wrapText="1"/>
    </xf>
    <xf numFmtId="0" fontId="21" fillId="5" borderId="49" xfId="10" applyFont="1" applyFill="1" applyBorder="1" applyAlignment="1">
      <alignment vertical="center" wrapText="1"/>
    </xf>
    <xf numFmtId="0" fontId="3" fillId="0" borderId="13" xfId="17" applyBorder="1"/>
    <xf numFmtId="0" fontId="3" fillId="0" borderId="3" xfId="17" applyBorder="1"/>
    <xf numFmtId="0" fontId="3" fillId="0" borderId="2" xfId="17" applyBorder="1"/>
    <xf numFmtId="0" fontId="22" fillId="0" borderId="47" xfId="17" applyFont="1" applyBorder="1" applyAlignment="1">
      <alignment horizontal="center" vertical="center"/>
    </xf>
    <xf numFmtId="0" fontId="12" fillId="0" borderId="53" xfId="17" applyFont="1" applyBorder="1" applyAlignment="1">
      <alignment horizontal="center" vertical="center"/>
    </xf>
    <xf numFmtId="0" fontId="21" fillId="0" borderId="38" xfId="17" applyFont="1" applyBorder="1" applyAlignment="1">
      <alignment horizontal="center" vertical="center" wrapText="1"/>
    </xf>
    <xf numFmtId="2" fontId="21" fillId="0" borderId="49" xfId="17" applyNumberFormat="1" applyFont="1" applyBorder="1" applyAlignment="1">
      <alignment horizontal="center" vertical="center" wrapText="1"/>
    </xf>
    <xf numFmtId="0" fontId="21" fillId="5" borderId="49" xfId="17" applyFont="1" applyFill="1" applyBorder="1" applyAlignment="1">
      <alignment horizontal="center" vertical="center" wrapText="1"/>
    </xf>
    <xf numFmtId="0" fontId="3" fillId="5" borderId="54" xfId="17" applyFill="1" applyBorder="1" applyAlignment="1">
      <alignment horizontal="center" vertical="center"/>
    </xf>
    <xf numFmtId="0" fontId="3" fillId="5" borderId="7" xfId="17" applyFill="1" applyBorder="1" applyAlignment="1">
      <alignment horizontal="center" vertical="center"/>
    </xf>
    <xf numFmtId="0" fontId="3" fillId="3" borderId="7" xfId="17" applyFill="1" applyBorder="1" applyAlignment="1" applyProtection="1">
      <alignment horizontal="center" vertical="center"/>
      <protection locked="0"/>
    </xf>
    <xf numFmtId="4" fontId="3" fillId="5" borderId="4" xfId="17" applyNumberFormat="1" applyFill="1" applyBorder="1" applyAlignment="1">
      <alignment horizontal="center" vertical="center"/>
    </xf>
    <xf numFmtId="165" fontId="21" fillId="0" borderId="51" xfId="7" applyNumberFormat="1" applyFont="1" applyBorder="1" applyAlignment="1" applyProtection="1">
      <alignment horizontal="center" vertical="center" wrapText="1"/>
    </xf>
    <xf numFmtId="165" fontId="21" fillId="0" borderId="42" xfId="7" applyNumberFormat="1" applyFont="1" applyBorder="1" applyAlignment="1" applyProtection="1">
      <alignment horizontal="center" vertical="center" wrapText="1"/>
    </xf>
    <xf numFmtId="165" fontId="21" fillId="0" borderId="52" xfId="7" applyNumberFormat="1" applyFont="1" applyBorder="1" applyAlignment="1" applyProtection="1">
      <alignment horizontal="center" vertical="center" wrapText="1"/>
    </xf>
    <xf numFmtId="165" fontId="21" fillId="0" borderId="21" xfId="7" applyNumberFormat="1" applyFont="1" applyBorder="1" applyAlignment="1" applyProtection="1">
      <alignment horizontal="center" vertical="center" wrapText="1"/>
    </xf>
    <xf numFmtId="165" fontId="21" fillId="0" borderId="50" xfId="7" applyNumberFormat="1" applyFont="1" applyBorder="1" applyAlignment="1" applyProtection="1">
      <alignment horizontal="center" vertical="center" wrapText="1"/>
    </xf>
    <xf numFmtId="165" fontId="21" fillId="0" borderId="22" xfId="7" applyNumberFormat="1" applyFont="1" applyBorder="1" applyAlignment="1" applyProtection="1">
      <alignment horizontal="center" vertical="center" wrapText="1"/>
    </xf>
    <xf numFmtId="0" fontId="43" fillId="0" borderId="33" xfId="10" applyFont="1" applyBorder="1" applyAlignment="1">
      <alignment horizontal="center" vertical="center" wrapText="1"/>
    </xf>
    <xf numFmtId="0" fontId="43" fillId="0" borderId="29" xfId="10" applyFont="1" applyBorder="1" applyAlignment="1">
      <alignment horizontal="center" vertical="center" wrapText="1"/>
    </xf>
    <xf numFmtId="0" fontId="44" fillId="0" borderId="37" xfId="5" applyFont="1" applyBorder="1" applyAlignment="1">
      <alignment horizontal="center" vertical="center" wrapText="1"/>
    </xf>
    <xf numFmtId="0" fontId="44" fillId="0" borderId="29" xfId="10" applyFont="1" applyBorder="1" applyAlignment="1">
      <alignment horizontal="center" vertical="center" wrapText="1"/>
    </xf>
    <xf numFmtId="0" fontId="44" fillId="0" borderId="29" xfId="5" applyFont="1" applyBorder="1" applyAlignment="1">
      <alignment horizontal="center" vertical="center" wrapText="1"/>
    </xf>
    <xf numFmtId="0" fontId="44" fillId="0" borderId="43" xfId="5" applyFont="1" applyBorder="1" applyAlignment="1">
      <alignment horizontal="center" vertical="center"/>
    </xf>
    <xf numFmtId="0" fontId="44" fillId="0" borderId="44" xfId="5" applyFont="1" applyBorder="1" applyAlignment="1">
      <alignment horizontal="center" vertical="center"/>
    </xf>
    <xf numFmtId="0" fontId="44" fillId="0" borderId="33" xfId="10" applyFont="1" applyBorder="1" applyAlignment="1">
      <alignment horizontal="center" vertical="center" wrapText="1"/>
    </xf>
    <xf numFmtId="0" fontId="14" fillId="0" borderId="0" xfId="0" applyFont="1" applyAlignment="1">
      <alignment vertical="top"/>
    </xf>
    <xf numFmtId="0" fontId="21" fillId="0" borderId="19" xfId="5" applyFont="1" applyBorder="1" applyAlignment="1">
      <alignment horizontal="left" vertical="center" wrapText="1"/>
    </xf>
    <xf numFmtId="0" fontId="20" fillId="0" borderId="7" xfId="17" applyFont="1" applyBorder="1" applyAlignment="1">
      <alignment vertical="center" wrapText="1"/>
    </xf>
    <xf numFmtId="0" fontId="21" fillId="0" borderId="7" xfId="17" applyFont="1" applyBorder="1" applyAlignment="1">
      <alignment vertical="center" wrapText="1"/>
    </xf>
    <xf numFmtId="0" fontId="21" fillId="0" borderId="55" xfId="5" applyFont="1" applyBorder="1" applyAlignment="1">
      <alignment vertical="center" wrapText="1"/>
    </xf>
    <xf numFmtId="0" fontId="20" fillId="0" borderId="39" xfId="5" applyFont="1" applyBorder="1" applyAlignment="1">
      <alignment wrapText="1"/>
    </xf>
    <xf numFmtId="0" fontId="21" fillId="0" borderId="38" xfId="5" applyFont="1" applyBorder="1" applyAlignment="1">
      <alignment vertical="center" wrapText="1"/>
    </xf>
    <xf numFmtId="0" fontId="21" fillId="0" borderId="56" xfId="5" applyFont="1" applyBorder="1" applyAlignment="1">
      <alignment vertical="center" wrapText="1"/>
    </xf>
    <xf numFmtId="0" fontId="21" fillId="0" borderId="50" xfId="5" applyFont="1" applyBorder="1" applyAlignment="1">
      <alignment vertical="center" wrapText="1"/>
    </xf>
    <xf numFmtId="0" fontId="21" fillId="0" borderId="31" xfId="5" applyFont="1" applyBorder="1" applyAlignment="1">
      <alignment horizontal="left" vertical="center" wrapText="1"/>
    </xf>
    <xf numFmtId="0" fontId="20" fillId="0" borderId="32" xfId="5" applyFont="1" applyBorder="1" applyAlignment="1">
      <alignment horizontal="left" vertical="center" wrapText="1"/>
    </xf>
    <xf numFmtId="0" fontId="20" fillId="0" borderId="48" xfId="5" applyFont="1" applyBorder="1" applyAlignment="1">
      <alignment horizontal="center" vertical="center" wrapText="1"/>
    </xf>
    <xf numFmtId="0" fontId="21" fillId="0" borderId="58" xfId="5" applyFont="1" applyBorder="1" applyAlignment="1">
      <alignment horizontal="center" vertical="center" wrapText="1"/>
    </xf>
    <xf numFmtId="0" fontId="21" fillId="0" borderId="57" xfId="5" applyFont="1" applyBorder="1" applyAlignment="1">
      <alignment horizontal="center" vertical="center" wrapText="1"/>
    </xf>
    <xf numFmtId="0" fontId="20" fillId="0" borderId="38" xfId="5" applyFont="1" applyBorder="1" applyAlignment="1">
      <alignment horizontal="center" vertical="center" wrapText="1"/>
    </xf>
    <xf numFmtId="0" fontId="21" fillId="0" borderId="38" xfId="5" applyFont="1" applyBorder="1" applyAlignment="1">
      <alignment horizontal="center" vertical="center" wrapText="1"/>
    </xf>
    <xf numFmtId="0" fontId="21" fillId="0" borderId="52" xfId="5" applyFont="1" applyBorder="1" applyAlignment="1">
      <alignment horizontal="center" vertical="center" wrapText="1"/>
    </xf>
    <xf numFmtId="0" fontId="21" fillId="0" borderId="7" xfId="5" applyFont="1" applyBorder="1" applyAlignment="1">
      <alignment horizontal="center" vertical="center" wrapText="1"/>
    </xf>
    <xf numFmtId="0" fontId="20" fillId="0" borderId="39" xfId="5" applyFont="1" applyBorder="1" applyAlignment="1">
      <alignment horizontal="center" vertical="center" wrapText="1"/>
    </xf>
    <xf numFmtId="0" fontId="12" fillId="0" borderId="7" xfId="17" applyFont="1" applyBorder="1" applyAlignment="1">
      <alignment horizontal="center" vertical="center"/>
    </xf>
    <xf numFmtId="0" fontId="13" fillId="0" borderId="7" xfId="0" applyFont="1" applyBorder="1" applyAlignment="1">
      <alignment readingOrder="2"/>
    </xf>
    <xf numFmtId="0" fontId="13" fillId="0" borderId="9" xfId="0" applyFont="1" applyBorder="1" applyAlignment="1">
      <alignment readingOrder="2"/>
    </xf>
    <xf numFmtId="0" fontId="25" fillId="0" borderId="9" xfId="0" applyFont="1" applyBorder="1" applyAlignment="1">
      <alignment readingOrder="2"/>
    </xf>
    <xf numFmtId="0" fontId="13" fillId="0" borderId="0" xfId="3" applyFont="1" applyAlignment="1">
      <alignment horizontal="right" vertical="top" wrapText="1"/>
    </xf>
    <xf numFmtId="0" fontId="13" fillId="0" borderId="0" xfId="0" applyFont="1" applyAlignment="1">
      <alignment horizontal="right" vertical="top" wrapText="1"/>
    </xf>
    <xf numFmtId="0" fontId="21" fillId="0" borderId="51" xfId="5" applyFont="1" applyBorder="1" applyAlignment="1">
      <alignment vertical="center" wrapText="1"/>
    </xf>
    <xf numFmtId="0" fontId="21" fillId="0" borderId="52" xfId="5" applyFont="1" applyBorder="1" applyAlignment="1">
      <alignment vertical="center" wrapText="1"/>
    </xf>
    <xf numFmtId="0" fontId="0" fillId="0" borderId="0" xfId="2" applyFont="1" applyAlignment="1">
      <alignment horizontal="right" vertical="top" wrapText="1"/>
    </xf>
    <xf numFmtId="0" fontId="14" fillId="0" borderId="0" xfId="0" applyFont="1" applyAlignment="1" applyProtection="1">
      <alignment horizontal="right" vertical="top" wrapText="1"/>
      <protection locked="0"/>
    </xf>
    <xf numFmtId="0" fontId="14" fillId="0" borderId="0" xfId="3" applyFont="1" applyAlignment="1" applyProtection="1">
      <alignment horizontal="right" vertical="top" wrapText="1"/>
      <protection locked="0"/>
    </xf>
    <xf numFmtId="0" fontId="13" fillId="0" borderId="0" xfId="0" applyFont="1" applyAlignment="1" applyProtection="1">
      <alignment horizontal="right" vertical="top" wrapText="1"/>
      <protection locked="0"/>
    </xf>
    <xf numFmtId="0" fontId="14" fillId="0" borderId="0" xfId="2" applyFont="1" applyAlignment="1" applyProtection="1">
      <alignment horizontal="right" vertical="top" wrapText="1"/>
      <protection locked="0"/>
    </xf>
    <xf numFmtId="0" fontId="13" fillId="0" borderId="0" xfId="3" applyFont="1" applyAlignment="1">
      <alignment horizontal="right" vertical="center" wrapText="1"/>
    </xf>
    <xf numFmtId="0" fontId="0" fillId="0" borderId="0" xfId="0" applyAlignment="1">
      <alignment horizontal="right" vertical="top"/>
    </xf>
    <xf numFmtId="0" fontId="14"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13" fillId="0" borderId="0" xfId="2" applyFont="1" applyAlignment="1">
      <alignment horizontal="right" vertical="center" wrapText="1"/>
    </xf>
    <xf numFmtId="0" fontId="13"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4" fillId="0" borderId="0" xfId="3" applyFont="1" applyAlignment="1" applyProtection="1">
      <alignment horizontal="right" vertical="center" wrapText="1"/>
      <protection locked="0"/>
    </xf>
    <xf numFmtId="0" fontId="14" fillId="0" borderId="0" xfId="2" applyFont="1" applyAlignment="1" applyProtection="1">
      <alignment horizontal="right" vertical="center" wrapText="1"/>
      <protection locked="0"/>
    </xf>
    <xf numFmtId="49" fontId="39" fillId="0" borderId="0" xfId="0" applyNumberFormat="1" applyFont="1" applyAlignment="1">
      <alignment horizontal="right" vertical="top" wrapText="1"/>
    </xf>
    <xf numFmtId="0" fontId="0" fillId="5" borderId="0" xfId="0" applyFill="1" applyAlignment="1">
      <alignment wrapText="1"/>
    </xf>
    <xf numFmtId="0" fontId="3" fillId="2" borderId="7" xfId="17" applyFill="1" applyBorder="1" applyAlignment="1" applyProtection="1">
      <alignment horizontal="center" vertical="center"/>
      <protection locked="0"/>
    </xf>
    <xf numFmtId="0" fontId="13" fillId="0" borderId="0" xfId="0" applyFont="1"/>
    <xf numFmtId="0" fontId="14" fillId="0" borderId="0" xfId="0" applyFont="1"/>
    <xf numFmtId="0" fontId="20" fillId="0" borderId="59" xfId="5" applyFont="1" applyBorder="1" applyAlignment="1">
      <alignment vertical="center"/>
    </xf>
    <xf numFmtId="0" fontId="20" fillId="0" borderId="60" xfId="5" applyFont="1" applyBorder="1" applyAlignment="1">
      <alignment vertical="center" wrapText="1"/>
    </xf>
    <xf numFmtId="0" fontId="15" fillId="0" borderId="0" xfId="0" applyFont="1" applyAlignment="1">
      <alignment wrapText="1"/>
    </xf>
    <xf numFmtId="0" fontId="21" fillId="0" borderId="0" xfId="3" applyFont="1" applyAlignment="1">
      <alignment horizontal="right" vertical="top" wrapText="1"/>
    </xf>
    <xf numFmtId="0" fontId="46" fillId="0" borderId="0" xfId="0" applyFont="1" applyAlignment="1">
      <alignment vertical="top" wrapText="1"/>
    </xf>
    <xf numFmtId="0" fontId="47" fillId="0" borderId="0" xfId="3" applyFont="1" applyAlignment="1">
      <alignment horizontal="right" vertical="center" wrapText="1"/>
    </xf>
    <xf numFmtId="0" fontId="47" fillId="0" borderId="0" xfId="2" applyFont="1" applyAlignment="1">
      <alignment vertical="center" wrapText="1"/>
    </xf>
    <xf numFmtId="0" fontId="21" fillId="0" borderId="0" xfId="3" applyFont="1" applyAlignment="1">
      <alignment horizontal="right" vertical="center"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49"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5" fontId="2" fillId="5" borderId="16" xfId="7" applyNumberFormat="1" applyFont="1" applyFill="1" applyBorder="1" applyAlignment="1">
      <alignment horizontal="center" vertical="center"/>
    </xf>
    <xf numFmtId="165" fontId="2" fillId="5" borderId="7" xfId="7" applyNumberFormat="1" applyFont="1" applyFill="1" applyBorder="1" applyAlignment="1">
      <alignment horizontal="center" vertical="center"/>
    </xf>
    <xf numFmtId="165" fontId="2" fillId="5" borderId="4" xfId="7" applyNumberFormat="1" applyFont="1" applyFill="1" applyBorder="1" applyAlignment="1">
      <alignment horizontal="center" vertical="center"/>
    </xf>
    <xf numFmtId="0" fontId="13" fillId="7" borderId="0" xfId="0" applyFont="1" applyFill="1" applyAlignment="1" applyProtection="1">
      <alignment vertical="top"/>
      <protection locked="0"/>
    </xf>
    <xf numFmtId="0" fontId="13" fillId="7" borderId="0" xfId="0" applyFont="1" applyFill="1" applyAlignment="1" applyProtection="1">
      <alignment vertical="top" wrapText="1"/>
      <protection locked="0"/>
    </xf>
    <xf numFmtId="0" fontId="13" fillId="7" borderId="0" xfId="0" applyFont="1" applyFill="1" applyAlignment="1" applyProtection="1">
      <alignment vertical="center"/>
      <protection locked="0"/>
    </xf>
    <xf numFmtId="0" fontId="0" fillId="7" borderId="0" xfId="0" applyFill="1" applyAlignment="1" applyProtection="1">
      <alignment vertical="top"/>
      <protection locked="0"/>
    </xf>
    <xf numFmtId="0" fontId="0" fillId="7" borderId="0" xfId="0" applyFill="1" applyAlignment="1" applyProtection="1">
      <alignment vertical="top" wrapText="1"/>
      <protection locked="0"/>
    </xf>
    <xf numFmtId="0" fontId="41" fillId="8" borderId="0" xfId="0" applyFont="1" applyFill="1" applyAlignment="1" applyProtection="1">
      <alignment vertical="top"/>
      <protection locked="0"/>
    </xf>
    <xf numFmtId="0" fontId="41" fillId="8" borderId="0" xfId="0" applyFont="1" applyFill="1" applyProtection="1">
      <protection locked="0"/>
    </xf>
    <xf numFmtId="0" fontId="13" fillId="8" borderId="0" xfId="0" applyFont="1" applyFill="1" applyAlignment="1" applyProtection="1">
      <alignment vertical="center"/>
      <protection locked="0"/>
    </xf>
    <xf numFmtId="0" fontId="41" fillId="8" borderId="0" xfId="0" applyFont="1" applyFill="1" applyAlignment="1" applyProtection="1">
      <alignment vertical="center"/>
      <protection locked="0"/>
    </xf>
    <xf numFmtId="0" fontId="13" fillId="7" borderId="1" xfId="0" applyFont="1" applyFill="1" applyBorder="1" applyAlignment="1" applyProtection="1">
      <alignment vertical="top"/>
      <protection locked="0"/>
    </xf>
    <xf numFmtId="0" fontId="13" fillId="7" borderId="1" xfId="0" applyFont="1" applyFill="1" applyBorder="1" applyAlignment="1" applyProtection="1">
      <alignment vertical="top" wrapText="1"/>
      <protection locked="0"/>
    </xf>
    <xf numFmtId="0" fontId="13" fillId="7" borderId="1" xfId="0" applyFont="1" applyFill="1" applyBorder="1" applyAlignment="1" applyProtection="1">
      <alignment vertical="center"/>
      <protection locked="0"/>
    </xf>
    <xf numFmtId="0" fontId="0" fillId="9" borderId="0" xfId="0" applyFill="1" applyAlignment="1" applyProtection="1">
      <alignment horizontal="left" vertical="center" wrapText="1"/>
      <protection locked="0"/>
    </xf>
    <xf numFmtId="0" fontId="13" fillId="9" borderId="0" xfId="0" applyFont="1" applyFill="1" applyAlignment="1" applyProtection="1">
      <alignment horizontal="right" vertical="center" wrapText="1"/>
      <protection locked="0"/>
    </xf>
    <xf numFmtId="0" fontId="13" fillId="8" borderId="0" xfId="0" applyFont="1" applyFill="1" applyAlignment="1" applyProtection="1">
      <alignment vertical="top"/>
      <protection locked="0"/>
    </xf>
    <xf numFmtId="0" fontId="13" fillId="8" borderId="0" xfId="0" applyFont="1" applyFill="1" applyAlignment="1" applyProtection="1">
      <alignment vertical="top" wrapText="1"/>
      <protection locked="0"/>
    </xf>
    <xf numFmtId="0" fontId="15" fillId="10" borderId="0" xfId="0" applyFont="1" applyFill="1" applyAlignment="1" applyProtection="1">
      <alignment vertical="top" wrapText="1"/>
      <protection locked="0"/>
    </xf>
    <xf numFmtId="0" fontId="13" fillId="8" borderId="0" xfId="0" applyFont="1" applyFill="1" applyProtection="1">
      <protection locked="0"/>
    </xf>
    <xf numFmtId="0" fontId="13" fillId="10" borderId="0" xfId="0" applyFont="1" applyFill="1" applyAlignment="1" applyProtection="1">
      <alignment vertical="top"/>
      <protection locked="0"/>
    </xf>
    <xf numFmtId="0" fontId="48" fillId="0" borderId="0" xfId="0" applyFont="1" applyAlignment="1" applyProtection="1">
      <alignment vertical="top"/>
      <protection locked="0"/>
    </xf>
    <xf numFmtId="9" fontId="13" fillId="0" borderId="0" xfId="7" applyFont="1" applyAlignment="1" applyProtection="1">
      <alignment vertical="top"/>
      <protection locked="0"/>
    </xf>
    <xf numFmtId="0" fontId="13" fillId="7" borderId="0" xfId="0" applyFont="1" applyFill="1" applyAlignment="1" applyProtection="1">
      <alignmen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horizontal="right" vertical="top"/>
      <protection locked="0"/>
    </xf>
    <xf numFmtId="0" fontId="13" fillId="7" borderId="0" xfId="0" applyFont="1" applyFill="1" applyAlignment="1" applyProtection="1">
      <alignment horizontal="right" vertical="top" wrapText="1"/>
      <protection locked="0"/>
    </xf>
    <xf numFmtId="0" fontId="14" fillId="7" borderId="0" xfId="0" applyFont="1" applyFill="1" applyAlignment="1" applyProtection="1">
      <alignment vertical="top" wrapText="1"/>
      <protection locked="0"/>
    </xf>
    <xf numFmtId="0" fontId="0" fillId="7" borderId="0" xfId="0" applyFill="1" applyAlignment="1" applyProtection="1">
      <alignment horizontal="right" vertical="top" wrapText="1"/>
      <protection locked="0"/>
    </xf>
    <xf numFmtId="0" fontId="13" fillId="7" borderId="0" xfId="0" applyFont="1" applyFill="1" applyProtection="1">
      <protection locked="0"/>
    </xf>
    <xf numFmtId="0" fontId="0" fillId="7" borderId="0" xfId="0" applyFill="1" applyProtection="1">
      <protection locked="0"/>
    </xf>
    <xf numFmtId="0" fontId="16" fillId="7" borderId="0" xfId="0" applyFont="1" applyFill="1" applyProtection="1">
      <protection locked="0"/>
    </xf>
    <xf numFmtId="0" fontId="49" fillId="7" borderId="0" xfId="0" applyFont="1" applyFill="1" applyProtection="1">
      <protection locked="0"/>
    </xf>
    <xf numFmtId="0" fontId="13" fillId="7" borderId="0" xfId="0" applyFont="1" applyFill="1" applyAlignment="1" applyProtection="1">
      <alignment horizontal="right" vertical="top"/>
      <protection locked="0"/>
    </xf>
    <xf numFmtId="0" fontId="15" fillId="8" borderId="0" xfId="0" applyFont="1" applyFill="1" applyProtection="1">
      <protection locked="0"/>
    </xf>
    <xf numFmtId="0" fontId="15" fillId="8" borderId="0" xfId="0" applyFont="1" applyFill="1" applyAlignment="1" applyProtection="1">
      <alignment readingOrder="2"/>
      <protection locked="0"/>
    </xf>
    <xf numFmtId="0" fontId="15" fillId="7" borderId="0" xfId="0" applyFont="1" applyFill="1" applyProtection="1">
      <protection locked="0"/>
    </xf>
    <xf numFmtId="0" fontId="2" fillId="2" borderId="7" xfId="17" applyFont="1" applyFill="1" applyBorder="1" applyAlignment="1" applyProtection="1">
      <alignment horizontal="center" vertical="center"/>
      <protection locked="0"/>
    </xf>
    <xf numFmtId="0" fontId="2" fillId="3" borderId="7" xfId="10" applyFont="1" applyFill="1" applyBorder="1" applyAlignment="1" applyProtection="1">
      <alignment horizontal="center" vertical="center"/>
      <protection locked="0"/>
    </xf>
    <xf numFmtId="0" fontId="20" fillId="0" borderId="8" xfId="5" applyFont="1" applyBorder="1" applyAlignment="1" applyProtection="1">
      <alignment vertical="center"/>
      <protection locked="0"/>
    </xf>
    <xf numFmtId="0" fontId="2" fillId="0" borderId="7" xfId="5" applyFont="1" applyBorder="1" applyAlignment="1" applyProtection="1">
      <alignment horizontal="center" vertical="center"/>
      <protection locked="0"/>
    </xf>
    <xf numFmtId="165" fontId="6" fillId="2" borderId="16" xfId="10" applyNumberFormat="1" applyFill="1" applyBorder="1" applyAlignment="1" applyProtection="1">
      <alignment horizontal="center" vertical="center"/>
      <protection locked="0"/>
    </xf>
    <xf numFmtId="165" fontId="6" fillId="2" borderId="7" xfId="10" applyNumberFormat="1" applyFill="1" applyBorder="1" applyAlignment="1" applyProtection="1">
      <alignment horizontal="center" vertical="center"/>
      <protection locked="0"/>
    </xf>
    <xf numFmtId="165" fontId="6" fillId="2" borderId="4" xfId="10" applyNumberFormat="1" applyFill="1" applyBorder="1" applyAlignment="1" applyProtection="1">
      <alignment horizontal="center" vertical="center"/>
      <protection locked="0"/>
    </xf>
    <xf numFmtId="0" fontId="21" fillId="7" borderId="0" xfId="0" applyFont="1" applyFill="1" applyAlignment="1" applyProtection="1">
      <alignment vertical="center" wrapText="1"/>
      <protection locked="0"/>
    </xf>
    <xf numFmtId="0" fontId="21" fillId="7" borderId="0" xfId="0" applyFont="1" applyFill="1" applyAlignment="1" applyProtection="1">
      <alignment vertical="top" wrapText="1"/>
      <protection locked="0"/>
    </xf>
    <xf numFmtId="0" fontId="21" fillId="7" borderId="0" xfId="0" applyFont="1" applyFill="1" applyAlignment="1" applyProtection="1">
      <alignment horizontal="left" vertical="top" wrapText="1"/>
      <protection locked="0"/>
    </xf>
    <xf numFmtId="165" fontId="13" fillId="7" borderId="0" xfId="0" applyNumberFormat="1" applyFont="1" applyFill="1" applyAlignment="1" applyProtection="1">
      <alignment vertical="top"/>
      <protection locked="0"/>
    </xf>
    <xf numFmtId="0" fontId="21" fillId="7" borderId="0" xfId="0" applyFont="1" applyFill="1" applyAlignment="1" applyProtection="1">
      <alignment vertical="center"/>
      <protection locked="0"/>
    </xf>
    <xf numFmtId="0" fontId="21" fillId="0" borderId="0" xfId="0" applyFont="1" applyAlignment="1" applyProtection="1">
      <alignment vertical="center" wrapText="1"/>
      <protection locked="0"/>
    </xf>
    <xf numFmtId="0" fontId="21" fillId="0" borderId="0" xfId="0" applyFont="1" applyAlignment="1" applyProtection="1">
      <alignment vertical="center"/>
      <protection locked="0"/>
    </xf>
    <xf numFmtId="0" fontId="13" fillId="8" borderId="0" xfId="0" applyFont="1" applyFill="1" applyAlignment="1" applyProtection="1">
      <alignment horizontal="left" vertical="top"/>
      <protection locked="0"/>
    </xf>
    <xf numFmtId="0" fontId="11" fillId="0" borderId="0" xfId="0" applyFont="1" applyAlignment="1" applyProtection="1">
      <alignment horizontal="left" vertical="top"/>
      <protection locked="0"/>
    </xf>
    <xf numFmtId="0" fontId="0" fillId="0" borderId="0" xfId="0" applyAlignment="1" applyProtection="1">
      <alignment horizontal="left" vertical="top"/>
      <protection locked="0"/>
    </xf>
    <xf numFmtId="0" fontId="0" fillId="0" borderId="0" xfId="0" applyAlignment="1">
      <alignment horizontal="left" vertical="top"/>
    </xf>
    <xf numFmtId="0" fontId="15" fillId="0" borderId="0" xfId="0" applyFont="1" applyAlignment="1">
      <alignment horizontal="left" vertical="top"/>
    </xf>
    <xf numFmtId="0" fontId="0" fillId="7" borderId="0" xfId="0" applyFill="1" applyAlignment="1" applyProtection="1">
      <alignment horizontal="left" vertical="top"/>
      <protection locked="0"/>
    </xf>
    <xf numFmtId="0" fontId="15" fillId="0" borderId="0" xfId="0" applyFont="1" applyAlignment="1" applyProtection="1">
      <alignment horizontal="left" vertical="top"/>
      <protection locked="0"/>
    </xf>
    <xf numFmtId="0" fontId="14" fillId="0" borderId="0" xfId="0" applyFont="1" applyAlignment="1" applyProtection="1">
      <alignment horizontal="left" vertical="top"/>
      <protection locked="0"/>
    </xf>
    <xf numFmtId="0" fontId="13" fillId="0" borderId="0" xfId="0" applyFont="1" applyAlignment="1" applyProtection="1">
      <alignment horizontal="left" vertical="top"/>
      <protection locked="0"/>
    </xf>
    <xf numFmtId="0" fontId="10" fillId="0" borderId="0" xfId="0" applyFont="1" applyAlignment="1" applyProtection="1">
      <alignment horizontal="left" vertical="top"/>
      <protection locked="0"/>
    </xf>
    <xf numFmtId="0" fontId="14" fillId="0" borderId="0" xfId="0" applyFont="1" applyAlignment="1">
      <alignment horizontal="left" vertical="top"/>
    </xf>
    <xf numFmtId="0" fontId="13" fillId="7" borderId="0" xfId="0" applyFont="1" applyFill="1" applyAlignment="1" applyProtection="1">
      <alignment horizontal="left" vertical="top"/>
      <protection locked="0"/>
    </xf>
    <xf numFmtId="0" fontId="15" fillId="8" borderId="0" xfId="0" applyFont="1" applyFill="1" applyAlignment="1" applyProtection="1">
      <alignment horizontal="left" vertical="top"/>
      <protection locked="0"/>
    </xf>
    <xf numFmtId="0" fontId="6" fillId="0" borderId="28" xfId="10" applyBorder="1" applyAlignment="1">
      <alignment horizontal="center" vertical="top" textRotation="90" wrapText="1"/>
    </xf>
    <xf numFmtId="0" fontId="6" fillId="0" borderId="30" xfId="10" applyBorder="1" applyAlignment="1">
      <alignment horizontal="center" vertical="top" textRotation="90" wrapText="1"/>
    </xf>
    <xf numFmtId="0" fontId="6" fillId="0" borderId="27" xfId="10" applyBorder="1" applyAlignment="1">
      <alignment horizontal="center" vertical="top" textRotation="90"/>
    </xf>
    <xf numFmtId="0" fontId="6" fillId="0" borderId="28" xfId="10" applyBorder="1" applyAlignment="1">
      <alignment horizontal="center" vertical="top" textRotation="90"/>
    </xf>
    <xf numFmtId="0" fontId="6" fillId="0" borderId="30" xfId="10" applyBorder="1" applyAlignment="1">
      <alignment horizontal="center" vertical="top" textRotation="90"/>
    </xf>
    <xf numFmtId="0" fontId="6" fillId="0" borderId="27" xfId="10" applyBorder="1" applyAlignment="1">
      <alignment horizontal="center" vertical="top" textRotation="90" wrapText="1"/>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00000000-0005-0000-0000-000005000000}"/>
    <cellStyle name="Normal 2 3" xfId="11" xr:uid="{00000000-0005-0000-0000-000006000000}"/>
    <cellStyle name="Normal 3" xfId="2" xr:uid="{00000000-0005-0000-0000-000007000000}"/>
    <cellStyle name="Normal 3 2" xfId="12" xr:uid="{00000000-0005-0000-0000-000008000000}"/>
    <cellStyle name="Normal 3 2 2" xfId="16" xr:uid="{00000000-0005-0000-0000-000009000000}"/>
    <cellStyle name="Normal 4" xfId="4" xr:uid="{00000000-0005-0000-0000-00000A000000}"/>
    <cellStyle name="Normal 4 2" xfId="5" xr:uid="{00000000-0005-0000-0000-00000B000000}"/>
    <cellStyle name="Normal 4 2 2" xfId="10" xr:uid="{00000000-0005-0000-0000-00000C000000}"/>
    <cellStyle name="Normal 4 2 2 2" xfId="17" xr:uid="{00000000-0005-0000-0000-00000D000000}"/>
    <cellStyle name="Normal 4 3" xfId="9" xr:uid="{00000000-0005-0000-0000-00000E000000}"/>
    <cellStyle name="Normal 4 4" xfId="14" xr:uid="{00000000-0005-0000-0000-00000F000000}"/>
    <cellStyle name="Normal 5" xfId="3" xr:uid="{00000000-0005-0000-0000-000010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Z6N92A4B/to%20dele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00"/>
  <sheetViews>
    <sheetView zoomScale="125" zoomScaleNormal="55" workbookViewId="0">
      <pane ySplit="1" topLeftCell="A21" activePane="bottomLeft" state="frozen"/>
      <selection activeCell="D1" sqref="D1"/>
      <selection pane="bottomLeft" activeCell="C37" sqref="C37"/>
    </sheetView>
  </sheetViews>
  <sheetFormatPr baseColWidth="10" defaultColWidth="8.83203125" defaultRowHeight="15" x14ac:dyDescent="0.2"/>
  <cols>
    <col min="1" max="1" width="41" style="40" customWidth="1"/>
    <col min="2" max="2" width="39.83203125" style="40" customWidth="1"/>
    <col min="3" max="3" width="76.5" style="41" customWidth="1"/>
    <col min="4" max="4" width="66" style="41" customWidth="1"/>
    <col min="5" max="5" width="16.83203125" style="41" customWidth="1"/>
    <col min="6" max="6" width="50.5" style="40" customWidth="1"/>
    <col min="7" max="7" width="52.1640625" style="40" customWidth="1"/>
    <col min="8" max="8" width="15.5" style="40" customWidth="1"/>
    <col min="9" max="9" width="33.5" style="110" customWidth="1"/>
    <col min="10" max="10" width="26.1640625" style="110" customWidth="1"/>
    <col min="11" max="11" width="39.5" style="110" customWidth="1"/>
    <col min="12" max="12" width="26.5" style="110" customWidth="1"/>
    <col min="13" max="13" width="89.5" style="110" customWidth="1"/>
    <col min="14" max="14" width="41.5" style="110" customWidth="1"/>
    <col min="15" max="15" width="40" style="110" customWidth="1"/>
    <col min="16" max="16" width="51.83203125" style="110" customWidth="1"/>
    <col min="17" max="20" width="8.83203125" style="40" customWidth="1"/>
    <col min="21" max="21" width="9.5" style="40" hidden="1" customWidth="1"/>
    <col min="22" max="22" width="0" style="40" hidden="1" customWidth="1"/>
    <col min="23" max="23" width="18.1640625" style="168" hidden="1" customWidth="1"/>
    <col min="24" max="24" width="18.1640625" style="155" hidden="1" customWidth="1"/>
    <col min="25" max="25" width="14.1640625" style="68" customWidth="1"/>
    <col min="26" max="26" width="19.83203125" style="68" hidden="1" customWidth="1"/>
    <col min="27" max="27" width="8.83203125" style="68"/>
    <col min="28" max="16384" width="8.83203125" style="40"/>
  </cols>
  <sheetData>
    <row r="1" spans="1:27" s="103" customFormat="1" ht="49" thickBot="1" x14ac:dyDescent="0.25">
      <c r="A1" s="99" t="s">
        <v>0</v>
      </c>
      <c r="B1" s="99" t="s">
        <v>1</v>
      </c>
      <c r="C1" s="100" t="s">
        <v>2</v>
      </c>
      <c r="D1" s="100" t="s">
        <v>3</v>
      </c>
      <c r="E1" s="101" t="s">
        <v>4</v>
      </c>
      <c r="F1" s="99" t="s">
        <v>5</v>
      </c>
      <c r="G1" s="99" t="s">
        <v>6</v>
      </c>
      <c r="H1" s="102" t="s">
        <v>7</v>
      </c>
      <c r="I1" s="99" t="s">
        <v>8</v>
      </c>
      <c r="J1" s="99" t="s">
        <v>9</v>
      </c>
      <c r="K1" s="99" t="s">
        <v>10</v>
      </c>
      <c r="L1" s="99" t="s">
        <v>11</v>
      </c>
      <c r="M1" s="99" t="s">
        <v>12</v>
      </c>
      <c r="N1" s="99" t="s">
        <v>13</v>
      </c>
      <c r="O1" s="99" t="s">
        <v>14</v>
      </c>
      <c r="P1" s="99" t="s">
        <v>15</v>
      </c>
      <c r="U1" s="174" t="s">
        <v>16</v>
      </c>
      <c r="W1" s="175" t="s">
        <v>17</v>
      </c>
      <c r="X1" s="176" t="s">
        <v>18</v>
      </c>
      <c r="Y1" s="177" t="s">
        <v>19</v>
      </c>
      <c r="Z1" s="32" t="s">
        <v>20</v>
      </c>
      <c r="AA1" s="104"/>
    </row>
    <row r="2" spans="1:27" x14ac:dyDescent="0.2">
      <c r="A2" s="67" t="s">
        <v>21</v>
      </c>
      <c r="B2" s="67" t="s">
        <v>21</v>
      </c>
      <c r="C2" s="39"/>
      <c r="D2" s="39"/>
      <c r="E2" s="76"/>
      <c r="F2" s="67"/>
      <c r="G2" s="67"/>
      <c r="H2" s="77"/>
      <c r="I2" s="105"/>
      <c r="J2" s="105"/>
      <c r="K2" s="105"/>
      <c r="L2" s="105"/>
      <c r="M2" s="105"/>
      <c r="N2" s="105"/>
      <c r="O2" s="105"/>
      <c r="P2" s="105"/>
      <c r="W2" s="169"/>
      <c r="X2" s="151"/>
      <c r="Y2" s="152" t="str">
        <f>IF(W2&lt;&gt;"",W2*X2,"")</f>
        <v/>
      </c>
      <c r="Z2" s="152" t="str">
        <f>IF(AND(W2&lt;&gt;"",U2="yes"),W2*X2,"")</f>
        <v/>
      </c>
    </row>
    <row r="3" spans="1:27" x14ac:dyDescent="0.2">
      <c r="A3" s="67" t="s">
        <v>22</v>
      </c>
      <c r="B3" s="67" t="s">
        <v>22</v>
      </c>
      <c r="C3" s="39"/>
      <c r="D3" s="39"/>
      <c r="E3" s="76"/>
      <c r="F3" s="67"/>
      <c r="G3" s="67"/>
      <c r="H3" s="77"/>
      <c r="I3" s="105"/>
      <c r="J3" s="105"/>
      <c r="K3" s="105"/>
      <c r="L3" s="105"/>
      <c r="M3" s="105"/>
      <c r="N3" s="105"/>
      <c r="O3" s="105"/>
      <c r="P3" s="105"/>
      <c r="W3" s="169"/>
      <c r="X3" s="151"/>
      <c r="Y3" s="152" t="str">
        <f t="shared" ref="Y3:Y59" si="0">IF(W3&lt;&gt;"",W3*X3,"")</f>
        <v/>
      </c>
      <c r="Z3" s="152" t="str">
        <f>IF(AND(W3&lt;&gt;"",U3="yes"),W3*X3,"")</f>
        <v/>
      </c>
    </row>
    <row r="4" spans="1:27" x14ac:dyDescent="0.2">
      <c r="A4" s="67" t="s">
        <v>23</v>
      </c>
      <c r="B4" s="67" t="s">
        <v>23</v>
      </c>
      <c r="C4" s="39"/>
      <c r="D4" s="39"/>
      <c r="E4" s="76"/>
      <c r="F4" s="67"/>
      <c r="G4" s="67"/>
      <c r="H4" s="77"/>
      <c r="I4" s="105"/>
      <c r="J4" s="105"/>
      <c r="K4" s="105"/>
      <c r="L4" s="105"/>
      <c r="M4" s="105"/>
      <c r="N4" s="105"/>
      <c r="O4" s="105"/>
      <c r="P4" s="105"/>
      <c r="W4" s="169"/>
      <c r="X4" s="151"/>
      <c r="Y4" s="152" t="str">
        <f t="shared" si="0"/>
        <v/>
      </c>
      <c r="Z4" s="152" t="str">
        <f>IF(AND(W4&lt;&gt;"",U4="yes"),W4*X4,"")</f>
        <v/>
      </c>
    </row>
    <row r="5" spans="1:27" x14ac:dyDescent="0.2">
      <c r="A5" s="67" t="s">
        <v>24</v>
      </c>
      <c r="B5" s="67" t="s">
        <v>24</v>
      </c>
      <c r="C5" s="39"/>
      <c r="D5" s="39"/>
      <c r="E5" s="76"/>
      <c r="F5" s="67"/>
      <c r="G5" s="67"/>
      <c r="H5" s="77"/>
      <c r="I5" s="105"/>
      <c r="J5" s="105"/>
      <c r="K5" s="105"/>
      <c r="L5" s="105"/>
      <c r="M5" s="105"/>
      <c r="N5" s="105"/>
      <c r="O5" s="105"/>
      <c r="P5" s="105"/>
      <c r="W5" s="169"/>
      <c r="X5" s="151"/>
      <c r="Y5" s="152" t="str">
        <f t="shared" si="0"/>
        <v/>
      </c>
      <c r="Z5" s="152" t="str">
        <f>IF(AND(W5&lt;&gt;"",U5="yes"),W5*X5,"")</f>
        <v/>
      </c>
    </row>
    <row r="6" spans="1:27" x14ac:dyDescent="0.2">
      <c r="A6" s="67" t="s">
        <v>25</v>
      </c>
      <c r="B6" s="67" t="s">
        <v>25</v>
      </c>
      <c r="C6" s="39"/>
      <c r="D6" s="39"/>
      <c r="E6" s="76"/>
      <c r="F6" s="67"/>
      <c r="G6" s="67"/>
      <c r="H6" s="77"/>
      <c r="I6" s="105"/>
      <c r="J6" s="105"/>
      <c r="K6" s="105"/>
      <c r="L6" s="105"/>
      <c r="M6" s="105"/>
      <c r="N6" s="105"/>
      <c r="O6" s="105"/>
      <c r="P6" s="105"/>
      <c r="W6" s="169"/>
      <c r="X6" s="151"/>
      <c r="Y6" s="152"/>
      <c r="Z6" s="152"/>
    </row>
    <row r="7" spans="1:27" x14ac:dyDescent="0.2">
      <c r="A7" s="67" t="s">
        <v>26</v>
      </c>
      <c r="B7" s="67" t="s">
        <v>27</v>
      </c>
      <c r="C7" s="39"/>
      <c r="D7" s="39"/>
      <c r="E7" s="76"/>
      <c r="F7" s="67"/>
      <c r="G7" s="67"/>
      <c r="H7" s="77"/>
      <c r="I7" s="105"/>
      <c r="J7" s="105"/>
      <c r="K7" s="105"/>
      <c r="L7" s="105"/>
      <c r="M7" s="40"/>
      <c r="N7" s="105"/>
      <c r="O7" s="105"/>
      <c r="P7" s="105" t="s">
        <v>28</v>
      </c>
      <c r="W7" s="169"/>
      <c r="X7" s="151"/>
      <c r="Y7" s="152"/>
      <c r="Z7" s="152"/>
    </row>
    <row r="8" spans="1:27" x14ac:dyDescent="0.2">
      <c r="A8" s="67" t="s">
        <v>29</v>
      </c>
      <c r="B8" s="67" t="s">
        <v>29</v>
      </c>
      <c r="C8" s="39"/>
      <c r="D8" s="39"/>
      <c r="E8" s="76"/>
      <c r="F8" s="67"/>
      <c r="G8" s="67"/>
      <c r="H8" s="77"/>
      <c r="I8" s="105"/>
      <c r="J8" s="105"/>
      <c r="K8" s="105"/>
      <c r="L8" s="105"/>
      <c r="M8" s="105" t="s">
        <v>30</v>
      </c>
      <c r="N8" s="105"/>
      <c r="O8" s="105" t="s">
        <v>31</v>
      </c>
      <c r="P8" s="105"/>
      <c r="W8" s="169"/>
      <c r="X8" s="151"/>
      <c r="Y8" s="152"/>
      <c r="Z8" s="152"/>
    </row>
    <row r="9" spans="1:27" s="299" customFormat="1" ht="16.5" customHeight="1" x14ac:dyDescent="0.2">
      <c r="A9" s="299" t="s">
        <v>60</v>
      </c>
      <c r="B9" s="299" t="s">
        <v>1712</v>
      </c>
      <c r="C9" s="300" t="s">
        <v>212</v>
      </c>
      <c r="D9" s="300" t="s">
        <v>1713</v>
      </c>
      <c r="E9" s="84"/>
      <c r="F9" s="299" t="s">
        <v>1714</v>
      </c>
      <c r="G9" s="299" t="s">
        <v>1715</v>
      </c>
      <c r="H9" s="77"/>
      <c r="I9" s="301" t="s">
        <v>36</v>
      </c>
      <c r="J9" s="301"/>
      <c r="K9" s="301"/>
      <c r="L9" s="301"/>
      <c r="M9" s="301" t="s">
        <v>1716</v>
      </c>
      <c r="N9" s="301"/>
      <c r="O9" s="301"/>
      <c r="P9" s="301"/>
      <c r="U9" s="299" t="s">
        <v>37</v>
      </c>
      <c r="W9" s="189">
        <v>0</v>
      </c>
      <c r="Y9" s="188">
        <f>1</f>
        <v>1</v>
      </c>
      <c r="Z9" s="189" t="str">
        <f>IF(X9&lt;&gt;"",X9*Y9,"")</f>
        <v/>
      </c>
      <c r="AA9" s="189" t="str">
        <f>IF(AND(X9&lt;&gt;"",U9="yes"),X9*Y9,"")</f>
        <v/>
      </c>
    </row>
    <row r="10" spans="1:27" ht="16" x14ac:dyDescent="0.2">
      <c r="A10" s="67" t="s">
        <v>32</v>
      </c>
      <c r="B10" s="67" t="s">
        <v>33</v>
      </c>
      <c r="C10" s="39" t="s">
        <v>34</v>
      </c>
      <c r="D10" s="39" t="s">
        <v>35</v>
      </c>
      <c r="E10" s="76"/>
      <c r="F10" s="67"/>
      <c r="G10" s="67"/>
      <c r="H10" s="77"/>
      <c r="I10" s="105" t="s">
        <v>36</v>
      </c>
      <c r="J10" s="105"/>
      <c r="K10" s="105"/>
      <c r="L10" s="105"/>
      <c r="M10" s="105"/>
      <c r="N10" s="106"/>
      <c r="O10" s="105"/>
      <c r="P10" s="105"/>
      <c r="U10" s="40" t="s">
        <v>37</v>
      </c>
      <c r="W10" s="169"/>
      <c r="X10" s="151"/>
      <c r="Y10" s="152" t="str">
        <f t="shared" si="0"/>
        <v/>
      </c>
      <c r="Z10" s="152" t="str">
        <f>IF(AND(W10&lt;&gt;"",U10="yes"),W10*X10,"")</f>
        <v/>
      </c>
    </row>
    <row r="11" spans="1:27" x14ac:dyDescent="0.2">
      <c r="A11" s="67" t="s">
        <v>26</v>
      </c>
      <c r="B11" s="67" t="s">
        <v>38</v>
      </c>
      <c r="C11" s="39"/>
      <c r="D11" s="39"/>
      <c r="E11" s="76"/>
      <c r="F11" s="67"/>
      <c r="G11" s="67"/>
      <c r="H11" s="77"/>
      <c r="I11" s="105"/>
      <c r="J11" s="105"/>
      <c r="K11" s="105"/>
      <c r="L11" s="105"/>
      <c r="M11" s="105"/>
      <c r="N11" s="105"/>
      <c r="O11" s="105"/>
      <c r="P11" s="105" t="s">
        <v>39</v>
      </c>
      <c r="U11" s="40" t="s">
        <v>37</v>
      </c>
      <c r="W11" s="169"/>
      <c r="X11" s="151"/>
      <c r="Y11" s="152" t="str">
        <f t="shared" si="0"/>
        <v/>
      </c>
      <c r="Z11" s="152" t="str">
        <f>IF(AND(W11&lt;&gt;"",U11="yes"),W11*X11,"")</f>
        <v/>
      </c>
    </row>
    <row r="12" spans="1:27" s="302" customFormat="1" ht="16.5" customHeight="1" x14ac:dyDescent="0.2">
      <c r="A12" s="302" t="s">
        <v>60</v>
      </c>
      <c r="B12" s="302" t="s">
        <v>1717</v>
      </c>
      <c r="C12" s="303" t="s">
        <v>1718</v>
      </c>
      <c r="D12" s="303" t="s">
        <v>1719</v>
      </c>
      <c r="E12" s="76"/>
      <c r="F12" s="304" t="s">
        <v>1720</v>
      </c>
      <c r="G12" s="305" t="s">
        <v>1721</v>
      </c>
      <c r="H12" s="77"/>
      <c r="I12" s="306" t="b">
        <v>1</v>
      </c>
      <c r="J12" s="306" t="s">
        <v>83</v>
      </c>
      <c r="K12" s="307" t="s">
        <v>1722</v>
      </c>
      <c r="L12" s="306" t="s">
        <v>1723</v>
      </c>
      <c r="M12" s="306"/>
      <c r="N12" s="306"/>
      <c r="O12" s="306"/>
      <c r="P12" s="306"/>
      <c r="W12" s="187"/>
      <c r="X12" s="188"/>
      <c r="Y12" s="189"/>
      <c r="Z12" s="189"/>
      <c r="AA12" s="299"/>
    </row>
    <row r="13" spans="1:27" s="299" customFormat="1" ht="17.25" customHeight="1" x14ac:dyDescent="0.2">
      <c r="A13" s="299" t="s">
        <v>60</v>
      </c>
      <c r="B13" s="299" t="s">
        <v>1724</v>
      </c>
      <c r="C13" s="300" t="s">
        <v>1725</v>
      </c>
      <c r="D13" s="300" t="s">
        <v>1726</v>
      </c>
      <c r="E13" s="84"/>
      <c r="H13" s="77"/>
      <c r="I13" s="301" t="s">
        <v>36</v>
      </c>
      <c r="J13" s="301" t="s">
        <v>83</v>
      </c>
      <c r="K13" s="301" t="s">
        <v>1727</v>
      </c>
      <c r="L13" s="301" t="s">
        <v>1728</v>
      </c>
      <c r="M13" s="301"/>
      <c r="N13" s="301"/>
      <c r="O13" s="301"/>
      <c r="P13" s="301"/>
      <c r="U13" s="299" t="s">
        <v>37</v>
      </c>
      <c r="W13" s="189"/>
      <c r="Y13" s="188"/>
      <c r="Z13" s="189"/>
      <c r="AA13" s="189"/>
    </row>
    <row r="14" spans="1:27" s="299" customFormat="1" ht="17.25" customHeight="1" x14ac:dyDescent="0.2">
      <c r="A14" s="299" t="s">
        <v>1729</v>
      </c>
      <c r="B14" s="299" t="s">
        <v>1730</v>
      </c>
      <c r="C14" s="300" t="s">
        <v>1731</v>
      </c>
      <c r="D14" s="300" t="s">
        <v>1732</v>
      </c>
      <c r="E14" s="84"/>
      <c r="H14" s="77"/>
      <c r="I14" s="301"/>
      <c r="J14" s="301"/>
      <c r="K14" s="301"/>
      <c r="L14" s="301"/>
      <c r="M14" s="301"/>
      <c r="N14" s="301"/>
      <c r="O14" s="301"/>
      <c r="P14" s="301"/>
      <c r="U14" s="299" t="s">
        <v>37</v>
      </c>
      <c r="W14" s="189"/>
      <c r="Y14" s="188"/>
      <c r="Z14" s="189"/>
      <c r="AA14" s="189"/>
    </row>
    <row r="15" spans="1:27" s="299" customFormat="1" ht="17.25" customHeight="1" thickBot="1" x14ac:dyDescent="0.25">
      <c r="A15" s="308" t="s">
        <v>56</v>
      </c>
      <c r="B15" s="308" t="s">
        <v>1733</v>
      </c>
      <c r="C15" s="309"/>
      <c r="D15" s="309"/>
      <c r="E15" s="78"/>
      <c r="F15" s="308"/>
      <c r="G15" s="308"/>
      <c r="H15" s="79"/>
      <c r="I15" s="310" t="b">
        <v>0</v>
      </c>
      <c r="J15" s="310"/>
      <c r="K15" s="310"/>
      <c r="L15" s="310"/>
      <c r="M15" s="310" t="s">
        <v>1734</v>
      </c>
      <c r="N15" s="310"/>
      <c r="O15" s="310"/>
      <c r="P15" s="310"/>
      <c r="W15" s="189"/>
      <c r="Y15" s="188"/>
      <c r="Z15" s="189"/>
      <c r="AA15" s="189"/>
    </row>
    <row r="16" spans="1:27" ht="209" thickTop="1" x14ac:dyDescent="0.2">
      <c r="A16" s="67" t="s">
        <v>40</v>
      </c>
      <c r="B16" s="67" t="s">
        <v>41</v>
      </c>
      <c r="C16" s="311" t="s">
        <v>1735</v>
      </c>
      <c r="D16" s="312" t="s">
        <v>1736</v>
      </c>
      <c r="E16" s="76"/>
      <c r="F16" s="67" t="s">
        <v>42</v>
      </c>
      <c r="G16" s="67" t="s">
        <v>43</v>
      </c>
      <c r="H16" s="77"/>
      <c r="I16" s="105" t="s">
        <v>44</v>
      </c>
      <c r="J16" s="105"/>
      <c r="K16" s="105"/>
      <c r="L16" s="105"/>
      <c r="M16" s="105"/>
      <c r="N16" s="105"/>
      <c r="O16" s="105"/>
      <c r="P16" s="105"/>
      <c r="U16" s="40" t="s">
        <v>45</v>
      </c>
      <c r="W16" s="169">
        <v>50.822540283203125</v>
      </c>
      <c r="X16" s="151"/>
      <c r="Y16" s="152">
        <f t="shared" si="0"/>
        <v>0</v>
      </c>
      <c r="Z16" s="152" t="str">
        <f>IF(AND(W16&lt;&gt;"",U16="yes"),W16*X16,"")</f>
        <v/>
      </c>
    </row>
    <row r="17" spans="1:28" ht="16" x14ac:dyDescent="0.2">
      <c r="A17" s="67" t="s">
        <v>46</v>
      </c>
      <c r="B17" s="67" t="s">
        <v>47</v>
      </c>
      <c r="C17" s="39" t="s">
        <v>48</v>
      </c>
      <c r="D17" s="39" t="s">
        <v>49</v>
      </c>
      <c r="E17" s="76"/>
      <c r="F17" s="67"/>
      <c r="G17" s="67"/>
      <c r="H17" s="77"/>
      <c r="I17" s="105" t="s">
        <v>44</v>
      </c>
      <c r="J17" s="105"/>
      <c r="K17" s="105"/>
      <c r="L17" s="105"/>
      <c r="M17" s="105"/>
      <c r="N17" s="105"/>
      <c r="O17" s="105"/>
      <c r="P17" s="105"/>
      <c r="U17" s="40" t="s">
        <v>37</v>
      </c>
      <c r="W17" s="169">
        <v>3.5</v>
      </c>
      <c r="X17" s="151">
        <f>1</f>
        <v>1</v>
      </c>
      <c r="Y17" s="152">
        <f t="shared" si="0"/>
        <v>3.5</v>
      </c>
      <c r="Z17" s="152">
        <f>IF(AND(W17&lt;&gt;"",U17="yes"),W17*X17,"")</f>
        <v>3.5</v>
      </c>
    </row>
    <row r="18" spans="1:28" s="68" customFormat="1" ht="16" x14ac:dyDescent="0.2">
      <c r="A18" s="72" t="s">
        <v>40</v>
      </c>
      <c r="B18" s="72" t="s">
        <v>51</v>
      </c>
      <c r="C18" s="73" t="s">
        <v>52</v>
      </c>
      <c r="D18" s="73" t="s">
        <v>53</v>
      </c>
      <c r="E18" s="84"/>
      <c r="F18" s="72"/>
      <c r="G18" s="72"/>
      <c r="H18" s="86"/>
      <c r="I18" s="107" t="s">
        <v>44</v>
      </c>
      <c r="J18" s="107"/>
      <c r="K18" s="107"/>
      <c r="L18" s="107"/>
      <c r="M18" s="107" t="s">
        <v>54</v>
      </c>
      <c r="N18" s="107"/>
      <c r="O18" s="107"/>
      <c r="P18" s="107"/>
      <c r="U18" s="68" t="s">
        <v>45</v>
      </c>
      <c r="W18" s="169">
        <v>0</v>
      </c>
      <c r="X18" s="151">
        <v>1</v>
      </c>
      <c r="Y18" s="152">
        <f t="shared" si="0"/>
        <v>0</v>
      </c>
      <c r="Z18" s="152" t="str">
        <f t="shared" ref="Z18:Z46" si="1">IF(AND(W18&lt;&gt;"",U18="yes"),W18*X18,"")</f>
        <v/>
      </c>
    </row>
    <row r="19" spans="1:28" ht="16.5" customHeight="1" x14ac:dyDescent="0.2">
      <c r="A19" s="313" t="s">
        <v>1737</v>
      </c>
      <c r="B19" s="313" t="s">
        <v>1738</v>
      </c>
      <c r="C19" s="314" t="s">
        <v>1739</v>
      </c>
      <c r="D19" s="314" t="s">
        <v>1740</v>
      </c>
      <c r="E19" s="315"/>
      <c r="F19" s="313" t="s">
        <v>1741</v>
      </c>
      <c r="G19" s="316" t="s">
        <v>1742</v>
      </c>
      <c r="H19" s="317"/>
      <c r="I19" s="348" t="b">
        <v>0</v>
      </c>
      <c r="J19" s="306"/>
      <c r="K19" s="306"/>
      <c r="L19" s="306"/>
      <c r="M19" s="306" t="s">
        <v>1743</v>
      </c>
      <c r="N19" s="306"/>
      <c r="O19" s="306"/>
      <c r="P19" s="306"/>
      <c r="Q19" s="68"/>
      <c r="R19" s="68"/>
      <c r="S19" s="68"/>
      <c r="T19" s="68"/>
      <c r="U19" s="68" t="s">
        <v>45</v>
      </c>
      <c r="V19" s="68"/>
      <c r="W19" s="318">
        <v>0</v>
      </c>
      <c r="X19" s="318"/>
      <c r="Y19" s="318">
        <v>0</v>
      </c>
      <c r="Z19" s="318"/>
      <c r="AB19" s="68"/>
    </row>
    <row r="20" spans="1:28" ht="16.5" customHeight="1" x14ac:dyDescent="0.2">
      <c r="A20" s="313" t="s">
        <v>60</v>
      </c>
      <c r="B20" s="313" t="s">
        <v>1744</v>
      </c>
      <c r="C20" s="314" t="s">
        <v>1745</v>
      </c>
      <c r="D20" s="314" t="s">
        <v>1746</v>
      </c>
      <c r="E20" s="315"/>
      <c r="F20" s="313" t="s">
        <v>1747</v>
      </c>
      <c r="G20" s="348" t="s">
        <v>1748</v>
      </c>
      <c r="H20" s="317"/>
      <c r="I20" s="348" t="b">
        <v>0</v>
      </c>
      <c r="J20" s="306"/>
      <c r="K20" s="306"/>
      <c r="L20" s="306"/>
      <c r="M20" s="306" t="s">
        <v>1743</v>
      </c>
      <c r="N20" s="306"/>
      <c r="O20" s="306"/>
      <c r="P20" s="306"/>
      <c r="Q20" s="68"/>
      <c r="R20" s="68"/>
      <c r="S20" s="68"/>
      <c r="T20" s="68"/>
      <c r="U20" s="68" t="s">
        <v>45</v>
      </c>
      <c r="V20" s="68"/>
      <c r="W20" s="318">
        <v>0</v>
      </c>
      <c r="X20" s="318"/>
      <c r="Y20" s="318">
        <v>0</v>
      </c>
      <c r="Z20" s="318"/>
      <c r="AB20" s="68"/>
    </row>
    <row r="21" spans="1:28" s="68" customFormat="1" x14ac:dyDescent="0.2">
      <c r="C21" s="42"/>
      <c r="D21" s="42"/>
      <c r="E21" s="84"/>
      <c r="H21" s="86"/>
      <c r="I21" s="114"/>
      <c r="J21" s="114"/>
      <c r="K21" s="114"/>
      <c r="L21" s="114"/>
      <c r="M21" s="114"/>
      <c r="N21" s="114"/>
      <c r="O21" s="114"/>
      <c r="P21" s="114"/>
      <c r="W21" s="169"/>
      <c r="X21" s="319"/>
      <c r="Y21" s="152"/>
      <c r="Z21" s="152"/>
    </row>
    <row r="22" spans="1:28" s="299" customFormat="1" ht="15.75" customHeight="1" thickBot="1" x14ac:dyDescent="0.25">
      <c r="A22" s="308" t="s">
        <v>103</v>
      </c>
      <c r="B22" s="308"/>
      <c r="C22" s="309"/>
      <c r="D22" s="309"/>
      <c r="E22" s="78"/>
      <c r="F22" s="308"/>
      <c r="G22" s="308"/>
      <c r="H22" s="79"/>
      <c r="I22" s="310"/>
      <c r="J22" s="310"/>
      <c r="K22" s="310"/>
      <c r="L22" s="310"/>
      <c r="M22" s="310"/>
      <c r="N22" s="310"/>
      <c r="O22" s="310"/>
      <c r="P22" s="310"/>
      <c r="W22" s="187"/>
      <c r="X22" s="188"/>
      <c r="Y22" s="189"/>
      <c r="Z22" s="189"/>
    </row>
    <row r="23" spans="1:28" s="65" customFormat="1" ht="17" thickTop="1" x14ac:dyDescent="0.2">
      <c r="A23" s="62" t="s">
        <v>56</v>
      </c>
      <c r="B23" s="62" t="s">
        <v>57</v>
      </c>
      <c r="C23" s="80" t="s">
        <v>58</v>
      </c>
      <c r="D23" s="80" t="s">
        <v>59</v>
      </c>
      <c r="E23" s="63"/>
      <c r="F23" s="62"/>
      <c r="G23" s="62"/>
      <c r="H23" s="64"/>
      <c r="I23" s="108" t="s">
        <v>44</v>
      </c>
      <c r="J23" s="108"/>
      <c r="K23" s="108"/>
      <c r="L23" s="108"/>
      <c r="M23" s="108" t="s">
        <v>50</v>
      </c>
      <c r="N23" s="108"/>
      <c r="O23" s="108"/>
      <c r="P23" s="108"/>
      <c r="U23" s="40" t="s">
        <v>37</v>
      </c>
      <c r="W23" s="169"/>
      <c r="X23" s="151"/>
      <c r="Y23" s="152" t="str">
        <f t="shared" si="0"/>
        <v/>
      </c>
      <c r="Z23" s="152" t="str">
        <f t="shared" si="1"/>
        <v/>
      </c>
      <c r="AA23" s="66"/>
    </row>
    <row r="24" spans="1:28" s="69" customFormat="1" x14ac:dyDescent="0.2">
      <c r="C24" s="70"/>
      <c r="D24" s="70"/>
      <c r="E24" s="71"/>
      <c r="H24" s="75"/>
      <c r="I24" s="106"/>
      <c r="J24" s="106"/>
      <c r="K24" s="106"/>
      <c r="L24" s="106"/>
      <c r="M24" s="106"/>
      <c r="N24" s="106"/>
      <c r="O24" s="106"/>
      <c r="P24" s="106"/>
      <c r="U24" s="69" t="s">
        <v>55</v>
      </c>
      <c r="W24" s="169" t="s">
        <v>55</v>
      </c>
      <c r="X24" s="68"/>
      <c r="Y24" s="152" t="str">
        <f t="shared" ref="Y24" si="2">IF(W24&lt;&gt;"",W24*X24,"")</f>
        <v/>
      </c>
      <c r="Z24" s="152" t="str">
        <f t="shared" si="1"/>
        <v/>
      </c>
      <c r="AA24" s="68"/>
    </row>
    <row r="25" spans="1:28" s="69" customFormat="1" ht="16" x14ac:dyDescent="0.2">
      <c r="A25" s="72" t="s">
        <v>60</v>
      </c>
      <c r="B25" s="72" t="s">
        <v>61</v>
      </c>
      <c r="C25" s="73" t="s">
        <v>62</v>
      </c>
      <c r="D25" s="73" t="s">
        <v>63</v>
      </c>
      <c r="E25" s="71"/>
      <c r="F25" s="68" t="s">
        <v>64</v>
      </c>
      <c r="G25" s="68" t="s">
        <v>65</v>
      </c>
      <c r="H25" s="75"/>
      <c r="I25" s="107" t="s">
        <v>36</v>
      </c>
      <c r="J25" s="107"/>
      <c r="K25" s="107"/>
      <c r="L25" s="107"/>
      <c r="M25" s="107"/>
      <c r="N25" s="107"/>
      <c r="O25" s="107"/>
      <c r="P25" s="107"/>
      <c r="U25" s="68" t="s">
        <v>37</v>
      </c>
      <c r="W25" s="169">
        <v>10</v>
      </c>
      <c r="X25" s="151">
        <f>1</f>
        <v>1</v>
      </c>
      <c r="Y25" s="152">
        <f t="shared" si="0"/>
        <v>10</v>
      </c>
      <c r="Z25" s="152">
        <f t="shared" si="1"/>
        <v>10</v>
      </c>
      <c r="AA25" s="68"/>
    </row>
    <row r="26" spans="1:28" s="69" customFormat="1" ht="16" x14ac:dyDescent="0.2">
      <c r="A26" s="72" t="s">
        <v>60</v>
      </c>
      <c r="B26" s="72" t="s">
        <v>66</v>
      </c>
      <c r="C26" s="73" t="s">
        <v>67</v>
      </c>
      <c r="D26" s="73" t="s">
        <v>68</v>
      </c>
      <c r="E26" s="71"/>
      <c r="F26" s="68" t="s">
        <v>69</v>
      </c>
      <c r="G26" s="68" t="s">
        <v>70</v>
      </c>
      <c r="H26" s="75"/>
      <c r="I26" s="107" t="s">
        <v>36</v>
      </c>
      <c r="J26" s="107"/>
      <c r="K26" s="107"/>
      <c r="L26" s="107"/>
      <c r="M26" s="107"/>
      <c r="N26" s="107"/>
      <c r="O26" s="107"/>
      <c r="P26" s="107"/>
      <c r="U26" s="68" t="s">
        <v>37</v>
      </c>
      <c r="W26" s="169">
        <v>10</v>
      </c>
      <c r="X26" s="151">
        <f>1</f>
        <v>1</v>
      </c>
      <c r="Y26" s="152">
        <f t="shared" si="0"/>
        <v>10</v>
      </c>
      <c r="Z26" s="152">
        <f t="shared" si="1"/>
        <v>10</v>
      </c>
      <c r="AA26" s="68"/>
    </row>
    <row r="27" spans="1:28" s="69" customFormat="1" x14ac:dyDescent="0.2">
      <c r="C27" s="70"/>
      <c r="E27" s="71"/>
      <c r="H27" s="75"/>
      <c r="I27" s="106"/>
      <c r="J27" s="106"/>
      <c r="K27" s="106"/>
      <c r="L27" s="106"/>
      <c r="M27" s="106"/>
      <c r="N27" s="106"/>
      <c r="O27" s="106"/>
      <c r="P27" s="106"/>
      <c r="U27" s="69" t="s">
        <v>55</v>
      </c>
      <c r="W27" s="169" t="s">
        <v>55</v>
      </c>
      <c r="X27" s="151">
        <f>1</f>
        <v>1</v>
      </c>
      <c r="Y27" s="152" t="str">
        <f t="shared" si="0"/>
        <v/>
      </c>
      <c r="Z27" s="152" t="str">
        <f t="shared" si="1"/>
        <v/>
      </c>
      <c r="AA27" s="68"/>
    </row>
    <row r="28" spans="1:28" ht="16" x14ac:dyDescent="0.2">
      <c r="A28" s="67" t="s">
        <v>71</v>
      </c>
      <c r="B28" s="67" t="s">
        <v>72</v>
      </c>
      <c r="C28" s="39" t="s">
        <v>73</v>
      </c>
      <c r="D28" s="73" t="s">
        <v>74</v>
      </c>
      <c r="E28" s="84"/>
      <c r="F28" s="72" t="s">
        <v>75</v>
      </c>
      <c r="G28" s="67" t="s">
        <v>76</v>
      </c>
      <c r="H28" s="77"/>
      <c r="I28" s="105" t="s">
        <v>36</v>
      </c>
      <c r="J28" s="105"/>
      <c r="K28" s="105" t="s">
        <v>2228</v>
      </c>
      <c r="L28" s="105"/>
      <c r="M28" s="105"/>
      <c r="N28" s="105"/>
      <c r="O28" s="105"/>
      <c r="P28" s="105"/>
      <c r="U28" s="40" t="s">
        <v>37</v>
      </c>
      <c r="W28" s="169">
        <v>13.753072738647461</v>
      </c>
      <c r="X28" s="151">
        <f>1</f>
        <v>1</v>
      </c>
      <c r="Y28" s="152">
        <f t="shared" si="0"/>
        <v>13.753072738647461</v>
      </c>
      <c r="Z28" s="152">
        <f t="shared" si="1"/>
        <v>13.753072738647461</v>
      </c>
    </row>
    <row r="29" spans="1:28" x14ac:dyDescent="0.2">
      <c r="E29" s="76"/>
      <c r="H29" s="77"/>
      <c r="U29" s="40" t="s">
        <v>55</v>
      </c>
      <c r="W29" s="169" t="s">
        <v>55</v>
      </c>
      <c r="X29" s="151">
        <f>1</f>
        <v>1</v>
      </c>
      <c r="Y29" s="152" t="str">
        <f t="shared" si="0"/>
        <v/>
      </c>
      <c r="Z29" s="152" t="str">
        <f t="shared" si="1"/>
        <v/>
      </c>
    </row>
    <row r="30" spans="1:28" s="69" customFormat="1" ht="16" x14ac:dyDescent="0.2">
      <c r="A30" s="69" t="s">
        <v>77</v>
      </c>
      <c r="B30" s="69" t="s">
        <v>78</v>
      </c>
      <c r="C30" s="70" t="s">
        <v>79</v>
      </c>
      <c r="D30" s="70" t="s">
        <v>80</v>
      </c>
      <c r="E30" s="71"/>
      <c r="F30" s="69" t="s">
        <v>81</v>
      </c>
      <c r="G30" s="69" t="s">
        <v>82</v>
      </c>
      <c r="H30" s="75"/>
      <c r="I30" s="106" t="s">
        <v>36</v>
      </c>
      <c r="J30" s="106"/>
      <c r="K30" s="106"/>
      <c r="L30" s="106"/>
      <c r="M30" s="106"/>
      <c r="N30" s="106"/>
      <c r="O30" s="106"/>
      <c r="P30" s="106"/>
      <c r="U30" s="69" t="s">
        <v>45</v>
      </c>
      <c r="W30" s="169">
        <v>2.1173560619354248</v>
      </c>
      <c r="X30" s="151">
        <f>1</f>
        <v>1</v>
      </c>
      <c r="Y30" s="152">
        <f t="shared" si="0"/>
        <v>2.1173560619354248</v>
      </c>
      <c r="Z30" s="152" t="str">
        <f t="shared" si="1"/>
        <v/>
      </c>
      <c r="AA30" s="68"/>
    </row>
    <row r="31" spans="1:28" s="69" customFormat="1" x14ac:dyDescent="0.2">
      <c r="C31" s="70"/>
      <c r="D31" s="70"/>
      <c r="E31" s="71"/>
      <c r="H31" s="75"/>
      <c r="I31" s="112"/>
      <c r="J31" s="112"/>
      <c r="K31" s="112"/>
      <c r="L31" s="111"/>
      <c r="M31" s="112"/>
      <c r="N31" s="112"/>
      <c r="O31" s="106"/>
      <c r="P31" s="106"/>
      <c r="U31" s="69" t="s">
        <v>55</v>
      </c>
      <c r="W31" s="169" t="s">
        <v>55</v>
      </c>
      <c r="X31" s="151">
        <f>1</f>
        <v>1</v>
      </c>
      <c r="Y31" s="152" t="str">
        <f t="shared" si="0"/>
        <v/>
      </c>
      <c r="Z31" s="152" t="str">
        <f t="shared" si="1"/>
        <v/>
      </c>
      <c r="AA31" s="68"/>
    </row>
    <row r="32" spans="1:28" ht="16" x14ac:dyDescent="0.2">
      <c r="A32" s="67" t="s">
        <v>85</v>
      </c>
      <c r="B32" s="67" t="s">
        <v>86</v>
      </c>
      <c r="C32" s="39" t="s">
        <v>2226</v>
      </c>
      <c r="D32" s="256" t="s">
        <v>2259</v>
      </c>
      <c r="E32" s="76"/>
      <c r="F32" s="67" t="s">
        <v>87</v>
      </c>
      <c r="G32" s="67" t="s">
        <v>88</v>
      </c>
      <c r="H32" s="77"/>
      <c r="I32" s="105" t="s">
        <v>36</v>
      </c>
      <c r="J32" s="105" t="s">
        <v>89</v>
      </c>
      <c r="K32" s="105"/>
      <c r="L32" s="111"/>
      <c r="M32" s="105"/>
      <c r="N32" s="105"/>
      <c r="O32" s="105"/>
      <c r="P32" s="105"/>
      <c r="U32" s="40" t="s">
        <v>37</v>
      </c>
      <c r="W32" s="169">
        <v>8.8000000000000007</v>
      </c>
      <c r="X32" s="151">
        <f>1</f>
        <v>1</v>
      </c>
      <c r="Y32" s="152">
        <f t="shared" si="0"/>
        <v>8.8000000000000007</v>
      </c>
      <c r="Z32" s="152">
        <f t="shared" si="1"/>
        <v>8.8000000000000007</v>
      </c>
    </row>
    <row r="33" spans="1:45" x14ac:dyDescent="0.2">
      <c r="A33" s="67" t="s">
        <v>26</v>
      </c>
      <c r="B33" s="67" t="s">
        <v>90</v>
      </c>
      <c r="C33" s="39"/>
      <c r="D33" s="67"/>
      <c r="E33" s="76"/>
      <c r="F33" s="67"/>
      <c r="G33" s="67"/>
      <c r="H33" s="77"/>
      <c r="I33" s="105"/>
      <c r="J33" s="105"/>
      <c r="K33" s="105"/>
      <c r="L33" s="105"/>
      <c r="M33" s="105"/>
      <c r="N33" s="105"/>
      <c r="O33" s="105"/>
      <c r="P33" s="105" t="s">
        <v>91</v>
      </c>
      <c r="U33" s="40" t="s">
        <v>37</v>
      </c>
      <c r="W33" s="169"/>
      <c r="X33" s="151">
        <f>1</f>
        <v>1</v>
      </c>
      <c r="Y33" s="152" t="str">
        <f t="shared" si="0"/>
        <v/>
      </c>
      <c r="Z33" s="152" t="str">
        <f t="shared" si="1"/>
        <v/>
      </c>
    </row>
    <row r="34" spans="1:45" ht="16" x14ac:dyDescent="0.2">
      <c r="A34" s="67" t="s">
        <v>92</v>
      </c>
      <c r="B34" s="67" t="s">
        <v>93</v>
      </c>
      <c r="C34" s="39" t="s">
        <v>2227</v>
      </c>
      <c r="D34" s="257" t="s">
        <v>2260</v>
      </c>
      <c r="E34" s="76"/>
      <c r="F34" s="67"/>
      <c r="G34" s="39"/>
      <c r="H34" s="77"/>
      <c r="I34" s="105" t="s">
        <v>36</v>
      </c>
      <c r="J34" s="105" t="s">
        <v>89</v>
      </c>
      <c r="K34" s="105"/>
      <c r="L34" s="105"/>
      <c r="M34" s="105"/>
      <c r="N34" s="105" t="s">
        <v>94</v>
      </c>
      <c r="O34" s="105"/>
      <c r="P34" s="105"/>
      <c r="U34" s="40" t="s">
        <v>37</v>
      </c>
      <c r="W34" s="169">
        <v>10.4</v>
      </c>
      <c r="X34" s="151">
        <f>1</f>
        <v>1</v>
      </c>
      <c r="Y34" s="152">
        <f t="shared" si="0"/>
        <v>10.4</v>
      </c>
      <c r="Z34" s="152">
        <f t="shared" si="1"/>
        <v>10.4</v>
      </c>
    </row>
    <row r="35" spans="1:45" x14ac:dyDescent="0.2">
      <c r="A35" s="67" t="s">
        <v>26</v>
      </c>
      <c r="B35" s="67" t="s">
        <v>95</v>
      </c>
      <c r="C35" s="39"/>
      <c r="D35" s="39"/>
      <c r="E35" s="76"/>
      <c r="F35" s="67"/>
      <c r="G35" s="67"/>
      <c r="H35" s="77"/>
      <c r="I35" s="105"/>
      <c r="J35" s="105"/>
      <c r="K35" s="105"/>
      <c r="L35" s="105"/>
      <c r="M35" s="105"/>
      <c r="N35" s="105"/>
      <c r="O35" s="105"/>
      <c r="P35" s="105" t="s">
        <v>96</v>
      </c>
      <c r="U35" s="40" t="s">
        <v>37</v>
      </c>
      <c r="W35" s="169"/>
      <c r="X35" s="151">
        <f>1</f>
        <v>1</v>
      </c>
      <c r="Y35" s="152" t="str">
        <f t="shared" si="0"/>
        <v/>
      </c>
      <c r="Z35" s="152" t="str">
        <f t="shared" si="1"/>
        <v/>
      </c>
    </row>
    <row r="36" spans="1:45" x14ac:dyDescent="0.2">
      <c r="E36" s="76"/>
      <c r="H36" s="77"/>
      <c r="U36" s="40" t="s">
        <v>55</v>
      </c>
      <c r="W36" s="169" t="s">
        <v>55</v>
      </c>
      <c r="X36" s="151">
        <f>1</f>
        <v>1</v>
      </c>
      <c r="Y36" s="152" t="str">
        <f t="shared" si="0"/>
        <v/>
      </c>
      <c r="Z36" s="152" t="str">
        <f t="shared" si="1"/>
        <v/>
      </c>
    </row>
    <row r="37" spans="1:45" s="41" customFormat="1" ht="80" x14ac:dyDescent="0.2">
      <c r="A37" s="39" t="s">
        <v>97</v>
      </c>
      <c r="B37" s="39" t="s">
        <v>98</v>
      </c>
      <c r="C37" s="39" t="s">
        <v>99</v>
      </c>
      <c r="D37" s="256" t="s">
        <v>100</v>
      </c>
      <c r="E37" s="76"/>
      <c r="F37" s="67" t="s">
        <v>101</v>
      </c>
      <c r="G37" s="39" t="s">
        <v>102</v>
      </c>
      <c r="H37" s="76"/>
      <c r="I37" s="38" t="s">
        <v>36</v>
      </c>
      <c r="J37" s="38"/>
      <c r="K37" s="38"/>
      <c r="L37" s="38"/>
      <c r="M37" s="38"/>
      <c r="N37" s="38"/>
      <c r="O37" s="38"/>
      <c r="P37" s="38"/>
      <c r="U37" s="41" t="s">
        <v>37</v>
      </c>
      <c r="W37" s="172">
        <v>31.372377395629883</v>
      </c>
      <c r="X37" s="151">
        <f>1</f>
        <v>1</v>
      </c>
      <c r="Y37" s="153">
        <f t="shared" si="0"/>
        <v>31.372377395629883</v>
      </c>
      <c r="Z37" s="153">
        <f t="shared" si="1"/>
        <v>31.372377395629883</v>
      </c>
      <c r="AA37" s="42"/>
    </row>
    <row r="38" spans="1:45" s="302" customFormat="1" ht="25" customHeight="1" x14ac:dyDescent="0.2">
      <c r="A38" s="302" t="s">
        <v>1749</v>
      </c>
      <c r="B38" s="302" t="s">
        <v>1750</v>
      </c>
      <c r="C38" s="303" t="s">
        <v>1751</v>
      </c>
      <c r="D38" s="303" t="s">
        <v>1752</v>
      </c>
      <c r="E38" s="76"/>
      <c r="F38" s="299" t="s">
        <v>1753</v>
      </c>
      <c r="G38" s="299" t="s">
        <v>1754</v>
      </c>
      <c r="H38" s="86"/>
      <c r="I38" s="320" t="s">
        <v>36</v>
      </c>
      <c r="J38" s="301"/>
      <c r="K38" s="301" t="s">
        <v>254</v>
      </c>
      <c r="L38" s="301"/>
      <c r="M38" s="301" t="s">
        <v>2205</v>
      </c>
      <c r="N38" s="301"/>
      <c r="O38" s="301"/>
      <c r="P38" s="301"/>
      <c r="Q38" s="299"/>
      <c r="R38" s="299"/>
      <c r="S38" s="299"/>
      <c r="T38" s="299"/>
      <c r="U38" s="299" t="s">
        <v>45</v>
      </c>
      <c r="V38" s="299"/>
      <c r="W38" s="187"/>
      <c r="X38" s="188"/>
      <c r="Y38" s="189" t="str">
        <f>IF(W38&lt;&gt;"",W38*X38,"")</f>
        <v/>
      </c>
      <c r="Z38" s="189" t="str">
        <f>IF(AND(W38&lt;&gt;"",U38="yes"),W38*X38,"")</f>
        <v/>
      </c>
      <c r="AA38" s="299"/>
      <c r="AB38" s="299"/>
      <c r="AC38" s="299"/>
      <c r="AD38" s="299"/>
      <c r="AE38" s="299"/>
      <c r="AF38" s="299"/>
      <c r="AG38" s="299"/>
      <c r="AH38" s="299"/>
      <c r="AI38" s="299"/>
      <c r="AJ38" s="299"/>
      <c r="AK38" s="299"/>
      <c r="AL38" s="299"/>
      <c r="AM38" s="299"/>
      <c r="AN38" s="299"/>
      <c r="AO38" s="299"/>
      <c r="AP38" s="299"/>
      <c r="AQ38" s="299"/>
      <c r="AR38" s="299"/>
      <c r="AS38" s="299"/>
    </row>
    <row r="39" spans="1:45" s="302" customFormat="1" ht="16" x14ac:dyDescent="0.2">
      <c r="A39" s="302" t="s">
        <v>108</v>
      </c>
      <c r="B39" s="302" t="s">
        <v>1756</v>
      </c>
      <c r="C39" s="303" t="s">
        <v>1757</v>
      </c>
      <c r="D39" s="303" t="s">
        <v>1758</v>
      </c>
      <c r="E39" s="76"/>
      <c r="F39" s="299" t="s">
        <v>1759</v>
      </c>
      <c r="G39" s="299" t="s">
        <v>1760</v>
      </c>
      <c r="H39" s="86"/>
      <c r="I39" s="320" t="s">
        <v>36</v>
      </c>
      <c r="J39" s="301"/>
      <c r="K39" s="301"/>
      <c r="L39" s="301"/>
      <c r="M39" s="301" t="s">
        <v>2205</v>
      </c>
      <c r="N39" s="301"/>
      <c r="O39" s="301"/>
      <c r="P39" s="301"/>
      <c r="Q39" s="299"/>
      <c r="R39" s="299"/>
      <c r="S39" s="299"/>
      <c r="T39" s="299"/>
      <c r="U39" s="299"/>
      <c r="V39" s="299"/>
      <c r="W39" s="187"/>
      <c r="X39" s="188"/>
      <c r="Y39" s="189"/>
      <c r="Z39" s="189"/>
      <c r="AA39" s="299"/>
      <c r="AB39" s="299"/>
      <c r="AC39" s="299"/>
      <c r="AD39" s="299"/>
      <c r="AE39" s="299"/>
      <c r="AF39" s="299"/>
      <c r="AG39" s="299"/>
      <c r="AH39" s="299"/>
      <c r="AI39" s="299"/>
      <c r="AJ39" s="299"/>
      <c r="AK39" s="299"/>
      <c r="AL39" s="299"/>
      <c r="AM39" s="299"/>
      <c r="AN39" s="299"/>
      <c r="AO39" s="299"/>
      <c r="AP39" s="299"/>
      <c r="AQ39" s="299"/>
      <c r="AR39" s="299"/>
      <c r="AS39" s="299"/>
    </row>
    <row r="40" spans="1:45" s="68" customFormat="1" ht="16" thickBot="1" x14ac:dyDescent="0.25">
      <c r="A40" s="82" t="s">
        <v>103</v>
      </c>
      <c r="B40" s="82"/>
      <c r="C40" s="83"/>
      <c r="D40" s="83"/>
      <c r="E40" s="78"/>
      <c r="F40" s="82"/>
      <c r="G40" s="82"/>
      <c r="H40" s="79"/>
      <c r="I40" s="113"/>
      <c r="J40" s="113"/>
      <c r="K40" s="113"/>
      <c r="L40" s="113"/>
      <c r="M40" s="113"/>
      <c r="N40" s="113"/>
      <c r="O40" s="113"/>
      <c r="P40" s="113"/>
      <c r="U40" s="68" t="s">
        <v>55</v>
      </c>
      <c r="W40" s="169" t="s">
        <v>55</v>
      </c>
      <c r="X40" s="151"/>
      <c r="Y40" s="152" t="str">
        <f t="shared" si="0"/>
        <v/>
      </c>
      <c r="Z40" s="152" t="str">
        <f t="shared" si="1"/>
        <v/>
      </c>
    </row>
    <row r="41" spans="1:45" s="65" customFormat="1" ht="17" thickTop="1" x14ac:dyDescent="0.2">
      <c r="A41" s="62" t="s">
        <v>56</v>
      </c>
      <c r="B41" s="62" t="s">
        <v>104</v>
      </c>
      <c r="C41" s="80" t="s">
        <v>105</v>
      </c>
      <c r="D41" s="80" t="s">
        <v>106</v>
      </c>
      <c r="E41" s="63"/>
      <c r="F41" s="62"/>
      <c r="G41" s="62"/>
      <c r="H41" s="64"/>
      <c r="I41" s="108" t="s">
        <v>44</v>
      </c>
      <c r="J41" s="108"/>
      <c r="K41" s="108"/>
      <c r="L41" s="108"/>
      <c r="M41" s="108" t="s">
        <v>107</v>
      </c>
      <c r="N41" s="108"/>
      <c r="O41" s="108"/>
      <c r="P41" s="108"/>
      <c r="U41" s="40" t="s">
        <v>37</v>
      </c>
      <c r="W41" s="169"/>
      <c r="X41" s="151"/>
      <c r="Y41" s="152" t="str">
        <f t="shared" si="0"/>
        <v/>
      </c>
      <c r="Z41" s="152" t="str">
        <f t="shared" si="1"/>
        <v/>
      </c>
      <c r="AA41" s="66"/>
    </row>
    <row r="42" spans="1:45" x14ac:dyDescent="0.2">
      <c r="E42" s="76"/>
      <c r="H42" s="77"/>
      <c r="U42" s="40" t="s">
        <v>55</v>
      </c>
      <c r="W42" s="169" t="s">
        <v>55</v>
      </c>
      <c r="X42" s="151">
        <f>1</f>
        <v>1</v>
      </c>
      <c r="Y42" s="152" t="str">
        <f t="shared" si="0"/>
        <v/>
      </c>
      <c r="Z42" s="152" t="str">
        <f t="shared" si="1"/>
        <v/>
      </c>
    </row>
    <row r="43" spans="1:45" ht="16" x14ac:dyDescent="0.2">
      <c r="A43" s="67" t="s">
        <v>108</v>
      </c>
      <c r="B43" s="67" t="s">
        <v>109</v>
      </c>
      <c r="C43" s="39" t="s">
        <v>110</v>
      </c>
      <c r="D43" s="39" t="s">
        <v>111</v>
      </c>
      <c r="E43" s="76"/>
      <c r="F43" s="67"/>
      <c r="G43" s="67"/>
      <c r="H43" s="77"/>
      <c r="I43" s="105" t="s">
        <v>36</v>
      </c>
      <c r="J43" s="105"/>
      <c r="K43" s="105"/>
      <c r="L43" s="105"/>
      <c r="M43" s="105"/>
      <c r="N43" s="105"/>
      <c r="O43" s="105"/>
      <c r="P43" s="105"/>
      <c r="U43" s="40" t="s">
        <v>37</v>
      </c>
      <c r="W43" s="187"/>
      <c r="X43" s="188"/>
      <c r="Y43" s="189"/>
      <c r="Z43" s="152"/>
    </row>
    <row r="44" spans="1:45" ht="16" x14ac:dyDescent="0.2">
      <c r="A44" s="67" t="s">
        <v>77</v>
      </c>
      <c r="B44" s="67" t="s">
        <v>112</v>
      </c>
      <c r="C44" s="39" t="s">
        <v>113</v>
      </c>
      <c r="D44" s="256" t="s">
        <v>114</v>
      </c>
      <c r="E44" s="76"/>
      <c r="F44" s="67"/>
      <c r="G44" s="67"/>
      <c r="H44" s="77"/>
      <c r="I44" s="105" t="s">
        <v>36</v>
      </c>
      <c r="J44" s="105"/>
      <c r="K44" s="105"/>
      <c r="L44" s="105"/>
      <c r="M44" s="105" t="s">
        <v>115</v>
      </c>
      <c r="N44" s="105"/>
      <c r="O44" s="105"/>
      <c r="P44" s="105"/>
      <c r="U44" s="40" t="s">
        <v>37</v>
      </c>
      <c r="W44" s="169">
        <v>10.085731506347656</v>
      </c>
      <c r="X44" s="151">
        <f>1</f>
        <v>1</v>
      </c>
      <c r="Y44" s="152">
        <f t="shared" si="0"/>
        <v>10.085731506347656</v>
      </c>
      <c r="Z44" s="152">
        <f t="shared" si="1"/>
        <v>10.085731506347656</v>
      </c>
    </row>
    <row r="45" spans="1:45" x14ac:dyDescent="0.2">
      <c r="D45" s="192"/>
      <c r="E45" s="76"/>
      <c r="H45" s="77"/>
      <c r="U45" s="40" t="s">
        <v>55</v>
      </c>
      <c r="W45" s="169" t="s">
        <v>55</v>
      </c>
      <c r="X45" s="151">
        <f>1</f>
        <v>1</v>
      </c>
      <c r="Y45" s="152" t="str">
        <f t="shared" si="0"/>
        <v/>
      </c>
      <c r="Z45" s="152" t="str">
        <f t="shared" si="1"/>
        <v/>
      </c>
    </row>
    <row r="46" spans="1:45" ht="16" x14ac:dyDescent="0.2">
      <c r="A46" s="67" t="s">
        <v>116</v>
      </c>
      <c r="B46" s="67" t="s">
        <v>117</v>
      </c>
      <c r="C46" s="39" t="s">
        <v>118</v>
      </c>
      <c r="D46" s="256" t="s">
        <v>119</v>
      </c>
      <c r="E46" s="76"/>
      <c r="F46" s="67"/>
      <c r="G46" s="67"/>
      <c r="H46" s="77"/>
      <c r="I46" s="105" t="s">
        <v>36</v>
      </c>
      <c r="J46" s="105"/>
      <c r="K46" s="105"/>
      <c r="L46" s="105"/>
      <c r="M46" s="105"/>
      <c r="N46" s="105"/>
      <c r="O46" s="105"/>
      <c r="P46" s="105"/>
      <c r="U46" s="40" t="s">
        <v>37</v>
      </c>
      <c r="W46" s="169">
        <v>12.894034385681152</v>
      </c>
      <c r="X46" s="151">
        <f>1</f>
        <v>1</v>
      </c>
      <c r="Y46" s="152">
        <f t="shared" si="0"/>
        <v>12.894034385681152</v>
      </c>
      <c r="Z46" s="152">
        <f t="shared" si="1"/>
        <v>12.894034385681152</v>
      </c>
    </row>
    <row r="47" spans="1:45" x14ac:dyDescent="0.2">
      <c r="E47" s="76"/>
      <c r="H47" s="77"/>
      <c r="U47" s="40" t="s">
        <v>55</v>
      </c>
      <c r="W47" s="169" t="s">
        <v>55</v>
      </c>
      <c r="X47" s="151">
        <f>1</f>
        <v>1</v>
      </c>
      <c r="Y47" s="152" t="str">
        <f t="shared" si="0"/>
        <v/>
      </c>
      <c r="Z47" s="152" t="str">
        <f t="shared" ref="Z47:Z73" si="3">IF(AND(W47&lt;&gt;"",U47="yes"),W47*X47,"")</f>
        <v/>
      </c>
    </row>
    <row r="48" spans="1:45" s="68" customFormat="1" ht="16" x14ac:dyDescent="0.2">
      <c r="A48" s="68" t="s">
        <v>120</v>
      </c>
      <c r="B48" s="68" t="s">
        <v>121</v>
      </c>
      <c r="C48" s="42" t="s">
        <v>122</v>
      </c>
      <c r="D48" s="42" t="s">
        <v>123</v>
      </c>
      <c r="E48" s="84"/>
      <c r="F48" s="85"/>
      <c r="G48" s="85"/>
      <c r="H48" s="86"/>
      <c r="I48" s="110" t="s">
        <v>36</v>
      </c>
      <c r="J48" s="114"/>
      <c r="K48" s="114"/>
      <c r="L48" s="114"/>
      <c r="M48" s="114"/>
      <c r="N48" s="114"/>
      <c r="O48" s="114"/>
      <c r="P48" s="114"/>
      <c r="U48" s="68" t="s">
        <v>37</v>
      </c>
      <c r="W48" s="169">
        <v>15.265829086303711</v>
      </c>
      <c r="X48" s="151">
        <f>1</f>
        <v>1</v>
      </c>
      <c r="Y48" s="152">
        <f t="shared" si="0"/>
        <v>15.265829086303711</v>
      </c>
      <c r="Z48" s="152">
        <f t="shared" si="3"/>
        <v>15.265829086303711</v>
      </c>
    </row>
    <row r="49" spans="1:27" s="68" customFormat="1" x14ac:dyDescent="0.2">
      <c r="C49" s="42"/>
      <c r="D49" s="42"/>
      <c r="E49" s="84"/>
      <c r="F49" s="85"/>
      <c r="G49" s="85"/>
      <c r="H49" s="86"/>
      <c r="I49" s="114"/>
      <c r="J49" s="114"/>
      <c r="K49" s="114"/>
      <c r="L49" s="114"/>
      <c r="M49" s="114"/>
      <c r="N49" s="114"/>
      <c r="O49" s="114"/>
      <c r="P49" s="114"/>
      <c r="U49" s="68" t="s">
        <v>55</v>
      </c>
      <c r="W49" s="169" t="s">
        <v>55</v>
      </c>
      <c r="X49" s="151">
        <f>1</f>
        <v>1</v>
      </c>
      <c r="Y49" s="152" t="str">
        <f t="shared" si="0"/>
        <v/>
      </c>
      <c r="Z49" s="152" t="str">
        <f t="shared" si="3"/>
        <v/>
      </c>
    </row>
    <row r="50" spans="1:27" s="69" customFormat="1" ht="48" x14ac:dyDescent="0.2">
      <c r="A50" s="69" t="s">
        <v>71</v>
      </c>
      <c r="B50" s="69" t="s">
        <v>124</v>
      </c>
      <c r="C50" s="70" t="s">
        <v>125</v>
      </c>
      <c r="D50" s="70" t="s">
        <v>126</v>
      </c>
      <c r="E50" s="71"/>
      <c r="F50" s="69" t="s">
        <v>127</v>
      </c>
      <c r="G50" s="70" t="s">
        <v>128</v>
      </c>
      <c r="H50" s="75"/>
      <c r="I50" s="106" t="s">
        <v>36</v>
      </c>
      <c r="J50" s="106"/>
      <c r="K50" s="106" t="s">
        <v>129</v>
      </c>
      <c r="L50" s="106"/>
      <c r="M50" s="106"/>
      <c r="N50" s="106"/>
      <c r="O50" s="106"/>
      <c r="P50" s="106"/>
      <c r="U50" s="69" t="s">
        <v>45</v>
      </c>
      <c r="W50" s="169">
        <v>15.211848258972168</v>
      </c>
      <c r="X50" s="151">
        <f>1</f>
        <v>1</v>
      </c>
      <c r="Y50" s="152">
        <f t="shared" si="0"/>
        <v>15.211848258972168</v>
      </c>
      <c r="Z50" s="152" t="str">
        <f t="shared" si="3"/>
        <v/>
      </c>
      <c r="AA50" s="68"/>
    </row>
    <row r="51" spans="1:27" s="299" customFormat="1" ht="29.25" customHeight="1" x14ac:dyDescent="0.2">
      <c r="A51" s="299" t="s">
        <v>108</v>
      </c>
      <c r="B51" s="299" t="s">
        <v>1761</v>
      </c>
      <c r="C51" s="300" t="s">
        <v>1762</v>
      </c>
      <c r="D51" s="300" t="s">
        <v>1763</v>
      </c>
      <c r="E51" s="71"/>
      <c r="F51" s="299" t="s">
        <v>1759</v>
      </c>
      <c r="G51" s="299" t="s">
        <v>1760</v>
      </c>
      <c r="H51" s="86"/>
      <c r="I51" s="320" t="s">
        <v>36</v>
      </c>
      <c r="J51" s="301"/>
      <c r="K51" s="301"/>
      <c r="L51" s="301"/>
      <c r="M51" s="301" t="s">
        <v>1755</v>
      </c>
      <c r="N51" s="301"/>
      <c r="O51" s="301"/>
      <c r="P51" s="301"/>
      <c r="U51" s="299" t="s">
        <v>45</v>
      </c>
      <c r="W51" s="187"/>
      <c r="X51" s="188"/>
      <c r="Y51" s="189" t="str">
        <f t="shared" si="0"/>
        <v/>
      </c>
      <c r="Z51" s="189" t="str">
        <f t="shared" si="3"/>
        <v/>
      </c>
    </row>
    <row r="52" spans="1:27" s="299" customFormat="1" ht="29.25" customHeight="1" x14ac:dyDescent="0.2">
      <c r="A52" s="299" t="s">
        <v>1764</v>
      </c>
      <c r="B52" s="299" t="s">
        <v>1765</v>
      </c>
      <c r="C52" s="300" t="s">
        <v>1766</v>
      </c>
      <c r="D52" s="300" t="s">
        <v>1767</v>
      </c>
      <c r="E52" s="71"/>
      <c r="F52" s="299" t="s">
        <v>261</v>
      </c>
      <c r="G52" s="299" t="s">
        <v>1768</v>
      </c>
      <c r="H52" s="86"/>
      <c r="I52" s="320" t="s">
        <v>36</v>
      </c>
      <c r="J52" s="301"/>
      <c r="K52" s="301"/>
      <c r="L52" s="321"/>
      <c r="M52" s="321" t="s">
        <v>1769</v>
      </c>
      <c r="N52" s="301"/>
      <c r="O52" s="301"/>
      <c r="P52" s="301"/>
      <c r="U52" s="299" t="s">
        <v>45</v>
      </c>
      <c r="W52" s="187"/>
      <c r="X52" s="188"/>
      <c r="Y52" s="189"/>
      <c r="Z52" s="189"/>
    </row>
    <row r="53" spans="1:27" s="302" customFormat="1" ht="16.5" customHeight="1" x14ac:dyDescent="0.2">
      <c r="A53" s="299" t="s">
        <v>60</v>
      </c>
      <c r="B53" s="299" t="s">
        <v>1770</v>
      </c>
      <c r="C53" s="300" t="s">
        <v>212</v>
      </c>
      <c r="D53" s="303" t="s">
        <v>213</v>
      </c>
      <c r="E53" s="71"/>
      <c r="F53" s="299" t="s">
        <v>214</v>
      </c>
      <c r="G53" s="299" t="s">
        <v>1715</v>
      </c>
      <c r="H53" s="86"/>
      <c r="I53" s="301" t="s">
        <v>36</v>
      </c>
      <c r="J53" s="301"/>
      <c r="K53" s="301"/>
      <c r="L53" s="301"/>
      <c r="M53" s="301" t="s">
        <v>1771</v>
      </c>
      <c r="N53" s="301"/>
      <c r="O53" s="301"/>
      <c r="P53" s="301"/>
      <c r="U53" s="302" t="s">
        <v>37</v>
      </c>
      <c r="W53" s="187"/>
      <c r="X53" s="188"/>
      <c r="Y53" s="189" t="str">
        <f t="shared" ref="Y53" si="4">IF(W53&lt;&gt;"",W53*X53,"")</f>
        <v/>
      </c>
      <c r="Z53" s="189" t="str">
        <f t="shared" ref="Z53" si="5">IF(AND(W53&lt;&gt;"",U53="yes"),W53*X53,"")</f>
        <v/>
      </c>
      <c r="AA53" s="299"/>
    </row>
    <row r="54" spans="1:27" ht="16" thickBot="1" x14ac:dyDescent="0.25">
      <c r="A54" s="87" t="s">
        <v>103</v>
      </c>
      <c r="B54" s="87"/>
      <c r="C54" s="88"/>
      <c r="D54" s="88"/>
      <c r="E54" s="97"/>
      <c r="F54" s="87"/>
      <c r="G54" s="87"/>
      <c r="H54" s="98"/>
      <c r="I54" s="115"/>
      <c r="J54" s="115"/>
      <c r="K54" s="115"/>
      <c r="L54" s="115"/>
      <c r="M54" s="115"/>
      <c r="N54" s="115"/>
      <c r="O54" s="115"/>
      <c r="P54" s="115"/>
      <c r="U54" s="40" t="s">
        <v>55</v>
      </c>
      <c r="W54" s="169" t="s">
        <v>55</v>
      </c>
      <c r="X54" s="151">
        <f>1</f>
        <v>1</v>
      </c>
      <c r="Y54" s="152" t="str">
        <f t="shared" si="0"/>
        <v/>
      </c>
      <c r="Z54" s="152" t="str">
        <f t="shared" si="3"/>
        <v/>
      </c>
    </row>
    <row r="55" spans="1:27" s="65" customFormat="1" ht="17" thickTop="1" x14ac:dyDescent="0.2">
      <c r="A55" s="74" t="s">
        <v>56</v>
      </c>
      <c r="B55" s="74" t="s">
        <v>130</v>
      </c>
      <c r="C55" s="89" t="s">
        <v>131</v>
      </c>
      <c r="D55" s="89" t="s">
        <v>132</v>
      </c>
      <c r="E55" s="160"/>
      <c r="F55" s="74"/>
      <c r="G55" s="74"/>
      <c r="H55" s="161"/>
      <c r="I55" s="116" t="s">
        <v>44</v>
      </c>
      <c r="J55" s="116"/>
      <c r="K55" s="116"/>
      <c r="L55" s="116"/>
      <c r="M55" s="116" t="s">
        <v>107</v>
      </c>
      <c r="N55" s="116"/>
      <c r="O55" s="116"/>
      <c r="P55" s="116"/>
      <c r="U55" s="40" t="s">
        <v>37</v>
      </c>
      <c r="W55" s="169"/>
      <c r="X55" s="151">
        <f>1</f>
        <v>1</v>
      </c>
      <c r="Y55" s="152" t="str">
        <f t="shared" si="0"/>
        <v/>
      </c>
      <c r="Z55" s="152" t="str">
        <f t="shared" si="3"/>
        <v/>
      </c>
      <c r="AA55" s="66"/>
    </row>
    <row r="56" spans="1:27" x14ac:dyDescent="0.2">
      <c r="E56" s="76"/>
      <c r="H56" s="77"/>
      <c r="U56" s="40" t="s">
        <v>55</v>
      </c>
      <c r="W56" s="169" t="s">
        <v>55</v>
      </c>
      <c r="X56" s="151">
        <f>1</f>
        <v>1</v>
      </c>
      <c r="Y56" s="152" t="str">
        <f t="shared" si="0"/>
        <v/>
      </c>
      <c r="Z56" s="152" t="str">
        <f t="shared" si="3"/>
        <v/>
      </c>
    </row>
    <row r="57" spans="1:27" ht="16" x14ac:dyDescent="0.2">
      <c r="A57" s="72" t="s">
        <v>133</v>
      </c>
      <c r="B57" s="72" t="s">
        <v>134</v>
      </c>
      <c r="C57" s="73" t="s">
        <v>135</v>
      </c>
      <c r="D57" s="260" t="s">
        <v>136</v>
      </c>
      <c r="E57" s="84"/>
      <c r="F57" s="68" t="s">
        <v>137</v>
      </c>
      <c r="G57" s="40" t="s">
        <v>138</v>
      </c>
      <c r="H57" s="86"/>
      <c r="I57" s="107" t="s">
        <v>36</v>
      </c>
      <c r="J57" s="107" t="s">
        <v>139</v>
      </c>
      <c r="K57" s="107"/>
      <c r="L57" s="107"/>
      <c r="M57" s="107"/>
      <c r="N57" s="107"/>
      <c r="O57" s="107"/>
      <c r="P57" s="107"/>
      <c r="U57" s="40" t="s">
        <v>37</v>
      </c>
      <c r="W57" s="169">
        <v>36.928733825683594</v>
      </c>
      <c r="X57" s="151">
        <f>1</f>
        <v>1</v>
      </c>
      <c r="Y57" s="152">
        <f t="shared" si="0"/>
        <v>36.928733825683594</v>
      </c>
      <c r="Z57" s="152">
        <f t="shared" si="3"/>
        <v>36.928733825683594</v>
      </c>
    </row>
    <row r="58" spans="1:27" x14ac:dyDescent="0.2">
      <c r="A58" s="72" t="s">
        <v>26</v>
      </c>
      <c r="B58" s="72" t="s">
        <v>140</v>
      </c>
      <c r="C58" s="73"/>
      <c r="D58" s="67"/>
      <c r="E58" s="84"/>
      <c r="F58" s="68"/>
      <c r="G58" s="68"/>
      <c r="H58" s="86"/>
      <c r="I58" s="107"/>
      <c r="J58" s="107"/>
      <c r="K58" s="107"/>
      <c r="L58" s="107"/>
      <c r="M58" s="107"/>
      <c r="N58" s="107"/>
      <c r="O58" s="107"/>
      <c r="P58" s="107" t="s">
        <v>141</v>
      </c>
      <c r="U58" s="40" t="s">
        <v>37</v>
      </c>
      <c r="W58" s="169"/>
      <c r="X58" s="151">
        <f>1</f>
        <v>1</v>
      </c>
      <c r="Y58" s="152" t="str">
        <f t="shared" si="0"/>
        <v/>
      </c>
      <c r="Z58" s="152" t="str">
        <f t="shared" si="3"/>
        <v/>
      </c>
    </row>
    <row r="59" spans="1:27" ht="16" x14ac:dyDescent="0.2">
      <c r="A59" s="72" t="s">
        <v>108</v>
      </c>
      <c r="B59" s="72" t="s">
        <v>142</v>
      </c>
      <c r="C59" s="73" t="s">
        <v>143</v>
      </c>
      <c r="D59" s="193" t="s">
        <v>144</v>
      </c>
      <c r="E59" s="84"/>
      <c r="F59" s="68"/>
      <c r="G59" s="68"/>
      <c r="H59" s="86"/>
      <c r="I59" s="107" t="s">
        <v>36</v>
      </c>
      <c r="J59" s="107"/>
      <c r="K59" s="107"/>
      <c r="L59" s="107"/>
      <c r="M59" s="107" t="s">
        <v>145</v>
      </c>
      <c r="N59" s="107"/>
      <c r="O59" s="107"/>
      <c r="P59" s="107"/>
      <c r="U59" s="40" t="s">
        <v>37</v>
      </c>
      <c r="W59" s="169">
        <v>0</v>
      </c>
      <c r="X59" s="151">
        <f>1</f>
        <v>1</v>
      </c>
      <c r="Y59" s="152">
        <f t="shared" si="0"/>
        <v>0</v>
      </c>
      <c r="Z59" s="152">
        <f t="shared" si="3"/>
        <v>0</v>
      </c>
    </row>
    <row r="60" spans="1:27" ht="32" x14ac:dyDescent="0.2">
      <c r="A60" s="72" t="s">
        <v>108</v>
      </c>
      <c r="B60" s="72" t="s">
        <v>146</v>
      </c>
      <c r="C60" s="73" t="s">
        <v>147</v>
      </c>
      <c r="D60" s="193" t="s">
        <v>148</v>
      </c>
      <c r="E60" s="84"/>
      <c r="F60" s="68"/>
      <c r="G60" s="68"/>
      <c r="H60" s="86"/>
      <c r="I60" s="107" t="s">
        <v>36</v>
      </c>
      <c r="J60" s="107"/>
      <c r="K60" s="107"/>
      <c r="L60" s="107"/>
      <c r="M60" s="107" t="s">
        <v>149</v>
      </c>
      <c r="N60" s="107"/>
      <c r="O60" s="107"/>
      <c r="P60" s="107"/>
      <c r="U60" s="40" t="s">
        <v>37</v>
      </c>
      <c r="W60" s="169">
        <v>0</v>
      </c>
      <c r="X60" s="151">
        <f>1</f>
        <v>1</v>
      </c>
      <c r="Y60" s="152">
        <f t="shared" ref="Y60:Y112" si="6">IF(W60&lt;&gt;"",W60*X60,"")</f>
        <v>0</v>
      </c>
      <c r="Z60" s="152">
        <f t="shared" si="3"/>
        <v>0</v>
      </c>
    </row>
    <row r="61" spans="1:27" ht="32" x14ac:dyDescent="0.2">
      <c r="A61" s="72" t="s">
        <v>108</v>
      </c>
      <c r="B61" s="72" t="s">
        <v>150</v>
      </c>
      <c r="C61" s="73" t="s">
        <v>151</v>
      </c>
      <c r="D61" s="193" t="s">
        <v>152</v>
      </c>
      <c r="E61" s="84"/>
      <c r="F61" s="68"/>
      <c r="G61" s="68"/>
      <c r="H61" s="86"/>
      <c r="I61" s="107" t="s">
        <v>36</v>
      </c>
      <c r="J61" s="107"/>
      <c r="K61" s="107"/>
      <c r="L61" s="107"/>
      <c r="M61" s="107" t="s">
        <v>153</v>
      </c>
      <c r="N61" s="107"/>
      <c r="O61" s="107"/>
      <c r="P61" s="107"/>
      <c r="U61" s="40" t="s">
        <v>37</v>
      </c>
      <c r="W61" s="169">
        <v>0</v>
      </c>
      <c r="X61" s="151">
        <f>1</f>
        <v>1</v>
      </c>
      <c r="Y61" s="152">
        <f t="shared" si="6"/>
        <v>0</v>
      </c>
      <c r="Z61" s="152">
        <f t="shared" si="3"/>
        <v>0</v>
      </c>
    </row>
    <row r="62" spans="1:27" x14ac:dyDescent="0.2">
      <c r="D62" s="40"/>
      <c r="E62" s="76"/>
      <c r="H62" s="77"/>
      <c r="U62" s="40" t="s">
        <v>55</v>
      </c>
      <c r="W62" s="169" t="s">
        <v>55</v>
      </c>
      <c r="X62" s="151">
        <f>1</f>
        <v>1</v>
      </c>
      <c r="Y62" s="152" t="str">
        <f t="shared" si="6"/>
        <v/>
      </c>
      <c r="Z62" s="152" t="str">
        <f t="shared" si="3"/>
        <v/>
      </c>
    </row>
    <row r="63" spans="1:27" x14ac:dyDescent="0.2">
      <c r="D63" s="72"/>
      <c r="E63" s="75"/>
      <c r="G63" s="69"/>
      <c r="H63" s="75"/>
    </row>
    <row r="64" spans="1:27" s="72" customFormat="1" x14ac:dyDescent="0.2">
      <c r="A64" s="72" t="s">
        <v>156</v>
      </c>
      <c r="B64" s="72" t="s">
        <v>157</v>
      </c>
      <c r="C64" s="72" t="s">
        <v>158</v>
      </c>
      <c r="D64" s="72" t="s">
        <v>159</v>
      </c>
      <c r="E64" s="86"/>
      <c r="H64" s="86"/>
      <c r="I64" s="107" t="s">
        <v>36</v>
      </c>
      <c r="J64" s="107"/>
      <c r="K64" s="107"/>
      <c r="L64" s="107"/>
      <c r="M64" s="107" t="s">
        <v>155</v>
      </c>
      <c r="N64" s="107"/>
      <c r="O64" s="107"/>
      <c r="P64" s="107"/>
      <c r="W64" s="170"/>
      <c r="X64" s="190"/>
      <c r="Y64" s="191"/>
      <c r="Z64" s="191"/>
    </row>
    <row r="65" spans="1:27" s="72" customFormat="1" x14ac:dyDescent="0.2">
      <c r="A65" s="72" t="s">
        <v>160</v>
      </c>
      <c r="B65" s="72" t="s">
        <v>161</v>
      </c>
      <c r="C65" s="72" t="s">
        <v>162</v>
      </c>
      <c r="D65" s="72" t="s">
        <v>163</v>
      </c>
      <c r="E65" s="86"/>
      <c r="H65" s="86"/>
      <c r="I65" s="107" t="s">
        <v>36</v>
      </c>
      <c r="J65" s="107"/>
      <c r="K65" s="107"/>
      <c r="L65" s="107"/>
      <c r="M65" s="107" t="s">
        <v>155</v>
      </c>
      <c r="N65" s="107"/>
      <c r="O65" s="107"/>
      <c r="P65" s="107"/>
      <c r="W65" s="170"/>
      <c r="X65" s="190"/>
      <c r="Y65" s="191"/>
      <c r="Z65" s="191"/>
    </row>
    <row r="66" spans="1:27" x14ac:dyDescent="0.2">
      <c r="E66" s="76"/>
      <c r="H66" s="77"/>
      <c r="U66" s="40" t="s">
        <v>55</v>
      </c>
      <c r="W66" s="169" t="s">
        <v>55</v>
      </c>
      <c r="X66" s="151">
        <f>1</f>
        <v>1</v>
      </c>
      <c r="Y66" s="152" t="str">
        <f t="shared" ref="Y66" si="7">IF(W66&lt;&gt;"",W66*X66,"")</f>
        <v/>
      </c>
      <c r="Z66" s="152" t="str">
        <f t="shared" ref="Z66" si="8">IF(AND(W66&lt;&gt;"",U66="yes"),W66*X66,"")</f>
        <v/>
      </c>
    </row>
    <row r="67" spans="1:27" ht="48" x14ac:dyDescent="0.2">
      <c r="A67" s="72" t="s">
        <v>164</v>
      </c>
      <c r="B67" s="72" t="s">
        <v>165</v>
      </c>
      <c r="C67" s="73" t="s">
        <v>2229</v>
      </c>
      <c r="D67" s="193" t="s">
        <v>2235</v>
      </c>
      <c r="E67" s="84"/>
      <c r="F67" s="300" t="s">
        <v>2116</v>
      </c>
      <c r="G67" s="300" t="s">
        <v>2117</v>
      </c>
      <c r="H67" s="86"/>
      <c r="I67" s="107" t="s">
        <v>36</v>
      </c>
      <c r="J67" s="107"/>
      <c r="K67" s="107"/>
      <c r="L67" s="107"/>
      <c r="M67" s="107" t="s">
        <v>155</v>
      </c>
      <c r="N67" s="107"/>
      <c r="O67" s="107"/>
      <c r="P67" s="107"/>
      <c r="U67" s="40" t="s">
        <v>37</v>
      </c>
      <c r="W67" s="169">
        <v>27.242166519165039</v>
      </c>
      <c r="X67" s="151">
        <f>1</f>
        <v>1</v>
      </c>
      <c r="Y67" s="152">
        <f t="shared" si="6"/>
        <v>27.242166519165039</v>
      </c>
      <c r="Z67" s="152">
        <f t="shared" si="3"/>
        <v>27.242166519165039</v>
      </c>
    </row>
    <row r="68" spans="1:27" x14ac:dyDescent="0.2">
      <c r="D68" s="194"/>
      <c r="E68" s="76"/>
      <c r="H68" s="77"/>
      <c r="U68" s="40" t="s">
        <v>55</v>
      </c>
      <c r="W68" s="169" t="s">
        <v>55</v>
      </c>
      <c r="X68" s="151">
        <f>1</f>
        <v>1</v>
      </c>
      <c r="Y68" s="152" t="str">
        <f t="shared" si="6"/>
        <v/>
      </c>
      <c r="Z68" s="152" t="str">
        <f t="shared" si="3"/>
        <v/>
      </c>
    </row>
    <row r="69" spans="1:27" ht="16" x14ac:dyDescent="0.2">
      <c r="A69" s="72" t="s">
        <v>166</v>
      </c>
      <c r="B69" s="72" t="s">
        <v>167</v>
      </c>
      <c r="C69" s="73" t="s">
        <v>168</v>
      </c>
      <c r="D69" s="256" t="s">
        <v>169</v>
      </c>
      <c r="E69" s="84"/>
      <c r="F69" s="68" t="s">
        <v>170</v>
      </c>
      <c r="G69" s="40" t="s">
        <v>171</v>
      </c>
      <c r="H69" s="86"/>
      <c r="I69" s="107" t="s">
        <v>36</v>
      </c>
      <c r="J69" s="107" t="s">
        <v>139</v>
      </c>
      <c r="K69" s="107"/>
      <c r="L69" s="107"/>
      <c r="M69" s="107" t="s">
        <v>155</v>
      </c>
      <c r="N69" s="107" t="s">
        <v>172</v>
      </c>
      <c r="O69" s="107"/>
      <c r="P69" s="107"/>
      <c r="U69" s="40" t="s">
        <v>37</v>
      </c>
      <c r="W69" s="169">
        <v>25.308004379272461</v>
      </c>
      <c r="X69" s="151">
        <f>1</f>
        <v>1</v>
      </c>
      <c r="Y69" s="152">
        <f t="shared" si="6"/>
        <v>25.308004379272461</v>
      </c>
      <c r="Z69" s="152">
        <f t="shared" si="3"/>
        <v>25.308004379272461</v>
      </c>
    </row>
    <row r="70" spans="1:27" x14ac:dyDescent="0.2">
      <c r="A70" s="72" t="s">
        <v>26</v>
      </c>
      <c r="B70" s="72" t="s">
        <v>173</v>
      </c>
      <c r="C70" s="73"/>
      <c r="D70" s="67"/>
      <c r="E70" s="84"/>
      <c r="F70" s="68"/>
      <c r="G70" s="68"/>
      <c r="H70" s="86"/>
      <c r="I70" s="107"/>
      <c r="J70" s="107"/>
      <c r="K70" s="107"/>
      <c r="L70" s="107"/>
      <c r="M70" s="107"/>
      <c r="N70" s="107"/>
      <c r="O70" s="107"/>
      <c r="P70" s="107" t="s">
        <v>174</v>
      </c>
      <c r="U70" s="40" t="s">
        <v>37</v>
      </c>
      <c r="W70" s="169"/>
      <c r="X70" s="151">
        <f>1</f>
        <v>1</v>
      </c>
      <c r="Y70" s="152" t="str">
        <f t="shared" si="6"/>
        <v/>
      </c>
      <c r="Z70" s="152" t="str">
        <f t="shared" si="3"/>
        <v/>
      </c>
    </row>
    <row r="71" spans="1:27" ht="16" x14ac:dyDescent="0.2">
      <c r="A71" s="72" t="s">
        <v>108</v>
      </c>
      <c r="B71" s="72" t="s">
        <v>175</v>
      </c>
      <c r="C71" s="73" t="s">
        <v>143</v>
      </c>
      <c r="D71" s="193" t="s">
        <v>144</v>
      </c>
      <c r="E71" s="84"/>
      <c r="F71" s="68"/>
      <c r="G71" s="68"/>
      <c r="H71" s="86"/>
      <c r="I71" s="107" t="s">
        <v>36</v>
      </c>
      <c r="J71" s="107"/>
      <c r="K71" s="107"/>
      <c r="L71" s="107"/>
      <c r="M71" s="107" t="s">
        <v>176</v>
      </c>
      <c r="N71" s="107"/>
      <c r="O71" s="107"/>
      <c r="P71" s="107"/>
      <c r="U71" s="40" t="s">
        <v>37</v>
      </c>
      <c r="W71" s="169">
        <v>0</v>
      </c>
      <c r="X71" s="151">
        <f>1</f>
        <v>1</v>
      </c>
      <c r="Y71" s="152">
        <f t="shared" si="6"/>
        <v>0</v>
      </c>
      <c r="Z71" s="152">
        <f t="shared" si="3"/>
        <v>0</v>
      </c>
    </row>
    <row r="72" spans="1:27" ht="32" x14ac:dyDescent="0.2">
      <c r="A72" s="72" t="s">
        <v>108</v>
      </c>
      <c r="B72" s="72" t="s">
        <v>177</v>
      </c>
      <c r="C72" s="73" t="s">
        <v>147</v>
      </c>
      <c r="D72" s="193" t="s">
        <v>148</v>
      </c>
      <c r="E72" s="84"/>
      <c r="F72" s="68"/>
      <c r="G72" s="68"/>
      <c r="H72" s="86"/>
      <c r="I72" s="107" t="s">
        <v>36</v>
      </c>
      <c r="J72" s="107"/>
      <c r="K72" s="107"/>
      <c r="L72" s="107"/>
      <c r="M72" s="107" t="s">
        <v>178</v>
      </c>
      <c r="N72" s="107"/>
      <c r="O72" s="107"/>
      <c r="P72" s="107"/>
      <c r="U72" s="40" t="s">
        <v>37</v>
      </c>
      <c r="W72" s="169">
        <v>0</v>
      </c>
      <c r="X72" s="151">
        <f>1</f>
        <v>1</v>
      </c>
      <c r="Y72" s="152">
        <f t="shared" si="6"/>
        <v>0</v>
      </c>
      <c r="Z72" s="152">
        <f t="shared" si="3"/>
        <v>0</v>
      </c>
    </row>
    <row r="73" spans="1:27" ht="16" x14ac:dyDescent="0.2">
      <c r="A73" s="72" t="s">
        <v>108</v>
      </c>
      <c r="B73" s="72" t="s">
        <v>179</v>
      </c>
      <c r="C73" s="73" t="s">
        <v>180</v>
      </c>
      <c r="D73" s="193" t="s">
        <v>152</v>
      </c>
      <c r="E73" s="84"/>
      <c r="F73" s="68"/>
      <c r="G73" s="68"/>
      <c r="H73" s="86"/>
      <c r="I73" s="107" t="s">
        <v>36</v>
      </c>
      <c r="J73" s="107"/>
      <c r="K73" s="107"/>
      <c r="L73" s="107"/>
      <c r="M73" s="107" t="s">
        <v>181</v>
      </c>
      <c r="N73" s="107"/>
      <c r="O73" s="107"/>
      <c r="P73" s="107"/>
      <c r="U73" s="40" t="s">
        <v>37</v>
      </c>
      <c r="W73" s="169">
        <v>0</v>
      </c>
      <c r="X73" s="151">
        <f>1</f>
        <v>1</v>
      </c>
      <c r="Y73" s="152">
        <f t="shared" si="6"/>
        <v>0</v>
      </c>
      <c r="Z73" s="152">
        <f t="shared" si="3"/>
        <v>0</v>
      </c>
    </row>
    <row r="74" spans="1:27" x14ac:dyDescent="0.2">
      <c r="E74" s="76"/>
      <c r="H74" s="77"/>
      <c r="U74" s="40" t="s">
        <v>55</v>
      </c>
      <c r="W74" s="169" t="s">
        <v>55</v>
      </c>
      <c r="X74" s="151">
        <f>1</f>
        <v>1</v>
      </c>
      <c r="Y74" s="152" t="str">
        <f t="shared" si="6"/>
        <v/>
      </c>
      <c r="Z74" s="152" t="str">
        <f t="shared" ref="Z74:Z97" si="9">IF(AND(W74&lt;&gt;"",U74="yes"),W74*X74,"")</f>
        <v/>
      </c>
    </row>
    <row r="75" spans="1:27" s="69" customFormat="1" x14ac:dyDescent="0.2">
      <c r="C75" s="70"/>
      <c r="D75" s="70"/>
      <c r="E75" s="71"/>
      <c r="H75" s="75"/>
      <c r="I75" s="106"/>
      <c r="J75" s="106"/>
      <c r="K75" s="106"/>
      <c r="L75" s="106"/>
      <c r="M75" s="106"/>
      <c r="N75" s="106"/>
      <c r="O75" s="106"/>
      <c r="P75" s="106"/>
      <c r="U75" s="69" t="s">
        <v>55</v>
      </c>
      <c r="W75" s="169" t="s">
        <v>55</v>
      </c>
      <c r="X75" s="151">
        <f>1</f>
        <v>1</v>
      </c>
      <c r="Y75" s="152" t="str">
        <f t="shared" ref="Y75" si="10">IF(W75&lt;&gt;"",W75*X75,"")</f>
        <v/>
      </c>
      <c r="Z75" s="152" t="str">
        <f t="shared" ref="Z75" si="11">IF(AND(W75&lt;&gt;"",U75="yes"),W75*X75,"")</f>
        <v/>
      </c>
      <c r="AA75" s="68"/>
    </row>
    <row r="76" spans="1:27" s="69" customFormat="1" x14ac:dyDescent="0.2">
      <c r="A76" s="69" t="s">
        <v>156</v>
      </c>
      <c r="B76" s="69" t="s">
        <v>183</v>
      </c>
      <c r="C76" s="69" t="s">
        <v>158</v>
      </c>
      <c r="D76" s="233" t="s">
        <v>159</v>
      </c>
      <c r="E76" s="75"/>
      <c r="H76" s="75"/>
      <c r="I76" s="106" t="s">
        <v>36</v>
      </c>
      <c r="J76" s="106"/>
      <c r="K76" s="106"/>
      <c r="L76" s="106"/>
      <c r="M76" s="106" t="s">
        <v>182</v>
      </c>
      <c r="N76" s="106"/>
      <c r="O76" s="106"/>
      <c r="P76" s="106"/>
      <c r="W76" s="169"/>
      <c r="X76" s="151"/>
      <c r="Y76" s="152"/>
      <c r="Z76" s="152"/>
      <c r="AA76" s="68"/>
    </row>
    <row r="77" spans="1:27" s="69" customFormat="1" x14ac:dyDescent="0.2">
      <c r="A77" s="69" t="s">
        <v>160</v>
      </c>
      <c r="B77" s="69" t="s">
        <v>184</v>
      </c>
      <c r="C77" s="69" t="s">
        <v>162</v>
      </c>
      <c r="D77" s="233" t="s">
        <v>163</v>
      </c>
      <c r="E77" s="75"/>
      <c r="H77" s="75"/>
      <c r="I77" s="106" t="s">
        <v>36</v>
      </c>
      <c r="J77" s="106"/>
      <c r="K77" s="106"/>
      <c r="L77" s="106"/>
      <c r="M77" s="106" t="s">
        <v>182</v>
      </c>
      <c r="N77" s="106"/>
      <c r="O77" s="106"/>
      <c r="P77" s="106"/>
      <c r="W77" s="169"/>
      <c r="X77" s="151"/>
      <c r="Y77" s="152"/>
      <c r="Z77" s="152"/>
      <c r="AA77" s="68"/>
    </row>
    <row r="78" spans="1:27" s="69" customFormat="1" x14ac:dyDescent="0.2">
      <c r="C78" s="70"/>
      <c r="D78" s="70"/>
      <c r="E78" s="71"/>
      <c r="H78" s="75"/>
      <c r="I78" s="106"/>
      <c r="J78" s="106"/>
      <c r="K78" s="106"/>
      <c r="L78" s="106"/>
      <c r="M78" s="106"/>
      <c r="N78" s="106"/>
      <c r="O78" s="106"/>
      <c r="P78" s="106"/>
      <c r="U78" s="69" t="s">
        <v>55</v>
      </c>
      <c r="W78" s="169" t="s">
        <v>55</v>
      </c>
      <c r="X78" s="151">
        <f>1</f>
        <v>1</v>
      </c>
      <c r="Y78" s="152" t="str">
        <f t="shared" si="6"/>
        <v/>
      </c>
      <c r="Z78" s="152" t="str">
        <f t="shared" si="9"/>
        <v/>
      </c>
      <c r="AA78" s="68"/>
    </row>
    <row r="79" spans="1:27" ht="48" x14ac:dyDescent="0.2">
      <c r="A79" s="72" t="s">
        <v>164</v>
      </c>
      <c r="B79" s="72" t="s">
        <v>185</v>
      </c>
      <c r="C79" s="73" t="s">
        <v>2230</v>
      </c>
      <c r="D79" s="193" t="s">
        <v>2236</v>
      </c>
      <c r="E79" s="84"/>
      <c r="F79" s="300" t="s">
        <v>2116</v>
      </c>
      <c r="G79" s="300" t="s">
        <v>2117</v>
      </c>
      <c r="H79" s="86"/>
      <c r="I79" s="107" t="s">
        <v>36</v>
      </c>
      <c r="J79" s="107"/>
      <c r="K79" s="107"/>
      <c r="L79" s="107"/>
      <c r="M79" s="107" t="s">
        <v>182</v>
      </c>
      <c r="N79" s="107"/>
      <c r="O79" s="107"/>
      <c r="P79" s="107"/>
      <c r="U79" s="40" t="s">
        <v>37</v>
      </c>
      <c r="W79" s="169">
        <v>21.193256378173828</v>
      </c>
      <c r="X79" s="151">
        <f>1</f>
        <v>1</v>
      </c>
      <c r="Y79" s="152">
        <f t="shared" si="6"/>
        <v>21.193256378173828</v>
      </c>
      <c r="Z79" s="152">
        <f t="shared" si="9"/>
        <v>21.193256378173828</v>
      </c>
    </row>
    <row r="80" spans="1:27" x14ac:dyDescent="0.2">
      <c r="D80" s="194"/>
      <c r="E80" s="76"/>
      <c r="H80" s="77"/>
      <c r="M80" s="114"/>
      <c r="U80" s="40" t="s">
        <v>55</v>
      </c>
      <c r="W80" s="169" t="s">
        <v>55</v>
      </c>
      <c r="X80" s="151">
        <f>1</f>
        <v>1</v>
      </c>
      <c r="Y80" s="152" t="str">
        <f t="shared" si="6"/>
        <v/>
      </c>
      <c r="Z80" s="152" t="str">
        <f t="shared" si="9"/>
        <v/>
      </c>
    </row>
    <row r="81" spans="1:27" ht="16" x14ac:dyDescent="0.2">
      <c r="A81" s="72" t="s">
        <v>186</v>
      </c>
      <c r="B81" s="72" t="s">
        <v>187</v>
      </c>
      <c r="C81" s="72" t="s">
        <v>188</v>
      </c>
      <c r="D81" s="256" t="s">
        <v>189</v>
      </c>
      <c r="E81" s="86"/>
      <c r="F81" s="68" t="s">
        <v>170</v>
      </c>
      <c r="G81" s="68" t="s">
        <v>171</v>
      </c>
      <c r="H81" s="86"/>
      <c r="I81" s="107" t="s">
        <v>36</v>
      </c>
      <c r="J81" s="107" t="s">
        <v>139</v>
      </c>
      <c r="K81" s="107"/>
      <c r="L81" s="107"/>
      <c r="M81" s="107" t="s">
        <v>182</v>
      </c>
      <c r="N81" s="107" t="s">
        <v>190</v>
      </c>
      <c r="O81" s="107"/>
      <c r="P81" s="107"/>
      <c r="U81" s="40" t="s">
        <v>37</v>
      </c>
      <c r="W81" s="169">
        <v>20.229927062988281</v>
      </c>
      <c r="X81" s="151">
        <f>1</f>
        <v>1</v>
      </c>
      <c r="Y81" s="152">
        <f t="shared" si="6"/>
        <v>20.229927062988281</v>
      </c>
      <c r="Z81" s="152">
        <f t="shared" si="9"/>
        <v>20.229927062988281</v>
      </c>
    </row>
    <row r="82" spans="1:27" x14ac:dyDescent="0.2">
      <c r="A82" s="72" t="s">
        <v>26</v>
      </c>
      <c r="B82" s="72" t="s">
        <v>191</v>
      </c>
      <c r="C82" s="73"/>
      <c r="D82" s="67"/>
      <c r="E82" s="84"/>
      <c r="F82" s="68"/>
      <c r="G82" s="68"/>
      <c r="H82" s="86"/>
      <c r="I82" s="107"/>
      <c r="J82" s="107"/>
      <c r="K82" s="107"/>
      <c r="L82" s="107"/>
      <c r="M82" s="107"/>
      <c r="N82" s="107"/>
      <c r="O82" s="107"/>
      <c r="P82" s="107" t="s">
        <v>192</v>
      </c>
      <c r="U82" s="40" t="s">
        <v>37</v>
      </c>
      <c r="W82" s="169"/>
      <c r="X82" s="151">
        <f>1</f>
        <v>1</v>
      </c>
      <c r="Y82" s="152" t="str">
        <f t="shared" si="6"/>
        <v/>
      </c>
      <c r="Z82" s="152" t="str">
        <f t="shared" si="9"/>
        <v/>
      </c>
    </row>
    <row r="83" spans="1:27" ht="16" x14ac:dyDescent="0.2">
      <c r="A83" s="72" t="s">
        <v>108</v>
      </c>
      <c r="B83" s="72" t="s">
        <v>193</v>
      </c>
      <c r="C83" s="73" t="s">
        <v>143</v>
      </c>
      <c r="D83" s="193" t="s">
        <v>144</v>
      </c>
      <c r="E83" s="84"/>
      <c r="F83" s="68"/>
      <c r="G83" s="68"/>
      <c r="H83" s="86"/>
      <c r="I83" s="107" t="s">
        <v>36</v>
      </c>
      <c r="J83" s="107"/>
      <c r="K83" s="107"/>
      <c r="L83" s="107"/>
      <c r="M83" s="107" t="s">
        <v>194</v>
      </c>
      <c r="N83" s="107"/>
      <c r="O83" s="107"/>
      <c r="P83" s="107"/>
      <c r="U83" s="40" t="s">
        <v>37</v>
      </c>
      <c r="W83" s="169">
        <v>0</v>
      </c>
      <c r="X83" s="151">
        <f>1</f>
        <v>1</v>
      </c>
      <c r="Y83" s="152">
        <f t="shared" si="6"/>
        <v>0</v>
      </c>
      <c r="Z83" s="152">
        <f t="shared" si="9"/>
        <v>0</v>
      </c>
    </row>
    <row r="84" spans="1:27" ht="32" x14ac:dyDescent="0.2">
      <c r="A84" s="72" t="s">
        <v>108</v>
      </c>
      <c r="B84" s="72" t="s">
        <v>195</v>
      </c>
      <c r="C84" s="73" t="s">
        <v>147</v>
      </c>
      <c r="D84" s="193" t="s">
        <v>148</v>
      </c>
      <c r="E84" s="84"/>
      <c r="F84" s="68"/>
      <c r="G84" s="68"/>
      <c r="H84" s="86"/>
      <c r="I84" s="107" t="s">
        <v>36</v>
      </c>
      <c r="J84" s="107"/>
      <c r="K84" s="107"/>
      <c r="L84" s="107"/>
      <c r="M84" s="107" t="s">
        <v>196</v>
      </c>
      <c r="N84" s="107"/>
      <c r="O84" s="107"/>
      <c r="P84" s="107"/>
      <c r="U84" s="40" t="s">
        <v>37</v>
      </c>
      <c r="W84" s="169">
        <v>0</v>
      </c>
      <c r="X84" s="151">
        <f>1</f>
        <v>1</v>
      </c>
      <c r="Y84" s="152">
        <f t="shared" si="6"/>
        <v>0</v>
      </c>
      <c r="Z84" s="152">
        <f t="shared" si="9"/>
        <v>0</v>
      </c>
    </row>
    <row r="85" spans="1:27" ht="16" x14ac:dyDescent="0.2">
      <c r="A85" s="72" t="s">
        <v>108</v>
      </c>
      <c r="B85" s="72" t="s">
        <v>197</v>
      </c>
      <c r="C85" s="73" t="s">
        <v>180</v>
      </c>
      <c r="D85" s="193" t="s">
        <v>152</v>
      </c>
      <c r="E85" s="84"/>
      <c r="F85" s="68"/>
      <c r="G85" s="68"/>
      <c r="H85" s="86"/>
      <c r="I85" s="107" t="s">
        <v>36</v>
      </c>
      <c r="J85" s="107"/>
      <c r="K85" s="107"/>
      <c r="L85" s="107"/>
      <c r="M85" s="107" t="s">
        <v>198</v>
      </c>
      <c r="N85" s="107"/>
      <c r="O85" s="107"/>
      <c r="P85" s="107"/>
      <c r="U85" s="40" t="s">
        <v>37</v>
      </c>
      <c r="W85" s="169">
        <v>0</v>
      </c>
      <c r="X85" s="151">
        <f>1</f>
        <v>1</v>
      </c>
      <c r="Y85" s="152">
        <f t="shared" si="6"/>
        <v>0</v>
      </c>
      <c r="Z85" s="152">
        <f t="shared" si="9"/>
        <v>0</v>
      </c>
    </row>
    <row r="86" spans="1:27" x14ac:dyDescent="0.2">
      <c r="E86" s="76"/>
      <c r="H86" s="77"/>
      <c r="U86" s="40" t="s">
        <v>55</v>
      </c>
      <c r="W86" s="169" t="s">
        <v>55</v>
      </c>
      <c r="X86" s="151">
        <f>1</f>
        <v>1</v>
      </c>
      <c r="Y86" s="152" t="str">
        <f t="shared" si="6"/>
        <v/>
      </c>
      <c r="Z86" s="152" t="str">
        <f t="shared" si="9"/>
        <v/>
      </c>
    </row>
    <row r="87" spans="1:27" s="69" customFormat="1" x14ac:dyDescent="0.2">
      <c r="A87" s="69" t="s">
        <v>156</v>
      </c>
      <c r="B87" s="69" t="s">
        <v>200</v>
      </c>
      <c r="C87" s="69" t="s">
        <v>158</v>
      </c>
      <c r="D87" s="233" t="s">
        <v>159</v>
      </c>
      <c r="E87" s="75"/>
      <c r="H87" s="75"/>
      <c r="I87" s="106" t="s">
        <v>36</v>
      </c>
      <c r="J87" s="106"/>
      <c r="K87" s="106"/>
      <c r="L87" s="106"/>
      <c r="M87" s="106" t="s">
        <v>199</v>
      </c>
      <c r="N87" s="106"/>
      <c r="O87" s="106"/>
      <c r="P87" s="106"/>
      <c r="W87" s="169"/>
      <c r="X87" s="151"/>
      <c r="Y87" s="152"/>
      <c r="Z87" s="152"/>
      <c r="AA87" s="68"/>
    </row>
    <row r="88" spans="1:27" s="69" customFormat="1" x14ac:dyDescent="0.2">
      <c r="A88" s="69" t="s">
        <v>160</v>
      </c>
      <c r="B88" s="69" t="s">
        <v>201</v>
      </c>
      <c r="C88" s="69" t="s">
        <v>162</v>
      </c>
      <c r="D88" s="233" t="s">
        <v>163</v>
      </c>
      <c r="E88" s="75"/>
      <c r="H88" s="75"/>
      <c r="I88" s="106" t="s">
        <v>36</v>
      </c>
      <c r="J88" s="106"/>
      <c r="K88" s="106"/>
      <c r="L88" s="106"/>
      <c r="M88" s="106" t="s">
        <v>199</v>
      </c>
      <c r="N88" s="106"/>
      <c r="O88" s="106"/>
      <c r="P88" s="106"/>
      <c r="W88" s="169"/>
      <c r="X88" s="151"/>
      <c r="Y88" s="152"/>
      <c r="Z88" s="152"/>
      <c r="AA88" s="68"/>
    </row>
    <row r="89" spans="1:27" s="69" customFormat="1" x14ac:dyDescent="0.2">
      <c r="C89" s="70"/>
      <c r="D89" s="70"/>
      <c r="E89" s="71"/>
      <c r="H89" s="90"/>
      <c r="I89" s="106"/>
      <c r="J89" s="106"/>
      <c r="K89" s="106"/>
      <c r="L89" s="106"/>
      <c r="M89" s="117"/>
      <c r="N89" s="106"/>
      <c r="O89" s="106"/>
      <c r="P89" s="106"/>
      <c r="U89" s="69" t="s">
        <v>55</v>
      </c>
      <c r="W89" s="169" t="s">
        <v>55</v>
      </c>
      <c r="X89" s="151">
        <f>1</f>
        <v>1</v>
      </c>
      <c r="Y89" s="152" t="str">
        <f t="shared" si="6"/>
        <v/>
      </c>
      <c r="Z89" s="152" t="str">
        <f t="shared" si="9"/>
        <v/>
      </c>
      <c r="AA89" s="68"/>
    </row>
    <row r="90" spans="1:27" ht="48" x14ac:dyDescent="0.2">
      <c r="A90" s="72" t="s">
        <v>164</v>
      </c>
      <c r="B90" s="72" t="s">
        <v>202</v>
      </c>
      <c r="C90" s="73" t="s">
        <v>2231</v>
      </c>
      <c r="D90" s="193" t="s">
        <v>2237</v>
      </c>
      <c r="E90" s="84"/>
      <c r="F90" s="300" t="s">
        <v>2116</v>
      </c>
      <c r="G90" s="300" t="s">
        <v>2117</v>
      </c>
      <c r="H90" s="86"/>
      <c r="I90" s="107" t="s">
        <v>36</v>
      </c>
      <c r="J90" s="107"/>
      <c r="K90" s="107"/>
      <c r="L90" s="107"/>
      <c r="M90" s="107" t="s">
        <v>199</v>
      </c>
      <c r="N90" s="107"/>
      <c r="O90" s="107"/>
      <c r="P90" s="107"/>
      <c r="U90" s="40" t="s">
        <v>37</v>
      </c>
      <c r="W90" s="169">
        <v>16.348396301269531</v>
      </c>
      <c r="X90" s="151">
        <f>1</f>
        <v>1</v>
      </c>
      <c r="Y90" s="152">
        <f t="shared" si="6"/>
        <v>16.348396301269531</v>
      </c>
      <c r="Z90" s="152">
        <f t="shared" si="9"/>
        <v>16.348396301269531</v>
      </c>
    </row>
    <row r="91" spans="1:27" s="69" customFormat="1" x14ac:dyDescent="0.2">
      <c r="C91" s="70"/>
      <c r="D91" s="70"/>
      <c r="E91" s="71"/>
      <c r="H91" s="75"/>
      <c r="I91" s="106"/>
      <c r="J91" s="106"/>
      <c r="K91" s="106"/>
      <c r="L91" s="106"/>
      <c r="M91" s="106"/>
      <c r="N91" s="106"/>
      <c r="O91" s="106"/>
      <c r="P91" s="106"/>
      <c r="U91" s="69" t="s">
        <v>55</v>
      </c>
      <c r="W91" s="169" t="s">
        <v>55</v>
      </c>
      <c r="X91" s="151">
        <f>1</f>
        <v>1</v>
      </c>
      <c r="Y91" s="152" t="str">
        <f t="shared" si="6"/>
        <v/>
      </c>
      <c r="Z91" s="152" t="str">
        <f t="shared" si="9"/>
        <v/>
      </c>
      <c r="AA91" s="68"/>
    </row>
    <row r="92" spans="1:27" ht="48" x14ac:dyDescent="0.2">
      <c r="A92" s="72" t="s">
        <v>203</v>
      </c>
      <c r="B92" s="72" t="s">
        <v>204</v>
      </c>
      <c r="C92" s="73" t="s">
        <v>205</v>
      </c>
      <c r="D92" s="193" t="s">
        <v>206</v>
      </c>
      <c r="E92" s="84"/>
      <c r="F92" s="72" t="s">
        <v>207</v>
      </c>
      <c r="G92" s="72" t="s">
        <v>208</v>
      </c>
      <c r="H92" s="86"/>
      <c r="I92" s="107" t="s">
        <v>36</v>
      </c>
      <c r="J92" s="107"/>
      <c r="K92" s="107" t="s">
        <v>209</v>
      </c>
      <c r="L92" s="107"/>
      <c r="M92" s="107"/>
      <c r="N92" s="107"/>
      <c r="O92" s="107"/>
      <c r="P92" s="107"/>
      <c r="U92" s="40" t="s">
        <v>37</v>
      </c>
      <c r="W92" s="169">
        <v>46.247528076171875</v>
      </c>
      <c r="X92" s="151">
        <f>1</f>
        <v>1</v>
      </c>
      <c r="Y92" s="152">
        <f t="shared" si="6"/>
        <v>46.247528076171875</v>
      </c>
      <c r="Z92" s="152">
        <f t="shared" si="9"/>
        <v>46.247528076171875</v>
      </c>
    </row>
    <row r="93" spans="1:27" s="69" customFormat="1" x14ac:dyDescent="0.2">
      <c r="C93" s="70"/>
      <c r="D93" s="70"/>
      <c r="E93" s="71"/>
      <c r="H93" s="75"/>
      <c r="I93" s="106"/>
      <c r="J93" s="106"/>
      <c r="K93" s="110"/>
      <c r="L93" s="106"/>
      <c r="M93" s="106"/>
      <c r="N93" s="106"/>
      <c r="O93" s="106"/>
      <c r="P93" s="106"/>
      <c r="U93" s="69" t="s">
        <v>55</v>
      </c>
      <c r="W93" s="169" t="s">
        <v>55</v>
      </c>
      <c r="X93" s="151">
        <f>1</f>
        <v>1</v>
      </c>
      <c r="Y93" s="152" t="str">
        <f t="shared" si="6"/>
        <v/>
      </c>
      <c r="Z93" s="152" t="str">
        <f t="shared" si="9"/>
        <v/>
      </c>
      <c r="AA93" s="68"/>
    </row>
    <row r="94" spans="1:27" ht="16" thickBot="1" x14ac:dyDescent="0.25">
      <c r="A94" s="82" t="s">
        <v>103</v>
      </c>
      <c r="B94" s="82"/>
      <c r="C94" s="83"/>
      <c r="D94" s="83"/>
      <c r="E94" s="78"/>
      <c r="F94" s="82"/>
      <c r="G94" s="82"/>
      <c r="H94" s="79"/>
      <c r="I94" s="113"/>
      <c r="J94" s="113"/>
      <c r="K94" s="113"/>
      <c r="L94" s="113"/>
      <c r="M94" s="113"/>
      <c r="N94" s="113"/>
      <c r="O94" s="113"/>
      <c r="P94" s="113"/>
      <c r="U94" s="40" t="s">
        <v>55</v>
      </c>
      <c r="W94" s="169" t="s">
        <v>55</v>
      </c>
      <c r="X94" s="68"/>
      <c r="Y94" s="152" t="str">
        <f t="shared" si="6"/>
        <v/>
      </c>
      <c r="Z94" s="152" t="str">
        <f t="shared" si="9"/>
        <v/>
      </c>
    </row>
    <row r="95" spans="1:27" s="65" customFormat="1" ht="17" thickTop="1" x14ac:dyDescent="0.2">
      <c r="A95" s="62" t="s">
        <v>56</v>
      </c>
      <c r="B95" s="62" t="s">
        <v>216</v>
      </c>
      <c r="C95" s="80" t="s">
        <v>217</v>
      </c>
      <c r="D95" s="195" t="s">
        <v>218</v>
      </c>
      <c r="E95" s="63"/>
      <c r="F95" s="62"/>
      <c r="G95" s="62"/>
      <c r="H95" s="64"/>
      <c r="I95" s="108" t="s">
        <v>44</v>
      </c>
      <c r="J95" s="108"/>
      <c r="K95" s="108"/>
      <c r="L95" s="108"/>
      <c r="M95" s="108" t="s">
        <v>219</v>
      </c>
      <c r="N95" s="108"/>
      <c r="O95" s="108"/>
      <c r="P95" s="108"/>
      <c r="U95" s="40" t="s">
        <v>37</v>
      </c>
      <c r="W95" s="169"/>
      <c r="X95" s="66"/>
      <c r="Y95" s="152" t="str">
        <f t="shared" si="6"/>
        <v/>
      </c>
      <c r="Z95" s="152" t="str">
        <f t="shared" si="9"/>
        <v/>
      </c>
      <c r="AA95" s="66"/>
    </row>
    <row r="96" spans="1:27" s="41" customFormat="1" ht="64" customHeight="1" x14ac:dyDescent="0.2">
      <c r="A96" s="39" t="s">
        <v>40</v>
      </c>
      <c r="B96" s="39" t="s">
        <v>220</v>
      </c>
      <c r="C96" s="39" t="s">
        <v>2241</v>
      </c>
      <c r="D96" s="193" t="s">
        <v>2247</v>
      </c>
      <c r="E96" s="76"/>
      <c r="F96" s="39"/>
      <c r="G96" s="39"/>
      <c r="H96" s="76"/>
      <c r="I96" s="38"/>
      <c r="J96" s="38"/>
      <c r="K96" s="38"/>
      <c r="L96" s="38"/>
      <c r="M96" s="38"/>
      <c r="N96" s="38"/>
      <c r="O96" s="38"/>
      <c r="P96" s="38"/>
      <c r="U96" s="41" t="s">
        <v>37</v>
      </c>
      <c r="W96" s="172">
        <v>7.5</v>
      </c>
      <c r="X96" s="154">
        <f>'Additional information'!$D$18</f>
        <v>0.91</v>
      </c>
      <c r="Y96" s="153">
        <f t="shared" si="6"/>
        <v>6.8250000000000002</v>
      </c>
      <c r="Z96" s="153">
        <f t="shared" si="9"/>
        <v>6.8250000000000002</v>
      </c>
      <c r="AA96" s="42"/>
    </row>
    <row r="97" spans="1:27" x14ac:dyDescent="0.2">
      <c r="D97" s="194"/>
      <c r="E97" s="76"/>
      <c r="H97" s="77"/>
      <c r="U97" s="40" t="s">
        <v>55</v>
      </c>
      <c r="W97" s="169" t="s">
        <v>55</v>
      </c>
      <c r="X97" s="151">
        <f>'Additional information'!$D$18</f>
        <v>0.91</v>
      </c>
      <c r="Y97" s="152" t="str">
        <f t="shared" si="6"/>
        <v/>
      </c>
      <c r="Z97" s="152" t="str">
        <f t="shared" si="9"/>
        <v/>
      </c>
    </row>
    <row r="98" spans="1:27" s="68" customFormat="1" ht="16" x14ac:dyDescent="0.2">
      <c r="A98" s="72" t="s">
        <v>154</v>
      </c>
      <c r="B98" s="72" t="s">
        <v>221</v>
      </c>
      <c r="C98" s="73" t="s">
        <v>222</v>
      </c>
      <c r="D98" s="256" t="s">
        <v>223</v>
      </c>
      <c r="E98" s="84"/>
      <c r="F98" s="72" t="s">
        <v>224</v>
      </c>
      <c r="G98" s="72" t="s">
        <v>225</v>
      </c>
      <c r="H98" s="86"/>
      <c r="I98" s="107" t="s">
        <v>36</v>
      </c>
      <c r="J98" s="107"/>
      <c r="K98" s="107" t="s">
        <v>226</v>
      </c>
      <c r="L98" s="107"/>
      <c r="M98" s="107"/>
      <c r="N98" s="107"/>
      <c r="O98" s="107"/>
      <c r="P98" s="107"/>
      <c r="U98" s="68" t="s">
        <v>37</v>
      </c>
      <c r="W98" s="169">
        <v>17</v>
      </c>
      <c r="X98" s="151">
        <f>'Additional information'!$D$18</f>
        <v>0.91</v>
      </c>
      <c r="Y98" s="152">
        <f t="shared" si="6"/>
        <v>15.47</v>
      </c>
      <c r="Z98" s="152">
        <f t="shared" ref="Z98:Z124" si="12">IF(AND(W98&lt;&gt;"",U98="yes"),W98*X98,"")</f>
        <v>15.47</v>
      </c>
    </row>
    <row r="99" spans="1:27" s="68" customFormat="1" ht="16" x14ac:dyDescent="0.2">
      <c r="A99" s="72" t="s">
        <v>227</v>
      </c>
      <c r="B99" s="72" t="s">
        <v>228</v>
      </c>
      <c r="C99" s="73" t="s">
        <v>229</v>
      </c>
      <c r="D99" s="193" t="s">
        <v>230</v>
      </c>
      <c r="E99" s="84"/>
      <c r="F99" s="72" t="s">
        <v>231</v>
      </c>
      <c r="G99" s="196" t="s">
        <v>232</v>
      </c>
      <c r="H99" s="86"/>
      <c r="I99" s="107" t="s">
        <v>36</v>
      </c>
      <c r="J99" s="107"/>
      <c r="K99" s="107"/>
      <c r="L99" s="107"/>
      <c r="M99" s="107" t="s">
        <v>233</v>
      </c>
      <c r="N99" s="107"/>
      <c r="O99" s="107"/>
      <c r="P99" s="107"/>
      <c r="U99" s="68" t="s">
        <v>37</v>
      </c>
      <c r="W99" s="169">
        <v>0</v>
      </c>
      <c r="X99" s="151">
        <f>'Additional information'!$D$18</f>
        <v>0.91</v>
      </c>
      <c r="Y99" s="152">
        <f t="shared" si="6"/>
        <v>0</v>
      </c>
      <c r="Z99" s="152">
        <f t="shared" si="12"/>
        <v>0</v>
      </c>
    </row>
    <row r="100" spans="1:27" s="65" customFormat="1" x14ac:dyDescent="0.2">
      <c r="C100" s="81"/>
      <c r="E100" s="63"/>
      <c r="H100" s="64"/>
      <c r="I100" s="109"/>
      <c r="J100" s="109"/>
      <c r="K100" s="109"/>
      <c r="L100" s="109"/>
      <c r="M100" s="109"/>
      <c r="N100" s="109"/>
      <c r="O100" s="109"/>
      <c r="P100" s="109"/>
      <c r="U100" s="40" t="s">
        <v>55</v>
      </c>
      <c r="W100" s="169" t="s">
        <v>55</v>
      </c>
      <c r="X100" s="151">
        <f>'Additional information'!$D$18</f>
        <v>0.91</v>
      </c>
      <c r="Y100" s="152" t="str">
        <f t="shared" si="6"/>
        <v/>
      </c>
      <c r="Z100" s="152" t="str">
        <f t="shared" si="12"/>
        <v/>
      </c>
      <c r="AA100" s="66"/>
    </row>
    <row r="101" spans="1:27" ht="32" x14ac:dyDescent="0.2">
      <c r="A101" s="67" t="s">
        <v>234</v>
      </c>
      <c r="B101" s="67" t="s">
        <v>235</v>
      </c>
      <c r="C101" s="39" t="s">
        <v>2242</v>
      </c>
      <c r="D101" s="256" t="s">
        <v>2248</v>
      </c>
      <c r="E101" s="76"/>
      <c r="F101" s="67" t="s">
        <v>236</v>
      </c>
      <c r="G101" s="39" t="s">
        <v>237</v>
      </c>
      <c r="H101" s="77"/>
      <c r="I101" s="105" t="s">
        <v>36</v>
      </c>
      <c r="J101" s="105" t="s">
        <v>89</v>
      </c>
      <c r="K101" s="105"/>
      <c r="L101" s="105"/>
      <c r="M101" s="105"/>
      <c r="N101" s="105"/>
      <c r="O101" s="105"/>
      <c r="P101" s="105"/>
      <c r="U101" s="40" t="s">
        <v>37</v>
      </c>
      <c r="W101" s="169">
        <v>27.057552337646484</v>
      </c>
      <c r="X101" s="151">
        <f>'Additional information'!$D$18</f>
        <v>0.91</v>
      </c>
      <c r="Y101" s="152">
        <f t="shared" si="6"/>
        <v>24.622372627258301</v>
      </c>
      <c r="Z101" s="152">
        <f t="shared" si="12"/>
        <v>24.622372627258301</v>
      </c>
    </row>
    <row r="102" spans="1:27" x14ac:dyDescent="0.2">
      <c r="A102" s="67" t="s">
        <v>26</v>
      </c>
      <c r="B102" s="67" t="s">
        <v>238</v>
      </c>
      <c r="C102" s="39"/>
      <c r="D102" s="67"/>
      <c r="E102" s="76"/>
      <c r="H102" s="77"/>
      <c r="I102" s="105"/>
      <c r="J102" s="105"/>
      <c r="K102" s="105"/>
      <c r="L102" s="105"/>
      <c r="M102" s="105"/>
      <c r="N102" s="105"/>
      <c r="O102" s="105"/>
      <c r="P102" s="105" t="s">
        <v>239</v>
      </c>
      <c r="U102" s="40" t="s">
        <v>37</v>
      </c>
      <c r="W102" s="169"/>
      <c r="X102" s="151">
        <f>'Additional information'!$D$18</f>
        <v>0.91</v>
      </c>
      <c r="Y102" s="152" t="str">
        <f t="shared" si="6"/>
        <v/>
      </c>
      <c r="Z102" s="152" t="str">
        <f t="shared" si="12"/>
        <v/>
      </c>
    </row>
    <row r="103" spans="1:27" ht="16" x14ac:dyDescent="0.2">
      <c r="A103" s="67" t="s">
        <v>240</v>
      </c>
      <c r="B103" s="67" t="s">
        <v>241</v>
      </c>
      <c r="C103" s="39" t="s">
        <v>2243</v>
      </c>
      <c r="D103" s="193" t="s">
        <v>2249</v>
      </c>
      <c r="E103" s="76"/>
      <c r="H103" s="77"/>
      <c r="I103" s="105" t="s">
        <v>36</v>
      </c>
      <c r="J103" s="105"/>
      <c r="K103" s="105"/>
      <c r="L103" s="105"/>
      <c r="M103" s="105" t="s">
        <v>242</v>
      </c>
      <c r="N103" s="105"/>
      <c r="O103" s="105"/>
      <c r="P103" s="105"/>
      <c r="U103" s="40" t="s">
        <v>37</v>
      </c>
      <c r="W103" s="169">
        <v>0</v>
      </c>
      <c r="X103" s="151">
        <f>'Additional information'!$D$18</f>
        <v>0.91</v>
      </c>
      <c r="Y103" s="152">
        <f t="shared" si="6"/>
        <v>0</v>
      </c>
      <c r="Z103" s="152">
        <f t="shared" si="12"/>
        <v>0</v>
      </c>
    </row>
    <row r="104" spans="1:27" s="68" customFormat="1" x14ac:dyDescent="0.2">
      <c r="C104" s="42"/>
      <c r="D104" s="194"/>
      <c r="E104" s="84"/>
      <c r="H104" s="86"/>
      <c r="I104" s="114"/>
      <c r="J104" s="114"/>
      <c r="K104" s="114"/>
      <c r="L104" s="114"/>
      <c r="M104" s="114"/>
      <c r="N104" s="114"/>
      <c r="O104" s="114"/>
      <c r="P104" s="114"/>
      <c r="U104" s="68" t="s">
        <v>55</v>
      </c>
      <c r="W104" s="169" t="s">
        <v>55</v>
      </c>
      <c r="X104" s="151">
        <f>'Additional information'!$D$18</f>
        <v>0.91</v>
      </c>
      <c r="Y104" s="152" t="str">
        <f t="shared" si="6"/>
        <v/>
      </c>
      <c r="Z104" s="152" t="str">
        <f t="shared" si="12"/>
        <v/>
      </c>
    </row>
    <row r="105" spans="1:27" ht="31.75" customHeight="1" x14ac:dyDescent="0.2">
      <c r="A105" s="67" t="s">
        <v>243</v>
      </c>
      <c r="B105" s="67" t="s">
        <v>244</v>
      </c>
      <c r="C105" s="67" t="s">
        <v>245</v>
      </c>
      <c r="D105" s="256" t="s">
        <v>246</v>
      </c>
      <c r="E105" s="77"/>
      <c r="H105" s="77"/>
      <c r="I105" s="105" t="s">
        <v>36</v>
      </c>
      <c r="J105" s="105"/>
      <c r="K105" s="105"/>
      <c r="L105" s="105"/>
      <c r="M105" s="105" t="s">
        <v>247</v>
      </c>
      <c r="N105" s="105"/>
      <c r="O105" s="105"/>
      <c r="P105" s="105"/>
      <c r="U105" s="40" t="s">
        <v>37</v>
      </c>
      <c r="W105" s="169">
        <v>15.95429515838623</v>
      </c>
      <c r="X105" s="151">
        <f>'Additional information'!$D$18</f>
        <v>0.91</v>
      </c>
      <c r="Y105" s="152">
        <f t="shared" si="6"/>
        <v>14.51840859413147</v>
      </c>
      <c r="Z105" s="152">
        <f t="shared" si="12"/>
        <v>14.51840859413147</v>
      </c>
    </row>
    <row r="106" spans="1:27" ht="15.75" customHeight="1" x14ac:dyDescent="0.2">
      <c r="A106" s="67" t="s">
        <v>60</v>
      </c>
      <c r="B106" s="67" t="s">
        <v>248</v>
      </c>
      <c r="C106" s="73" t="s">
        <v>212</v>
      </c>
      <c r="D106" s="42" t="s">
        <v>213</v>
      </c>
      <c r="E106" s="84"/>
      <c r="F106" s="68" t="s">
        <v>214</v>
      </c>
      <c r="G106" s="68" t="s">
        <v>215</v>
      </c>
      <c r="H106" s="77"/>
      <c r="I106" s="105" t="s">
        <v>36</v>
      </c>
      <c r="J106" s="105"/>
      <c r="K106" s="105"/>
      <c r="L106" s="105"/>
      <c r="M106" s="105" t="s">
        <v>249</v>
      </c>
      <c r="N106" s="105"/>
      <c r="O106" s="105"/>
      <c r="P106" s="105"/>
      <c r="U106" s="40" t="s">
        <v>37</v>
      </c>
      <c r="W106" s="169"/>
      <c r="X106" s="151">
        <f>'Additional information'!$D$18</f>
        <v>0.91</v>
      </c>
      <c r="Y106" s="152" t="str">
        <f t="shared" si="6"/>
        <v/>
      </c>
      <c r="Z106" s="152" t="str">
        <f t="shared" si="12"/>
        <v/>
      </c>
    </row>
    <row r="107" spans="1:27" s="69" customFormat="1" ht="15.75" customHeight="1" x14ac:dyDescent="0.2">
      <c r="C107" s="70"/>
      <c r="E107" s="71"/>
      <c r="H107" s="75"/>
      <c r="I107" s="106"/>
      <c r="J107" s="106"/>
      <c r="K107" s="106"/>
      <c r="L107" s="106"/>
      <c r="M107" s="106"/>
      <c r="N107" s="106"/>
      <c r="O107" s="106"/>
      <c r="P107" s="106"/>
      <c r="U107" s="69" t="s">
        <v>55</v>
      </c>
      <c r="W107" s="169" t="s">
        <v>55</v>
      </c>
      <c r="X107" s="151">
        <f>'Additional information'!$D$18</f>
        <v>0.91</v>
      </c>
      <c r="Y107" s="152" t="str">
        <f t="shared" si="6"/>
        <v/>
      </c>
      <c r="Z107" s="152" t="str">
        <f t="shared" si="12"/>
        <v/>
      </c>
      <c r="AA107" s="68"/>
    </row>
    <row r="108" spans="1:27" s="69" customFormat="1" ht="16" x14ac:dyDescent="0.2">
      <c r="A108" s="69" t="s">
        <v>250</v>
      </c>
      <c r="B108" s="69" t="s">
        <v>251</v>
      </c>
      <c r="C108" s="70" t="s">
        <v>252</v>
      </c>
      <c r="D108" s="262" t="s">
        <v>253</v>
      </c>
      <c r="E108" s="71"/>
      <c r="F108" s="69" t="s">
        <v>210</v>
      </c>
      <c r="G108" s="69" t="s">
        <v>211</v>
      </c>
      <c r="H108" s="75"/>
      <c r="I108" s="106" t="s">
        <v>36</v>
      </c>
      <c r="J108" s="106"/>
      <c r="K108" s="106" t="s">
        <v>254</v>
      </c>
      <c r="L108" s="106"/>
      <c r="M108" s="106" t="s">
        <v>247</v>
      </c>
      <c r="N108" s="106"/>
      <c r="O108" s="106"/>
      <c r="P108" s="106"/>
      <c r="U108" s="69" t="s">
        <v>45</v>
      </c>
      <c r="W108" s="169">
        <v>17.928909301757812</v>
      </c>
      <c r="X108" s="151">
        <f>'Additional information'!$D$18</f>
        <v>0.91</v>
      </c>
      <c r="Y108" s="152">
        <f t="shared" si="6"/>
        <v>16.315307464599609</v>
      </c>
      <c r="Z108" s="152" t="str">
        <f t="shared" si="12"/>
        <v/>
      </c>
      <c r="AA108" s="68"/>
    </row>
    <row r="109" spans="1:27" s="69" customFormat="1" x14ac:dyDescent="0.2">
      <c r="C109" s="70"/>
      <c r="E109" s="71"/>
      <c r="G109" s="40"/>
      <c r="H109" s="75"/>
      <c r="I109" s="106"/>
      <c r="J109" s="106"/>
      <c r="K109" s="106"/>
      <c r="L109" s="106"/>
      <c r="M109" s="106"/>
      <c r="N109" s="106"/>
      <c r="O109" s="106"/>
      <c r="P109" s="106"/>
      <c r="U109" s="69" t="s">
        <v>55</v>
      </c>
      <c r="W109" s="169" t="s">
        <v>55</v>
      </c>
      <c r="X109" s="151">
        <f>'Additional information'!$D$18</f>
        <v>0.91</v>
      </c>
      <c r="Y109" s="152" t="str">
        <f t="shared" si="6"/>
        <v/>
      </c>
      <c r="Z109" s="152" t="str">
        <f t="shared" si="12"/>
        <v/>
      </c>
      <c r="AA109" s="68"/>
    </row>
    <row r="110" spans="1:27" ht="16" x14ac:dyDescent="0.2">
      <c r="A110" s="67" t="s">
        <v>164</v>
      </c>
      <c r="B110" s="67" t="s">
        <v>255</v>
      </c>
      <c r="C110" s="39" t="s">
        <v>2244</v>
      </c>
      <c r="D110" s="256" t="s">
        <v>2250</v>
      </c>
      <c r="E110" s="76"/>
      <c r="F110" s="67"/>
      <c r="H110" s="77"/>
      <c r="I110" s="105" t="s">
        <v>36</v>
      </c>
      <c r="J110" s="105"/>
      <c r="K110" s="105"/>
      <c r="L110" s="105"/>
      <c r="M110" s="107" t="s">
        <v>247</v>
      </c>
      <c r="N110" s="105"/>
      <c r="O110" s="105"/>
      <c r="P110" s="105"/>
      <c r="U110" s="40" t="s">
        <v>37</v>
      </c>
      <c r="W110" s="169">
        <v>25.436874389648438</v>
      </c>
      <c r="X110" s="151">
        <f>'Additional information'!$D$18</f>
        <v>0.91</v>
      </c>
      <c r="Y110" s="152">
        <f t="shared" si="6"/>
        <v>23.147555694580078</v>
      </c>
      <c r="Z110" s="152">
        <f t="shared" si="12"/>
        <v>23.147555694580078</v>
      </c>
    </row>
    <row r="111" spans="1:27" x14ac:dyDescent="0.2">
      <c r="D111" s="194"/>
      <c r="E111" s="76"/>
      <c r="H111" s="77"/>
      <c r="M111" s="114"/>
      <c r="U111" s="40" t="s">
        <v>55</v>
      </c>
      <c r="W111" s="169" t="s">
        <v>55</v>
      </c>
      <c r="X111" s="151">
        <f>'Additional information'!$D$18</f>
        <v>0.91</v>
      </c>
      <c r="Y111" s="152" t="str">
        <f t="shared" si="6"/>
        <v/>
      </c>
      <c r="Z111" s="152" t="str">
        <f t="shared" si="12"/>
        <v/>
      </c>
    </row>
    <row r="112" spans="1:27" ht="16" x14ac:dyDescent="0.2">
      <c r="A112" s="67" t="s">
        <v>164</v>
      </c>
      <c r="B112" s="67" t="s">
        <v>256</v>
      </c>
      <c r="C112" s="39" t="s">
        <v>2253</v>
      </c>
      <c r="D112" s="285" t="s">
        <v>2254</v>
      </c>
      <c r="E112" s="76"/>
      <c r="G112" s="69"/>
      <c r="H112" s="77"/>
      <c r="I112" s="105" t="s">
        <v>36</v>
      </c>
      <c r="J112" s="105"/>
      <c r="K112" s="105"/>
      <c r="L112" s="105"/>
      <c r="M112" s="107" t="s">
        <v>247</v>
      </c>
      <c r="N112" s="105"/>
      <c r="O112" s="105"/>
      <c r="P112" s="105"/>
      <c r="U112" s="40" t="s">
        <v>37</v>
      </c>
      <c r="W112" s="169">
        <v>19.364946365356445</v>
      </c>
      <c r="X112" s="151">
        <f>'Additional information'!$D$18</f>
        <v>0.91</v>
      </c>
      <c r="Y112" s="152">
        <f t="shared" si="6"/>
        <v>17.622101192474364</v>
      </c>
      <c r="Z112" s="152">
        <f t="shared" si="12"/>
        <v>17.622101192474364</v>
      </c>
    </row>
    <row r="113" spans="1:27" ht="32" x14ac:dyDescent="0.2">
      <c r="A113" s="67" t="s">
        <v>108</v>
      </c>
      <c r="B113" s="67" t="s">
        <v>257</v>
      </c>
      <c r="C113" s="39" t="s">
        <v>2245</v>
      </c>
      <c r="D113" s="285" t="s">
        <v>2251</v>
      </c>
      <c r="E113" s="76"/>
      <c r="H113" s="77"/>
      <c r="I113" s="105" t="s">
        <v>36</v>
      </c>
      <c r="J113" s="105"/>
      <c r="K113" s="105"/>
      <c r="L113" s="105"/>
      <c r="M113" s="107" t="s">
        <v>258</v>
      </c>
      <c r="N113" s="105"/>
      <c r="O113" s="105"/>
      <c r="P113" s="105"/>
      <c r="U113" s="40" t="s">
        <v>37</v>
      </c>
      <c r="W113" s="169">
        <v>13.458864212036133</v>
      </c>
      <c r="X113" s="151">
        <f>'Additional information'!$D$18</f>
        <v>0.91</v>
      </c>
      <c r="Y113" s="152">
        <f t="shared" ref="Y113:Y186" si="13">IF(W113&lt;&gt;"",W113*X113,"")</f>
        <v>12.247566432952881</v>
      </c>
      <c r="Z113" s="152">
        <f t="shared" si="12"/>
        <v>12.247566432952881</v>
      </c>
    </row>
    <row r="114" spans="1:27" ht="16" x14ac:dyDescent="0.2">
      <c r="A114" s="67" t="s">
        <v>259</v>
      </c>
      <c r="B114" s="67" t="s">
        <v>260</v>
      </c>
      <c r="C114" s="39" t="s">
        <v>2246</v>
      </c>
      <c r="D114" s="256" t="s">
        <v>2252</v>
      </c>
      <c r="E114" s="76"/>
      <c r="F114" s="40" t="s">
        <v>261</v>
      </c>
      <c r="G114" s="40" t="s">
        <v>262</v>
      </c>
      <c r="H114" s="77"/>
      <c r="I114" s="105" t="s">
        <v>36</v>
      </c>
      <c r="J114" s="105"/>
      <c r="K114" s="107" t="s">
        <v>254</v>
      </c>
      <c r="L114" s="105"/>
      <c r="M114" s="107" t="s">
        <v>263</v>
      </c>
      <c r="N114" s="105"/>
      <c r="O114" s="105"/>
      <c r="P114" s="105"/>
      <c r="U114" s="40" t="s">
        <v>37</v>
      </c>
      <c r="W114" s="169">
        <v>37.523288726806641</v>
      </c>
      <c r="X114" s="151">
        <f>'Additional information'!$D$18</f>
        <v>0.91</v>
      </c>
      <c r="Y114" s="152">
        <f t="shared" si="13"/>
        <v>34.146192741394046</v>
      </c>
      <c r="Z114" s="152">
        <f t="shared" si="12"/>
        <v>34.146192741394046</v>
      </c>
    </row>
    <row r="115" spans="1:27" x14ac:dyDescent="0.2">
      <c r="D115" s="40"/>
      <c r="E115" s="76"/>
      <c r="G115" s="69"/>
      <c r="H115" s="77"/>
      <c r="M115" s="114"/>
      <c r="U115" s="40" t="s">
        <v>55</v>
      </c>
      <c r="W115" s="169" t="s">
        <v>55</v>
      </c>
      <c r="X115" s="151">
        <f>'Additional information'!$D$18</f>
        <v>0.91</v>
      </c>
      <c r="Y115" s="152" t="str">
        <f t="shared" si="13"/>
        <v/>
      </c>
      <c r="Z115" s="152" t="str">
        <f t="shared" si="12"/>
        <v/>
      </c>
    </row>
    <row r="116" spans="1:27" s="69" customFormat="1" ht="32" x14ac:dyDescent="0.2">
      <c r="A116" s="69" t="s">
        <v>264</v>
      </c>
      <c r="B116" s="69" t="s">
        <v>265</v>
      </c>
      <c r="C116" s="70" t="s">
        <v>266</v>
      </c>
      <c r="D116" s="264" t="s">
        <v>267</v>
      </c>
      <c r="E116" s="71"/>
      <c r="H116" s="75"/>
      <c r="I116" s="106" t="s">
        <v>36</v>
      </c>
      <c r="J116" s="106"/>
      <c r="K116" s="106"/>
      <c r="L116" s="106"/>
      <c r="M116" s="106" t="s">
        <v>268</v>
      </c>
      <c r="N116" s="106"/>
      <c r="O116" s="106"/>
      <c r="P116" s="106"/>
      <c r="U116" s="69" t="s">
        <v>45</v>
      </c>
      <c r="W116" s="169">
        <v>17</v>
      </c>
      <c r="X116" s="151">
        <f>'Additional information'!$D$18</f>
        <v>0.91</v>
      </c>
      <c r="Y116" s="152">
        <f t="shared" si="13"/>
        <v>15.47</v>
      </c>
      <c r="Z116" s="152" t="str">
        <f t="shared" si="12"/>
        <v/>
      </c>
      <c r="AA116" s="68"/>
    </row>
    <row r="117" spans="1:27" s="69" customFormat="1" ht="16" x14ac:dyDescent="0.2">
      <c r="A117" s="69" t="s">
        <v>269</v>
      </c>
      <c r="B117" s="69" t="s">
        <v>270</v>
      </c>
      <c r="C117" s="70" t="s">
        <v>271</v>
      </c>
      <c r="D117" s="261" t="s">
        <v>272</v>
      </c>
      <c r="E117" s="71"/>
      <c r="F117" s="69" t="s">
        <v>273</v>
      </c>
      <c r="G117" s="69" t="s">
        <v>274</v>
      </c>
      <c r="H117" s="75"/>
      <c r="I117" s="106" t="s">
        <v>36</v>
      </c>
      <c r="J117" s="106" t="s">
        <v>89</v>
      </c>
      <c r="K117" s="106" t="s">
        <v>275</v>
      </c>
      <c r="L117" s="106"/>
      <c r="M117" s="106" t="s">
        <v>268</v>
      </c>
      <c r="N117" s="106" t="s">
        <v>276</v>
      </c>
      <c r="O117" s="110"/>
      <c r="P117" s="110"/>
      <c r="Q117" s="40"/>
      <c r="U117" s="69" t="s">
        <v>45</v>
      </c>
      <c r="W117" s="169">
        <v>17</v>
      </c>
      <c r="X117" s="151">
        <f>'Additional information'!$D$18</f>
        <v>0.91</v>
      </c>
      <c r="Y117" s="152">
        <f t="shared" si="13"/>
        <v>15.47</v>
      </c>
      <c r="Z117" s="152" t="str">
        <f t="shared" si="12"/>
        <v/>
      </c>
      <c r="AA117" s="68"/>
    </row>
    <row r="118" spans="1:27" s="302" customFormat="1" ht="16" x14ac:dyDescent="0.2">
      <c r="A118" s="302" t="s">
        <v>108</v>
      </c>
      <c r="B118" s="302" t="s">
        <v>2203</v>
      </c>
      <c r="C118" s="326" t="s">
        <v>2120</v>
      </c>
      <c r="D118" s="300" t="s">
        <v>2221</v>
      </c>
      <c r="E118" s="71"/>
      <c r="F118" s="326" t="s">
        <v>2121</v>
      </c>
      <c r="G118" s="299" t="s">
        <v>1760</v>
      </c>
      <c r="H118" s="75"/>
      <c r="I118" s="321" t="s">
        <v>36</v>
      </c>
      <c r="J118" s="321"/>
      <c r="K118" s="321"/>
      <c r="L118" s="321"/>
      <c r="M118" s="301" t="s">
        <v>268</v>
      </c>
      <c r="N118" s="321"/>
      <c r="O118" s="321"/>
      <c r="P118" s="321"/>
      <c r="W118" s="187" t="s">
        <v>55</v>
      </c>
      <c r="X118" s="188">
        <f>'[1]Additional information'!$D$18</f>
        <v>0.91</v>
      </c>
      <c r="Y118" s="189">
        <v>15.5</v>
      </c>
      <c r="Z118" s="189" t="str">
        <f t="shared" si="12"/>
        <v/>
      </c>
      <c r="AA118" s="299"/>
    </row>
    <row r="119" spans="1:27" s="302" customFormat="1" ht="16" x14ac:dyDescent="0.2">
      <c r="A119" s="302" t="s">
        <v>234</v>
      </c>
      <c r="B119" s="302" t="s">
        <v>2145</v>
      </c>
      <c r="C119" s="326" t="s">
        <v>2123</v>
      </c>
      <c r="D119" s="300" t="s">
        <v>2222</v>
      </c>
      <c r="E119" s="71"/>
      <c r="F119" s="326" t="s">
        <v>2121</v>
      </c>
      <c r="G119" s="299" t="s">
        <v>1760</v>
      </c>
      <c r="H119" s="75"/>
      <c r="I119" s="321" t="s">
        <v>36</v>
      </c>
      <c r="M119" s="301" t="s">
        <v>2206</v>
      </c>
      <c r="N119" s="321"/>
      <c r="O119" s="321"/>
      <c r="P119" s="321"/>
      <c r="W119" s="187"/>
      <c r="X119" s="188"/>
      <c r="Y119" s="189"/>
      <c r="Z119" s="189"/>
      <c r="AA119" s="299"/>
    </row>
    <row r="120" spans="1:27" s="302" customFormat="1" x14ac:dyDescent="0.2">
      <c r="A120" s="302" t="s">
        <v>26</v>
      </c>
      <c r="B120" s="302" t="s">
        <v>2182</v>
      </c>
      <c r="C120" s="303"/>
      <c r="E120" s="71"/>
      <c r="H120" s="75"/>
      <c r="I120" s="321"/>
      <c r="J120" s="321" t="s">
        <v>89</v>
      </c>
      <c r="K120" s="321"/>
      <c r="L120" s="321"/>
      <c r="M120" s="321"/>
      <c r="N120" s="321"/>
      <c r="O120" s="321"/>
      <c r="P120" s="321" t="s">
        <v>239</v>
      </c>
      <c r="U120" s="302" t="s">
        <v>37</v>
      </c>
      <c r="W120" s="187"/>
      <c r="X120" s="188">
        <f>'Additional information'!$D$18</f>
        <v>0.91</v>
      </c>
      <c r="Y120" s="189" t="str">
        <f t="shared" ref="Y120" si="14">IF(W120&lt;&gt;"",W120*X120,"")</f>
        <v/>
      </c>
      <c r="Z120" s="189" t="str">
        <f t="shared" ref="Z120" si="15">IF(AND(W120&lt;&gt;"",U120="yes"),W120*X120,"")</f>
        <v/>
      </c>
      <c r="AA120" s="299"/>
    </row>
    <row r="121" spans="1:27" s="302" customFormat="1" ht="16" x14ac:dyDescent="0.2">
      <c r="A121" s="302" t="s">
        <v>2147</v>
      </c>
      <c r="B121" s="302" t="s">
        <v>2146</v>
      </c>
      <c r="C121" s="326" t="s">
        <v>2125</v>
      </c>
      <c r="D121" s="300" t="s">
        <v>2223</v>
      </c>
      <c r="E121" s="71"/>
      <c r="F121" s="302" t="s">
        <v>261</v>
      </c>
      <c r="G121" s="302" t="s">
        <v>262</v>
      </c>
      <c r="H121" s="75"/>
      <c r="I121" s="321" t="s">
        <v>36</v>
      </c>
      <c r="J121" s="321"/>
      <c r="K121" s="321" t="s">
        <v>254</v>
      </c>
      <c r="L121" s="321"/>
      <c r="M121" s="301" t="s">
        <v>2206</v>
      </c>
      <c r="N121" s="321"/>
      <c r="O121" s="321"/>
      <c r="P121" s="321"/>
      <c r="W121" s="187"/>
      <c r="X121" s="188"/>
      <c r="Y121" s="189"/>
      <c r="Z121" s="189"/>
      <c r="AA121" s="299"/>
    </row>
    <row r="122" spans="1:27" x14ac:dyDescent="0.2">
      <c r="E122" s="76"/>
      <c r="H122" s="75"/>
      <c r="M122" s="114"/>
      <c r="W122" s="169"/>
      <c r="X122" s="151"/>
      <c r="Y122" s="152"/>
      <c r="Z122" s="152"/>
    </row>
    <row r="123" spans="1:27" ht="16" thickBot="1" x14ac:dyDescent="0.25">
      <c r="A123" s="87" t="s">
        <v>103</v>
      </c>
      <c r="B123" s="87"/>
      <c r="C123" s="88"/>
      <c r="D123" s="88"/>
      <c r="E123" s="97"/>
      <c r="F123" s="197"/>
      <c r="G123" s="197"/>
      <c r="H123" s="98"/>
      <c r="I123" s="115"/>
      <c r="J123" s="115"/>
      <c r="K123" s="115"/>
      <c r="L123" s="115"/>
      <c r="M123" s="115"/>
      <c r="N123" s="115"/>
      <c r="O123" s="115"/>
      <c r="P123" s="115"/>
      <c r="W123" s="169" t="s">
        <v>55</v>
      </c>
      <c r="Y123" s="152" t="str">
        <f t="shared" si="13"/>
        <v/>
      </c>
      <c r="Z123" s="152" t="str">
        <f t="shared" si="12"/>
        <v/>
      </c>
    </row>
    <row r="124" spans="1:27" s="65" customFormat="1" ht="17" thickTop="1" x14ac:dyDescent="0.2">
      <c r="A124" s="62" t="s">
        <v>56</v>
      </c>
      <c r="B124" s="62" t="s">
        <v>277</v>
      </c>
      <c r="C124" s="80" t="s">
        <v>278</v>
      </c>
      <c r="D124" s="195" t="s">
        <v>279</v>
      </c>
      <c r="E124" s="63"/>
      <c r="F124" s="62"/>
      <c r="G124" s="62"/>
      <c r="H124" s="64"/>
      <c r="I124" s="108" t="s">
        <v>44</v>
      </c>
      <c r="J124" s="108"/>
      <c r="K124" s="108"/>
      <c r="L124" s="108"/>
      <c r="M124" s="108" t="s">
        <v>280</v>
      </c>
      <c r="N124" s="108"/>
      <c r="O124" s="108"/>
      <c r="P124" s="108"/>
      <c r="U124" s="40" t="s">
        <v>37</v>
      </c>
      <c r="W124" s="169"/>
      <c r="X124" s="151"/>
      <c r="Y124" s="152" t="str">
        <f t="shared" si="13"/>
        <v/>
      </c>
      <c r="Z124" s="152" t="str">
        <f t="shared" si="12"/>
        <v/>
      </c>
      <c r="AA124" s="66"/>
    </row>
    <row r="125" spans="1:27" ht="16" x14ac:dyDescent="0.2">
      <c r="A125" s="67" t="s">
        <v>108</v>
      </c>
      <c r="B125" s="67" t="s">
        <v>281</v>
      </c>
      <c r="C125" s="73" t="s">
        <v>282</v>
      </c>
      <c r="D125" s="39" t="s">
        <v>283</v>
      </c>
      <c r="E125" s="76"/>
      <c r="H125" s="77"/>
      <c r="I125" s="107" t="s">
        <v>36</v>
      </c>
      <c r="K125" s="107"/>
      <c r="L125" s="107"/>
      <c r="M125" s="107"/>
      <c r="N125" s="72"/>
      <c r="O125" s="107"/>
      <c r="P125" s="107"/>
      <c r="U125" s="40" t="s">
        <v>37</v>
      </c>
      <c r="W125" s="169">
        <v>13.55</v>
      </c>
      <c r="X125" s="151">
        <f>'Additional information'!$D$18</f>
        <v>0.91</v>
      </c>
      <c r="Y125" s="152">
        <f t="shared" si="13"/>
        <v>12.330500000000001</v>
      </c>
      <c r="Z125" s="152"/>
    </row>
    <row r="126" spans="1:27" ht="16" x14ac:dyDescent="0.2">
      <c r="A126" s="67" t="s">
        <v>284</v>
      </c>
      <c r="B126" s="67" t="s">
        <v>285</v>
      </c>
      <c r="C126" s="39" t="s">
        <v>286</v>
      </c>
      <c r="D126" s="39" t="s">
        <v>287</v>
      </c>
      <c r="E126" s="76"/>
      <c r="H126" s="77"/>
      <c r="I126" s="107" t="s">
        <v>36</v>
      </c>
      <c r="J126" s="105" t="s">
        <v>89</v>
      </c>
      <c r="K126" s="107"/>
      <c r="L126" s="107"/>
      <c r="M126" s="107" t="s">
        <v>288</v>
      </c>
      <c r="N126" s="107" t="s">
        <v>276</v>
      </c>
      <c r="O126" s="107"/>
      <c r="P126" s="107"/>
      <c r="U126" s="40" t="s">
        <v>37</v>
      </c>
      <c r="W126" s="169">
        <v>13.55</v>
      </c>
      <c r="X126" s="151">
        <f>'Additional information'!$D$18</f>
        <v>0.91</v>
      </c>
      <c r="Y126" s="152">
        <f t="shared" si="13"/>
        <v>12.330500000000001</v>
      </c>
      <c r="Z126" s="152"/>
    </row>
    <row r="127" spans="1:27" x14ac:dyDescent="0.2">
      <c r="A127" s="67" t="s">
        <v>26</v>
      </c>
      <c r="B127" s="67" t="s">
        <v>289</v>
      </c>
      <c r="C127" s="39"/>
      <c r="D127" s="39"/>
      <c r="E127" s="76"/>
      <c r="H127" s="77"/>
      <c r="I127" s="107"/>
      <c r="J127" s="107"/>
      <c r="K127" s="107"/>
      <c r="L127" s="107"/>
      <c r="M127" s="107"/>
      <c r="N127" s="107"/>
      <c r="O127" s="107"/>
      <c r="P127" s="107" t="s">
        <v>290</v>
      </c>
      <c r="U127" s="40" t="s">
        <v>37</v>
      </c>
      <c r="W127" s="169"/>
      <c r="X127" s="151">
        <f>'Additional information'!$D$18</f>
        <v>0.91</v>
      </c>
      <c r="Y127" s="152"/>
      <c r="Z127" s="152"/>
    </row>
    <row r="128" spans="1:27" x14ac:dyDescent="0.2">
      <c r="A128" s="67" t="s">
        <v>26</v>
      </c>
      <c r="B128" s="67" t="s">
        <v>291</v>
      </c>
      <c r="C128" s="39"/>
      <c r="D128" s="39"/>
      <c r="E128" s="76"/>
      <c r="H128" s="77"/>
      <c r="I128" s="107"/>
      <c r="J128" s="107"/>
      <c r="K128" s="107"/>
      <c r="L128" s="107"/>
      <c r="M128" s="107"/>
      <c r="N128" s="107"/>
      <c r="O128" s="107"/>
      <c r="P128" s="107" t="s">
        <v>292</v>
      </c>
      <c r="U128" s="40" t="s">
        <v>37</v>
      </c>
      <c r="W128" s="169"/>
      <c r="X128" s="151">
        <f>'Additional information'!$D$18</f>
        <v>0.91</v>
      </c>
      <c r="Y128" s="152"/>
      <c r="Z128" s="152"/>
    </row>
    <row r="129" spans="1:27" x14ac:dyDescent="0.2">
      <c r="E129" s="76"/>
      <c r="H129" s="77"/>
      <c r="W129" s="169"/>
      <c r="X129" s="151">
        <f>'Additional information'!$D$18</f>
        <v>0.91</v>
      </c>
      <c r="Y129" s="152"/>
      <c r="Z129" s="152"/>
    </row>
    <row r="130" spans="1:27" ht="32" x14ac:dyDescent="0.2">
      <c r="A130" s="67" t="s">
        <v>108</v>
      </c>
      <c r="B130" s="67" t="s">
        <v>293</v>
      </c>
      <c r="C130" s="39" t="s">
        <v>294</v>
      </c>
      <c r="D130" s="265" t="s">
        <v>295</v>
      </c>
      <c r="E130" s="76"/>
      <c r="F130" s="85"/>
      <c r="G130" s="85"/>
      <c r="H130" s="91"/>
      <c r="I130" s="105" t="s">
        <v>36</v>
      </c>
      <c r="J130" s="105"/>
      <c r="K130" s="105"/>
      <c r="L130" s="105"/>
      <c r="M130" s="105"/>
      <c r="N130" s="105"/>
      <c r="O130" s="105"/>
      <c r="P130" s="105"/>
      <c r="U130" s="40" t="s">
        <v>37</v>
      </c>
      <c r="W130" s="169">
        <v>12.681487083435059</v>
      </c>
      <c r="X130" s="151">
        <f>'Additional information'!$D$18</f>
        <v>0.91</v>
      </c>
      <c r="Y130" s="152">
        <f t="shared" si="13"/>
        <v>11.540153245925904</v>
      </c>
      <c r="Z130" s="152">
        <f t="shared" ref="Z130:Z166" si="16">IF(AND(W130&lt;&gt;"",U130="yes"),W130*X130,"")</f>
        <v>11.540153245925904</v>
      </c>
    </row>
    <row r="131" spans="1:27" ht="16" x14ac:dyDescent="0.2">
      <c r="A131" s="67" t="s">
        <v>296</v>
      </c>
      <c r="B131" s="67" t="s">
        <v>297</v>
      </c>
      <c r="C131" s="73" t="s">
        <v>298</v>
      </c>
      <c r="D131" s="265" t="s">
        <v>299</v>
      </c>
      <c r="E131" s="84"/>
      <c r="F131" s="40" t="s">
        <v>261</v>
      </c>
      <c r="G131" s="40" t="s">
        <v>262</v>
      </c>
      <c r="H131" s="77"/>
      <c r="I131" s="105" t="s">
        <v>36</v>
      </c>
      <c r="J131" s="105"/>
      <c r="K131" s="107" t="s">
        <v>300</v>
      </c>
      <c r="L131" s="105"/>
      <c r="M131" s="107" t="s">
        <v>301</v>
      </c>
      <c r="N131" s="105"/>
      <c r="O131" s="105"/>
      <c r="P131" s="105"/>
      <c r="U131" s="40" t="s">
        <v>37</v>
      </c>
      <c r="W131" s="169">
        <v>22.613609313964844</v>
      </c>
      <c r="X131" s="151">
        <f>'Additional information'!$D$18</f>
        <v>0.91</v>
      </c>
      <c r="Y131" s="152">
        <f t="shared" si="13"/>
        <v>20.57838447570801</v>
      </c>
      <c r="Z131" s="152">
        <f t="shared" si="16"/>
        <v>20.57838447570801</v>
      </c>
    </row>
    <row r="132" spans="1:27" x14ac:dyDescent="0.2">
      <c r="D132" s="198"/>
      <c r="E132" s="76"/>
      <c r="H132" s="77"/>
      <c r="M132" s="114"/>
      <c r="U132" s="40" t="s">
        <v>55</v>
      </c>
      <c r="W132" s="169" t="s">
        <v>55</v>
      </c>
      <c r="X132" s="151">
        <f>'Additional information'!$D$18</f>
        <v>0.91</v>
      </c>
      <c r="Y132" s="152" t="str">
        <f t="shared" si="13"/>
        <v/>
      </c>
      <c r="Z132" s="152" t="str">
        <f t="shared" si="16"/>
        <v/>
      </c>
    </row>
    <row r="133" spans="1:27" ht="48" x14ac:dyDescent="0.2">
      <c r="A133" s="67" t="s">
        <v>164</v>
      </c>
      <c r="B133" s="67" t="s">
        <v>302</v>
      </c>
      <c r="C133" s="73" t="s">
        <v>2232</v>
      </c>
      <c r="D133" s="265" t="s">
        <v>2238</v>
      </c>
      <c r="E133" s="84"/>
      <c r="F133" s="300" t="s">
        <v>2116</v>
      </c>
      <c r="G133" s="300" t="s">
        <v>2117</v>
      </c>
      <c r="H133" s="91"/>
      <c r="I133" s="105" t="s">
        <v>36</v>
      </c>
      <c r="J133" s="105"/>
      <c r="K133" s="105"/>
      <c r="L133" s="105"/>
      <c r="M133" s="107"/>
      <c r="N133" s="105"/>
      <c r="O133" s="105"/>
      <c r="P133" s="105"/>
      <c r="U133" s="40" t="s">
        <v>37</v>
      </c>
      <c r="W133" s="169">
        <v>21.701908111572266</v>
      </c>
      <c r="X133" s="151">
        <f>'Additional information'!$D$18</f>
        <v>0.91</v>
      </c>
      <c r="Y133" s="152">
        <f t="shared" si="13"/>
        <v>19.748736381530762</v>
      </c>
      <c r="Z133" s="152">
        <f t="shared" si="16"/>
        <v>19.748736381530762</v>
      </c>
    </row>
    <row r="134" spans="1:27" x14ac:dyDescent="0.2">
      <c r="C134" s="42"/>
      <c r="D134" s="42"/>
      <c r="E134" s="84"/>
      <c r="F134" s="85"/>
      <c r="G134" s="85"/>
      <c r="H134" s="91"/>
      <c r="M134" s="114"/>
      <c r="U134" s="40" t="s">
        <v>55</v>
      </c>
      <c r="W134" s="169" t="s">
        <v>55</v>
      </c>
      <c r="X134" s="151">
        <f>'Additional information'!$D$18</f>
        <v>0.91</v>
      </c>
      <c r="Y134" s="152" t="str">
        <f t="shared" si="13"/>
        <v/>
      </c>
      <c r="Z134" s="152" t="str">
        <f t="shared" si="16"/>
        <v/>
      </c>
    </row>
    <row r="135" spans="1:27" ht="16" thickBot="1" x14ac:dyDescent="0.25">
      <c r="A135" s="87" t="s">
        <v>103</v>
      </c>
      <c r="B135" s="87"/>
      <c r="C135" s="88"/>
      <c r="D135" s="88"/>
      <c r="E135" s="97"/>
      <c r="F135" s="87"/>
      <c r="G135" s="87"/>
      <c r="H135" s="98"/>
      <c r="I135" s="115"/>
      <c r="J135" s="115"/>
      <c r="K135" s="115"/>
      <c r="L135" s="115"/>
      <c r="M135" s="115"/>
      <c r="N135" s="115"/>
      <c r="O135" s="115"/>
      <c r="P135" s="115"/>
      <c r="W135" s="169" t="s">
        <v>55</v>
      </c>
      <c r="Y135" s="152" t="str">
        <f t="shared" si="13"/>
        <v/>
      </c>
      <c r="Z135" s="152" t="str">
        <f t="shared" si="16"/>
        <v/>
      </c>
    </row>
    <row r="136" spans="1:27" s="65" customFormat="1" ht="17" thickTop="1" x14ac:dyDescent="0.2">
      <c r="A136" s="62" t="s">
        <v>56</v>
      </c>
      <c r="B136" s="62" t="s">
        <v>304</v>
      </c>
      <c r="C136" s="80" t="s">
        <v>305</v>
      </c>
      <c r="D136" s="195" t="s">
        <v>306</v>
      </c>
      <c r="E136" s="63"/>
      <c r="F136" s="62"/>
      <c r="G136" s="62"/>
      <c r="H136" s="64"/>
      <c r="I136" s="108" t="s">
        <v>44</v>
      </c>
      <c r="J136" s="108"/>
      <c r="K136" s="108"/>
      <c r="L136" s="108"/>
      <c r="M136" s="108" t="s">
        <v>307</v>
      </c>
      <c r="N136" s="108"/>
      <c r="O136" s="108"/>
      <c r="P136" s="108"/>
      <c r="U136" s="40" t="s">
        <v>37</v>
      </c>
      <c r="W136" s="169"/>
      <c r="X136" s="66"/>
      <c r="Y136" s="152" t="str">
        <f t="shared" si="13"/>
        <v/>
      </c>
      <c r="Z136" s="152" t="str">
        <f t="shared" si="16"/>
        <v/>
      </c>
      <c r="AA136" s="66"/>
    </row>
    <row r="137" spans="1:27" ht="32" x14ac:dyDescent="0.2">
      <c r="A137" s="67" t="s">
        <v>40</v>
      </c>
      <c r="B137" s="67" t="s">
        <v>308</v>
      </c>
      <c r="C137" s="39" t="s">
        <v>309</v>
      </c>
      <c r="D137" s="38" t="s">
        <v>310</v>
      </c>
      <c r="E137" s="76"/>
      <c r="F137" s="67"/>
      <c r="G137" s="67"/>
      <c r="H137" s="77"/>
      <c r="I137" s="105"/>
      <c r="J137" s="105"/>
      <c r="K137" s="105"/>
      <c r="L137" s="105"/>
      <c r="M137" s="105"/>
      <c r="N137" s="105"/>
      <c r="O137" s="105"/>
      <c r="P137" s="105"/>
      <c r="U137" s="40" t="s">
        <v>37</v>
      </c>
      <c r="W137" s="169">
        <v>7.5</v>
      </c>
      <c r="X137" s="93">
        <f>'Additional information'!$D$19</f>
        <v>0.09</v>
      </c>
      <c r="Y137" s="152">
        <f t="shared" si="13"/>
        <v>0.67499999999999993</v>
      </c>
      <c r="Z137" s="152">
        <f t="shared" si="16"/>
        <v>0.67499999999999993</v>
      </c>
    </row>
    <row r="138" spans="1:27" s="65" customFormat="1" x14ac:dyDescent="0.2">
      <c r="C138" s="81"/>
      <c r="D138" s="198"/>
      <c r="E138" s="63"/>
      <c r="H138" s="64"/>
      <c r="I138" s="109"/>
      <c r="J138" s="109"/>
      <c r="K138" s="109"/>
      <c r="L138" s="109"/>
      <c r="M138" s="109"/>
      <c r="N138" s="109"/>
      <c r="O138" s="109"/>
      <c r="P138" s="109"/>
      <c r="U138" s="40" t="s">
        <v>55</v>
      </c>
      <c r="W138" s="169" t="s">
        <v>55</v>
      </c>
      <c r="X138" s="93">
        <f>'Additional information'!$D$19</f>
        <v>0.09</v>
      </c>
      <c r="Y138" s="152" t="str">
        <f t="shared" si="13"/>
        <v/>
      </c>
      <c r="Z138" s="152" t="str">
        <f t="shared" si="16"/>
        <v/>
      </c>
      <c r="AA138" s="66"/>
    </row>
    <row r="139" spans="1:27" ht="80" x14ac:dyDescent="0.2">
      <c r="A139" s="67" t="s">
        <v>311</v>
      </c>
      <c r="B139" s="67" t="s">
        <v>312</v>
      </c>
      <c r="C139" s="39" t="s">
        <v>313</v>
      </c>
      <c r="D139" s="265" t="s">
        <v>314</v>
      </c>
      <c r="E139" s="76"/>
      <c r="F139" s="303" t="s">
        <v>1786</v>
      </c>
      <c r="G139" s="325" t="s">
        <v>1787</v>
      </c>
      <c r="H139" s="77"/>
      <c r="I139" s="105" t="s">
        <v>36</v>
      </c>
      <c r="J139" s="105" t="s">
        <v>139</v>
      </c>
      <c r="K139" s="105"/>
      <c r="L139" s="105"/>
      <c r="M139" s="105"/>
      <c r="N139" s="105"/>
      <c r="O139" s="105"/>
      <c r="P139" s="105"/>
      <c r="U139" s="40" t="s">
        <v>37</v>
      </c>
      <c r="W139" s="169">
        <v>20.294422149658203</v>
      </c>
      <c r="X139" s="93">
        <f>'Additional information'!$D$19</f>
        <v>0.09</v>
      </c>
      <c r="Y139" s="152">
        <f t="shared" si="13"/>
        <v>1.8264979934692382</v>
      </c>
      <c r="Z139" s="152">
        <f t="shared" si="16"/>
        <v>1.8264979934692382</v>
      </c>
    </row>
    <row r="140" spans="1:27" x14ac:dyDescent="0.2">
      <c r="A140" s="67" t="s">
        <v>26</v>
      </c>
      <c r="B140" s="67" t="s">
        <v>315</v>
      </c>
      <c r="C140" s="39"/>
      <c r="D140" s="199"/>
      <c r="E140" s="76"/>
      <c r="H140" s="77"/>
      <c r="I140" s="105"/>
      <c r="J140" s="105"/>
      <c r="K140" s="105"/>
      <c r="L140" s="105"/>
      <c r="M140" s="105"/>
      <c r="N140" s="105"/>
      <c r="O140" s="105"/>
      <c r="P140" s="105" t="s">
        <v>316</v>
      </c>
      <c r="U140" s="40" t="s">
        <v>37</v>
      </c>
      <c r="W140" s="169"/>
      <c r="X140" s="93">
        <f>'Additional information'!$D$19</f>
        <v>0.09</v>
      </c>
      <c r="Y140" s="152" t="str">
        <f t="shared" si="13"/>
        <v/>
      </c>
      <c r="Z140" s="152" t="str">
        <f t="shared" si="16"/>
        <v/>
      </c>
    </row>
    <row r="141" spans="1:27" x14ac:dyDescent="0.2">
      <c r="D141" s="40"/>
      <c r="E141" s="76"/>
      <c r="H141" s="77"/>
      <c r="M141" s="114"/>
      <c r="U141" s="40" t="s">
        <v>55</v>
      </c>
      <c r="W141" s="169" t="s">
        <v>55</v>
      </c>
      <c r="X141" s="93">
        <f>'Additional information'!$D$19</f>
        <v>0.09</v>
      </c>
      <c r="Y141" s="152" t="str">
        <f t="shared" si="13"/>
        <v/>
      </c>
      <c r="Z141" s="152" t="str">
        <f t="shared" si="16"/>
        <v/>
      </c>
    </row>
    <row r="142" spans="1:27" ht="16" x14ac:dyDescent="0.2">
      <c r="A142" s="67" t="s">
        <v>71</v>
      </c>
      <c r="B142" s="67" t="s">
        <v>317</v>
      </c>
      <c r="C142" s="39" t="s">
        <v>318</v>
      </c>
      <c r="D142" s="265" t="s">
        <v>319</v>
      </c>
      <c r="E142" s="76"/>
      <c r="F142" s="67" t="s">
        <v>320</v>
      </c>
      <c r="G142" s="67" t="s">
        <v>321</v>
      </c>
      <c r="H142" s="77"/>
      <c r="I142" s="105" t="s">
        <v>36</v>
      </c>
      <c r="J142" s="105"/>
      <c r="K142" s="105" t="s">
        <v>322</v>
      </c>
      <c r="L142" s="105"/>
      <c r="M142" s="105" t="s">
        <v>323</v>
      </c>
      <c r="N142" s="105"/>
      <c r="O142" s="105"/>
      <c r="P142" s="105"/>
      <c r="U142" s="40" t="s">
        <v>37</v>
      </c>
      <c r="W142" s="169">
        <v>18.539077758789062</v>
      </c>
      <c r="X142" s="93">
        <f>'Additional information'!$D$19</f>
        <v>0.09</v>
      </c>
      <c r="Y142" s="152">
        <f t="shared" si="13"/>
        <v>1.6685169982910155</v>
      </c>
      <c r="Z142" s="152">
        <f t="shared" si="16"/>
        <v>1.6685169982910155</v>
      </c>
    </row>
    <row r="143" spans="1:27" ht="16" x14ac:dyDescent="0.2">
      <c r="A143" s="67" t="s">
        <v>71</v>
      </c>
      <c r="B143" s="67" t="s">
        <v>324</v>
      </c>
      <c r="C143" s="39" t="s">
        <v>325</v>
      </c>
      <c r="D143" s="265" t="s">
        <v>326</v>
      </c>
      <c r="E143" s="76"/>
      <c r="F143" s="67" t="s">
        <v>320</v>
      </c>
      <c r="G143" s="67" t="s">
        <v>321</v>
      </c>
      <c r="H143" s="77"/>
      <c r="I143" s="105" t="s">
        <v>36</v>
      </c>
      <c r="J143" s="105"/>
      <c r="K143" s="105" t="s">
        <v>322</v>
      </c>
      <c r="L143" s="105"/>
      <c r="M143" s="105" t="s">
        <v>323</v>
      </c>
      <c r="N143" s="105"/>
      <c r="O143" s="105"/>
      <c r="P143" s="105"/>
      <c r="U143" s="40" t="s">
        <v>37</v>
      </c>
      <c r="W143" s="169">
        <v>8.9158916473388672</v>
      </c>
      <c r="X143" s="93">
        <f>'Additional information'!$D$19</f>
        <v>0.09</v>
      </c>
      <c r="Y143" s="152">
        <f t="shared" si="13"/>
        <v>0.80243024826049802</v>
      </c>
      <c r="Z143" s="152">
        <f t="shared" si="16"/>
        <v>0.80243024826049802</v>
      </c>
    </row>
    <row r="144" spans="1:27" ht="16" x14ac:dyDescent="0.2">
      <c r="A144" s="67" t="s">
        <v>26</v>
      </c>
      <c r="B144" s="67" t="s">
        <v>327</v>
      </c>
      <c r="C144" s="39" t="s">
        <v>328</v>
      </c>
      <c r="D144" s="266" t="s">
        <v>329</v>
      </c>
      <c r="E144" s="76"/>
      <c r="F144" s="67"/>
      <c r="G144" s="67"/>
      <c r="H144" s="77"/>
      <c r="I144" s="105" t="s">
        <v>36</v>
      </c>
      <c r="J144" s="105"/>
      <c r="K144" s="105"/>
      <c r="L144" s="105"/>
      <c r="M144" s="105" t="s">
        <v>330</v>
      </c>
      <c r="N144" s="105"/>
      <c r="O144" s="105"/>
      <c r="P144" s="105" t="s">
        <v>331</v>
      </c>
      <c r="U144" s="40" t="s">
        <v>37</v>
      </c>
      <c r="W144" s="169"/>
      <c r="X144" s="93">
        <f>'Additional information'!$D$19</f>
        <v>0.09</v>
      </c>
      <c r="Y144" s="152" t="str">
        <f t="shared" si="13"/>
        <v/>
      </c>
      <c r="Z144" s="152" t="str">
        <f t="shared" si="16"/>
        <v/>
      </c>
    </row>
    <row r="145" spans="1:37" x14ac:dyDescent="0.2">
      <c r="D145" s="40"/>
      <c r="E145" s="76"/>
      <c r="H145" s="77"/>
      <c r="U145" s="40" t="s">
        <v>55</v>
      </c>
      <c r="W145" s="169" t="s">
        <v>55</v>
      </c>
      <c r="X145" s="93">
        <f>'Additional information'!$D$19</f>
        <v>0.09</v>
      </c>
      <c r="Y145" s="152" t="str">
        <f t="shared" si="13"/>
        <v/>
      </c>
      <c r="Z145" s="152" t="str">
        <f t="shared" si="16"/>
        <v/>
      </c>
    </row>
    <row r="146" spans="1:37" ht="16" x14ac:dyDescent="0.2">
      <c r="A146" s="67" t="s">
        <v>332</v>
      </c>
      <c r="B146" s="67" t="s">
        <v>333</v>
      </c>
      <c r="C146" s="39" t="s">
        <v>334</v>
      </c>
      <c r="D146" s="265" t="s">
        <v>335</v>
      </c>
      <c r="E146" s="76"/>
      <c r="F146" s="40" t="s">
        <v>210</v>
      </c>
      <c r="G146" s="40" t="s">
        <v>211</v>
      </c>
      <c r="H146" s="77"/>
      <c r="I146" s="105" t="s">
        <v>36</v>
      </c>
      <c r="J146" s="105"/>
      <c r="K146" s="105" t="s">
        <v>336</v>
      </c>
      <c r="L146" s="105"/>
      <c r="M146" s="105" t="s">
        <v>323</v>
      </c>
      <c r="N146" s="105"/>
      <c r="O146" s="105"/>
      <c r="P146" s="105"/>
      <c r="U146" s="40" t="s">
        <v>37</v>
      </c>
      <c r="W146" s="169">
        <v>25.81001091003418</v>
      </c>
      <c r="X146" s="93">
        <f>'Additional information'!$D$19</f>
        <v>0.09</v>
      </c>
      <c r="Y146" s="152">
        <f t="shared" si="13"/>
        <v>2.3229009819030759</v>
      </c>
      <c r="Z146" s="152">
        <f t="shared" si="16"/>
        <v>2.3229009819030759</v>
      </c>
    </row>
    <row r="147" spans="1:37" x14ac:dyDescent="0.2">
      <c r="D147" s="40"/>
      <c r="E147" s="76"/>
      <c r="H147" s="77"/>
      <c r="M147" s="114"/>
      <c r="U147" s="40" t="s">
        <v>55</v>
      </c>
      <c r="W147" s="169" t="s">
        <v>55</v>
      </c>
      <c r="X147" s="93">
        <f>'Additional information'!$D$19</f>
        <v>0.09</v>
      </c>
      <c r="Y147" s="152" t="str">
        <f t="shared" si="13"/>
        <v/>
      </c>
      <c r="Z147" s="152" t="str">
        <f t="shared" si="16"/>
        <v/>
      </c>
    </row>
    <row r="148" spans="1:37" s="69" customFormat="1" ht="16" x14ac:dyDescent="0.2">
      <c r="A148" s="69" t="s">
        <v>337</v>
      </c>
      <c r="B148" s="69" t="s">
        <v>338</v>
      </c>
      <c r="C148" s="70" t="s">
        <v>339</v>
      </c>
      <c r="D148" s="267" t="s">
        <v>340</v>
      </c>
      <c r="E148" s="71"/>
      <c r="F148" s="69" t="s">
        <v>210</v>
      </c>
      <c r="G148" s="40" t="s">
        <v>211</v>
      </c>
      <c r="H148" s="75"/>
      <c r="I148" s="106" t="s">
        <v>36</v>
      </c>
      <c r="J148" s="106"/>
      <c r="K148" s="106" t="s">
        <v>300</v>
      </c>
      <c r="L148" s="106"/>
      <c r="M148" s="106"/>
      <c r="N148" s="106"/>
      <c r="O148" s="106"/>
      <c r="P148" s="106"/>
      <c r="U148" s="69" t="s">
        <v>45</v>
      </c>
      <c r="W148" s="169">
        <v>19.553197860717773</v>
      </c>
      <c r="X148" s="93">
        <f>'Additional information'!$D$19</f>
        <v>0.09</v>
      </c>
      <c r="Y148" s="152">
        <f t="shared" si="13"/>
        <v>1.7597878074645996</v>
      </c>
      <c r="Z148" s="152" t="str">
        <f t="shared" si="16"/>
        <v/>
      </c>
      <c r="AA148" s="68"/>
    </row>
    <row r="149" spans="1:37" s="69" customFormat="1" x14ac:dyDescent="0.2">
      <c r="C149" s="70"/>
      <c r="E149" s="71"/>
      <c r="H149" s="75"/>
      <c r="I149" s="106"/>
      <c r="J149" s="106"/>
      <c r="K149" s="106"/>
      <c r="L149" s="106"/>
      <c r="M149" s="106"/>
      <c r="N149" s="106"/>
      <c r="O149" s="106"/>
      <c r="P149" s="106"/>
      <c r="U149" s="69" t="s">
        <v>55</v>
      </c>
      <c r="W149" s="169" t="s">
        <v>55</v>
      </c>
      <c r="X149" s="93">
        <f>'Additional information'!$D$19</f>
        <v>0.09</v>
      </c>
      <c r="Y149" s="152" t="str">
        <f t="shared" si="13"/>
        <v/>
      </c>
      <c r="Z149" s="152" t="str">
        <f t="shared" si="16"/>
        <v/>
      </c>
      <c r="AA149" s="68"/>
    </row>
    <row r="150" spans="1:37" ht="32" x14ac:dyDescent="0.2">
      <c r="A150" s="67" t="s">
        <v>108</v>
      </c>
      <c r="B150" s="67" t="s">
        <v>341</v>
      </c>
      <c r="C150" s="39" t="s">
        <v>342</v>
      </c>
      <c r="D150" s="265" t="s">
        <v>343</v>
      </c>
      <c r="E150" s="76"/>
      <c r="H150" s="77"/>
      <c r="I150" s="105" t="s">
        <v>36</v>
      </c>
      <c r="J150" s="105"/>
      <c r="K150" s="105"/>
      <c r="L150" s="105"/>
      <c r="M150" s="107"/>
      <c r="N150" s="105"/>
      <c r="O150" s="105"/>
      <c r="P150" s="105"/>
      <c r="U150" s="40" t="s">
        <v>37</v>
      </c>
      <c r="W150" s="169">
        <v>13.613316535949707</v>
      </c>
      <c r="X150" s="93">
        <f>'Additional information'!$D$19</f>
        <v>0.09</v>
      </c>
      <c r="Y150" s="152">
        <f t="shared" si="13"/>
        <v>1.2251984882354736</v>
      </c>
      <c r="Z150" s="152">
        <f t="shared" si="16"/>
        <v>1.2251984882354736</v>
      </c>
    </row>
    <row r="151" spans="1:37" ht="16" x14ac:dyDescent="0.2">
      <c r="A151" s="67" t="s">
        <v>344</v>
      </c>
      <c r="B151" s="67" t="s">
        <v>345</v>
      </c>
      <c r="C151" s="39" t="s">
        <v>346</v>
      </c>
      <c r="D151" s="265" t="s">
        <v>347</v>
      </c>
      <c r="E151" s="76"/>
      <c r="F151" s="40" t="s">
        <v>261</v>
      </c>
      <c r="G151" s="40" t="s">
        <v>262</v>
      </c>
      <c r="H151" s="77"/>
      <c r="I151" s="105" t="s">
        <v>36</v>
      </c>
      <c r="J151" s="105"/>
      <c r="K151" s="107" t="s">
        <v>300</v>
      </c>
      <c r="L151" s="105"/>
      <c r="M151" s="107" t="s">
        <v>348</v>
      </c>
      <c r="N151" s="105"/>
      <c r="O151" s="105"/>
      <c r="P151" s="105"/>
      <c r="U151" s="40" t="s">
        <v>37</v>
      </c>
      <c r="W151" s="169">
        <v>27.754648208618164</v>
      </c>
      <c r="X151" s="93">
        <f>'Additional information'!$D$19</f>
        <v>0.09</v>
      </c>
      <c r="Y151" s="152">
        <f t="shared" si="13"/>
        <v>2.4979183387756345</v>
      </c>
      <c r="Z151" s="152">
        <f t="shared" si="16"/>
        <v>2.4979183387756345</v>
      </c>
    </row>
    <row r="152" spans="1:37" s="302" customFormat="1" ht="30" customHeight="1" x14ac:dyDescent="0.2">
      <c r="A152" s="302" t="s">
        <v>1772</v>
      </c>
      <c r="B152" s="302" t="s">
        <v>1773</v>
      </c>
      <c r="C152" s="303" t="s">
        <v>1774</v>
      </c>
      <c r="D152" s="322" t="s">
        <v>1775</v>
      </c>
      <c r="E152" s="76"/>
      <c r="F152" s="300" t="s">
        <v>1759</v>
      </c>
      <c r="G152" s="323" t="s">
        <v>1776</v>
      </c>
      <c r="H152" s="86"/>
      <c r="I152" s="320" t="s">
        <v>36</v>
      </c>
      <c r="J152" s="301"/>
      <c r="K152" s="301"/>
      <c r="L152" s="301"/>
      <c r="M152" s="301"/>
      <c r="N152" s="301"/>
      <c r="O152" s="301"/>
      <c r="P152" s="301"/>
      <c r="Q152" s="299"/>
      <c r="R152" s="299"/>
      <c r="S152" s="299"/>
      <c r="T152" s="299"/>
      <c r="U152" s="299" t="s">
        <v>45</v>
      </c>
      <c r="V152" s="299"/>
      <c r="W152" s="187"/>
      <c r="X152" s="188"/>
      <c r="Y152" s="189" t="str">
        <f t="shared" si="13"/>
        <v/>
      </c>
      <c r="Z152" s="189" t="str">
        <f t="shared" si="16"/>
        <v/>
      </c>
      <c r="AA152" s="299"/>
      <c r="AB152" s="299"/>
      <c r="AC152" s="299"/>
      <c r="AD152" s="299"/>
      <c r="AE152" s="299"/>
      <c r="AF152" s="299"/>
      <c r="AG152" s="299"/>
      <c r="AH152" s="299"/>
      <c r="AI152" s="299"/>
      <c r="AJ152" s="299"/>
      <c r="AK152" s="299"/>
    </row>
    <row r="153" spans="1:37" s="69" customFormat="1" ht="16" x14ac:dyDescent="0.2">
      <c r="A153" s="69" t="s">
        <v>349</v>
      </c>
      <c r="B153" s="69" t="s">
        <v>350</v>
      </c>
      <c r="C153" s="70" t="s">
        <v>351</v>
      </c>
      <c r="D153" s="267" t="s">
        <v>352</v>
      </c>
      <c r="E153" s="71"/>
      <c r="F153" s="69" t="s">
        <v>353</v>
      </c>
      <c r="G153" s="69" t="s">
        <v>354</v>
      </c>
      <c r="H153" s="75"/>
      <c r="I153" s="106" t="s">
        <v>36</v>
      </c>
      <c r="J153" s="106" t="s">
        <v>139</v>
      </c>
      <c r="K153" s="106" t="s">
        <v>355</v>
      </c>
      <c r="L153" s="106"/>
      <c r="M153" s="106" t="s">
        <v>356</v>
      </c>
      <c r="N153" s="106" t="s">
        <v>357</v>
      </c>
      <c r="O153" s="110"/>
      <c r="P153" s="110"/>
      <c r="Q153" s="40"/>
      <c r="U153" s="69" t="s">
        <v>45</v>
      </c>
      <c r="W153" s="169">
        <v>17</v>
      </c>
      <c r="X153" s="93">
        <f>'Additional information'!$D$19</f>
        <v>0.09</v>
      </c>
      <c r="Y153" s="152">
        <f t="shared" si="13"/>
        <v>1.53</v>
      </c>
      <c r="Z153" s="152" t="str">
        <f t="shared" si="16"/>
        <v/>
      </c>
      <c r="AA153" s="68"/>
    </row>
    <row r="154" spans="1:37" s="302" customFormat="1" ht="21" customHeight="1" x14ac:dyDescent="0.2">
      <c r="A154" s="302" t="s">
        <v>108</v>
      </c>
      <c r="B154" s="302" t="s">
        <v>2204</v>
      </c>
      <c r="C154" s="326" t="s">
        <v>2148</v>
      </c>
      <c r="D154" s="300" t="s">
        <v>2218</v>
      </c>
      <c r="E154" s="71"/>
      <c r="F154" s="300" t="s">
        <v>1759</v>
      </c>
      <c r="G154" s="323" t="s">
        <v>1776</v>
      </c>
      <c r="H154" s="75"/>
      <c r="I154" s="320" t="s">
        <v>36</v>
      </c>
      <c r="J154" s="321"/>
      <c r="L154" s="321"/>
      <c r="M154" s="301"/>
      <c r="N154" s="321"/>
      <c r="O154" s="321"/>
      <c r="P154" s="321"/>
      <c r="W154" s="187"/>
      <c r="X154" s="344"/>
      <c r="Y154" s="189"/>
      <c r="Z154" s="189"/>
      <c r="AA154" s="299"/>
    </row>
    <row r="155" spans="1:37" s="302" customFormat="1" ht="16" x14ac:dyDescent="0.2">
      <c r="A155" s="302" t="s">
        <v>2152</v>
      </c>
      <c r="B155" s="302" t="s">
        <v>2149</v>
      </c>
      <c r="C155" s="326" t="s">
        <v>2150</v>
      </c>
      <c r="D155" s="303" t="s">
        <v>2211</v>
      </c>
      <c r="E155" s="71"/>
      <c r="F155" s="302" t="s">
        <v>261</v>
      </c>
      <c r="G155" s="302" t="s">
        <v>262</v>
      </c>
      <c r="H155" s="75"/>
      <c r="I155" s="320" t="s">
        <v>36</v>
      </c>
      <c r="J155" s="321"/>
      <c r="K155" s="301"/>
      <c r="L155" s="321"/>
      <c r="M155" s="301" t="s">
        <v>2207</v>
      </c>
      <c r="N155" s="321"/>
      <c r="O155" s="321"/>
      <c r="P155" s="321"/>
      <c r="W155" s="187"/>
      <c r="X155" s="344"/>
      <c r="Y155" s="189"/>
      <c r="Z155" s="189"/>
      <c r="AA155" s="299"/>
    </row>
    <row r="156" spans="1:37" s="302" customFormat="1" ht="14.25" customHeight="1" x14ac:dyDescent="0.2">
      <c r="A156" s="302" t="s">
        <v>108</v>
      </c>
      <c r="B156" s="302" t="s">
        <v>2165</v>
      </c>
      <c r="C156" s="326" t="s">
        <v>2166</v>
      </c>
      <c r="D156" s="303" t="s">
        <v>2167</v>
      </c>
      <c r="E156" s="71"/>
      <c r="F156" s="300" t="s">
        <v>1759</v>
      </c>
      <c r="G156" s="323" t="s">
        <v>1776</v>
      </c>
      <c r="H156" s="75"/>
      <c r="I156" s="320" t="s">
        <v>36</v>
      </c>
      <c r="J156" s="321"/>
      <c r="L156" s="321"/>
      <c r="M156" s="301"/>
      <c r="N156" s="321"/>
      <c r="O156" s="321"/>
      <c r="P156" s="321"/>
      <c r="W156" s="187"/>
      <c r="X156" s="344"/>
      <c r="Y156" s="189"/>
      <c r="Z156" s="189"/>
      <c r="AA156" s="299"/>
    </row>
    <row r="157" spans="1:37" s="302" customFormat="1" ht="16" x14ac:dyDescent="0.2">
      <c r="A157" s="302" t="s">
        <v>2168</v>
      </c>
      <c r="B157" s="302" t="s">
        <v>2169</v>
      </c>
      <c r="C157" s="326" t="s">
        <v>2150</v>
      </c>
      <c r="D157" s="303" t="s">
        <v>2151</v>
      </c>
      <c r="E157" s="71"/>
      <c r="F157" s="302" t="s">
        <v>261</v>
      </c>
      <c r="G157" s="302" t="s">
        <v>262</v>
      </c>
      <c r="H157" s="75"/>
      <c r="I157" s="320" t="s">
        <v>36</v>
      </c>
      <c r="J157" s="321"/>
      <c r="K157" s="301"/>
      <c r="L157" s="321"/>
      <c r="M157" s="301" t="s">
        <v>2208</v>
      </c>
      <c r="N157" s="321"/>
      <c r="O157" s="321"/>
      <c r="P157" s="321"/>
      <c r="W157" s="187"/>
      <c r="X157" s="344"/>
      <c r="Y157" s="189"/>
      <c r="Z157" s="189"/>
      <c r="AA157" s="299"/>
    </row>
    <row r="158" spans="1:37" s="302" customFormat="1" ht="16.5" customHeight="1" x14ac:dyDescent="0.2">
      <c r="A158" s="299" t="s">
        <v>60</v>
      </c>
      <c r="B158" s="299" t="s">
        <v>2209</v>
      </c>
      <c r="C158" s="300" t="s">
        <v>2220</v>
      </c>
      <c r="D158" s="303" t="s">
        <v>2219</v>
      </c>
      <c r="E158" s="71"/>
      <c r="F158" s="299" t="s">
        <v>214</v>
      </c>
      <c r="G158" s="299" t="s">
        <v>1715</v>
      </c>
      <c r="H158" s="86"/>
      <c r="I158" s="301" t="s">
        <v>36</v>
      </c>
      <c r="J158" s="301"/>
      <c r="K158" s="301"/>
      <c r="L158" s="301"/>
      <c r="M158" s="301" t="s">
        <v>2210</v>
      </c>
      <c r="N158" s="301"/>
      <c r="O158" s="301"/>
      <c r="P158" s="301"/>
      <c r="U158" s="302" t="s">
        <v>37</v>
      </c>
      <c r="W158" s="187"/>
      <c r="X158" s="188"/>
      <c r="Y158" s="189" t="str">
        <f t="shared" ref="Y158" si="17">IF(W158&lt;&gt;"",W158*X158,"")</f>
        <v/>
      </c>
      <c r="Z158" s="189" t="str">
        <f t="shared" ref="Z158" si="18">IF(AND(W158&lt;&gt;"",U158="yes"),W158*X158,"")</f>
        <v/>
      </c>
      <c r="AA158" s="299"/>
    </row>
    <row r="159" spans="1:37" s="302" customFormat="1" ht="15.75" customHeight="1" x14ac:dyDescent="0.2">
      <c r="A159" s="302" t="s">
        <v>108</v>
      </c>
      <c r="B159" s="302" t="s">
        <v>2179</v>
      </c>
      <c r="C159" s="326" t="s">
        <v>2180</v>
      </c>
      <c r="D159" s="303" t="s">
        <v>2181</v>
      </c>
      <c r="E159" s="71"/>
      <c r="F159" s="300" t="s">
        <v>1759</v>
      </c>
      <c r="G159" s="323" t="s">
        <v>1776</v>
      </c>
      <c r="H159" s="75"/>
      <c r="I159" s="320" t="s">
        <v>36</v>
      </c>
      <c r="J159" s="321"/>
      <c r="L159" s="321"/>
      <c r="M159" s="301" t="s">
        <v>2208</v>
      </c>
      <c r="N159" s="321"/>
      <c r="O159" s="321"/>
      <c r="P159" s="321"/>
      <c r="W159" s="187"/>
      <c r="X159" s="344"/>
      <c r="Y159" s="189"/>
      <c r="Z159" s="189"/>
      <c r="AA159" s="299"/>
    </row>
    <row r="160" spans="1:37" ht="16" thickBot="1" x14ac:dyDescent="0.25">
      <c r="A160" s="87" t="s">
        <v>103</v>
      </c>
      <c r="B160" s="87"/>
      <c r="C160" s="88"/>
      <c r="D160" s="88"/>
      <c r="E160" s="97"/>
      <c r="F160" s="87"/>
      <c r="G160" s="87"/>
      <c r="H160" s="98"/>
      <c r="I160" s="115"/>
      <c r="J160" s="115"/>
      <c r="K160" s="115"/>
      <c r="L160" s="115"/>
      <c r="M160" s="115"/>
      <c r="N160" s="115"/>
      <c r="O160" s="115"/>
      <c r="P160" s="115"/>
      <c r="W160" s="169" t="s">
        <v>55</v>
      </c>
      <c r="X160" s="151"/>
      <c r="Y160" s="152" t="str">
        <f t="shared" si="13"/>
        <v/>
      </c>
      <c r="Z160" s="152" t="str">
        <f t="shared" si="16"/>
        <v/>
      </c>
    </row>
    <row r="161" spans="1:27" s="65" customFormat="1" ht="17" thickTop="1" x14ac:dyDescent="0.2">
      <c r="A161" s="62" t="s">
        <v>56</v>
      </c>
      <c r="B161" s="62" t="s">
        <v>358</v>
      </c>
      <c r="C161" s="80" t="s">
        <v>359</v>
      </c>
      <c r="D161" s="195" t="s">
        <v>360</v>
      </c>
      <c r="E161" s="63"/>
      <c r="F161" s="62"/>
      <c r="G161" s="62"/>
      <c r="H161" s="64"/>
      <c r="I161" s="108" t="s">
        <v>44</v>
      </c>
      <c r="J161" s="108"/>
      <c r="K161" s="108"/>
      <c r="L161" s="108"/>
      <c r="M161" s="108" t="s">
        <v>361</v>
      </c>
      <c r="N161" s="108"/>
      <c r="O161" s="108"/>
      <c r="P161" s="108"/>
      <c r="U161" s="40" t="s">
        <v>37</v>
      </c>
      <c r="W161" s="169"/>
      <c r="X161" s="151"/>
      <c r="Y161" s="152" t="str">
        <f t="shared" si="13"/>
        <v/>
      </c>
      <c r="Z161" s="152" t="str">
        <f t="shared" si="16"/>
        <v/>
      </c>
      <c r="AA161" s="66"/>
    </row>
    <row r="162" spans="1:27" s="65" customFormat="1" x14ac:dyDescent="0.2">
      <c r="C162" s="81"/>
      <c r="D162" s="81"/>
      <c r="E162" s="63"/>
      <c r="H162" s="64"/>
      <c r="I162" s="109"/>
      <c r="J162" s="109"/>
      <c r="K162" s="109"/>
      <c r="L162" s="109"/>
      <c r="M162" s="109"/>
      <c r="N162" s="109"/>
      <c r="O162" s="109"/>
      <c r="P162" s="109"/>
      <c r="U162" s="40" t="s">
        <v>55</v>
      </c>
      <c r="W162" s="169" t="s">
        <v>55</v>
      </c>
      <c r="X162" s="93">
        <f>'Additional information'!$D$19</f>
        <v>0.09</v>
      </c>
      <c r="Y162" s="152" t="str">
        <f t="shared" si="13"/>
        <v/>
      </c>
      <c r="Z162" s="152" t="str">
        <f t="shared" si="16"/>
        <v/>
      </c>
      <c r="AA162" s="66"/>
    </row>
    <row r="163" spans="1:27" s="65" customFormat="1" ht="16" x14ac:dyDescent="0.2">
      <c r="A163" s="67" t="s">
        <v>362</v>
      </c>
      <c r="B163" s="67" t="s">
        <v>363</v>
      </c>
      <c r="C163" s="39" t="s">
        <v>364</v>
      </c>
      <c r="D163" s="265" t="s">
        <v>365</v>
      </c>
      <c r="E163" s="76"/>
      <c r="F163" s="92"/>
      <c r="G163" s="92"/>
      <c r="H163" s="77"/>
      <c r="I163" s="105" t="s">
        <v>36</v>
      </c>
      <c r="J163" s="105" t="s">
        <v>139</v>
      </c>
      <c r="K163" s="108"/>
      <c r="L163" s="108"/>
      <c r="M163" s="108"/>
      <c r="N163" s="108"/>
      <c r="O163" s="108"/>
      <c r="P163" s="108"/>
      <c r="U163" s="40" t="s">
        <v>37</v>
      </c>
      <c r="W163" s="169">
        <v>13.999390602111816</v>
      </c>
      <c r="X163" s="93">
        <f>'Additional information'!$D$19</f>
        <v>0.09</v>
      </c>
      <c r="Y163" s="152">
        <f t="shared" si="13"/>
        <v>1.2599451541900635</v>
      </c>
      <c r="Z163" s="152">
        <f t="shared" si="16"/>
        <v>1.2599451541900635</v>
      </c>
      <c r="AA163" s="66"/>
    </row>
    <row r="164" spans="1:27" x14ac:dyDescent="0.2">
      <c r="A164" s="67" t="s">
        <v>26</v>
      </c>
      <c r="B164" s="67" t="s">
        <v>366</v>
      </c>
      <c r="C164" s="39"/>
      <c r="D164" s="269"/>
      <c r="E164" s="76"/>
      <c r="H164" s="77"/>
      <c r="I164" s="105"/>
      <c r="J164" s="105"/>
      <c r="K164" s="105"/>
      <c r="L164" s="105"/>
      <c r="M164" s="105"/>
      <c r="N164" s="105"/>
      <c r="O164" s="105"/>
      <c r="P164" s="105" t="s">
        <v>367</v>
      </c>
      <c r="U164" s="40" t="s">
        <v>37</v>
      </c>
      <c r="W164" s="169"/>
      <c r="X164" s="93">
        <f>'Additional information'!$D$19</f>
        <v>0.09</v>
      </c>
      <c r="Y164" s="152" t="str">
        <f t="shared" si="13"/>
        <v/>
      </c>
      <c r="Z164" s="152" t="str">
        <f t="shared" si="16"/>
        <v/>
      </c>
    </row>
    <row r="165" spans="1:27" x14ac:dyDescent="0.2">
      <c r="D165" s="268"/>
      <c r="E165" s="76"/>
      <c r="H165" s="77"/>
      <c r="J165" s="40"/>
      <c r="U165" s="40" t="s">
        <v>55</v>
      </c>
      <c r="W165" s="169" t="s">
        <v>55</v>
      </c>
      <c r="X165" s="93">
        <f>'Additional information'!$D$19</f>
        <v>0.09</v>
      </c>
      <c r="Y165" s="152" t="str">
        <f t="shared" si="13"/>
        <v/>
      </c>
      <c r="Z165" s="152" t="str">
        <f t="shared" si="16"/>
        <v/>
      </c>
    </row>
    <row r="166" spans="1:27" ht="16" x14ac:dyDescent="0.2">
      <c r="A166" s="67" t="s">
        <v>108</v>
      </c>
      <c r="B166" s="67" t="s">
        <v>368</v>
      </c>
      <c r="C166" s="39" t="s">
        <v>369</v>
      </c>
      <c r="D166" s="265" t="s">
        <v>370</v>
      </c>
      <c r="E166" s="76"/>
      <c r="H166" s="77"/>
      <c r="I166" s="105" t="s">
        <v>36</v>
      </c>
      <c r="J166" s="105"/>
      <c r="K166" s="105"/>
      <c r="L166" s="105"/>
      <c r="M166" s="105"/>
      <c r="N166" s="105"/>
      <c r="O166" s="105"/>
      <c r="P166" s="105"/>
      <c r="U166" s="40" t="s">
        <v>37</v>
      </c>
      <c r="W166" s="169">
        <v>10.25279426574707</v>
      </c>
      <c r="X166" s="93">
        <f>'Additional information'!$D$19</f>
        <v>0.09</v>
      </c>
      <c r="Y166" s="152">
        <f t="shared" si="13"/>
        <v>0.92275148391723627</v>
      </c>
      <c r="Z166" s="152">
        <f t="shared" si="16"/>
        <v>0.92275148391723627</v>
      </c>
    </row>
    <row r="167" spans="1:27" ht="16" x14ac:dyDescent="0.2">
      <c r="A167" s="67" t="s">
        <v>371</v>
      </c>
      <c r="B167" s="67" t="s">
        <v>372</v>
      </c>
      <c r="C167" s="39" t="s">
        <v>373</v>
      </c>
      <c r="D167" s="265" t="s">
        <v>374</v>
      </c>
      <c r="E167" s="76"/>
      <c r="F167" s="40" t="s">
        <v>261</v>
      </c>
      <c r="G167" s="40" t="s">
        <v>262</v>
      </c>
      <c r="H167" s="77"/>
      <c r="I167" s="105" t="s">
        <v>36</v>
      </c>
      <c r="J167" s="105"/>
      <c r="K167" s="107" t="s">
        <v>300</v>
      </c>
      <c r="L167" s="107"/>
      <c r="M167" s="107" t="s">
        <v>375</v>
      </c>
      <c r="N167" s="105"/>
      <c r="O167" s="105"/>
      <c r="P167" s="105"/>
      <c r="U167" s="40" t="s">
        <v>37</v>
      </c>
      <c r="W167" s="169">
        <v>24.194343566894531</v>
      </c>
      <c r="X167" s="93">
        <f>'Additional information'!$D$19</f>
        <v>0.09</v>
      </c>
      <c r="Y167" s="152">
        <f t="shared" si="13"/>
        <v>2.1774909210205076</v>
      </c>
      <c r="Z167" s="152">
        <f t="shared" ref="Z167:Z198" si="19">IF(AND(W167&lt;&gt;"",U167="yes"),W167*X167,"")</f>
        <v>2.1774909210205076</v>
      </c>
    </row>
    <row r="168" spans="1:27" x14ac:dyDescent="0.2">
      <c r="D168" s="270"/>
      <c r="E168" s="76"/>
      <c r="H168" s="77"/>
      <c r="M168" s="114"/>
      <c r="U168" s="40" t="s">
        <v>55</v>
      </c>
      <c r="W168" s="169" t="s">
        <v>55</v>
      </c>
      <c r="X168" s="93">
        <f>'Additional information'!$D$19</f>
        <v>0.09</v>
      </c>
      <c r="Y168" s="152" t="str">
        <f t="shared" si="13"/>
        <v/>
      </c>
      <c r="Z168" s="152" t="str">
        <f t="shared" si="19"/>
        <v/>
      </c>
    </row>
    <row r="169" spans="1:27" ht="48" x14ac:dyDescent="0.2">
      <c r="A169" s="67" t="s">
        <v>164</v>
      </c>
      <c r="B169" s="67" t="s">
        <v>376</v>
      </c>
      <c r="C169" s="73" t="s">
        <v>2233</v>
      </c>
      <c r="D169" s="289" t="s">
        <v>2239</v>
      </c>
      <c r="E169" s="76"/>
      <c r="F169" s="300" t="s">
        <v>2116</v>
      </c>
      <c r="G169" s="300" t="s">
        <v>2117</v>
      </c>
      <c r="H169" s="77"/>
      <c r="I169" s="105" t="s">
        <v>36</v>
      </c>
      <c r="J169" s="105"/>
      <c r="K169" s="105"/>
      <c r="L169" s="105"/>
      <c r="M169" s="107"/>
      <c r="N169" s="105"/>
      <c r="O169" s="105"/>
      <c r="P169" s="105"/>
      <c r="U169" s="40" t="s">
        <v>37</v>
      </c>
      <c r="W169" s="169">
        <v>19.321737289428711</v>
      </c>
      <c r="X169" s="93">
        <f>'Additional information'!$D$19</f>
        <v>0.09</v>
      </c>
      <c r="Y169" s="152">
        <f t="shared" si="13"/>
        <v>1.7389563560485839</v>
      </c>
      <c r="Z169" s="152">
        <f t="shared" si="19"/>
        <v>1.7389563560485839</v>
      </c>
    </row>
    <row r="170" spans="1:27" x14ac:dyDescent="0.2">
      <c r="C170" s="42"/>
      <c r="D170" s="263"/>
      <c r="E170" s="76"/>
      <c r="H170" s="77"/>
      <c r="M170" s="114"/>
      <c r="U170" s="40" t="s">
        <v>55</v>
      </c>
      <c r="W170" s="169" t="s">
        <v>55</v>
      </c>
      <c r="X170" s="93">
        <f>'Additional information'!$D$19</f>
        <v>0.09</v>
      </c>
      <c r="Y170" s="152" t="str">
        <f t="shared" si="13"/>
        <v/>
      </c>
      <c r="Z170" s="152" t="str">
        <f t="shared" si="19"/>
        <v/>
      </c>
    </row>
    <row r="171" spans="1:27" ht="16" thickBot="1" x14ac:dyDescent="0.25">
      <c r="A171" s="87" t="s">
        <v>103</v>
      </c>
      <c r="B171" s="87"/>
      <c r="C171" s="88"/>
      <c r="D171" s="271"/>
      <c r="E171" s="97"/>
      <c r="F171" s="87"/>
      <c r="G171" s="87"/>
      <c r="H171" s="98"/>
      <c r="I171" s="115"/>
      <c r="J171" s="115"/>
      <c r="K171" s="115"/>
      <c r="L171" s="115"/>
      <c r="M171" s="115"/>
      <c r="N171" s="115"/>
      <c r="O171" s="115"/>
      <c r="P171" s="115"/>
      <c r="W171" s="169" t="s">
        <v>55</v>
      </c>
      <c r="Y171" s="152" t="str">
        <f t="shared" si="13"/>
        <v/>
      </c>
      <c r="Z171" s="152" t="str">
        <f t="shared" si="19"/>
        <v/>
      </c>
    </row>
    <row r="172" spans="1:27" s="65" customFormat="1" ht="17" thickTop="1" x14ac:dyDescent="0.2">
      <c r="A172" s="62" t="s">
        <v>56</v>
      </c>
      <c r="B172" s="62" t="s">
        <v>378</v>
      </c>
      <c r="C172" s="80" t="s">
        <v>379</v>
      </c>
      <c r="D172" s="195" t="s">
        <v>380</v>
      </c>
      <c r="E172" s="63"/>
      <c r="F172" s="62"/>
      <c r="G172" s="62"/>
      <c r="H172" s="64"/>
      <c r="I172" s="108" t="s">
        <v>44</v>
      </c>
      <c r="J172" s="108"/>
      <c r="K172" s="108"/>
      <c r="L172" s="108"/>
      <c r="M172" s="109" t="s">
        <v>381</v>
      </c>
      <c r="N172" s="108"/>
      <c r="O172" s="108"/>
      <c r="P172" s="108"/>
      <c r="U172" s="40" t="s">
        <v>37</v>
      </c>
      <c r="W172" s="169"/>
      <c r="X172" s="66"/>
      <c r="Y172" s="152" t="str">
        <f t="shared" si="13"/>
        <v/>
      </c>
      <c r="Z172" s="152" t="str">
        <f t="shared" si="19"/>
        <v/>
      </c>
      <c r="AA172" s="66"/>
    </row>
    <row r="173" spans="1:27" s="68" customFormat="1" ht="48" x14ac:dyDescent="0.2">
      <c r="A173" s="72" t="s">
        <v>40</v>
      </c>
      <c r="B173" s="72" t="s">
        <v>382</v>
      </c>
      <c r="C173" s="73" t="s">
        <v>383</v>
      </c>
      <c r="D173" s="272" t="s">
        <v>384</v>
      </c>
      <c r="E173" s="84"/>
      <c r="H173" s="86"/>
      <c r="I173" s="107"/>
      <c r="J173" s="107"/>
      <c r="K173" s="107"/>
      <c r="L173" s="107"/>
      <c r="M173" s="107"/>
      <c r="N173" s="107"/>
      <c r="O173" s="107"/>
      <c r="P173" s="107"/>
      <c r="U173" s="68" t="s">
        <v>37</v>
      </c>
      <c r="W173" s="169">
        <v>7.5</v>
      </c>
      <c r="X173" s="93">
        <f>'Additional information'!$D$20</f>
        <v>0</v>
      </c>
      <c r="Y173" s="152">
        <f t="shared" si="13"/>
        <v>0</v>
      </c>
      <c r="Z173" s="152">
        <f t="shared" si="19"/>
        <v>0</v>
      </c>
    </row>
    <row r="174" spans="1:27" s="65" customFormat="1" x14ac:dyDescent="0.2">
      <c r="C174" s="81"/>
      <c r="D174" s="200"/>
      <c r="E174" s="63"/>
      <c r="H174" s="64"/>
      <c r="I174" s="109"/>
      <c r="J174" s="109"/>
      <c r="K174" s="109"/>
      <c r="L174" s="109"/>
      <c r="M174" s="109"/>
      <c r="N174" s="109"/>
      <c r="O174" s="109"/>
      <c r="P174" s="109"/>
      <c r="U174" s="40" t="s">
        <v>55</v>
      </c>
      <c r="W174" s="169" t="s">
        <v>55</v>
      </c>
      <c r="X174" s="93">
        <f>'Additional information'!$D$20</f>
        <v>0</v>
      </c>
      <c r="Y174" s="152" t="str">
        <f t="shared" si="13"/>
        <v/>
      </c>
      <c r="Z174" s="152" t="str">
        <f t="shared" si="19"/>
        <v/>
      </c>
      <c r="AA174" s="66"/>
    </row>
    <row r="175" spans="1:27" ht="16" x14ac:dyDescent="0.2">
      <c r="A175" s="67" t="s">
        <v>385</v>
      </c>
      <c r="B175" s="67" t="s">
        <v>386</v>
      </c>
      <c r="C175" s="39" t="s">
        <v>387</v>
      </c>
      <c r="D175" s="265" t="s">
        <v>388</v>
      </c>
      <c r="E175" s="76"/>
      <c r="F175" s="40" t="s">
        <v>389</v>
      </c>
      <c r="G175" s="40" t="s">
        <v>211</v>
      </c>
      <c r="H175" s="77"/>
      <c r="I175" s="105" t="s">
        <v>36</v>
      </c>
      <c r="J175" s="105"/>
      <c r="K175" s="105" t="s">
        <v>300</v>
      </c>
      <c r="L175" s="105"/>
      <c r="M175" s="105"/>
      <c r="N175" s="105"/>
      <c r="O175" s="105"/>
      <c r="P175" s="105"/>
      <c r="U175" s="40" t="s">
        <v>37</v>
      </c>
      <c r="W175" s="169">
        <v>19.090116500854492</v>
      </c>
      <c r="X175" s="93">
        <f>'Additional information'!$D$20</f>
        <v>0</v>
      </c>
      <c r="Y175" s="152">
        <f t="shared" si="13"/>
        <v>0</v>
      </c>
      <c r="Z175" s="152">
        <f t="shared" si="19"/>
        <v>0</v>
      </c>
    </row>
    <row r="176" spans="1:27" x14ac:dyDescent="0.2">
      <c r="D176" s="273"/>
      <c r="E176" s="76"/>
      <c r="H176" s="77"/>
      <c r="U176" s="40" t="s">
        <v>55</v>
      </c>
      <c r="W176" s="169" t="s">
        <v>55</v>
      </c>
      <c r="X176" s="93">
        <f>'Additional information'!$D$20</f>
        <v>0</v>
      </c>
      <c r="Y176" s="152" t="str">
        <f t="shared" si="13"/>
        <v/>
      </c>
      <c r="Z176" s="152" t="str">
        <f t="shared" si="19"/>
        <v/>
      </c>
    </row>
    <row r="177" spans="1:27" ht="32" x14ac:dyDescent="0.2">
      <c r="A177" s="67" t="s">
        <v>164</v>
      </c>
      <c r="B177" s="67" t="s">
        <v>390</v>
      </c>
      <c r="C177" s="39" t="s">
        <v>391</v>
      </c>
      <c r="D177" s="265" t="s">
        <v>392</v>
      </c>
      <c r="E177" s="76"/>
      <c r="H177" s="77"/>
      <c r="I177" s="105" t="s">
        <v>36</v>
      </c>
      <c r="J177" s="105"/>
      <c r="K177" s="105"/>
      <c r="L177" s="105"/>
      <c r="M177" s="105"/>
      <c r="N177" s="105"/>
      <c r="O177" s="105"/>
      <c r="P177" s="105"/>
      <c r="U177" s="40" t="s">
        <v>37</v>
      </c>
      <c r="W177" s="169">
        <v>17.656976699829102</v>
      </c>
      <c r="X177" s="93">
        <f>'Additional information'!$D$20</f>
        <v>0</v>
      </c>
      <c r="Y177" s="152">
        <f t="shared" si="13"/>
        <v>0</v>
      </c>
      <c r="Z177" s="152">
        <f t="shared" si="19"/>
        <v>0</v>
      </c>
    </row>
    <row r="178" spans="1:27" x14ac:dyDescent="0.2">
      <c r="D178" s="270"/>
      <c r="E178" s="76"/>
      <c r="H178" s="77"/>
      <c r="U178" s="40" t="s">
        <v>55</v>
      </c>
      <c r="W178" s="169" t="s">
        <v>55</v>
      </c>
      <c r="X178" s="93">
        <f>'Additional information'!$D$20</f>
        <v>0</v>
      </c>
      <c r="Y178" s="152" t="str">
        <f t="shared" si="13"/>
        <v/>
      </c>
      <c r="Z178" s="152" t="str">
        <f t="shared" si="19"/>
        <v/>
      </c>
    </row>
    <row r="179" spans="1:27" ht="32" x14ac:dyDescent="0.2">
      <c r="A179" s="67" t="s">
        <v>108</v>
      </c>
      <c r="B179" s="67" t="s">
        <v>393</v>
      </c>
      <c r="C179" s="39" t="s">
        <v>394</v>
      </c>
      <c r="D179" s="265" t="s">
        <v>395</v>
      </c>
      <c r="E179" s="76"/>
      <c r="H179" s="77"/>
      <c r="I179" s="105" t="s">
        <v>36</v>
      </c>
      <c r="J179" s="105"/>
      <c r="K179" s="105"/>
      <c r="L179" s="105"/>
      <c r="M179" s="105"/>
      <c r="N179" s="105"/>
      <c r="O179" s="105"/>
      <c r="P179" s="105"/>
      <c r="U179" s="40" t="s">
        <v>37</v>
      </c>
      <c r="W179" s="170">
        <v>8.7647056579589844</v>
      </c>
      <c r="X179" s="93">
        <f>'Additional information'!$D$20</f>
        <v>0</v>
      </c>
      <c r="Y179" s="152">
        <f t="shared" si="13"/>
        <v>0</v>
      </c>
      <c r="Z179" s="152">
        <f t="shared" si="19"/>
        <v>0</v>
      </c>
    </row>
    <row r="180" spans="1:27" ht="16" x14ac:dyDescent="0.2">
      <c r="A180" s="67" t="s">
        <v>396</v>
      </c>
      <c r="B180" s="67" t="s">
        <v>397</v>
      </c>
      <c r="C180" s="39" t="s">
        <v>398</v>
      </c>
      <c r="D180" s="265" t="s">
        <v>399</v>
      </c>
      <c r="E180" s="76"/>
      <c r="F180" s="40" t="s">
        <v>261</v>
      </c>
      <c r="G180" s="40" t="s">
        <v>262</v>
      </c>
      <c r="H180" s="77"/>
      <c r="I180" s="105"/>
      <c r="J180" s="105"/>
      <c r="K180" s="107" t="s">
        <v>300</v>
      </c>
      <c r="L180" s="105"/>
      <c r="M180" s="107" t="s">
        <v>400</v>
      </c>
      <c r="N180" s="105"/>
      <c r="O180" s="105"/>
      <c r="P180" s="105"/>
      <c r="U180" s="40" t="s">
        <v>37</v>
      </c>
      <c r="W180" s="170">
        <v>27.953845977783203</v>
      </c>
      <c r="X180" s="93">
        <f>'Additional information'!$D$20</f>
        <v>0</v>
      </c>
      <c r="Y180" s="152">
        <f t="shared" si="13"/>
        <v>0</v>
      </c>
      <c r="Z180" s="152">
        <f t="shared" si="19"/>
        <v>0</v>
      </c>
    </row>
    <row r="181" spans="1:27" ht="16" x14ac:dyDescent="0.2">
      <c r="A181" s="67" t="s">
        <v>60</v>
      </c>
      <c r="B181" s="67" t="s">
        <v>401</v>
      </c>
      <c r="C181" s="73" t="s">
        <v>212</v>
      </c>
      <c r="D181" s="42" t="s">
        <v>213</v>
      </c>
      <c r="E181" s="84"/>
      <c r="F181" s="68" t="s">
        <v>214</v>
      </c>
      <c r="G181" s="68" t="s">
        <v>215</v>
      </c>
      <c r="H181" s="77"/>
      <c r="I181" s="105" t="s">
        <v>36</v>
      </c>
      <c r="J181" s="105"/>
      <c r="K181" s="105"/>
      <c r="L181" s="105"/>
      <c r="M181" s="105" t="s">
        <v>402</v>
      </c>
      <c r="N181" s="105"/>
      <c r="O181" s="105"/>
      <c r="P181" s="105"/>
      <c r="U181" s="40" t="s">
        <v>37</v>
      </c>
      <c r="W181" s="169"/>
      <c r="X181" s="93">
        <f>'Additional information'!$D$20</f>
        <v>0</v>
      </c>
      <c r="Y181" s="152" t="str">
        <f t="shared" si="13"/>
        <v/>
      </c>
      <c r="Z181" s="152" t="str">
        <f t="shared" si="19"/>
        <v/>
      </c>
    </row>
    <row r="182" spans="1:27" x14ac:dyDescent="0.2">
      <c r="D182" s="274"/>
      <c r="E182" s="76"/>
      <c r="H182" s="77"/>
      <c r="U182" s="40" t="s">
        <v>55</v>
      </c>
      <c r="W182" s="169" t="s">
        <v>55</v>
      </c>
      <c r="X182" s="93">
        <f>'Additional information'!$D$20</f>
        <v>0</v>
      </c>
      <c r="Y182" s="152" t="str">
        <f t="shared" si="13"/>
        <v/>
      </c>
      <c r="Z182" s="152" t="str">
        <f t="shared" si="19"/>
        <v/>
      </c>
    </row>
    <row r="183" spans="1:27" s="69" customFormat="1" ht="32" x14ac:dyDescent="0.2">
      <c r="A183" s="69" t="s">
        <v>403</v>
      </c>
      <c r="B183" s="69" t="s">
        <v>404</v>
      </c>
      <c r="C183" s="70" t="s">
        <v>405</v>
      </c>
      <c r="D183" s="261" t="s">
        <v>406</v>
      </c>
      <c r="E183" s="71"/>
      <c r="F183" s="69" t="s">
        <v>389</v>
      </c>
      <c r="G183" s="69" t="s">
        <v>211</v>
      </c>
      <c r="H183" s="75"/>
      <c r="I183" s="106" t="s">
        <v>36</v>
      </c>
      <c r="J183" s="106"/>
      <c r="K183" s="106" t="s">
        <v>300</v>
      </c>
      <c r="L183" s="106"/>
      <c r="M183" s="106" t="s">
        <v>407</v>
      </c>
      <c r="N183" s="106"/>
      <c r="O183" s="106"/>
      <c r="P183" s="106"/>
      <c r="U183" s="69" t="s">
        <v>45</v>
      </c>
      <c r="W183" s="169">
        <v>21.25</v>
      </c>
      <c r="X183" s="93">
        <f>'Additional information'!$D$20</f>
        <v>0</v>
      </c>
      <c r="Y183" s="152">
        <f t="shared" si="13"/>
        <v>0</v>
      </c>
      <c r="Z183" s="152" t="str">
        <f t="shared" si="19"/>
        <v/>
      </c>
      <c r="AA183" s="68"/>
    </row>
    <row r="184" spans="1:27" s="69" customFormat="1" ht="16" x14ac:dyDescent="0.2">
      <c r="A184" s="69" t="s">
        <v>60</v>
      </c>
      <c r="B184" s="69" t="s">
        <v>408</v>
      </c>
      <c r="C184" s="70" t="s">
        <v>212</v>
      </c>
      <c r="D184" s="70" t="s">
        <v>213</v>
      </c>
      <c r="E184" s="71"/>
      <c r="F184" s="69" t="s">
        <v>214</v>
      </c>
      <c r="G184" s="69" t="s">
        <v>215</v>
      </c>
      <c r="H184" s="75"/>
      <c r="I184" s="106" t="s">
        <v>36</v>
      </c>
      <c r="J184" s="106"/>
      <c r="K184" s="106"/>
      <c r="L184" s="106"/>
      <c r="M184" s="106" t="s">
        <v>409</v>
      </c>
      <c r="N184" s="106"/>
      <c r="O184" s="106"/>
      <c r="P184" s="106"/>
      <c r="U184" s="69" t="s">
        <v>45</v>
      </c>
      <c r="W184" s="169"/>
      <c r="X184" s="93">
        <f>'Additional information'!$D$20</f>
        <v>0</v>
      </c>
      <c r="Y184" s="152" t="str">
        <f t="shared" si="13"/>
        <v/>
      </c>
      <c r="Z184" s="152" t="str">
        <f t="shared" si="19"/>
        <v/>
      </c>
      <c r="AA184" s="68"/>
    </row>
    <row r="185" spans="1:27" s="69" customFormat="1" x14ac:dyDescent="0.2">
      <c r="C185" s="70"/>
      <c r="D185" s="261"/>
      <c r="E185" s="71"/>
      <c r="H185" s="75"/>
      <c r="I185" s="106"/>
      <c r="J185" s="106"/>
      <c r="K185" s="106"/>
      <c r="L185" s="106"/>
      <c r="M185" s="106"/>
      <c r="N185" s="106"/>
      <c r="O185" s="106"/>
      <c r="P185" s="106"/>
      <c r="U185" s="69" t="s">
        <v>55</v>
      </c>
      <c r="W185" s="169" t="s">
        <v>55</v>
      </c>
      <c r="X185" s="93">
        <f>'Additional information'!$D$20</f>
        <v>0</v>
      </c>
      <c r="Y185" s="152" t="str">
        <f t="shared" si="13"/>
        <v/>
      </c>
      <c r="Z185" s="152" t="str">
        <f t="shared" si="19"/>
        <v/>
      </c>
      <c r="AA185" s="68"/>
    </row>
    <row r="186" spans="1:27" ht="16" thickBot="1" x14ac:dyDescent="0.25">
      <c r="A186" s="82" t="s">
        <v>103</v>
      </c>
      <c r="B186" s="82"/>
      <c r="C186" s="83"/>
      <c r="D186" s="83"/>
      <c r="E186" s="78"/>
      <c r="F186" s="82"/>
      <c r="G186" s="82"/>
      <c r="H186" s="79"/>
      <c r="I186" s="113"/>
      <c r="J186" s="113"/>
      <c r="K186" s="113"/>
      <c r="L186" s="113"/>
      <c r="M186" s="113"/>
      <c r="N186" s="113"/>
      <c r="O186" s="113"/>
      <c r="P186" s="113"/>
      <c r="W186" s="169" t="s">
        <v>55</v>
      </c>
      <c r="Y186" s="152" t="str">
        <f t="shared" si="13"/>
        <v/>
      </c>
      <c r="Z186" s="152" t="str">
        <f t="shared" si="19"/>
        <v/>
      </c>
    </row>
    <row r="187" spans="1:27" s="65" customFormat="1" ht="17" thickTop="1" x14ac:dyDescent="0.2">
      <c r="A187" s="62" t="s">
        <v>56</v>
      </c>
      <c r="B187" s="62" t="s">
        <v>410</v>
      </c>
      <c r="C187" s="80" t="s">
        <v>411</v>
      </c>
      <c r="D187" s="195" t="s">
        <v>412</v>
      </c>
      <c r="E187" s="63"/>
      <c r="F187" s="62"/>
      <c r="G187" s="62"/>
      <c r="H187" s="64"/>
      <c r="I187" s="108" t="s">
        <v>44</v>
      </c>
      <c r="J187" s="108"/>
      <c r="K187" s="108"/>
      <c r="L187" s="108"/>
      <c r="M187" s="108" t="s">
        <v>413</v>
      </c>
      <c r="N187" s="108"/>
      <c r="O187" s="108"/>
      <c r="P187" s="108"/>
      <c r="U187" s="40" t="s">
        <v>37</v>
      </c>
      <c r="W187" s="169"/>
      <c r="X187" s="66"/>
      <c r="Y187" s="152" t="str">
        <f t="shared" ref="Y187:Y245" si="20">IF(W187&lt;&gt;"",W187*X187,"")</f>
        <v/>
      </c>
      <c r="Z187" s="152" t="str">
        <f t="shared" si="19"/>
        <v/>
      </c>
      <c r="AA187" s="66"/>
    </row>
    <row r="188" spans="1:27" s="65" customFormat="1" x14ac:dyDescent="0.2">
      <c r="C188" s="81"/>
      <c r="D188" s="81"/>
      <c r="E188" s="63"/>
      <c r="H188" s="64"/>
      <c r="I188" s="109"/>
      <c r="J188" s="109"/>
      <c r="K188" s="109"/>
      <c r="L188" s="109"/>
      <c r="M188" s="109"/>
      <c r="N188" s="109"/>
      <c r="O188" s="109"/>
      <c r="P188" s="109"/>
      <c r="U188" s="40" t="s">
        <v>55</v>
      </c>
      <c r="W188" s="169" t="s">
        <v>55</v>
      </c>
      <c r="X188" s="93">
        <f>'Additional information'!$D$20</f>
        <v>0</v>
      </c>
      <c r="Y188" s="152" t="str">
        <f t="shared" si="20"/>
        <v/>
      </c>
      <c r="Z188" s="152" t="str">
        <f t="shared" si="19"/>
        <v/>
      </c>
      <c r="AA188" s="66"/>
    </row>
    <row r="189" spans="1:27" s="65" customFormat="1" ht="16" x14ac:dyDescent="0.2">
      <c r="A189" s="67" t="s">
        <v>414</v>
      </c>
      <c r="B189" s="67" t="s">
        <v>415</v>
      </c>
      <c r="C189" s="39" t="s">
        <v>416</v>
      </c>
      <c r="D189" s="39" t="s">
        <v>417</v>
      </c>
      <c r="E189" s="76"/>
      <c r="F189" s="67"/>
      <c r="G189" s="67"/>
      <c r="H189" s="77"/>
      <c r="I189" s="105" t="s">
        <v>36</v>
      </c>
      <c r="J189" s="108"/>
      <c r="K189" s="108"/>
      <c r="L189" s="108"/>
      <c r="M189" s="108"/>
      <c r="N189" s="108"/>
      <c r="O189" s="108"/>
      <c r="P189" s="108"/>
      <c r="U189" s="40" t="s">
        <v>37</v>
      </c>
      <c r="W189" s="169">
        <v>14.384955406188965</v>
      </c>
      <c r="X189" s="93">
        <f>'Additional information'!$D$20</f>
        <v>0</v>
      </c>
      <c r="Y189" s="152">
        <f t="shared" si="20"/>
        <v>0</v>
      </c>
      <c r="Z189" s="152">
        <f t="shared" si="19"/>
        <v>0</v>
      </c>
      <c r="AA189" s="66"/>
    </row>
    <row r="190" spans="1:27" x14ac:dyDescent="0.2">
      <c r="A190" s="67" t="s">
        <v>26</v>
      </c>
      <c r="B190" s="67" t="s">
        <v>418</v>
      </c>
      <c r="C190" s="39"/>
      <c r="D190" s="39"/>
      <c r="E190" s="76"/>
      <c r="F190" s="67"/>
      <c r="G190" s="67"/>
      <c r="H190" s="77"/>
      <c r="I190" s="105"/>
      <c r="J190" s="105"/>
      <c r="K190" s="105"/>
      <c r="L190" s="105"/>
      <c r="M190" s="105"/>
      <c r="N190" s="105"/>
      <c r="O190" s="105"/>
      <c r="P190" s="105" t="s">
        <v>419</v>
      </c>
      <c r="U190" s="40" t="s">
        <v>37</v>
      </c>
      <c r="W190" s="169"/>
      <c r="X190" s="93">
        <f>'Additional information'!$D$20</f>
        <v>0</v>
      </c>
      <c r="Y190" s="152" t="str">
        <f t="shared" si="20"/>
        <v/>
      </c>
      <c r="Z190" s="152" t="str">
        <f t="shared" si="19"/>
        <v/>
      </c>
    </row>
    <row r="191" spans="1:27" ht="16" x14ac:dyDescent="0.2">
      <c r="A191" s="67" t="s">
        <v>60</v>
      </c>
      <c r="B191" s="67" t="s">
        <v>420</v>
      </c>
      <c r="C191" s="73" t="s">
        <v>212</v>
      </c>
      <c r="D191" s="42" t="s">
        <v>213</v>
      </c>
      <c r="E191" s="84"/>
      <c r="F191" s="68" t="s">
        <v>214</v>
      </c>
      <c r="G191" s="68" t="s">
        <v>215</v>
      </c>
      <c r="H191" s="77"/>
      <c r="I191" s="105" t="s">
        <v>36</v>
      </c>
      <c r="J191" s="105"/>
      <c r="K191" s="105"/>
      <c r="L191" s="105"/>
      <c r="M191" s="107" t="s">
        <v>421</v>
      </c>
      <c r="N191" s="105"/>
      <c r="O191" s="105"/>
      <c r="P191" s="105"/>
      <c r="U191" s="40" t="s">
        <v>37</v>
      </c>
      <c r="W191" s="169"/>
      <c r="X191" s="93">
        <f>'Additional information'!$D$20</f>
        <v>0</v>
      </c>
      <c r="Y191" s="152" t="str">
        <f t="shared" si="20"/>
        <v/>
      </c>
      <c r="Z191" s="152" t="str">
        <f t="shared" si="19"/>
        <v/>
      </c>
    </row>
    <row r="192" spans="1:27" x14ac:dyDescent="0.2">
      <c r="D192" s="40"/>
      <c r="E192" s="76"/>
      <c r="H192" s="77"/>
      <c r="M192" s="114"/>
      <c r="U192" s="40" t="s">
        <v>55</v>
      </c>
      <c r="W192" s="169" t="s">
        <v>55</v>
      </c>
      <c r="X192" s="93">
        <f>'Additional information'!$D$20</f>
        <v>0</v>
      </c>
      <c r="Y192" s="152" t="str">
        <f t="shared" si="20"/>
        <v/>
      </c>
      <c r="Z192" s="152" t="str">
        <f t="shared" si="19"/>
        <v/>
      </c>
    </row>
    <row r="193" spans="1:27" ht="32" x14ac:dyDescent="0.2">
      <c r="A193" s="67" t="s">
        <v>108</v>
      </c>
      <c r="B193" s="67" t="s">
        <v>422</v>
      </c>
      <c r="C193" s="39" t="s">
        <v>423</v>
      </c>
      <c r="D193" s="39" t="s">
        <v>424</v>
      </c>
      <c r="E193" s="76"/>
      <c r="F193" s="67"/>
      <c r="G193" s="67"/>
      <c r="H193" s="77"/>
      <c r="I193" s="105" t="s">
        <v>36</v>
      </c>
      <c r="J193" s="105"/>
      <c r="K193" s="105"/>
      <c r="L193" s="105"/>
      <c r="M193" s="105"/>
      <c r="N193" s="105"/>
      <c r="O193" s="105"/>
      <c r="P193" s="105"/>
      <c r="U193" s="40" t="s">
        <v>37</v>
      </c>
      <c r="W193" s="169">
        <v>9.4380531311035156</v>
      </c>
      <c r="X193" s="93">
        <f>'Additional information'!$D$20</f>
        <v>0</v>
      </c>
      <c r="Y193" s="152">
        <f t="shared" si="20"/>
        <v>0</v>
      </c>
      <c r="Z193" s="152">
        <f t="shared" si="19"/>
        <v>0</v>
      </c>
    </row>
    <row r="194" spans="1:27" ht="16" x14ac:dyDescent="0.2">
      <c r="A194" s="67" t="s">
        <v>425</v>
      </c>
      <c r="B194" s="67" t="s">
        <v>426</v>
      </c>
      <c r="C194" s="39" t="s">
        <v>427</v>
      </c>
      <c r="D194" s="39" t="s">
        <v>428</v>
      </c>
      <c r="E194" s="76"/>
      <c r="F194" s="67" t="s">
        <v>210</v>
      </c>
      <c r="G194" s="40" t="s">
        <v>211</v>
      </c>
      <c r="H194" s="77"/>
      <c r="I194" s="105" t="s">
        <v>36</v>
      </c>
      <c r="J194" s="105"/>
      <c r="K194" s="107" t="s">
        <v>300</v>
      </c>
      <c r="L194" s="105"/>
      <c r="M194" s="107" t="s">
        <v>429</v>
      </c>
      <c r="N194" s="105"/>
      <c r="O194" s="105"/>
      <c r="P194" s="105"/>
      <c r="U194" s="40" t="s">
        <v>37</v>
      </c>
      <c r="W194" s="169">
        <v>27.766990661621094</v>
      </c>
      <c r="X194" s="93">
        <f>'Additional information'!$D$20</f>
        <v>0</v>
      </c>
      <c r="Y194" s="152">
        <f t="shared" si="20"/>
        <v>0</v>
      </c>
      <c r="Z194" s="152">
        <f t="shared" si="19"/>
        <v>0</v>
      </c>
    </row>
    <row r="195" spans="1:27" ht="16" x14ac:dyDescent="0.2">
      <c r="A195" s="67" t="s">
        <v>60</v>
      </c>
      <c r="B195" s="67" t="s">
        <v>430</v>
      </c>
      <c r="C195" s="73" t="s">
        <v>212</v>
      </c>
      <c r="D195" s="42" t="s">
        <v>213</v>
      </c>
      <c r="E195" s="84"/>
      <c r="F195" s="68" t="s">
        <v>214</v>
      </c>
      <c r="G195" s="68" t="s">
        <v>215</v>
      </c>
      <c r="H195" s="77"/>
      <c r="I195" s="105" t="s">
        <v>36</v>
      </c>
      <c r="J195" s="105"/>
      <c r="K195" s="105"/>
      <c r="L195" s="105"/>
      <c r="M195" s="107" t="s">
        <v>431</v>
      </c>
      <c r="N195" s="105"/>
      <c r="O195" s="105"/>
      <c r="P195" s="105"/>
      <c r="U195" s="40" t="s">
        <v>37</v>
      </c>
      <c r="W195" s="169"/>
      <c r="X195" s="93">
        <f>'Additional information'!$D$20</f>
        <v>0</v>
      </c>
      <c r="Y195" s="152" t="str">
        <f t="shared" si="20"/>
        <v/>
      </c>
      <c r="Z195" s="152" t="str">
        <f t="shared" si="19"/>
        <v/>
      </c>
    </row>
    <row r="196" spans="1:27" x14ac:dyDescent="0.2">
      <c r="E196" s="76"/>
      <c r="H196" s="77"/>
      <c r="M196" s="114"/>
      <c r="U196" s="40" t="s">
        <v>55</v>
      </c>
      <c r="W196" s="169" t="s">
        <v>55</v>
      </c>
      <c r="X196" s="93">
        <f>'Additional information'!$D$20</f>
        <v>0</v>
      </c>
      <c r="Y196" s="152" t="str">
        <f t="shared" si="20"/>
        <v/>
      </c>
      <c r="Z196" s="152" t="str">
        <f t="shared" si="19"/>
        <v/>
      </c>
    </row>
    <row r="197" spans="1:27" ht="32" x14ac:dyDescent="0.2">
      <c r="A197" s="67" t="s">
        <v>164</v>
      </c>
      <c r="B197" s="67" t="s">
        <v>432</v>
      </c>
      <c r="C197" s="73" t="s">
        <v>2234</v>
      </c>
      <c r="D197" s="286" t="s">
        <v>2240</v>
      </c>
      <c r="E197" s="76"/>
      <c r="F197" s="67" t="s">
        <v>303</v>
      </c>
      <c r="G197" s="92" t="s">
        <v>377</v>
      </c>
      <c r="H197" s="77"/>
      <c r="I197" s="105" t="s">
        <v>36</v>
      </c>
      <c r="J197" s="105"/>
      <c r="K197" s="105"/>
      <c r="L197" s="105"/>
      <c r="M197" s="107"/>
      <c r="N197" s="105"/>
      <c r="O197" s="105"/>
      <c r="P197" s="105"/>
      <c r="U197" s="40" t="s">
        <v>37</v>
      </c>
      <c r="W197" s="169">
        <v>13.705752372741699</v>
      </c>
      <c r="X197" s="93">
        <f>'Additional information'!$D$20</f>
        <v>0</v>
      </c>
      <c r="Y197" s="152">
        <f t="shared" si="20"/>
        <v>0</v>
      </c>
      <c r="Z197" s="152">
        <f t="shared" si="19"/>
        <v>0</v>
      </c>
    </row>
    <row r="198" spans="1:27" x14ac:dyDescent="0.2">
      <c r="C198" s="42"/>
      <c r="D198" s="42"/>
      <c r="E198" s="76"/>
      <c r="H198" s="77"/>
      <c r="M198" s="114"/>
      <c r="U198" s="40" t="s">
        <v>55</v>
      </c>
      <c r="W198" s="169" t="s">
        <v>55</v>
      </c>
      <c r="X198" s="93">
        <f>'Additional information'!$D$20</f>
        <v>0</v>
      </c>
      <c r="Y198" s="152" t="str">
        <f t="shared" si="20"/>
        <v/>
      </c>
      <c r="Z198" s="152" t="str">
        <f t="shared" si="19"/>
        <v/>
      </c>
    </row>
    <row r="199" spans="1:27" ht="16" thickBot="1" x14ac:dyDescent="0.25">
      <c r="A199" s="87" t="s">
        <v>103</v>
      </c>
      <c r="B199" s="87"/>
      <c r="C199" s="88"/>
      <c r="D199" s="88"/>
      <c r="E199" s="97"/>
      <c r="F199" s="87"/>
      <c r="G199" s="87"/>
      <c r="H199" s="98"/>
      <c r="I199" s="115"/>
      <c r="J199" s="115"/>
      <c r="K199" s="115"/>
      <c r="L199" s="115"/>
      <c r="M199" s="115"/>
      <c r="N199" s="115"/>
      <c r="O199" s="115"/>
      <c r="P199" s="115"/>
      <c r="W199" s="169" t="s">
        <v>55</v>
      </c>
      <c r="Y199" s="152" t="str">
        <f t="shared" si="20"/>
        <v/>
      </c>
      <c r="Z199" s="152" t="str">
        <f t="shared" ref="Z199:Z233" si="21">IF(AND(W199&lt;&gt;"",U199="yes"),W199*X199,"")</f>
        <v/>
      </c>
    </row>
    <row r="200" spans="1:27" s="65" customFormat="1" ht="17" thickTop="1" x14ac:dyDescent="0.2">
      <c r="A200" s="62" t="s">
        <v>56</v>
      </c>
      <c r="B200" s="62" t="s">
        <v>433</v>
      </c>
      <c r="C200" s="80" t="s">
        <v>434</v>
      </c>
      <c r="D200" s="195" t="s">
        <v>435</v>
      </c>
      <c r="E200" s="63"/>
      <c r="F200" s="62"/>
      <c r="G200" s="62"/>
      <c r="H200" s="64"/>
      <c r="I200" s="108" t="s">
        <v>44</v>
      </c>
      <c r="J200" s="108"/>
      <c r="K200" s="108"/>
      <c r="L200" s="108"/>
      <c r="M200" s="108" t="s">
        <v>107</v>
      </c>
      <c r="N200" s="108"/>
      <c r="O200" s="108"/>
      <c r="P200" s="108"/>
      <c r="U200" s="40" t="s">
        <v>37</v>
      </c>
      <c r="W200" s="169"/>
      <c r="X200" s="66"/>
      <c r="Y200" s="152" t="str">
        <f t="shared" si="20"/>
        <v/>
      </c>
      <c r="Z200" s="152" t="str">
        <f t="shared" si="21"/>
        <v/>
      </c>
      <c r="AA200" s="66"/>
    </row>
    <row r="201" spans="1:27" x14ac:dyDescent="0.2">
      <c r="C201" s="42"/>
      <c r="D201" s="42"/>
      <c r="E201" s="76"/>
      <c r="H201" s="77"/>
      <c r="M201" s="114"/>
      <c r="U201" s="40" t="s">
        <v>55</v>
      </c>
      <c r="W201" s="169" t="s">
        <v>55</v>
      </c>
      <c r="X201" s="93">
        <v>1</v>
      </c>
      <c r="Y201" s="152" t="str">
        <f t="shared" si="20"/>
        <v/>
      </c>
      <c r="Z201" s="152" t="str">
        <f t="shared" si="21"/>
        <v/>
      </c>
    </row>
    <row r="202" spans="1:27" s="65" customFormat="1" ht="32" x14ac:dyDescent="0.2">
      <c r="A202" s="67" t="s">
        <v>40</v>
      </c>
      <c r="B202" s="67" t="s">
        <v>436</v>
      </c>
      <c r="C202" s="39" t="s">
        <v>437</v>
      </c>
      <c r="D202" s="269" t="s">
        <v>438</v>
      </c>
      <c r="E202" s="63"/>
      <c r="H202" s="64"/>
      <c r="I202" s="108"/>
      <c r="J202" s="108"/>
      <c r="K202" s="108"/>
      <c r="L202" s="108"/>
      <c r="M202" s="108"/>
      <c r="N202" s="108"/>
      <c r="O202" s="108"/>
      <c r="P202" s="108"/>
      <c r="U202" s="40" t="s">
        <v>45</v>
      </c>
      <c r="W202" s="169"/>
      <c r="X202" s="94">
        <v>1</v>
      </c>
      <c r="Y202" s="152" t="str">
        <f t="shared" si="20"/>
        <v/>
      </c>
      <c r="Z202" s="152" t="str">
        <f t="shared" si="21"/>
        <v/>
      </c>
      <c r="AA202" s="66"/>
    </row>
    <row r="203" spans="1:27" x14ac:dyDescent="0.2">
      <c r="C203" s="42"/>
      <c r="D203" s="42"/>
      <c r="E203" s="76"/>
      <c r="H203" s="77"/>
      <c r="M203" s="114"/>
      <c r="W203" s="169" t="s">
        <v>55</v>
      </c>
      <c r="X203" s="93">
        <v>1</v>
      </c>
      <c r="Y203" s="152" t="str">
        <f t="shared" si="20"/>
        <v/>
      </c>
      <c r="Z203" s="152" t="str">
        <f t="shared" si="21"/>
        <v/>
      </c>
    </row>
    <row r="204" spans="1:27" s="65" customFormat="1" ht="16" x14ac:dyDescent="0.2">
      <c r="A204" s="67" t="s">
        <v>56</v>
      </c>
      <c r="B204" s="67" t="s">
        <v>439</v>
      </c>
      <c r="C204" s="80" t="s">
        <v>440</v>
      </c>
      <c r="D204" s="6"/>
      <c r="E204" s="63"/>
      <c r="F204" s="62"/>
      <c r="G204" s="62"/>
      <c r="H204" s="64"/>
      <c r="I204" s="108"/>
      <c r="J204" s="108"/>
      <c r="K204" s="108"/>
      <c r="L204" s="108"/>
      <c r="M204" s="108"/>
      <c r="N204" s="108"/>
      <c r="O204" s="108"/>
      <c r="P204" s="108"/>
      <c r="U204" s="40"/>
      <c r="W204" s="169"/>
      <c r="X204" s="94">
        <v>1</v>
      </c>
      <c r="Y204" s="152" t="str">
        <f t="shared" si="20"/>
        <v/>
      </c>
      <c r="Z204" s="152" t="str">
        <f t="shared" si="21"/>
        <v/>
      </c>
      <c r="AA204" s="66"/>
    </row>
    <row r="205" spans="1:27" ht="32" x14ac:dyDescent="0.2">
      <c r="A205" s="67" t="s">
        <v>40</v>
      </c>
      <c r="B205" s="67" t="s">
        <v>441</v>
      </c>
      <c r="C205" s="39" t="s">
        <v>442</v>
      </c>
      <c r="D205" s="39" t="s">
        <v>443</v>
      </c>
      <c r="E205" s="76"/>
      <c r="F205" s="67"/>
      <c r="G205" s="67"/>
      <c r="H205" s="77"/>
      <c r="I205" s="105" t="s">
        <v>44</v>
      </c>
      <c r="J205" s="105"/>
      <c r="K205" s="105"/>
      <c r="L205" s="105"/>
      <c r="M205" s="105"/>
      <c r="N205" s="105"/>
      <c r="O205" s="105"/>
      <c r="P205" s="105"/>
      <c r="U205" s="40" t="s">
        <v>37</v>
      </c>
      <c r="W205" s="169">
        <v>12.77690315246582</v>
      </c>
      <c r="X205" s="94">
        <v>1</v>
      </c>
      <c r="Y205" s="152">
        <f t="shared" si="20"/>
        <v>12.77690315246582</v>
      </c>
      <c r="Z205" s="152">
        <f t="shared" si="21"/>
        <v>12.77690315246582</v>
      </c>
    </row>
    <row r="206" spans="1:27" ht="32" x14ac:dyDescent="0.2">
      <c r="A206" s="67" t="s">
        <v>108</v>
      </c>
      <c r="B206" s="67" t="s">
        <v>444</v>
      </c>
      <c r="C206" s="39" t="s">
        <v>445</v>
      </c>
      <c r="D206" s="287" t="s">
        <v>446</v>
      </c>
      <c r="E206" s="76"/>
      <c r="F206" s="67"/>
      <c r="G206" s="67"/>
      <c r="H206" s="77"/>
      <c r="I206" s="105" t="s">
        <v>36</v>
      </c>
      <c r="J206" s="105"/>
      <c r="K206" s="105"/>
      <c r="L206" s="105"/>
      <c r="M206" s="105"/>
      <c r="N206" s="105"/>
      <c r="O206" s="105"/>
      <c r="P206" s="105"/>
      <c r="U206" s="40" t="s">
        <v>37</v>
      </c>
      <c r="W206" s="169">
        <v>21.398605346679688</v>
      </c>
      <c r="X206" s="94">
        <v>1</v>
      </c>
      <c r="Y206" s="152">
        <f t="shared" si="20"/>
        <v>21.398605346679688</v>
      </c>
      <c r="Z206" s="152">
        <f t="shared" si="21"/>
        <v>21.398605346679688</v>
      </c>
    </row>
    <row r="207" spans="1:27" ht="32" x14ac:dyDescent="0.2">
      <c r="A207" s="67" t="s">
        <v>108</v>
      </c>
      <c r="B207" s="67" t="s">
        <v>447</v>
      </c>
      <c r="C207" s="39" t="s">
        <v>448</v>
      </c>
      <c r="D207" s="287" t="s">
        <v>449</v>
      </c>
      <c r="E207" s="76"/>
      <c r="F207" s="67"/>
      <c r="G207" s="67"/>
      <c r="H207" s="77"/>
      <c r="I207" s="105" t="s">
        <v>36</v>
      </c>
      <c r="J207" s="105"/>
      <c r="K207" s="105"/>
      <c r="L207" s="105"/>
      <c r="M207" s="105"/>
      <c r="N207" s="105"/>
      <c r="O207" s="105"/>
      <c r="P207" s="105"/>
      <c r="U207" s="40" t="s">
        <v>37</v>
      </c>
      <c r="W207" s="169">
        <v>14.980740547180176</v>
      </c>
      <c r="X207" s="94">
        <v>1</v>
      </c>
      <c r="Y207" s="152">
        <f t="shared" si="20"/>
        <v>14.980740547180176</v>
      </c>
      <c r="Z207" s="152">
        <f t="shared" si="21"/>
        <v>14.980740547180176</v>
      </c>
    </row>
    <row r="208" spans="1:27" ht="32" x14ac:dyDescent="0.2">
      <c r="A208" s="67" t="s">
        <v>108</v>
      </c>
      <c r="B208" s="67" t="s">
        <v>450</v>
      </c>
      <c r="C208" s="39" t="s">
        <v>451</v>
      </c>
      <c r="D208" s="287" t="s">
        <v>452</v>
      </c>
      <c r="E208" s="76"/>
      <c r="F208" s="67"/>
      <c r="G208" s="67"/>
      <c r="H208" s="77"/>
      <c r="I208" s="105" t="s">
        <v>36</v>
      </c>
      <c r="J208" s="105"/>
      <c r="K208" s="105"/>
      <c r="L208" s="105"/>
      <c r="M208" s="105"/>
      <c r="N208" s="105"/>
      <c r="O208" s="105"/>
      <c r="P208" s="105"/>
      <c r="U208" s="40" t="s">
        <v>37</v>
      </c>
      <c r="W208" s="169">
        <v>13.723021507263184</v>
      </c>
      <c r="X208" s="94">
        <v>1</v>
      </c>
      <c r="Y208" s="152">
        <f t="shared" si="20"/>
        <v>13.723021507263184</v>
      </c>
      <c r="Z208" s="152">
        <f t="shared" si="21"/>
        <v>13.723021507263184</v>
      </c>
    </row>
    <row r="209" spans="1:27" ht="32" x14ac:dyDescent="0.2">
      <c r="A209" s="67" t="s">
        <v>108</v>
      </c>
      <c r="B209" s="67" t="s">
        <v>453</v>
      </c>
      <c r="C209" s="39" t="s">
        <v>454</v>
      </c>
      <c r="D209" s="287" t="s">
        <v>455</v>
      </c>
      <c r="E209" s="76"/>
      <c r="F209" s="67"/>
      <c r="G209" s="67"/>
      <c r="H209" s="77"/>
      <c r="I209" s="105" t="s">
        <v>36</v>
      </c>
      <c r="J209" s="105"/>
      <c r="K209" s="105"/>
      <c r="L209" s="105"/>
      <c r="M209" s="105"/>
      <c r="N209" s="105"/>
      <c r="O209" s="105"/>
      <c r="P209" s="105"/>
      <c r="U209" s="40" t="s">
        <v>37</v>
      </c>
      <c r="W209" s="169">
        <v>13.062200546264648</v>
      </c>
      <c r="X209" s="94">
        <v>1</v>
      </c>
      <c r="Y209" s="152">
        <f t="shared" si="20"/>
        <v>13.062200546264648</v>
      </c>
      <c r="Z209" s="152">
        <f t="shared" si="21"/>
        <v>13.062200546264648</v>
      </c>
    </row>
    <row r="210" spans="1:27" ht="32" x14ac:dyDescent="0.2">
      <c r="A210" s="67" t="s">
        <v>108</v>
      </c>
      <c r="B210" s="67" t="s">
        <v>456</v>
      </c>
      <c r="C210" s="39" t="s">
        <v>457</v>
      </c>
      <c r="D210" s="287" t="s">
        <v>458</v>
      </c>
      <c r="E210" s="76"/>
      <c r="F210" s="67"/>
      <c r="G210" s="67"/>
      <c r="H210" s="77"/>
      <c r="I210" s="105" t="s">
        <v>36</v>
      </c>
      <c r="J210" s="105"/>
      <c r="K210" s="105"/>
      <c r="L210" s="105"/>
      <c r="M210" s="105"/>
      <c r="N210" s="105"/>
      <c r="O210" s="105"/>
      <c r="P210" s="105"/>
      <c r="U210" s="40" t="s">
        <v>37</v>
      </c>
      <c r="W210" s="169">
        <v>13.09532356262207</v>
      </c>
      <c r="X210" s="94">
        <v>1</v>
      </c>
      <c r="Y210" s="152">
        <f t="shared" si="20"/>
        <v>13.09532356262207</v>
      </c>
      <c r="Z210" s="152">
        <f t="shared" si="21"/>
        <v>13.09532356262207</v>
      </c>
    </row>
    <row r="211" spans="1:27" ht="32" x14ac:dyDescent="0.2">
      <c r="A211" s="67" t="s">
        <v>108</v>
      </c>
      <c r="B211" s="67" t="s">
        <v>459</v>
      </c>
      <c r="C211" s="39" t="s">
        <v>460</v>
      </c>
      <c r="D211" s="288" t="s">
        <v>461</v>
      </c>
      <c r="E211" s="76"/>
      <c r="F211" s="67"/>
      <c r="G211" s="67"/>
      <c r="H211" s="77"/>
      <c r="I211" s="105" t="s">
        <v>36</v>
      </c>
      <c r="J211" s="105"/>
      <c r="K211" s="105"/>
      <c r="L211" s="105"/>
      <c r="M211" s="105"/>
      <c r="N211" s="105"/>
      <c r="O211" s="105"/>
      <c r="P211" s="105"/>
      <c r="U211" s="40" t="s">
        <v>37</v>
      </c>
      <c r="W211" s="169">
        <v>16.101019184652277</v>
      </c>
      <c r="X211" s="94">
        <v>1</v>
      </c>
      <c r="Y211" s="152">
        <f t="shared" si="20"/>
        <v>16.101019184652277</v>
      </c>
      <c r="Z211" s="152">
        <f t="shared" si="21"/>
        <v>16.101019184652277</v>
      </c>
    </row>
    <row r="212" spans="1:27" s="68" customFormat="1" ht="16" x14ac:dyDescent="0.2">
      <c r="A212" s="72" t="s">
        <v>462</v>
      </c>
      <c r="B212" s="72" t="s">
        <v>463</v>
      </c>
      <c r="C212" s="73" t="s">
        <v>464</v>
      </c>
      <c r="D212" s="265" t="s">
        <v>465</v>
      </c>
      <c r="E212" s="84"/>
      <c r="F212" s="72"/>
      <c r="G212" s="72"/>
      <c r="H212" s="86"/>
      <c r="I212" s="107" t="s">
        <v>36</v>
      </c>
      <c r="J212" s="107"/>
      <c r="K212" s="107"/>
      <c r="L212" s="107"/>
      <c r="M212" s="107" t="s">
        <v>466</v>
      </c>
      <c r="N212" s="107"/>
      <c r="O212" s="107"/>
      <c r="P212" s="107"/>
      <c r="U212" s="68" t="s">
        <v>37</v>
      </c>
      <c r="W212" s="169">
        <v>11.765043258666992</v>
      </c>
      <c r="X212" s="94">
        <v>1</v>
      </c>
      <c r="Y212" s="152">
        <f t="shared" si="20"/>
        <v>11.765043258666992</v>
      </c>
      <c r="Z212" s="152">
        <f t="shared" si="21"/>
        <v>11.765043258666992</v>
      </c>
    </row>
    <row r="213" spans="1:27" s="68" customFormat="1" ht="32" x14ac:dyDescent="0.2">
      <c r="A213" s="72" t="s">
        <v>108</v>
      </c>
      <c r="B213" s="72" t="s">
        <v>467</v>
      </c>
      <c r="C213" s="73" t="s">
        <v>468</v>
      </c>
      <c r="D213" s="288" t="s">
        <v>469</v>
      </c>
      <c r="E213" s="84"/>
      <c r="F213" s="72"/>
      <c r="G213" s="72"/>
      <c r="H213" s="86"/>
      <c r="I213" s="107" t="s">
        <v>36</v>
      </c>
      <c r="J213" s="107"/>
      <c r="K213" s="107"/>
      <c r="L213" s="107"/>
      <c r="M213" s="107"/>
      <c r="N213" s="107"/>
      <c r="O213" s="107"/>
      <c r="P213" s="107"/>
      <c r="U213" s="68" t="s">
        <v>37</v>
      </c>
      <c r="W213" s="169">
        <v>12.432478904724121</v>
      </c>
      <c r="X213" s="94">
        <v>1</v>
      </c>
      <c r="Y213" s="152">
        <f t="shared" si="20"/>
        <v>12.432478904724121</v>
      </c>
      <c r="Z213" s="152">
        <f t="shared" si="21"/>
        <v>12.432478904724121</v>
      </c>
    </row>
    <row r="214" spans="1:27" s="68" customFormat="1" ht="16" x14ac:dyDescent="0.2">
      <c r="A214" s="72" t="s">
        <v>462</v>
      </c>
      <c r="B214" s="72" t="s">
        <v>470</v>
      </c>
      <c r="C214" s="73" t="s">
        <v>464</v>
      </c>
      <c r="D214" s="265" t="s">
        <v>465</v>
      </c>
      <c r="E214" s="84"/>
      <c r="F214" s="72"/>
      <c r="G214" s="72"/>
      <c r="H214" s="86"/>
      <c r="I214" s="107" t="s">
        <v>36</v>
      </c>
      <c r="J214" s="107"/>
      <c r="K214" s="107"/>
      <c r="L214" s="107"/>
      <c r="M214" s="107" t="s">
        <v>471</v>
      </c>
      <c r="N214" s="107"/>
      <c r="O214" s="107"/>
      <c r="P214" s="107"/>
      <c r="U214" s="68" t="s">
        <v>37</v>
      </c>
      <c r="W214" s="169">
        <v>8.9801836013793945</v>
      </c>
      <c r="X214" s="94">
        <v>1</v>
      </c>
      <c r="Y214" s="152">
        <f t="shared" si="20"/>
        <v>8.9801836013793945</v>
      </c>
      <c r="Z214" s="152">
        <f t="shared" si="21"/>
        <v>8.9801836013793945</v>
      </c>
    </row>
    <row r="215" spans="1:27" s="68" customFormat="1" ht="32" x14ac:dyDescent="0.2">
      <c r="A215" s="72" t="s">
        <v>108</v>
      </c>
      <c r="B215" s="72" t="s">
        <v>472</v>
      </c>
      <c r="C215" s="73" t="s">
        <v>473</v>
      </c>
      <c r="D215" s="288" t="s">
        <v>474</v>
      </c>
      <c r="E215" s="84"/>
      <c r="F215" s="72"/>
      <c r="G215" s="72"/>
      <c r="H215" s="86"/>
      <c r="I215" s="107" t="s">
        <v>36</v>
      </c>
      <c r="J215" s="107"/>
      <c r="K215" s="107"/>
      <c r="L215" s="107"/>
      <c r="M215" s="107"/>
      <c r="N215" s="107"/>
      <c r="O215" s="107"/>
      <c r="P215" s="107"/>
      <c r="U215" s="68" t="s">
        <v>37</v>
      </c>
      <c r="W215" s="169">
        <v>11.089328765869141</v>
      </c>
      <c r="X215" s="94">
        <v>1</v>
      </c>
      <c r="Y215" s="152">
        <f t="shared" si="20"/>
        <v>11.089328765869141</v>
      </c>
      <c r="Z215" s="152">
        <f t="shared" si="21"/>
        <v>11.089328765869141</v>
      </c>
    </row>
    <row r="216" spans="1:27" s="68" customFormat="1" ht="16" x14ac:dyDescent="0.2">
      <c r="A216" s="72" t="s">
        <v>462</v>
      </c>
      <c r="B216" s="72" t="s">
        <v>475</v>
      </c>
      <c r="C216" s="73" t="s">
        <v>464</v>
      </c>
      <c r="D216" s="265" t="s">
        <v>465</v>
      </c>
      <c r="E216" s="84"/>
      <c r="F216" s="72"/>
      <c r="G216" s="72"/>
      <c r="H216" s="86"/>
      <c r="I216" s="107" t="s">
        <v>36</v>
      </c>
      <c r="J216" s="107"/>
      <c r="K216" s="107"/>
      <c r="L216" s="107"/>
      <c r="M216" s="107" t="s">
        <v>476</v>
      </c>
      <c r="N216" s="107"/>
      <c r="O216" s="107"/>
      <c r="P216" s="107"/>
      <c r="U216" s="68" t="s">
        <v>37</v>
      </c>
      <c r="W216" s="169">
        <v>8.0683355331420898</v>
      </c>
      <c r="X216" s="94">
        <v>1</v>
      </c>
      <c r="Y216" s="152">
        <f t="shared" si="20"/>
        <v>8.0683355331420898</v>
      </c>
      <c r="Z216" s="152">
        <f t="shared" si="21"/>
        <v>8.0683355331420898</v>
      </c>
    </row>
    <row r="217" spans="1:27" x14ac:dyDescent="0.2">
      <c r="A217" s="72" t="s">
        <v>103</v>
      </c>
      <c r="B217" s="72"/>
      <c r="C217" s="39"/>
      <c r="D217" s="39"/>
      <c r="E217" s="76"/>
      <c r="F217" s="67"/>
      <c r="G217" s="67"/>
      <c r="H217" s="77"/>
      <c r="I217" s="105"/>
      <c r="J217" s="105"/>
      <c r="K217" s="105"/>
      <c r="L217" s="105"/>
      <c r="M217" s="105"/>
      <c r="N217" s="105"/>
      <c r="O217" s="105"/>
      <c r="P217" s="105"/>
      <c r="U217" s="40" t="s">
        <v>55</v>
      </c>
      <c r="W217" s="169" t="s">
        <v>55</v>
      </c>
      <c r="X217" s="94">
        <v>1</v>
      </c>
      <c r="Y217" s="152" t="str">
        <f t="shared" si="20"/>
        <v/>
      </c>
      <c r="Z217" s="152" t="str">
        <f t="shared" si="21"/>
        <v/>
      </c>
    </row>
    <row r="218" spans="1:27" x14ac:dyDescent="0.2">
      <c r="A218" s="68"/>
      <c r="B218" s="68"/>
      <c r="E218" s="76"/>
      <c r="H218" s="77"/>
      <c r="U218" s="40" t="s">
        <v>55</v>
      </c>
      <c r="W218" s="169" t="s">
        <v>55</v>
      </c>
      <c r="X218" s="94">
        <v>1</v>
      </c>
      <c r="Y218" s="152" t="str">
        <f t="shared" si="20"/>
        <v/>
      </c>
      <c r="Z218" s="152" t="str">
        <f t="shared" si="21"/>
        <v/>
      </c>
    </row>
    <row r="219" spans="1:27" s="69" customFormat="1" ht="16" x14ac:dyDescent="0.2">
      <c r="A219" s="69" t="s">
        <v>56</v>
      </c>
      <c r="B219" s="69" t="s">
        <v>477</v>
      </c>
      <c r="C219" s="147" t="s">
        <v>478</v>
      </c>
      <c r="D219" s="147"/>
      <c r="E219" s="71"/>
      <c r="H219" s="75"/>
      <c r="I219" s="106"/>
      <c r="J219" s="106" t="s">
        <v>479</v>
      </c>
      <c r="K219" s="106"/>
      <c r="L219" s="106"/>
      <c r="M219" s="106"/>
      <c r="N219" s="106"/>
      <c r="O219" s="106"/>
      <c r="P219" s="106"/>
      <c r="W219" s="173"/>
      <c r="X219" s="148">
        <v>1</v>
      </c>
      <c r="Y219" s="156" t="str">
        <f t="shared" si="20"/>
        <v/>
      </c>
      <c r="Z219" s="156" t="str">
        <f t="shared" si="21"/>
        <v/>
      </c>
    </row>
    <row r="220" spans="1:27" s="69" customFormat="1" ht="72" customHeight="1" x14ac:dyDescent="0.2">
      <c r="A220" s="69" t="s">
        <v>40</v>
      </c>
      <c r="B220" s="69" t="s">
        <v>1777</v>
      </c>
      <c r="C220" s="70" t="s">
        <v>1778</v>
      </c>
      <c r="D220" s="275" t="s">
        <v>1779</v>
      </c>
      <c r="E220" s="71"/>
      <c r="H220" s="75"/>
      <c r="I220" s="106"/>
      <c r="J220" s="106"/>
      <c r="K220" s="106"/>
      <c r="L220" s="106"/>
      <c r="M220" s="106"/>
      <c r="N220" s="106"/>
      <c r="O220" s="106"/>
      <c r="P220" s="106"/>
      <c r="U220" s="69" t="s">
        <v>45</v>
      </c>
      <c r="W220" s="173">
        <v>5.7112536430358887</v>
      </c>
      <c r="X220" s="148">
        <v>1</v>
      </c>
      <c r="Y220" s="156">
        <f t="shared" si="20"/>
        <v>5.7112536430358887</v>
      </c>
      <c r="Z220" s="156" t="str">
        <f t="shared" si="21"/>
        <v/>
      </c>
    </row>
    <row r="221" spans="1:27" s="149" customFormat="1" ht="16.5" customHeight="1" x14ac:dyDescent="0.2">
      <c r="A221" s="69" t="s">
        <v>480</v>
      </c>
      <c r="B221" s="69" t="s">
        <v>481</v>
      </c>
      <c r="C221" s="70" t="s">
        <v>482</v>
      </c>
      <c r="D221" s="261" t="s">
        <v>483</v>
      </c>
      <c r="E221" s="95"/>
      <c r="H221" s="96"/>
      <c r="I221" s="106" t="s">
        <v>36</v>
      </c>
      <c r="J221" s="150"/>
      <c r="K221" s="150"/>
      <c r="L221" s="150"/>
      <c r="M221" s="150"/>
      <c r="N221" s="150"/>
      <c r="O221" s="150"/>
      <c r="P221" s="150"/>
      <c r="U221" s="69" t="s">
        <v>45</v>
      </c>
      <c r="W221" s="169">
        <v>19.851530075073239</v>
      </c>
      <c r="X221" s="94">
        <v>1</v>
      </c>
      <c r="Y221" s="152">
        <f t="shared" si="20"/>
        <v>19.851530075073239</v>
      </c>
      <c r="Z221" s="152" t="str">
        <f t="shared" si="21"/>
        <v/>
      </c>
      <c r="AA221" s="68"/>
    </row>
    <row r="222" spans="1:27" s="149" customFormat="1" ht="16.5" customHeight="1" x14ac:dyDescent="0.2">
      <c r="A222" s="69" t="s">
        <v>480</v>
      </c>
      <c r="B222" s="69" t="s">
        <v>484</v>
      </c>
      <c r="C222" s="70" t="s">
        <v>485</v>
      </c>
      <c r="D222" s="70" t="s">
        <v>486</v>
      </c>
      <c r="E222" s="95"/>
      <c r="H222" s="96"/>
      <c r="I222" s="106" t="s">
        <v>36</v>
      </c>
      <c r="J222" s="150"/>
      <c r="K222" s="150"/>
      <c r="L222" s="150"/>
      <c r="M222" s="150"/>
      <c r="N222" s="150"/>
      <c r="O222" s="150"/>
      <c r="P222" s="150"/>
      <c r="U222" s="69" t="s">
        <v>45</v>
      </c>
      <c r="W222" s="169">
        <v>15.436671257019039</v>
      </c>
      <c r="X222" s="94">
        <v>1</v>
      </c>
      <c r="Y222" s="152">
        <f t="shared" si="20"/>
        <v>15.436671257019039</v>
      </c>
      <c r="Z222" s="152" t="str">
        <f t="shared" si="21"/>
        <v/>
      </c>
      <c r="AA222" s="68"/>
    </row>
    <row r="223" spans="1:27" s="149" customFormat="1" ht="16.5" customHeight="1" x14ac:dyDescent="0.2">
      <c r="A223" s="69" t="s">
        <v>480</v>
      </c>
      <c r="B223" s="69" t="s">
        <v>487</v>
      </c>
      <c r="C223" s="70" t="s">
        <v>488</v>
      </c>
      <c r="D223" s="70" t="s">
        <v>489</v>
      </c>
      <c r="E223" s="95"/>
      <c r="H223" s="96"/>
      <c r="I223" s="106" t="s">
        <v>36</v>
      </c>
      <c r="J223" s="150"/>
      <c r="K223" s="150"/>
      <c r="L223" s="150"/>
      <c r="M223" s="150"/>
      <c r="N223" s="150"/>
      <c r="O223" s="150"/>
      <c r="P223" s="150"/>
      <c r="U223" s="69" t="s">
        <v>45</v>
      </c>
      <c r="W223" s="169">
        <v>13.39993858337402</v>
      </c>
      <c r="X223" s="94">
        <v>1</v>
      </c>
      <c r="Y223" s="152">
        <f t="shared" si="20"/>
        <v>13.39993858337402</v>
      </c>
      <c r="Z223" s="152" t="str">
        <f t="shared" si="21"/>
        <v/>
      </c>
      <c r="AA223" s="68"/>
    </row>
    <row r="224" spans="1:27" s="149" customFormat="1" ht="16.5" customHeight="1" x14ac:dyDescent="0.2">
      <c r="A224" s="69" t="s">
        <v>480</v>
      </c>
      <c r="B224" s="69" t="s">
        <v>490</v>
      </c>
      <c r="C224" s="70" t="s">
        <v>491</v>
      </c>
      <c r="D224" s="276" t="s">
        <v>492</v>
      </c>
      <c r="E224" s="95"/>
      <c r="H224" s="96"/>
      <c r="I224" s="106" t="s">
        <v>36</v>
      </c>
      <c r="J224" s="150"/>
      <c r="K224" s="150"/>
      <c r="L224" s="150"/>
      <c r="M224" s="150"/>
      <c r="N224" s="150"/>
      <c r="O224" s="150"/>
      <c r="P224" s="150"/>
      <c r="U224" s="69" t="s">
        <v>45</v>
      </c>
      <c r="W224" s="169">
        <v>14.62593364715576</v>
      </c>
      <c r="X224" s="94">
        <v>1</v>
      </c>
      <c r="Y224" s="152">
        <f t="shared" si="20"/>
        <v>14.62593364715576</v>
      </c>
      <c r="Z224" s="152" t="str">
        <f t="shared" si="21"/>
        <v/>
      </c>
      <c r="AA224" s="68"/>
    </row>
    <row r="225" spans="1:27" s="149" customFormat="1" ht="16.5" customHeight="1" x14ac:dyDescent="0.2">
      <c r="A225" s="69" t="s">
        <v>480</v>
      </c>
      <c r="B225" s="69" t="s">
        <v>493</v>
      </c>
      <c r="C225" s="70" t="s">
        <v>494</v>
      </c>
      <c r="D225" s="70" t="s">
        <v>495</v>
      </c>
      <c r="E225" s="95"/>
      <c r="H225" s="96"/>
      <c r="I225" s="106" t="s">
        <v>36</v>
      </c>
      <c r="J225" s="150"/>
      <c r="K225" s="150"/>
      <c r="L225" s="150"/>
      <c r="M225" s="150"/>
      <c r="N225" s="150"/>
      <c r="O225" s="150"/>
      <c r="P225" s="150"/>
      <c r="U225" s="69" t="s">
        <v>45</v>
      </c>
      <c r="W225" s="169">
        <v>11.787801742553709</v>
      </c>
      <c r="X225" s="94">
        <v>1</v>
      </c>
      <c r="Y225" s="152">
        <f t="shared" si="20"/>
        <v>11.787801742553709</v>
      </c>
      <c r="Z225" s="152" t="str">
        <f t="shared" si="21"/>
        <v/>
      </c>
      <c r="AA225" s="68"/>
    </row>
    <row r="226" spans="1:27" s="149" customFormat="1" ht="16.5" customHeight="1" x14ac:dyDescent="0.2">
      <c r="A226" s="69" t="s">
        <v>480</v>
      </c>
      <c r="B226" s="69" t="s">
        <v>496</v>
      </c>
      <c r="C226" s="70" t="s">
        <v>1780</v>
      </c>
      <c r="D226" s="70" t="s">
        <v>497</v>
      </c>
      <c r="E226" s="95"/>
      <c r="H226" s="96"/>
      <c r="I226" s="106" t="s">
        <v>36</v>
      </c>
      <c r="J226" s="150"/>
      <c r="K226" s="150"/>
      <c r="L226" s="150"/>
      <c r="M226" s="150"/>
      <c r="N226" s="150"/>
      <c r="O226" s="150"/>
      <c r="P226" s="150"/>
      <c r="U226" s="69" t="s">
        <v>45</v>
      </c>
      <c r="W226" s="169">
        <v>12.4080867767334</v>
      </c>
      <c r="X226" s="94">
        <v>1</v>
      </c>
      <c r="Y226" s="152">
        <f t="shared" si="20"/>
        <v>12.4080867767334</v>
      </c>
      <c r="Z226" s="152" t="str">
        <f t="shared" si="21"/>
        <v/>
      </c>
      <c r="AA226" s="68"/>
    </row>
    <row r="227" spans="1:27" s="149" customFormat="1" ht="29.25" customHeight="1" x14ac:dyDescent="0.2">
      <c r="A227" s="69" t="s">
        <v>480</v>
      </c>
      <c r="B227" s="69" t="s">
        <v>498</v>
      </c>
      <c r="C227" s="70" t="s">
        <v>499</v>
      </c>
      <c r="D227" s="70" t="s">
        <v>500</v>
      </c>
      <c r="E227" s="95"/>
      <c r="H227" s="96"/>
      <c r="I227" s="106" t="s">
        <v>36</v>
      </c>
      <c r="J227" s="150"/>
      <c r="K227" s="150"/>
      <c r="L227" s="150"/>
      <c r="M227" s="150"/>
      <c r="N227" s="150"/>
      <c r="O227" s="150"/>
      <c r="P227" s="150"/>
      <c r="U227" s="69" t="s">
        <v>45</v>
      </c>
      <c r="W227" s="169">
        <v>9.2894678115844727</v>
      </c>
      <c r="X227" s="94">
        <v>1</v>
      </c>
      <c r="Y227" s="152">
        <f t="shared" si="20"/>
        <v>9.2894678115844727</v>
      </c>
      <c r="Z227" s="152" t="str">
        <f t="shared" si="21"/>
        <v/>
      </c>
      <c r="AA227" s="68"/>
    </row>
    <row r="228" spans="1:27" s="149" customFormat="1" ht="16.5" customHeight="1" x14ac:dyDescent="0.2">
      <c r="A228" s="69" t="s">
        <v>480</v>
      </c>
      <c r="B228" s="69" t="s">
        <v>501</v>
      </c>
      <c r="C228" s="70" t="s">
        <v>502</v>
      </c>
      <c r="D228" s="70" t="s">
        <v>503</v>
      </c>
      <c r="E228" s="95"/>
      <c r="H228" s="96"/>
      <c r="I228" s="106" t="s">
        <v>36</v>
      </c>
      <c r="J228" s="150"/>
      <c r="K228" s="150"/>
      <c r="L228" s="150"/>
      <c r="M228" s="150"/>
      <c r="N228" s="150"/>
      <c r="O228" s="150"/>
      <c r="P228" s="150"/>
      <c r="U228" s="69" t="s">
        <v>45</v>
      </c>
      <c r="W228" s="169">
        <v>12</v>
      </c>
      <c r="X228" s="94">
        <v>1</v>
      </c>
      <c r="Y228" s="152">
        <f t="shared" si="20"/>
        <v>12</v>
      </c>
      <c r="Z228" s="152" t="str">
        <f t="shared" si="21"/>
        <v/>
      </c>
      <c r="AA228" s="68"/>
    </row>
    <row r="229" spans="1:27" s="149" customFormat="1" ht="16.5" customHeight="1" x14ac:dyDescent="0.2">
      <c r="A229" s="69" t="s">
        <v>480</v>
      </c>
      <c r="B229" s="69" t="s">
        <v>504</v>
      </c>
      <c r="C229" s="70" t="s">
        <v>505</v>
      </c>
      <c r="D229" s="70" t="s">
        <v>506</v>
      </c>
      <c r="E229" s="95"/>
      <c r="H229" s="96"/>
      <c r="I229" s="106" t="s">
        <v>36</v>
      </c>
      <c r="J229" s="150"/>
      <c r="K229" s="150"/>
      <c r="L229" s="150"/>
      <c r="M229" s="150"/>
      <c r="N229" s="150"/>
      <c r="O229" s="150"/>
      <c r="P229" s="150"/>
      <c r="U229" s="69" t="s">
        <v>45</v>
      </c>
      <c r="W229" s="169">
        <v>14.41095890410959</v>
      </c>
      <c r="X229" s="94">
        <v>1</v>
      </c>
      <c r="Y229" s="152">
        <f t="shared" si="20"/>
        <v>14.41095890410959</v>
      </c>
      <c r="Z229" s="152" t="str">
        <f t="shared" si="21"/>
        <v/>
      </c>
      <c r="AA229" s="68"/>
    </row>
    <row r="230" spans="1:27" s="149" customFormat="1" ht="29.25" customHeight="1" x14ac:dyDescent="0.2">
      <c r="A230" s="69" t="s">
        <v>480</v>
      </c>
      <c r="B230" s="69" t="s">
        <v>1781</v>
      </c>
      <c r="C230" s="70" t="s">
        <v>507</v>
      </c>
      <c r="D230" s="70" t="s">
        <v>508</v>
      </c>
      <c r="E230" s="95"/>
      <c r="H230" s="96"/>
      <c r="I230" s="106" t="s">
        <v>36</v>
      </c>
      <c r="J230" s="150"/>
      <c r="K230" s="150"/>
      <c r="L230" s="150"/>
      <c r="M230" s="150"/>
      <c r="N230" s="150"/>
      <c r="O230" s="150"/>
      <c r="P230" s="150"/>
      <c r="U230" s="69" t="s">
        <v>45</v>
      </c>
      <c r="W230" s="169">
        <v>15.40838527679443</v>
      </c>
      <c r="X230" s="94">
        <v>1</v>
      </c>
      <c r="Y230" s="152">
        <f t="shared" si="20"/>
        <v>15.40838527679443</v>
      </c>
      <c r="Z230" s="152" t="str">
        <f t="shared" si="21"/>
        <v/>
      </c>
      <c r="AA230" s="68"/>
    </row>
    <row r="231" spans="1:27" s="149" customFormat="1" ht="16.5" customHeight="1" x14ac:dyDescent="0.2">
      <c r="A231" s="69" t="s">
        <v>480</v>
      </c>
      <c r="B231" s="69" t="s">
        <v>509</v>
      </c>
      <c r="C231" s="324" t="s">
        <v>1782</v>
      </c>
      <c r="D231" s="70" t="s">
        <v>1783</v>
      </c>
      <c r="E231" s="95"/>
      <c r="H231" s="96"/>
      <c r="I231" s="106" t="s">
        <v>36</v>
      </c>
      <c r="J231" s="150"/>
      <c r="K231" s="150"/>
      <c r="L231" s="150"/>
      <c r="M231" s="150"/>
      <c r="N231" s="150"/>
      <c r="O231" s="150"/>
      <c r="P231" s="150"/>
      <c r="U231" s="69" t="s">
        <v>45</v>
      </c>
      <c r="W231" s="169">
        <v>15.543986320495611</v>
      </c>
      <c r="X231" s="94">
        <v>1</v>
      </c>
      <c r="Y231" s="152">
        <f t="shared" si="20"/>
        <v>15.543986320495611</v>
      </c>
      <c r="Z231" s="152" t="str">
        <f t="shared" si="21"/>
        <v/>
      </c>
      <c r="AA231" s="68"/>
    </row>
    <row r="232" spans="1:27" s="149" customFormat="1" ht="16.5" customHeight="1" x14ac:dyDescent="0.2">
      <c r="A232" s="69" t="s">
        <v>480</v>
      </c>
      <c r="B232" s="69" t="s">
        <v>510</v>
      </c>
      <c r="C232" s="70" t="s">
        <v>1784</v>
      </c>
      <c r="D232" s="70" t="s">
        <v>511</v>
      </c>
      <c r="E232" s="95"/>
      <c r="H232" s="96"/>
      <c r="I232" s="106" t="s">
        <v>36</v>
      </c>
      <c r="J232" s="150"/>
      <c r="K232" s="150"/>
      <c r="L232" s="150"/>
      <c r="M232" s="150"/>
      <c r="N232" s="150"/>
      <c r="O232" s="150"/>
      <c r="P232" s="150"/>
      <c r="U232" s="69" t="s">
        <v>45</v>
      </c>
      <c r="W232" s="169">
        <v>12</v>
      </c>
      <c r="X232" s="94">
        <v>1</v>
      </c>
      <c r="Y232" s="152">
        <f t="shared" si="20"/>
        <v>12</v>
      </c>
      <c r="Z232" s="152" t="str">
        <f t="shared" si="21"/>
        <v/>
      </c>
      <c r="AA232" s="68"/>
    </row>
    <row r="233" spans="1:27" s="149" customFormat="1" ht="16.5" customHeight="1" x14ac:dyDescent="0.2">
      <c r="A233" s="69" t="s">
        <v>480</v>
      </c>
      <c r="B233" s="69" t="s">
        <v>512</v>
      </c>
      <c r="C233" s="70" t="s">
        <v>513</v>
      </c>
      <c r="D233" s="70" t="s">
        <v>514</v>
      </c>
      <c r="E233" s="95"/>
      <c r="H233" s="96"/>
      <c r="I233" s="106" t="s">
        <v>36</v>
      </c>
      <c r="J233" s="150"/>
      <c r="K233" s="150"/>
      <c r="L233" s="150"/>
      <c r="M233" s="150"/>
      <c r="N233" s="150"/>
      <c r="O233" s="150"/>
      <c r="P233" s="150"/>
      <c r="U233" s="69" t="s">
        <v>45</v>
      </c>
      <c r="W233" s="169">
        <v>12.996181488037109</v>
      </c>
      <c r="X233" s="94">
        <v>1</v>
      </c>
      <c r="Y233" s="152">
        <f t="shared" si="20"/>
        <v>12.996181488037109</v>
      </c>
      <c r="Z233" s="152" t="str">
        <f t="shared" si="21"/>
        <v/>
      </c>
      <c r="AA233" s="68"/>
    </row>
    <row r="234" spans="1:27" s="149" customFormat="1" x14ac:dyDescent="0.2">
      <c r="A234" s="69"/>
      <c r="B234" s="69"/>
      <c r="C234" s="70"/>
      <c r="D234" s="70"/>
      <c r="E234" s="95"/>
      <c r="H234" s="96"/>
      <c r="I234" s="106"/>
      <c r="J234" s="150"/>
      <c r="K234" s="150"/>
      <c r="L234" s="150"/>
      <c r="M234" s="150"/>
      <c r="N234" s="150"/>
      <c r="O234" s="150"/>
      <c r="P234" s="150"/>
      <c r="U234" s="69"/>
      <c r="W234" s="169"/>
      <c r="X234" s="94"/>
      <c r="Y234" s="152"/>
      <c r="Z234" s="152"/>
      <c r="AA234" s="68"/>
    </row>
    <row r="235" spans="1:27" x14ac:dyDescent="0.2">
      <c r="A235" s="69" t="s">
        <v>103</v>
      </c>
      <c r="B235" s="69"/>
      <c r="C235" s="70"/>
      <c r="D235" s="70"/>
      <c r="E235" s="76"/>
      <c r="H235" s="77"/>
      <c r="I235" s="106"/>
      <c r="W235" s="169"/>
      <c r="X235" s="94">
        <v>1</v>
      </c>
      <c r="Y235" s="152" t="str">
        <f t="shared" ref="Y235" si="22">IF(W235&lt;&gt;"",W235*X235,"")</f>
        <v/>
      </c>
      <c r="Z235" s="152" t="str">
        <f t="shared" ref="Z235" si="23">IF(AND(W235&lt;&gt;"",U235="yes"),W235*X235,"")</f>
        <v/>
      </c>
    </row>
    <row r="236" spans="1:27" x14ac:dyDescent="0.2">
      <c r="A236" s="68"/>
      <c r="B236" s="68"/>
      <c r="E236" s="76"/>
      <c r="H236" s="77"/>
      <c r="U236" s="40" t="s">
        <v>55</v>
      </c>
      <c r="W236" s="169" t="s">
        <v>55</v>
      </c>
      <c r="X236" s="94">
        <v>1</v>
      </c>
      <c r="Y236" s="152" t="str">
        <f t="shared" si="20"/>
        <v/>
      </c>
      <c r="Z236" s="152" t="str">
        <f t="shared" ref="Z236:Z257" si="24">IF(AND(W236&lt;&gt;"",U236="yes"),W236*X236,"")</f>
        <v/>
      </c>
    </row>
    <row r="237" spans="1:27" ht="16" x14ac:dyDescent="0.2">
      <c r="A237" s="72" t="s">
        <v>56</v>
      </c>
      <c r="B237" s="72" t="s">
        <v>515</v>
      </c>
      <c r="C237" s="80" t="s">
        <v>516</v>
      </c>
      <c r="D237" s="80"/>
      <c r="E237" s="76"/>
      <c r="F237" s="67"/>
      <c r="G237" s="67"/>
      <c r="H237" s="77"/>
      <c r="I237" s="105"/>
      <c r="J237" s="105"/>
      <c r="K237" s="105"/>
      <c r="L237" s="105"/>
      <c r="M237" s="105"/>
      <c r="N237" s="105"/>
      <c r="O237" s="105"/>
      <c r="P237" s="105"/>
      <c r="W237" s="169"/>
      <c r="X237" s="94">
        <v>1</v>
      </c>
      <c r="Y237" s="152" t="str">
        <f t="shared" si="20"/>
        <v/>
      </c>
      <c r="Z237" s="152" t="str">
        <f t="shared" si="24"/>
        <v/>
      </c>
    </row>
    <row r="238" spans="1:27" ht="32" x14ac:dyDescent="0.2">
      <c r="A238" s="67" t="s">
        <v>40</v>
      </c>
      <c r="B238" s="67" t="s">
        <v>517</v>
      </c>
      <c r="C238" s="39" t="s">
        <v>518</v>
      </c>
      <c r="D238" s="39" t="s">
        <v>519</v>
      </c>
      <c r="E238" s="76"/>
      <c r="F238" s="67"/>
      <c r="G238" s="67"/>
      <c r="H238" s="77"/>
      <c r="I238" s="105" t="s">
        <v>44</v>
      </c>
      <c r="J238" s="105"/>
      <c r="K238" s="105"/>
      <c r="L238" s="105"/>
      <c r="M238" s="105"/>
      <c r="N238" s="105"/>
      <c r="O238" s="105"/>
      <c r="P238" s="105"/>
      <c r="U238" s="40" t="s">
        <v>37</v>
      </c>
      <c r="W238" s="169"/>
      <c r="X238" s="94">
        <v>1</v>
      </c>
      <c r="Y238" s="152" t="str">
        <f t="shared" si="20"/>
        <v/>
      </c>
      <c r="Z238" s="152" t="str">
        <f t="shared" si="24"/>
        <v/>
      </c>
    </row>
    <row r="239" spans="1:27" ht="32" x14ac:dyDescent="0.2">
      <c r="A239" s="67" t="s">
        <v>520</v>
      </c>
      <c r="B239" s="67" t="s">
        <v>521</v>
      </c>
      <c r="C239" s="39" t="s">
        <v>522</v>
      </c>
      <c r="D239" s="39" t="s">
        <v>523</v>
      </c>
      <c r="E239" s="76"/>
      <c r="F239" s="67" t="s">
        <v>524</v>
      </c>
      <c r="G239" s="67" t="s">
        <v>525</v>
      </c>
      <c r="H239" s="77"/>
      <c r="I239" s="105" t="s">
        <v>36</v>
      </c>
      <c r="J239" s="105"/>
      <c r="K239" s="105"/>
      <c r="L239" s="105"/>
      <c r="M239" s="105"/>
      <c r="N239" s="105"/>
      <c r="O239" s="105"/>
      <c r="P239" s="105"/>
      <c r="U239" s="40" t="s">
        <v>37</v>
      </c>
      <c r="W239" s="169">
        <v>72.295135498046875</v>
      </c>
      <c r="X239" s="94">
        <v>1</v>
      </c>
      <c r="Y239" s="152">
        <f t="shared" si="20"/>
        <v>72.295135498046875</v>
      </c>
      <c r="Z239" s="152">
        <f t="shared" si="24"/>
        <v>72.295135498046875</v>
      </c>
    </row>
    <row r="240" spans="1:27" ht="32" x14ac:dyDescent="0.2">
      <c r="A240" s="67" t="s">
        <v>40</v>
      </c>
      <c r="B240" s="67" t="s">
        <v>526</v>
      </c>
      <c r="C240" s="39" t="s">
        <v>527</v>
      </c>
      <c r="D240" s="39" t="s">
        <v>528</v>
      </c>
      <c r="E240" s="76"/>
      <c r="F240" s="67"/>
      <c r="G240" s="67"/>
      <c r="H240" s="77"/>
      <c r="I240" s="105" t="s">
        <v>44</v>
      </c>
      <c r="J240" s="105"/>
      <c r="K240" s="105"/>
      <c r="L240" s="105"/>
      <c r="M240" s="105"/>
      <c r="N240" s="105"/>
      <c r="O240" s="105"/>
      <c r="P240" s="105"/>
      <c r="U240" s="40" t="s">
        <v>37</v>
      </c>
      <c r="W240" s="169">
        <v>3.7052218914031982</v>
      </c>
      <c r="X240" s="94">
        <v>1</v>
      </c>
      <c r="Y240" s="152">
        <f t="shared" si="20"/>
        <v>3.7052218914031982</v>
      </c>
      <c r="Z240" s="152">
        <f t="shared" si="24"/>
        <v>3.7052218914031982</v>
      </c>
    </row>
    <row r="241" spans="1:27" ht="16" customHeight="1" x14ac:dyDescent="0.2">
      <c r="A241" s="67" t="s">
        <v>103</v>
      </c>
      <c r="B241" s="67"/>
      <c r="C241" s="39"/>
      <c r="D241" s="39"/>
      <c r="E241" s="76"/>
      <c r="F241" s="67"/>
      <c r="G241" s="67"/>
      <c r="H241" s="77"/>
      <c r="I241" s="105"/>
      <c r="J241" s="105"/>
      <c r="K241" s="105"/>
      <c r="L241" s="105"/>
      <c r="M241" s="105"/>
      <c r="N241" s="105"/>
      <c r="O241" s="105"/>
      <c r="P241" s="105"/>
      <c r="W241" s="169" t="s">
        <v>55</v>
      </c>
      <c r="X241" s="94">
        <v>1</v>
      </c>
      <c r="Y241" s="152" t="str">
        <f t="shared" si="20"/>
        <v/>
      </c>
      <c r="Z241" s="152" t="str">
        <f t="shared" si="24"/>
        <v/>
      </c>
    </row>
    <row r="242" spans="1:27" x14ac:dyDescent="0.2">
      <c r="A242" s="68"/>
      <c r="B242" s="68"/>
      <c r="E242" s="76"/>
      <c r="H242" s="77"/>
      <c r="U242" s="40" t="s">
        <v>55</v>
      </c>
      <c r="W242" s="169" t="s">
        <v>55</v>
      </c>
      <c r="X242" s="94">
        <v>1</v>
      </c>
      <c r="Y242" s="152" t="str">
        <f t="shared" si="20"/>
        <v/>
      </c>
      <c r="Z242" s="152" t="str">
        <f t="shared" si="24"/>
        <v/>
      </c>
    </row>
    <row r="243" spans="1:27" s="69" customFormat="1" ht="16" x14ac:dyDescent="0.2">
      <c r="A243" s="69" t="s">
        <v>56</v>
      </c>
      <c r="B243" s="69" t="s">
        <v>529</v>
      </c>
      <c r="C243" s="147" t="s">
        <v>530</v>
      </c>
      <c r="D243" s="147"/>
      <c r="E243" s="71"/>
      <c r="H243" s="75"/>
      <c r="I243" s="106"/>
      <c r="J243" s="106"/>
      <c r="K243" s="106"/>
      <c r="L243" s="106"/>
      <c r="M243" s="106"/>
      <c r="N243" s="106"/>
      <c r="O243" s="106"/>
      <c r="P243" s="106"/>
      <c r="U243" s="69" t="s">
        <v>45</v>
      </c>
      <c r="W243" s="169"/>
      <c r="X243" s="94">
        <v>1</v>
      </c>
      <c r="Y243" s="152" t="str">
        <f t="shared" si="20"/>
        <v/>
      </c>
      <c r="Z243" s="152" t="str">
        <f t="shared" si="24"/>
        <v/>
      </c>
    </row>
    <row r="244" spans="1:27" s="70" customFormat="1" ht="32" x14ac:dyDescent="0.2">
      <c r="A244" s="70" t="s">
        <v>40</v>
      </c>
      <c r="B244" s="70" t="s">
        <v>531</v>
      </c>
      <c r="C244" s="70" t="s">
        <v>532</v>
      </c>
      <c r="D244" s="201" t="s">
        <v>533</v>
      </c>
      <c r="E244" s="71"/>
      <c r="H244" s="71"/>
      <c r="I244" s="106" t="s">
        <v>44</v>
      </c>
      <c r="J244" s="118"/>
      <c r="K244" s="118"/>
      <c r="L244" s="106"/>
      <c r="M244" s="118"/>
      <c r="N244" s="118"/>
      <c r="O244" s="118"/>
      <c r="P244" s="118"/>
      <c r="U244" s="70" t="s">
        <v>45</v>
      </c>
      <c r="W244" s="169">
        <v>0</v>
      </c>
      <c r="X244" s="94">
        <v>1</v>
      </c>
      <c r="Y244" s="152">
        <f t="shared" si="20"/>
        <v>0</v>
      </c>
      <c r="Z244" s="152" t="str">
        <f t="shared" si="24"/>
        <v/>
      </c>
    </row>
    <row r="245" spans="1:27" s="70" customFormat="1" ht="48" x14ac:dyDescent="0.2">
      <c r="A245" s="70" t="s">
        <v>71</v>
      </c>
      <c r="B245" s="70" t="s">
        <v>534</v>
      </c>
      <c r="C245" s="70" t="s">
        <v>535</v>
      </c>
      <c r="D245" s="201" t="s">
        <v>536</v>
      </c>
      <c r="E245" s="71"/>
      <c r="F245" s="69" t="s">
        <v>537</v>
      </c>
      <c r="G245" s="69" t="s">
        <v>538</v>
      </c>
      <c r="H245" s="71"/>
      <c r="I245" s="106" t="s">
        <v>36</v>
      </c>
      <c r="J245" s="118"/>
      <c r="K245" s="118" t="s">
        <v>539</v>
      </c>
      <c r="L245" s="106" t="s">
        <v>540</v>
      </c>
      <c r="M245" s="118"/>
      <c r="N245" s="118"/>
      <c r="O245" s="118"/>
      <c r="P245" s="118"/>
      <c r="U245" s="70" t="s">
        <v>45</v>
      </c>
      <c r="W245" s="169">
        <v>17</v>
      </c>
      <c r="X245" s="94">
        <v>1</v>
      </c>
      <c r="Y245" s="152">
        <f t="shared" si="20"/>
        <v>17</v>
      </c>
      <c r="Z245" s="152" t="str">
        <f t="shared" si="24"/>
        <v/>
      </c>
    </row>
    <row r="246" spans="1:27" s="70" customFormat="1" ht="32" x14ac:dyDescent="0.2">
      <c r="A246" s="70" t="s">
        <v>71</v>
      </c>
      <c r="B246" s="70" t="s">
        <v>541</v>
      </c>
      <c r="C246" s="70" t="s">
        <v>542</v>
      </c>
      <c r="D246" s="201" t="s">
        <v>543</v>
      </c>
      <c r="E246" s="71"/>
      <c r="F246" s="69" t="s">
        <v>537</v>
      </c>
      <c r="G246" s="69" t="s">
        <v>538</v>
      </c>
      <c r="H246" s="71"/>
      <c r="I246" s="106" t="s">
        <v>36</v>
      </c>
      <c r="J246" s="118"/>
      <c r="K246" s="118" t="s">
        <v>539</v>
      </c>
      <c r="L246" s="106" t="s">
        <v>540</v>
      </c>
      <c r="M246" s="118"/>
      <c r="N246" s="118"/>
      <c r="O246" s="118"/>
      <c r="P246" s="118"/>
      <c r="U246" s="70" t="s">
        <v>45</v>
      </c>
      <c r="W246" s="169">
        <v>17</v>
      </c>
      <c r="X246" s="94">
        <v>1</v>
      </c>
      <c r="Y246" s="152">
        <f t="shared" ref="Y246:Y290" si="25">IF(W246&lt;&gt;"",W246*X246,"")</f>
        <v>17</v>
      </c>
      <c r="Z246" s="152" t="str">
        <f t="shared" si="24"/>
        <v/>
      </c>
    </row>
    <row r="247" spans="1:27" s="70" customFormat="1" ht="32" x14ac:dyDescent="0.2">
      <c r="A247" s="70" t="s">
        <v>71</v>
      </c>
      <c r="B247" s="70" t="s">
        <v>544</v>
      </c>
      <c r="C247" s="70" t="s">
        <v>2255</v>
      </c>
      <c r="D247" s="201" t="s">
        <v>2258</v>
      </c>
      <c r="E247" s="71"/>
      <c r="F247" s="69" t="s">
        <v>537</v>
      </c>
      <c r="G247" s="69" t="s">
        <v>538</v>
      </c>
      <c r="H247" s="71"/>
      <c r="I247" s="106" t="s">
        <v>36</v>
      </c>
      <c r="J247" s="118"/>
      <c r="K247" s="118" t="s">
        <v>539</v>
      </c>
      <c r="L247" s="106" t="s">
        <v>540</v>
      </c>
      <c r="M247" s="118"/>
      <c r="N247" s="118"/>
      <c r="O247" s="118"/>
      <c r="P247" s="118"/>
      <c r="U247" s="70" t="s">
        <v>45</v>
      </c>
      <c r="W247" s="169">
        <v>17</v>
      </c>
      <c r="X247" s="94">
        <v>1</v>
      </c>
      <c r="Y247" s="152">
        <f t="shared" si="25"/>
        <v>17</v>
      </c>
      <c r="Z247" s="152" t="str">
        <f t="shared" si="24"/>
        <v/>
      </c>
    </row>
    <row r="248" spans="1:27" s="70" customFormat="1" ht="32" x14ac:dyDescent="0.2">
      <c r="A248" s="70" t="s">
        <v>71</v>
      </c>
      <c r="B248" s="70" t="s">
        <v>545</v>
      </c>
      <c r="C248" s="70" t="s">
        <v>2256</v>
      </c>
      <c r="D248" s="201" t="s">
        <v>2257</v>
      </c>
      <c r="E248" s="71"/>
      <c r="F248" s="69" t="s">
        <v>537</v>
      </c>
      <c r="G248" s="69" t="s">
        <v>538</v>
      </c>
      <c r="H248" s="71"/>
      <c r="I248" s="106" t="s">
        <v>36</v>
      </c>
      <c r="J248" s="118"/>
      <c r="K248" s="118" t="s">
        <v>539</v>
      </c>
      <c r="L248" s="106" t="s">
        <v>540</v>
      </c>
      <c r="M248" s="118"/>
      <c r="N248" s="118"/>
      <c r="O248" s="118"/>
      <c r="P248" s="118"/>
      <c r="U248" s="70" t="s">
        <v>45</v>
      </c>
      <c r="W248" s="169">
        <v>17</v>
      </c>
      <c r="X248" s="94">
        <v>1</v>
      </c>
      <c r="Y248" s="152">
        <f t="shared" si="25"/>
        <v>17</v>
      </c>
      <c r="Z248" s="152" t="str">
        <f t="shared" si="24"/>
        <v/>
      </c>
    </row>
    <row r="249" spans="1:27" s="70" customFormat="1" ht="48" x14ac:dyDescent="0.2">
      <c r="A249" s="70" t="s">
        <v>71</v>
      </c>
      <c r="B249" s="70" t="s">
        <v>546</v>
      </c>
      <c r="C249" s="70" t="s">
        <v>547</v>
      </c>
      <c r="D249" s="201" t="s">
        <v>548</v>
      </c>
      <c r="E249" s="71"/>
      <c r="F249" s="69" t="s">
        <v>537</v>
      </c>
      <c r="G249" s="69" t="s">
        <v>538</v>
      </c>
      <c r="H249" s="71"/>
      <c r="I249" s="106" t="s">
        <v>36</v>
      </c>
      <c r="J249" s="118"/>
      <c r="K249" s="118" t="s">
        <v>539</v>
      </c>
      <c r="L249" s="106" t="s">
        <v>540</v>
      </c>
      <c r="M249" s="118"/>
      <c r="N249" s="118"/>
      <c r="O249" s="118"/>
      <c r="P249" s="118"/>
      <c r="U249" s="70" t="s">
        <v>45</v>
      </c>
      <c r="W249" s="169">
        <v>17</v>
      </c>
      <c r="X249" s="94">
        <v>1</v>
      </c>
      <c r="Y249" s="152">
        <f t="shared" si="25"/>
        <v>17</v>
      </c>
      <c r="Z249" s="152" t="str">
        <f t="shared" si="24"/>
        <v/>
      </c>
    </row>
    <row r="250" spans="1:27" s="70" customFormat="1" ht="48" x14ac:dyDescent="0.2">
      <c r="A250" s="70" t="s">
        <v>71</v>
      </c>
      <c r="B250" s="70" t="s">
        <v>549</v>
      </c>
      <c r="C250" s="70" t="s">
        <v>550</v>
      </c>
      <c r="D250" s="201" t="s">
        <v>551</v>
      </c>
      <c r="E250" s="71"/>
      <c r="F250" s="69" t="s">
        <v>537</v>
      </c>
      <c r="G250" s="69" t="s">
        <v>538</v>
      </c>
      <c r="H250" s="71"/>
      <c r="I250" s="106" t="s">
        <v>36</v>
      </c>
      <c r="J250" s="118"/>
      <c r="K250" s="118" t="s">
        <v>539</v>
      </c>
      <c r="L250" s="106" t="s">
        <v>540</v>
      </c>
      <c r="M250" s="118"/>
      <c r="N250" s="118"/>
      <c r="O250" s="118"/>
      <c r="P250" s="118"/>
      <c r="U250" s="70" t="s">
        <v>45</v>
      </c>
      <c r="W250" s="169">
        <v>17</v>
      </c>
      <c r="X250" s="94">
        <v>1</v>
      </c>
      <c r="Y250" s="152">
        <f t="shared" si="25"/>
        <v>17</v>
      </c>
      <c r="Z250" s="152" t="str">
        <f t="shared" si="24"/>
        <v/>
      </c>
    </row>
    <row r="251" spans="1:27" s="70" customFormat="1" ht="48" x14ac:dyDescent="0.2">
      <c r="A251" s="70" t="s">
        <v>71</v>
      </c>
      <c r="B251" s="70" t="s">
        <v>552</v>
      </c>
      <c r="C251" s="70" t="s">
        <v>553</v>
      </c>
      <c r="D251" s="201" t="s">
        <v>554</v>
      </c>
      <c r="E251" s="71"/>
      <c r="F251" s="69" t="s">
        <v>537</v>
      </c>
      <c r="G251" s="69" t="s">
        <v>538</v>
      </c>
      <c r="H251" s="71"/>
      <c r="I251" s="106" t="s">
        <v>36</v>
      </c>
      <c r="J251" s="118"/>
      <c r="K251" s="118" t="s">
        <v>539</v>
      </c>
      <c r="L251" s="106" t="s">
        <v>540</v>
      </c>
      <c r="M251" s="118"/>
      <c r="N251" s="118"/>
      <c r="O251" s="118"/>
      <c r="P251" s="118"/>
      <c r="U251" s="70" t="s">
        <v>45</v>
      </c>
      <c r="W251" s="169">
        <v>17</v>
      </c>
      <c r="X251" s="94">
        <v>1</v>
      </c>
      <c r="Y251" s="152">
        <f t="shared" si="25"/>
        <v>17</v>
      </c>
      <c r="Z251" s="152" t="str">
        <f t="shared" si="24"/>
        <v/>
      </c>
    </row>
    <row r="252" spans="1:27" s="70" customFormat="1" ht="32" x14ac:dyDescent="0.2">
      <c r="A252" s="70" t="s">
        <v>71</v>
      </c>
      <c r="B252" s="70" t="s">
        <v>555</v>
      </c>
      <c r="C252" s="70" t="s">
        <v>556</v>
      </c>
      <c r="D252" s="201" t="s">
        <v>557</v>
      </c>
      <c r="E252" s="71"/>
      <c r="F252" s="69" t="s">
        <v>537</v>
      </c>
      <c r="G252" s="69" t="s">
        <v>538</v>
      </c>
      <c r="H252" s="71"/>
      <c r="I252" s="106" t="s">
        <v>36</v>
      </c>
      <c r="J252" s="118"/>
      <c r="K252" s="118" t="s">
        <v>539</v>
      </c>
      <c r="L252" s="106" t="s">
        <v>540</v>
      </c>
      <c r="M252" s="118"/>
      <c r="N252" s="118"/>
      <c r="O252" s="118"/>
      <c r="P252" s="118"/>
      <c r="U252" s="70" t="s">
        <v>45</v>
      </c>
      <c r="W252" s="169">
        <v>17</v>
      </c>
      <c r="X252" s="94">
        <v>1</v>
      </c>
      <c r="Y252" s="152">
        <f t="shared" si="25"/>
        <v>17</v>
      </c>
      <c r="Z252" s="152" t="str">
        <f t="shared" si="24"/>
        <v/>
      </c>
    </row>
    <row r="253" spans="1:27" s="70" customFormat="1" ht="48" x14ac:dyDescent="0.2">
      <c r="A253" s="70" t="s">
        <v>71</v>
      </c>
      <c r="B253" s="70" t="s">
        <v>558</v>
      </c>
      <c r="C253" s="70" t="s">
        <v>559</v>
      </c>
      <c r="D253" s="201" t="s">
        <v>560</v>
      </c>
      <c r="E253" s="71"/>
      <c r="F253" s="69" t="s">
        <v>537</v>
      </c>
      <c r="G253" s="69" t="s">
        <v>538</v>
      </c>
      <c r="H253" s="71"/>
      <c r="I253" s="106" t="s">
        <v>36</v>
      </c>
      <c r="J253" s="118"/>
      <c r="K253" s="118" t="s">
        <v>539</v>
      </c>
      <c r="L253" s="106" t="s">
        <v>540</v>
      </c>
      <c r="M253" s="118"/>
      <c r="N253" s="118"/>
      <c r="O253" s="118"/>
      <c r="P253" s="118"/>
      <c r="U253" s="70" t="s">
        <v>45</v>
      </c>
      <c r="W253" s="169">
        <v>17</v>
      </c>
      <c r="X253" s="94">
        <v>1</v>
      </c>
      <c r="Y253" s="152">
        <f t="shared" si="25"/>
        <v>17</v>
      </c>
      <c r="Z253" s="152" t="str">
        <f t="shared" si="24"/>
        <v/>
      </c>
    </row>
    <row r="254" spans="1:27" s="69" customFormat="1" x14ac:dyDescent="0.2">
      <c r="A254" s="69" t="s">
        <v>103</v>
      </c>
      <c r="C254" s="70"/>
      <c r="D254" s="70"/>
      <c r="E254" s="71"/>
      <c r="H254" s="75"/>
      <c r="I254" s="106"/>
      <c r="J254" s="106"/>
      <c r="K254" s="106"/>
      <c r="L254" s="106"/>
      <c r="M254" s="106"/>
      <c r="N254" s="106"/>
      <c r="O254" s="106"/>
      <c r="P254" s="106"/>
      <c r="U254" s="69" t="s">
        <v>55</v>
      </c>
      <c r="W254" s="169">
        <v>17</v>
      </c>
      <c r="X254" s="94">
        <v>1</v>
      </c>
      <c r="Y254" s="152">
        <f t="shared" si="25"/>
        <v>17</v>
      </c>
      <c r="Z254" s="152" t="str">
        <f t="shared" si="24"/>
        <v/>
      </c>
      <c r="AA254" s="68"/>
    </row>
    <row r="255" spans="1:27" s="69" customFormat="1" x14ac:dyDescent="0.2">
      <c r="C255" s="70"/>
      <c r="D255" s="70"/>
      <c r="E255" s="71"/>
      <c r="H255" s="75"/>
      <c r="I255" s="106"/>
      <c r="J255" s="106"/>
      <c r="K255" s="106"/>
      <c r="L255" s="106"/>
      <c r="M255" s="106"/>
      <c r="N255" s="106"/>
      <c r="O255" s="106"/>
      <c r="P255" s="106"/>
      <c r="U255" s="69" t="s">
        <v>55</v>
      </c>
      <c r="W255" s="169">
        <v>17</v>
      </c>
      <c r="X255" s="94">
        <v>1</v>
      </c>
      <c r="Y255" s="152">
        <f t="shared" si="25"/>
        <v>17</v>
      </c>
      <c r="Z255" s="152" t="str">
        <f t="shared" si="24"/>
        <v/>
      </c>
      <c r="AA255" s="68"/>
    </row>
    <row r="256" spans="1:27" s="69" customFormat="1" ht="16" x14ac:dyDescent="0.2">
      <c r="A256" s="69" t="s">
        <v>56</v>
      </c>
      <c r="B256" s="69" t="s">
        <v>561</v>
      </c>
      <c r="C256" s="147" t="s">
        <v>562</v>
      </c>
      <c r="D256" s="147"/>
      <c r="E256" s="71"/>
      <c r="H256" s="75"/>
      <c r="I256" s="106"/>
      <c r="J256" s="106"/>
      <c r="K256" s="106"/>
      <c r="L256" s="106"/>
      <c r="M256" s="106"/>
      <c r="N256" s="106"/>
      <c r="O256" s="106"/>
      <c r="P256" s="106"/>
      <c r="U256" s="69" t="s">
        <v>45</v>
      </c>
      <c r="W256" s="169"/>
      <c r="X256" s="94">
        <v>1</v>
      </c>
      <c r="Y256" s="152" t="str">
        <f t="shared" si="25"/>
        <v/>
      </c>
      <c r="Z256" s="152" t="str">
        <f t="shared" si="24"/>
        <v/>
      </c>
    </row>
    <row r="257" spans="1:27" s="69" customFormat="1" ht="32" x14ac:dyDescent="0.2">
      <c r="A257" s="69" t="s">
        <v>40</v>
      </c>
      <c r="B257" s="69" t="s">
        <v>563</v>
      </c>
      <c r="C257" s="70" t="s">
        <v>564</v>
      </c>
      <c r="D257" s="201" t="s">
        <v>565</v>
      </c>
      <c r="E257" s="71"/>
      <c r="H257" s="75"/>
      <c r="I257" s="106" t="s">
        <v>44</v>
      </c>
      <c r="J257" s="106"/>
      <c r="K257" s="106"/>
      <c r="L257" s="106"/>
      <c r="M257" s="106"/>
      <c r="N257" s="106"/>
      <c r="O257" s="106"/>
      <c r="P257" s="106"/>
      <c r="U257" s="69" t="s">
        <v>45</v>
      </c>
      <c r="W257" s="169">
        <v>17</v>
      </c>
      <c r="X257" s="94">
        <v>1</v>
      </c>
      <c r="Y257" s="152">
        <f t="shared" si="25"/>
        <v>17</v>
      </c>
      <c r="Z257" s="152" t="str">
        <f t="shared" si="24"/>
        <v/>
      </c>
    </row>
    <row r="258" spans="1:27" s="69" customFormat="1" ht="32" x14ac:dyDescent="0.2">
      <c r="A258" s="69" t="s">
        <v>71</v>
      </c>
      <c r="B258" s="69" t="s">
        <v>566</v>
      </c>
      <c r="C258" s="70" t="s">
        <v>567</v>
      </c>
      <c r="D258" s="201" t="s">
        <v>568</v>
      </c>
      <c r="E258" s="71"/>
      <c r="F258" s="69" t="s">
        <v>569</v>
      </c>
      <c r="G258" s="69" t="s">
        <v>570</v>
      </c>
      <c r="H258" s="75"/>
      <c r="I258" s="106" t="s">
        <v>36</v>
      </c>
      <c r="J258" s="106"/>
      <c r="K258" s="106" t="s">
        <v>539</v>
      </c>
      <c r="L258" s="106" t="s">
        <v>540</v>
      </c>
      <c r="M258" s="106"/>
      <c r="N258" s="106"/>
      <c r="O258" s="106"/>
      <c r="P258" s="106"/>
      <c r="U258" s="69" t="s">
        <v>45</v>
      </c>
      <c r="W258" s="169">
        <v>17</v>
      </c>
      <c r="X258" s="94">
        <v>1</v>
      </c>
      <c r="Y258" s="152">
        <f t="shared" si="25"/>
        <v>17</v>
      </c>
      <c r="Z258" s="152" t="str">
        <f t="shared" ref="Z258:Z290" si="26">IF(AND(W258&lt;&gt;"",U258="yes"),W258*X258,"")</f>
        <v/>
      </c>
    </row>
    <row r="259" spans="1:27" s="69" customFormat="1" ht="32" x14ac:dyDescent="0.2">
      <c r="A259" s="69" t="s">
        <v>71</v>
      </c>
      <c r="B259" s="69" t="s">
        <v>571</v>
      </c>
      <c r="C259" s="70" t="s">
        <v>572</v>
      </c>
      <c r="D259" s="201" t="s">
        <v>573</v>
      </c>
      <c r="E259" s="71"/>
      <c r="F259" s="69" t="s">
        <v>569</v>
      </c>
      <c r="G259" s="69" t="s">
        <v>570</v>
      </c>
      <c r="H259" s="75"/>
      <c r="I259" s="106" t="s">
        <v>36</v>
      </c>
      <c r="J259" s="106"/>
      <c r="K259" s="106" t="s">
        <v>539</v>
      </c>
      <c r="L259" s="106" t="s">
        <v>540</v>
      </c>
      <c r="M259" s="106"/>
      <c r="N259" s="106"/>
      <c r="O259" s="106"/>
      <c r="P259" s="106"/>
      <c r="U259" s="69" t="s">
        <v>45</v>
      </c>
      <c r="W259" s="169">
        <v>17</v>
      </c>
      <c r="X259" s="94">
        <v>1</v>
      </c>
      <c r="Y259" s="152">
        <f t="shared" si="25"/>
        <v>17</v>
      </c>
      <c r="Z259" s="152" t="str">
        <f t="shared" si="26"/>
        <v/>
      </c>
    </row>
    <row r="260" spans="1:27" s="69" customFormat="1" ht="32" x14ac:dyDescent="0.2">
      <c r="A260" s="69" t="s">
        <v>71</v>
      </c>
      <c r="B260" s="69" t="s">
        <v>574</v>
      </c>
      <c r="C260" s="70" t="s">
        <v>575</v>
      </c>
      <c r="D260" s="201" t="s">
        <v>576</v>
      </c>
      <c r="E260" s="71"/>
      <c r="F260" s="69" t="s">
        <v>569</v>
      </c>
      <c r="G260" s="69" t="s">
        <v>570</v>
      </c>
      <c r="H260" s="75"/>
      <c r="I260" s="106" t="s">
        <v>36</v>
      </c>
      <c r="J260" s="106"/>
      <c r="K260" s="106" t="s">
        <v>539</v>
      </c>
      <c r="L260" s="106" t="s">
        <v>540</v>
      </c>
      <c r="M260" s="106"/>
      <c r="N260" s="106"/>
      <c r="O260" s="106"/>
      <c r="P260" s="106"/>
      <c r="U260" s="69" t="s">
        <v>45</v>
      </c>
      <c r="W260" s="169">
        <v>17</v>
      </c>
      <c r="X260" s="94">
        <v>1</v>
      </c>
      <c r="Y260" s="152">
        <f t="shared" si="25"/>
        <v>17</v>
      </c>
      <c r="Z260" s="152" t="str">
        <f t="shared" si="26"/>
        <v/>
      </c>
    </row>
    <row r="261" spans="1:27" s="69" customFormat="1" ht="32" x14ac:dyDescent="0.2">
      <c r="A261" s="69" t="s">
        <v>71</v>
      </c>
      <c r="B261" s="69" t="s">
        <v>577</v>
      </c>
      <c r="C261" s="70" t="s">
        <v>578</v>
      </c>
      <c r="D261" s="201" t="s">
        <v>579</v>
      </c>
      <c r="E261" s="71"/>
      <c r="F261" s="69" t="s">
        <v>569</v>
      </c>
      <c r="G261" s="69" t="s">
        <v>570</v>
      </c>
      <c r="H261" s="75"/>
      <c r="I261" s="106" t="s">
        <v>36</v>
      </c>
      <c r="J261" s="106"/>
      <c r="K261" s="106" t="s">
        <v>539</v>
      </c>
      <c r="L261" s="106" t="s">
        <v>540</v>
      </c>
      <c r="M261" s="106"/>
      <c r="N261" s="106"/>
      <c r="O261" s="106"/>
      <c r="P261" s="106"/>
      <c r="U261" s="69" t="s">
        <v>45</v>
      </c>
      <c r="W261" s="169">
        <v>17</v>
      </c>
      <c r="X261" s="94">
        <v>1</v>
      </c>
      <c r="Y261" s="152">
        <f t="shared" si="25"/>
        <v>17</v>
      </c>
      <c r="Z261" s="152" t="str">
        <f t="shared" si="26"/>
        <v/>
      </c>
    </row>
    <row r="262" spans="1:27" s="69" customFormat="1" ht="32" x14ac:dyDescent="0.2">
      <c r="A262" s="69" t="s">
        <v>71</v>
      </c>
      <c r="B262" s="69" t="s">
        <v>580</v>
      </c>
      <c r="C262" s="70" t="s">
        <v>581</v>
      </c>
      <c r="D262" s="276" t="s">
        <v>582</v>
      </c>
      <c r="E262" s="71"/>
      <c r="F262" s="69" t="s">
        <v>569</v>
      </c>
      <c r="G262" s="69" t="s">
        <v>570</v>
      </c>
      <c r="H262" s="75"/>
      <c r="I262" s="106" t="s">
        <v>36</v>
      </c>
      <c r="J262" s="106"/>
      <c r="K262" s="106" t="s">
        <v>539</v>
      </c>
      <c r="L262" s="106" t="s">
        <v>540</v>
      </c>
      <c r="M262" s="106"/>
      <c r="N262" s="106"/>
      <c r="O262" s="106"/>
      <c r="P262" s="106"/>
      <c r="U262" s="69" t="s">
        <v>45</v>
      </c>
      <c r="W262" s="169">
        <v>17</v>
      </c>
      <c r="X262" s="94">
        <v>1</v>
      </c>
      <c r="Y262" s="152">
        <f t="shared" si="25"/>
        <v>17</v>
      </c>
      <c r="Z262" s="152" t="str">
        <f t="shared" si="26"/>
        <v/>
      </c>
    </row>
    <row r="263" spans="1:27" s="69" customFormat="1" x14ac:dyDescent="0.2">
      <c r="A263" s="69" t="s">
        <v>103</v>
      </c>
      <c r="C263" s="70"/>
      <c r="D263" s="70"/>
      <c r="E263" s="71"/>
      <c r="H263" s="75"/>
      <c r="I263" s="106"/>
      <c r="J263" s="106"/>
      <c r="K263" s="106"/>
      <c r="L263" s="106"/>
      <c r="M263" s="106"/>
      <c r="N263" s="106"/>
      <c r="O263" s="106"/>
      <c r="P263" s="106"/>
      <c r="U263" s="69" t="s">
        <v>55</v>
      </c>
      <c r="W263" s="169" t="s">
        <v>55</v>
      </c>
      <c r="X263" s="94">
        <v>1</v>
      </c>
      <c r="Y263" s="152" t="str">
        <f t="shared" si="25"/>
        <v/>
      </c>
      <c r="Z263" s="152" t="str">
        <f t="shared" si="26"/>
        <v/>
      </c>
    </row>
    <row r="264" spans="1:27" s="69" customFormat="1" x14ac:dyDescent="0.2">
      <c r="C264" s="70"/>
      <c r="D264" s="70"/>
      <c r="E264" s="71"/>
      <c r="H264" s="75"/>
      <c r="I264" s="106"/>
      <c r="J264" s="106"/>
      <c r="K264" s="106"/>
      <c r="L264" s="106"/>
      <c r="M264" s="106"/>
      <c r="N264" s="106"/>
      <c r="O264" s="106"/>
      <c r="P264" s="106"/>
      <c r="U264" s="69" t="s">
        <v>55</v>
      </c>
      <c r="W264" s="169" t="s">
        <v>55</v>
      </c>
      <c r="X264" s="94">
        <v>1</v>
      </c>
      <c r="Y264" s="152" t="str">
        <f t="shared" si="25"/>
        <v/>
      </c>
      <c r="Z264" s="152" t="str">
        <f t="shared" si="26"/>
        <v/>
      </c>
    </row>
    <row r="265" spans="1:27" ht="16" thickBot="1" x14ac:dyDescent="0.25">
      <c r="A265" s="87" t="s">
        <v>103</v>
      </c>
      <c r="B265" s="87"/>
      <c r="C265" s="88"/>
      <c r="D265" s="88"/>
      <c r="E265" s="97"/>
      <c r="F265" s="87"/>
      <c r="G265" s="87"/>
      <c r="H265" s="98"/>
      <c r="I265" s="115"/>
      <c r="J265" s="115"/>
      <c r="K265" s="115"/>
      <c r="L265" s="115"/>
      <c r="M265" s="115"/>
      <c r="N265" s="115"/>
      <c r="O265" s="115"/>
      <c r="P265" s="115"/>
      <c r="W265" s="169"/>
      <c r="Y265" s="152" t="str">
        <f t="shared" si="25"/>
        <v/>
      </c>
      <c r="Z265" s="152" t="str">
        <f t="shared" si="26"/>
        <v/>
      </c>
    </row>
    <row r="266" spans="1:27" s="65" customFormat="1" ht="15" customHeight="1" thickTop="1" x14ac:dyDescent="0.2">
      <c r="A266" s="62" t="s">
        <v>56</v>
      </c>
      <c r="B266" s="62" t="s">
        <v>583</v>
      </c>
      <c r="C266" s="80" t="s">
        <v>584</v>
      </c>
      <c r="D266" s="80" t="s">
        <v>585</v>
      </c>
      <c r="E266" s="63"/>
      <c r="F266" s="62"/>
      <c r="G266" s="62"/>
      <c r="H266" s="64"/>
      <c r="I266" s="108" t="s">
        <v>44</v>
      </c>
      <c r="J266" s="108"/>
      <c r="K266" s="108"/>
      <c r="L266" s="108"/>
      <c r="M266" s="108" t="s">
        <v>586</v>
      </c>
      <c r="N266" s="108"/>
      <c r="O266" s="108"/>
      <c r="P266" s="108"/>
      <c r="U266" s="40" t="s">
        <v>37</v>
      </c>
      <c r="W266" s="169"/>
      <c r="X266" s="66"/>
      <c r="Y266" s="152" t="str">
        <f t="shared" si="25"/>
        <v/>
      </c>
      <c r="Z266" s="152" t="str">
        <f t="shared" si="26"/>
        <v/>
      </c>
      <c r="AA266" s="66"/>
    </row>
    <row r="267" spans="1:27" s="65" customFormat="1" ht="15" customHeight="1" x14ac:dyDescent="0.2">
      <c r="C267" s="81"/>
      <c r="D267" s="81"/>
      <c r="E267" s="63"/>
      <c r="H267" s="64"/>
      <c r="I267" s="109"/>
      <c r="J267" s="109"/>
      <c r="K267" s="109"/>
      <c r="L267" s="109"/>
      <c r="M267" s="109"/>
      <c r="N267" s="109"/>
      <c r="O267" s="109"/>
      <c r="P267" s="109"/>
      <c r="U267" s="40" t="s">
        <v>55</v>
      </c>
      <c r="W267" s="169" t="s">
        <v>55</v>
      </c>
      <c r="X267" s="94">
        <v>1</v>
      </c>
      <c r="Y267" s="152" t="str">
        <f t="shared" si="25"/>
        <v/>
      </c>
      <c r="Z267" s="152" t="str">
        <f t="shared" si="26"/>
        <v/>
      </c>
      <c r="AA267" s="66"/>
    </row>
    <row r="268" spans="1:27" ht="32" x14ac:dyDescent="0.2">
      <c r="A268" s="67" t="s">
        <v>108</v>
      </c>
      <c r="B268" s="67" t="s">
        <v>587</v>
      </c>
      <c r="C268" s="39" t="s">
        <v>588</v>
      </c>
      <c r="D268" s="73" t="s">
        <v>589</v>
      </c>
      <c r="E268" s="76"/>
      <c r="F268" s="67"/>
      <c r="G268" s="67"/>
      <c r="H268" s="77"/>
      <c r="I268" s="105" t="s">
        <v>36</v>
      </c>
      <c r="J268" s="105"/>
      <c r="K268" s="105"/>
      <c r="L268" s="105"/>
      <c r="M268" s="105"/>
      <c r="N268" s="105"/>
      <c r="O268" s="105"/>
      <c r="P268" s="105"/>
      <c r="U268" s="40" t="s">
        <v>37</v>
      </c>
      <c r="W268" s="169">
        <v>19.828245162963867</v>
      </c>
      <c r="X268" s="94">
        <v>1</v>
      </c>
      <c r="Y268" s="152">
        <f t="shared" si="25"/>
        <v>19.828245162963867</v>
      </c>
      <c r="Z268" s="152">
        <f t="shared" si="26"/>
        <v>19.828245162963867</v>
      </c>
    </row>
    <row r="269" spans="1:27" ht="48" x14ac:dyDescent="0.2">
      <c r="A269" s="67" t="s">
        <v>590</v>
      </c>
      <c r="B269" s="67" t="s">
        <v>591</v>
      </c>
      <c r="C269" s="39" t="s">
        <v>592</v>
      </c>
      <c r="D269" s="73" t="s">
        <v>593</v>
      </c>
      <c r="E269" s="76"/>
      <c r="F269" s="67" t="s">
        <v>594</v>
      </c>
      <c r="G269" s="72" t="s">
        <v>595</v>
      </c>
      <c r="H269" s="77"/>
      <c r="I269" s="105" t="s">
        <v>36</v>
      </c>
      <c r="J269" s="105"/>
      <c r="K269" s="107" t="s">
        <v>300</v>
      </c>
      <c r="L269" s="105"/>
      <c r="M269" s="105" t="s">
        <v>596</v>
      </c>
      <c r="N269" s="105"/>
      <c r="O269" s="105"/>
      <c r="P269" s="105"/>
      <c r="U269" s="40" t="s">
        <v>37</v>
      </c>
      <c r="W269" s="169">
        <v>49.529693603515625</v>
      </c>
      <c r="X269" s="94">
        <v>1</v>
      </c>
      <c r="Y269" s="152">
        <f t="shared" si="25"/>
        <v>49.529693603515625</v>
      </c>
      <c r="Z269" s="152">
        <f t="shared" si="26"/>
        <v>49.529693603515625</v>
      </c>
    </row>
    <row r="270" spans="1:27" ht="16" x14ac:dyDescent="0.2">
      <c r="A270" s="67" t="s">
        <v>60</v>
      </c>
      <c r="B270" s="67" t="s">
        <v>597</v>
      </c>
      <c r="C270" s="73" t="s">
        <v>212</v>
      </c>
      <c r="D270" s="42" t="s">
        <v>213</v>
      </c>
      <c r="E270" s="84"/>
      <c r="F270" s="68" t="s">
        <v>214</v>
      </c>
      <c r="G270" s="68" t="s">
        <v>215</v>
      </c>
      <c r="H270" s="77"/>
      <c r="I270" s="105" t="s">
        <v>36</v>
      </c>
      <c r="J270" s="105"/>
      <c r="K270" s="105"/>
      <c r="L270" s="105"/>
      <c r="M270" s="105" t="s">
        <v>598</v>
      </c>
      <c r="N270" s="105"/>
      <c r="O270" s="105"/>
      <c r="P270" s="105"/>
      <c r="U270" s="40" t="s">
        <v>37</v>
      </c>
      <c r="W270" s="169"/>
      <c r="X270" s="94">
        <v>1</v>
      </c>
      <c r="Y270" s="152" t="str">
        <f t="shared" si="25"/>
        <v/>
      </c>
      <c r="Z270" s="152" t="str">
        <f t="shared" si="26"/>
        <v/>
      </c>
    </row>
    <row r="271" spans="1:27" x14ac:dyDescent="0.2">
      <c r="D271" s="42"/>
      <c r="E271" s="76"/>
      <c r="G271" s="68"/>
      <c r="H271" s="77"/>
      <c r="U271" s="40" t="s">
        <v>55</v>
      </c>
      <c r="W271" s="169" t="s">
        <v>55</v>
      </c>
      <c r="X271" s="94">
        <v>1</v>
      </c>
      <c r="Y271" s="152" t="str">
        <f t="shared" si="25"/>
        <v/>
      </c>
      <c r="Z271" s="152" t="str">
        <f t="shared" si="26"/>
        <v/>
      </c>
    </row>
    <row r="272" spans="1:27" s="68" customFormat="1" ht="16" x14ac:dyDescent="0.2">
      <c r="A272" s="72" t="s">
        <v>599</v>
      </c>
      <c r="B272" s="72" t="s">
        <v>600</v>
      </c>
      <c r="C272" s="73" t="s">
        <v>601</v>
      </c>
      <c r="D272" s="73" t="s">
        <v>602</v>
      </c>
      <c r="E272" s="84"/>
      <c r="F272" s="72" t="s">
        <v>603</v>
      </c>
      <c r="G272" s="72" t="s">
        <v>604</v>
      </c>
      <c r="H272" s="86"/>
      <c r="I272" s="107" t="s">
        <v>36</v>
      </c>
      <c r="J272" s="107"/>
      <c r="K272" s="107" t="s">
        <v>605</v>
      </c>
      <c r="L272" s="107"/>
      <c r="M272" s="107"/>
      <c r="N272" s="107"/>
      <c r="O272" s="107"/>
      <c r="P272" s="107"/>
      <c r="U272" s="68" t="s">
        <v>45</v>
      </c>
      <c r="W272" s="169">
        <v>22.029750823974609</v>
      </c>
      <c r="X272" s="94">
        <v>1</v>
      </c>
      <c r="Y272" s="152">
        <f t="shared" si="25"/>
        <v>22.029750823974609</v>
      </c>
      <c r="Z272" s="152" t="str">
        <f t="shared" si="26"/>
        <v/>
      </c>
    </row>
    <row r="273" spans="1:27" s="68" customFormat="1" ht="16" x14ac:dyDescent="0.2">
      <c r="A273" s="72" t="s">
        <v>60</v>
      </c>
      <c r="B273" s="72" t="s">
        <v>606</v>
      </c>
      <c r="C273" s="73" t="s">
        <v>212</v>
      </c>
      <c r="D273" s="42" t="s">
        <v>213</v>
      </c>
      <c r="E273" s="84"/>
      <c r="F273" s="72" t="s">
        <v>214</v>
      </c>
      <c r="G273" s="68" t="s">
        <v>215</v>
      </c>
      <c r="H273" s="86"/>
      <c r="I273" s="107" t="s">
        <v>36</v>
      </c>
      <c r="J273" s="107"/>
      <c r="K273" s="107"/>
      <c r="L273" s="107"/>
      <c r="M273" s="107" t="s">
        <v>607</v>
      </c>
      <c r="N273" s="107"/>
      <c r="O273" s="107"/>
      <c r="P273" s="107"/>
      <c r="U273" s="68" t="s">
        <v>45</v>
      </c>
      <c r="W273" s="169"/>
      <c r="X273" s="94">
        <v>1</v>
      </c>
      <c r="Y273" s="152" t="str">
        <f t="shared" si="25"/>
        <v/>
      </c>
      <c r="Z273" s="152" t="str">
        <f t="shared" si="26"/>
        <v/>
      </c>
    </row>
    <row r="274" spans="1:27" s="68" customFormat="1" ht="16" x14ac:dyDescent="0.2">
      <c r="A274" s="72" t="s">
        <v>608</v>
      </c>
      <c r="B274" s="72" t="s">
        <v>609</v>
      </c>
      <c r="C274" s="73" t="s">
        <v>610</v>
      </c>
      <c r="D274" s="73" t="s">
        <v>611</v>
      </c>
      <c r="E274" s="84"/>
      <c r="F274" s="72" t="s">
        <v>612</v>
      </c>
      <c r="G274" s="72" t="s">
        <v>613</v>
      </c>
      <c r="H274" s="86"/>
      <c r="I274" s="107" t="s">
        <v>36</v>
      </c>
      <c r="J274" s="107"/>
      <c r="K274" s="107"/>
      <c r="L274" s="107"/>
      <c r="M274" s="107" t="s">
        <v>614</v>
      </c>
      <c r="N274" s="107"/>
      <c r="O274" s="107"/>
      <c r="P274" s="107"/>
      <c r="U274" s="68" t="s">
        <v>45</v>
      </c>
      <c r="W274" s="169">
        <v>17</v>
      </c>
      <c r="X274" s="94">
        <v>1</v>
      </c>
      <c r="Y274" s="152">
        <f t="shared" si="25"/>
        <v>17</v>
      </c>
      <c r="Z274" s="152" t="str">
        <f t="shared" si="26"/>
        <v/>
      </c>
    </row>
    <row r="275" spans="1:27" s="69" customFormat="1" x14ac:dyDescent="0.2">
      <c r="C275" s="70"/>
      <c r="D275" s="70"/>
      <c r="E275" s="71"/>
      <c r="H275" s="75"/>
      <c r="I275" s="106"/>
      <c r="J275" s="106"/>
      <c r="K275" s="106"/>
      <c r="L275" s="106"/>
      <c r="M275" s="106"/>
      <c r="N275" s="106"/>
      <c r="O275" s="106"/>
      <c r="P275" s="106"/>
      <c r="R275" s="40"/>
      <c r="U275" s="69" t="s">
        <v>55</v>
      </c>
      <c r="W275" s="169" t="s">
        <v>55</v>
      </c>
      <c r="X275" s="94">
        <v>1</v>
      </c>
      <c r="Y275" s="152" t="str">
        <f t="shared" si="25"/>
        <v/>
      </c>
      <c r="Z275" s="152" t="str">
        <f t="shared" si="26"/>
        <v/>
      </c>
      <c r="AA275" s="68"/>
    </row>
    <row r="276" spans="1:27" s="69" customFormat="1" ht="16" x14ac:dyDescent="0.2">
      <c r="A276" s="69" t="s">
        <v>615</v>
      </c>
      <c r="B276" s="69" t="s">
        <v>616</v>
      </c>
      <c r="C276" s="70" t="s">
        <v>617</v>
      </c>
      <c r="D276" s="70" t="s">
        <v>618</v>
      </c>
      <c r="E276" s="71"/>
      <c r="F276" s="69" t="s">
        <v>619</v>
      </c>
      <c r="G276" s="69" t="s">
        <v>211</v>
      </c>
      <c r="H276" s="75"/>
      <c r="I276" s="106" t="s">
        <v>36</v>
      </c>
      <c r="J276" s="106"/>
      <c r="K276" s="114" t="s">
        <v>300</v>
      </c>
      <c r="L276" s="106"/>
      <c r="M276" s="114" t="s">
        <v>614</v>
      </c>
      <c r="N276" s="106"/>
      <c r="O276" s="106"/>
      <c r="P276" s="106"/>
      <c r="R276" s="40"/>
      <c r="W276" s="169"/>
      <c r="X276" s="94"/>
      <c r="Y276" s="152"/>
      <c r="Z276" s="152"/>
      <c r="AA276" s="68"/>
    </row>
    <row r="277" spans="1:27" s="69" customFormat="1" x14ac:dyDescent="0.2">
      <c r="C277" s="70"/>
      <c r="D277" s="70"/>
      <c r="E277" s="71"/>
      <c r="H277" s="75"/>
      <c r="I277" s="106"/>
      <c r="J277" s="106"/>
      <c r="K277" s="106"/>
      <c r="L277" s="106"/>
      <c r="M277" s="106"/>
      <c r="N277" s="106"/>
      <c r="O277" s="106"/>
      <c r="P277" s="106"/>
      <c r="R277" s="40"/>
      <c r="W277" s="169"/>
      <c r="X277" s="94"/>
      <c r="Y277" s="152"/>
      <c r="Z277" s="152"/>
      <c r="AA277" s="68"/>
    </row>
    <row r="278" spans="1:27" ht="16" thickBot="1" x14ac:dyDescent="0.25">
      <c r="A278" s="87" t="s">
        <v>103</v>
      </c>
      <c r="B278" s="87"/>
      <c r="C278" s="88"/>
      <c r="D278" s="88"/>
      <c r="E278" s="97"/>
      <c r="F278" s="87"/>
      <c r="G278" s="87"/>
      <c r="H278" s="98"/>
      <c r="I278" s="115"/>
      <c r="J278" s="115"/>
      <c r="K278" s="115"/>
      <c r="L278" s="115"/>
      <c r="M278" s="115"/>
      <c r="N278" s="115"/>
      <c r="O278" s="115"/>
      <c r="P278" s="115"/>
      <c r="U278" s="40" t="s">
        <v>55</v>
      </c>
      <c r="W278" s="169" t="s">
        <v>55</v>
      </c>
      <c r="Y278" s="152" t="str">
        <f t="shared" si="25"/>
        <v/>
      </c>
      <c r="Z278" s="152" t="str">
        <f t="shared" si="26"/>
        <v/>
      </c>
    </row>
    <row r="279" spans="1:27" s="65" customFormat="1" ht="17" thickTop="1" x14ac:dyDescent="0.2">
      <c r="A279" s="62" t="s">
        <v>56</v>
      </c>
      <c r="B279" s="62" t="s">
        <v>620</v>
      </c>
      <c r="C279" s="80" t="s">
        <v>621</v>
      </c>
      <c r="D279" s="80" t="s">
        <v>622</v>
      </c>
      <c r="E279" s="63"/>
      <c r="F279" s="62"/>
      <c r="G279" s="62"/>
      <c r="H279" s="64"/>
      <c r="I279" s="108" t="s">
        <v>44</v>
      </c>
      <c r="J279" s="108"/>
      <c r="K279" s="108"/>
      <c r="L279" s="108"/>
      <c r="M279" s="108" t="s">
        <v>107</v>
      </c>
      <c r="N279" s="108"/>
      <c r="O279" s="108"/>
      <c r="P279" s="108"/>
      <c r="U279" s="40" t="s">
        <v>37</v>
      </c>
      <c r="W279" s="169"/>
      <c r="X279" s="155"/>
      <c r="Y279" s="152" t="str">
        <f t="shared" si="25"/>
        <v/>
      </c>
      <c r="Z279" s="152" t="str">
        <f t="shared" si="26"/>
        <v/>
      </c>
      <c r="AA279" s="66"/>
    </row>
    <row r="280" spans="1:27" s="65" customFormat="1" x14ac:dyDescent="0.2">
      <c r="C280" s="81"/>
      <c r="D280" s="81"/>
      <c r="E280" s="63"/>
      <c r="H280" s="64"/>
      <c r="I280" s="109"/>
      <c r="J280" s="109"/>
      <c r="K280" s="109"/>
      <c r="L280" s="109"/>
      <c r="M280" s="109"/>
      <c r="N280" s="109"/>
      <c r="O280" s="109"/>
      <c r="P280" s="109"/>
      <c r="U280" s="40" t="s">
        <v>55</v>
      </c>
      <c r="W280" s="169" t="s">
        <v>55</v>
      </c>
      <c r="X280" s="94">
        <v>1</v>
      </c>
      <c r="Y280" s="152" t="str">
        <f t="shared" si="25"/>
        <v/>
      </c>
      <c r="Z280" s="152" t="str">
        <f t="shared" si="26"/>
        <v/>
      </c>
      <c r="AA280" s="66"/>
    </row>
    <row r="281" spans="1:27" ht="32" x14ac:dyDescent="0.2">
      <c r="A281" s="67" t="s">
        <v>46</v>
      </c>
      <c r="B281" s="67" t="s">
        <v>623</v>
      </c>
      <c r="C281" s="39" t="s">
        <v>624</v>
      </c>
      <c r="D281" s="265" t="s">
        <v>625</v>
      </c>
      <c r="E281" s="76"/>
      <c r="F281" s="67"/>
      <c r="G281" s="67"/>
      <c r="H281" s="77"/>
      <c r="I281" s="105" t="s">
        <v>36</v>
      </c>
      <c r="J281" s="105"/>
      <c r="K281" s="105"/>
      <c r="L281" s="105"/>
      <c r="M281" s="105"/>
      <c r="N281" s="105"/>
      <c r="O281" s="105"/>
      <c r="P281" s="105"/>
      <c r="U281" s="40" t="s">
        <v>37</v>
      </c>
      <c r="W281" s="169">
        <v>36.783046722412109</v>
      </c>
      <c r="X281" s="94">
        <v>1</v>
      </c>
      <c r="Y281" s="152">
        <f t="shared" si="25"/>
        <v>36.783046722412109</v>
      </c>
      <c r="Z281" s="152">
        <f t="shared" si="26"/>
        <v>36.783046722412109</v>
      </c>
    </row>
    <row r="282" spans="1:27" x14ac:dyDescent="0.2">
      <c r="D282" s="274"/>
      <c r="E282" s="76"/>
      <c r="H282" s="77"/>
      <c r="U282" s="40" t="s">
        <v>55</v>
      </c>
      <c r="W282" s="169" t="s">
        <v>55</v>
      </c>
      <c r="X282" s="94">
        <v>1</v>
      </c>
      <c r="Y282" s="152" t="str">
        <f t="shared" si="25"/>
        <v/>
      </c>
      <c r="Z282" s="152" t="str">
        <f t="shared" si="26"/>
        <v/>
      </c>
    </row>
    <row r="283" spans="1:27" s="69" customFormat="1" ht="16" x14ac:dyDescent="0.2">
      <c r="A283" s="143" t="s">
        <v>627</v>
      </c>
      <c r="B283" s="143" t="s">
        <v>628</v>
      </c>
      <c r="C283" s="162" t="s">
        <v>629</v>
      </c>
      <c r="D283" s="277" t="s">
        <v>630</v>
      </c>
      <c r="E283" s="145"/>
      <c r="F283" s="143" t="s">
        <v>631</v>
      </c>
      <c r="G283" s="143" t="s">
        <v>211</v>
      </c>
      <c r="H283" s="146"/>
      <c r="I283" s="142" t="s">
        <v>36</v>
      </c>
      <c r="J283" s="142"/>
      <c r="K283" s="119"/>
      <c r="L283" s="142"/>
      <c r="M283" s="142" t="s">
        <v>626</v>
      </c>
      <c r="N283" s="112"/>
      <c r="O283" s="112"/>
      <c r="P283" s="112"/>
      <c r="U283" s="144" t="s">
        <v>84</v>
      </c>
      <c r="W283" s="169">
        <v>10</v>
      </c>
      <c r="X283" s="94">
        <v>1</v>
      </c>
      <c r="Y283" s="152">
        <f t="shared" si="25"/>
        <v>10</v>
      </c>
      <c r="Z283" s="152" t="str">
        <f t="shared" si="26"/>
        <v/>
      </c>
      <c r="AA283" s="68"/>
    </row>
    <row r="284" spans="1:27" s="69" customFormat="1" ht="16" x14ac:dyDescent="0.2">
      <c r="A284" s="143" t="s">
        <v>632</v>
      </c>
      <c r="B284" s="143" t="s">
        <v>633</v>
      </c>
      <c r="C284" s="162" t="s">
        <v>634</v>
      </c>
      <c r="D284" s="277" t="s">
        <v>635</v>
      </c>
      <c r="E284" s="145"/>
      <c r="F284" s="143" t="s">
        <v>631</v>
      </c>
      <c r="G284" s="143" t="s">
        <v>211</v>
      </c>
      <c r="H284" s="146"/>
      <c r="I284" s="142" t="s">
        <v>36</v>
      </c>
      <c r="J284" s="142"/>
      <c r="K284" s="119"/>
      <c r="L284" s="142"/>
      <c r="M284" s="142" t="s">
        <v>626</v>
      </c>
      <c r="N284" s="112"/>
      <c r="O284" s="112"/>
      <c r="P284" s="112"/>
      <c r="U284" s="144" t="s">
        <v>84</v>
      </c>
      <c r="W284" s="169">
        <v>10</v>
      </c>
      <c r="X284" s="94">
        <v>1</v>
      </c>
      <c r="Y284" s="152">
        <f t="shared" si="25"/>
        <v>10</v>
      </c>
      <c r="Z284" s="152" t="str">
        <f t="shared" si="26"/>
        <v/>
      </c>
      <c r="AA284" s="68"/>
    </row>
    <row r="285" spans="1:27" s="69" customFormat="1" x14ac:dyDescent="0.2">
      <c r="C285" s="70"/>
      <c r="D285" s="261"/>
      <c r="E285" s="71"/>
      <c r="H285" s="75"/>
      <c r="I285" s="106"/>
      <c r="J285" s="106"/>
      <c r="K285" s="106"/>
      <c r="L285" s="106"/>
      <c r="M285" s="106"/>
      <c r="N285" s="106"/>
      <c r="O285" s="106"/>
      <c r="P285" s="106"/>
      <c r="U285" s="69" t="s">
        <v>55</v>
      </c>
      <c r="W285" s="169" t="s">
        <v>55</v>
      </c>
      <c r="X285" s="94">
        <v>1</v>
      </c>
      <c r="Y285" s="152" t="str">
        <f t="shared" si="25"/>
        <v/>
      </c>
      <c r="Z285" s="152" t="str">
        <f t="shared" si="26"/>
        <v/>
      </c>
      <c r="AA285" s="68"/>
    </row>
    <row r="286" spans="1:27" ht="16" x14ac:dyDescent="0.2">
      <c r="A286" s="67" t="s">
        <v>636</v>
      </c>
      <c r="B286" s="67" t="s">
        <v>637</v>
      </c>
      <c r="C286" s="39" t="s">
        <v>638</v>
      </c>
      <c r="D286" s="272" t="s">
        <v>639</v>
      </c>
      <c r="E286" s="76"/>
      <c r="F286" s="67"/>
      <c r="G286" s="67"/>
      <c r="H286" s="77"/>
      <c r="I286" s="105" t="s">
        <v>36</v>
      </c>
      <c r="J286" s="105"/>
      <c r="K286" s="105"/>
      <c r="L286" s="105"/>
      <c r="M286" s="105"/>
      <c r="N286" s="105"/>
      <c r="O286" s="105"/>
      <c r="P286" s="105"/>
      <c r="U286" s="40" t="s">
        <v>37</v>
      </c>
      <c r="W286" s="169">
        <v>3</v>
      </c>
      <c r="X286" s="94">
        <v>1</v>
      </c>
      <c r="Y286" s="152">
        <f t="shared" si="25"/>
        <v>3</v>
      </c>
      <c r="Z286" s="152">
        <f t="shared" si="26"/>
        <v>3</v>
      </c>
    </row>
    <row r="287" spans="1:27" x14ac:dyDescent="0.2">
      <c r="D287" s="268"/>
      <c r="E287" s="76"/>
      <c r="H287" s="77"/>
      <c r="U287" s="40" t="s">
        <v>55</v>
      </c>
      <c r="W287" s="169" t="s">
        <v>55</v>
      </c>
      <c r="X287" s="94">
        <v>1</v>
      </c>
      <c r="Y287" s="152" t="str">
        <f t="shared" si="25"/>
        <v/>
      </c>
      <c r="Z287" s="152" t="str">
        <f t="shared" si="26"/>
        <v/>
      </c>
    </row>
    <row r="288" spans="1:27" ht="16" x14ac:dyDescent="0.2">
      <c r="A288" s="67" t="s">
        <v>40</v>
      </c>
      <c r="B288" s="67" t="s">
        <v>640</v>
      </c>
      <c r="C288" s="39" t="s">
        <v>641</v>
      </c>
      <c r="D288" s="269" t="s">
        <v>642</v>
      </c>
      <c r="E288" s="76"/>
      <c r="F288" s="67"/>
      <c r="G288" s="67"/>
      <c r="H288" s="77"/>
      <c r="I288" s="105" t="s">
        <v>44</v>
      </c>
      <c r="J288" s="105"/>
      <c r="K288" s="105"/>
      <c r="L288" s="105"/>
      <c r="M288" s="105"/>
      <c r="N288" s="105"/>
      <c r="O288" s="105"/>
      <c r="P288" s="105"/>
      <c r="U288" s="40" t="s">
        <v>45</v>
      </c>
      <c r="W288" s="169">
        <v>0</v>
      </c>
      <c r="X288" s="94">
        <v>1</v>
      </c>
      <c r="Y288" s="152">
        <f t="shared" si="25"/>
        <v>0</v>
      </c>
      <c r="Z288" s="152" t="str">
        <f t="shared" si="26"/>
        <v/>
      </c>
    </row>
    <row r="289" spans="1:26" x14ac:dyDescent="0.2">
      <c r="E289" s="76"/>
      <c r="H289" s="77"/>
      <c r="W289" s="169" t="s">
        <v>55</v>
      </c>
      <c r="X289" s="94">
        <v>1</v>
      </c>
      <c r="Y289" s="152" t="str">
        <f t="shared" si="25"/>
        <v/>
      </c>
      <c r="Z289" s="152" t="str">
        <f t="shared" si="26"/>
        <v/>
      </c>
    </row>
    <row r="290" spans="1:26" ht="16" thickBot="1" x14ac:dyDescent="0.25">
      <c r="A290" s="87" t="s">
        <v>103</v>
      </c>
      <c r="B290" s="87"/>
      <c r="C290" s="88"/>
      <c r="D290" s="88"/>
      <c r="E290" s="97"/>
      <c r="F290" s="87"/>
      <c r="G290" s="87"/>
      <c r="H290" s="98"/>
      <c r="I290" s="115"/>
      <c r="J290" s="115"/>
      <c r="K290" s="115"/>
      <c r="L290" s="115"/>
      <c r="M290" s="115"/>
      <c r="N290" s="115"/>
      <c r="O290" s="115"/>
      <c r="P290" s="115"/>
      <c r="W290" s="169" t="s">
        <v>55</v>
      </c>
      <c r="Y290" s="152" t="str">
        <f t="shared" si="25"/>
        <v/>
      </c>
      <c r="Z290" s="152" t="str">
        <f t="shared" si="26"/>
        <v/>
      </c>
    </row>
    <row r="291" spans="1:26" s="69" customFormat="1" ht="16" thickTop="1" x14ac:dyDescent="0.2">
      <c r="C291" s="70"/>
      <c r="D291" s="70"/>
      <c r="E291" s="70"/>
      <c r="I291" s="106"/>
      <c r="J291" s="106"/>
      <c r="K291" s="106"/>
      <c r="L291" s="106"/>
      <c r="M291" s="106"/>
      <c r="N291" s="106"/>
      <c r="O291" s="106"/>
      <c r="P291" s="106"/>
      <c r="W291" s="169"/>
      <c r="X291" s="157"/>
      <c r="Y291" s="156"/>
    </row>
    <row r="292" spans="1:26" ht="16" x14ac:dyDescent="0.2">
      <c r="A292" s="67" t="s">
        <v>643</v>
      </c>
      <c r="B292" s="67" t="s">
        <v>644</v>
      </c>
      <c r="C292" s="39" t="s">
        <v>645</v>
      </c>
      <c r="D292" s="278" t="s">
        <v>646</v>
      </c>
      <c r="F292" s="67"/>
      <c r="G292" s="67"/>
      <c r="I292" s="105" t="s">
        <v>36</v>
      </c>
      <c r="J292" s="105"/>
      <c r="K292" s="105"/>
      <c r="L292" s="105"/>
      <c r="M292" s="105" t="s">
        <v>50</v>
      </c>
      <c r="N292" s="105"/>
      <c r="O292" s="105"/>
      <c r="P292" s="105"/>
      <c r="U292" s="40" t="s">
        <v>45</v>
      </c>
      <c r="W292" s="169"/>
      <c r="Y292" s="152"/>
    </row>
    <row r="293" spans="1:26" s="69" customFormat="1" ht="16" x14ac:dyDescent="0.2">
      <c r="A293" s="69" t="s">
        <v>60</v>
      </c>
      <c r="B293" s="69" t="s">
        <v>647</v>
      </c>
      <c r="C293" s="70" t="s">
        <v>648</v>
      </c>
      <c r="D293" s="324" t="s">
        <v>1785</v>
      </c>
      <c r="E293" s="71"/>
      <c r="F293" s="69" t="s">
        <v>649</v>
      </c>
      <c r="G293" s="69" t="s">
        <v>650</v>
      </c>
      <c r="H293" s="75"/>
      <c r="I293" s="106" t="s">
        <v>44</v>
      </c>
      <c r="J293" s="106"/>
      <c r="K293" s="106"/>
      <c r="L293" s="106"/>
      <c r="M293" s="106"/>
      <c r="N293" s="106"/>
      <c r="O293" s="106"/>
      <c r="P293" s="106"/>
      <c r="U293" s="69" t="s">
        <v>45</v>
      </c>
      <c r="W293" s="169"/>
      <c r="X293" s="94"/>
      <c r="Y293" s="152"/>
      <c r="Z293" s="152" t="str">
        <f>IF(AND(W293&lt;&gt;"",U293="yes"),W293*X293,"")</f>
        <v/>
      </c>
    </row>
    <row r="294" spans="1:26" x14ac:dyDescent="0.2">
      <c r="A294" s="67" t="s">
        <v>26</v>
      </c>
      <c r="B294" s="67" t="s">
        <v>651</v>
      </c>
      <c r="C294" s="39"/>
      <c r="D294" s="39"/>
      <c r="F294" s="67"/>
      <c r="G294" s="67"/>
      <c r="I294" s="105" t="s">
        <v>44</v>
      </c>
      <c r="J294" s="105"/>
      <c r="K294" s="105"/>
      <c r="L294" s="105"/>
      <c r="M294" s="105"/>
      <c r="N294" s="105"/>
      <c r="O294" s="105"/>
      <c r="P294" s="105" t="s">
        <v>652</v>
      </c>
      <c r="U294" s="40" t="s">
        <v>45</v>
      </c>
      <c r="W294" s="169"/>
    </row>
    <row r="295" spans="1:26" x14ac:dyDescent="0.2">
      <c r="W295" s="169"/>
    </row>
    <row r="299" spans="1:26" ht="16" thickBot="1" x14ac:dyDescent="0.25"/>
    <row r="300" spans="1:26" ht="17" thickBot="1" x14ac:dyDescent="0.25">
      <c r="S300" s="178" t="s">
        <v>653</v>
      </c>
      <c r="T300" s="179"/>
      <c r="U300" s="179"/>
      <c r="V300" s="179"/>
      <c r="W300" s="171"/>
      <c r="X300" s="158"/>
      <c r="Y300" s="159">
        <f>(SUM(Y4:Y288)/60)</f>
        <v>25.361715145626096</v>
      </c>
      <c r="Z300" s="159">
        <f>(SUM(Z4:Z47)+AVERAGE(Z48:Z48)+SUM(Z49:Z288))/60</f>
        <v>14.662794379910883</v>
      </c>
    </row>
  </sheetData>
  <sheetProtection algorithmName="SHA-512" hashValue="mF1mz7L2iOpll7dev1hFS6U0i8QxrGQC9sGPImthAfaCnpwNwud6XosHHJ0SJ3FYDpPlAzNSE64qXEM8kwmQhA==" saltValue="5Q4moFSj1E/HYxmLB9b4d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98"/>
  <sheetViews>
    <sheetView tabSelected="1" zoomScale="112" zoomScaleNormal="70" workbookViewId="0">
      <pane ySplit="1" topLeftCell="A2" activePane="bottomLeft" state="frozen"/>
      <selection pane="bottomLeft" activeCell="C19" sqref="C19"/>
    </sheetView>
  </sheetViews>
  <sheetFormatPr baseColWidth="10" defaultColWidth="8.83203125" defaultRowHeight="15" x14ac:dyDescent="0.2"/>
  <cols>
    <col min="1" max="1" width="26.5" style="3" customWidth="1"/>
    <col min="2" max="2" width="30" style="350" customWidth="1"/>
    <col min="3" max="3" width="62.1640625" style="3" customWidth="1"/>
    <col min="4" max="4" width="70.5" style="3" customWidth="1"/>
    <col min="5" max="5" width="20" style="3" customWidth="1"/>
    <col min="6" max="6" width="16.1640625" style="3" customWidth="1"/>
    <col min="7" max="16384" width="8.83203125" style="3"/>
  </cols>
  <sheetData>
    <row r="1" spans="1:6" x14ac:dyDescent="0.2">
      <c r="A1" s="2" t="s">
        <v>654</v>
      </c>
      <c r="B1" s="349" t="s">
        <v>1</v>
      </c>
      <c r="C1" s="2" t="s">
        <v>2</v>
      </c>
      <c r="D1" s="2" t="s">
        <v>3</v>
      </c>
      <c r="E1" s="1" t="s">
        <v>4</v>
      </c>
      <c r="F1" s="6" t="s">
        <v>655</v>
      </c>
    </row>
    <row r="2" spans="1:6" s="12" customFormat="1" x14ac:dyDescent="0.2">
      <c r="A2" s="316" t="s">
        <v>1730</v>
      </c>
      <c r="B2" s="348">
        <v>1</v>
      </c>
      <c r="C2" s="316" t="s">
        <v>1788</v>
      </c>
      <c r="D2" s="326" t="s">
        <v>1789</v>
      </c>
      <c r="E2" s="184"/>
      <c r="F2" s="185"/>
    </row>
    <row r="3" spans="1:6" s="12" customFormat="1" x14ac:dyDescent="0.2">
      <c r="A3" s="316" t="s">
        <v>1730</v>
      </c>
      <c r="B3" s="348">
        <v>2</v>
      </c>
      <c r="C3" s="316" t="s">
        <v>1790</v>
      </c>
      <c r="D3" s="326" t="s">
        <v>1791</v>
      </c>
      <c r="E3" s="184"/>
      <c r="F3" s="185"/>
    </row>
    <row r="4" spans="1:6" s="12" customFormat="1" x14ac:dyDescent="0.2">
      <c r="A4" s="316" t="s">
        <v>1730</v>
      </c>
      <c r="B4" s="348">
        <v>3</v>
      </c>
      <c r="C4" s="316" t="s">
        <v>1792</v>
      </c>
      <c r="D4" s="326" t="s">
        <v>1793</v>
      </c>
      <c r="E4" s="184"/>
      <c r="F4" s="185"/>
    </row>
    <row r="5" spans="1:6" s="12" customFormat="1" x14ac:dyDescent="0.2">
      <c r="A5" s="316" t="s">
        <v>1730</v>
      </c>
      <c r="B5" s="348">
        <v>4</v>
      </c>
      <c r="C5" s="316" t="s">
        <v>1794</v>
      </c>
      <c r="D5" s="326" t="s">
        <v>1795</v>
      </c>
      <c r="E5" s="184"/>
      <c r="F5" s="185"/>
    </row>
    <row r="6" spans="1:6" x14ac:dyDescent="0.2">
      <c r="A6" s="316" t="s">
        <v>1730</v>
      </c>
      <c r="B6" s="348">
        <v>5</v>
      </c>
      <c r="C6" s="316" t="s">
        <v>1796</v>
      </c>
      <c r="D6" s="326" t="s">
        <v>1797</v>
      </c>
      <c r="E6" s="1"/>
      <c r="F6" s="2"/>
    </row>
    <row r="7" spans="1:6" x14ac:dyDescent="0.2">
      <c r="E7" s="4"/>
    </row>
    <row r="8" spans="1:6" x14ac:dyDescent="0.2">
      <c r="A8" t="s">
        <v>656</v>
      </c>
      <c r="B8" s="351">
        <v>1</v>
      </c>
      <c r="C8" t="s">
        <v>657</v>
      </c>
      <c r="D8" s="280" t="s">
        <v>658</v>
      </c>
      <c r="E8" s="4"/>
    </row>
    <row r="9" spans="1:6" x14ac:dyDescent="0.2">
      <c r="A9" t="s">
        <v>656</v>
      </c>
      <c r="B9" s="351">
        <v>2</v>
      </c>
      <c r="C9" t="s">
        <v>659</v>
      </c>
      <c r="D9" s="280" t="s">
        <v>660</v>
      </c>
      <c r="E9" s="4"/>
    </row>
    <row r="10" spans="1:6" x14ac:dyDescent="0.2">
      <c r="A10" t="s">
        <v>656</v>
      </c>
      <c r="B10" s="352">
        <v>3</v>
      </c>
      <c r="C10" t="s">
        <v>661</v>
      </c>
      <c r="D10" s="280" t="s">
        <v>662</v>
      </c>
      <c r="E10" s="4"/>
    </row>
    <row r="11" spans="1:6" x14ac:dyDescent="0.2">
      <c r="A11" t="s">
        <v>656</v>
      </c>
      <c r="B11" s="352">
        <v>4</v>
      </c>
      <c r="C11" t="s">
        <v>663</v>
      </c>
      <c r="D11" s="280" t="s">
        <v>664</v>
      </c>
      <c r="E11" s="4"/>
    </row>
    <row r="12" spans="1:6" x14ac:dyDescent="0.2">
      <c r="E12" s="4"/>
    </row>
    <row r="13" spans="1:6" x14ac:dyDescent="0.2">
      <c r="A13" t="s">
        <v>665</v>
      </c>
      <c r="B13" s="351" t="s">
        <v>665</v>
      </c>
      <c r="C13" t="s">
        <v>665</v>
      </c>
      <c r="D13" s="280" t="s">
        <v>666</v>
      </c>
      <c r="E13" s="4"/>
    </row>
    <row r="14" spans="1:6" x14ac:dyDescent="0.2">
      <c r="E14" s="4"/>
    </row>
    <row r="15" spans="1:6" x14ac:dyDescent="0.2">
      <c r="A15" t="s">
        <v>667</v>
      </c>
      <c r="B15" s="351">
        <v>1</v>
      </c>
      <c r="C15" t="s">
        <v>657</v>
      </c>
      <c r="D15" s="280" t="s">
        <v>658</v>
      </c>
      <c r="E15" s="4"/>
    </row>
    <row r="16" spans="1:6" x14ac:dyDescent="0.2">
      <c r="A16" t="s">
        <v>667</v>
      </c>
      <c r="B16" s="351">
        <v>2</v>
      </c>
      <c r="C16" t="s">
        <v>659</v>
      </c>
      <c r="D16" s="280" t="s">
        <v>660</v>
      </c>
      <c r="E16" s="4"/>
    </row>
    <row r="17" spans="1:5" x14ac:dyDescent="0.2">
      <c r="A17" s="327" t="s">
        <v>667</v>
      </c>
      <c r="B17" s="353">
        <v>3</v>
      </c>
      <c r="C17" s="327" t="s">
        <v>1798</v>
      </c>
      <c r="D17" s="326" t="s">
        <v>1799</v>
      </c>
      <c r="E17" s="4"/>
    </row>
    <row r="18" spans="1:5" x14ac:dyDescent="0.2">
      <c r="D18" s="13"/>
      <c r="E18" s="4"/>
    </row>
    <row r="19" spans="1:5" s="10" customFormat="1" x14ac:dyDescent="0.2">
      <c r="A19" s="280" t="s">
        <v>668</v>
      </c>
      <c r="B19" s="196" t="s">
        <v>669</v>
      </c>
      <c r="C19" s="280" t="s">
        <v>670</v>
      </c>
      <c r="D19" s="280" t="s">
        <v>671</v>
      </c>
      <c r="E19" s="7"/>
    </row>
    <row r="20" spans="1:5" x14ac:dyDescent="0.2">
      <c r="E20" s="4"/>
    </row>
    <row r="21" spans="1:5" x14ac:dyDescent="0.2">
      <c r="A21" t="s">
        <v>672</v>
      </c>
      <c r="B21" s="351">
        <v>1</v>
      </c>
      <c r="C21" t="s">
        <v>673</v>
      </c>
      <c r="D21" t="s">
        <v>674</v>
      </c>
      <c r="E21" s="4"/>
    </row>
    <row r="22" spans="1:5" x14ac:dyDescent="0.2">
      <c r="A22" t="s">
        <v>672</v>
      </c>
      <c r="B22" s="351">
        <v>2</v>
      </c>
      <c r="C22" t="s">
        <v>675</v>
      </c>
      <c r="D22" t="s">
        <v>676</v>
      </c>
      <c r="E22" s="4"/>
    </row>
    <row r="23" spans="1:5" x14ac:dyDescent="0.2">
      <c r="A23" t="s">
        <v>672</v>
      </c>
      <c r="B23" s="352">
        <v>3</v>
      </c>
      <c r="C23" s="280" t="s">
        <v>661</v>
      </c>
      <c r="D23" s="280" t="s">
        <v>662</v>
      </c>
      <c r="E23" s="4"/>
    </row>
    <row r="24" spans="1:5" x14ac:dyDescent="0.2">
      <c r="A24" t="s">
        <v>672</v>
      </c>
      <c r="B24" s="352">
        <v>4</v>
      </c>
      <c r="C24" s="280" t="s">
        <v>663</v>
      </c>
      <c r="D24" s="280" t="s">
        <v>664</v>
      </c>
      <c r="E24" s="4"/>
    </row>
    <row r="25" spans="1:5" x14ac:dyDescent="0.2">
      <c r="C25" s="13"/>
      <c r="D25" s="13"/>
      <c r="E25" s="4"/>
    </row>
    <row r="26" spans="1:5" x14ac:dyDescent="0.2">
      <c r="A26" t="s">
        <v>677</v>
      </c>
      <c r="B26" s="351">
        <v>1</v>
      </c>
      <c r="C26" t="s">
        <v>678</v>
      </c>
      <c r="D26" s="280" t="s">
        <v>679</v>
      </c>
      <c r="E26" s="4"/>
    </row>
    <row r="27" spans="1:5" x14ac:dyDescent="0.2">
      <c r="A27" t="s">
        <v>677</v>
      </c>
      <c r="B27" s="351">
        <v>2</v>
      </c>
      <c r="C27" t="s">
        <v>680</v>
      </c>
      <c r="D27" t="s">
        <v>681</v>
      </c>
      <c r="E27" s="4"/>
    </row>
    <row r="28" spans="1:5" x14ac:dyDescent="0.2">
      <c r="A28" t="s">
        <v>677</v>
      </c>
      <c r="B28" s="351">
        <v>3</v>
      </c>
      <c r="C28" t="s">
        <v>682</v>
      </c>
      <c r="D28" t="s">
        <v>683</v>
      </c>
      <c r="E28" s="4"/>
    </row>
    <row r="29" spans="1:5" x14ac:dyDescent="0.2">
      <c r="A29" t="s">
        <v>677</v>
      </c>
      <c r="B29" s="351">
        <v>4</v>
      </c>
      <c r="C29" t="s">
        <v>659</v>
      </c>
      <c r="D29" t="s">
        <v>660</v>
      </c>
      <c r="E29" s="4"/>
    </row>
    <row r="30" spans="1:5" x14ac:dyDescent="0.2">
      <c r="A30" t="s">
        <v>677</v>
      </c>
      <c r="B30" s="352">
        <v>5</v>
      </c>
      <c r="C30" s="280" t="s">
        <v>661</v>
      </c>
      <c r="D30" s="280" t="s">
        <v>662</v>
      </c>
      <c r="E30" s="4"/>
    </row>
    <row r="31" spans="1:5" x14ac:dyDescent="0.2">
      <c r="A31" t="s">
        <v>677</v>
      </c>
      <c r="B31" s="352">
        <v>6</v>
      </c>
      <c r="C31" t="s">
        <v>663</v>
      </c>
      <c r="D31" s="280" t="s">
        <v>664</v>
      </c>
      <c r="E31" s="4"/>
    </row>
    <row r="32" spans="1:5" x14ac:dyDescent="0.2">
      <c r="E32" s="4"/>
    </row>
    <row r="33" spans="1:5" x14ac:dyDescent="0.2">
      <c r="A33" t="s">
        <v>684</v>
      </c>
      <c r="B33" s="351">
        <v>1</v>
      </c>
      <c r="C33" s="280" t="s">
        <v>685</v>
      </c>
      <c r="D33" s="280" t="s">
        <v>686</v>
      </c>
      <c r="E33" s="4"/>
    </row>
    <row r="34" spans="1:5" x14ac:dyDescent="0.2">
      <c r="A34" t="s">
        <v>684</v>
      </c>
      <c r="B34" s="351">
        <v>2</v>
      </c>
      <c r="C34" s="280" t="s">
        <v>687</v>
      </c>
      <c r="D34" s="280" t="s">
        <v>688</v>
      </c>
      <c r="E34" s="4"/>
    </row>
    <row r="35" spans="1:5" x14ac:dyDescent="0.2">
      <c r="A35" t="s">
        <v>684</v>
      </c>
      <c r="B35" s="351">
        <v>3</v>
      </c>
      <c r="C35" s="280" t="s">
        <v>689</v>
      </c>
      <c r="D35" s="280" t="s">
        <v>690</v>
      </c>
      <c r="E35" s="4"/>
    </row>
    <row r="36" spans="1:5" x14ac:dyDescent="0.2">
      <c r="A36" t="s">
        <v>684</v>
      </c>
      <c r="B36" s="351">
        <v>4</v>
      </c>
      <c r="C36" s="280" t="s">
        <v>691</v>
      </c>
      <c r="D36" s="280" t="s">
        <v>692</v>
      </c>
      <c r="E36" s="4"/>
    </row>
    <row r="37" spans="1:5" x14ac:dyDescent="0.2">
      <c r="A37" t="s">
        <v>684</v>
      </c>
      <c r="B37" s="351">
        <v>5</v>
      </c>
      <c r="C37" s="280" t="s">
        <v>693</v>
      </c>
      <c r="D37" s="280" t="s">
        <v>694</v>
      </c>
      <c r="E37" s="4"/>
    </row>
    <row r="38" spans="1:5" x14ac:dyDescent="0.2">
      <c r="A38" t="s">
        <v>684</v>
      </c>
      <c r="B38" s="352">
        <v>6</v>
      </c>
      <c r="C38" t="s">
        <v>661</v>
      </c>
      <c r="D38" s="280" t="s">
        <v>662</v>
      </c>
      <c r="E38" s="4"/>
    </row>
    <row r="39" spans="1:5" x14ac:dyDescent="0.2">
      <c r="A39" t="s">
        <v>684</v>
      </c>
      <c r="B39" s="352">
        <v>7</v>
      </c>
      <c r="C39" t="s">
        <v>663</v>
      </c>
      <c r="D39" s="280" t="s">
        <v>664</v>
      </c>
      <c r="E39" s="4"/>
    </row>
    <row r="40" spans="1:5" x14ac:dyDescent="0.2">
      <c r="B40" s="354"/>
      <c r="E40" s="4"/>
    </row>
    <row r="41" spans="1:5" x14ac:dyDescent="0.2">
      <c r="A41" t="s">
        <v>695</v>
      </c>
      <c r="B41" s="352">
        <v>1</v>
      </c>
      <c r="C41" t="s">
        <v>696</v>
      </c>
      <c r="D41" t="s">
        <v>697</v>
      </c>
      <c r="E41" s="4"/>
    </row>
    <row r="42" spans="1:5" x14ac:dyDescent="0.2">
      <c r="A42" t="s">
        <v>695</v>
      </c>
      <c r="B42" s="352">
        <v>2</v>
      </c>
      <c r="C42" t="s">
        <v>698</v>
      </c>
      <c r="D42" t="s">
        <v>699</v>
      </c>
      <c r="E42" s="4"/>
    </row>
    <row r="43" spans="1:5" x14ac:dyDescent="0.2">
      <c r="A43" t="s">
        <v>695</v>
      </c>
      <c r="B43" s="352">
        <v>3</v>
      </c>
      <c r="C43" t="s">
        <v>700</v>
      </c>
      <c r="D43" t="s">
        <v>701</v>
      </c>
      <c r="E43" s="4"/>
    </row>
    <row r="44" spans="1:5" x14ac:dyDescent="0.2">
      <c r="A44" t="s">
        <v>695</v>
      </c>
      <c r="B44" s="352">
        <v>4</v>
      </c>
      <c r="C44" t="s">
        <v>702</v>
      </c>
      <c r="D44" t="s">
        <v>703</v>
      </c>
      <c r="E44" s="4"/>
    </row>
    <row r="45" spans="1:5" x14ac:dyDescent="0.2">
      <c r="A45" t="s">
        <v>695</v>
      </c>
      <c r="B45" s="352">
        <v>5</v>
      </c>
      <c r="C45" t="s">
        <v>704</v>
      </c>
      <c r="D45" t="s">
        <v>705</v>
      </c>
      <c r="E45" s="4"/>
    </row>
    <row r="46" spans="1:5" x14ac:dyDescent="0.2">
      <c r="A46" t="s">
        <v>695</v>
      </c>
      <c r="B46" s="352">
        <v>6</v>
      </c>
      <c r="C46" t="s">
        <v>706</v>
      </c>
      <c r="D46" t="s">
        <v>707</v>
      </c>
      <c r="E46" s="4"/>
    </row>
    <row r="47" spans="1:5" x14ac:dyDescent="0.2">
      <c r="A47" t="s">
        <v>695</v>
      </c>
      <c r="B47" s="352">
        <v>7</v>
      </c>
      <c r="C47" t="s">
        <v>708</v>
      </c>
      <c r="D47" t="s">
        <v>709</v>
      </c>
      <c r="E47" s="4"/>
    </row>
    <row r="48" spans="1:5" x14ac:dyDescent="0.2">
      <c r="A48" t="s">
        <v>695</v>
      </c>
      <c r="B48" s="352">
        <v>8</v>
      </c>
      <c r="C48" t="s">
        <v>710</v>
      </c>
      <c r="D48" t="s">
        <v>711</v>
      </c>
      <c r="E48" s="4"/>
    </row>
    <row r="49" spans="1:5" x14ac:dyDescent="0.2">
      <c r="A49" t="s">
        <v>695</v>
      </c>
      <c r="B49" s="352">
        <v>9</v>
      </c>
      <c r="C49" t="s">
        <v>712</v>
      </c>
      <c r="D49" t="s">
        <v>713</v>
      </c>
      <c r="E49" s="4"/>
    </row>
    <row r="50" spans="1:5" x14ac:dyDescent="0.2">
      <c r="A50" t="s">
        <v>695</v>
      </c>
      <c r="B50" s="352">
        <v>10</v>
      </c>
      <c r="C50" t="s">
        <v>714</v>
      </c>
      <c r="D50" t="s">
        <v>715</v>
      </c>
      <c r="E50" s="4"/>
    </row>
    <row r="51" spans="1:5" x14ac:dyDescent="0.2">
      <c r="A51" t="s">
        <v>695</v>
      </c>
      <c r="B51" s="352">
        <v>11</v>
      </c>
      <c r="C51" t="s">
        <v>661</v>
      </c>
      <c r="D51" s="280" t="s">
        <v>662</v>
      </c>
      <c r="E51" s="4"/>
    </row>
    <row r="52" spans="1:5" x14ac:dyDescent="0.2">
      <c r="A52" t="s">
        <v>695</v>
      </c>
      <c r="B52" s="352">
        <v>12</v>
      </c>
      <c r="C52" t="s">
        <v>663</v>
      </c>
      <c r="D52" s="280" t="s">
        <v>664</v>
      </c>
      <c r="E52" s="4"/>
    </row>
    <row r="53" spans="1:5" x14ac:dyDescent="0.2">
      <c r="B53" s="354"/>
      <c r="E53" s="4"/>
    </row>
    <row r="54" spans="1:5" x14ac:dyDescent="0.2">
      <c r="A54" s="12"/>
      <c r="B54" s="355"/>
      <c r="C54" s="12"/>
      <c r="E54" s="4"/>
    </row>
    <row r="55" spans="1:5" x14ac:dyDescent="0.2">
      <c r="A55" t="s">
        <v>720</v>
      </c>
      <c r="B55" s="351">
        <v>1</v>
      </c>
      <c r="C55" t="s">
        <v>721</v>
      </c>
      <c r="D55" t="s">
        <v>722</v>
      </c>
      <c r="E55" s="4"/>
    </row>
    <row r="56" spans="1:5" x14ac:dyDescent="0.2">
      <c r="A56" t="s">
        <v>720</v>
      </c>
      <c r="B56" s="351">
        <v>2</v>
      </c>
      <c r="C56" t="s">
        <v>723</v>
      </c>
      <c r="D56" t="s">
        <v>724</v>
      </c>
      <c r="E56" s="4"/>
    </row>
    <row r="57" spans="1:5" x14ac:dyDescent="0.2">
      <c r="A57" t="s">
        <v>720</v>
      </c>
      <c r="B57" s="351">
        <v>3</v>
      </c>
      <c r="C57" t="s">
        <v>725</v>
      </c>
      <c r="D57" t="s">
        <v>726</v>
      </c>
      <c r="E57" s="4"/>
    </row>
    <row r="58" spans="1:5" x14ac:dyDescent="0.2">
      <c r="A58" t="s">
        <v>720</v>
      </c>
      <c r="B58" s="351">
        <v>4</v>
      </c>
      <c r="C58" t="s">
        <v>727</v>
      </c>
      <c r="D58" t="s">
        <v>728</v>
      </c>
      <c r="E58" s="4"/>
    </row>
    <row r="59" spans="1:5" x14ac:dyDescent="0.2">
      <c r="A59" t="s">
        <v>720</v>
      </c>
      <c r="B59" s="351">
        <v>5</v>
      </c>
      <c r="C59" t="s">
        <v>729</v>
      </c>
      <c r="D59" t="s">
        <v>730</v>
      </c>
      <c r="E59" s="4"/>
    </row>
    <row r="60" spans="1:5" x14ac:dyDescent="0.2">
      <c r="A60" t="s">
        <v>720</v>
      </c>
      <c r="B60" s="351">
        <v>6</v>
      </c>
      <c r="C60" t="s">
        <v>731</v>
      </c>
      <c r="D60" t="s">
        <v>732</v>
      </c>
      <c r="E60" s="4"/>
    </row>
    <row r="61" spans="1:5" x14ac:dyDescent="0.2">
      <c r="A61" t="s">
        <v>720</v>
      </c>
      <c r="B61" s="351">
        <v>7</v>
      </c>
      <c r="C61" t="s">
        <v>733</v>
      </c>
      <c r="D61" t="s">
        <v>734</v>
      </c>
      <c r="E61" s="4"/>
    </row>
    <row r="62" spans="1:5" x14ac:dyDescent="0.2">
      <c r="A62" t="s">
        <v>720</v>
      </c>
      <c r="B62" s="351">
        <v>8</v>
      </c>
      <c r="C62" t="s">
        <v>735</v>
      </c>
      <c r="D62" t="s">
        <v>736</v>
      </c>
      <c r="E62" s="4"/>
    </row>
    <row r="63" spans="1:5" x14ac:dyDescent="0.2">
      <c r="A63" t="s">
        <v>720</v>
      </c>
      <c r="B63" s="351">
        <v>9</v>
      </c>
      <c r="C63" t="s">
        <v>737</v>
      </c>
      <c r="D63" t="s">
        <v>738</v>
      </c>
      <c r="E63" s="4"/>
    </row>
    <row r="64" spans="1:5" x14ac:dyDescent="0.2">
      <c r="A64" t="s">
        <v>720</v>
      </c>
      <c r="B64" s="351">
        <v>10</v>
      </c>
      <c r="C64" t="s">
        <v>739</v>
      </c>
      <c r="D64" t="s">
        <v>740</v>
      </c>
      <c r="E64" s="4"/>
    </row>
    <row r="65" spans="1:5" x14ac:dyDescent="0.2">
      <c r="A65" t="s">
        <v>720</v>
      </c>
      <c r="B65" s="351">
        <v>11</v>
      </c>
      <c r="C65" t="s">
        <v>741</v>
      </c>
      <c r="D65" t="s">
        <v>742</v>
      </c>
      <c r="E65" s="4"/>
    </row>
    <row r="66" spans="1:5" x14ac:dyDescent="0.2">
      <c r="A66" t="s">
        <v>720</v>
      </c>
      <c r="B66" s="351">
        <v>12</v>
      </c>
      <c r="C66" t="s">
        <v>743</v>
      </c>
      <c r="D66" t="s">
        <v>744</v>
      </c>
      <c r="E66" s="4"/>
    </row>
    <row r="67" spans="1:5" x14ac:dyDescent="0.2">
      <c r="A67" t="s">
        <v>720</v>
      </c>
      <c r="B67" s="351">
        <v>13</v>
      </c>
      <c r="C67" t="s">
        <v>745</v>
      </c>
      <c r="D67" t="s">
        <v>746</v>
      </c>
      <c r="E67" s="4"/>
    </row>
    <row r="68" spans="1:5" x14ac:dyDescent="0.2">
      <c r="A68" t="s">
        <v>720</v>
      </c>
      <c r="B68" s="351">
        <v>14</v>
      </c>
      <c r="C68" t="s">
        <v>747</v>
      </c>
      <c r="D68" t="s">
        <v>748</v>
      </c>
      <c r="E68" s="4"/>
    </row>
    <row r="69" spans="1:5" x14ac:dyDescent="0.2">
      <c r="A69" t="s">
        <v>720</v>
      </c>
      <c r="B69" s="351">
        <v>15</v>
      </c>
      <c r="C69" t="s">
        <v>749</v>
      </c>
      <c r="D69" t="s">
        <v>750</v>
      </c>
      <c r="E69" s="4"/>
    </row>
    <row r="70" spans="1:5" x14ac:dyDescent="0.2">
      <c r="A70" t="s">
        <v>720</v>
      </c>
      <c r="B70" s="351">
        <v>16</v>
      </c>
      <c r="C70" t="s">
        <v>751</v>
      </c>
      <c r="D70" t="s">
        <v>752</v>
      </c>
      <c r="E70" s="4"/>
    </row>
    <row r="71" spans="1:5" x14ac:dyDescent="0.2">
      <c r="A71" t="s">
        <v>720</v>
      </c>
      <c r="B71" s="351">
        <v>17</v>
      </c>
      <c r="C71" t="s">
        <v>753</v>
      </c>
      <c r="D71" t="s">
        <v>754</v>
      </c>
      <c r="E71" s="4"/>
    </row>
    <row r="72" spans="1:5" x14ac:dyDescent="0.2">
      <c r="A72" t="s">
        <v>720</v>
      </c>
      <c r="B72" s="351">
        <v>18</v>
      </c>
      <c r="C72" t="s">
        <v>755</v>
      </c>
      <c r="D72" t="s">
        <v>756</v>
      </c>
      <c r="E72" s="4"/>
    </row>
    <row r="73" spans="1:5" x14ac:dyDescent="0.2">
      <c r="A73" t="s">
        <v>720</v>
      </c>
      <c r="B73" s="351">
        <v>19</v>
      </c>
      <c r="C73" t="s">
        <v>757</v>
      </c>
      <c r="D73" t="s">
        <v>758</v>
      </c>
      <c r="E73" s="4"/>
    </row>
    <row r="74" spans="1:5" x14ac:dyDescent="0.2">
      <c r="A74" t="s">
        <v>720</v>
      </c>
      <c r="B74" s="351">
        <v>20</v>
      </c>
      <c r="C74" t="s">
        <v>663</v>
      </c>
      <c r="D74" t="s">
        <v>664</v>
      </c>
      <c r="E74" s="4"/>
    </row>
    <row r="75" spans="1:5" x14ac:dyDescent="0.2">
      <c r="E75" s="4"/>
    </row>
    <row r="76" spans="1:5" x14ac:dyDescent="0.2">
      <c r="A76" t="s">
        <v>759</v>
      </c>
      <c r="B76" s="351">
        <v>1</v>
      </c>
      <c r="C76" t="s">
        <v>673</v>
      </c>
      <c r="D76" t="s">
        <v>674</v>
      </c>
      <c r="E76" s="4"/>
    </row>
    <row r="77" spans="1:5" x14ac:dyDescent="0.2">
      <c r="A77" t="s">
        <v>759</v>
      </c>
      <c r="B77" s="351">
        <v>2</v>
      </c>
      <c r="C77" t="s">
        <v>675</v>
      </c>
      <c r="D77" t="s">
        <v>676</v>
      </c>
      <c r="E77" s="4"/>
    </row>
    <row r="78" spans="1:5" x14ac:dyDescent="0.2">
      <c r="A78" t="s">
        <v>759</v>
      </c>
      <c r="B78" s="351">
        <v>3</v>
      </c>
      <c r="C78" t="s">
        <v>760</v>
      </c>
      <c r="D78" t="s">
        <v>761</v>
      </c>
      <c r="E78" s="4"/>
    </row>
    <row r="79" spans="1:5" x14ac:dyDescent="0.2">
      <c r="A79" t="s">
        <v>759</v>
      </c>
      <c r="B79" s="351">
        <v>4</v>
      </c>
      <c r="C79" t="s">
        <v>661</v>
      </c>
      <c r="D79" s="280" t="s">
        <v>662</v>
      </c>
      <c r="E79" s="4"/>
    </row>
    <row r="80" spans="1:5" x14ac:dyDescent="0.2">
      <c r="A80" t="s">
        <v>759</v>
      </c>
      <c r="B80" s="351">
        <v>5</v>
      </c>
      <c r="C80" t="s">
        <v>663</v>
      </c>
      <c r="D80" s="280" t="s">
        <v>664</v>
      </c>
      <c r="E80" s="4"/>
    </row>
    <row r="81" spans="1:5" x14ac:dyDescent="0.2">
      <c r="E81" s="4"/>
    </row>
    <row r="82" spans="1:5" x14ac:dyDescent="0.2">
      <c r="A82" t="s">
        <v>762</v>
      </c>
      <c r="B82" s="351">
        <v>1</v>
      </c>
      <c r="C82" t="s">
        <v>763</v>
      </c>
      <c r="D82" t="s">
        <v>764</v>
      </c>
      <c r="E82" s="4"/>
    </row>
    <row r="83" spans="1:5" x14ac:dyDescent="0.2">
      <c r="A83" t="s">
        <v>762</v>
      </c>
      <c r="B83" s="351">
        <v>2</v>
      </c>
      <c r="C83" t="s">
        <v>765</v>
      </c>
      <c r="D83" t="s">
        <v>766</v>
      </c>
      <c r="E83" s="4"/>
    </row>
    <row r="84" spans="1:5" x14ac:dyDescent="0.2">
      <c r="A84" t="s">
        <v>762</v>
      </c>
      <c r="B84" s="351">
        <v>3</v>
      </c>
      <c r="C84" t="s">
        <v>767</v>
      </c>
      <c r="D84" t="s">
        <v>768</v>
      </c>
      <c r="E84" s="4"/>
    </row>
    <row r="85" spans="1:5" x14ac:dyDescent="0.2">
      <c r="A85" t="s">
        <v>762</v>
      </c>
      <c r="B85" s="351">
        <v>4</v>
      </c>
      <c r="C85" t="s">
        <v>661</v>
      </c>
      <c r="D85" s="280" t="s">
        <v>662</v>
      </c>
      <c r="E85" s="4"/>
    </row>
    <row r="86" spans="1:5" x14ac:dyDescent="0.2">
      <c r="A86" t="s">
        <v>762</v>
      </c>
      <c r="B86" s="351">
        <v>5</v>
      </c>
      <c r="C86" t="s">
        <v>663</v>
      </c>
      <c r="D86" s="280" t="s">
        <v>664</v>
      </c>
      <c r="E86" s="4"/>
    </row>
    <row r="87" spans="1:5" x14ac:dyDescent="0.2">
      <c r="E87" s="4"/>
    </row>
    <row r="88" spans="1:5" x14ac:dyDescent="0.2">
      <c r="A88" t="s">
        <v>769</v>
      </c>
      <c r="B88" s="351">
        <v>1</v>
      </c>
      <c r="C88" t="s">
        <v>770</v>
      </c>
      <c r="D88" t="s">
        <v>771</v>
      </c>
      <c r="E88" s="4"/>
    </row>
    <row r="89" spans="1:5" x14ac:dyDescent="0.2">
      <c r="A89" t="s">
        <v>769</v>
      </c>
      <c r="B89" s="351">
        <v>2</v>
      </c>
      <c r="C89" t="s">
        <v>772</v>
      </c>
      <c r="D89" t="s">
        <v>773</v>
      </c>
      <c r="E89" s="4"/>
    </row>
    <row r="90" spans="1:5" x14ac:dyDescent="0.2">
      <c r="A90" t="s">
        <v>769</v>
      </c>
      <c r="B90" s="351">
        <v>3</v>
      </c>
      <c r="C90" t="s">
        <v>774</v>
      </c>
      <c r="D90" t="s">
        <v>775</v>
      </c>
      <c r="E90" s="4"/>
    </row>
    <row r="91" spans="1:5" x14ac:dyDescent="0.2">
      <c r="A91" t="s">
        <v>769</v>
      </c>
      <c r="B91" s="351">
        <v>4</v>
      </c>
      <c r="C91" t="s">
        <v>776</v>
      </c>
      <c r="D91" t="s">
        <v>777</v>
      </c>
      <c r="E91" s="4"/>
    </row>
    <row r="92" spans="1:5" x14ac:dyDescent="0.2">
      <c r="A92" t="s">
        <v>769</v>
      </c>
      <c r="B92" s="351">
        <v>5</v>
      </c>
      <c r="C92" t="s">
        <v>778</v>
      </c>
      <c r="D92" t="s">
        <v>779</v>
      </c>
      <c r="E92" s="4"/>
    </row>
    <row r="93" spans="1:5" x14ac:dyDescent="0.2">
      <c r="A93" t="s">
        <v>769</v>
      </c>
      <c r="B93" s="352">
        <v>6</v>
      </c>
      <c r="C93" t="s">
        <v>661</v>
      </c>
      <c r="D93" t="s">
        <v>662</v>
      </c>
      <c r="E93" s="4"/>
    </row>
    <row r="94" spans="1:5" x14ac:dyDescent="0.2">
      <c r="A94" t="s">
        <v>769</v>
      </c>
      <c r="B94" s="352">
        <v>7</v>
      </c>
      <c r="C94" t="s">
        <v>663</v>
      </c>
      <c r="D94" t="s">
        <v>664</v>
      </c>
      <c r="E94" s="4"/>
    </row>
    <row r="95" spans="1:5" x14ac:dyDescent="0.2">
      <c r="E95" s="4"/>
    </row>
    <row r="96" spans="1:5" s="13" customFormat="1" x14ac:dyDescent="0.2">
      <c r="A96" s="280" t="s">
        <v>780</v>
      </c>
      <c r="B96" s="351">
        <v>1</v>
      </c>
      <c r="C96" t="s">
        <v>721</v>
      </c>
      <c r="D96" t="s">
        <v>722</v>
      </c>
      <c r="E96" s="5"/>
    </row>
    <row r="97" spans="1:5" s="13" customFormat="1" x14ac:dyDescent="0.2">
      <c r="A97" s="280" t="s">
        <v>780</v>
      </c>
      <c r="B97" s="351">
        <v>2</v>
      </c>
      <c r="C97" t="s">
        <v>723</v>
      </c>
      <c r="D97" t="s">
        <v>724</v>
      </c>
      <c r="E97" s="5"/>
    </row>
    <row r="98" spans="1:5" s="13" customFormat="1" x14ac:dyDescent="0.2">
      <c r="A98" s="280" t="s">
        <v>780</v>
      </c>
      <c r="B98" s="351">
        <v>3</v>
      </c>
      <c r="C98" t="s">
        <v>725</v>
      </c>
      <c r="D98" t="s">
        <v>726</v>
      </c>
      <c r="E98" s="5"/>
    </row>
    <row r="99" spans="1:5" s="13" customFormat="1" x14ac:dyDescent="0.2">
      <c r="A99" s="280" t="s">
        <v>780</v>
      </c>
      <c r="B99" s="351">
        <v>4</v>
      </c>
      <c r="C99" t="s">
        <v>727</v>
      </c>
      <c r="D99" t="s">
        <v>728</v>
      </c>
      <c r="E99" s="5"/>
    </row>
    <row r="100" spans="1:5" s="13" customFormat="1" x14ac:dyDescent="0.2">
      <c r="A100" s="280" t="s">
        <v>780</v>
      </c>
      <c r="B100" s="351">
        <v>5</v>
      </c>
      <c r="C100" t="s">
        <v>729</v>
      </c>
      <c r="D100" t="s">
        <v>730</v>
      </c>
      <c r="E100" s="5"/>
    </row>
    <row r="101" spans="1:5" s="13" customFormat="1" x14ac:dyDescent="0.2">
      <c r="A101" s="280" t="s">
        <v>780</v>
      </c>
      <c r="B101" s="351">
        <v>6</v>
      </c>
      <c r="C101" t="s">
        <v>731</v>
      </c>
      <c r="D101" t="s">
        <v>732</v>
      </c>
      <c r="E101" s="5"/>
    </row>
    <row r="102" spans="1:5" s="13" customFormat="1" x14ac:dyDescent="0.2">
      <c r="A102" s="280" t="s">
        <v>780</v>
      </c>
      <c r="B102" s="351">
        <v>7</v>
      </c>
      <c r="C102" t="s">
        <v>733</v>
      </c>
      <c r="D102" t="s">
        <v>734</v>
      </c>
      <c r="E102" s="5"/>
    </row>
    <row r="103" spans="1:5" s="13" customFormat="1" x14ac:dyDescent="0.2">
      <c r="A103" s="280" t="s">
        <v>780</v>
      </c>
      <c r="B103" s="351">
        <v>8</v>
      </c>
      <c r="C103" t="s">
        <v>735</v>
      </c>
      <c r="D103" t="s">
        <v>736</v>
      </c>
      <c r="E103" s="5"/>
    </row>
    <row r="104" spans="1:5" s="13" customFormat="1" x14ac:dyDescent="0.2">
      <c r="A104" s="280" t="s">
        <v>780</v>
      </c>
      <c r="B104" s="351">
        <v>9</v>
      </c>
      <c r="C104" t="s">
        <v>737</v>
      </c>
      <c r="D104" t="s">
        <v>738</v>
      </c>
      <c r="E104" s="5"/>
    </row>
    <row r="105" spans="1:5" s="13" customFormat="1" x14ac:dyDescent="0.2">
      <c r="A105" s="280" t="s">
        <v>780</v>
      </c>
      <c r="B105" s="351">
        <v>10</v>
      </c>
      <c r="C105" t="s">
        <v>739</v>
      </c>
      <c r="D105" t="s">
        <v>740</v>
      </c>
      <c r="E105" s="5"/>
    </row>
    <row r="106" spans="1:5" s="13" customFormat="1" x14ac:dyDescent="0.2">
      <c r="A106" s="280" t="s">
        <v>780</v>
      </c>
      <c r="B106" s="351">
        <v>11</v>
      </c>
      <c r="C106" t="s">
        <v>741</v>
      </c>
      <c r="D106" t="s">
        <v>742</v>
      </c>
      <c r="E106" s="5"/>
    </row>
    <row r="107" spans="1:5" s="13" customFormat="1" x14ac:dyDescent="0.2">
      <c r="A107" s="280" t="s">
        <v>780</v>
      </c>
      <c r="B107" s="351">
        <v>12</v>
      </c>
      <c r="C107" t="s">
        <v>743</v>
      </c>
      <c r="D107" t="s">
        <v>744</v>
      </c>
      <c r="E107" s="5"/>
    </row>
    <row r="108" spans="1:5" s="13" customFormat="1" x14ac:dyDescent="0.2">
      <c r="A108" s="280" t="s">
        <v>780</v>
      </c>
      <c r="B108" s="351">
        <v>13</v>
      </c>
      <c r="C108" t="s">
        <v>745</v>
      </c>
      <c r="D108" t="s">
        <v>746</v>
      </c>
      <c r="E108" s="5"/>
    </row>
    <row r="109" spans="1:5" s="13" customFormat="1" x14ac:dyDescent="0.2">
      <c r="A109" s="280" t="s">
        <v>780</v>
      </c>
      <c r="B109" s="351">
        <v>14</v>
      </c>
      <c r="C109" t="s">
        <v>747</v>
      </c>
      <c r="D109" t="s">
        <v>748</v>
      </c>
      <c r="E109" s="5"/>
    </row>
    <row r="110" spans="1:5" s="13" customFormat="1" x14ac:dyDescent="0.2">
      <c r="A110" s="280" t="s">
        <v>780</v>
      </c>
      <c r="B110" s="196">
        <v>15</v>
      </c>
      <c r="C110" s="280" t="s">
        <v>749</v>
      </c>
      <c r="D110" t="s">
        <v>750</v>
      </c>
      <c r="E110" s="5"/>
    </row>
    <row r="111" spans="1:5" s="13" customFormat="1" x14ac:dyDescent="0.2">
      <c r="A111" s="280" t="s">
        <v>780</v>
      </c>
      <c r="B111" s="196">
        <v>16</v>
      </c>
      <c r="C111" s="280" t="s">
        <v>751</v>
      </c>
      <c r="D111" t="s">
        <v>752</v>
      </c>
      <c r="E111" s="5"/>
    </row>
    <row r="112" spans="1:5" s="13" customFormat="1" x14ac:dyDescent="0.2">
      <c r="A112" s="280" t="s">
        <v>780</v>
      </c>
      <c r="B112" s="196">
        <v>17</v>
      </c>
      <c r="C112" s="280" t="s">
        <v>753</v>
      </c>
      <c r="D112" t="s">
        <v>754</v>
      </c>
      <c r="E112" s="5"/>
    </row>
    <row r="113" spans="1:5" s="13" customFormat="1" x14ac:dyDescent="0.2">
      <c r="A113" s="280" t="s">
        <v>780</v>
      </c>
      <c r="B113" s="196">
        <v>18</v>
      </c>
      <c r="C113" s="280" t="s">
        <v>781</v>
      </c>
      <c r="D113" t="s">
        <v>756</v>
      </c>
      <c r="E113" s="5"/>
    </row>
    <row r="114" spans="1:5" s="13" customFormat="1" x14ac:dyDescent="0.2">
      <c r="A114" s="280" t="s">
        <v>780</v>
      </c>
      <c r="B114" s="196">
        <v>19</v>
      </c>
      <c r="C114" s="280" t="s">
        <v>782</v>
      </c>
      <c r="D114" s="280" t="s">
        <v>783</v>
      </c>
      <c r="E114" s="5"/>
    </row>
    <row r="115" spans="1:5" s="13" customFormat="1" x14ac:dyDescent="0.2">
      <c r="A115" s="280" t="s">
        <v>780</v>
      </c>
      <c r="B115" s="352">
        <v>20</v>
      </c>
      <c r="C115" s="280" t="s">
        <v>661</v>
      </c>
      <c r="D115" t="s">
        <v>662</v>
      </c>
      <c r="E115" s="5"/>
    </row>
    <row r="116" spans="1:5" s="13" customFormat="1" x14ac:dyDescent="0.2">
      <c r="A116" s="280" t="s">
        <v>780</v>
      </c>
      <c r="B116" s="352">
        <v>21</v>
      </c>
      <c r="C116" s="280" t="s">
        <v>663</v>
      </c>
      <c r="D116" t="s">
        <v>664</v>
      </c>
      <c r="E116" s="5"/>
    </row>
    <row r="117" spans="1:5" s="13" customFormat="1" x14ac:dyDescent="0.2">
      <c r="B117" s="356"/>
      <c r="E117" s="5"/>
    </row>
    <row r="118" spans="1:5" s="13" customFormat="1" x14ac:dyDescent="0.2">
      <c r="A118" s="280" t="s">
        <v>784</v>
      </c>
      <c r="B118" s="351">
        <v>1</v>
      </c>
      <c r="C118" t="s">
        <v>721</v>
      </c>
      <c r="D118" t="s">
        <v>722</v>
      </c>
      <c r="E118" s="5"/>
    </row>
    <row r="119" spans="1:5" s="13" customFormat="1" x14ac:dyDescent="0.2">
      <c r="A119" s="280" t="s">
        <v>784</v>
      </c>
      <c r="B119" s="351">
        <v>2</v>
      </c>
      <c r="C119" t="s">
        <v>723</v>
      </c>
      <c r="D119" t="s">
        <v>724</v>
      </c>
      <c r="E119" s="5"/>
    </row>
    <row r="120" spans="1:5" s="13" customFormat="1" x14ac:dyDescent="0.2">
      <c r="A120" s="280" t="s">
        <v>784</v>
      </c>
      <c r="B120" s="351">
        <v>3</v>
      </c>
      <c r="C120" t="s">
        <v>725</v>
      </c>
      <c r="D120" t="s">
        <v>726</v>
      </c>
      <c r="E120" s="5"/>
    </row>
    <row r="121" spans="1:5" s="13" customFormat="1" x14ac:dyDescent="0.2">
      <c r="A121" s="280" t="s">
        <v>784</v>
      </c>
      <c r="B121" s="351">
        <v>4</v>
      </c>
      <c r="C121" t="s">
        <v>727</v>
      </c>
      <c r="D121" t="s">
        <v>728</v>
      </c>
      <c r="E121" s="5"/>
    </row>
    <row r="122" spans="1:5" s="13" customFormat="1" x14ac:dyDescent="0.2">
      <c r="A122" s="280" t="s">
        <v>784</v>
      </c>
      <c r="B122" s="351">
        <v>5</v>
      </c>
      <c r="C122" t="s">
        <v>729</v>
      </c>
      <c r="D122" t="s">
        <v>730</v>
      </c>
      <c r="E122" s="5"/>
    </row>
    <row r="123" spans="1:5" s="13" customFormat="1" x14ac:dyDescent="0.2">
      <c r="A123" s="280" t="s">
        <v>784</v>
      </c>
      <c r="B123" s="351">
        <v>6</v>
      </c>
      <c r="C123" t="s">
        <v>731</v>
      </c>
      <c r="D123" t="s">
        <v>732</v>
      </c>
      <c r="E123" s="5"/>
    </row>
    <row r="124" spans="1:5" s="13" customFormat="1" x14ac:dyDescent="0.2">
      <c r="A124" s="280" t="s">
        <v>784</v>
      </c>
      <c r="B124" s="351">
        <v>7</v>
      </c>
      <c r="C124" t="s">
        <v>733</v>
      </c>
      <c r="D124" t="s">
        <v>734</v>
      </c>
      <c r="E124" s="5"/>
    </row>
    <row r="125" spans="1:5" s="13" customFormat="1" x14ac:dyDescent="0.2">
      <c r="A125" s="280" t="s">
        <v>784</v>
      </c>
      <c r="B125" s="351">
        <v>8</v>
      </c>
      <c r="C125" t="s">
        <v>735</v>
      </c>
      <c r="D125" t="s">
        <v>736</v>
      </c>
      <c r="E125" s="5"/>
    </row>
    <row r="126" spans="1:5" s="13" customFormat="1" x14ac:dyDescent="0.2">
      <c r="A126" s="280" t="s">
        <v>784</v>
      </c>
      <c r="B126" s="351">
        <v>9</v>
      </c>
      <c r="C126" t="s">
        <v>737</v>
      </c>
      <c r="D126" t="s">
        <v>738</v>
      </c>
      <c r="E126" s="5"/>
    </row>
    <row r="127" spans="1:5" s="13" customFormat="1" x14ac:dyDescent="0.2">
      <c r="A127" s="280" t="s">
        <v>784</v>
      </c>
      <c r="B127" s="351">
        <v>10</v>
      </c>
      <c r="C127" t="s">
        <v>739</v>
      </c>
      <c r="D127" t="s">
        <v>740</v>
      </c>
      <c r="E127" s="5"/>
    </row>
    <row r="128" spans="1:5" s="13" customFormat="1" x14ac:dyDescent="0.2">
      <c r="A128" s="280" t="s">
        <v>784</v>
      </c>
      <c r="B128" s="351">
        <v>11</v>
      </c>
      <c r="C128" t="s">
        <v>741</v>
      </c>
      <c r="D128" t="s">
        <v>742</v>
      </c>
      <c r="E128" s="5"/>
    </row>
    <row r="129" spans="1:5" s="13" customFormat="1" x14ac:dyDescent="0.2">
      <c r="A129" s="280" t="s">
        <v>784</v>
      </c>
      <c r="B129" s="351">
        <v>12</v>
      </c>
      <c r="C129" t="s">
        <v>743</v>
      </c>
      <c r="D129" t="s">
        <v>744</v>
      </c>
      <c r="E129" s="5"/>
    </row>
    <row r="130" spans="1:5" s="13" customFormat="1" x14ac:dyDescent="0.2">
      <c r="A130" s="280" t="s">
        <v>784</v>
      </c>
      <c r="B130" s="351">
        <v>13</v>
      </c>
      <c r="C130" t="s">
        <v>745</v>
      </c>
      <c r="D130" t="s">
        <v>746</v>
      </c>
      <c r="E130" s="5"/>
    </row>
    <row r="131" spans="1:5" s="13" customFormat="1" x14ac:dyDescent="0.2">
      <c r="A131" s="280" t="s">
        <v>784</v>
      </c>
      <c r="B131" s="351">
        <v>14</v>
      </c>
      <c r="C131" t="s">
        <v>747</v>
      </c>
      <c r="D131" t="s">
        <v>748</v>
      </c>
      <c r="E131" s="5"/>
    </row>
    <row r="132" spans="1:5" s="13" customFormat="1" x14ac:dyDescent="0.2">
      <c r="A132" s="280" t="s">
        <v>784</v>
      </c>
      <c r="B132" s="196">
        <v>15</v>
      </c>
      <c r="C132" s="280" t="s">
        <v>749</v>
      </c>
      <c r="D132" t="s">
        <v>750</v>
      </c>
      <c r="E132" s="5"/>
    </row>
    <row r="133" spans="1:5" s="13" customFormat="1" x14ac:dyDescent="0.2">
      <c r="A133" s="280" t="s">
        <v>784</v>
      </c>
      <c r="B133" s="196">
        <v>16</v>
      </c>
      <c r="C133" s="280" t="s">
        <v>751</v>
      </c>
      <c r="D133" t="s">
        <v>752</v>
      </c>
      <c r="E133" s="5"/>
    </row>
    <row r="134" spans="1:5" s="13" customFormat="1" x14ac:dyDescent="0.2">
      <c r="A134" s="280" t="s">
        <v>784</v>
      </c>
      <c r="B134" s="196">
        <v>17</v>
      </c>
      <c r="C134" s="280" t="s">
        <v>753</v>
      </c>
      <c r="D134" t="s">
        <v>754</v>
      </c>
      <c r="E134" s="5"/>
    </row>
    <row r="135" spans="1:5" s="13" customFormat="1" x14ac:dyDescent="0.2">
      <c r="A135" s="280" t="s">
        <v>784</v>
      </c>
      <c r="B135" s="196">
        <v>18</v>
      </c>
      <c r="C135" s="280" t="s">
        <v>785</v>
      </c>
      <c r="D135" t="s">
        <v>756</v>
      </c>
      <c r="E135" s="5"/>
    </row>
    <row r="136" spans="1:5" s="13" customFormat="1" x14ac:dyDescent="0.2">
      <c r="A136" s="280" t="s">
        <v>784</v>
      </c>
      <c r="B136" s="196">
        <v>19</v>
      </c>
      <c r="C136" s="280" t="s">
        <v>786</v>
      </c>
      <c r="D136" s="280" t="s">
        <v>787</v>
      </c>
      <c r="E136" s="5"/>
    </row>
    <row r="137" spans="1:5" s="13" customFormat="1" x14ac:dyDescent="0.2">
      <c r="A137" s="280" t="s">
        <v>784</v>
      </c>
      <c r="B137" s="352">
        <v>20</v>
      </c>
      <c r="C137" s="280" t="s">
        <v>661</v>
      </c>
      <c r="D137" t="s">
        <v>662</v>
      </c>
      <c r="E137" s="5"/>
    </row>
    <row r="138" spans="1:5" s="13" customFormat="1" x14ac:dyDescent="0.2">
      <c r="A138" s="280" t="s">
        <v>784</v>
      </c>
      <c r="B138" s="352">
        <v>21</v>
      </c>
      <c r="C138" s="280" t="s">
        <v>663</v>
      </c>
      <c r="D138" t="s">
        <v>664</v>
      </c>
      <c r="E138" s="5"/>
    </row>
    <row r="139" spans="1:5" s="11" customFormat="1" x14ac:dyDescent="0.2">
      <c r="B139" s="357"/>
      <c r="E139" s="8"/>
    </row>
    <row r="140" spans="1:5" x14ac:dyDescent="0.2">
      <c r="A140" t="s">
        <v>204</v>
      </c>
      <c r="B140" s="351" t="s">
        <v>788</v>
      </c>
      <c r="C140" t="s">
        <v>789</v>
      </c>
      <c r="D140" t="s">
        <v>790</v>
      </c>
      <c r="E140" s="4"/>
    </row>
    <row r="141" spans="1:5" x14ac:dyDescent="0.2">
      <c r="A141" t="s">
        <v>204</v>
      </c>
      <c r="B141" s="351" t="s">
        <v>791</v>
      </c>
      <c r="C141" t="s">
        <v>792</v>
      </c>
      <c r="D141" t="s">
        <v>793</v>
      </c>
      <c r="E141" s="4"/>
    </row>
    <row r="142" spans="1:5" x14ac:dyDescent="0.2">
      <c r="A142" t="s">
        <v>204</v>
      </c>
      <c r="B142" s="351" t="s">
        <v>794</v>
      </c>
      <c r="C142" t="s">
        <v>795</v>
      </c>
      <c r="D142" t="s">
        <v>796</v>
      </c>
      <c r="E142" s="4"/>
    </row>
    <row r="143" spans="1:5" x14ac:dyDescent="0.2">
      <c r="A143" t="s">
        <v>204</v>
      </c>
      <c r="B143" s="351" t="s">
        <v>797</v>
      </c>
      <c r="C143" t="s">
        <v>798</v>
      </c>
      <c r="D143" t="s">
        <v>799</v>
      </c>
      <c r="E143" s="4"/>
    </row>
    <row r="144" spans="1:5" x14ac:dyDescent="0.2">
      <c r="A144" t="s">
        <v>204</v>
      </c>
      <c r="B144" s="351" t="s">
        <v>800</v>
      </c>
      <c r="C144" t="s">
        <v>801</v>
      </c>
      <c r="D144" t="s">
        <v>802</v>
      </c>
      <c r="E144" s="4"/>
    </row>
    <row r="145" spans="1:5" x14ac:dyDescent="0.2">
      <c r="A145" t="s">
        <v>204</v>
      </c>
      <c r="B145" s="351" t="s">
        <v>803</v>
      </c>
      <c r="C145" t="s">
        <v>804</v>
      </c>
      <c r="D145" t="s">
        <v>805</v>
      </c>
      <c r="E145" s="4"/>
    </row>
    <row r="146" spans="1:5" x14ac:dyDescent="0.2">
      <c r="A146" t="s">
        <v>204</v>
      </c>
      <c r="B146" s="351" t="s">
        <v>806</v>
      </c>
      <c r="C146" t="s">
        <v>807</v>
      </c>
      <c r="D146" t="s">
        <v>808</v>
      </c>
      <c r="E146" s="4"/>
    </row>
    <row r="147" spans="1:5" x14ac:dyDescent="0.2">
      <c r="A147" t="s">
        <v>204</v>
      </c>
      <c r="B147" s="351" t="s">
        <v>809</v>
      </c>
      <c r="C147" t="s">
        <v>810</v>
      </c>
      <c r="D147" t="s">
        <v>811</v>
      </c>
      <c r="E147" s="4"/>
    </row>
    <row r="148" spans="1:5" x14ac:dyDescent="0.2">
      <c r="A148" t="s">
        <v>204</v>
      </c>
      <c r="B148" s="351" t="s">
        <v>812</v>
      </c>
      <c r="C148" t="s">
        <v>813</v>
      </c>
      <c r="D148" t="s">
        <v>814</v>
      </c>
      <c r="E148" s="4"/>
    </row>
    <row r="149" spans="1:5" x14ac:dyDescent="0.2">
      <c r="A149" t="s">
        <v>204</v>
      </c>
      <c r="B149" s="351" t="s">
        <v>815</v>
      </c>
      <c r="C149" t="s">
        <v>816</v>
      </c>
      <c r="D149" t="s">
        <v>817</v>
      </c>
      <c r="E149" s="4"/>
    </row>
    <row r="150" spans="1:5" x14ac:dyDescent="0.2">
      <c r="A150" t="s">
        <v>204</v>
      </c>
      <c r="B150" s="351" t="s">
        <v>818</v>
      </c>
      <c r="C150" t="s">
        <v>819</v>
      </c>
      <c r="D150" t="s">
        <v>820</v>
      </c>
      <c r="E150" s="4"/>
    </row>
    <row r="151" spans="1:5" x14ac:dyDescent="0.2">
      <c r="A151" t="s">
        <v>204</v>
      </c>
      <c r="B151" s="351" t="s">
        <v>821</v>
      </c>
      <c r="C151" t="s">
        <v>822</v>
      </c>
      <c r="D151" t="s">
        <v>823</v>
      </c>
      <c r="E151" s="4"/>
    </row>
    <row r="152" spans="1:5" x14ac:dyDescent="0.2">
      <c r="A152" t="s">
        <v>204</v>
      </c>
      <c r="B152" s="351" t="s">
        <v>824</v>
      </c>
      <c r="C152" t="s">
        <v>825</v>
      </c>
      <c r="D152" t="s">
        <v>826</v>
      </c>
      <c r="E152" s="4"/>
    </row>
    <row r="153" spans="1:5" x14ac:dyDescent="0.2">
      <c r="A153" t="s">
        <v>204</v>
      </c>
      <c r="B153" s="351" t="s">
        <v>827</v>
      </c>
      <c r="C153" t="s">
        <v>828</v>
      </c>
      <c r="D153" t="s">
        <v>829</v>
      </c>
      <c r="E153" s="4"/>
    </row>
    <row r="154" spans="1:5" x14ac:dyDescent="0.2">
      <c r="A154" t="s">
        <v>204</v>
      </c>
      <c r="B154" s="351" t="s">
        <v>830</v>
      </c>
      <c r="C154" t="s">
        <v>831</v>
      </c>
      <c r="D154" t="s">
        <v>832</v>
      </c>
      <c r="E154" s="4"/>
    </row>
    <row r="155" spans="1:5" x14ac:dyDescent="0.2">
      <c r="A155" t="s">
        <v>204</v>
      </c>
      <c r="B155" s="351" t="s">
        <v>833</v>
      </c>
      <c r="C155" t="s">
        <v>834</v>
      </c>
      <c r="D155" t="s">
        <v>835</v>
      </c>
      <c r="E155" s="4"/>
    </row>
    <row r="156" spans="1:5" x14ac:dyDescent="0.2">
      <c r="A156" t="s">
        <v>204</v>
      </c>
      <c r="B156" s="351" t="s">
        <v>836</v>
      </c>
      <c r="C156" t="s">
        <v>837</v>
      </c>
      <c r="D156" t="s">
        <v>838</v>
      </c>
      <c r="E156" s="4"/>
    </row>
    <row r="157" spans="1:5" x14ac:dyDescent="0.2">
      <c r="A157" t="s">
        <v>204</v>
      </c>
      <c r="B157" s="351" t="s">
        <v>839</v>
      </c>
      <c r="C157" t="s">
        <v>840</v>
      </c>
      <c r="D157" t="s">
        <v>841</v>
      </c>
      <c r="E157" s="4"/>
    </row>
    <row r="158" spans="1:5" x14ac:dyDescent="0.2">
      <c r="A158" t="s">
        <v>204</v>
      </c>
      <c r="B158" s="351" t="s">
        <v>842</v>
      </c>
      <c r="C158" t="s">
        <v>843</v>
      </c>
      <c r="D158" t="s">
        <v>844</v>
      </c>
      <c r="E158" s="4"/>
    </row>
    <row r="159" spans="1:5" x14ac:dyDescent="0.2">
      <c r="A159" t="s">
        <v>204</v>
      </c>
      <c r="B159" s="351" t="s">
        <v>845</v>
      </c>
      <c r="C159" t="s">
        <v>846</v>
      </c>
      <c r="D159" t="s">
        <v>847</v>
      </c>
      <c r="E159" s="4"/>
    </row>
    <row r="160" spans="1:5" x14ac:dyDescent="0.2">
      <c r="A160" t="s">
        <v>204</v>
      </c>
      <c r="B160" s="351" t="s">
        <v>848</v>
      </c>
      <c r="C160" t="s">
        <v>849</v>
      </c>
      <c r="D160" t="s">
        <v>850</v>
      </c>
      <c r="E160" s="4"/>
    </row>
    <row r="161" spans="1:5" x14ac:dyDescent="0.2">
      <c r="A161" t="s">
        <v>204</v>
      </c>
      <c r="B161" s="351" t="s">
        <v>851</v>
      </c>
      <c r="C161" t="s">
        <v>852</v>
      </c>
      <c r="D161" t="s">
        <v>853</v>
      </c>
      <c r="E161" s="4"/>
    </row>
    <row r="162" spans="1:5" x14ac:dyDescent="0.2">
      <c r="A162" t="s">
        <v>204</v>
      </c>
      <c r="B162" s="351" t="s">
        <v>854</v>
      </c>
      <c r="C162" t="s">
        <v>855</v>
      </c>
      <c r="D162" t="s">
        <v>856</v>
      </c>
      <c r="E162" s="4"/>
    </row>
    <row r="163" spans="1:5" x14ac:dyDescent="0.2">
      <c r="A163" t="s">
        <v>204</v>
      </c>
      <c r="B163" s="351" t="s">
        <v>857</v>
      </c>
      <c r="C163" t="s">
        <v>858</v>
      </c>
      <c r="D163" t="s">
        <v>859</v>
      </c>
      <c r="E163" s="4"/>
    </row>
    <row r="164" spans="1:5" x14ac:dyDescent="0.2">
      <c r="A164" t="s">
        <v>204</v>
      </c>
      <c r="B164" s="351" t="s">
        <v>860</v>
      </c>
      <c r="C164" t="s">
        <v>861</v>
      </c>
      <c r="D164" t="s">
        <v>862</v>
      </c>
      <c r="E164" s="4"/>
    </row>
    <row r="165" spans="1:5" x14ac:dyDescent="0.2">
      <c r="A165" t="s">
        <v>204</v>
      </c>
      <c r="B165" s="351" t="s">
        <v>718</v>
      </c>
      <c r="C165" t="s">
        <v>661</v>
      </c>
      <c r="D165" t="s">
        <v>662</v>
      </c>
      <c r="E165" s="4"/>
    </row>
    <row r="166" spans="1:5" x14ac:dyDescent="0.2">
      <c r="A166" t="s">
        <v>204</v>
      </c>
      <c r="B166" s="351" t="s">
        <v>719</v>
      </c>
      <c r="C166" t="s">
        <v>663</v>
      </c>
      <c r="D166" t="s">
        <v>664</v>
      </c>
      <c r="E166" s="4"/>
    </row>
    <row r="167" spans="1:5" x14ac:dyDescent="0.2">
      <c r="E167" s="4"/>
    </row>
    <row r="168" spans="1:5" x14ac:dyDescent="0.2">
      <c r="E168" s="4"/>
    </row>
    <row r="169" spans="1:5" s="12" customFormat="1" x14ac:dyDescent="0.2">
      <c r="A169" s="280" t="s">
        <v>865</v>
      </c>
      <c r="B169" s="196">
        <v>1</v>
      </c>
      <c r="C169" s="280" t="s">
        <v>866</v>
      </c>
      <c r="D169" s="280" t="s">
        <v>867</v>
      </c>
      <c r="E169" s="14"/>
    </row>
    <row r="170" spans="1:5" s="12" customFormat="1" x14ac:dyDescent="0.2">
      <c r="A170" s="280" t="s">
        <v>865</v>
      </c>
      <c r="B170" s="196">
        <v>2</v>
      </c>
      <c r="C170" s="280" t="s">
        <v>868</v>
      </c>
      <c r="D170" s="280" t="s">
        <v>869</v>
      </c>
      <c r="E170" s="14"/>
    </row>
    <row r="171" spans="1:5" s="12" customFormat="1" x14ac:dyDescent="0.2">
      <c r="A171" s="280" t="s">
        <v>865</v>
      </c>
      <c r="B171" s="196">
        <v>3</v>
      </c>
      <c r="C171" s="280" t="s">
        <v>870</v>
      </c>
      <c r="D171" s="280" t="s">
        <v>871</v>
      </c>
      <c r="E171" s="14"/>
    </row>
    <row r="172" spans="1:5" s="12" customFormat="1" x14ac:dyDescent="0.2">
      <c r="A172" s="280" t="s">
        <v>865</v>
      </c>
      <c r="B172" s="196">
        <v>4</v>
      </c>
      <c r="C172" s="280" t="s">
        <v>872</v>
      </c>
      <c r="D172" s="280" t="s">
        <v>873</v>
      </c>
      <c r="E172" s="14"/>
    </row>
    <row r="173" spans="1:5" s="12" customFormat="1" x14ac:dyDescent="0.2">
      <c r="A173" s="280" t="s">
        <v>865</v>
      </c>
      <c r="B173" s="196">
        <v>5</v>
      </c>
      <c r="C173" s="280" t="s">
        <v>2092</v>
      </c>
      <c r="D173" s="280" t="s">
        <v>2091</v>
      </c>
      <c r="E173" s="14"/>
    </row>
    <row r="174" spans="1:5" s="12" customFormat="1" x14ac:dyDescent="0.2">
      <c r="B174" s="355"/>
      <c r="E174" s="14"/>
    </row>
    <row r="175" spans="1:5" s="13" customFormat="1" x14ac:dyDescent="0.2">
      <c r="A175" s="280" t="s">
        <v>874</v>
      </c>
      <c r="B175" s="196">
        <v>1</v>
      </c>
      <c r="C175" s="280" t="s">
        <v>875</v>
      </c>
      <c r="D175" s="280" t="s">
        <v>876</v>
      </c>
      <c r="E175" s="5"/>
    </row>
    <row r="176" spans="1:5" s="13" customFormat="1" x14ac:dyDescent="0.2">
      <c r="A176" s="280" t="s">
        <v>874</v>
      </c>
      <c r="B176" s="196">
        <v>2</v>
      </c>
      <c r="C176" s="280" t="s">
        <v>877</v>
      </c>
      <c r="D176" s="280" t="s">
        <v>878</v>
      </c>
      <c r="E176" s="5"/>
    </row>
    <row r="177" spans="1:6" s="12" customFormat="1" x14ac:dyDescent="0.2">
      <c r="B177" s="355"/>
      <c r="E177" s="14"/>
    </row>
    <row r="178" spans="1:6" s="12" customFormat="1" x14ac:dyDescent="0.2">
      <c r="A178" s="280" t="s">
        <v>879</v>
      </c>
      <c r="B178" s="196">
        <v>1</v>
      </c>
      <c r="C178" s="280" t="s">
        <v>880</v>
      </c>
      <c r="D178" s="280" t="s">
        <v>881</v>
      </c>
      <c r="E178" s="14"/>
    </row>
    <row r="179" spans="1:6" s="12" customFormat="1" x14ac:dyDescent="0.2">
      <c r="A179" s="280" t="s">
        <v>879</v>
      </c>
      <c r="B179" s="196">
        <v>2</v>
      </c>
      <c r="C179" s="280" t="s">
        <v>882</v>
      </c>
      <c r="D179" s="280" t="s">
        <v>883</v>
      </c>
      <c r="E179" s="14"/>
    </row>
    <row r="180" spans="1:6" s="12" customFormat="1" x14ac:dyDescent="0.2">
      <c r="A180" s="280" t="s">
        <v>879</v>
      </c>
      <c r="B180" s="196">
        <v>3</v>
      </c>
      <c r="C180" s="280" t="s">
        <v>884</v>
      </c>
      <c r="D180" s="280" t="s">
        <v>885</v>
      </c>
      <c r="E180" s="14"/>
    </row>
    <row r="181" spans="1:6" s="12" customFormat="1" x14ac:dyDescent="0.2">
      <c r="A181" s="280" t="s">
        <v>879</v>
      </c>
      <c r="B181" s="196">
        <v>4</v>
      </c>
      <c r="C181" s="280" t="s">
        <v>886</v>
      </c>
      <c r="D181" s="280" t="s">
        <v>887</v>
      </c>
      <c r="E181" s="14"/>
    </row>
    <row r="182" spans="1:6" s="12" customFormat="1" x14ac:dyDescent="0.2">
      <c r="A182" s="280" t="s">
        <v>879</v>
      </c>
      <c r="B182" s="196">
        <v>5</v>
      </c>
      <c r="C182" s="280" t="s">
        <v>888</v>
      </c>
      <c r="D182" s="280" t="s">
        <v>889</v>
      </c>
      <c r="E182" s="14"/>
    </row>
    <row r="183" spans="1:6" s="12" customFormat="1" x14ac:dyDescent="0.2">
      <c r="A183" s="280" t="s">
        <v>879</v>
      </c>
      <c r="B183" s="196">
        <v>6</v>
      </c>
      <c r="C183" s="280" t="s">
        <v>863</v>
      </c>
      <c r="D183" t="s">
        <v>864</v>
      </c>
      <c r="E183" s="14"/>
    </row>
    <row r="184" spans="1:6" s="12" customFormat="1" x14ac:dyDescent="0.2">
      <c r="A184" s="280" t="s">
        <v>879</v>
      </c>
      <c r="B184" s="196">
        <v>7</v>
      </c>
      <c r="C184" s="280" t="s">
        <v>661</v>
      </c>
      <c r="D184" t="s">
        <v>662</v>
      </c>
      <c r="E184" s="14"/>
    </row>
    <row r="185" spans="1:6" s="12" customFormat="1" x14ac:dyDescent="0.2">
      <c r="A185" s="280" t="s">
        <v>879</v>
      </c>
      <c r="B185" s="196">
        <v>8</v>
      </c>
      <c r="C185" s="280" t="s">
        <v>663</v>
      </c>
      <c r="D185" t="s">
        <v>664</v>
      </c>
      <c r="E185" s="14"/>
    </row>
    <row r="186" spans="1:6" x14ac:dyDescent="0.2">
      <c r="E186" s="4"/>
    </row>
    <row r="187" spans="1:6" x14ac:dyDescent="0.2">
      <c r="E187" s="4"/>
      <c r="F187" s="12"/>
    </row>
    <row r="188" spans="1:6" s="12" customFormat="1" x14ac:dyDescent="0.2">
      <c r="A188" s="281" t="s">
        <v>890</v>
      </c>
      <c r="B188" s="358" t="s">
        <v>891</v>
      </c>
      <c r="C188" s="281" t="s">
        <v>892</v>
      </c>
      <c r="D188" s="281" t="s">
        <v>893</v>
      </c>
      <c r="E188" s="14"/>
    </row>
    <row r="189" spans="1:6" s="12" customFormat="1" x14ac:dyDescent="0.2">
      <c r="A189" s="281" t="s">
        <v>890</v>
      </c>
      <c r="B189" s="358" t="s">
        <v>894</v>
      </c>
      <c r="C189" s="281" t="s">
        <v>895</v>
      </c>
      <c r="D189" s="281" t="s">
        <v>896</v>
      </c>
      <c r="E189" s="14"/>
    </row>
    <row r="190" spans="1:6" s="12" customFormat="1" x14ac:dyDescent="0.2">
      <c r="A190" s="281" t="s">
        <v>890</v>
      </c>
      <c r="B190" s="358" t="s">
        <v>897</v>
      </c>
      <c r="C190" s="281" t="s">
        <v>898</v>
      </c>
      <c r="D190" s="281" t="s">
        <v>899</v>
      </c>
      <c r="E190" s="14"/>
    </row>
    <row r="191" spans="1:6" s="12" customFormat="1" x14ac:dyDescent="0.2">
      <c r="A191" s="281" t="s">
        <v>890</v>
      </c>
      <c r="B191" s="358" t="s">
        <v>900</v>
      </c>
      <c r="C191" s="281" t="s">
        <v>901</v>
      </c>
      <c r="D191" s="281" t="s">
        <v>902</v>
      </c>
      <c r="E191" s="14"/>
    </row>
    <row r="192" spans="1:6" s="12" customFormat="1" x14ac:dyDescent="0.2">
      <c r="A192" s="281" t="s">
        <v>890</v>
      </c>
      <c r="B192" s="358" t="s">
        <v>903</v>
      </c>
      <c r="C192" s="281" t="s">
        <v>904</v>
      </c>
      <c r="D192" s="281" t="s">
        <v>905</v>
      </c>
      <c r="E192" s="14"/>
    </row>
    <row r="193" spans="1:6" s="12" customFormat="1" x14ac:dyDescent="0.2">
      <c r="A193" s="281" t="s">
        <v>890</v>
      </c>
      <c r="B193" s="358" t="s">
        <v>906</v>
      </c>
      <c r="C193" s="281" t="s">
        <v>907</v>
      </c>
      <c r="D193" s="281" t="s">
        <v>908</v>
      </c>
      <c r="E193" s="14"/>
    </row>
    <row r="194" spans="1:6" s="12" customFormat="1" x14ac:dyDescent="0.2">
      <c r="A194" s="281" t="s">
        <v>890</v>
      </c>
      <c r="B194" s="358" t="s">
        <v>909</v>
      </c>
      <c r="C194" s="281" t="s">
        <v>910</v>
      </c>
      <c r="D194" s="281" t="s">
        <v>911</v>
      </c>
      <c r="E194" s="14"/>
    </row>
    <row r="195" spans="1:6" s="12" customFormat="1" x14ac:dyDescent="0.2">
      <c r="A195" s="281" t="s">
        <v>890</v>
      </c>
      <c r="B195" s="358" t="s">
        <v>716</v>
      </c>
      <c r="C195" s="281" t="s">
        <v>912</v>
      </c>
      <c r="D195" s="281" t="s">
        <v>913</v>
      </c>
      <c r="E195" s="14"/>
    </row>
    <row r="196" spans="1:6" s="12" customFormat="1" x14ac:dyDescent="0.2">
      <c r="A196" s="281" t="s">
        <v>890</v>
      </c>
      <c r="B196" s="358" t="s">
        <v>718</v>
      </c>
      <c r="C196" s="281" t="s">
        <v>661</v>
      </c>
      <c r="D196" s="281" t="s">
        <v>662</v>
      </c>
      <c r="E196" s="14"/>
    </row>
    <row r="197" spans="1:6" s="12" customFormat="1" x14ac:dyDescent="0.2">
      <c r="A197" s="281" t="s">
        <v>890</v>
      </c>
      <c r="B197" s="358" t="s">
        <v>719</v>
      </c>
      <c r="C197" s="281" t="s">
        <v>663</v>
      </c>
      <c r="D197" s="281" t="s">
        <v>664</v>
      </c>
      <c r="E197" s="14"/>
    </row>
    <row r="198" spans="1:6" x14ac:dyDescent="0.2">
      <c r="E198" s="4"/>
    </row>
    <row r="199" spans="1:6" x14ac:dyDescent="0.2">
      <c r="E199" s="4"/>
    </row>
    <row r="200" spans="1:6" x14ac:dyDescent="0.2">
      <c r="A200" s="280" t="s">
        <v>914</v>
      </c>
      <c r="B200" s="196" t="s">
        <v>915</v>
      </c>
      <c r="C200" s="280" t="s">
        <v>916</v>
      </c>
      <c r="D200" t="s">
        <v>917</v>
      </c>
      <c r="E200" s="4"/>
      <c r="F200" s="12"/>
    </row>
    <row r="201" spans="1:6" x14ac:dyDescent="0.2">
      <c r="A201" s="280" t="s">
        <v>914</v>
      </c>
      <c r="B201" s="196" t="s">
        <v>918</v>
      </c>
      <c r="C201" s="280" t="s">
        <v>919</v>
      </c>
      <c r="D201" s="280" t="s">
        <v>920</v>
      </c>
      <c r="E201" s="4"/>
      <c r="F201" s="12"/>
    </row>
    <row r="202" spans="1:6" x14ac:dyDescent="0.2">
      <c r="A202" s="280" t="s">
        <v>914</v>
      </c>
      <c r="B202" s="196" t="s">
        <v>921</v>
      </c>
      <c r="C202" s="280" t="s">
        <v>922</v>
      </c>
      <c r="D202" s="280" t="s">
        <v>923</v>
      </c>
      <c r="E202" s="4"/>
      <c r="F202" s="12"/>
    </row>
    <row r="203" spans="1:6" x14ac:dyDescent="0.2">
      <c r="A203" s="280" t="s">
        <v>914</v>
      </c>
      <c r="B203" s="196" t="s">
        <v>924</v>
      </c>
      <c r="C203" s="280" t="s">
        <v>925</v>
      </c>
      <c r="D203" t="s">
        <v>926</v>
      </c>
      <c r="E203" s="4"/>
      <c r="F203" s="12"/>
    </row>
    <row r="204" spans="1:6" x14ac:dyDescent="0.2">
      <c r="A204" s="280" t="s">
        <v>914</v>
      </c>
      <c r="B204" s="196" t="s">
        <v>927</v>
      </c>
      <c r="C204" s="280" t="s">
        <v>928</v>
      </c>
      <c r="D204" t="s">
        <v>929</v>
      </c>
      <c r="E204" s="4"/>
      <c r="F204" s="12"/>
    </row>
    <row r="205" spans="1:6" x14ac:dyDescent="0.2">
      <c r="A205" s="280" t="s">
        <v>914</v>
      </c>
      <c r="B205" s="196" t="s">
        <v>930</v>
      </c>
      <c r="C205" s="280" t="s">
        <v>931</v>
      </c>
      <c r="D205" t="s">
        <v>932</v>
      </c>
      <c r="E205" s="4"/>
      <c r="F205" s="12"/>
    </row>
    <row r="206" spans="1:6" x14ac:dyDescent="0.2">
      <c r="A206" s="280" t="s">
        <v>914</v>
      </c>
      <c r="B206" s="196" t="s">
        <v>933</v>
      </c>
      <c r="C206" s="280" t="s">
        <v>934</v>
      </c>
      <c r="D206" t="s">
        <v>935</v>
      </c>
      <c r="E206" s="4"/>
      <c r="F206" s="12"/>
    </row>
    <row r="207" spans="1:6" x14ac:dyDescent="0.2">
      <c r="A207" s="280" t="s">
        <v>914</v>
      </c>
      <c r="B207" s="196" t="s">
        <v>936</v>
      </c>
      <c r="C207" s="280" t="s">
        <v>937</v>
      </c>
      <c r="D207" t="s">
        <v>938</v>
      </c>
      <c r="E207" s="4"/>
      <c r="F207" s="12"/>
    </row>
    <row r="208" spans="1:6" x14ac:dyDescent="0.2">
      <c r="A208" s="280" t="s">
        <v>914</v>
      </c>
      <c r="B208" s="196" t="s">
        <v>939</v>
      </c>
      <c r="C208" s="280" t="s">
        <v>940</v>
      </c>
      <c r="D208" t="s">
        <v>941</v>
      </c>
      <c r="E208" s="4"/>
      <c r="F208" s="12"/>
    </row>
    <row r="209" spans="1:6" x14ac:dyDescent="0.2">
      <c r="A209" s="280" t="s">
        <v>914</v>
      </c>
      <c r="B209" s="196" t="s">
        <v>942</v>
      </c>
      <c r="C209" s="280" t="s">
        <v>943</v>
      </c>
      <c r="D209" t="s">
        <v>944</v>
      </c>
      <c r="E209" s="4"/>
      <c r="F209" s="12"/>
    </row>
    <row r="210" spans="1:6" x14ac:dyDescent="0.2">
      <c r="A210" s="280" t="s">
        <v>914</v>
      </c>
      <c r="B210" s="196" t="s">
        <v>945</v>
      </c>
      <c r="C210" s="280" t="s">
        <v>946</v>
      </c>
      <c r="D210" t="s">
        <v>947</v>
      </c>
      <c r="E210" s="4"/>
      <c r="F210" s="12"/>
    </row>
    <row r="211" spans="1:6" x14ac:dyDescent="0.2">
      <c r="A211" s="280" t="s">
        <v>914</v>
      </c>
      <c r="B211" s="196" t="s">
        <v>948</v>
      </c>
      <c r="C211" s="280" t="s">
        <v>949</v>
      </c>
      <c r="D211" t="s">
        <v>950</v>
      </c>
      <c r="E211" s="4"/>
      <c r="F211" s="12"/>
    </row>
    <row r="212" spans="1:6" x14ac:dyDescent="0.2">
      <c r="A212" s="280" t="s">
        <v>914</v>
      </c>
      <c r="B212" s="196" t="s">
        <v>951</v>
      </c>
      <c r="C212" s="280" t="s">
        <v>952</v>
      </c>
      <c r="D212" t="s">
        <v>953</v>
      </c>
      <c r="E212" s="4"/>
      <c r="F212" s="12"/>
    </row>
    <row r="213" spans="1:6" x14ac:dyDescent="0.2">
      <c r="A213" s="280" t="s">
        <v>914</v>
      </c>
      <c r="B213" s="196" t="s">
        <v>954</v>
      </c>
      <c r="C213" s="280" t="s">
        <v>955</v>
      </c>
      <c r="D213" t="s">
        <v>956</v>
      </c>
      <c r="E213" s="4"/>
      <c r="F213" s="12"/>
    </row>
    <row r="214" spans="1:6" x14ac:dyDescent="0.2">
      <c r="A214" s="280" t="s">
        <v>914</v>
      </c>
      <c r="B214" s="196" t="s">
        <v>957</v>
      </c>
      <c r="C214" s="280" t="s">
        <v>958</v>
      </c>
      <c r="D214" t="s">
        <v>959</v>
      </c>
      <c r="E214" s="4"/>
    </row>
    <row r="215" spans="1:6" x14ac:dyDescent="0.2">
      <c r="A215" s="280" t="s">
        <v>914</v>
      </c>
      <c r="B215" s="196" t="s">
        <v>716</v>
      </c>
      <c r="C215" s="280" t="s">
        <v>912</v>
      </c>
      <c r="D215" t="s">
        <v>913</v>
      </c>
      <c r="E215" s="4"/>
      <c r="F215" s="12"/>
    </row>
    <row r="216" spans="1:6" x14ac:dyDescent="0.2">
      <c r="A216" s="280" t="s">
        <v>914</v>
      </c>
      <c r="B216" s="196" t="s">
        <v>718</v>
      </c>
      <c r="C216" s="280" t="s">
        <v>661</v>
      </c>
      <c r="D216" t="s">
        <v>662</v>
      </c>
      <c r="E216" s="4"/>
    </row>
    <row r="217" spans="1:6" x14ac:dyDescent="0.2">
      <c r="A217" s="280" t="s">
        <v>914</v>
      </c>
      <c r="B217" s="196" t="s">
        <v>719</v>
      </c>
      <c r="C217" s="280" t="s">
        <v>663</v>
      </c>
      <c r="D217" t="s">
        <v>664</v>
      </c>
      <c r="E217" s="4"/>
    </row>
    <row r="218" spans="1:6" x14ac:dyDescent="0.2">
      <c r="E218" s="4"/>
    </row>
    <row r="219" spans="1:6" s="12" customFormat="1" x14ac:dyDescent="0.2">
      <c r="A219" s="281" t="s">
        <v>960</v>
      </c>
      <c r="B219" s="358">
        <v>1</v>
      </c>
      <c r="C219" s="281" t="s">
        <v>961</v>
      </c>
      <c r="D219" s="281" t="s">
        <v>962</v>
      </c>
      <c r="E219" s="14"/>
    </row>
    <row r="220" spans="1:6" s="12" customFormat="1" x14ac:dyDescent="0.2">
      <c r="A220" s="281" t="s">
        <v>960</v>
      </c>
      <c r="B220" s="358">
        <v>2</v>
      </c>
      <c r="C220" s="281" t="s">
        <v>963</v>
      </c>
      <c r="D220" s="281" t="s">
        <v>964</v>
      </c>
      <c r="E220" s="14"/>
    </row>
    <row r="221" spans="1:6" s="12" customFormat="1" x14ac:dyDescent="0.2">
      <c r="A221" s="281" t="s">
        <v>960</v>
      </c>
      <c r="B221" s="358">
        <v>3</v>
      </c>
      <c r="C221" s="281" t="s">
        <v>965</v>
      </c>
      <c r="D221" s="281" t="s">
        <v>966</v>
      </c>
      <c r="E221" s="14"/>
    </row>
    <row r="222" spans="1:6" s="12" customFormat="1" x14ac:dyDescent="0.2">
      <c r="A222" s="281" t="s">
        <v>960</v>
      </c>
      <c r="B222" s="358">
        <v>4</v>
      </c>
      <c r="C222" s="281" t="s">
        <v>967</v>
      </c>
      <c r="D222" s="281" t="s">
        <v>968</v>
      </c>
      <c r="E222" s="14"/>
    </row>
    <row r="223" spans="1:6" s="12" customFormat="1" x14ac:dyDescent="0.2">
      <c r="A223" s="281" t="s">
        <v>960</v>
      </c>
      <c r="B223" s="358">
        <v>5</v>
      </c>
      <c r="C223" s="281" t="s">
        <v>969</v>
      </c>
      <c r="D223" s="281" t="s">
        <v>970</v>
      </c>
      <c r="E223" s="14"/>
    </row>
    <row r="224" spans="1:6" s="12" customFormat="1" x14ac:dyDescent="0.2">
      <c r="A224" s="281" t="s">
        <v>960</v>
      </c>
      <c r="B224" s="358">
        <v>6</v>
      </c>
      <c r="C224" s="281" t="s">
        <v>971</v>
      </c>
      <c r="D224" s="281" t="s">
        <v>972</v>
      </c>
      <c r="E224" s="14"/>
    </row>
    <row r="225" spans="1:6" s="12" customFormat="1" x14ac:dyDescent="0.2">
      <c r="A225" s="281" t="s">
        <v>960</v>
      </c>
      <c r="B225" s="358">
        <v>7</v>
      </c>
      <c r="C225" s="281" t="s">
        <v>661</v>
      </c>
      <c r="D225" s="281" t="s">
        <v>662</v>
      </c>
      <c r="E225" s="14"/>
    </row>
    <row r="226" spans="1:6" x14ac:dyDescent="0.2">
      <c r="A226" s="281" t="s">
        <v>960</v>
      </c>
      <c r="B226" s="358">
        <v>8</v>
      </c>
      <c r="C226" s="281" t="s">
        <v>663</v>
      </c>
      <c r="D226" s="281" t="s">
        <v>664</v>
      </c>
      <c r="E226" s="14"/>
      <c r="F226" s="12"/>
    </row>
    <row r="227" spans="1:6" x14ac:dyDescent="0.2">
      <c r="E227" s="4"/>
    </row>
    <row r="228" spans="1:6" x14ac:dyDescent="0.2">
      <c r="A228" t="s">
        <v>973</v>
      </c>
      <c r="B228" s="351" t="s">
        <v>974</v>
      </c>
      <c r="C228" t="s">
        <v>975</v>
      </c>
      <c r="D228" t="s">
        <v>976</v>
      </c>
      <c r="E228" s="4"/>
      <c r="F228" s="12"/>
    </row>
    <row r="229" spans="1:6" x14ac:dyDescent="0.2">
      <c r="A229" t="s">
        <v>973</v>
      </c>
      <c r="B229" s="351" t="s">
        <v>977</v>
      </c>
      <c r="C229" t="s">
        <v>978</v>
      </c>
      <c r="D229" s="280" t="s">
        <v>979</v>
      </c>
      <c r="E229" s="4"/>
      <c r="F229" s="12"/>
    </row>
    <row r="230" spans="1:6" x14ac:dyDescent="0.2">
      <c r="A230" t="s">
        <v>973</v>
      </c>
      <c r="B230" s="351" t="s">
        <v>980</v>
      </c>
      <c r="C230" t="s">
        <v>981</v>
      </c>
      <c r="D230" s="280" t="s">
        <v>982</v>
      </c>
      <c r="E230" s="4"/>
      <c r="F230" s="12"/>
    </row>
    <row r="231" spans="1:6" x14ac:dyDescent="0.2">
      <c r="A231" t="s">
        <v>973</v>
      </c>
      <c r="B231" s="351" t="s">
        <v>983</v>
      </c>
      <c r="C231" t="s">
        <v>984</v>
      </c>
      <c r="D231" t="s">
        <v>985</v>
      </c>
      <c r="E231" s="4"/>
      <c r="F231" s="12"/>
    </row>
    <row r="232" spans="1:6" x14ac:dyDescent="0.2">
      <c r="A232" t="s">
        <v>973</v>
      </c>
      <c r="B232" s="351" t="s">
        <v>986</v>
      </c>
      <c r="C232" t="s">
        <v>987</v>
      </c>
      <c r="D232" t="s">
        <v>988</v>
      </c>
      <c r="E232" s="4"/>
      <c r="F232" s="12"/>
    </row>
    <row r="233" spans="1:6" x14ac:dyDescent="0.2">
      <c r="A233" t="s">
        <v>973</v>
      </c>
      <c r="B233" s="351" t="s">
        <v>989</v>
      </c>
      <c r="C233" t="s">
        <v>990</v>
      </c>
      <c r="D233" t="s">
        <v>991</v>
      </c>
      <c r="E233" s="4"/>
      <c r="F233" s="12"/>
    </row>
    <row r="234" spans="1:6" x14ac:dyDescent="0.2">
      <c r="A234" t="s">
        <v>973</v>
      </c>
      <c r="B234" s="351" t="s">
        <v>992</v>
      </c>
      <c r="C234" t="s">
        <v>993</v>
      </c>
      <c r="D234" t="s">
        <v>994</v>
      </c>
      <c r="E234" s="4"/>
      <c r="F234" s="12"/>
    </row>
    <row r="235" spans="1:6" x14ac:dyDescent="0.2">
      <c r="A235" t="s">
        <v>973</v>
      </c>
      <c r="B235" s="351" t="s">
        <v>716</v>
      </c>
      <c r="C235" t="s">
        <v>912</v>
      </c>
      <c r="D235" t="s">
        <v>913</v>
      </c>
      <c r="E235" s="4"/>
      <c r="F235" s="12"/>
    </row>
    <row r="236" spans="1:6" x14ac:dyDescent="0.2">
      <c r="A236" t="s">
        <v>973</v>
      </c>
      <c r="B236" s="351" t="s">
        <v>718</v>
      </c>
      <c r="C236" t="s">
        <v>661</v>
      </c>
      <c r="D236" t="s">
        <v>662</v>
      </c>
      <c r="E236" s="4"/>
      <c r="F236" s="12"/>
    </row>
    <row r="237" spans="1:6" x14ac:dyDescent="0.2">
      <c r="A237" t="s">
        <v>973</v>
      </c>
      <c r="B237" s="351" t="s">
        <v>719</v>
      </c>
      <c r="C237" t="s">
        <v>663</v>
      </c>
      <c r="D237" t="s">
        <v>664</v>
      </c>
      <c r="E237" s="4"/>
      <c r="F237" s="12"/>
    </row>
    <row r="238" spans="1:6" x14ac:dyDescent="0.2">
      <c r="E238" s="4"/>
    </row>
    <row r="239" spans="1:6" x14ac:dyDescent="0.2">
      <c r="A239" t="s">
        <v>315</v>
      </c>
      <c r="B239" s="351">
        <v>1</v>
      </c>
      <c r="C239" t="s">
        <v>995</v>
      </c>
      <c r="D239" t="s">
        <v>996</v>
      </c>
      <c r="E239" s="4"/>
    </row>
    <row r="240" spans="1:6" x14ac:dyDescent="0.2">
      <c r="A240" t="s">
        <v>315</v>
      </c>
      <c r="B240" s="351">
        <v>2</v>
      </c>
      <c r="C240" t="s">
        <v>997</v>
      </c>
      <c r="D240" t="s">
        <v>998</v>
      </c>
      <c r="E240" s="4"/>
    </row>
    <row r="241" spans="1:6" x14ac:dyDescent="0.2">
      <c r="A241" t="s">
        <v>315</v>
      </c>
      <c r="B241" s="351">
        <v>3</v>
      </c>
      <c r="C241" t="s">
        <v>999</v>
      </c>
      <c r="D241" t="s">
        <v>1000</v>
      </c>
      <c r="E241" s="4"/>
    </row>
    <row r="242" spans="1:6" x14ac:dyDescent="0.2">
      <c r="A242" t="s">
        <v>315</v>
      </c>
      <c r="B242" s="351">
        <v>4</v>
      </c>
      <c r="C242" t="s">
        <v>1001</v>
      </c>
      <c r="D242" t="s">
        <v>1002</v>
      </c>
      <c r="E242" s="4"/>
    </row>
    <row r="243" spans="1:6" x14ac:dyDescent="0.2">
      <c r="A243" t="s">
        <v>315</v>
      </c>
      <c r="B243" s="351">
        <v>5</v>
      </c>
      <c r="C243" t="s">
        <v>1003</v>
      </c>
      <c r="D243" t="s">
        <v>1004</v>
      </c>
      <c r="E243" s="4"/>
    </row>
    <row r="244" spans="1:6" x14ac:dyDescent="0.2">
      <c r="A244" t="s">
        <v>315</v>
      </c>
      <c r="B244" s="351">
        <v>6</v>
      </c>
      <c r="C244" t="s">
        <v>1005</v>
      </c>
      <c r="D244" t="s">
        <v>1006</v>
      </c>
      <c r="E244" s="4"/>
    </row>
    <row r="245" spans="1:6" x14ac:dyDescent="0.2">
      <c r="A245" t="s">
        <v>315</v>
      </c>
      <c r="B245" s="351">
        <v>7</v>
      </c>
      <c r="C245" t="s">
        <v>1007</v>
      </c>
      <c r="D245" t="s">
        <v>1008</v>
      </c>
      <c r="E245" s="4"/>
    </row>
    <row r="246" spans="1:6" x14ac:dyDescent="0.2">
      <c r="A246" t="s">
        <v>315</v>
      </c>
      <c r="B246" s="351">
        <v>8</v>
      </c>
      <c r="C246" t="s">
        <v>1009</v>
      </c>
      <c r="D246" t="s">
        <v>1010</v>
      </c>
      <c r="E246" s="4"/>
    </row>
    <row r="247" spans="1:6" x14ac:dyDescent="0.2">
      <c r="A247" t="s">
        <v>315</v>
      </c>
      <c r="B247" s="351">
        <v>9</v>
      </c>
      <c r="C247" t="s">
        <v>912</v>
      </c>
      <c r="D247" t="s">
        <v>913</v>
      </c>
      <c r="E247" s="4"/>
    </row>
    <row r="248" spans="1:6" x14ac:dyDescent="0.2">
      <c r="A248" t="s">
        <v>315</v>
      </c>
      <c r="B248" s="352">
        <v>10</v>
      </c>
      <c r="C248" t="s">
        <v>661</v>
      </c>
      <c r="D248" t="s">
        <v>662</v>
      </c>
      <c r="E248" s="4"/>
    </row>
    <row r="249" spans="1:6" x14ac:dyDescent="0.2">
      <c r="A249" t="s">
        <v>315</v>
      </c>
      <c r="B249" s="352">
        <v>11</v>
      </c>
      <c r="C249" t="s">
        <v>663</v>
      </c>
      <c r="D249" t="s">
        <v>664</v>
      </c>
      <c r="E249" s="4"/>
    </row>
    <row r="250" spans="1:6" x14ac:dyDescent="0.2">
      <c r="E250" s="4"/>
    </row>
    <row r="251" spans="1:6" x14ac:dyDescent="0.2">
      <c r="A251" t="s">
        <v>1011</v>
      </c>
      <c r="B251" s="351" t="s">
        <v>1012</v>
      </c>
      <c r="C251" t="s">
        <v>1013</v>
      </c>
      <c r="D251" t="s">
        <v>1014</v>
      </c>
      <c r="E251" s="4"/>
      <c r="F251" s="12"/>
    </row>
    <row r="252" spans="1:6" x14ac:dyDescent="0.2">
      <c r="A252" t="s">
        <v>1011</v>
      </c>
      <c r="B252" s="351" t="s">
        <v>1015</v>
      </c>
      <c r="C252" t="s">
        <v>1016</v>
      </c>
      <c r="D252" t="s">
        <v>1017</v>
      </c>
      <c r="E252" s="4"/>
      <c r="F252" s="12"/>
    </row>
    <row r="253" spans="1:6" x14ac:dyDescent="0.2">
      <c r="A253" t="s">
        <v>1011</v>
      </c>
      <c r="B253" s="351" t="s">
        <v>1018</v>
      </c>
      <c r="C253" t="s">
        <v>1019</v>
      </c>
      <c r="D253" t="s">
        <v>1020</v>
      </c>
      <c r="E253" s="4"/>
      <c r="F253" s="12"/>
    </row>
    <row r="254" spans="1:6" x14ac:dyDescent="0.2">
      <c r="A254" t="s">
        <v>1011</v>
      </c>
      <c r="B254" s="351" t="s">
        <v>1021</v>
      </c>
      <c r="C254" t="s">
        <v>1022</v>
      </c>
      <c r="D254" t="s">
        <v>1023</v>
      </c>
      <c r="E254" s="4"/>
      <c r="F254" s="12"/>
    </row>
    <row r="255" spans="1:6" x14ac:dyDescent="0.2">
      <c r="A255" t="s">
        <v>1011</v>
      </c>
      <c r="B255" s="351" t="s">
        <v>1024</v>
      </c>
      <c r="C255" t="s">
        <v>1025</v>
      </c>
      <c r="D255" t="s">
        <v>1026</v>
      </c>
      <c r="E255" s="4"/>
      <c r="F255" s="12"/>
    </row>
    <row r="256" spans="1:6" x14ac:dyDescent="0.2">
      <c r="A256" t="s">
        <v>1011</v>
      </c>
      <c r="B256" s="351" t="s">
        <v>1027</v>
      </c>
      <c r="C256" t="s">
        <v>1028</v>
      </c>
      <c r="D256" t="s">
        <v>1029</v>
      </c>
      <c r="E256" s="4"/>
      <c r="F256" s="12"/>
    </row>
    <row r="257" spans="1:6" x14ac:dyDescent="0.2">
      <c r="A257" t="s">
        <v>1011</v>
      </c>
      <c r="B257" s="351" t="s">
        <v>1030</v>
      </c>
      <c r="C257" t="s">
        <v>1031</v>
      </c>
      <c r="D257" t="s">
        <v>1032</v>
      </c>
      <c r="E257" s="4"/>
      <c r="F257" s="12"/>
    </row>
    <row r="258" spans="1:6" x14ac:dyDescent="0.2">
      <c r="A258" t="s">
        <v>1011</v>
      </c>
      <c r="B258" s="351" t="s">
        <v>1033</v>
      </c>
      <c r="C258" t="s">
        <v>1034</v>
      </c>
      <c r="D258" t="s">
        <v>1035</v>
      </c>
      <c r="E258" s="4"/>
      <c r="F258" s="12"/>
    </row>
    <row r="259" spans="1:6" x14ac:dyDescent="0.2">
      <c r="A259" t="s">
        <v>1011</v>
      </c>
      <c r="B259" s="351" t="s">
        <v>1036</v>
      </c>
      <c r="C259" t="s">
        <v>1037</v>
      </c>
      <c r="D259" t="s">
        <v>1038</v>
      </c>
      <c r="E259" s="4"/>
      <c r="F259" s="12"/>
    </row>
    <row r="260" spans="1:6" x14ac:dyDescent="0.2">
      <c r="A260" t="s">
        <v>1011</v>
      </c>
      <c r="B260" s="351" t="s">
        <v>1039</v>
      </c>
      <c r="C260" t="s">
        <v>1040</v>
      </c>
      <c r="D260" t="s">
        <v>1041</v>
      </c>
      <c r="E260" s="4"/>
      <c r="F260" s="12"/>
    </row>
    <row r="261" spans="1:6" x14ac:dyDescent="0.2">
      <c r="A261" t="s">
        <v>1011</v>
      </c>
      <c r="B261" s="351" t="s">
        <v>1042</v>
      </c>
      <c r="C261" t="s">
        <v>1043</v>
      </c>
      <c r="D261" t="s">
        <v>1044</v>
      </c>
      <c r="E261" s="4"/>
      <c r="F261" s="12"/>
    </row>
    <row r="262" spans="1:6" x14ac:dyDescent="0.2">
      <c r="A262" t="s">
        <v>1011</v>
      </c>
      <c r="B262" s="351" t="s">
        <v>1045</v>
      </c>
      <c r="C262" t="s">
        <v>912</v>
      </c>
      <c r="D262" t="s">
        <v>913</v>
      </c>
      <c r="E262" s="4"/>
      <c r="F262" s="12"/>
    </row>
    <row r="263" spans="1:6" x14ac:dyDescent="0.2">
      <c r="A263" t="s">
        <v>1011</v>
      </c>
      <c r="B263" s="351" t="s">
        <v>1046</v>
      </c>
      <c r="C263" t="s">
        <v>661</v>
      </c>
      <c r="D263" t="s">
        <v>662</v>
      </c>
      <c r="E263" s="4"/>
      <c r="F263" s="12"/>
    </row>
    <row r="264" spans="1:6" ht="14.25" customHeight="1" x14ac:dyDescent="0.2">
      <c r="A264" t="s">
        <v>1011</v>
      </c>
      <c r="B264" s="351" t="s">
        <v>1047</v>
      </c>
      <c r="C264" t="s">
        <v>663</v>
      </c>
      <c r="D264" t="s">
        <v>664</v>
      </c>
      <c r="E264" s="4"/>
      <c r="F264" s="12"/>
    </row>
    <row r="265" spans="1:6" ht="14.25" customHeight="1" x14ac:dyDescent="0.2">
      <c r="E265" s="4"/>
      <c r="F265" s="12"/>
    </row>
    <row r="266" spans="1:6" s="12" customFormat="1" ht="14.25" customHeight="1" x14ac:dyDescent="0.2">
      <c r="A266" s="281" t="s">
        <v>1048</v>
      </c>
      <c r="B266" s="358" t="s">
        <v>1049</v>
      </c>
      <c r="C266" s="281" t="s">
        <v>1050</v>
      </c>
      <c r="D266" s="281" t="s">
        <v>1051</v>
      </c>
      <c r="E266" s="14"/>
    </row>
    <row r="267" spans="1:6" s="12" customFormat="1" ht="14.25" customHeight="1" x14ac:dyDescent="0.2">
      <c r="A267" s="281" t="s">
        <v>1048</v>
      </c>
      <c r="B267" s="358" t="s">
        <v>1052</v>
      </c>
      <c r="C267" s="281" t="s">
        <v>1053</v>
      </c>
      <c r="D267" s="281" t="s">
        <v>1054</v>
      </c>
      <c r="E267" s="14"/>
    </row>
    <row r="268" spans="1:6" s="12" customFormat="1" ht="14.25" customHeight="1" x14ac:dyDescent="0.2">
      <c r="A268" s="281" t="s">
        <v>1048</v>
      </c>
      <c r="B268" s="358" t="s">
        <v>1055</v>
      </c>
      <c r="C268" s="281" t="s">
        <v>1056</v>
      </c>
      <c r="D268" s="281" t="s">
        <v>1057</v>
      </c>
      <c r="E268" s="14"/>
    </row>
    <row r="269" spans="1:6" s="12" customFormat="1" ht="14.25" customHeight="1" x14ac:dyDescent="0.2">
      <c r="A269" s="281" t="s">
        <v>1048</v>
      </c>
      <c r="B269" s="358" t="s">
        <v>1058</v>
      </c>
      <c r="C269" s="281" t="s">
        <v>1059</v>
      </c>
      <c r="D269" s="281" t="s">
        <v>1060</v>
      </c>
      <c r="E269" s="14"/>
    </row>
    <row r="270" spans="1:6" s="12" customFormat="1" ht="14.25" customHeight="1" x14ac:dyDescent="0.2">
      <c r="A270" s="281" t="s">
        <v>1048</v>
      </c>
      <c r="B270" s="358" t="s">
        <v>1061</v>
      </c>
      <c r="C270" s="281" t="s">
        <v>1062</v>
      </c>
      <c r="D270" s="281" t="s">
        <v>1063</v>
      </c>
      <c r="E270" s="14"/>
    </row>
    <row r="271" spans="1:6" s="12" customFormat="1" ht="14.25" customHeight="1" x14ac:dyDescent="0.2">
      <c r="A271" s="281" t="s">
        <v>1048</v>
      </c>
      <c r="B271" s="358" t="s">
        <v>716</v>
      </c>
      <c r="C271" s="281" t="s">
        <v>1064</v>
      </c>
      <c r="D271" s="281" t="s">
        <v>913</v>
      </c>
      <c r="E271" s="14"/>
    </row>
    <row r="272" spans="1:6" s="12" customFormat="1" ht="14.25" customHeight="1" x14ac:dyDescent="0.2">
      <c r="A272" s="281" t="s">
        <v>1048</v>
      </c>
      <c r="B272" s="358" t="s">
        <v>718</v>
      </c>
      <c r="C272" s="281" t="s">
        <v>661</v>
      </c>
      <c r="D272" s="281" t="s">
        <v>662</v>
      </c>
      <c r="E272" s="14"/>
    </row>
    <row r="273" spans="1:6" s="12" customFormat="1" ht="14.25" customHeight="1" x14ac:dyDescent="0.2">
      <c r="A273" s="281" t="s">
        <v>1048</v>
      </c>
      <c r="B273" s="358" t="s">
        <v>719</v>
      </c>
      <c r="C273" s="281" t="s">
        <v>663</v>
      </c>
      <c r="D273" s="281" t="s">
        <v>664</v>
      </c>
      <c r="E273" s="14"/>
    </row>
    <row r="274" spans="1:6" ht="14.25" customHeight="1" x14ac:dyDescent="0.2">
      <c r="E274" s="4"/>
    </row>
    <row r="275" spans="1:6" x14ac:dyDescent="0.2">
      <c r="A275" t="s">
        <v>1065</v>
      </c>
      <c r="B275" s="351" t="s">
        <v>1066</v>
      </c>
      <c r="C275" t="s">
        <v>1067</v>
      </c>
      <c r="D275" t="s">
        <v>1068</v>
      </c>
      <c r="E275" s="4"/>
      <c r="F275" s="12"/>
    </row>
    <row r="276" spans="1:6" x14ac:dyDescent="0.2">
      <c r="A276" t="s">
        <v>1065</v>
      </c>
      <c r="B276" s="351" t="s">
        <v>1069</v>
      </c>
      <c r="C276" t="s">
        <v>1070</v>
      </c>
      <c r="D276" t="s">
        <v>1071</v>
      </c>
      <c r="E276" s="4"/>
      <c r="F276" s="12"/>
    </row>
    <row r="277" spans="1:6" x14ac:dyDescent="0.2">
      <c r="A277" t="s">
        <v>1065</v>
      </c>
      <c r="B277" s="351" t="s">
        <v>1072</v>
      </c>
      <c r="C277" t="s">
        <v>1073</v>
      </c>
      <c r="D277" t="s">
        <v>1074</v>
      </c>
      <c r="E277" s="4"/>
      <c r="F277" s="12"/>
    </row>
    <row r="278" spans="1:6" x14ac:dyDescent="0.2">
      <c r="A278" t="s">
        <v>1065</v>
      </c>
      <c r="B278" s="351" t="s">
        <v>1075</v>
      </c>
      <c r="C278" t="s">
        <v>1076</v>
      </c>
      <c r="D278" t="s">
        <v>1077</v>
      </c>
      <c r="E278" s="4"/>
      <c r="F278" s="12"/>
    </row>
    <row r="279" spans="1:6" x14ac:dyDescent="0.2">
      <c r="A279" t="s">
        <v>1065</v>
      </c>
      <c r="B279" s="351" t="s">
        <v>1078</v>
      </c>
      <c r="C279" t="s">
        <v>1079</v>
      </c>
      <c r="D279" t="s">
        <v>1080</v>
      </c>
      <c r="E279" s="4"/>
      <c r="F279" s="12"/>
    </row>
    <row r="280" spans="1:6" x14ac:dyDescent="0.2">
      <c r="A280" t="s">
        <v>1065</v>
      </c>
      <c r="B280" s="351" t="s">
        <v>1081</v>
      </c>
      <c r="C280" t="s">
        <v>1082</v>
      </c>
      <c r="D280" t="s">
        <v>1083</v>
      </c>
      <c r="E280" s="4"/>
      <c r="F280" s="12"/>
    </row>
    <row r="281" spans="1:6" x14ac:dyDescent="0.2">
      <c r="A281" t="s">
        <v>1065</v>
      </c>
      <c r="B281" s="351" t="s">
        <v>1084</v>
      </c>
      <c r="C281" t="s">
        <v>1085</v>
      </c>
      <c r="D281" t="s">
        <v>1086</v>
      </c>
      <c r="E281" s="4"/>
      <c r="F281" s="12"/>
    </row>
    <row r="282" spans="1:6" x14ac:dyDescent="0.2">
      <c r="A282" t="s">
        <v>1065</v>
      </c>
      <c r="B282" s="351" t="s">
        <v>1087</v>
      </c>
      <c r="C282" t="s">
        <v>1088</v>
      </c>
      <c r="D282" t="s">
        <v>1089</v>
      </c>
      <c r="E282" s="4"/>
      <c r="F282" s="12"/>
    </row>
    <row r="283" spans="1:6" x14ac:dyDescent="0.2">
      <c r="A283" t="s">
        <v>1065</v>
      </c>
      <c r="B283" s="351" t="s">
        <v>957</v>
      </c>
      <c r="C283" t="s">
        <v>958</v>
      </c>
      <c r="D283" t="s">
        <v>1090</v>
      </c>
      <c r="E283" s="4"/>
      <c r="F283" s="12"/>
    </row>
    <row r="284" spans="1:6" x14ac:dyDescent="0.2">
      <c r="A284" t="s">
        <v>1065</v>
      </c>
      <c r="B284" s="351" t="s">
        <v>939</v>
      </c>
      <c r="C284" t="s">
        <v>940</v>
      </c>
      <c r="D284" t="s">
        <v>1091</v>
      </c>
      <c r="E284" s="4"/>
      <c r="F284" s="12"/>
    </row>
    <row r="285" spans="1:6" x14ac:dyDescent="0.2">
      <c r="A285" t="s">
        <v>1065</v>
      </c>
      <c r="B285" s="351" t="s">
        <v>716</v>
      </c>
      <c r="C285" t="s">
        <v>912</v>
      </c>
      <c r="D285" t="s">
        <v>913</v>
      </c>
      <c r="E285" s="4"/>
    </row>
    <row r="286" spans="1:6" x14ac:dyDescent="0.2">
      <c r="A286" t="s">
        <v>1065</v>
      </c>
      <c r="B286" s="351" t="s">
        <v>718</v>
      </c>
      <c r="C286" t="s">
        <v>661</v>
      </c>
      <c r="D286" t="s">
        <v>662</v>
      </c>
      <c r="E286" s="4"/>
    </row>
    <row r="287" spans="1:6" x14ac:dyDescent="0.2">
      <c r="A287" t="s">
        <v>1065</v>
      </c>
      <c r="B287" s="351" t="s">
        <v>719</v>
      </c>
      <c r="C287" t="s">
        <v>663</v>
      </c>
      <c r="D287" t="s">
        <v>664</v>
      </c>
      <c r="E287" s="4"/>
    </row>
    <row r="288" spans="1:6" x14ac:dyDescent="0.2">
      <c r="E288" s="4"/>
    </row>
    <row r="289" spans="1:5" x14ac:dyDescent="0.2">
      <c r="A289" s="281" t="s">
        <v>1092</v>
      </c>
      <c r="B289" s="358">
        <v>1</v>
      </c>
      <c r="C289" s="281" t="s">
        <v>995</v>
      </c>
      <c r="D289" t="s">
        <v>996</v>
      </c>
      <c r="E289" s="4"/>
    </row>
    <row r="290" spans="1:5" x14ac:dyDescent="0.2">
      <c r="A290" s="281" t="s">
        <v>1092</v>
      </c>
      <c r="B290" s="358">
        <v>2</v>
      </c>
      <c r="C290" s="281" t="s">
        <v>997</v>
      </c>
      <c r="D290" t="s">
        <v>998</v>
      </c>
      <c r="E290" s="4"/>
    </row>
    <row r="291" spans="1:5" x14ac:dyDescent="0.2">
      <c r="A291" s="281" t="s">
        <v>1092</v>
      </c>
      <c r="B291" s="358">
        <v>3</v>
      </c>
      <c r="C291" s="281" t="s">
        <v>999</v>
      </c>
      <c r="D291" t="s">
        <v>1000</v>
      </c>
      <c r="E291" s="4"/>
    </row>
    <row r="292" spans="1:5" x14ac:dyDescent="0.2">
      <c r="A292" s="281" t="s">
        <v>1092</v>
      </c>
      <c r="B292" s="358">
        <v>4</v>
      </c>
      <c r="C292" s="281" t="s">
        <v>1001</v>
      </c>
      <c r="D292" t="s">
        <v>1002</v>
      </c>
      <c r="E292" s="4"/>
    </row>
    <row r="293" spans="1:5" x14ac:dyDescent="0.2">
      <c r="A293" s="281" t="s">
        <v>1092</v>
      </c>
      <c r="B293" s="358">
        <v>5</v>
      </c>
      <c r="C293" s="281" t="s">
        <v>1003</v>
      </c>
      <c r="D293" t="s">
        <v>1004</v>
      </c>
      <c r="E293" s="4"/>
    </row>
    <row r="294" spans="1:5" x14ac:dyDescent="0.2">
      <c r="A294" s="281" t="s">
        <v>1092</v>
      </c>
      <c r="B294" s="358">
        <v>6</v>
      </c>
      <c r="C294" s="281" t="s">
        <v>1005</v>
      </c>
      <c r="D294" t="s">
        <v>1006</v>
      </c>
      <c r="E294" s="4"/>
    </row>
    <row r="295" spans="1:5" x14ac:dyDescent="0.2">
      <c r="A295" s="281" t="s">
        <v>1092</v>
      </c>
      <c r="B295" s="358">
        <v>7</v>
      </c>
      <c r="C295" s="281" t="s">
        <v>1007</v>
      </c>
      <c r="D295" t="s">
        <v>1008</v>
      </c>
      <c r="E295" s="4"/>
    </row>
    <row r="296" spans="1:5" x14ac:dyDescent="0.2">
      <c r="A296" s="281" t="s">
        <v>1092</v>
      </c>
      <c r="B296" s="358">
        <v>8</v>
      </c>
      <c r="C296" s="281" t="s">
        <v>1009</v>
      </c>
      <c r="D296" t="s">
        <v>1010</v>
      </c>
      <c r="E296" s="4"/>
    </row>
    <row r="297" spans="1:5" x14ac:dyDescent="0.2">
      <c r="A297" s="281" t="s">
        <v>1092</v>
      </c>
      <c r="B297" s="358">
        <v>9</v>
      </c>
      <c r="C297" s="281" t="s">
        <v>912</v>
      </c>
      <c r="D297" t="s">
        <v>913</v>
      </c>
      <c r="E297" s="4"/>
    </row>
    <row r="298" spans="1:5" x14ac:dyDescent="0.2">
      <c r="A298" s="281" t="s">
        <v>1092</v>
      </c>
      <c r="B298" s="358">
        <v>666</v>
      </c>
      <c r="C298" s="281" t="s">
        <v>1093</v>
      </c>
      <c r="D298" t="s">
        <v>1094</v>
      </c>
      <c r="E298" s="4"/>
    </row>
    <row r="299" spans="1:5" x14ac:dyDescent="0.2">
      <c r="A299" s="281" t="s">
        <v>1092</v>
      </c>
      <c r="B299" s="358">
        <v>10</v>
      </c>
      <c r="C299" s="281" t="s">
        <v>661</v>
      </c>
      <c r="D299" t="s">
        <v>662</v>
      </c>
      <c r="E299" s="4"/>
    </row>
    <row r="300" spans="1:5" x14ac:dyDescent="0.2">
      <c r="A300" s="281" t="s">
        <v>1092</v>
      </c>
      <c r="B300" s="358">
        <v>11</v>
      </c>
      <c r="C300" s="281" t="s">
        <v>663</v>
      </c>
      <c r="D300" t="s">
        <v>664</v>
      </c>
      <c r="E300" s="4"/>
    </row>
    <row r="301" spans="1:5" x14ac:dyDescent="0.2">
      <c r="B301" s="354"/>
      <c r="E301" s="4"/>
    </row>
    <row r="302" spans="1:5" x14ac:dyDescent="0.2">
      <c r="A302" t="s">
        <v>1095</v>
      </c>
      <c r="B302" s="351">
        <v>1</v>
      </c>
      <c r="C302" t="s">
        <v>995</v>
      </c>
      <c r="D302" t="s">
        <v>1096</v>
      </c>
      <c r="E302" s="4"/>
    </row>
    <row r="303" spans="1:5" x14ac:dyDescent="0.2">
      <c r="A303" t="s">
        <v>1095</v>
      </c>
      <c r="B303" s="351">
        <v>2</v>
      </c>
      <c r="C303" t="s">
        <v>997</v>
      </c>
      <c r="D303" t="s">
        <v>998</v>
      </c>
      <c r="E303" s="4"/>
    </row>
    <row r="304" spans="1:5" x14ac:dyDescent="0.2">
      <c r="A304" t="s">
        <v>1095</v>
      </c>
      <c r="B304" s="351">
        <v>3</v>
      </c>
      <c r="C304" t="s">
        <v>999</v>
      </c>
      <c r="D304" t="s">
        <v>1000</v>
      </c>
      <c r="E304" s="4"/>
    </row>
    <row r="305" spans="1:6" x14ac:dyDescent="0.2">
      <c r="A305" t="s">
        <v>1095</v>
      </c>
      <c r="B305" s="351">
        <v>4</v>
      </c>
      <c r="C305" s="280" t="s">
        <v>1001</v>
      </c>
      <c r="D305" s="280" t="s">
        <v>1002</v>
      </c>
      <c r="E305" s="4"/>
    </row>
    <row r="306" spans="1:6" x14ac:dyDescent="0.2">
      <c r="A306" t="s">
        <v>1095</v>
      </c>
      <c r="B306" s="351">
        <v>5</v>
      </c>
      <c r="C306" t="s">
        <v>1097</v>
      </c>
      <c r="D306" t="s">
        <v>1004</v>
      </c>
      <c r="E306" s="4"/>
    </row>
    <row r="307" spans="1:6" x14ac:dyDescent="0.2">
      <c r="A307" t="s">
        <v>1095</v>
      </c>
      <c r="B307" s="351">
        <v>6</v>
      </c>
      <c r="C307" t="s">
        <v>1005</v>
      </c>
      <c r="D307" t="s">
        <v>1006</v>
      </c>
      <c r="E307" s="4"/>
    </row>
    <row r="308" spans="1:6" x14ac:dyDescent="0.2">
      <c r="A308" t="s">
        <v>1095</v>
      </c>
      <c r="B308" s="351">
        <v>7</v>
      </c>
      <c r="C308" t="s">
        <v>1098</v>
      </c>
      <c r="D308" t="s">
        <v>1008</v>
      </c>
      <c r="E308" s="4"/>
    </row>
    <row r="309" spans="1:6" x14ac:dyDescent="0.2">
      <c r="A309" t="s">
        <v>1095</v>
      </c>
      <c r="B309" s="351">
        <v>8</v>
      </c>
      <c r="C309" t="s">
        <v>1009</v>
      </c>
      <c r="D309" t="s">
        <v>1010</v>
      </c>
      <c r="E309" s="4"/>
    </row>
    <row r="310" spans="1:6" x14ac:dyDescent="0.2">
      <c r="A310" t="s">
        <v>1095</v>
      </c>
      <c r="B310" s="351">
        <v>9</v>
      </c>
      <c r="C310" t="s">
        <v>1099</v>
      </c>
      <c r="D310" t="s">
        <v>1100</v>
      </c>
      <c r="E310" s="4"/>
    </row>
    <row r="311" spans="1:6" x14ac:dyDescent="0.2">
      <c r="A311" t="s">
        <v>1095</v>
      </c>
      <c r="B311" s="351">
        <v>10</v>
      </c>
      <c r="C311" t="s">
        <v>1101</v>
      </c>
      <c r="D311" t="s">
        <v>1102</v>
      </c>
      <c r="E311" s="4"/>
    </row>
    <row r="312" spans="1:6" x14ac:dyDescent="0.2">
      <c r="A312" t="s">
        <v>1095</v>
      </c>
      <c r="B312" s="351">
        <v>11</v>
      </c>
      <c r="C312" t="s">
        <v>1103</v>
      </c>
      <c r="D312" t="s">
        <v>1104</v>
      </c>
      <c r="E312" s="4"/>
    </row>
    <row r="313" spans="1:6" x14ac:dyDescent="0.2">
      <c r="A313" t="s">
        <v>1095</v>
      </c>
      <c r="B313" s="352">
        <v>12</v>
      </c>
      <c r="C313" t="s">
        <v>661</v>
      </c>
      <c r="D313" t="s">
        <v>662</v>
      </c>
      <c r="E313" s="4"/>
    </row>
    <row r="314" spans="1:6" x14ac:dyDescent="0.2">
      <c r="A314" t="s">
        <v>1095</v>
      </c>
      <c r="B314" s="352">
        <v>13</v>
      </c>
      <c r="C314" t="s">
        <v>663</v>
      </c>
      <c r="D314" t="s">
        <v>664</v>
      </c>
      <c r="E314" s="4"/>
    </row>
    <row r="315" spans="1:6" x14ac:dyDescent="0.2">
      <c r="E315" s="4"/>
    </row>
    <row r="316" spans="1:6" ht="16" customHeight="1" x14ac:dyDescent="0.2">
      <c r="A316" t="s">
        <v>1105</v>
      </c>
      <c r="B316" s="351" t="s">
        <v>974</v>
      </c>
      <c r="C316" t="s">
        <v>975</v>
      </c>
      <c r="D316" t="s">
        <v>976</v>
      </c>
      <c r="E316" s="4"/>
      <c r="F316" s="12"/>
    </row>
    <row r="317" spans="1:6" ht="16" customHeight="1" x14ac:dyDescent="0.2">
      <c r="A317" t="s">
        <v>1105</v>
      </c>
      <c r="B317" s="351" t="s">
        <v>977</v>
      </c>
      <c r="C317" t="s">
        <v>1106</v>
      </c>
      <c r="D317" t="s">
        <v>1107</v>
      </c>
      <c r="E317" s="4"/>
      <c r="F317" s="12"/>
    </row>
    <row r="318" spans="1:6" ht="16" customHeight="1" x14ac:dyDescent="0.2">
      <c r="A318" t="s">
        <v>1105</v>
      </c>
      <c r="B318" s="351" t="s">
        <v>980</v>
      </c>
      <c r="C318" t="s">
        <v>1108</v>
      </c>
      <c r="D318" t="s">
        <v>1109</v>
      </c>
      <c r="E318" s="4"/>
      <c r="F318" s="12"/>
    </row>
    <row r="319" spans="1:6" ht="16" customHeight="1" x14ac:dyDescent="0.2">
      <c r="A319" t="s">
        <v>1105</v>
      </c>
      <c r="B319" s="351" t="s">
        <v>983</v>
      </c>
      <c r="C319" t="s">
        <v>984</v>
      </c>
      <c r="D319" t="s">
        <v>985</v>
      </c>
      <c r="E319" s="4"/>
      <c r="F319" s="12"/>
    </row>
    <row r="320" spans="1:6" ht="16" customHeight="1" x14ac:dyDescent="0.2">
      <c r="A320" t="s">
        <v>1105</v>
      </c>
      <c r="B320" s="351" t="s">
        <v>986</v>
      </c>
      <c r="C320" t="s">
        <v>987</v>
      </c>
      <c r="D320" t="s">
        <v>1110</v>
      </c>
      <c r="E320" s="4"/>
      <c r="F320" s="12"/>
    </row>
    <row r="321" spans="1:6" ht="16" customHeight="1" x14ac:dyDescent="0.2">
      <c r="A321" t="s">
        <v>1105</v>
      </c>
      <c r="B321" s="351" t="s">
        <v>1111</v>
      </c>
      <c r="C321" t="s">
        <v>1112</v>
      </c>
      <c r="D321" t="s">
        <v>1113</v>
      </c>
      <c r="E321" s="4"/>
      <c r="F321" s="12"/>
    </row>
    <row r="322" spans="1:6" ht="16" customHeight="1" x14ac:dyDescent="0.2">
      <c r="A322" t="s">
        <v>1105</v>
      </c>
      <c r="B322" s="351" t="s">
        <v>989</v>
      </c>
      <c r="C322" t="s">
        <v>1114</v>
      </c>
      <c r="D322" t="s">
        <v>1115</v>
      </c>
      <c r="E322" s="4"/>
      <c r="F322" s="12"/>
    </row>
    <row r="323" spans="1:6" ht="16" customHeight="1" x14ac:dyDescent="0.2">
      <c r="A323" t="s">
        <v>1105</v>
      </c>
      <c r="B323" s="351" t="s">
        <v>992</v>
      </c>
      <c r="C323" t="s">
        <v>993</v>
      </c>
      <c r="D323" t="s">
        <v>994</v>
      </c>
      <c r="E323" s="4"/>
      <c r="F323" s="12"/>
    </row>
    <row r="324" spans="1:6" ht="16" customHeight="1" x14ac:dyDescent="0.2">
      <c r="A324" t="s">
        <v>1105</v>
      </c>
      <c r="B324" s="351" t="s">
        <v>716</v>
      </c>
      <c r="C324" t="s">
        <v>912</v>
      </c>
      <c r="D324" t="s">
        <v>913</v>
      </c>
      <c r="E324" s="4"/>
    </row>
    <row r="325" spans="1:6" ht="16" customHeight="1" x14ac:dyDescent="0.2">
      <c r="A325" t="s">
        <v>1105</v>
      </c>
      <c r="B325" s="351" t="s">
        <v>718</v>
      </c>
      <c r="C325" t="s">
        <v>661</v>
      </c>
      <c r="D325" t="s">
        <v>662</v>
      </c>
      <c r="E325" s="4"/>
    </row>
    <row r="326" spans="1:6" ht="16" customHeight="1" x14ac:dyDescent="0.2">
      <c r="A326" t="s">
        <v>1105</v>
      </c>
      <c r="B326" s="351" t="s">
        <v>719</v>
      </c>
      <c r="C326" t="s">
        <v>663</v>
      </c>
      <c r="D326" t="s">
        <v>664</v>
      </c>
      <c r="E326" s="4"/>
    </row>
    <row r="327" spans="1:6" ht="16" customHeight="1" x14ac:dyDescent="0.2">
      <c r="E327" s="4"/>
    </row>
    <row r="328" spans="1:6" x14ac:dyDescent="0.2">
      <c r="A328" t="s">
        <v>1116</v>
      </c>
      <c r="B328" s="351" t="s">
        <v>1117</v>
      </c>
      <c r="C328" t="s">
        <v>1118</v>
      </c>
      <c r="D328" t="s">
        <v>1119</v>
      </c>
      <c r="E328" s="4"/>
      <c r="F328" s="12"/>
    </row>
    <row r="329" spans="1:6" x14ac:dyDescent="0.2">
      <c r="A329" t="s">
        <v>1116</v>
      </c>
      <c r="B329" s="351" t="s">
        <v>1120</v>
      </c>
      <c r="C329" t="s">
        <v>1121</v>
      </c>
      <c r="D329" t="s">
        <v>1122</v>
      </c>
      <c r="E329" s="4"/>
      <c r="F329" s="12"/>
    </row>
    <row r="330" spans="1:6" x14ac:dyDescent="0.2">
      <c r="A330" t="s">
        <v>1116</v>
      </c>
      <c r="B330" s="351" t="s">
        <v>1123</v>
      </c>
      <c r="C330" t="s">
        <v>1124</v>
      </c>
      <c r="D330" t="s">
        <v>1125</v>
      </c>
      <c r="E330" s="4"/>
      <c r="F330" s="12"/>
    </row>
    <row r="331" spans="1:6" x14ac:dyDescent="0.2">
      <c r="A331" t="s">
        <v>1116</v>
      </c>
      <c r="B331" s="351" t="s">
        <v>1126</v>
      </c>
      <c r="C331" t="s">
        <v>1127</v>
      </c>
      <c r="D331" t="s">
        <v>1128</v>
      </c>
      <c r="E331" s="4"/>
      <c r="F331" s="12"/>
    </row>
    <row r="332" spans="1:6" x14ac:dyDescent="0.2">
      <c r="A332" t="s">
        <v>1116</v>
      </c>
      <c r="B332" s="351" t="s">
        <v>718</v>
      </c>
      <c r="C332" t="s">
        <v>661</v>
      </c>
      <c r="D332" t="s">
        <v>662</v>
      </c>
      <c r="E332" s="4"/>
      <c r="F332" s="12"/>
    </row>
    <row r="333" spans="1:6" x14ac:dyDescent="0.2">
      <c r="A333" t="s">
        <v>1116</v>
      </c>
      <c r="B333" s="351" t="s">
        <v>719</v>
      </c>
      <c r="C333" t="s">
        <v>663</v>
      </c>
      <c r="D333" t="s">
        <v>664</v>
      </c>
      <c r="E333" s="4"/>
      <c r="F333" s="12"/>
    </row>
    <row r="334" spans="1:6" x14ac:dyDescent="0.2">
      <c r="E334" s="4"/>
    </row>
    <row r="335" spans="1:6" x14ac:dyDescent="0.2">
      <c r="A335" t="s">
        <v>1129</v>
      </c>
      <c r="B335" s="351" t="s">
        <v>1130</v>
      </c>
      <c r="C335" t="s">
        <v>1131</v>
      </c>
      <c r="D335" t="s">
        <v>1132</v>
      </c>
      <c r="E335" s="4"/>
      <c r="F335" s="12"/>
    </row>
    <row r="336" spans="1:6" x14ac:dyDescent="0.2">
      <c r="A336" t="s">
        <v>1129</v>
      </c>
      <c r="B336" s="351" t="s">
        <v>1133</v>
      </c>
      <c r="C336" t="s">
        <v>1134</v>
      </c>
      <c r="D336" t="s">
        <v>1135</v>
      </c>
      <c r="E336" s="4"/>
      <c r="F336" s="12"/>
    </row>
    <row r="337" spans="1:6" x14ac:dyDescent="0.2">
      <c r="A337" t="s">
        <v>1129</v>
      </c>
      <c r="B337" s="351" t="s">
        <v>1136</v>
      </c>
      <c r="C337" t="s">
        <v>1137</v>
      </c>
      <c r="D337" t="s">
        <v>1138</v>
      </c>
      <c r="E337" s="4"/>
      <c r="F337" s="12"/>
    </row>
    <row r="338" spans="1:6" x14ac:dyDescent="0.2">
      <c r="A338" t="s">
        <v>1129</v>
      </c>
      <c r="B338" s="351" t="s">
        <v>1139</v>
      </c>
      <c r="C338" t="s">
        <v>1140</v>
      </c>
      <c r="D338" t="s">
        <v>1141</v>
      </c>
      <c r="E338" s="4"/>
      <c r="F338" s="12"/>
    </row>
    <row r="339" spans="1:6" x14ac:dyDescent="0.2">
      <c r="A339" t="s">
        <v>1129</v>
      </c>
      <c r="B339" s="351" t="s">
        <v>1142</v>
      </c>
      <c r="C339" t="s">
        <v>1143</v>
      </c>
      <c r="D339" t="s">
        <v>1144</v>
      </c>
      <c r="E339" s="4"/>
      <c r="F339" s="12"/>
    </row>
    <row r="340" spans="1:6" x14ac:dyDescent="0.2">
      <c r="A340" t="s">
        <v>1129</v>
      </c>
      <c r="B340" s="351" t="s">
        <v>1145</v>
      </c>
      <c r="C340" t="s">
        <v>1146</v>
      </c>
      <c r="D340" t="s">
        <v>1147</v>
      </c>
      <c r="E340" s="4"/>
      <c r="F340" s="12"/>
    </row>
    <row r="341" spans="1:6" x14ac:dyDescent="0.2">
      <c r="A341" t="s">
        <v>1129</v>
      </c>
      <c r="B341" s="351" t="s">
        <v>1148</v>
      </c>
      <c r="C341" t="s">
        <v>1149</v>
      </c>
      <c r="D341" t="s">
        <v>1150</v>
      </c>
      <c r="E341" s="4"/>
      <c r="F341" s="12"/>
    </row>
    <row r="342" spans="1:6" x14ac:dyDescent="0.2">
      <c r="A342" t="s">
        <v>1129</v>
      </c>
      <c r="B342" s="351" t="s">
        <v>1151</v>
      </c>
      <c r="C342" t="s">
        <v>1152</v>
      </c>
      <c r="D342" t="s">
        <v>1153</v>
      </c>
      <c r="E342" s="4"/>
      <c r="F342" s="12"/>
    </row>
    <row r="343" spans="1:6" x14ac:dyDescent="0.2">
      <c r="A343" t="s">
        <v>1129</v>
      </c>
      <c r="B343" s="351" t="s">
        <v>716</v>
      </c>
      <c r="C343" t="s">
        <v>863</v>
      </c>
      <c r="D343" t="s">
        <v>864</v>
      </c>
      <c r="E343" s="4"/>
    </row>
    <row r="344" spans="1:6" x14ac:dyDescent="0.2">
      <c r="A344" t="s">
        <v>1129</v>
      </c>
      <c r="B344" s="351" t="s">
        <v>718</v>
      </c>
      <c r="C344" t="s">
        <v>661</v>
      </c>
      <c r="D344" t="s">
        <v>662</v>
      </c>
      <c r="E344" s="4"/>
    </row>
    <row r="345" spans="1:6" x14ac:dyDescent="0.2">
      <c r="A345" t="s">
        <v>1129</v>
      </c>
      <c r="B345" s="351" t="s">
        <v>719</v>
      </c>
      <c r="C345" t="s">
        <v>663</v>
      </c>
      <c r="D345" t="s">
        <v>664</v>
      </c>
      <c r="E345" s="4"/>
    </row>
    <row r="346" spans="1:6" x14ac:dyDescent="0.2">
      <c r="E346" s="4"/>
    </row>
    <row r="347" spans="1:6" s="12" customFormat="1" x14ac:dyDescent="0.2">
      <c r="A347" s="281" t="s">
        <v>1154</v>
      </c>
      <c r="B347" s="358" t="s">
        <v>1155</v>
      </c>
      <c r="C347" s="281" t="s">
        <v>1156</v>
      </c>
      <c r="D347" s="281" t="s">
        <v>1157</v>
      </c>
      <c r="E347" s="14"/>
    </row>
    <row r="348" spans="1:6" s="12" customFormat="1" x14ac:dyDescent="0.2">
      <c r="A348" s="281" t="s">
        <v>1154</v>
      </c>
      <c r="B348" s="358" t="s">
        <v>1158</v>
      </c>
      <c r="C348" s="281" t="s">
        <v>1159</v>
      </c>
      <c r="D348" s="281" t="s">
        <v>1160</v>
      </c>
      <c r="E348" s="14"/>
    </row>
    <row r="349" spans="1:6" s="12" customFormat="1" x14ac:dyDescent="0.2">
      <c r="A349" s="281" t="s">
        <v>1154</v>
      </c>
      <c r="B349" s="358" t="s">
        <v>1161</v>
      </c>
      <c r="C349" s="281" t="s">
        <v>1162</v>
      </c>
      <c r="D349" s="281" t="s">
        <v>1163</v>
      </c>
      <c r="E349" s="14"/>
    </row>
    <row r="350" spans="1:6" s="12" customFormat="1" x14ac:dyDescent="0.2">
      <c r="A350" s="281" t="s">
        <v>1154</v>
      </c>
      <c r="B350" s="358" t="s">
        <v>1164</v>
      </c>
      <c r="C350" s="281" t="s">
        <v>1165</v>
      </c>
      <c r="D350" s="281" t="s">
        <v>1166</v>
      </c>
      <c r="E350" s="14"/>
    </row>
    <row r="351" spans="1:6" s="12" customFormat="1" x14ac:dyDescent="0.2">
      <c r="A351" s="281" t="s">
        <v>1154</v>
      </c>
      <c r="B351" s="358" t="s">
        <v>1139</v>
      </c>
      <c r="C351" s="281" t="s">
        <v>1167</v>
      </c>
      <c r="D351" s="281" t="s">
        <v>1168</v>
      </c>
      <c r="E351" s="14"/>
    </row>
    <row r="352" spans="1:6" s="12" customFormat="1" x14ac:dyDescent="0.2">
      <c r="A352" s="281" t="s">
        <v>1154</v>
      </c>
      <c r="B352" s="358" t="s">
        <v>1169</v>
      </c>
      <c r="C352" s="281" t="s">
        <v>1170</v>
      </c>
      <c r="D352" s="281" t="s">
        <v>1171</v>
      </c>
      <c r="E352" s="14"/>
    </row>
    <row r="353" spans="1:6" s="12" customFormat="1" x14ac:dyDescent="0.2">
      <c r="A353" s="281" t="s">
        <v>1154</v>
      </c>
      <c r="B353" s="358" t="s">
        <v>1145</v>
      </c>
      <c r="C353" s="281" t="s">
        <v>1172</v>
      </c>
      <c r="D353" s="281" t="s">
        <v>1173</v>
      </c>
      <c r="E353" s="14"/>
    </row>
    <row r="354" spans="1:6" s="12" customFormat="1" x14ac:dyDescent="0.2">
      <c r="A354" s="281" t="s">
        <v>1154</v>
      </c>
      <c r="B354" s="358" t="s">
        <v>716</v>
      </c>
      <c r="C354" s="281" t="s">
        <v>863</v>
      </c>
      <c r="D354" s="281" t="s">
        <v>864</v>
      </c>
      <c r="E354" s="14"/>
    </row>
    <row r="355" spans="1:6" s="12" customFormat="1" x14ac:dyDescent="0.2">
      <c r="A355" s="281" t="s">
        <v>1154</v>
      </c>
      <c r="B355" s="358" t="s">
        <v>718</v>
      </c>
      <c r="C355" s="281" t="s">
        <v>661</v>
      </c>
      <c r="D355" s="281" t="s">
        <v>662</v>
      </c>
      <c r="E355" s="14"/>
    </row>
    <row r="356" spans="1:6" s="12" customFormat="1" x14ac:dyDescent="0.2">
      <c r="A356" s="281" t="s">
        <v>1154</v>
      </c>
      <c r="B356" s="358" t="s">
        <v>719</v>
      </c>
      <c r="C356" s="281" t="s">
        <v>663</v>
      </c>
      <c r="D356" s="281" t="s">
        <v>664</v>
      </c>
      <c r="E356" s="14"/>
    </row>
    <row r="357" spans="1:6" x14ac:dyDescent="0.2">
      <c r="E357" s="4"/>
    </row>
    <row r="358" spans="1:6" x14ac:dyDescent="0.2">
      <c r="A358" t="s">
        <v>1174</v>
      </c>
      <c r="B358" s="351">
        <v>1</v>
      </c>
      <c r="C358" t="s">
        <v>1175</v>
      </c>
      <c r="D358" t="s">
        <v>1176</v>
      </c>
      <c r="E358" s="4"/>
    </row>
    <row r="359" spans="1:6" x14ac:dyDescent="0.2">
      <c r="A359" t="s">
        <v>1174</v>
      </c>
      <c r="B359" s="351">
        <v>2</v>
      </c>
      <c r="C359" t="s">
        <v>1177</v>
      </c>
      <c r="D359" t="s">
        <v>1178</v>
      </c>
      <c r="E359" s="4"/>
    </row>
    <row r="360" spans="1:6" x14ac:dyDescent="0.2">
      <c r="A360" t="s">
        <v>1174</v>
      </c>
      <c r="B360" s="351">
        <v>3</v>
      </c>
      <c r="C360" t="s">
        <v>1179</v>
      </c>
      <c r="D360" t="s">
        <v>1180</v>
      </c>
      <c r="E360" s="4"/>
    </row>
    <row r="361" spans="1:6" x14ac:dyDescent="0.2">
      <c r="A361" t="s">
        <v>1174</v>
      </c>
      <c r="B361" s="351">
        <v>4</v>
      </c>
      <c r="C361" t="s">
        <v>1181</v>
      </c>
      <c r="D361" t="s">
        <v>1182</v>
      </c>
      <c r="E361" s="4"/>
    </row>
    <row r="362" spans="1:6" x14ac:dyDescent="0.2">
      <c r="A362" t="s">
        <v>1174</v>
      </c>
      <c r="B362" s="351">
        <v>5</v>
      </c>
      <c r="C362" t="s">
        <v>863</v>
      </c>
      <c r="D362" t="s">
        <v>864</v>
      </c>
      <c r="E362" s="4"/>
    </row>
    <row r="363" spans="1:6" x14ac:dyDescent="0.2">
      <c r="A363" t="s">
        <v>1174</v>
      </c>
      <c r="B363" s="352">
        <v>6</v>
      </c>
      <c r="C363" t="s">
        <v>661</v>
      </c>
      <c r="D363" t="s">
        <v>662</v>
      </c>
      <c r="E363" s="4"/>
    </row>
    <row r="364" spans="1:6" x14ac:dyDescent="0.2">
      <c r="A364" t="s">
        <v>1174</v>
      </c>
      <c r="B364" s="352">
        <v>7</v>
      </c>
      <c r="C364" t="s">
        <v>663</v>
      </c>
      <c r="D364" t="s">
        <v>664</v>
      </c>
      <c r="E364" s="4"/>
    </row>
    <row r="365" spans="1:6" x14ac:dyDescent="0.2">
      <c r="E365" s="4"/>
    </row>
    <row r="366" spans="1:6" x14ac:dyDescent="0.2">
      <c r="A366" t="s">
        <v>1183</v>
      </c>
      <c r="B366" s="351" t="s">
        <v>974</v>
      </c>
      <c r="C366" t="s">
        <v>975</v>
      </c>
      <c r="D366" t="s">
        <v>976</v>
      </c>
      <c r="E366" s="4"/>
      <c r="F366" s="12"/>
    </row>
    <row r="367" spans="1:6" x14ac:dyDescent="0.2">
      <c r="A367" t="s">
        <v>1183</v>
      </c>
      <c r="B367" s="351" t="s">
        <v>977</v>
      </c>
      <c r="C367" t="s">
        <v>1184</v>
      </c>
      <c r="D367" t="s">
        <v>1185</v>
      </c>
      <c r="E367" s="4"/>
      <c r="F367" s="12"/>
    </row>
    <row r="368" spans="1:6" x14ac:dyDescent="0.2">
      <c r="A368" t="s">
        <v>1183</v>
      </c>
      <c r="B368" s="351" t="s">
        <v>980</v>
      </c>
      <c r="C368" t="s">
        <v>1186</v>
      </c>
      <c r="D368" t="s">
        <v>1187</v>
      </c>
      <c r="E368" s="4"/>
      <c r="F368" s="12"/>
    </row>
    <row r="369" spans="1:6" x14ac:dyDescent="0.2">
      <c r="A369" t="s">
        <v>1183</v>
      </c>
      <c r="B369" s="351" t="s">
        <v>983</v>
      </c>
      <c r="C369" t="s">
        <v>1188</v>
      </c>
      <c r="D369" t="s">
        <v>1189</v>
      </c>
      <c r="E369" s="4"/>
      <c r="F369" s="12"/>
    </row>
    <row r="370" spans="1:6" x14ac:dyDescent="0.2">
      <c r="A370" t="s">
        <v>1183</v>
      </c>
      <c r="B370" s="351" t="s">
        <v>1190</v>
      </c>
      <c r="C370" t="s">
        <v>987</v>
      </c>
      <c r="D370" t="s">
        <v>1110</v>
      </c>
      <c r="E370" s="4"/>
      <c r="F370" s="12"/>
    </row>
    <row r="371" spans="1:6" x14ac:dyDescent="0.2">
      <c r="A371" t="s">
        <v>1183</v>
      </c>
      <c r="B371" s="351" t="s">
        <v>989</v>
      </c>
      <c r="C371" t="s">
        <v>1191</v>
      </c>
      <c r="D371" t="s">
        <v>1192</v>
      </c>
      <c r="E371" s="4"/>
      <c r="F371" s="12"/>
    </row>
    <row r="372" spans="1:6" x14ac:dyDescent="0.2">
      <c r="A372" t="s">
        <v>1183</v>
      </c>
      <c r="B372" s="351" t="s">
        <v>992</v>
      </c>
      <c r="C372" t="s">
        <v>1193</v>
      </c>
      <c r="D372" t="s">
        <v>994</v>
      </c>
      <c r="E372" s="4"/>
      <c r="F372" s="12"/>
    </row>
    <row r="373" spans="1:6" x14ac:dyDescent="0.2">
      <c r="A373" t="s">
        <v>1183</v>
      </c>
      <c r="B373" s="351" t="s">
        <v>716</v>
      </c>
      <c r="C373" t="s">
        <v>912</v>
      </c>
      <c r="D373" t="s">
        <v>1194</v>
      </c>
      <c r="E373" s="4"/>
    </row>
    <row r="374" spans="1:6" x14ac:dyDescent="0.2">
      <c r="A374" t="s">
        <v>1183</v>
      </c>
      <c r="B374" s="351" t="s">
        <v>718</v>
      </c>
      <c r="C374" t="s">
        <v>661</v>
      </c>
      <c r="D374" t="s">
        <v>662</v>
      </c>
      <c r="E374" s="4"/>
    </row>
    <row r="375" spans="1:6" x14ac:dyDescent="0.2">
      <c r="A375" t="s">
        <v>1183</v>
      </c>
      <c r="B375" s="351" t="s">
        <v>719</v>
      </c>
      <c r="C375" t="s">
        <v>663</v>
      </c>
      <c r="D375" t="s">
        <v>664</v>
      </c>
      <c r="E375" s="4"/>
    </row>
    <row r="376" spans="1:6" x14ac:dyDescent="0.2">
      <c r="E376" s="4"/>
    </row>
    <row r="377" spans="1:6" x14ac:dyDescent="0.2">
      <c r="A377" t="s">
        <v>1195</v>
      </c>
      <c r="B377" s="351">
        <v>1</v>
      </c>
      <c r="C377" t="s">
        <v>1196</v>
      </c>
      <c r="D377" t="s">
        <v>1197</v>
      </c>
      <c r="E377" s="4"/>
    </row>
    <row r="378" spans="1:6" x14ac:dyDescent="0.2">
      <c r="A378" t="s">
        <v>1195</v>
      </c>
      <c r="B378" s="351">
        <v>2</v>
      </c>
      <c r="C378" t="s">
        <v>1198</v>
      </c>
      <c r="D378" t="s">
        <v>1199</v>
      </c>
      <c r="E378" s="4"/>
    </row>
    <row r="379" spans="1:6" x14ac:dyDescent="0.2">
      <c r="A379" t="s">
        <v>1195</v>
      </c>
      <c r="B379" s="351">
        <v>3</v>
      </c>
      <c r="C379" t="s">
        <v>1200</v>
      </c>
      <c r="D379" t="s">
        <v>1201</v>
      </c>
      <c r="E379" s="4"/>
    </row>
    <row r="380" spans="1:6" x14ac:dyDescent="0.2">
      <c r="A380" t="s">
        <v>1195</v>
      </c>
      <c r="B380" s="351">
        <v>4</v>
      </c>
      <c r="C380" t="s">
        <v>1202</v>
      </c>
      <c r="D380" t="s">
        <v>662</v>
      </c>
      <c r="E380" s="4"/>
    </row>
    <row r="381" spans="1:6" x14ac:dyDescent="0.2">
      <c r="A381" t="s">
        <v>1195</v>
      </c>
      <c r="B381" s="352">
        <v>5</v>
      </c>
      <c r="C381" t="s">
        <v>663</v>
      </c>
      <c r="D381" t="s">
        <v>664</v>
      </c>
      <c r="E381" s="4"/>
    </row>
    <row r="382" spans="1:6" x14ac:dyDescent="0.2">
      <c r="E382" s="4"/>
    </row>
    <row r="383" spans="1:6" x14ac:dyDescent="0.2">
      <c r="A383" t="s">
        <v>1203</v>
      </c>
      <c r="B383" s="351">
        <v>1</v>
      </c>
      <c r="C383" t="s">
        <v>657</v>
      </c>
      <c r="D383" t="s">
        <v>658</v>
      </c>
      <c r="E383" s="4"/>
    </row>
    <row r="384" spans="1:6" x14ac:dyDescent="0.2">
      <c r="A384" t="s">
        <v>1203</v>
      </c>
      <c r="B384" s="351">
        <v>2</v>
      </c>
      <c r="C384" t="s">
        <v>1204</v>
      </c>
      <c r="D384" t="s">
        <v>1205</v>
      </c>
      <c r="E384" s="4"/>
    </row>
    <row r="385" spans="1:5" x14ac:dyDescent="0.2">
      <c r="A385" t="s">
        <v>1203</v>
      </c>
      <c r="B385" s="351">
        <v>3</v>
      </c>
      <c r="C385" t="s">
        <v>1206</v>
      </c>
      <c r="D385" t="s">
        <v>1207</v>
      </c>
      <c r="E385" s="4"/>
    </row>
    <row r="386" spans="1:5" x14ac:dyDescent="0.2">
      <c r="A386" t="s">
        <v>1203</v>
      </c>
      <c r="B386" s="351">
        <v>4</v>
      </c>
      <c r="C386" t="s">
        <v>1208</v>
      </c>
      <c r="D386" t="s">
        <v>1209</v>
      </c>
      <c r="E386" s="4"/>
    </row>
    <row r="387" spans="1:5" x14ac:dyDescent="0.2">
      <c r="A387" t="s">
        <v>1203</v>
      </c>
      <c r="B387" s="352">
        <v>5</v>
      </c>
      <c r="C387" t="s">
        <v>661</v>
      </c>
      <c r="D387" t="s">
        <v>662</v>
      </c>
      <c r="E387" s="4"/>
    </row>
    <row r="388" spans="1:5" x14ac:dyDescent="0.2">
      <c r="A388" t="s">
        <v>1203</v>
      </c>
      <c r="B388" s="352">
        <v>6</v>
      </c>
      <c r="C388" t="s">
        <v>663</v>
      </c>
      <c r="D388" t="s">
        <v>664</v>
      </c>
      <c r="E388" s="4"/>
    </row>
    <row r="389" spans="1:5" x14ac:dyDescent="0.2">
      <c r="E389" s="4"/>
    </row>
    <row r="390" spans="1:5" s="327" customFormat="1" x14ac:dyDescent="0.2">
      <c r="A390" s="327" t="s">
        <v>521</v>
      </c>
      <c r="B390" s="353" t="s">
        <v>1210</v>
      </c>
      <c r="C390" s="327" t="s">
        <v>2113</v>
      </c>
      <c r="D390" s="327" t="s">
        <v>2114</v>
      </c>
      <c r="E390" s="4"/>
    </row>
    <row r="391" spans="1:5" s="327" customFormat="1" x14ac:dyDescent="0.2">
      <c r="A391" s="327" t="s">
        <v>521</v>
      </c>
      <c r="B391" s="353" t="s">
        <v>1211</v>
      </c>
      <c r="C391" s="327" t="s">
        <v>2099</v>
      </c>
      <c r="D391" s="327" t="s">
        <v>2100</v>
      </c>
      <c r="E391" s="4"/>
    </row>
    <row r="392" spans="1:5" s="327" customFormat="1" x14ac:dyDescent="0.2">
      <c r="A392" s="327" t="s">
        <v>521</v>
      </c>
      <c r="B392" s="353" t="s">
        <v>1212</v>
      </c>
      <c r="C392" s="327" t="s">
        <v>1213</v>
      </c>
      <c r="D392" s="327" t="s">
        <v>1214</v>
      </c>
      <c r="E392" s="4"/>
    </row>
    <row r="393" spans="1:5" s="327" customFormat="1" x14ac:dyDescent="0.2">
      <c r="A393" s="327" t="s">
        <v>521</v>
      </c>
      <c r="B393" s="353" t="s">
        <v>1215</v>
      </c>
      <c r="C393" s="327" t="s">
        <v>1216</v>
      </c>
      <c r="D393" s="327" t="s">
        <v>1217</v>
      </c>
      <c r="E393" s="4"/>
    </row>
    <row r="394" spans="1:5" s="327" customFormat="1" x14ac:dyDescent="0.2">
      <c r="A394" s="327" t="s">
        <v>521</v>
      </c>
      <c r="B394" s="353" t="s">
        <v>1218</v>
      </c>
      <c r="C394" s="327" t="s">
        <v>2101</v>
      </c>
      <c r="D394" s="327" t="s">
        <v>2102</v>
      </c>
      <c r="E394" s="4"/>
    </row>
    <row r="395" spans="1:5" s="327" customFormat="1" x14ac:dyDescent="0.2">
      <c r="A395" s="327" t="s">
        <v>521</v>
      </c>
      <c r="B395" s="353" t="s">
        <v>1219</v>
      </c>
      <c r="C395" s="327" t="s">
        <v>1099</v>
      </c>
      <c r="D395" s="327" t="s">
        <v>1100</v>
      </c>
      <c r="E395" s="4"/>
    </row>
    <row r="396" spans="1:5" s="327" customFormat="1" x14ac:dyDescent="0.2">
      <c r="A396" s="327" t="s">
        <v>521</v>
      </c>
      <c r="B396" s="353" t="s">
        <v>1220</v>
      </c>
      <c r="C396" s="327" t="s">
        <v>2103</v>
      </c>
      <c r="D396" s="327" t="s">
        <v>2104</v>
      </c>
      <c r="E396" s="4"/>
    </row>
    <row r="397" spans="1:5" s="327" customFormat="1" x14ac:dyDescent="0.2">
      <c r="A397" s="327" t="s">
        <v>521</v>
      </c>
      <c r="B397" s="353" t="s">
        <v>1221</v>
      </c>
      <c r="C397" s="327" t="s">
        <v>2105</v>
      </c>
      <c r="D397" s="327" t="s">
        <v>2106</v>
      </c>
      <c r="E397" s="4"/>
    </row>
    <row r="398" spans="1:5" s="327" customFormat="1" x14ac:dyDescent="0.2">
      <c r="A398" s="327" t="s">
        <v>521</v>
      </c>
      <c r="B398" s="353" t="s">
        <v>1222</v>
      </c>
      <c r="C398" s="327" t="s">
        <v>2107</v>
      </c>
      <c r="D398" s="327" t="s">
        <v>2108</v>
      </c>
      <c r="E398" s="4"/>
    </row>
    <row r="399" spans="1:5" s="327" customFormat="1" x14ac:dyDescent="0.2">
      <c r="A399" s="327" t="s">
        <v>521</v>
      </c>
      <c r="B399" s="353" t="s">
        <v>1223</v>
      </c>
      <c r="C399" s="327" t="s">
        <v>1224</v>
      </c>
      <c r="D399" s="327" t="s">
        <v>1225</v>
      </c>
      <c r="E399" s="4"/>
    </row>
    <row r="400" spans="1:5" s="327" customFormat="1" x14ac:dyDescent="0.2">
      <c r="A400" s="327" t="s">
        <v>521</v>
      </c>
      <c r="B400" s="353" t="s">
        <v>1226</v>
      </c>
      <c r="C400" s="327" t="s">
        <v>2109</v>
      </c>
      <c r="D400" s="327" t="s">
        <v>2110</v>
      </c>
      <c r="E400" s="4"/>
    </row>
    <row r="401" spans="1:6" s="327" customFormat="1" x14ac:dyDescent="0.2">
      <c r="A401" s="327" t="s">
        <v>521</v>
      </c>
      <c r="B401" s="353" t="s">
        <v>1227</v>
      </c>
      <c r="C401" s="327" t="s">
        <v>2111</v>
      </c>
      <c r="D401" s="327" t="s">
        <v>2112</v>
      </c>
      <c r="E401" s="4"/>
    </row>
    <row r="402" spans="1:6" x14ac:dyDescent="0.2">
      <c r="E402" s="4"/>
    </row>
    <row r="403" spans="1:6" x14ac:dyDescent="0.2">
      <c r="A403" t="s">
        <v>1228</v>
      </c>
      <c r="B403" s="351" t="s">
        <v>1229</v>
      </c>
      <c r="C403" t="s">
        <v>1230</v>
      </c>
      <c r="D403" t="s">
        <v>1231</v>
      </c>
      <c r="E403" s="4"/>
      <c r="F403" s="12"/>
    </row>
    <row r="404" spans="1:6" x14ac:dyDescent="0.2">
      <c r="A404" t="s">
        <v>1228</v>
      </c>
      <c r="B404" s="351" t="s">
        <v>1232</v>
      </c>
      <c r="C404" t="s">
        <v>1233</v>
      </c>
      <c r="D404" t="s">
        <v>1234</v>
      </c>
      <c r="E404" s="4"/>
      <c r="F404" s="12"/>
    </row>
    <row r="405" spans="1:6" x14ac:dyDescent="0.2">
      <c r="A405" t="s">
        <v>1228</v>
      </c>
      <c r="B405" s="351" t="s">
        <v>1235</v>
      </c>
      <c r="C405" t="s">
        <v>1236</v>
      </c>
      <c r="D405" t="s">
        <v>1237</v>
      </c>
      <c r="E405" s="4"/>
      <c r="F405" s="12"/>
    </row>
    <row r="406" spans="1:6" x14ac:dyDescent="0.2">
      <c r="A406" t="s">
        <v>1228</v>
      </c>
      <c r="B406" s="351" t="s">
        <v>1238</v>
      </c>
      <c r="C406" t="s">
        <v>1239</v>
      </c>
      <c r="D406" t="s">
        <v>1240</v>
      </c>
      <c r="E406" s="4"/>
      <c r="F406" s="12"/>
    </row>
    <row r="407" spans="1:6" x14ac:dyDescent="0.2">
      <c r="A407" t="s">
        <v>1228</v>
      </c>
      <c r="B407" s="351" t="s">
        <v>1241</v>
      </c>
      <c r="C407" t="s">
        <v>1242</v>
      </c>
      <c r="D407" t="s">
        <v>1243</v>
      </c>
      <c r="E407" s="4"/>
      <c r="F407" s="12"/>
    </row>
    <row r="408" spans="1:6" x14ac:dyDescent="0.2">
      <c r="A408" t="s">
        <v>1228</v>
      </c>
      <c r="B408" s="351" t="s">
        <v>1244</v>
      </c>
      <c r="C408" t="s">
        <v>1245</v>
      </c>
      <c r="D408" t="s">
        <v>1246</v>
      </c>
      <c r="E408" s="4"/>
      <c r="F408" s="12"/>
    </row>
    <row r="409" spans="1:6" x14ac:dyDescent="0.2">
      <c r="A409" t="s">
        <v>1228</v>
      </c>
      <c r="B409" s="351" t="s">
        <v>338</v>
      </c>
      <c r="C409" t="s">
        <v>1247</v>
      </c>
      <c r="D409" t="s">
        <v>1248</v>
      </c>
      <c r="E409" s="4"/>
      <c r="F409" s="12"/>
    </row>
    <row r="410" spans="1:6" x14ac:dyDescent="0.2">
      <c r="A410" t="s">
        <v>1228</v>
      </c>
      <c r="B410" s="351" t="s">
        <v>1249</v>
      </c>
      <c r="C410" t="s">
        <v>1250</v>
      </c>
      <c r="D410" t="s">
        <v>1251</v>
      </c>
      <c r="E410" s="4"/>
      <c r="F410" s="12"/>
    </row>
    <row r="411" spans="1:6" x14ac:dyDescent="0.2">
      <c r="A411" t="s">
        <v>1228</v>
      </c>
      <c r="B411" s="351" t="s">
        <v>1252</v>
      </c>
      <c r="C411" t="s">
        <v>1253</v>
      </c>
      <c r="D411" t="s">
        <v>1254</v>
      </c>
      <c r="E411" s="4"/>
      <c r="F411" s="12"/>
    </row>
    <row r="412" spans="1:6" x14ac:dyDescent="0.2">
      <c r="A412" t="s">
        <v>1228</v>
      </c>
      <c r="B412" s="351" t="s">
        <v>1255</v>
      </c>
      <c r="C412" t="s">
        <v>1256</v>
      </c>
      <c r="D412" t="s">
        <v>1257</v>
      </c>
      <c r="E412" s="4"/>
      <c r="F412" s="12"/>
    </row>
    <row r="413" spans="1:6" x14ac:dyDescent="0.2">
      <c r="A413" t="s">
        <v>1228</v>
      </c>
      <c r="B413" s="351" t="s">
        <v>1258</v>
      </c>
      <c r="C413" t="s">
        <v>1259</v>
      </c>
      <c r="D413" t="s">
        <v>1260</v>
      </c>
      <c r="E413" s="4"/>
      <c r="F413" s="12"/>
    </row>
    <row r="414" spans="1:6" x14ac:dyDescent="0.2">
      <c r="A414" t="s">
        <v>1228</v>
      </c>
      <c r="B414" s="351" t="s">
        <v>1261</v>
      </c>
      <c r="C414" t="s">
        <v>1262</v>
      </c>
      <c r="D414" t="s">
        <v>1263</v>
      </c>
      <c r="E414" s="4"/>
      <c r="F414" s="12"/>
    </row>
    <row r="415" spans="1:6" x14ac:dyDescent="0.2">
      <c r="A415" t="s">
        <v>1228</v>
      </c>
      <c r="B415" s="351" t="s">
        <v>1264</v>
      </c>
      <c r="C415" t="s">
        <v>1265</v>
      </c>
      <c r="D415" t="s">
        <v>1266</v>
      </c>
      <c r="E415" s="4"/>
      <c r="F415" s="12"/>
    </row>
    <row r="416" spans="1:6" x14ac:dyDescent="0.2">
      <c r="A416" t="s">
        <v>1228</v>
      </c>
      <c r="B416" s="351" t="s">
        <v>1267</v>
      </c>
      <c r="C416" t="s">
        <v>1268</v>
      </c>
      <c r="D416" t="s">
        <v>1269</v>
      </c>
      <c r="E416" s="4"/>
      <c r="F416" s="12"/>
    </row>
    <row r="417" spans="1:6" x14ac:dyDescent="0.2">
      <c r="A417" t="s">
        <v>1228</v>
      </c>
      <c r="B417" s="351" t="s">
        <v>1270</v>
      </c>
      <c r="C417" t="s">
        <v>1271</v>
      </c>
      <c r="D417" t="s">
        <v>1272</v>
      </c>
      <c r="E417" s="4"/>
      <c r="F417" s="12"/>
    </row>
    <row r="418" spans="1:6" x14ac:dyDescent="0.2">
      <c r="A418" t="s">
        <v>1228</v>
      </c>
      <c r="B418" s="351" t="s">
        <v>1273</v>
      </c>
      <c r="C418" t="s">
        <v>1274</v>
      </c>
      <c r="D418" t="s">
        <v>1275</v>
      </c>
      <c r="E418" s="4"/>
      <c r="F418" s="12"/>
    </row>
    <row r="419" spans="1:6" x14ac:dyDescent="0.2">
      <c r="A419" t="s">
        <v>1228</v>
      </c>
      <c r="B419" s="351" t="s">
        <v>716</v>
      </c>
      <c r="C419" t="s">
        <v>863</v>
      </c>
      <c r="D419" t="s">
        <v>864</v>
      </c>
      <c r="E419" s="4"/>
    </row>
    <row r="420" spans="1:6" x14ac:dyDescent="0.2">
      <c r="A420" t="s">
        <v>1228</v>
      </c>
      <c r="B420" s="351" t="s">
        <v>718</v>
      </c>
      <c r="C420" t="s">
        <v>661</v>
      </c>
      <c r="D420" t="s">
        <v>662</v>
      </c>
      <c r="E420" s="4"/>
    </row>
    <row r="421" spans="1:6" x14ac:dyDescent="0.2">
      <c r="A421" t="s">
        <v>1228</v>
      </c>
      <c r="B421" s="351" t="s">
        <v>719</v>
      </c>
      <c r="C421" t="s">
        <v>663</v>
      </c>
      <c r="D421" t="s">
        <v>664</v>
      </c>
      <c r="E421" s="4"/>
    </row>
    <row r="422" spans="1:6" x14ac:dyDescent="0.2">
      <c r="E422" s="4"/>
    </row>
    <row r="423" spans="1:6" x14ac:dyDescent="0.2">
      <c r="A423" t="s">
        <v>1276</v>
      </c>
      <c r="B423" s="351" t="s">
        <v>1229</v>
      </c>
      <c r="C423" t="s">
        <v>1230</v>
      </c>
      <c r="D423" t="s">
        <v>1277</v>
      </c>
      <c r="E423" s="4"/>
      <c r="F423" s="12"/>
    </row>
    <row r="424" spans="1:6" x14ac:dyDescent="0.2">
      <c r="A424" t="s">
        <v>1276</v>
      </c>
      <c r="B424" s="351" t="s">
        <v>1232</v>
      </c>
      <c r="C424" t="s">
        <v>1278</v>
      </c>
      <c r="D424" t="s">
        <v>1279</v>
      </c>
      <c r="E424" s="4"/>
      <c r="F424" s="12"/>
    </row>
    <row r="425" spans="1:6" x14ac:dyDescent="0.2">
      <c r="A425" t="s">
        <v>1276</v>
      </c>
      <c r="B425" s="351" t="s">
        <v>1235</v>
      </c>
      <c r="C425" t="s">
        <v>1280</v>
      </c>
      <c r="D425" t="s">
        <v>1281</v>
      </c>
      <c r="E425" s="4"/>
      <c r="F425" s="12"/>
    </row>
    <row r="426" spans="1:6" x14ac:dyDescent="0.2">
      <c r="A426" t="s">
        <v>1276</v>
      </c>
      <c r="B426" s="351" t="s">
        <v>1282</v>
      </c>
      <c r="C426" t="s">
        <v>1283</v>
      </c>
      <c r="D426" t="s">
        <v>1284</v>
      </c>
      <c r="E426" s="4"/>
      <c r="F426" s="12"/>
    </row>
    <row r="427" spans="1:6" x14ac:dyDescent="0.2">
      <c r="A427" t="s">
        <v>1276</v>
      </c>
      <c r="B427" s="351" t="s">
        <v>1285</v>
      </c>
      <c r="C427" t="s">
        <v>1286</v>
      </c>
      <c r="D427" t="s">
        <v>1287</v>
      </c>
      <c r="E427" s="4"/>
      <c r="F427" s="12"/>
    </row>
    <row r="428" spans="1:6" x14ac:dyDescent="0.2">
      <c r="A428" t="s">
        <v>1276</v>
      </c>
      <c r="B428" s="351" t="s">
        <v>1288</v>
      </c>
      <c r="C428" t="s">
        <v>1289</v>
      </c>
      <c r="D428" t="s">
        <v>1290</v>
      </c>
      <c r="E428" s="4"/>
      <c r="F428" s="12"/>
    </row>
    <row r="429" spans="1:6" x14ac:dyDescent="0.2">
      <c r="A429" t="s">
        <v>1276</v>
      </c>
      <c r="B429" s="351" t="s">
        <v>1291</v>
      </c>
      <c r="C429" t="s">
        <v>1268</v>
      </c>
      <c r="D429" t="s">
        <v>1292</v>
      </c>
      <c r="E429" s="4"/>
      <c r="F429" s="12"/>
    </row>
    <row r="430" spans="1:6" x14ac:dyDescent="0.2">
      <c r="A430" t="s">
        <v>1276</v>
      </c>
      <c r="B430" s="351" t="s">
        <v>1293</v>
      </c>
      <c r="C430" t="s">
        <v>1274</v>
      </c>
      <c r="D430" t="s">
        <v>1294</v>
      </c>
      <c r="E430" s="4"/>
      <c r="F430" s="12"/>
    </row>
    <row r="431" spans="1:6" x14ac:dyDescent="0.2">
      <c r="A431" t="s">
        <v>1276</v>
      </c>
      <c r="B431" s="351" t="s">
        <v>716</v>
      </c>
      <c r="C431" t="s">
        <v>863</v>
      </c>
      <c r="D431" t="s">
        <v>864</v>
      </c>
      <c r="E431" s="4"/>
      <c r="F431" s="12"/>
    </row>
    <row r="432" spans="1:6" x14ac:dyDescent="0.2">
      <c r="A432" t="s">
        <v>1276</v>
      </c>
      <c r="B432" s="351" t="s">
        <v>717</v>
      </c>
      <c r="C432" t="s">
        <v>1295</v>
      </c>
      <c r="D432" t="s">
        <v>1296</v>
      </c>
      <c r="E432" s="4"/>
      <c r="F432" s="12"/>
    </row>
    <row r="433" spans="1:6" x14ac:dyDescent="0.2">
      <c r="A433" t="s">
        <v>1276</v>
      </c>
      <c r="B433" s="351" t="s">
        <v>718</v>
      </c>
      <c r="C433" t="s">
        <v>1202</v>
      </c>
      <c r="D433" t="s">
        <v>662</v>
      </c>
      <c r="E433" s="4"/>
    </row>
    <row r="434" spans="1:6" x14ac:dyDescent="0.2">
      <c r="A434" t="s">
        <v>1276</v>
      </c>
      <c r="B434" s="351" t="s">
        <v>719</v>
      </c>
      <c r="C434" t="s">
        <v>663</v>
      </c>
      <c r="D434" t="s">
        <v>664</v>
      </c>
      <c r="E434" s="4"/>
    </row>
    <row r="435" spans="1:6" x14ac:dyDescent="0.2">
      <c r="E435" s="4"/>
    </row>
    <row r="436" spans="1:6" x14ac:dyDescent="0.2">
      <c r="A436" t="s">
        <v>1297</v>
      </c>
      <c r="B436" s="351">
        <v>1</v>
      </c>
      <c r="C436" t="s">
        <v>657</v>
      </c>
      <c r="D436" t="s">
        <v>658</v>
      </c>
      <c r="E436" s="4"/>
      <c r="F436" s="12"/>
    </row>
    <row r="437" spans="1:6" x14ac:dyDescent="0.2">
      <c r="A437" t="s">
        <v>1297</v>
      </c>
      <c r="B437" s="351">
        <v>2</v>
      </c>
      <c r="C437" t="s">
        <v>1298</v>
      </c>
      <c r="D437" t="s">
        <v>1299</v>
      </c>
      <c r="E437" s="4"/>
      <c r="F437" s="12"/>
    </row>
    <row r="438" spans="1:6" x14ac:dyDescent="0.2">
      <c r="A438" t="s">
        <v>1297</v>
      </c>
      <c r="B438" s="351">
        <v>3</v>
      </c>
      <c r="C438" t="s">
        <v>1300</v>
      </c>
      <c r="D438" t="s">
        <v>1301</v>
      </c>
      <c r="E438" s="4"/>
      <c r="F438" s="12"/>
    </row>
    <row r="439" spans="1:6" x14ac:dyDescent="0.2">
      <c r="A439" t="s">
        <v>1297</v>
      </c>
      <c r="B439" s="351">
        <v>4</v>
      </c>
      <c r="C439" t="s">
        <v>1302</v>
      </c>
      <c r="D439" t="s">
        <v>1303</v>
      </c>
      <c r="E439" s="4"/>
      <c r="F439" s="12"/>
    </row>
    <row r="440" spans="1:6" x14ac:dyDescent="0.2">
      <c r="A440" t="s">
        <v>1297</v>
      </c>
      <c r="B440" s="351">
        <v>5</v>
      </c>
      <c r="C440" t="s">
        <v>1304</v>
      </c>
      <c r="D440" t="s">
        <v>1305</v>
      </c>
      <c r="E440" s="4"/>
      <c r="F440" s="12"/>
    </row>
    <row r="441" spans="1:6" x14ac:dyDescent="0.2">
      <c r="A441" t="s">
        <v>1297</v>
      </c>
      <c r="B441" s="351">
        <v>6</v>
      </c>
      <c r="C441" t="s">
        <v>1306</v>
      </c>
      <c r="D441" t="s">
        <v>1307</v>
      </c>
      <c r="E441" s="4"/>
      <c r="F441" s="12"/>
    </row>
    <row r="442" spans="1:6" x14ac:dyDescent="0.2">
      <c r="A442" t="s">
        <v>1297</v>
      </c>
      <c r="B442" s="351">
        <v>7</v>
      </c>
      <c r="C442" t="s">
        <v>661</v>
      </c>
      <c r="D442" t="s">
        <v>662</v>
      </c>
      <c r="E442" s="4"/>
      <c r="F442" s="12"/>
    </row>
    <row r="443" spans="1:6" x14ac:dyDescent="0.2">
      <c r="A443" t="s">
        <v>1297</v>
      </c>
      <c r="B443" s="351">
        <v>8</v>
      </c>
      <c r="C443" t="s">
        <v>663</v>
      </c>
      <c r="D443" t="s">
        <v>664</v>
      </c>
      <c r="E443" s="4"/>
      <c r="F443" s="12"/>
    </row>
    <row r="444" spans="1:6" x14ac:dyDescent="0.2">
      <c r="E444" s="4"/>
      <c r="F444" s="12"/>
    </row>
    <row r="445" spans="1:6" x14ac:dyDescent="0.2">
      <c r="A445" t="s">
        <v>1308</v>
      </c>
      <c r="B445" s="351" t="s">
        <v>1309</v>
      </c>
      <c r="C445" t="s">
        <v>1310</v>
      </c>
      <c r="D445" t="s">
        <v>1311</v>
      </c>
      <c r="E445" s="4"/>
      <c r="F445" s="12"/>
    </row>
    <row r="446" spans="1:6" x14ac:dyDescent="0.2">
      <c r="A446" t="s">
        <v>1308</v>
      </c>
      <c r="B446" s="351" t="s">
        <v>1312</v>
      </c>
      <c r="C446" t="s">
        <v>1313</v>
      </c>
      <c r="D446" t="s">
        <v>1314</v>
      </c>
      <c r="E446" s="4"/>
      <c r="F446" s="12"/>
    </row>
    <row r="447" spans="1:6" x14ac:dyDescent="0.2">
      <c r="A447" t="s">
        <v>1308</v>
      </c>
      <c r="B447" s="351" t="s">
        <v>1315</v>
      </c>
      <c r="C447" t="s">
        <v>1316</v>
      </c>
      <c r="D447" t="s">
        <v>1317</v>
      </c>
      <c r="E447" s="4"/>
      <c r="F447" s="12"/>
    </row>
    <row r="448" spans="1:6" x14ac:dyDescent="0.2">
      <c r="A448" t="s">
        <v>1308</v>
      </c>
      <c r="B448" s="351" t="s">
        <v>906</v>
      </c>
      <c r="C448" t="s">
        <v>1318</v>
      </c>
      <c r="D448" t="s">
        <v>1319</v>
      </c>
      <c r="E448" s="4"/>
      <c r="F448" s="12"/>
    </row>
    <row r="449" spans="1:6" x14ac:dyDescent="0.2">
      <c r="A449" t="s">
        <v>1308</v>
      </c>
      <c r="B449" s="351" t="s">
        <v>900</v>
      </c>
      <c r="C449" t="s">
        <v>1320</v>
      </c>
      <c r="D449" t="s">
        <v>1321</v>
      </c>
      <c r="E449" s="4"/>
      <c r="F449" s="12"/>
    </row>
    <row r="450" spans="1:6" x14ac:dyDescent="0.2">
      <c r="A450" t="s">
        <v>1308</v>
      </c>
      <c r="B450" s="351" t="s">
        <v>718</v>
      </c>
      <c r="C450" t="s">
        <v>661</v>
      </c>
      <c r="D450" t="s">
        <v>662</v>
      </c>
      <c r="E450" s="4"/>
      <c r="F450" s="12"/>
    </row>
    <row r="451" spans="1:6" x14ac:dyDescent="0.2">
      <c r="A451" t="s">
        <v>1308</v>
      </c>
      <c r="B451" s="351" t="s">
        <v>719</v>
      </c>
      <c r="C451" t="s">
        <v>663</v>
      </c>
      <c r="D451" t="s">
        <v>664</v>
      </c>
      <c r="E451" s="4"/>
    </row>
    <row r="452" spans="1:6" x14ac:dyDescent="0.2">
      <c r="E452" s="4"/>
    </row>
    <row r="453" spans="1:6" x14ac:dyDescent="0.2">
      <c r="E453" s="4"/>
    </row>
    <row r="454" spans="1:6" x14ac:dyDescent="0.2">
      <c r="A454" t="s">
        <v>1322</v>
      </c>
      <c r="B454" s="351" t="s">
        <v>1323</v>
      </c>
      <c r="C454" t="s">
        <v>1324</v>
      </c>
      <c r="D454" t="s">
        <v>1325</v>
      </c>
      <c r="E454" s="4"/>
    </row>
    <row r="455" spans="1:6" x14ac:dyDescent="0.2">
      <c r="A455" t="s">
        <v>1322</v>
      </c>
      <c r="B455" s="351" t="s">
        <v>1326</v>
      </c>
      <c r="C455" t="s">
        <v>1327</v>
      </c>
      <c r="D455" t="s">
        <v>1328</v>
      </c>
      <c r="E455" s="4"/>
    </row>
    <row r="456" spans="1:6" x14ac:dyDescent="0.2">
      <c r="A456" t="s">
        <v>1322</v>
      </c>
      <c r="B456" s="351" t="s">
        <v>1329</v>
      </c>
      <c r="C456" t="s">
        <v>1330</v>
      </c>
      <c r="D456" t="s">
        <v>1331</v>
      </c>
      <c r="E456" s="4"/>
    </row>
    <row r="457" spans="1:6" x14ac:dyDescent="0.2">
      <c r="A457" t="s">
        <v>1322</v>
      </c>
      <c r="B457" s="351" t="s">
        <v>1332</v>
      </c>
      <c r="C457" t="s">
        <v>1333</v>
      </c>
      <c r="D457" t="s">
        <v>1334</v>
      </c>
      <c r="E457" s="4"/>
    </row>
    <row r="458" spans="1:6" x14ac:dyDescent="0.2">
      <c r="A458" t="s">
        <v>1322</v>
      </c>
      <c r="B458" s="351" t="s">
        <v>1335</v>
      </c>
      <c r="C458" t="s">
        <v>1336</v>
      </c>
      <c r="D458" t="s">
        <v>1337</v>
      </c>
      <c r="E458" s="4"/>
    </row>
    <row r="459" spans="1:6" x14ac:dyDescent="0.2">
      <c r="A459" t="s">
        <v>1322</v>
      </c>
      <c r="B459" s="351" t="s">
        <v>1338</v>
      </c>
      <c r="C459" t="s">
        <v>1339</v>
      </c>
      <c r="D459" t="s">
        <v>1340</v>
      </c>
      <c r="E459" s="4"/>
    </row>
    <row r="460" spans="1:6" x14ac:dyDescent="0.2">
      <c r="A460" t="s">
        <v>1322</v>
      </c>
      <c r="B460" s="351" t="s">
        <v>1341</v>
      </c>
      <c r="C460" t="s">
        <v>1342</v>
      </c>
      <c r="D460" t="s">
        <v>1343</v>
      </c>
      <c r="E460" s="4"/>
    </row>
    <row r="461" spans="1:6" x14ac:dyDescent="0.2">
      <c r="E461" s="4"/>
    </row>
    <row r="462" spans="1:6" x14ac:dyDescent="0.2">
      <c r="A462" t="s">
        <v>643</v>
      </c>
      <c r="B462" s="351" t="s">
        <v>1344</v>
      </c>
      <c r="C462" t="s">
        <v>1345</v>
      </c>
      <c r="D462" t="s">
        <v>1346</v>
      </c>
      <c r="E462" s="4"/>
    </row>
    <row r="463" spans="1:6" x14ac:dyDescent="0.2">
      <c r="A463" t="s">
        <v>643</v>
      </c>
      <c r="B463" s="351" t="s">
        <v>1347</v>
      </c>
      <c r="C463" t="s">
        <v>1348</v>
      </c>
      <c r="D463" t="s">
        <v>1349</v>
      </c>
      <c r="E463" s="4"/>
    </row>
    <row r="464" spans="1:6" x14ac:dyDescent="0.2">
      <c r="A464" t="s">
        <v>643</v>
      </c>
      <c r="B464" s="351" t="s">
        <v>1350</v>
      </c>
      <c r="C464" t="s">
        <v>1351</v>
      </c>
      <c r="D464" t="s">
        <v>1352</v>
      </c>
      <c r="E464" s="4"/>
    </row>
    <row r="465" spans="1:6" x14ac:dyDescent="0.2">
      <c r="E465" s="4"/>
    </row>
    <row r="466" spans="1:6" s="327" customFormat="1" ht="16" x14ac:dyDescent="0.2">
      <c r="A466" s="302" t="s">
        <v>2124</v>
      </c>
      <c r="B466" s="359" t="s">
        <v>2189</v>
      </c>
      <c r="C466" s="342" t="s">
        <v>2126</v>
      </c>
      <c r="D466" s="327" t="s">
        <v>2137</v>
      </c>
      <c r="E466" s="4"/>
      <c r="F466" s="328"/>
    </row>
    <row r="467" spans="1:6" s="327" customFormat="1" ht="16" x14ac:dyDescent="0.2">
      <c r="A467" s="302" t="s">
        <v>2124</v>
      </c>
      <c r="B467" s="359" t="s">
        <v>2190</v>
      </c>
      <c r="C467" s="342" t="s">
        <v>2127</v>
      </c>
      <c r="D467" s="327" t="s">
        <v>2212</v>
      </c>
      <c r="E467" s="4"/>
      <c r="F467" s="328"/>
    </row>
    <row r="468" spans="1:6" s="327" customFormat="1" ht="13" customHeight="1" x14ac:dyDescent="0.2">
      <c r="A468" s="302" t="s">
        <v>2124</v>
      </c>
      <c r="B468" s="359" t="s">
        <v>2191</v>
      </c>
      <c r="C468" s="343" t="s">
        <v>2128</v>
      </c>
      <c r="D468" s="327" t="s">
        <v>2138</v>
      </c>
      <c r="E468" s="4"/>
      <c r="F468" s="328"/>
    </row>
    <row r="469" spans="1:6" s="327" customFormat="1" ht="16" x14ac:dyDescent="0.2">
      <c r="A469" s="302" t="s">
        <v>2124</v>
      </c>
      <c r="B469" s="359" t="s">
        <v>2192</v>
      </c>
      <c r="C469" s="342" t="s">
        <v>2129</v>
      </c>
      <c r="D469" s="326" t="s">
        <v>2216</v>
      </c>
      <c r="E469" s="4"/>
      <c r="F469" s="328"/>
    </row>
    <row r="470" spans="1:6" s="327" customFormat="1" ht="16" x14ac:dyDescent="0.2">
      <c r="A470" s="302" t="s">
        <v>2124</v>
      </c>
      <c r="B470" s="359" t="s">
        <v>2193</v>
      </c>
      <c r="C470" s="342" t="s">
        <v>2130</v>
      </c>
      <c r="D470" s="327" t="s">
        <v>2139</v>
      </c>
      <c r="E470" s="4"/>
      <c r="F470" s="328"/>
    </row>
    <row r="471" spans="1:6" s="327" customFormat="1" ht="16" x14ac:dyDescent="0.2">
      <c r="A471" s="302" t="s">
        <v>2124</v>
      </c>
      <c r="B471" s="359" t="s">
        <v>2194</v>
      </c>
      <c r="C471" s="342" t="s">
        <v>2131</v>
      </c>
      <c r="D471" s="327" t="s">
        <v>2140</v>
      </c>
      <c r="E471" s="4"/>
      <c r="F471" s="328"/>
    </row>
    <row r="472" spans="1:6" s="327" customFormat="1" ht="16" x14ac:dyDescent="0.2">
      <c r="A472" s="302" t="s">
        <v>2124</v>
      </c>
      <c r="B472" s="359" t="s">
        <v>2195</v>
      </c>
      <c r="C472" s="342" t="s">
        <v>2132</v>
      </c>
      <c r="D472" s="326" t="s">
        <v>2217</v>
      </c>
      <c r="E472" s="4"/>
      <c r="F472" s="328"/>
    </row>
    <row r="473" spans="1:6" s="327" customFormat="1" ht="16" x14ac:dyDescent="0.2">
      <c r="A473" s="302" t="s">
        <v>2124</v>
      </c>
      <c r="B473" s="359" t="s">
        <v>2196</v>
      </c>
      <c r="C473" s="342" t="s">
        <v>2133</v>
      </c>
      <c r="D473" s="327" t="s">
        <v>2141</v>
      </c>
      <c r="E473" s="4"/>
      <c r="F473" s="328"/>
    </row>
    <row r="474" spans="1:6" s="327" customFormat="1" ht="16" x14ac:dyDescent="0.2">
      <c r="A474" s="302" t="s">
        <v>2124</v>
      </c>
      <c r="B474" s="359" t="s">
        <v>2197</v>
      </c>
      <c r="C474" s="342" t="s">
        <v>2134</v>
      </c>
      <c r="D474" s="327" t="s">
        <v>2142</v>
      </c>
      <c r="E474" s="4"/>
      <c r="F474" s="328"/>
    </row>
    <row r="475" spans="1:6" s="327" customFormat="1" ht="16" x14ac:dyDescent="0.2">
      <c r="A475" s="302" t="s">
        <v>2124</v>
      </c>
      <c r="B475" s="359" t="s">
        <v>2198</v>
      </c>
      <c r="C475" s="343" t="s">
        <v>2135</v>
      </c>
      <c r="D475" s="327" t="s">
        <v>2143</v>
      </c>
      <c r="E475" s="4"/>
      <c r="F475" s="328"/>
    </row>
    <row r="476" spans="1:6" s="327" customFormat="1" ht="14.5" customHeight="1" x14ac:dyDescent="0.2">
      <c r="A476" s="302" t="s">
        <v>2124</v>
      </c>
      <c r="B476" s="359" t="s">
        <v>2199</v>
      </c>
      <c r="C476" s="343" t="s">
        <v>2136</v>
      </c>
      <c r="D476" s="327" t="s">
        <v>2144</v>
      </c>
      <c r="E476" s="4"/>
      <c r="F476" s="328"/>
    </row>
    <row r="477" spans="1:6" s="327" customFormat="1" ht="16" x14ac:dyDescent="0.2">
      <c r="A477" s="302" t="s">
        <v>2124</v>
      </c>
      <c r="B477" s="359" t="s">
        <v>718</v>
      </c>
      <c r="C477" s="342" t="s">
        <v>661</v>
      </c>
      <c r="D477" s="327" t="s">
        <v>662</v>
      </c>
      <c r="E477" s="4"/>
      <c r="F477" s="328"/>
    </row>
    <row r="478" spans="1:6" s="327" customFormat="1" ht="16" x14ac:dyDescent="0.2">
      <c r="A478" s="302" t="s">
        <v>2124</v>
      </c>
      <c r="B478" s="359" t="s">
        <v>719</v>
      </c>
      <c r="C478" s="342" t="s">
        <v>663</v>
      </c>
      <c r="D478" s="327" t="s">
        <v>664</v>
      </c>
      <c r="E478" s="4"/>
      <c r="F478" s="328"/>
    </row>
    <row r="479" spans="1:6" x14ac:dyDescent="0.2">
      <c r="E479" s="4"/>
    </row>
    <row r="480" spans="1:6" s="327" customFormat="1" x14ac:dyDescent="0.2">
      <c r="A480" s="302" t="s">
        <v>1800</v>
      </c>
      <c r="B480" s="359" t="s">
        <v>1801</v>
      </c>
      <c r="C480" s="326" t="s">
        <v>1802</v>
      </c>
      <c r="D480" s="326" t="s">
        <v>1803</v>
      </c>
      <c r="E480" s="4"/>
    </row>
    <row r="481" spans="1:6" s="327" customFormat="1" x14ac:dyDescent="0.2">
      <c r="A481" s="302" t="s">
        <v>1800</v>
      </c>
      <c r="B481" s="359" t="s">
        <v>1804</v>
      </c>
      <c r="C481" s="326" t="s">
        <v>1805</v>
      </c>
      <c r="D481" s="327" t="s">
        <v>1806</v>
      </c>
      <c r="E481" s="4"/>
    </row>
    <row r="482" spans="1:6" s="327" customFormat="1" x14ac:dyDescent="0.2">
      <c r="A482" s="302" t="s">
        <v>1800</v>
      </c>
      <c r="B482" s="359" t="s">
        <v>1807</v>
      </c>
      <c r="C482" s="326" t="s">
        <v>1808</v>
      </c>
      <c r="D482" s="327" t="s">
        <v>1809</v>
      </c>
      <c r="E482" s="4"/>
      <c r="F482" s="328"/>
    </row>
    <row r="483" spans="1:6" s="327" customFormat="1" x14ac:dyDescent="0.2">
      <c r="A483" s="302" t="s">
        <v>1800</v>
      </c>
      <c r="B483" s="353" t="s">
        <v>718</v>
      </c>
      <c r="C483" s="327" t="s">
        <v>661</v>
      </c>
      <c r="D483" s="327" t="s">
        <v>662</v>
      </c>
      <c r="E483" s="4"/>
      <c r="F483" s="328"/>
    </row>
    <row r="484" spans="1:6" s="327" customFormat="1" ht="16" x14ac:dyDescent="0.2">
      <c r="A484" s="302" t="s">
        <v>1800</v>
      </c>
      <c r="B484" s="359" t="s">
        <v>719</v>
      </c>
      <c r="C484" s="342" t="s">
        <v>663</v>
      </c>
      <c r="D484" s="327" t="s">
        <v>664</v>
      </c>
      <c r="E484" s="4"/>
      <c r="F484" s="328"/>
    </row>
    <row r="485" spans="1:6" x14ac:dyDescent="0.2">
      <c r="E485" s="4"/>
    </row>
    <row r="486" spans="1:6" s="329" customFormat="1" ht="16.5" customHeight="1" x14ac:dyDescent="0.2">
      <c r="A486" s="326" t="s">
        <v>1810</v>
      </c>
      <c r="B486" s="359" t="s">
        <v>1811</v>
      </c>
      <c r="C486" s="300" t="s">
        <v>1812</v>
      </c>
      <c r="D486" s="323" t="s">
        <v>218</v>
      </c>
      <c r="E486" s="4"/>
    </row>
    <row r="487" spans="1:6" s="329" customFormat="1" ht="16.5" customHeight="1" x14ac:dyDescent="0.2">
      <c r="A487" s="326" t="s">
        <v>1810</v>
      </c>
      <c r="B487" s="359" t="s">
        <v>1813</v>
      </c>
      <c r="C487" s="300" t="s">
        <v>1814</v>
      </c>
      <c r="D487" s="323" t="s">
        <v>1815</v>
      </c>
      <c r="E487" s="4"/>
    </row>
    <row r="488" spans="1:6" s="329" customFormat="1" ht="16.5" customHeight="1" x14ac:dyDescent="0.2">
      <c r="A488" s="326" t="s">
        <v>1810</v>
      </c>
      <c r="B488" s="359" t="s">
        <v>1816</v>
      </c>
      <c r="C488" s="300" t="s">
        <v>1817</v>
      </c>
      <c r="D488" s="330" t="s">
        <v>1818</v>
      </c>
      <c r="E488" s="4"/>
    </row>
    <row r="489" spans="1:6" s="329" customFormat="1" ht="16.5" customHeight="1" x14ac:dyDescent="0.2">
      <c r="A489" s="326" t="s">
        <v>1810</v>
      </c>
      <c r="B489" s="359" t="s">
        <v>1819</v>
      </c>
      <c r="C489" s="300" t="s">
        <v>1820</v>
      </c>
      <c r="D489" s="323" t="s">
        <v>1821</v>
      </c>
      <c r="E489" s="4"/>
    </row>
    <row r="490" spans="1:6" s="329" customFormat="1" ht="16.5" customHeight="1" x14ac:dyDescent="0.2">
      <c r="A490" s="299" t="s">
        <v>1810</v>
      </c>
      <c r="B490" s="359" t="s">
        <v>1822</v>
      </c>
      <c r="C490" s="300" t="s">
        <v>1823</v>
      </c>
      <c r="D490" s="326" t="s">
        <v>1824</v>
      </c>
      <c r="E490" s="4"/>
    </row>
    <row r="491" spans="1:6" s="329" customFormat="1" ht="16.5" customHeight="1" x14ac:dyDescent="0.2">
      <c r="A491" s="326" t="s">
        <v>1810</v>
      </c>
      <c r="B491" s="359" t="s">
        <v>716</v>
      </c>
      <c r="C491" s="300" t="s">
        <v>1825</v>
      </c>
      <c r="D491" s="323" t="s">
        <v>1826</v>
      </c>
      <c r="E491" s="4"/>
    </row>
    <row r="492" spans="1:6" x14ac:dyDescent="0.2">
      <c r="E492" s="4"/>
    </row>
    <row r="493" spans="1:6" s="327" customFormat="1" x14ac:dyDescent="0.2">
      <c r="A493" s="327" t="s">
        <v>1827</v>
      </c>
      <c r="B493" s="353" t="s">
        <v>1828</v>
      </c>
      <c r="C493" s="327" t="s">
        <v>1829</v>
      </c>
      <c r="D493" s="327" t="s">
        <v>1830</v>
      </c>
      <c r="E493" s="4"/>
    </row>
    <row r="494" spans="1:6" s="327" customFormat="1" x14ac:dyDescent="0.2">
      <c r="A494" s="327" t="s">
        <v>1827</v>
      </c>
      <c r="B494" s="353" t="s">
        <v>1831</v>
      </c>
      <c r="C494" s="327" t="s">
        <v>1832</v>
      </c>
      <c r="D494" s="327" t="s">
        <v>1833</v>
      </c>
      <c r="E494" s="4"/>
    </row>
    <row r="495" spans="1:6" s="327" customFormat="1" x14ac:dyDescent="0.2">
      <c r="A495" s="327" t="s">
        <v>1827</v>
      </c>
      <c r="B495" s="353" t="s">
        <v>1834</v>
      </c>
      <c r="C495" s="327" t="s">
        <v>1835</v>
      </c>
      <c r="D495" s="327" t="s">
        <v>1836</v>
      </c>
      <c r="E495" s="4"/>
    </row>
    <row r="496" spans="1:6" s="327" customFormat="1" x14ac:dyDescent="0.2">
      <c r="A496" s="327" t="s">
        <v>1827</v>
      </c>
      <c r="B496" s="353" t="s">
        <v>718</v>
      </c>
      <c r="C496" s="327" t="s">
        <v>661</v>
      </c>
      <c r="D496" s="327" t="s">
        <v>662</v>
      </c>
      <c r="E496" s="4"/>
    </row>
    <row r="497" spans="1:5" ht="16" x14ac:dyDescent="0.2">
      <c r="A497" s="327" t="s">
        <v>1827</v>
      </c>
      <c r="B497" s="359" t="s">
        <v>719</v>
      </c>
      <c r="C497" s="342" t="s">
        <v>663</v>
      </c>
      <c r="D497" s="327" t="s">
        <v>664</v>
      </c>
      <c r="E497" s="4"/>
    </row>
    <row r="498" spans="1:5" x14ac:dyDescent="0.2">
      <c r="E498" s="4"/>
    </row>
    <row r="499" spans="1:5" s="327" customFormat="1" x14ac:dyDescent="0.2">
      <c r="A499" s="327" t="s">
        <v>2153</v>
      </c>
      <c r="B499" s="353" t="s">
        <v>2183</v>
      </c>
      <c r="C499" s="345" t="s">
        <v>2154</v>
      </c>
      <c r="D499" s="327" t="s">
        <v>2160</v>
      </c>
      <c r="E499" s="4"/>
    </row>
    <row r="500" spans="1:5" s="327" customFormat="1" x14ac:dyDescent="0.2">
      <c r="A500" s="327" t="s">
        <v>2153</v>
      </c>
      <c r="B500" s="353" t="s">
        <v>2184</v>
      </c>
      <c r="C500" s="345" t="s">
        <v>2155</v>
      </c>
      <c r="D500" s="327" t="s">
        <v>2161</v>
      </c>
      <c r="E500" s="4"/>
    </row>
    <row r="501" spans="1:5" s="327" customFormat="1" ht="16" x14ac:dyDescent="0.2">
      <c r="A501" s="327" t="s">
        <v>2153</v>
      </c>
      <c r="B501" s="353" t="s">
        <v>2185</v>
      </c>
      <c r="C501" s="341" t="s">
        <v>2156</v>
      </c>
      <c r="D501" s="326" t="s">
        <v>2213</v>
      </c>
      <c r="E501" s="4"/>
    </row>
    <row r="502" spans="1:5" s="327" customFormat="1" ht="16" x14ac:dyDescent="0.2">
      <c r="A502" s="327" t="s">
        <v>2153</v>
      </c>
      <c r="B502" s="353" t="s">
        <v>2186</v>
      </c>
      <c r="C502" s="341" t="s">
        <v>2157</v>
      </c>
      <c r="D502" s="327" t="s">
        <v>2162</v>
      </c>
      <c r="E502" s="4"/>
    </row>
    <row r="503" spans="1:5" s="327" customFormat="1" ht="16" x14ac:dyDescent="0.2">
      <c r="A503" s="327" t="s">
        <v>2153</v>
      </c>
      <c r="B503" s="353" t="s">
        <v>2187</v>
      </c>
      <c r="C503" s="341" t="s">
        <v>2158</v>
      </c>
      <c r="D503" s="327" t="s">
        <v>2163</v>
      </c>
      <c r="E503" s="4"/>
    </row>
    <row r="504" spans="1:5" s="327" customFormat="1" ht="16" x14ac:dyDescent="0.2">
      <c r="A504" s="327" t="s">
        <v>2153</v>
      </c>
      <c r="B504" s="353" t="s">
        <v>2188</v>
      </c>
      <c r="C504" s="341" t="s">
        <v>2159</v>
      </c>
      <c r="D504" s="327" t="s">
        <v>2164</v>
      </c>
      <c r="E504" s="4"/>
    </row>
    <row r="505" spans="1:5" s="327" customFormat="1" ht="16" x14ac:dyDescent="0.2">
      <c r="A505" s="327" t="s">
        <v>2153</v>
      </c>
      <c r="B505" s="353" t="s">
        <v>718</v>
      </c>
      <c r="C505" s="341" t="s">
        <v>661</v>
      </c>
      <c r="D505" s="326" t="s">
        <v>662</v>
      </c>
      <c r="E505" s="4"/>
    </row>
    <row r="506" spans="1:5" s="327" customFormat="1" ht="16" x14ac:dyDescent="0.2">
      <c r="A506" s="327" t="s">
        <v>2153</v>
      </c>
      <c r="B506" s="353" t="s">
        <v>719</v>
      </c>
      <c r="C506" s="341" t="s">
        <v>663</v>
      </c>
      <c r="D506" s="327" t="s">
        <v>2122</v>
      </c>
      <c r="E506" s="4"/>
    </row>
    <row r="507" spans="1:5" x14ac:dyDescent="0.2">
      <c r="C507" s="346"/>
    </row>
    <row r="508" spans="1:5" s="327" customFormat="1" x14ac:dyDescent="0.2">
      <c r="A508" s="327" t="s">
        <v>2170</v>
      </c>
      <c r="B508" s="359" t="s">
        <v>2200</v>
      </c>
      <c r="C508" s="345" t="s">
        <v>2171</v>
      </c>
      <c r="D508" s="326" t="s">
        <v>2214</v>
      </c>
      <c r="E508" s="4"/>
    </row>
    <row r="509" spans="1:5" s="327" customFormat="1" x14ac:dyDescent="0.2">
      <c r="A509" s="327" t="s">
        <v>2170</v>
      </c>
      <c r="B509" s="359" t="s">
        <v>830</v>
      </c>
      <c r="C509" s="345" t="s">
        <v>2172</v>
      </c>
      <c r="D509" s="327" t="s">
        <v>2176</v>
      </c>
      <c r="E509" s="4"/>
    </row>
    <row r="510" spans="1:5" s="327" customFormat="1" x14ac:dyDescent="0.2">
      <c r="A510" s="327" t="s">
        <v>2170</v>
      </c>
      <c r="B510" s="359" t="s">
        <v>2201</v>
      </c>
      <c r="C510" s="345" t="s">
        <v>2173</v>
      </c>
      <c r="D510" s="327" t="s">
        <v>2177</v>
      </c>
      <c r="E510" s="4"/>
    </row>
    <row r="511" spans="1:5" s="327" customFormat="1" x14ac:dyDescent="0.2">
      <c r="A511" s="327" t="s">
        <v>2170</v>
      </c>
      <c r="B511" s="359" t="s">
        <v>2202</v>
      </c>
      <c r="C511" s="345" t="s">
        <v>2174</v>
      </c>
      <c r="D511" s="326" t="s">
        <v>2215</v>
      </c>
      <c r="E511" s="4"/>
    </row>
    <row r="512" spans="1:5" s="327" customFormat="1" x14ac:dyDescent="0.2">
      <c r="A512" s="327" t="s">
        <v>2170</v>
      </c>
      <c r="B512" s="359" t="s">
        <v>716</v>
      </c>
      <c r="C512" s="345" t="s">
        <v>2175</v>
      </c>
      <c r="D512" s="327" t="s">
        <v>2178</v>
      </c>
      <c r="E512" s="4"/>
    </row>
    <row r="513" spans="1:5" x14ac:dyDescent="0.2">
      <c r="B513" s="356"/>
      <c r="C513" s="347"/>
    </row>
    <row r="514" spans="1:5" s="327" customFormat="1" x14ac:dyDescent="0.2">
      <c r="A514" s="327" t="s">
        <v>1837</v>
      </c>
      <c r="B514" s="353" t="s">
        <v>1367</v>
      </c>
      <c r="C514" s="327" t="s">
        <v>1368</v>
      </c>
      <c r="D514" s="327" t="s">
        <v>1369</v>
      </c>
      <c r="E514" s="4"/>
    </row>
    <row r="515" spans="1:5" s="327" customFormat="1" x14ac:dyDescent="0.2">
      <c r="A515" s="327" t="s">
        <v>1837</v>
      </c>
      <c r="B515" s="353" t="s">
        <v>1379</v>
      </c>
      <c r="C515" s="327" t="s">
        <v>1380</v>
      </c>
      <c r="D515" s="327" t="s">
        <v>1381</v>
      </c>
      <c r="E515" s="4"/>
    </row>
    <row r="516" spans="1:5" s="327" customFormat="1" x14ac:dyDescent="0.2">
      <c r="A516" s="327" t="s">
        <v>1837</v>
      </c>
      <c r="B516" s="353" t="s">
        <v>1388</v>
      </c>
      <c r="C516" s="327" t="s">
        <v>1389</v>
      </c>
      <c r="D516" s="327" t="s">
        <v>1390</v>
      </c>
      <c r="E516" s="4"/>
    </row>
    <row r="517" spans="1:5" s="327" customFormat="1" x14ac:dyDescent="0.2">
      <c r="A517" s="327" t="s">
        <v>1837</v>
      </c>
      <c r="B517" s="353" t="s">
        <v>1460</v>
      </c>
      <c r="C517" s="327" t="s">
        <v>1461</v>
      </c>
      <c r="D517" s="327" t="s">
        <v>1462</v>
      </c>
      <c r="E517" s="4"/>
    </row>
    <row r="518" spans="1:5" s="327" customFormat="1" x14ac:dyDescent="0.2">
      <c r="A518" s="327" t="s">
        <v>1837</v>
      </c>
      <c r="B518" s="353" t="s">
        <v>1499</v>
      </c>
      <c r="C518" s="327" t="s">
        <v>1500</v>
      </c>
      <c r="D518" s="327" t="s">
        <v>1501</v>
      </c>
      <c r="E518" s="4"/>
    </row>
    <row r="519" spans="1:5" s="327" customFormat="1" x14ac:dyDescent="0.2">
      <c r="A519" s="327" t="s">
        <v>1837</v>
      </c>
      <c r="B519" s="353" t="s">
        <v>1541</v>
      </c>
      <c r="C519" s="327" t="s">
        <v>1542</v>
      </c>
      <c r="D519" s="327" t="s">
        <v>1543</v>
      </c>
      <c r="E519" s="4"/>
    </row>
    <row r="520" spans="1:5" s="327" customFormat="1" x14ac:dyDescent="0.2">
      <c r="A520" s="327" t="s">
        <v>1837</v>
      </c>
      <c r="B520" s="353" t="s">
        <v>1544</v>
      </c>
      <c r="C520" s="327" t="s">
        <v>1545</v>
      </c>
      <c r="D520" s="327" t="s">
        <v>1546</v>
      </c>
      <c r="E520" s="4"/>
    </row>
    <row r="521" spans="1:5" s="327" customFormat="1" x14ac:dyDescent="0.2">
      <c r="A521" s="327" t="s">
        <v>1837</v>
      </c>
      <c r="B521" s="353" t="s">
        <v>1547</v>
      </c>
      <c r="C521" s="327" t="s">
        <v>1548</v>
      </c>
      <c r="D521" s="327" t="s">
        <v>1549</v>
      </c>
      <c r="E521" s="4"/>
    </row>
    <row r="522" spans="1:5" s="327" customFormat="1" x14ac:dyDescent="0.2">
      <c r="A522" s="327" t="s">
        <v>1837</v>
      </c>
      <c r="B522" s="353" t="s">
        <v>1556</v>
      </c>
      <c r="C522" s="327" t="s">
        <v>1557</v>
      </c>
      <c r="D522" s="327" t="s">
        <v>1558</v>
      </c>
      <c r="E522" s="4"/>
    </row>
    <row r="523" spans="1:5" s="327" customFormat="1" x14ac:dyDescent="0.2">
      <c r="A523" s="327" t="s">
        <v>1837</v>
      </c>
      <c r="B523" s="353" t="s">
        <v>1625</v>
      </c>
      <c r="C523" s="327" t="s">
        <v>1626</v>
      </c>
      <c r="D523" s="327" t="s">
        <v>1627</v>
      </c>
      <c r="E523" s="4"/>
    </row>
    <row r="524" spans="1:5" s="327" customFormat="1" x14ac:dyDescent="0.2">
      <c r="A524" s="327" t="s">
        <v>1837</v>
      </c>
      <c r="B524" s="353" t="s">
        <v>1364</v>
      </c>
      <c r="C524" s="327" t="s">
        <v>1365</v>
      </c>
      <c r="D524" s="327" t="s">
        <v>1366</v>
      </c>
      <c r="E524" s="4"/>
    </row>
    <row r="525" spans="1:5" s="327" customFormat="1" x14ac:dyDescent="0.2">
      <c r="A525" s="327" t="s">
        <v>1837</v>
      </c>
      <c r="B525" s="353" t="s">
        <v>1370</v>
      </c>
      <c r="C525" s="327" t="s">
        <v>1371</v>
      </c>
      <c r="D525" s="327" t="s">
        <v>1372</v>
      </c>
      <c r="E525" s="4"/>
    </row>
    <row r="526" spans="1:5" s="327" customFormat="1" x14ac:dyDescent="0.2">
      <c r="A526" s="327" t="s">
        <v>1837</v>
      </c>
      <c r="B526" s="353" t="s">
        <v>1373</v>
      </c>
      <c r="C526" s="327" t="s">
        <v>1374</v>
      </c>
      <c r="D526" s="327" t="s">
        <v>1375</v>
      </c>
      <c r="E526" s="4"/>
    </row>
    <row r="527" spans="1:5" s="327" customFormat="1" x14ac:dyDescent="0.2">
      <c r="A527" s="327" t="s">
        <v>1837</v>
      </c>
      <c r="B527" s="353" t="s">
        <v>1376</v>
      </c>
      <c r="C527" s="327" t="s">
        <v>1377</v>
      </c>
      <c r="D527" s="327" t="s">
        <v>1378</v>
      </c>
      <c r="E527" s="4"/>
    </row>
    <row r="528" spans="1:5" s="327" customFormat="1" x14ac:dyDescent="0.2">
      <c r="A528" s="327" t="s">
        <v>1837</v>
      </c>
      <c r="B528" s="353" t="s">
        <v>1382</v>
      </c>
      <c r="C528" s="327" t="s">
        <v>1383</v>
      </c>
      <c r="D528" s="327" t="s">
        <v>1384</v>
      </c>
      <c r="E528" s="4"/>
    </row>
    <row r="529" spans="1:5" s="327" customFormat="1" x14ac:dyDescent="0.2">
      <c r="A529" s="327" t="s">
        <v>1837</v>
      </c>
      <c r="B529" s="353" t="s">
        <v>1385</v>
      </c>
      <c r="C529" s="327" t="s">
        <v>1386</v>
      </c>
      <c r="D529" s="327" t="s">
        <v>1387</v>
      </c>
      <c r="E529" s="4"/>
    </row>
    <row r="530" spans="1:5" s="327" customFormat="1" x14ac:dyDescent="0.2">
      <c r="A530" s="327" t="s">
        <v>1837</v>
      </c>
      <c r="B530" s="353" t="s">
        <v>1391</v>
      </c>
      <c r="C530" s="327" t="s">
        <v>1392</v>
      </c>
      <c r="D530" s="327" t="s">
        <v>1393</v>
      </c>
      <c r="E530" s="4"/>
    </row>
    <row r="531" spans="1:5" s="327" customFormat="1" x14ac:dyDescent="0.2">
      <c r="A531" s="327" t="s">
        <v>1837</v>
      </c>
      <c r="B531" s="353" t="s">
        <v>1394</v>
      </c>
      <c r="C531" s="327" t="s">
        <v>1395</v>
      </c>
      <c r="D531" s="327" t="s">
        <v>1396</v>
      </c>
      <c r="E531" s="4"/>
    </row>
    <row r="532" spans="1:5" s="327" customFormat="1" x14ac:dyDescent="0.2">
      <c r="A532" s="327" t="s">
        <v>1837</v>
      </c>
      <c r="B532" s="353" t="s">
        <v>1397</v>
      </c>
      <c r="C532" s="327" t="s">
        <v>1398</v>
      </c>
      <c r="D532" s="327" t="s">
        <v>1399</v>
      </c>
      <c r="E532" s="4"/>
    </row>
    <row r="533" spans="1:5" s="327" customFormat="1" x14ac:dyDescent="0.2">
      <c r="A533" s="327" t="s">
        <v>1837</v>
      </c>
      <c r="B533" s="353" t="s">
        <v>1400</v>
      </c>
      <c r="C533" s="327" t="s">
        <v>1401</v>
      </c>
      <c r="D533" s="327" t="s">
        <v>1402</v>
      </c>
      <c r="E533" s="4"/>
    </row>
    <row r="534" spans="1:5" s="327" customFormat="1" x14ac:dyDescent="0.2">
      <c r="A534" s="327" t="s">
        <v>1837</v>
      </c>
      <c r="B534" s="353" t="s">
        <v>1403</v>
      </c>
      <c r="C534" s="327" t="s">
        <v>1404</v>
      </c>
      <c r="D534" s="327" t="s">
        <v>1405</v>
      </c>
      <c r="E534" s="4"/>
    </row>
    <row r="535" spans="1:5" s="327" customFormat="1" x14ac:dyDescent="0.2">
      <c r="A535" s="327" t="s">
        <v>1837</v>
      </c>
      <c r="B535" s="353" t="s">
        <v>1406</v>
      </c>
      <c r="C535" s="327" t="s">
        <v>1407</v>
      </c>
      <c r="D535" s="327" t="s">
        <v>1408</v>
      </c>
      <c r="E535" s="4"/>
    </row>
    <row r="536" spans="1:5" s="327" customFormat="1" x14ac:dyDescent="0.2">
      <c r="A536" s="327" t="s">
        <v>1837</v>
      </c>
      <c r="B536" s="353" t="s">
        <v>1409</v>
      </c>
      <c r="C536" s="327" t="s">
        <v>1410</v>
      </c>
      <c r="D536" s="327" t="s">
        <v>1411</v>
      </c>
      <c r="E536" s="4"/>
    </row>
    <row r="537" spans="1:5" s="327" customFormat="1" x14ac:dyDescent="0.2">
      <c r="A537" s="327" t="s">
        <v>1837</v>
      </c>
      <c r="B537" s="353" t="s">
        <v>1412</v>
      </c>
      <c r="C537" s="327" t="s">
        <v>1413</v>
      </c>
      <c r="D537" s="327" t="s">
        <v>1414</v>
      </c>
      <c r="E537" s="4"/>
    </row>
    <row r="538" spans="1:5" s="327" customFormat="1" x14ac:dyDescent="0.2">
      <c r="A538" s="327" t="s">
        <v>1837</v>
      </c>
      <c r="B538" s="353" t="s">
        <v>1415</v>
      </c>
      <c r="C538" s="327" t="s">
        <v>1416</v>
      </c>
      <c r="D538" s="327" t="s">
        <v>1417</v>
      </c>
      <c r="E538" s="4"/>
    </row>
    <row r="539" spans="1:5" s="327" customFormat="1" x14ac:dyDescent="0.2">
      <c r="A539" s="327" t="s">
        <v>1837</v>
      </c>
      <c r="B539" s="353" t="s">
        <v>1418</v>
      </c>
      <c r="C539" s="327" t="s">
        <v>1419</v>
      </c>
      <c r="D539" s="327" t="s">
        <v>1420</v>
      </c>
      <c r="E539" s="4"/>
    </row>
    <row r="540" spans="1:5" s="327" customFormat="1" x14ac:dyDescent="0.2">
      <c r="A540" s="327" t="s">
        <v>1837</v>
      </c>
      <c r="B540" s="353" t="s">
        <v>1421</v>
      </c>
      <c r="C540" s="327" t="s">
        <v>1422</v>
      </c>
      <c r="D540" s="327" t="s">
        <v>1423</v>
      </c>
      <c r="E540" s="4"/>
    </row>
    <row r="541" spans="1:5" s="327" customFormat="1" x14ac:dyDescent="0.2">
      <c r="A541" s="327" t="s">
        <v>1837</v>
      </c>
      <c r="B541" s="353" t="s">
        <v>1424</v>
      </c>
      <c r="C541" s="327" t="s">
        <v>1425</v>
      </c>
      <c r="D541" s="327" t="s">
        <v>1426</v>
      </c>
      <c r="E541" s="4"/>
    </row>
    <row r="542" spans="1:5" s="327" customFormat="1" x14ac:dyDescent="0.2">
      <c r="A542" s="327" t="s">
        <v>1837</v>
      </c>
      <c r="B542" s="353" t="s">
        <v>1427</v>
      </c>
      <c r="C542" s="327" t="s">
        <v>1428</v>
      </c>
      <c r="D542" s="327" t="s">
        <v>1429</v>
      </c>
      <c r="E542" s="4"/>
    </row>
    <row r="543" spans="1:5" s="327" customFormat="1" x14ac:dyDescent="0.2">
      <c r="A543" s="327" t="s">
        <v>1837</v>
      </c>
      <c r="B543" s="353" t="s">
        <v>1430</v>
      </c>
      <c r="C543" s="327" t="s">
        <v>1431</v>
      </c>
      <c r="D543" s="327" t="s">
        <v>1432</v>
      </c>
      <c r="E543" s="4"/>
    </row>
    <row r="544" spans="1:5" s="327" customFormat="1" x14ac:dyDescent="0.2">
      <c r="A544" s="327" t="s">
        <v>1837</v>
      </c>
      <c r="B544" s="353" t="s">
        <v>1454</v>
      </c>
      <c r="C544" s="327" t="s">
        <v>1455</v>
      </c>
      <c r="D544" s="327" t="s">
        <v>1456</v>
      </c>
      <c r="E544" s="4"/>
    </row>
    <row r="545" spans="1:5" s="327" customFormat="1" x14ac:dyDescent="0.2">
      <c r="A545" s="327" t="s">
        <v>1837</v>
      </c>
      <c r="B545" s="353" t="s">
        <v>1433</v>
      </c>
      <c r="C545" s="327" t="s">
        <v>1434</v>
      </c>
      <c r="D545" s="327" t="s">
        <v>1435</v>
      </c>
      <c r="E545" s="4"/>
    </row>
    <row r="546" spans="1:5" s="327" customFormat="1" x14ac:dyDescent="0.2">
      <c r="A546" s="327" t="s">
        <v>1837</v>
      </c>
      <c r="B546" s="353" t="s">
        <v>1436</v>
      </c>
      <c r="C546" s="327" t="s">
        <v>1437</v>
      </c>
      <c r="D546" s="327" t="s">
        <v>1438</v>
      </c>
      <c r="E546" s="4"/>
    </row>
    <row r="547" spans="1:5" s="327" customFormat="1" x14ac:dyDescent="0.2">
      <c r="A547" s="327" t="s">
        <v>1837</v>
      </c>
      <c r="B547" s="353" t="s">
        <v>1439</v>
      </c>
      <c r="C547" s="327" t="s">
        <v>1440</v>
      </c>
      <c r="D547" s="327" t="s">
        <v>1441</v>
      </c>
      <c r="E547" s="4"/>
    </row>
    <row r="548" spans="1:5" s="327" customFormat="1" x14ac:dyDescent="0.2">
      <c r="A548" s="327" t="s">
        <v>1837</v>
      </c>
      <c r="B548" s="353" t="s">
        <v>1442</v>
      </c>
      <c r="C548" s="327" t="s">
        <v>1443</v>
      </c>
      <c r="D548" s="327" t="s">
        <v>1444</v>
      </c>
      <c r="E548" s="4"/>
    </row>
    <row r="549" spans="1:5" s="327" customFormat="1" x14ac:dyDescent="0.2">
      <c r="A549" s="327" t="s">
        <v>1837</v>
      </c>
      <c r="B549" s="353" t="s">
        <v>1445</v>
      </c>
      <c r="C549" s="327" t="s">
        <v>1446</v>
      </c>
      <c r="D549" s="327" t="s">
        <v>1447</v>
      </c>
      <c r="E549" s="4"/>
    </row>
    <row r="550" spans="1:5" s="327" customFormat="1" x14ac:dyDescent="0.2">
      <c r="A550" s="327" t="s">
        <v>1837</v>
      </c>
      <c r="B550" s="353" t="s">
        <v>1448</v>
      </c>
      <c r="C550" s="327" t="s">
        <v>1449</v>
      </c>
      <c r="D550" s="327" t="s">
        <v>1450</v>
      </c>
      <c r="E550" s="4"/>
    </row>
    <row r="551" spans="1:5" s="327" customFormat="1" x14ac:dyDescent="0.2">
      <c r="A551" s="327" t="s">
        <v>1837</v>
      </c>
      <c r="B551" s="353" t="s">
        <v>1451</v>
      </c>
      <c r="C551" s="327" t="s">
        <v>1452</v>
      </c>
      <c r="D551" s="327" t="s">
        <v>1838</v>
      </c>
      <c r="E551" s="4"/>
    </row>
    <row r="552" spans="1:5" s="327" customFormat="1" x14ac:dyDescent="0.2">
      <c r="A552" s="327" t="s">
        <v>1837</v>
      </c>
      <c r="B552" s="353" t="s">
        <v>1457</v>
      </c>
      <c r="C552" s="327" t="s">
        <v>1458</v>
      </c>
      <c r="D552" s="327" t="s">
        <v>1459</v>
      </c>
      <c r="E552" s="4"/>
    </row>
    <row r="553" spans="1:5" s="327" customFormat="1" x14ac:dyDescent="0.2">
      <c r="A553" s="327" t="s">
        <v>1837</v>
      </c>
      <c r="B553" s="353" t="s">
        <v>1487</v>
      </c>
      <c r="C553" s="327" t="s">
        <v>1488</v>
      </c>
      <c r="D553" s="327" t="s">
        <v>1489</v>
      </c>
      <c r="E553" s="4"/>
    </row>
    <row r="554" spans="1:5" s="327" customFormat="1" x14ac:dyDescent="0.2">
      <c r="A554" s="327" t="s">
        <v>1837</v>
      </c>
      <c r="B554" s="353" t="s">
        <v>1490</v>
      </c>
      <c r="C554" s="327" t="s">
        <v>1491</v>
      </c>
      <c r="D554" s="327" t="s">
        <v>1492</v>
      </c>
      <c r="E554" s="4"/>
    </row>
    <row r="555" spans="1:5" s="327" customFormat="1" x14ac:dyDescent="0.2">
      <c r="A555" s="327" t="s">
        <v>1837</v>
      </c>
      <c r="B555" s="353" t="s">
        <v>1463</v>
      </c>
      <c r="C555" s="327" t="s">
        <v>1464</v>
      </c>
      <c r="D555" s="327" t="s">
        <v>1465</v>
      </c>
      <c r="E555" s="4"/>
    </row>
    <row r="556" spans="1:5" s="327" customFormat="1" x14ac:dyDescent="0.2">
      <c r="A556" s="327" t="s">
        <v>1837</v>
      </c>
      <c r="B556" s="353" t="s">
        <v>1466</v>
      </c>
      <c r="C556" s="327" t="s">
        <v>1467</v>
      </c>
      <c r="D556" s="327" t="s">
        <v>1468</v>
      </c>
      <c r="E556" s="4"/>
    </row>
    <row r="557" spans="1:5" s="327" customFormat="1" x14ac:dyDescent="0.2">
      <c r="A557" s="327" t="s">
        <v>1837</v>
      </c>
      <c r="B557" s="353" t="s">
        <v>1469</v>
      </c>
      <c r="C557" s="327" t="s">
        <v>1470</v>
      </c>
      <c r="D557" s="327" t="s">
        <v>1471</v>
      </c>
      <c r="E557" s="4"/>
    </row>
    <row r="558" spans="1:5" s="327" customFormat="1" x14ac:dyDescent="0.2">
      <c r="A558" s="327" t="s">
        <v>1837</v>
      </c>
      <c r="B558" s="353" t="s">
        <v>1472</v>
      </c>
      <c r="C558" s="327" t="s">
        <v>1473</v>
      </c>
      <c r="D558" s="327" t="s">
        <v>1474</v>
      </c>
      <c r="E558" s="4"/>
    </row>
    <row r="559" spans="1:5" s="327" customFormat="1" x14ac:dyDescent="0.2">
      <c r="A559" s="327" t="s">
        <v>1837</v>
      </c>
      <c r="B559" s="353" t="s">
        <v>1475</v>
      </c>
      <c r="C559" s="327" t="s">
        <v>1476</v>
      </c>
      <c r="D559" s="327" t="s">
        <v>1477</v>
      </c>
      <c r="E559" s="4"/>
    </row>
    <row r="560" spans="1:5" s="327" customFormat="1" x14ac:dyDescent="0.2">
      <c r="A560" s="327" t="s">
        <v>1837</v>
      </c>
      <c r="B560" s="353" t="s">
        <v>1478</v>
      </c>
      <c r="C560" s="327" t="s">
        <v>1479</v>
      </c>
      <c r="D560" s="327" t="s">
        <v>1480</v>
      </c>
      <c r="E560" s="4"/>
    </row>
    <row r="561" spans="1:5" s="327" customFormat="1" x14ac:dyDescent="0.2">
      <c r="A561" s="327" t="s">
        <v>1837</v>
      </c>
      <c r="B561" s="353" t="s">
        <v>1481</v>
      </c>
      <c r="C561" s="327" t="s">
        <v>1482</v>
      </c>
      <c r="D561" s="327" t="s">
        <v>1483</v>
      </c>
      <c r="E561" s="4"/>
    </row>
    <row r="562" spans="1:5" s="327" customFormat="1" x14ac:dyDescent="0.2">
      <c r="A562" s="327" t="s">
        <v>1837</v>
      </c>
      <c r="B562" s="353" t="s">
        <v>1484</v>
      </c>
      <c r="C562" s="327" t="s">
        <v>1485</v>
      </c>
      <c r="D562" s="327" t="s">
        <v>1486</v>
      </c>
      <c r="E562" s="4"/>
    </row>
    <row r="563" spans="1:5" s="327" customFormat="1" x14ac:dyDescent="0.2">
      <c r="A563" s="327" t="s">
        <v>1837</v>
      </c>
      <c r="B563" s="353" t="s">
        <v>1493</v>
      </c>
      <c r="C563" s="327" t="s">
        <v>1494</v>
      </c>
      <c r="D563" s="327" t="s">
        <v>1495</v>
      </c>
      <c r="E563" s="4"/>
    </row>
    <row r="564" spans="1:5" s="327" customFormat="1" x14ac:dyDescent="0.2">
      <c r="A564" s="327" t="s">
        <v>1837</v>
      </c>
      <c r="B564" s="353" t="s">
        <v>1496</v>
      </c>
      <c r="C564" s="327" t="s">
        <v>1497</v>
      </c>
      <c r="D564" s="327" t="s">
        <v>1498</v>
      </c>
      <c r="E564" s="4"/>
    </row>
    <row r="565" spans="1:5" s="327" customFormat="1" x14ac:dyDescent="0.2">
      <c r="A565" s="327" t="s">
        <v>1837</v>
      </c>
      <c r="B565" s="353" t="s">
        <v>1502</v>
      </c>
      <c r="C565" s="327" t="s">
        <v>1503</v>
      </c>
      <c r="D565" s="327" t="s">
        <v>1504</v>
      </c>
      <c r="E565" s="4"/>
    </row>
    <row r="566" spans="1:5" s="327" customFormat="1" x14ac:dyDescent="0.2">
      <c r="A566" s="327" t="s">
        <v>1837</v>
      </c>
      <c r="B566" s="353" t="s">
        <v>1505</v>
      </c>
      <c r="C566" s="327" t="s">
        <v>1506</v>
      </c>
      <c r="D566" s="327" t="s">
        <v>1507</v>
      </c>
      <c r="E566" s="4"/>
    </row>
    <row r="567" spans="1:5" s="327" customFormat="1" x14ac:dyDescent="0.2">
      <c r="A567" s="327" t="s">
        <v>1837</v>
      </c>
      <c r="B567" s="353" t="s">
        <v>1508</v>
      </c>
      <c r="C567" s="327" t="s">
        <v>1509</v>
      </c>
      <c r="D567" s="327" t="s">
        <v>1510</v>
      </c>
      <c r="E567" s="4"/>
    </row>
    <row r="568" spans="1:5" s="327" customFormat="1" x14ac:dyDescent="0.2">
      <c r="A568" s="327" t="s">
        <v>1837</v>
      </c>
      <c r="B568" s="353" t="s">
        <v>1511</v>
      </c>
      <c r="C568" s="327" t="s">
        <v>1512</v>
      </c>
      <c r="D568" s="327" t="s">
        <v>1513</v>
      </c>
      <c r="E568" s="4"/>
    </row>
    <row r="569" spans="1:5" s="327" customFormat="1" x14ac:dyDescent="0.2">
      <c r="A569" s="327" t="s">
        <v>1837</v>
      </c>
      <c r="B569" s="353" t="s">
        <v>1538</v>
      </c>
      <c r="C569" s="327" t="s">
        <v>1539</v>
      </c>
      <c r="D569" s="327" t="s">
        <v>1540</v>
      </c>
      <c r="E569" s="4"/>
    </row>
    <row r="570" spans="1:5" s="327" customFormat="1" x14ac:dyDescent="0.2">
      <c r="A570" s="327" t="s">
        <v>1837</v>
      </c>
      <c r="B570" s="353" t="s">
        <v>1550</v>
      </c>
      <c r="C570" s="327" t="s">
        <v>1551</v>
      </c>
      <c r="D570" s="327" t="s">
        <v>1552</v>
      </c>
      <c r="E570" s="4"/>
    </row>
    <row r="571" spans="1:5" s="327" customFormat="1" x14ac:dyDescent="0.2">
      <c r="A571" s="327" t="s">
        <v>1837</v>
      </c>
      <c r="B571" s="353" t="s">
        <v>1553</v>
      </c>
      <c r="C571" s="327" t="s">
        <v>1554</v>
      </c>
      <c r="D571" s="327" t="s">
        <v>1555</v>
      </c>
      <c r="E571" s="4"/>
    </row>
    <row r="572" spans="1:5" s="327" customFormat="1" x14ac:dyDescent="0.2">
      <c r="A572" s="327" t="s">
        <v>1837</v>
      </c>
      <c r="B572" s="353" t="s">
        <v>1559</v>
      </c>
      <c r="C572" s="327" t="s">
        <v>1560</v>
      </c>
      <c r="D572" s="327" t="s">
        <v>1561</v>
      </c>
      <c r="E572" s="4"/>
    </row>
    <row r="573" spans="1:5" s="327" customFormat="1" x14ac:dyDescent="0.2">
      <c r="A573" s="327" t="s">
        <v>1837</v>
      </c>
      <c r="B573" s="353" t="s">
        <v>1562</v>
      </c>
      <c r="C573" s="327" t="s">
        <v>1563</v>
      </c>
      <c r="D573" s="327" t="s">
        <v>1564</v>
      </c>
      <c r="E573" s="4"/>
    </row>
    <row r="574" spans="1:5" s="327" customFormat="1" x14ac:dyDescent="0.2">
      <c r="A574" s="327" t="s">
        <v>1837</v>
      </c>
      <c r="B574" s="353" t="s">
        <v>1514</v>
      </c>
      <c r="C574" s="327" t="s">
        <v>1515</v>
      </c>
      <c r="D574" s="327" t="s">
        <v>1516</v>
      </c>
      <c r="E574" s="4"/>
    </row>
    <row r="575" spans="1:5" s="327" customFormat="1" x14ac:dyDescent="0.2">
      <c r="A575" s="327" t="s">
        <v>1837</v>
      </c>
      <c r="B575" s="353" t="s">
        <v>1517</v>
      </c>
      <c r="C575" s="327" t="s">
        <v>1518</v>
      </c>
      <c r="D575" s="327" t="s">
        <v>1519</v>
      </c>
      <c r="E575" s="4"/>
    </row>
    <row r="576" spans="1:5" s="327" customFormat="1" x14ac:dyDescent="0.2">
      <c r="A576" s="327" t="s">
        <v>1837</v>
      </c>
      <c r="B576" s="353" t="s">
        <v>1520</v>
      </c>
      <c r="C576" s="327" t="s">
        <v>1521</v>
      </c>
      <c r="D576" s="327" t="s">
        <v>1522</v>
      </c>
      <c r="E576" s="4"/>
    </row>
    <row r="577" spans="1:5" s="327" customFormat="1" x14ac:dyDescent="0.2">
      <c r="A577" s="327" t="s">
        <v>1837</v>
      </c>
      <c r="B577" s="353" t="s">
        <v>1523</v>
      </c>
      <c r="C577" s="327" t="s">
        <v>1524</v>
      </c>
      <c r="D577" s="327" t="s">
        <v>1525</v>
      </c>
      <c r="E577" s="4"/>
    </row>
    <row r="578" spans="1:5" s="327" customFormat="1" x14ac:dyDescent="0.2">
      <c r="A578" s="327" t="s">
        <v>1837</v>
      </c>
      <c r="B578" s="353" t="s">
        <v>1526</v>
      </c>
      <c r="C578" s="327" t="s">
        <v>1527</v>
      </c>
      <c r="D578" s="327" t="s">
        <v>1528</v>
      </c>
      <c r="E578" s="4"/>
    </row>
    <row r="579" spans="1:5" s="327" customFormat="1" x14ac:dyDescent="0.2">
      <c r="A579" s="327" t="s">
        <v>1837</v>
      </c>
      <c r="B579" s="353" t="s">
        <v>1529</v>
      </c>
      <c r="C579" s="327" t="s">
        <v>1530</v>
      </c>
      <c r="D579" s="327" t="s">
        <v>1531</v>
      </c>
      <c r="E579" s="4"/>
    </row>
    <row r="580" spans="1:5" s="327" customFormat="1" x14ac:dyDescent="0.2">
      <c r="A580" s="327" t="s">
        <v>1837</v>
      </c>
      <c r="B580" s="353" t="s">
        <v>1532</v>
      </c>
      <c r="C580" s="327" t="s">
        <v>1533</v>
      </c>
      <c r="D580" s="327" t="s">
        <v>1534</v>
      </c>
      <c r="E580" s="4"/>
    </row>
    <row r="581" spans="1:5" s="327" customFormat="1" x14ac:dyDescent="0.2">
      <c r="A581" s="327" t="s">
        <v>1837</v>
      </c>
      <c r="B581" s="353" t="s">
        <v>1535</v>
      </c>
      <c r="C581" s="327" t="s">
        <v>1536</v>
      </c>
      <c r="D581" s="327" t="s">
        <v>1537</v>
      </c>
      <c r="E581" s="4"/>
    </row>
    <row r="582" spans="1:5" s="327" customFormat="1" x14ac:dyDescent="0.2">
      <c r="A582" s="327" t="s">
        <v>1837</v>
      </c>
      <c r="B582" s="353" t="s">
        <v>1565</v>
      </c>
      <c r="C582" s="327" t="s">
        <v>1566</v>
      </c>
      <c r="D582" s="327" t="s">
        <v>1567</v>
      </c>
      <c r="E582" s="4"/>
    </row>
    <row r="583" spans="1:5" s="327" customFormat="1" x14ac:dyDescent="0.2">
      <c r="A583" s="327" t="s">
        <v>1837</v>
      </c>
      <c r="B583" s="353" t="s">
        <v>1568</v>
      </c>
      <c r="C583" s="327" t="s">
        <v>1569</v>
      </c>
      <c r="D583" s="327" t="s">
        <v>1570</v>
      </c>
      <c r="E583" s="4"/>
    </row>
    <row r="584" spans="1:5" s="327" customFormat="1" x14ac:dyDescent="0.2">
      <c r="A584" s="327" t="s">
        <v>1837</v>
      </c>
      <c r="B584" s="353" t="s">
        <v>1571</v>
      </c>
      <c r="C584" s="327" t="s">
        <v>1572</v>
      </c>
      <c r="D584" s="327" t="s">
        <v>1573</v>
      </c>
      <c r="E584" s="4"/>
    </row>
    <row r="585" spans="1:5" s="327" customFormat="1" x14ac:dyDescent="0.2">
      <c r="A585" s="327" t="s">
        <v>1837</v>
      </c>
      <c r="B585" s="353" t="s">
        <v>1574</v>
      </c>
      <c r="C585" s="327" t="s">
        <v>1575</v>
      </c>
      <c r="D585" s="327" t="s">
        <v>1576</v>
      </c>
      <c r="E585" s="4"/>
    </row>
    <row r="586" spans="1:5" s="327" customFormat="1" x14ac:dyDescent="0.2">
      <c r="A586" s="327" t="s">
        <v>1837</v>
      </c>
      <c r="B586" s="353" t="s">
        <v>1577</v>
      </c>
      <c r="C586" s="327" t="s">
        <v>1578</v>
      </c>
      <c r="D586" s="327" t="s">
        <v>1579</v>
      </c>
      <c r="E586" s="4"/>
    </row>
    <row r="587" spans="1:5" s="327" customFormat="1" x14ac:dyDescent="0.2">
      <c r="A587" s="327" t="s">
        <v>1837</v>
      </c>
      <c r="B587" s="353" t="s">
        <v>1580</v>
      </c>
      <c r="C587" s="327" t="s">
        <v>1581</v>
      </c>
      <c r="D587" s="327" t="s">
        <v>1582</v>
      </c>
      <c r="E587" s="4"/>
    </row>
    <row r="588" spans="1:5" s="327" customFormat="1" x14ac:dyDescent="0.2">
      <c r="A588" s="327" t="s">
        <v>1837</v>
      </c>
      <c r="B588" s="353" t="s">
        <v>1583</v>
      </c>
      <c r="C588" s="327" t="s">
        <v>1584</v>
      </c>
      <c r="D588" s="327" t="s">
        <v>1585</v>
      </c>
      <c r="E588" s="4"/>
    </row>
    <row r="589" spans="1:5" s="327" customFormat="1" x14ac:dyDescent="0.2">
      <c r="A589" s="327" t="s">
        <v>1837</v>
      </c>
      <c r="B589" s="353" t="s">
        <v>1586</v>
      </c>
      <c r="C589" s="327" t="s">
        <v>1587</v>
      </c>
      <c r="D589" s="327" t="s">
        <v>1588</v>
      </c>
      <c r="E589" s="4"/>
    </row>
    <row r="590" spans="1:5" s="327" customFormat="1" x14ac:dyDescent="0.2">
      <c r="A590" s="327" t="s">
        <v>1837</v>
      </c>
      <c r="B590" s="353" t="s">
        <v>1589</v>
      </c>
      <c r="C590" s="327" t="s">
        <v>1590</v>
      </c>
      <c r="D590" s="327" t="s">
        <v>1591</v>
      </c>
      <c r="E590" s="4"/>
    </row>
    <row r="591" spans="1:5" s="327" customFormat="1" x14ac:dyDescent="0.2">
      <c r="A591" s="327" t="s">
        <v>1837</v>
      </c>
      <c r="B591" s="353" t="s">
        <v>1592</v>
      </c>
      <c r="C591" s="327" t="s">
        <v>1593</v>
      </c>
      <c r="D591" s="327" t="s">
        <v>1594</v>
      </c>
      <c r="E591" s="4"/>
    </row>
    <row r="592" spans="1:5" s="327" customFormat="1" x14ac:dyDescent="0.2">
      <c r="A592" s="327" t="s">
        <v>1837</v>
      </c>
      <c r="B592" s="353" t="s">
        <v>1595</v>
      </c>
      <c r="C592" s="327" t="s">
        <v>1596</v>
      </c>
      <c r="D592" s="327" t="s">
        <v>1597</v>
      </c>
      <c r="E592" s="4"/>
    </row>
    <row r="593" spans="1:5" s="327" customFormat="1" x14ac:dyDescent="0.2">
      <c r="A593" s="327" t="s">
        <v>1837</v>
      </c>
      <c r="B593" s="353" t="s">
        <v>1598</v>
      </c>
      <c r="C593" s="327" t="s">
        <v>1599</v>
      </c>
      <c r="D593" s="327" t="s">
        <v>1600</v>
      </c>
      <c r="E593" s="4"/>
    </row>
    <row r="594" spans="1:5" s="327" customFormat="1" x14ac:dyDescent="0.2">
      <c r="A594" s="327" t="s">
        <v>1837</v>
      </c>
      <c r="B594" s="353" t="s">
        <v>1601</v>
      </c>
      <c r="C594" s="327" t="s">
        <v>1602</v>
      </c>
      <c r="D594" s="327" t="s">
        <v>1603</v>
      </c>
      <c r="E594" s="4"/>
    </row>
    <row r="595" spans="1:5" s="327" customFormat="1" x14ac:dyDescent="0.2">
      <c r="A595" s="327" t="s">
        <v>1837</v>
      </c>
      <c r="B595" s="353" t="s">
        <v>1604</v>
      </c>
      <c r="C595" s="327" t="s">
        <v>1605</v>
      </c>
      <c r="D595" s="327" t="s">
        <v>1606</v>
      </c>
      <c r="E595" s="4"/>
    </row>
    <row r="596" spans="1:5" s="327" customFormat="1" x14ac:dyDescent="0.2">
      <c r="A596" s="327" t="s">
        <v>1837</v>
      </c>
      <c r="B596" s="353" t="s">
        <v>1607</v>
      </c>
      <c r="C596" s="327" t="s">
        <v>1608</v>
      </c>
      <c r="D596" s="327" t="s">
        <v>1609</v>
      </c>
      <c r="E596" s="4"/>
    </row>
    <row r="597" spans="1:5" s="327" customFormat="1" x14ac:dyDescent="0.2">
      <c r="A597" s="327" t="s">
        <v>1837</v>
      </c>
      <c r="B597" s="353" t="s">
        <v>1610</v>
      </c>
      <c r="C597" s="327" t="s">
        <v>1611</v>
      </c>
      <c r="D597" s="327" t="s">
        <v>1612</v>
      </c>
      <c r="E597" s="4"/>
    </row>
    <row r="598" spans="1:5" s="327" customFormat="1" x14ac:dyDescent="0.2">
      <c r="A598" s="327" t="s">
        <v>1837</v>
      </c>
      <c r="B598" s="353" t="s">
        <v>1613</v>
      </c>
      <c r="C598" s="327" t="s">
        <v>1614</v>
      </c>
      <c r="D598" s="327" t="s">
        <v>1615</v>
      </c>
      <c r="E598" s="4"/>
    </row>
    <row r="599" spans="1:5" s="327" customFormat="1" x14ac:dyDescent="0.2">
      <c r="A599" s="327" t="s">
        <v>1837</v>
      </c>
      <c r="B599" s="353" t="s">
        <v>1616</v>
      </c>
      <c r="C599" s="327" t="s">
        <v>1617</v>
      </c>
      <c r="D599" s="327" t="s">
        <v>1618</v>
      </c>
      <c r="E599" s="4"/>
    </row>
    <row r="600" spans="1:5" s="327" customFormat="1" x14ac:dyDescent="0.2">
      <c r="A600" s="327" t="s">
        <v>1837</v>
      </c>
      <c r="B600" s="353" t="s">
        <v>1619</v>
      </c>
      <c r="C600" s="327" t="s">
        <v>1620</v>
      </c>
      <c r="D600" s="327" t="s">
        <v>1621</v>
      </c>
      <c r="E600" s="4"/>
    </row>
    <row r="601" spans="1:5" s="327" customFormat="1" x14ac:dyDescent="0.2">
      <c r="A601" s="327" t="s">
        <v>1837</v>
      </c>
      <c r="B601" s="353" t="s">
        <v>1622</v>
      </c>
      <c r="C601" s="327" t="s">
        <v>1623</v>
      </c>
      <c r="D601" s="327" t="s">
        <v>1624</v>
      </c>
      <c r="E601" s="4"/>
    </row>
    <row r="602" spans="1:5" s="327" customFormat="1" x14ac:dyDescent="0.2">
      <c r="A602" s="327" t="s">
        <v>1837</v>
      </c>
      <c r="B602" s="353" t="s">
        <v>1628</v>
      </c>
      <c r="C602" s="327" t="s">
        <v>1629</v>
      </c>
      <c r="D602" s="327" t="s">
        <v>1630</v>
      </c>
      <c r="E602" s="4"/>
    </row>
    <row r="603" spans="1:5" s="327" customFormat="1" x14ac:dyDescent="0.2">
      <c r="A603" s="327" t="s">
        <v>1837</v>
      </c>
      <c r="B603" s="353" t="s">
        <v>1631</v>
      </c>
      <c r="C603" s="327" t="s">
        <v>1632</v>
      </c>
      <c r="D603" s="327" t="s">
        <v>1633</v>
      </c>
      <c r="E603" s="4"/>
    </row>
    <row r="604" spans="1:5" s="327" customFormat="1" x14ac:dyDescent="0.2">
      <c r="A604" s="327" t="s">
        <v>1837</v>
      </c>
      <c r="B604" s="353" t="s">
        <v>1839</v>
      </c>
      <c r="C604" s="327" t="s">
        <v>1840</v>
      </c>
      <c r="D604" s="327" t="s">
        <v>1841</v>
      </c>
      <c r="E604" s="4"/>
    </row>
    <row r="605" spans="1:5" s="327" customFormat="1" x14ac:dyDescent="0.2">
      <c r="A605" s="327" t="s">
        <v>1837</v>
      </c>
      <c r="B605" s="353" t="s">
        <v>1842</v>
      </c>
      <c r="C605" s="327" t="s">
        <v>1843</v>
      </c>
      <c r="D605" s="327" t="s">
        <v>662</v>
      </c>
      <c r="E605" s="4"/>
    </row>
    <row r="606" spans="1:5" s="327" customFormat="1" x14ac:dyDescent="0.2">
      <c r="A606" s="327" t="s">
        <v>1837</v>
      </c>
      <c r="B606" s="353" t="s">
        <v>1844</v>
      </c>
      <c r="C606" s="327" t="s">
        <v>1845</v>
      </c>
      <c r="D606" s="327" t="s">
        <v>664</v>
      </c>
      <c r="E606" s="4"/>
    </row>
    <row r="607" spans="1:5" s="327" customFormat="1" x14ac:dyDescent="0.2">
      <c r="B607" s="353"/>
      <c r="E607" s="4"/>
    </row>
    <row r="608" spans="1:5" s="327" customFormat="1" x14ac:dyDescent="0.2">
      <c r="A608" s="327" t="s">
        <v>1846</v>
      </c>
      <c r="B608" s="353" t="s">
        <v>1367</v>
      </c>
      <c r="C608" s="327" t="s">
        <v>1368</v>
      </c>
      <c r="D608" s="327" t="s">
        <v>1369</v>
      </c>
      <c r="E608" s="4"/>
    </row>
    <row r="609" spans="1:5" s="327" customFormat="1" x14ac:dyDescent="0.2">
      <c r="A609" s="327" t="s">
        <v>1846</v>
      </c>
      <c r="B609" s="353" t="s">
        <v>1379</v>
      </c>
      <c r="C609" s="327" t="s">
        <v>1380</v>
      </c>
      <c r="D609" s="327" t="s">
        <v>1381</v>
      </c>
      <c r="E609" s="4"/>
    </row>
    <row r="610" spans="1:5" s="327" customFormat="1" x14ac:dyDescent="0.2">
      <c r="A610" s="327" t="s">
        <v>1846</v>
      </c>
      <c r="B610" s="353" t="s">
        <v>1388</v>
      </c>
      <c r="C610" s="327" t="s">
        <v>1389</v>
      </c>
      <c r="D610" s="327" t="s">
        <v>1390</v>
      </c>
      <c r="E610" s="4"/>
    </row>
    <row r="611" spans="1:5" s="327" customFormat="1" x14ac:dyDescent="0.2">
      <c r="A611" s="327" t="s">
        <v>1846</v>
      </c>
      <c r="B611" s="353" t="s">
        <v>1460</v>
      </c>
      <c r="C611" s="327" t="s">
        <v>1461</v>
      </c>
      <c r="D611" s="327" t="s">
        <v>1462</v>
      </c>
      <c r="E611" s="4"/>
    </row>
    <row r="612" spans="1:5" s="327" customFormat="1" x14ac:dyDescent="0.2">
      <c r="A612" s="327" t="s">
        <v>1846</v>
      </c>
      <c r="B612" s="353" t="s">
        <v>1499</v>
      </c>
      <c r="C612" s="327" t="s">
        <v>1500</v>
      </c>
      <c r="D612" s="327" t="s">
        <v>1501</v>
      </c>
      <c r="E612" s="4"/>
    </row>
    <row r="613" spans="1:5" s="327" customFormat="1" x14ac:dyDescent="0.2">
      <c r="A613" s="327" t="s">
        <v>1846</v>
      </c>
      <c r="B613" s="353" t="s">
        <v>1541</v>
      </c>
      <c r="C613" s="327" t="s">
        <v>1542</v>
      </c>
      <c r="D613" s="327" t="s">
        <v>1543</v>
      </c>
      <c r="E613" s="4"/>
    </row>
    <row r="614" spans="1:5" s="327" customFormat="1" x14ac:dyDescent="0.2">
      <c r="A614" s="327" t="s">
        <v>1846</v>
      </c>
      <c r="B614" s="353" t="s">
        <v>1544</v>
      </c>
      <c r="C614" s="327" t="s">
        <v>1545</v>
      </c>
      <c r="D614" s="327" t="s">
        <v>1546</v>
      </c>
      <c r="E614" s="4"/>
    </row>
    <row r="615" spans="1:5" s="327" customFormat="1" x14ac:dyDescent="0.2">
      <c r="A615" s="327" t="s">
        <v>1846</v>
      </c>
      <c r="B615" s="353" t="s">
        <v>1547</v>
      </c>
      <c r="C615" s="327" t="s">
        <v>1548</v>
      </c>
      <c r="D615" s="327" t="s">
        <v>1549</v>
      </c>
      <c r="E615" s="4"/>
    </row>
    <row r="616" spans="1:5" s="327" customFormat="1" x14ac:dyDescent="0.2">
      <c r="A616" s="327" t="s">
        <v>1846</v>
      </c>
      <c r="B616" s="353" t="s">
        <v>1556</v>
      </c>
      <c r="C616" s="327" t="s">
        <v>1557</v>
      </c>
      <c r="D616" s="327" t="s">
        <v>1558</v>
      </c>
      <c r="E616" s="4"/>
    </row>
    <row r="617" spans="1:5" s="327" customFormat="1" x14ac:dyDescent="0.2">
      <c r="A617" s="327" t="s">
        <v>1846</v>
      </c>
      <c r="B617" s="353" t="s">
        <v>1625</v>
      </c>
      <c r="C617" s="327" t="s">
        <v>1626</v>
      </c>
      <c r="D617" s="327" t="s">
        <v>1627</v>
      </c>
      <c r="E617" s="4"/>
    </row>
    <row r="618" spans="1:5" s="327" customFormat="1" x14ac:dyDescent="0.2">
      <c r="A618" s="327" t="s">
        <v>1846</v>
      </c>
      <c r="B618" s="353" t="s">
        <v>1364</v>
      </c>
      <c r="C618" s="327" t="s">
        <v>1365</v>
      </c>
      <c r="D618" s="327" t="s">
        <v>1366</v>
      </c>
      <c r="E618" s="4"/>
    </row>
    <row r="619" spans="1:5" s="327" customFormat="1" x14ac:dyDescent="0.2">
      <c r="A619" s="327" t="s">
        <v>1846</v>
      </c>
      <c r="B619" s="353" t="s">
        <v>1370</v>
      </c>
      <c r="C619" s="327" t="s">
        <v>1371</v>
      </c>
      <c r="D619" s="327" t="s">
        <v>1372</v>
      </c>
      <c r="E619" s="4"/>
    </row>
    <row r="620" spans="1:5" s="327" customFormat="1" x14ac:dyDescent="0.2">
      <c r="A620" s="327" t="s">
        <v>1846</v>
      </c>
      <c r="B620" s="353" t="s">
        <v>1373</v>
      </c>
      <c r="C620" s="327" t="s">
        <v>1374</v>
      </c>
      <c r="D620" s="327" t="s">
        <v>1375</v>
      </c>
      <c r="E620" s="4"/>
    </row>
    <row r="621" spans="1:5" s="327" customFormat="1" x14ac:dyDescent="0.2">
      <c r="A621" s="327" t="s">
        <v>1846</v>
      </c>
      <c r="B621" s="353" t="s">
        <v>1376</v>
      </c>
      <c r="C621" s="327" t="s">
        <v>1377</v>
      </c>
      <c r="D621" s="327" t="s">
        <v>1378</v>
      </c>
      <c r="E621" s="4"/>
    </row>
    <row r="622" spans="1:5" s="327" customFormat="1" x14ac:dyDescent="0.2">
      <c r="A622" s="327" t="s">
        <v>1846</v>
      </c>
      <c r="B622" s="353" t="s">
        <v>1382</v>
      </c>
      <c r="C622" s="327" t="s">
        <v>1383</v>
      </c>
      <c r="D622" s="327" t="s">
        <v>1384</v>
      </c>
      <c r="E622" s="4"/>
    </row>
    <row r="623" spans="1:5" s="327" customFormat="1" x14ac:dyDescent="0.2">
      <c r="A623" s="327" t="s">
        <v>1846</v>
      </c>
      <c r="B623" s="353" t="s">
        <v>1385</v>
      </c>
      <c r="C623" s="327" t="s">
        <v>1386</v>
      </c>
      <c r="D623" s="327" t="s">
        <v>1387</v>
      </c>
      <c r="E623" s="4"/>
    </row>
    <row r="624" spans="1:5" s="327" customFormat="1" x14ac:dyDescent="0.2">
      <c r="A624" s="327" t="s">
        <v>1846</v>
      </c>
      <c r="B624" s="353" t="s">
        <v>1391</v>
      </c>
      <c r="C624" s="327" t="s">
        <v>1392</v>
      </c>
      <c r="D624" s="327" t="s">
        <v>1393</v>
      </c>
      <c r="E624" s="4"/>
    </row>
    <row r="625" spans="1:5" s="327" customFormat="1" x14ac:dyDescent="0.2">
      <c r="A625" s="327" t="s">
        <v>1846</v>
      </c>
      <c r="B625" s="353" t="s">
        <v>1394</v>
      </c>
      <c r="C625" s="327" t="s">
        <v>1395</v>
      </c>
      <c r="D625" s="327" t="s">
        <v>1396</v>
      </c>
      <c r="E625" s="4"/>
    </row>
    <row r="626" spans="1:5" s="327" customFormat="1" x14ac:dyDescent="0.2">
      <c r="A626" s="327" t="s">
        <v>1846</v>
      </c>
      <c r="B626" s="353" t="s">
        <v>1397</v>
      </c>
      <c r="C626" s="327" t="s">
        <v>1398</v>
      </c>
      <c r="D626" s="327" t="s">
        <v>1399</v>
      </c>
      <c r="E626" s="4"/>
    </row>
    <row r="627" spans="1:5" s="327" customFormat="1" x14ac:dyDescent="0.2">
      <c r="A627" s="327" t="s">
        <v>1846</v>
      </c>
      <c r="B627" s="353" t="s">
        <v>1400</v>
      </c>
      <c r="C627" s="327" t="s">
        <v>1401</v>
      </c>
      <c r="D627" s="327" t="s">
        <v>1402</v>
      </c>
      <c r="E627" s="4"/>
    </row>
    <row r="628" spans="1:5" s="327" customFormat="1" x14ac:dyDescent="0.2">
      <c r="A628" s="327" t="s">
        <v>1846</v>
      </c>
      <c r="B628" s="353" t="s">
        <v>1403</v>
      </c>
      <c r="C628" s="327" t="s">
        <v>1404</v>
      </c>
      <c r="D628" s="327" t="s">
        <v>1405</v>
      </c>
      <c r="E628" s="4"/>
    </row>
    <row r="629" spans="1:5" s="327" customFormat="1" x14ac:dyDescent="0.2">
      <c r="A629" s="327" t="s">
        <v>1846</v>
      </c>
      <c r="B629" s="353" t="s">
        <v>1406</v>
      </c>
      <c r="C629" s="327" t="s">
        <v>1407</v>
      </c>
      <c r="D629" s="327" t="s">
        <v>1408</v>
      </c>
      <c r="E629" s="4"/>
    </row>
    <row r="630" spans="1:5" s="327" customFormat="1" x14ac:dyDescent="0.2">
      <c r="A630" s="327" t="s">
        <v>1846</v>
      </c>
      <c r="B630" s="353" t="s">
        <v>1409</v>
      </c>
      <c r="C630" s="327" t="s">
        <v>1410</v>
      </c>
      <c r="D630" s="327" t="s">
        <v>1411</v>
      </c>
      <c r="E630" s="4"/>
    </row>
    <row r="631" spans="1:5" s="327" customFormat="1" x14ac:dyDescent="0.2">
      <c r="A631" s="327" t="s">
        <v>1846</v>
      </c>
      <c r="B631" s="353" t="s">
        <v>1412</v>
      </c>
      <c r="C631" s="327" t="s">
        <v>1413</v>
      </c>
      <c r="D631" s="327" t="s">
        <v>1414</v>
      </c>
      <c r="E631" s="4"/>
    </row>
    <row r="632" spans="1:5" s="327" customFormat="1" x14ac:dyDescent="0.2">
      <c r="A632" s="327" t="s">
        <v>1846</v>
      </c>
      <c r="B632" s="353" t="s">
        <v>1415</v>
      </c>
      <c r="C632" s="327" t="s">
        <v>1416</v>
      </c>
      <c r="D632" s="327" t="s">
        <v>1417</v>
      </c>
      <c r="E632" s="4"/>
    </row>
    <row r="633" spans="1:5" s="327" customFormat="1" x14ac:dyDescent="0.2">
      <c r="A633" s="327" t="s">
        <v>1846</v>
      </c>
      <c r="B633" s="353" t="s">
        <v>1418</v>
      </c>
      <c r="C633" s="327" t="s">
        <v>1419</v>
      </c>
      <c r="D633" s="327" t="s">
        <v>1420</v>
      </c>
      <c r="E633" s="4"/>
    </row>
    <row r="634" spans="1:5" s="327" customFormat="1" x14ac:dyDescent="0.2">
      <c r="A634" s="327" t="s">
        <v>1846</v>
      </c>
      <c r="B634" s="353" t="s">
        <v>1421</v>
      </c>
      <c r="C634" s="327" t="s">
        <v>1422</v>
      </c>
      <c r="D634" s="327" t="s">
        <v>1423</v>
      </c>
      <c r="E634" s="4"/>
    </row>
    <row r="635" spans="1:5" s="327" customFormat="1" x14ac:dyDescent="0.2">
      <c r="A635" s="327" t="s">
        <v>1846</v>
      </c>
      <c r="B635" s="353" t="s">
        <v>1424</v>
      </c>
      <c r="C635" s="327" t="s">
        <v>1425</v>
      </c>
      <c r="D635" s="327" t="s">
        <v>1426</v>
      </c>
      <c r="E635" s="4"/>
    </row>
    <row r="636" spans="1:5" s="327" customFormat="1" x14ac:dyDescent="0.2">
      <c r="A636" s="327" t="s">
        <v>1846</v>
      </c>
      <c r="B636" s="353" t="s">
        <v>1427</v>
      </c>
      <c r="C636" s="327" t="s">
        <v>1428</v>
      </c>
      <c r="D636" s="327" t="s">
        <v>1429</v>
      </c>
      <c r="E636" s="4"/>
    </row>
    <row r="637" spans="1:5" s="327" customFormat="1" x14ac:dyDescent="0.2">
      <c r="A637" s="327" t="s">
        <v>1846</v>
      </c>
      <c r="B637" s="353" t="s">
        <v>1430</v>
      </c>
      <c r="C637" s="327" t="s">
        <v>1431</v>
      </c>
      <c r="D637" s="327" t="s">
        <v>1432</v>
      </c>
      <c r="E637" s="4"/>
    </row>
    <row r="638" spans="1:5" s="327" customFormat="1" x14ac:dyDescent="0.2">
      <c r="A638" s="327" t="s">
        <v>1846</v>
      </c>
      <c r="B638" s="353" t="s">
        <v>1454</v>
      </c>
      <c r="C638" s="327" t="s">
        <v>1455</v>
      </c>
      <c r="D638" s="327" t="s">
        <v>1456</v>
      </c>
      <c r="E638" s="4"/>
    </row>
    <row r="639" spans="1:5" s="327" customFormat="1" x14ac:dyDescent="0.2">
      <c r="A639" s="327" t="s">
        <v>1846</v>
      </c>
      <c r="B639" s="353" t="s">
        <v>1433</v>
      </c>
      <c r="C639" s="327" t="s">
        <v>1434</v>
      </c>
      <c r="D639" s="327" t="s">
        <v>1435</v>
      </c>
      <c r="E639" s="4"/>
    </row>
    <row r="640" spans="1:5" s="327" customFormat="1" x14ac:dyDescent="0.2">
      <c r="A640" s="327" t="s">
        <v>1846</v>
      </c>
      <c r="B640" s="353" t="s">
        <v>1436</v>
      </c>
      <c r="C640" s="327" t="s">
        <v>1437</v>
      </c>
      <c r="D640" s="327" t="s">
        <v>1438</v>
      </c>
      <c r="E640" s="4"/>
    </row>
    <row r="641" spans="1:5" s="327" customFormat="1" x14ac:dyDescent="0.2">
      <c r="A641" s="327" t="s">
        <v>1846</v>
      </c>
      <c r="B641" s="353" t="s">
        <v>1439</v>
      </c>
      <c r="C641" s="327" t="s">
        <v>1440</v>
      </c>
      <c r="D641" s="327" t="s">
        <v>1441</v>
      </c>
      <c r="E641" s="4"/>
    </row>
    <row r="642" spans="1:5" s="327" customFormat="1" x14ac:dyDescent="0.2">
      <c r="A642" s="327" t="s">
        <v>1846</v>
      </c>
      <c r="B642" s="353" t="s">
        <v>1442</v>
      </c>
      <c r="C642" s="327" t="s">
        <v>1443</v>
      </c>
      <c r="D642" s="327" t="s">
        <v>1444</v>
      </c>
      <c r="E642" s="4"/>
    </row>
    <row r="643" spans="1:5" s="327" customFormat="1" x14ac:dyDescent="0.2">
      <c r="A643" s="327" t="s">
        <v>1846</v>
      </c>
      <c r="B643" s="353" t="s">
        <v>1445</v>
      </c>
      <c r="C643" s="327" t="s">
        <v>1446</v>
      </c>
      <c r="D643" s="327" t="s">
        <v>1447</v>
      </c>
      <c r="E643" s="4"/>
    </row>
    <row r="644" spans="1:5" s="327" customFormat="1" x14ac:dyDescent="0.2">
      <c r="A644" s="327" t="s">
        <v>1846</v>
      </c>
      <c r="B644" s="353" t="s">
        <v>1448</v>
      </c>
      <c r="C644" s="327" t="s">
        <v>1449</v>
      </c>
      <c r="D644" s="327" t="s">
        <v>1450</v>
      </c>
      <c r="E644" s="4"/>
    </row>
    <row r="645" spans="1:5" s="327" customFormat="1" x14ac:dyDescent="0.2">
      <c r="A645" s="327" t="s">
        <v>1846</v>
      </c>
      <c r="B645" s="353" t="s">
        <v>1451</v>
      </c>
      <c r="C645" s="327" t="s">
        <v>1452</v>
      </c>
      <c r="D645" s="327" t="s">
        <v>1838</v>
      </c>
      <c r="E645" s="4"/>
    </row>
    <row r="646" spans="1:5" s="327" customFormat="1" x14ac:dyDescent="0.2">
      <c r="A646" s="327" t="s">
        <v>1846</v>
      </c>
      <c r="B646" s="353" t="s">
        <v>1457</v>
      </c>
      <c r="C646" s="327" t="s">
        <v>1458</v>
      </c>
      <c r="D646" s="327" t="s">
        <v>1459</v>
      </c>
      <c r="E646" s="4"/>
    </row>
    <row r="647" spans="1:5" s="327" customFormat="1" x14ac:dyDescent="0.2">
      <c r="A647" s="327" t="s">
        <v>1846</v>
      </c>
      <c r="B647" s="353" t="s">
        <v>1487</v>
      </c>
      <c r="C647" s="327" t="s">
        <v>1488</v>
      </c>
      <c r="D647" s="327" t="s">
        <v>1489</v>
      </c>
      <c r="E647" s="4"/>
    </row>
    <row r="648" spans="1:5" s="327" customFormat="1" x14ac:dyDescent="0.2">
      <c r="A648" s="327" t="s">
        <v>1846</v>
      </c>
      <c r="B648" s="353" t="s">
        <v>1490</v>
      </c>
      <c r="C648" s="327" t="s">
        <v>1491</v>
      </c>
      <c r="D648" s="327" t="s">
        <v>1492</v>
      </c>
      <c r="E648" s="4"/>
    </row>
    <row r="649" spans="1:5" s="327" customFormat="1" x14ac:dyDescent="0.2">
      <c r="A649" s="327" t="s">
        <v>1846</v>
      </c>
      <c r="B649" s="353" t="s">
        <v>1463</v>
      </c>
      <c r="C649" s="327" t="s">
        <v>1464</v>
      </c>
      <c r="D649" s="327" t="s">
        <v>1465</v>
      </c>
      <c r="E649" s="4"/>
    </row>
    <row r="650" spans="1:5" s="327" customFormat="1" x14ac:dyDescent="0.2">
      <c r="A650" s="327" t="s">
        <v>1846</v>
      </c>
      <c r="B650" s="353" t="s">
        <v>1466</v>
      </c>
      <c r="C650" s="327" t="s">
        <v>1467</v>
      </c>
      <c r="D650" s="327" t="s">
        <v>1468</v>
      </c>
      <c r="E650" s="4"/>
    </row>
    <row r="651" spans="1:5" s="327" customFormat="1" x14ac:dyDescent="0.2">
      <c r="A651" s="327" t="s">
        <v>1846</v>
      </c>
      <c r="B651" s="353" t="s">
        <v>1469</v>
      </c>
      <c r="C651" s="327" t="s">
        <v>1470</v>
      </c>
      <c r="D651" s="327" t="s">
        <v>1471</v>
      </c>
      <c r="E651" s="4"/>
    </row>
    <row r="652" spans="1:5" s="327" customFormat="1" x14ac:dyDescent="0.2">
      <c r="A652" s="327" t="s">
        <v>1846</v>
      </c>
      <c r="B652" s="353" t="s">
        <v>1472</v>
      </c>
      <c r="C652" s="327" t="s">
        <v>1473</v>
      </c>
      <c r="D652" s="327" t="s">
        <v>1474</v>
      </c>
      <c r="E652" s="4"/>
    </row>
    <row r="653" spans="1:5" s="327" customFormat="1" x14ac:dyDescent="0.2">
      <c r="A653" s="327" t="s">
        <v>1846</v>
      </c>
      <c r="B653" s="353" t="s">
        <v>1475</v>
      </c>
      <c r="C653" s="327" t="s">
        <v>1476</v>
      </c>
      <c r="D653" s="327" t="s">
        <v>1477</v>
      </c>
      <c r="E653" s="4"/>
    </row>
    <row r="654" spans="1:5" s="327" customFormat="1" x14ac:dyDescent="0.2">
      <c r="A654" s="327" t="s">
        <v>1846</v>
      </c>
      <c r="B654" s="353" t="s">
        <v>1478</v>
      </c>
      <c r="C654" s="327" t="s">
        <v>1479</v>
      </c>
      <c r="D654" s="327" t="s">
        <v>1480</v>
      </c>
      <c r="E654" s="4"/>
    </row>
    <row r="655" spans="1:5" s="327" customFormat="1" x14ac:dyDescent="0.2">
      <c r="A655" s="327" t="s">
        <v>1846</v>
      </c>
      <c r="B655" s="353" t="s">
        <v>1481</v>
      </c>
      <c r="C655" s="327" t="s">
        <v>1482</v>
      </c>
      <c r="D655" s="327" t="s">
        <v>1483</v>
      </c>
      <c r="E655" s="4"/>
    </row>
    <row r="656" spans="1:5" s="327" customFormat="1" x14ac:dyDescent="0.2">
      <c r="A656" s="327" t="s">
        <v>1846</v>
      </c>
      <c r="B656" s="353" t="s">
        <v>1484</v>
      </c>
      <c r="C656" s="327" t="s">
        <v>1485</v>
      </c>
      <c r="D656" s="327" t="s">
        <v>1486</v>
      </c>
      <c r="E656" s="4"/>
    </row>
    <row r="657" spans="1:5" s="327" customFormat="1" x14ac:dyDescent="0.2">
      <c r="A657" s="327" t="s">
        <v>1846</v>
      </c>
      <c r="B657" s="353" t="s">
        <v>1493</v>
      </c>
      <c r="C657" s="327" t="s">
        <v>1494</v>
      </c>
      <c r="D657" s="327" t="s">
        <v>1495</v>
      </c>
      <c r="E657" s="4"/>
    </row>
    <row r="658" spans="1:5" s="327" customFormat="1" x14ac:dyDescent="0.2">
      <c r="A658" s="327" t="s">
        <v>1846</v>
      </c>
      <c r="B658" s="353" t="s">
        <v>1496</v>
      </c>
      <c r="C658" s="327" t="s">
        <v>1497</v>
      </c>
      <c r="D658" s="327" t="s">
        <v>1498</v>
      </c>
      <c r="E658" s="4"/>
    </row>
    <row r="659" spans="1:5" s="327" customFormat="1" x14ac:dyDescent="0.2">
      <c r="A659" s="327" t="s">
        <v>1846</v>
      </c>
      <c r="B659" s="353" t="s">
        <v>1502</v>
      </c>
      <c r="C659" s="327" t="s">
        <v>1503</v>
      </c>
      <c r="D659" s="327" t="s">
        <v>1504</v>
      </c>
      <c r="E659" s="4"/>
    </row>
    <row r="660" spans="1:5" s="327" customFormat="1" x14ac:dyDescent="0.2">
      <c r="A660" s="327" t="s">
        <v>1846</v>
      </c>
      <c r="B660" s="353" t="s">
        <v>1505</v>
      </c>
      <c r="C660" s="327" t="s">
        <v>1506</v>
      </c>
      <c r="D660" s="327" t="s">
        <v>1507</v>
      </c>
      <c r="E660" s="4"/>
    </row>
    <row r="661" spans="1:5" s="327" customFormat="1" x14ac:dyDescent="0.2">
      <c r="A661" s="327" t="s">
        <v>1846</v>
      </c>
      <c r="B661" s="353" t="s">
        <v>1508</v>
      </c>
      <c r="C661" s="327" t="s">
        <v>1509</v>
      </c>
      <c r="D661" s="327" t="s">
        <v>1510</v>
      </c>
      <c r="E661" s="4"/>
    </row>
    <row r="662" spans="1:5" s="327" customFormat="1" x14ac:dyDescent="0.2">
      <c r="A662" s="327" t="s">
        <v>1846</v>
      </c>
      <c r="B662" s="353" t="s">
        <v>1511</v>
      </c>
      <c r="C662" s="327" t="s">
        <v>1512</v>
      </c>
      <c r="D662" s="327" t="s">
        <v>1513</v>
      </c>
      <c r="E662" s="4"/>
    </row>
    <row r="663" spans="1:5" s="327" customFormat="1" x14ac:dyDescent="0.2">
      <c r="A663" s="327" t="s">
        <v>1846</v>
      </c>
      <c r="B663" s="353" t="s">
        <v>1538</v>
      </c>
      <c r="C663" s="327" t="s">
        <v>1539</v>
      </c>
      <c r="D663" s="327" t="s">
        <v>1540</v>
      </c>
      <c r="E663" s="4"/>
    </row>
    <row r="664" spans="1:5" s="327" customFormat="1" x14ac:dyDescent="0.2">
      <c r="A664" s="327" t="s">
        <v>1846</v>
      </c>
      <c r="B664" s="353" t="s">
        <v>1550</v>
      </c>
      <c r="C664" s="327" t="s">
        <v>1551</v>
      </c>
      <c r="D664" s="327" t="s">
        <v>1552</v>
      </c>
      <c r="E664" s="4"/>
    </row>
    <row r="665" spans="1:5" s="327" customFormat="1" x14ac:dyDescent="0.2">
      <c r="A665" s="327" t="s">
        <v>1846</v>
      </c>
      <c r="B665" s="353" t="s">
        <v>1553</v>
      </c>
      <c r="C665" s="327" t="s">
        <v>1554</v>
      </c>
      <c r="D665" s="327" t="s">
        <v>1555</v>
      </c>
      <c r="E665" s="4"/>
    </row>
    <row r="666" spans="1:5" s="327" customFormat="1" x14ac:dyDescent="0.2">
      <c r="A666" s="327" t="s">
        <v>1846</v>
      </c>
      <c r="B666" s="353" t="s">
        <v>1559</v>
      </c>
      <c r="C666" s="327" t="s">
        <v>1560</v>
      </c>
      <c r="D666" s="327" t="s">
        <v>1561</v>
      </c>
      <c r="E666" s="4"/>
    </row>
    <row r="667" spans="1:5" s="327" customFormat="1" x14ac:dyDescent="0.2">
      <c r="A667" s="327" t="s">
        <v>1846</v>
      </c>
      <c r="B667" s="353" t="s">
        <v>1562</v>
      </c>
      <c r="C667" s="327" t="s">
        <v>1563</v>
      </c>
      <c r="D667" s="327" t="s">
        <v>1564</v>
      </c>
      <c r="E667" s="4"/>
    </row>
    <row r="668" spans="1:5" s="327" customFormat="1" x14ac:dyDescent="0.2">
      <c r="A668" s="327" t="s">
        <v>1846</v>
      </c>
      <c r="B668" s="353" t="s">
        <v>1514</v>
      </c>
      <c r="C668" s="327" t="s">
        <v>1515</v>
      </c>
      <c r="D668" s="327" t="s">
        <v>1516</v>
      </c>
      <c r="E668" s="4"/>
    </row>
    <row r="669" spans="1:5" s="327" customFormat="1" x14ac:dyDescent="0.2">
      <c r="A669" s="327" t="s">
        <v>1846</v>
      </c>
      <c r="B669" s="353" t="s">
        <v>1517</v>
      </c>
      <c r="C669" s="327" t="s">
        <v>1518</v>
      </c>
      <c r="D669" s="327" t="s">
        <v>1519</v>
      </c>
      <c r="E669" s="4"/>
    </row>
    <row r="670" spans="1:5" s="327" customFormat="1" x14ac:dyDescent="0.2">
      <c r="A670" s="327" t="s">
        <v>1846</v>
      </c>
      <c r="B670" s="353" t="s">
        <v>1520</v>
      </c>
      <c r="C670" s="327" t="s">
        <v>1521</v>
      </c>
      <c r="D670" s="327" t="s">
        <v>1522</v>
      </c>
      <c r="E670" s="4"/>
    </row>
    <row r="671" spans="1:5" s="327" customFormat="1" x14ac:dyDescent="0.2">
      <c r="A671" s="327" t="s">
        <v>1846</v>
      </c>
      <c r="B671" s="353" t="s">
        <v>1523</v>
      </c>
      <c r="C671" s="327" t="s">
        <v>1524</v>
      </c>
      <c r="D671" s="327" t="s">
        <v>1525</v>
      </c>
      <c r="E671" s="4"/>
    </row>
    <row r="672" spans="1:5" s="327" customFormat="1" x14ac:dyDescent="0.2">
      <c r="A672" s="327" t="s">
        <v>1846</v>
      </c>
      <c r="B672" s="353" t="s">
        <v>1526</v>
      </c>
      <c r="C672" s="327" t="s">
        <v>1527</v>
      </c>
      <c r="D672" s="327" t="s">
        <v>1528</v>
      </c>
      <c r="E672" s="4"/>
    </row>
    <row r="673" spans="1:5" s="327" customFormat="1" x14ac:dyDescent="0.2">
      <c r="A673" s="327" t="s">
        <v>1846</v>
      </c>
      <c r="B673" s="353" t="s">
        <v>1529</v>
      </c>
      <c r="C673" s="327" t="s">
        <v>1530</v>
      </c>
      <c r="D673" s="327" t="s">
        <v>1531</v>
      </c>
      <c r="E673" s="4"/>
    </row>
    <row r="674" spans="1:5" s="327" customFormat="1" x14ac:dyDescent="0.2">
      <c r="A674" s="327" t="s">
        <v>1846</v>
      </c>
      <c r="B674" s="353" t="s">
        <v>1532</v>
      </c>
      <c r="C674" s="327" t="s">
        <v>1533</v>
      </c>
      <c r="D674" s="327" t="s">
        <v>1534</v>
      </c>
      <c r="E674" s="4"/>
    </row>
    <row r="675" spans="1:5" s="327" customFormat="1" x14ac:dyDescent="0.2">
      <c r="A675" s="327" t="s">
        <v>1846</v>
      </c>
      <c r="B675" s="353" t="s">
        <v>1535</v>
      </c>
      <c r="C675" s="327" t="s">
        <v>1536</v>
      </c>
      <c r="D675" s="327" t="s">
        <v>1537</v>
      </c>
      <c r="E675" s="4"/>
    </row>
    <row r="676" spans="1:5" s="327" customFormat="1" x14ac:dyDescent="0.2">
      <c r="A676" s="327" t="s">
        <v>1846</v>
      </c>
      <c r="B676" s="353" t="s">
        <v>1565</v>
      </c>
      <c r="C676" s="327" t="s">
        <v>1566</v>
      </c>
      <c r="D676" s="327" t="s">
        <v>1567</v>
      </c>
      <c r="E676" s="4"/>
    </row>
    <row r="677" spans="1:5" s="327" customFormat="1" x14ac:dyDescent="0.2">
      <c r="A677" s="327" t="s">
        <v>1846</v>
      </c>
      <c r="B677" s="353" t="s">
        <v>1568</v>
      </c>
      <c r="C677" s="327" t="s">
        <v>1569</v>
      </c>
      <c r="D677" s="327" t="s">
        <v>1570</v>
      </c>
      <c r="E677" s="4"/>
    </row>
    <row r="678" spans="1:5" s="327" customFormat="1" x14ac:dyDescent="0.2">
      <c r="A678" s="327" t="s">
        <v>1846</v>
      </c>
      <c r="B678" s="353" t="s">
        <v>1571</v>
      </c>
      <c r="C678" s="327" t="s">
        <v>1572</v>
      </c>
      <c r="D678" s="327" t="s">
        <v>1573</v>
      </c>
      <c r="E678" s="4"/>
    </row>
    <row r="679" spans="1:5" s="327" customFormat="1" x14ac:dyDescent="0.2">
      <c r="A679" s="327" t="s">
        <v>1846</v>
      </c>
      <c r="B679" s="353" t="s">
        <v>1574</v>
      </c>
      <c r="C679" s="327" t="s">
        <v>1575</v>
      </c>
      <c r="D679" s="327" t="s">
        <v>1576</v>
      </c>
      <c r="E679" s="4"/>
    </row>
    <row r="680" spans="1:5" s="327" customFormat="1" x14ac:dyDescent="0.2">
      <c r="A680" s="327" t="s">
        <v>1846</v>
      </c>
      <c r="B680" s="353" t="s">
        <v>1577</v>
      </c>
      <c r="C680" s="327" t="s">
        <v>1578</v>
      </c>
      <c r="D680" s="327" t="s">
        <v>1579</v>
      </c>
      <c r="E680" s="4"/>
    </row>
    <row r="681" spans="1:5" s="327" customFormat="1" x14ac:dyDescent="0.2">
      <c r="A681" s="327" t="s">
        <v>1846</v>
      </c>
      <c r="B681" s="353" t="s">
        <v>1580</v>
      </c>
      <c r="C681" s="327" t="s">
        <v>1581</v>
      </c>
      <c r="D681" s="327" t="s">
        <v>1582</v>
      </c>
      <c r="E681" s="4"/>
    </row>
    <row r="682" spans="1:5" s="327" customFormat="1" x14ac:dyDescent="0.2">
      <c r="A682" s="327" t="s">
        <v>1846</v>
      </c>
      <c r="B682" s="353" t="s">
        <v>1583</v>
      </c>
      <c r="C682" s="327" t="s">
        <v>1584</v>
      </c>
      <c r="D682" s="327" t="s">
        <v>1585</v>
      </c>
      <c r="E682" s="4"/>
    </row>
    <row r="683" spans="1:5" s="327" customFormat="1" x14ac:dyDescent="0.2">
      <c r="A683" s="327" t="s">
        <v>1846</v>
      </c>
      <c r="B683" s="353" t="s">
        <v>1586</v>
      </c>
      <c r="C683" s="327" t="s">
        <v>1587</v>
      </c>
      <c r="D683" s="327" t="s">
        <v>1588</v>
      </c>
      <c r="E683" s="4"/>
    </row>
    <row r="684" spans="1:5" s="327" customFormat="1" x14ac:dyDescent="0.2">
      <c r="A684" s="327" t="s">
        <v>1846</v>
      </c>
      <c r="B684" s="353" t="s">
        <v>1589</v>
      </c>
      <c r="C684" s="327" t="s">
        <v>1590</v>
      </c>
      <c r="D684" s="327" t="s">
        <v>1591</v>
      </c>
      <c r="E684" s="4"/>
    </row>
    <row r="685" spans="1:5" s="327" customFormat="1" x14ac:dyDescent="0.2">
      <c r="A685" s="327" t="s">
        <v>1846</v>
      </c>
      <c r="B685" s="353" t="s">
        <v>1592</v>
      </c>
      <c r="C685" s="327" t="s">
        <v>1593</v>
      </c>
      <c r="D685" s="327" t="s">
        <v>1594</v>
      </c>
      <c r="E685" s="4"/>
    </row>
    <row r="686" spans="1:5" s="327" customFormat="1" x14ac:dyDescent="0.2">
      <c r="A686" s="327" t="s">
        <v>1846</v>
      </c>
      <c r="B686" s="353" t="s">
        <v>1595</v>
      </c>
      <c r="C686" s="327" t="s">
        <v>1596</v>
      </c>
      <c r="D686" s="327" t="s">
        <v>1597</v>
      </c>
      <c r="E686" s="4"/>
    </row>
    <row r="687" spans="1:5" s="327" customFormat="1" x14ac:dyDescent="0.2">
      <c r="A687" s="327" t="s">
        <v>1846</v>
      </c>
      <c r="B687" s="353" t="s">
        <v>1598</v>
      </c>
      <c r="C687" s="327" t="s">
        <v>1599</v>
      </c>
      <c r="D687" s="327" t="s">
        <v>1600</v>
      </c>
      <c r="E687" s="4"/>
    </row>
    <row r="688" spans="1:5" s="327" customFormat="1" x14ac:dyDescent="0.2">
      <c r="A688" s="327" t="s">
        <v>1846</v>
      </c>
      <c r="B688" s="353" t="s">
        <v>1601</v>
      </c>
      <c r="C688" s="327" t="s">
        <v>1602</v>
      </c>
      <c r="D688" s="327" t="s">
        <v>1603</v>
      </c>
      <c r="E688" s="4"/>
    </row>
    <row r="689" spans="1:5" s="327" customFormat="1" x14ac:dyDescent="0.2">
      <c r="A689" s="327" t="s">
        <v>1846</v>
      </c>
      <c r="B689" s="353" t="s">
        <v>1604</v>
      </c>
      <c r="C689" s="327" t="s">
        <v>1605</v>
      </c>
      <c r="D689" s="327" t="s">
        <v>1606</v>
      </c>
      <c r="E689" s="4"/>
    </row>
    <row r="690" spans="1:5" s="327" customFormat="1" x14ac:dyDescent="0.2">
      <c r="A690" s="327" t="s">
        <v>1846</v>
      </c>
      <c r="B690" s="353" t="s">
        <v>1607</v>
      </c>
      <c r="C690" s="327" t="s">
        <v>1608</v>
      </c>
      <c r="D690" s="327" t="s">
        <v>1609</v>
      </c>
      <c r="E690" s="4"/>
    </row>
    <row r="691" spans="1:5" s="327" customFormat="1" x14ac:dyDescent="0.2">
      <c r="A691" s="327" t="s">
        <v>1846</v>
      </c>
      <c r="B691" s="353" t="s">
        <v>1610</v>
      </c>
      <c r="C691" s="327" t="s">
        <v>1611</v>
      </c>
      <c r="D691" s="327" t="s">
        <v>1612</v>
      </c>
      <c r="E691" s="4"/>
    </row>
    <row r="692" spans="1:5" s="327" customFormat="1" x14ac:dyDescent="0.2">
      <c r="A692" s="327" t="s">
        <v>1846</v>
      </c>
      <c r="B692" s="353" t="s">
        <v>1613</v>
      </c>
      <c r="C692" s="327" t="s">
        <v>1614</v>
      </c>
      <c r="D692" s="327" t="s">
        <v>1615</v>
      </c>
      <c r="E692" s="4"/>
    </row>
    <row r="693" spans="1:5" s="327" customFormat="1" x14ac:dyDescent="0.2">
      <c r="A693" s="327" t="s">
        <v>1846</v>
      </c>
      <c r="B693" s="353" t="s">
        <v>1616</v>
      </c>
      <c r="C693" s="327" t="s">
        <v>1617</v>
      </c>
      <c r="D693" s="327" t="s">
        <v>1618</v>
      </c>
      <c r="E693" s="4"/>
    </row>
    <row r="694" spans="1:5" s="327" customFormat="1" x14ac:dyDescent="0.2">
      <c r="A694" s="327" t="s">
        <v>1846</v>
      </c>
      <c r="B694" s="353" t="s">
        <v>1619</v>
      </c>
      <c r="C694" s="327" t="s">
        <v>1620</v>
      </c>
      <c r="D694" s="327" t="s">
        <v>1621</v>
      </c>
      <c r="E694" s="4"/>
    </row>
    <row r="695" spans="1:5" s="327" customFormat="1" x14ac:dyDescent="0.2">
      <c r="A695" s="327" t="s">
        <v>1846</v>
      </c>
      <c r="B695" s="353" t="s">
        <v>1622</v>
      </c>
      <c r="C695" s="327" t="s">
        <v>1623</v>
      </c>
      <c r="D695" s="327" t="s">
        <v>1624</v>
      </c>
      <c r="E695" s="4"/>
    </row>
    <row r="696" spans="1:5" s="327" customFormat="1" x14ac:dyDescent="0.2">
      <c r="A696" s="327" t="s">
        <v>1846</v>
      </c>
      <c r="B696" s="353" t="s">
        <v>1628</v>
      </c>
      <c r="C696" s="327" t="s">
        <v>1629</v>
      </c>
      <c r="D696" s="327" t="s">
        <v>1630</v>
      </c>
      <c r="E696" s="4"/>
    </row>
    <row r="697" spans="1:5" s="327" customFormat="1" x14ac:dyDescent="0.2">
      <c r="A697" s="327" t="s">
        <v>1846</v>
      </c>
      <c r="B697" s="353" t="s">
        <v>1631</v>
      </c>
      <c r="C697" s="327" t="s">
        <v>1632</v>
      </c>
      <c r="D697" s="327" t="s">
        <v>1633</v>
      </c>
      <c r="E697" s="4"/>
    </row>
    <row r="698" spans="1:5" s="327" customFormat="1" x14ac:dyDescent="0.2">
      <c r="A698" s="327" t="s">
        <v>1846</v>
      </c>
      <c r="B698" s="353" t="s">
        <v>1847</v>
      </c>
      <c r="C698" s="327" t="s">
        <v>1848</v>
      </c>
      <c r="D698" s="327" t="s">
        <v>1849</v>
      </c>
      <c r="E698" s="4"/>
    </row>
    <row r="699" spans="1:5" s="327" customFormat="1" x14ac:dyDescent="0.2">
      <c r="A699" s="327" t="s">
        <v>1846</v>
      </c>
      <c r="B699" s="353" t="s">
        <v>1842</v>
      </c>
      <c r="C699" s="327" t="s">
        <v>1843</v>
      </c>
      <c r="D699" s="327" t="s">
        <v>662</v>
      </c>
      <c r="E699" s="4"/>
    </row>
    <row r="700" spans="1:5" s="327" customFormat="1" x14ac:dyDescent="0.2">
      <c r="A700" s="327" t="s">
        <v>1846</v>
      </c>
      <c r="B700" s="353" t="s">
        <v>1844</v>
      </c>
      <c r="C700" s="327" t="s">
        <v>1845</v>
      </c>
      <c r="D700" s="327" t="s">
        <v>664</v>
      </c>
      <c r="E700" s="4"/>
    </row>
    <row r="701" spans="1:5" s="327" customFormat="1" x14ac:dyDescent="0.2">
      <c r="B701" s="353"/>
      <c r="E701" s="4"/>
    </row>
    <row r="702" spans="1:5" s="327" customFormat="1" x14ac:dyDescent="0.2">
      <c r="A702" s="327" t="s">
        <v>1850</v>
      </c>
      <c r="B702" s="353" t="s">
        <v>1367</v>
      </c>
      <c r="C702" s="327" t="s">
        <v>1368</v>
      </c>
      <c r="D702" s="327" t="s">
        <v>1369</v>
      </c>
      <c r="E702" s="4"/>
    </row>
    <row r="703" spans="1:5" s="327" customFormat="1" x14ac:dyDescent="0.2">
      <c r="A703" s="327" t="s">
        <v>1850</v>
      </c>
      <c r="B703" s="353" t="s">
        <v>1379</v>
      </c>
      <c r="C703" s="327" t="s">
        <v>1380</v>
      </c>
      <c r="D703" s="327" t="s">
        <v>1381</v>
      </c>
      <c r="E703" s="4"/>
    </row>
    <row r="704" spans="1:5" s="327" customFormat="1" x14ac:dyDescent="0.2">
      <c r="A704" s="327" t="s">
        <v>1850</v>
      </c>
      <c r="B704" s="353" t="s">
        <v>1388</v>
      </c>
      <c r="C704" s="327" t="s">
        <v>1389</v>
      </c>
      <c r="D704" s="327" t="s">
        <v>1390</v>
      </c>
      <c r="E704" s="4"/>
    </row>
    <row r="705" spans="1:5" s="327" customFormat="1" x14ac:dyDescent="0.2">
      <c r="A705" s="327" t="s">
        <v>1850</v>
      </c>
      <c r="B705" s="353" t="s">
        <v>1460</v>
      </c>
      <c r="C705" s="327" t="s">
        <v>1461</v>
      </c>
      <c r="D705" s="327" t="s">
        <v>1462</v>
      </c>
      <c r="E705" s="4"/>
    </row>
    <row r="706" spans="1:5" s="327" customFormat="1" x14ac:dyDescent="0.2">
      <c r="A706" s="327" t="s">
        <v>1850</v>
      </c>
      <c r="B706" s="353" t="s">
        <v>1499</v>
      </c>
      <c r="C706" s="327" t="s">
        <v>1500</v>
      </c>
      <c r="D706" s="327" t="s">
        <v>1501</v>
      </c>
      <c r="E706" s="4"/>
    </row>
    <row r="707" spans="1:5" s="327" customFormat="1" x14ac:dyDescent="0.2">
      <c r="A707" s="327" t="s">
        <v>1850</v>
      </c>
      <c r="B707" s="353" t="s">
        <v>1541</v>
      </c>
      <c r="C707" s="327" t="s">
        <v>1542</v>
      </c>
      <c r="D707" s="327" t="s">
        <v>1543</v>
      </c>
      <c r="E707" s="4"/>
    </row>
    <row r="708" spans="1:5" s="327" customFormat="1" x14ac:dyDescent="0.2">
      <c r="A708" s="327" t="s">
        <v>1850</v>
      </c>
      <c r="B708" s="353" t="s">
        <v>1544</v>
      </c>
      <c r="C708" s="327" t="s">
        <v>1545</v>
      </c>
      <c r="D708" s="327" t="s">
        <v>1546</v>
      </c>
      <c r="E708" s="4"/>
    </row>
    <row r="709" spans="1:5" s="327" customFormat="1" x14ac:dyDescent="0.2">
      <c r="A709" s="327" t="s">
        <v>1850</v>
      </c>
      <c r="B709" s="353" t="s">
        <v>1547</v>
      </c>
      <c r="C709" s="327" t="s">
        <v>1548</v>
      </c>
      <c r="D709" s="327" t="s">
        <v>1549</v>
      </c>
      <c r="E709" s="4"/>
    </row>
    <row r="710" spans="1:5" s="327" customFormat="1" x14ac:dyDescent="0.2">
      <c r="A710" s="327" t="s">
        <v>1850</v>
      </c>
      <c r="B710" s="353" t="s">
        <v>1556</v>
      </c>
      <c r="C710" s="327" t="s">
        <v>1557</v>
      </c>
      <c r="D710" s="327" t="s">
        <v>1558</v>
      </c>
      <c r="E710" s="4"/>
    </row>
    <row r="711" spans="1:5" s="327" customFormat="1" x14ac:dyDescent="0.2">
      <c r="A711" s="327" t="s">
        <v>1850</v>
      </c>
      <c r="B711" s="353" t="s">
        <v>1625</v>
      </c>
      <c r="C711" s="327" t="s">
        <v>1626</v>
      </c>
      <c r="D711" s="327" t="s">
        <v>1627</v>
      </c>
      <c r="E711" s="4"/>
    </row>
    <row r="712" spans="1:5" s="327" customFormat="1" x14ac:dyDescent="0.2">
      <c r="A712" s="327" t="s">
        <v>1850</v>
      </c>
      <c r="B712" s="353" t="s">
        <v>1364</v>
      </c>
      <c r="C712" s="327" t="s">
        <v>1365</v>
      </c>
      <c r="D712" s="327" t="s">
        <v>1366</v>
      </c>
      <c r="E712" s="4"/>
    </row>
    <row r="713" spans="1:5" s="327" customFormat="1" x14ac:dyDescent="0.2">
      <c r="A713" s="327" t="s">
        <v>1850</v>
      </c>
      <c r="B713" s="353" t="s">
        <v>1370</v>
      </c>
      <c r="C713" s="327" t="s">
        <v>1371</v>
      </c>
      <c r="D713" s="327" t="s">
        <v>1372</v>
      </c>
      <c r="E713" s="4"/>
    </row>
    <row r="714" spans="1:5" s="327" customFormat="1" x14ac:dyDescent="0.2">
      <c r="A714" s="327" t="s">
        <v>1850</v>
      </c>
      <c r="B714" s="353" t="s">
        <v>1373</v>
      </c>
      <c r="C714" s="327" t="s">
        <v>1374</v>
      </c>
      <c r="D714" s="327" t="s">
        <v>1375</v>
      </c>
      <c r="E714" s="4"/>
    </row>
    <row r="715" spans="1:5" s="327" customFormat="1" x14ac:dyDescent="0.2">
      <c r="A715" s="327" t="s">
        <v>1850</v>
      </c>
      <c r="B715" s="353" t="s">
        <v>1376</v>
      </c>
      <c r="C715" s="327" t="s">
        <v>1377</v>
      </c>
      <c r="D715" s="327" t="s">
        <v>1378</v>
      </c>
      <c r="E715" s="4"/>
    </row>
    <row r="716" spans="1:5" s="327" customFormat="1" x14ac:dyDescent="0.2">
      <c r="A716" s="327" t="s">
        <v>1850</v>
      </c>
      <c r="B716" s="353" t="s">
        <v>1382</v>
      </c>
      <c r="C716" s="327" t="s">
        <v>1383</v>
      </c>
      <c r="D716" s="327" t="s">
        <v>1384</v>
      </c>
      <c r="E716" s="4"/>
    </row>
    <row r="717" spans="1:5" s="327" customFormat="1" x14ac:dyDescent="0.2">
      <c r="A717" s="327" t="s">
        <v>1850</v>
      </c>
      <c r="B717" s="353" t="s">
        <v>1385</v>
      </c>
      <c r="C717" s="327" t="s">
        <v>1386</v>
      </c>
      <c r="D717" s="327" t="s">
        <v>1387</v>
      </c>
      <c r="E717" s="4"/>
    </row>
    <row r="718" spans="1:5" s="327" customFormat="1" x14ac:dyDescent="0.2">
      <c r="A718" s="327" t="s">
        <v>1850</v>
      </c>
      <c r="B718" s="353" t="s">
        <v>1391</v>
      </c>
      <c r="C718" s="327" t="s">
        <v>1392</v>
      </c>
      <c r="D718" s="327" t="s">
        <v>1393</v>
      </c>
      <c r="E718" s="4"/>
    </row>
    <row r="719" spans="1:5" s="327" customFormat="1" x14ac:dyDescent="0.2">
      <c r="A719" s="327" t="s">
        <v>1850</v>
      </c>
      <c r="B719" s="353" t="s">
        <v>1394</v>
      </c>
      <c r="C719" s="327" t="s">
        <v>1395</v>
      </c>
      <c r="D719" s="327" t="s">
        <v>1396</v>
      </c>
      <c r="E719" s="4"/>
    </row>
    <row r="720" spans="1:5" s="327" customFormat="1" x14ac:dyDescent="0.2">
      <c r="A720" s="327" t="s">
        <v>1850</v>
      </c>
      <c r="B720" s="353" t="s">
        <v>1397</v>
      </c>
      <c r="C720" s="327" t="s">
        <v>1398</v>
      </c>
      <c r="D720" s="327" t="s">
        <v>1399</v>
      </c>
      <c r="E720" s="4"/>
    </row>
    <row r="721" spans="1:5" s="327" customFormat="1" x14ac:dyDescent="0.2">
      <c r="A721" s="327" t="s">
        <v>1850</v>
      </c>
      <c r="B721" s="353" t="s">
        <v>1400</v>
      </c>
      <c r="C721" s="327" t="s">
        <v>1401</v>
      </c>
      <c r="D721" s="327" t="s">
        <v>1402</v>
      </c>
      <c r="E721" s="4"/>
    </row>
    <row r="722" spans="1:5" s="327" customFormat="1" x14ac:dyDescent="0.2">
      <c r="A722" s="327" t="s">
        <v>1850</v>
      </c>
      <c r="B722" s="353" t="s">
        <v>1403</v>
      </c>
      <c r="C722" s="327" t="s">
        <v>1404</v>
      </c>
      <c r="D722" s="327" t="s">
        <v>1405</v>
      </c>
      <c r="E722" s="4"/>
    </row>
    <row r="723" spans="1:5" s="327" customFormat="1" x14ac:dyDescent="0.2">
      <c r="A723" s="327" t="s">
        <v>1850</v>
      </c>
      <c r="B723" s="353" t="s">
        <v>1406</v>
      </c>
      <c r="C723" s="327" t="s">
        <v>1407</v>
      </c>
      <c r="D723" s="327" t="s">
        <v>1408</v>
      </c>
      <c r="E723" s="4"/>
    </row>
    <row r="724" spans="1:5" s="327" customFormat="1" x14ac:dyDescent="0.2">
      <c r="A724" s="327" t="s">
        <v>1850</v>
      </c>
      <c r="B724" s="353" t="s">
        <v>1409</v>
      </c>
      <c r="C724" s="327" t="s">
        <v>1410</v>
      </c>
      <c r="D724" s="327" t="s">
        <v>1411</v>
      </c>
      <c r="E724" s="4"/>
    </row>
    <row r="725" spans="1:5" s="327" customFormat="1" x14ac:dyDescent="0.2">
      <c r="A725" s="327" t="s">
        <v>1850</v>
      </c>
      <c r="B725" s="353" t="s">
        <v>1412</v>
      </c>
      <c r="C725" s="327" t="s">
        <v>1413</v>
      </c>
      <c r="D725" s="327" t="s">
        <v>1414</v>
      </c>
      <c r="E725" s="4"/>
    </row>
    <row r="726" spans="1:5" s="327" customFormat="1" x14ac:dyDescent="0.2">
      <c r="A726" s="327" t="s">
        <v>1850</v>
      </c>
      <c r="B726" s="353" t="s">
        <v>1415</v>
      </c>
      <c r="C726" s="327" t="s">
        <v>1416</v>
      </c>
      <c r="D726" s="327" t="s">
        <v>1417</v>
      </c>
      <c r="E726" s="4"/>
    </row>
    <row r="727" spans="1:5" s="327" customFormat="1" x14ac:dyDescent="0.2">
      <c r="A727" s="327" t="s">
        <v>1850</v>
      </c>
      <c r="B727" s="353" t="s">
        <v>1418</v>
      </c>
      <c r="C727" s="327" t="s">
        <v>1419</v>
      </c>
      <c r="D727" s="327" t="s">
        <v>1420</v>
      </c>
      <c r="E727" s="4"/>
    </row>
    <row r="728" spans="1:5" s="327" customFormat="1" x14ac:dyDescent="0.2">
      <c r="A728" s="327" t="s">
        <v>1850</v>
      </c>
      <c r="B728" s="353" t="s">
        <v>1421</v>
      </c>
      <c r="C728" s="327" t="s">
        <v>1422</v>
      </c>
      <c r="D728" s="327" t="s">
        <v>1423</v>
      </c>
      <c r="E728" s="4"/>
    </row>
    <row r="729" spans="1:5" s="327" customFormat="1" x14ac:dyDescent="0.2">
      <c r="A729" s="327" t="s">
        <v>1850</v>
      </c>
      <c r="B729" s="353" t="s">
        <v>1424</v>
      </c>
      <c r="C729" s="327" t="s">
        <v>1425</v>
      </c>
      <c r="D729" s="327" t="s">
        <v>1426</v>
      </c>
      <c r="E729" s="4"/>
    </row>
    <row r="730" spans="1:5" s="327" customFormat="1" x14ac:dyDescent="0.2">
      <c r="A730" s="327" t="s">
        <v>1850</v>
      </c>
      <c r="B730" s="353" t="s">
        <v>1427</v>
      </c>
      <c r="C730" s="327" t="s">
        <v>1428</v>
      </c>
      <c r="D730" s="327" t="s">
        <v>1429</v>
      </c>
      <c r="E730" s="4"/>
    </row>
    <row r="731" spans="1:5" s="327" customFormat="1" x14ac:dyDescent="0.2">
      <c r="A731" s="327" t="s">
        <v>1850</v>
      </c>
      <c r="B731" s="353" t="s">
        <v>1430</v>
      </c>
      <c r="C731" s="327" t="s">
        <v>1431</v>
      </c>
      <c r="D731" s="327" t="s">
        <v>1432</v>
      </c>
      <c r="E731" s="4"/>
    </row>
    <row r="732" spans="1:5" s="327" customFormat="1" x14ac:dyDescent="0.2">
      <c r="A732" s="327" t="s">
        <v>1850</v>
      </c>
      <c r="B732" s="353" t="s">
        <v>1454</v>
      </c>
      <c r="C732" s="327" t="s">
        <v>1455</v>
      </c>
      <c r="D732" s="327" t="s">
        <v>1456</v>
      </c>
      <c r="E732" s="4"/>
    </row>
    <row r="733" spans="1:5" s="327" customFormat="1" x14ac:dyDescent="0.2">
      <c r="A733" s="327" t="s">
        <v>1850</v>
      </c>
      <c r="B733" s="353" t="s">
        <v>1433</v>
      </c>
      <c r="C733" s="327" t="s">
        <v>1434</v>
      </c>
      <c r="D733" s="327" t="s">
        <v>1435</v>
      </c>
      <c r="E733" s="4"/>
    </row>
    <row r="734" spans="1:5" s="327" customFormat="1" x14ac:dyDescent="0.2">
      <c r="A734" s="327" t="s">
        <v>1850</v>
      </c>
      <c r="B734" s="353" t="s">
        <v>1436</v>
      </c>
      <c r="C734" s="327" t="s">
        <v>1437</v>
      </c>
      <c r="D734" s="327" t="s">
        <v>1438</v>
      </c>
      <c r="E734" s="4"/>
    </row>
    <row r="735" spans="1:5" s="327" customFormat="1" x14ac:dyDescent="0.2">
      <c r="A735" s="327" t="s">
        <v>1850</v>
      </c>
      <c r="B735" s="353" t="s">
        <v>1439</v>
      </c>
      <c r="C735" s="327" t="s">
        <v>1440</v>
      </c>
      <c r="D735" s="327" t="s">
        <v>1441</v>
      </c>
      <c r="E735" s="4"/>
    </row>
    <row r="736" spans="1:5" s="327" customFormat="1" x14ac:dyDescent="0.2">
      <c r="A736" s="327" t="s">
        <v>1850</v>
      </c>
      <c r="B736" s="353" t="s">
        <v>1442</v>
      </c>
      <c r="C736" s="327" t="s">
        <v>1443</v>
      </c>
      <c r="D736" s="327" t="s">
        <v>1444</v>
      </c>
      <c r="E736" s="4"/>
    </row>
    <row r="737" spans="1:5" s="327" customFormat="1" x14ac:dyDescent="0.2">
      <c r="A737" s="327" t="s">
        <v>1850</v>
      </c>
      <c r="B737" s="353" t="s">
        <v>1445</v>
      </c>
      <c r="C737" s="327" t="s">
        <v>1446</v>
      </c>
      <c r="D737" s="327" t="s">
        <v>1447</v>
      </c>
      <c r="E737" s="4"/>
    </row>
    <row r="738" spans="1:5" s="327" customFormat="1" x14ac:dyDescent="0.2">
      <c r="A738" s="327" t="s">
        <v>1850</v>
      </c>
      <c r="B738" s="353" t="s">
        <v>1448</v>
      </c>
      <c r="C738" s="327" t="s">
        <v>1449</v>
      </c>
      <c r="D738" s="327" t="s">
        <v>1450</v>
      </c>
      <c r="E738" s="4"/>
    </row>
    <row r="739" spans="1:5" s="327" customFormat="1" x14ac:dyDescent="0.2">
      <c r="A739" s="327" t="s">
        <v>1850</v>
      </c>
      <c r="B739" s="353" t="s">
        <v>1451</v>
      </c>
      <c r="C739" s="327" t="s">
        <v>1452</v>
      </c>
      <c r="D739" s="327" t="s">
        <v>1838</v>
      </c>
      <c r="E739" s="4"/>
    </row>
    <row r="740" spans="1:5" s="327" customFormat="1" x14ac:dyDescent="0.2">
      <c r="A740" s="327" t="s">
        <v>1850</v>
      </c>
      <c r="B740" s="353" t="s">
        <v>1457</v>
      </c>
      <c r="C740" s="327" t="s">
        <v>1458</v>
      </c>
      <c r="D740" s="327" t="s">
        <v>1459</v>
      </c>
      <c r="E740" s="4"/>
    </row>
    <row r="741" spans="1:5" s="327" customFormat="1" x14ac:dyDescent="0.2">
      <c r="A741" s="327" t="s">
        <v>1850</v>
      </c>
      <c r="B741" s="353" t="s">
        <v>1487</v>
      </c>
      <c r="C741" s="327" t="s">
        <v>1488</v>
      </c>
      <c r="D741" s="327" t="s">
        <v>1489</v>
      </c>
      <c r="E741" s="4"/>
    </row>
    <row r="742" spans="1:5" s="327" customFormat="1" x14ac:dyDescent="0.2">
      <c r="A742" s="327" t="s">
        <v>1850</v>
      </c>
      <c r="B742" s="353" t="s">
        <v>1490</v>
      </c>
      <c r="C742" s="327" t="s">
        <v>1491</v>
      </c>
      <c r="D742" s="327" t="s">
        <v>1492</v>
      </c>
      <c r="E742" s="4"/>
    </row>
    <row r="743" spans="1:5" s="327" customFormat="1" x14ac:dyDescent="0.2">
      <c r="A743" s="327" t="s">
        <v>1850</v>
      </c>
      <c r="B743" s="353" t="s">
        <v>1463</v>
      </c>
      <c r="C743" s="327" t="s">
        <v>1464</v>
      </c>
      <c r="D743" s="327" t="s">
        <v>1465</v>
      </c>
      <c r="E743" s="4"/>
    </row>
    <row r="744" spans="1:5" s="327" customFormat="1" x14ac:dyDescent="0.2">
      <c r="A744" s="327" t="s">
        <v>1850</v>
      </c>
      <c r="B744" s="353" t="s">
        <v>1466</v>
      </c>
      <c r="C744" s="327" t="s">
        <v>1467</v>
      </c>
      <c r="D744" s="327" t="s">
        <v>1468</v>
      </c>
      <c r="E744" s="4"/>
    </row>
    <row r="745" spans="1:5" s="327" customFormat="1" x14ac:dyDescent="0.2">
      <c r="A745" s="327" t="s">
        <v>1850</v>
      </c>
      <c r="B745" s="353" t="s">
        <v>1469</v>
      </c>
      <c r="C745" s="327" t="s">
        <v>1470</v>
      </c>
      <c r="D745" s="327" t="s">
        <v>1471</v>
      </c>
      <c r="E745" s="4"/>
    </row>
    <row r="746" spans="1:5" s="327" customFormat="1" x14ac:dyDescent="0.2">
      <c r="A746" s="327" t="s">
        <v>1850</v>
      </c>
      <c r="B746" s="353" t="s">
        <v>1472</v>
      </c>
      <c r="C746" s="327" t="s">
        <v>1473</v>
      </c>
      <c r="D746" s="327" t="s">
        <v>1474</v>
      </c>
      <c r="E746" s="4"/>
    </row>
    <row r="747" spans="1:5" s="327" customFormat="1" x14ac:dyDescent="0.2">
      <c r="A747" s="327" t="s">
        <v>1850</v>
      </c>
      <c r="B747" s="353" t="s">
        <v>1475</v>
      </c>
      <c r="C747" s="327" t="s">
        <v>1476</v>
      </c>
      <c r="D747" s="327" t="s">
        <v>1477</v>
      </c>
      <c r="E747" s="4"/>
    </row>
    <row r="748" spans="1:5" s="327" customFormat="1" x14ac:dyDescent="0.2">
      <c r="A748" s="327" t="s">
        <v>1850</v>
      </c>
      <c r="B748" s="353" t="s">
        <v>1478</v>
      </c>
      <c r="C748" s="327" t="s">
        <v>1479</v>
      </c>
      <c r="D748" s="327" t="s">
        <v>1480</v>
      </c>
      <c r="E748" s="4"/>
    </row>
    <row r="749" spans="1:5" s="327" customFormat="1" x14ac:dyDescent="0.2">
      <c r="A749" s="327" t="s">
        <v>1850</v>
      </c>
      <c r="B749" s="353" t="s">
        <v>1481</v>
      </c>
      <c r="C749" s="327" t="s">
        <v>1482</v>
      </c>
      <c r="D749" s="327" t="s">
        <v>1483</v>
      </c>
      <c r="E749" s="4"/>
    </row>
    <row r="750" spans="1:5" s="327" customFormat="1" x14ac:dyDescent="0.2">
      <c r="A750" s="327" t="s">
        <v>1850</v>
      </c>
      <c r="B750" s="353" t="s">
        <v>1484</v>
      </c>
      <c r="C750" s="327" t="s">
        <v>1485</v>
      </c>
      <c r="D750" s="327" t="s">
        <v>1486</v>
      </c>
      <c r="E750" s="4"/>
    </row>
    <row r="751" spans="1:5" s="327" customFormat="1" x14ac:dyDescent="0.2">
      <c r="A751" s="327" t="s">
        <v>1850</v>
      </c>
      <c r="B751" s="353" t="s">
        <v>1493</v>
      </c>
      <c r="C751" s="327" t="s">
        <v>1494</v>
      </c>
      <c r="D751" s="327" t="s">
        <v>1495</v>
      </c>
      <c r="E751" s="4"/>
    </row>
    <row r="752" spans="1:5" s="327" customFormat="1" x14ac:dyDescent="0.2">
      <c r="A752" s="327" t="s">
        <v>1850</v>
      </c>
      <c r="B752" s="353" t="s">
        <v>1496</v>
      </c>
      <c r="C752" s="327" t="s">
        <v>1497</v>
      </c>
      <c r="D752" s="327" t="s">
        <v>1498</v>
      </c>
      <c r="E752" s="4"/>
    </row>
    <row r="753" spans="1:5" s="327" customFormat="1" x14ac:dyDescent="0.2">
      <c r="A753" s="327" t="s">
        <v>1850</v>
      </c>
      <c r="B753" s="353" t="s">
        <v>1502</v>
      </c>
      <c r="C753" s="327" t="s">
        <v>1503</v>
      </c>
      <c r="D753" s="327" t="s">
        <v>1504</v>
      </c>
      <c r="E753" s="4"/>
    </row>
    <row r="754" spans="1:5" s="327" customFormat="1" x14ac:dyDescent="0.2">
      <c r="A754" s="327" t="s">
        <v>1850</v>
      </c>
      <c r="B754" s="353" t="s">
        <v>1505</v>
      </c>
      <c r="C754" s="327" t="s">
        <v>1506</v>
      </c>
      <c r="D754" s="327" t="s">
        <v>1507</v>
      </c>
      <c r="E754" s="4"/>
    </row>
    <row r="755" spans="1:5" s="327" customFormat="1" x14ac:dyDescent="0.2">
      <c r="A755" s="327" t="s">
        <v>1850</v>
      </c>
      <c r="B755" s="353" t="s">
        <v>1508</v>
      </c>
      <c r="C755" s="327" t="s">
        <v>1509</v>
      </c>
      <c r="D755" s="327" t="s">
        <v>1510</v>
      </c>
      <c r="E755" s="4"/>
    </row>
    <row r="756" spans="1:5" s="327" customFormat="1" x14ac:dyDescent="0.2">
      <c r="A756" s="327" t="s">
        <v>1850</v>
      </c>
      <c r="B756" s="353" t="s">
        <v>1511</v>
      </c>
      <c r="C756" s="327" t="s">
        <v>1512</v>
      </c>
      <c r="D756" s="327" t="s">
        <v>1513</v>
      </c>
      <c r="E756" s="4"/>
    </row>
    <row r="757" spans="1:5" s="327" customFormat="1" x14ac:dyDescent="0.2">
      <c r="A757" s="327" t="s">
        <v>1850</v>
      </c>
      <c r="B757" s="353" t="s">
        <v>1538</v>
      </c>
      <c r="C757" s="327" t="s">
        <v>1539</v>
      </c>
      <c r="D757" s="327" t="s">
        <v>1540</v>
      </c>
      <c r="E757" s="4"/>
    </row>
    <row r="758" spans="1:5" s="327" customFormat="1" x14ac:dyDescent="0.2">
      <c r="A758" s="327" t="s">
        <v>1850</v>
      </c>
      <c r="B758" s="353" t="s">
        <v>1550</v>
      </c>
      <c r="C758" s="327" t="s">
        <v>1551</v>
      </c>
      <c r="D758" s="327" t="s">
        <v>1552</v>
      </c>
      <c r="E758" s="4"/>
    </row>
    <row r="759" spans="1:5" s="327" customFormat="1" x14ac:dyDescent="0.2">
      <c r="A759" s="327" t="s">
        <v>1850</v>
      </c>
      <c r="B759" s="353" t="s">
        <v>1553</v>
      </c>
      <c r="C759" s="327" t="s">
        <v>1554</v>
      </c>
      <c r="D759" s="327" t="s">
        <v>1555</v>
      </c>
      <c r="E759" s="4"/>
    </row>
    <row r="760" spans="1:5" s="327" customFormat="1" x14ac:dyDescent="0.2">
      <c r="A760" s="327" t="s">
        <v>1850</v>
      </c>
      <c r="B760" s="353" t="s">
        <v>1559</v>
      </c>
      <c r="C760" s="327" t="s">
        <v>1560</v>
      </c>
      <c r="D760" s="327" t="s">
        <v>1561</v>
      </c>
      <c r="E760" s="4"/>
    </row>
    <row r="761" spans="1:5" s="327" customFormat="1" x14ac:dyDescent="0.2">
      <c r="A761" s="327" t="s">
        <v>1850</v>
      </c>
      <c r="B761" s="353" t="s">
        <v>1562</v>
      </c>
      <c r="C761" s="327" t="s">
        <v>1563</v>
      </c>
      <c r="D761" s="327" t="s">
        <v>1564</v>
      </c>
      <c r="E761" s="4"/>
    </row>
    <row r="762" spans="1:5" s="327" customFormat="1" x14ac:dyDescent="0.2">
      <c r="A762" s="327" t="s">
        <v>1850</v>
      </c>
      <c r="B762" s="353" t="s">
        <v>1514</v>
      </c>
      <c r="C762" s="327" t="s">
        <v>1515</v>
      </c>
      <c r="D762" s="327" t="s">
        <v>1516</v>
      </c>
      <c r="E762" s="4"/>
    </row>
    <row r="763" spans="1:5" s="327" customFormat="1" x14ac:dyDescent="0.2">
      <c r="A763" s="327" t="s">
        <v>1850</v>
      </c>
      <c r="B763" s="353" t="s">
        <v>1517</v>
      </c>
      <c r="C763" s="327" t="s">
        <v>1518</v>
      </c>
      <c r="D763" s="327" t="s">
        <v>1519</v>
      </c>
      <c r="E763" s="4"/>
    </row>
    <row r="764" spans="1:5" s="327" customFormat="1" x14ac:dyDescent="0.2">
      <c r="A764" s="327" t="s">
        <v>1850</v>
      </c>
      <c r="B764" s="353" t="s">
        <v>1520</v>
      </c>
      <c r="C764" s="327" t="s">
        <v>1521</v>
      </c>
      <c r="D764" s="327" t="s">
        <v>1522</v>
      </c>
      <c r="E764" s="4"/>
    </row>
    <row r="765" spans="1:5" s="327" customFormat="1" x14ac:dyDescent="0.2">
      <c r="A765" s="327" t="s">
        <v>1850</v>
      </c>
      <c r="B765" s="353" t="s">
        <v>1523</v>
      </c>
      <c r="C765" s="327" t="s">
        <v>1524</v>
      </c>
      <c r="D765" s="327" t="s">
        <v>1525</v>
      </c>
      <c r="E765" s="4"/>
    </row>
    <row r="766" spans="1:5" s="327" customFormat="1" x14ac:dyDescent="0.2">
      <c r="A766" s="327" t="s">
        <v>1850</v>
      </c>
      <c r="B766" s="353" t="s">
        <v>1526</v>
      </c>
      <c r="C766" s="327" t="s">
        <v>1527</v>
      </c>
      <c r="D766" s="327" t="s">
        <v>1528</v>
      </c>
      <c r="E766" s="4"/>
    </row>
    <row r="767" spans="1:5" s="327" customFormat="1" x14ac:dyDescent="0.2">
      <c r="A767" s="327" t="s">
        <v>1850</v>
      </c>
      <c r="B767" s="353" t="s">
        <v>1529</v>
      </c>
      <c r="C767" s="327" t="s">
        <v>1530</v>
      </c>
      <c r="D767" s="327" t="s">
        <v>1531</v>
      </c>
      <c r="E767" s="4"/>
    </row>
    <row r="768" spans="1:5" s="327" customFormat="1" x14ac:dyDescent="0.2">
      <c r="A768" s="327" t="s">
        <v>1850</v>
      </c>
      <c r="B768" s="353" t="s">
        <v>1532</v>
      </c>
      <c r="C768" s="327" t="s">
        <v>1533</v>
      </c>
      <c r="D768" s="327" t="s">
        <v>1534</v>
      </c>
      <c r="E768" s="4"/>
    </row>
    <row r="769" spans="1:5" s="327" customFormat="1" x14ac:dyDescent="0.2">
      <c r="A769" s="327" t="s">
        <v>1850</v>
      </c>
      <c r="B769" s="353" t="s">
        <v>1535</v>
      </c>
      <c r="C769" s="327" t="s">
        <v>1536</v>
      </c>
      <c r="D769" s="327" t="s">
        <v>1537</v>
      </c>
      <c r="E769" s="4"/>
    </row>
    <row r="770" spans="1:5" s="327" customFormat="1" x14ac:dyDescent="0.2">
      <c r="A770" s="327" t="s">
        <v>1850</v>
      </c>
      <c r="B770" s="353" t="s">
        <v>1565</v>
      </c>
      <c r="C770" s="327" t="s">
        <v>1566</v>
      </c>
      <c r="D770" s="327" t="s">
        <v>1567</v>
      </c>
      <c r="E770" s="4"/>
    </row>
    <row r="771" spans="1:5" s="327" customFormat="1" x14ac:dyDescent="0.2">
      <c r="A771" s="327" t="s">
        <v>1850</v>
      </c>
      <c r="B771" s="353" t="s">
        <v>1568</v>
      </c>
      <c r="C771" s="327" t="s">
        <v>1569</v>
      </c>
      <c r="D771" s="327" t="s">
        <v>1570</v>
      </c>
      <c r="E771" s="4"/>
    </row>
    <row r="772" spans="1:5" s="327" customFormat="1" x14ac:dyDescent="0.2">
      <c r="A772" s="327" t="s">
        <v>1850</v>
      </c>
      <c r="B772" s="353" t="s">
        <v>1571</v>
      </c>
      <c r="C772" s="327" t="s">
        <v>1572</v>
      </c>
      <c r="D772" s="327" t="s">
        <v>1573</v>
      </c>
      <c r="E772" s="4"/>
    </row>
    <row r="773" spans="1:5" s="327" customFormat="1" x14ac:dyDescent="0.2">
      <c r="A773" s="327" t="s">
        <v>1850</v>
      </c>
      <c r="B773" s="353" t="s">
        <v>1574</v>
      </c>
      <c r="C773" s="327" t="s">
        <v>1575</v>
      </c>
      <c r="D773" s="327" t="s">
        <v>1576</v>
      </c>
      <c r="E773" s="4"/>
    </row>
    <row r="774" spans="1:5" s="327" customFormat="1" x14ac:dyDescent="0.2">
      <c r="A774" s="327" t="s">
        <v>1850</v>
      </c>
      <c r="B774" s="353" t="s">
        <v>1577</v>
      </c>
      <c r="C774" s="327" t="s">
        <v>1578</v>
      </c>
      <c r="D774" s="327" t="s">
        <v>1579</v>
      </c>
      <c r="E774" s="4"/>
    </row>
    <row r="775" spans="1:5" s="327" customFormat="1" x14ac:dyDescent="0.2">
      <c r="A775" s="327" t="s">
        <v>1850</v>
      </c>
      <c r="B775" s="353" t="s">
        <v>1580</v>
      </c>
      <c r="C775" s="327" t="s">
        <v>1581</v>
      </c>
      <c r="D775" s="327" t="s">
        <v>1582</v>
      </c>
      <c r="E775" s="4"/>
    </row>
    <row r="776" spans="1:5" s="327" customFormat="1" x14ac:dyDescent="0.2">
      <c r="A776" s="327" t="s">
        <v>1850</v>
      </c>
      <c r="B776" s="353" t="s">
        <v>1583</v>
      </c>
      <c r="C776" s="327" t="s">
        <v>1584</v>
      </c>
      <c r="D776" s="327" t="s">
        <v>1585</v>
      </c>
      <c r="E776" s="4"/>
    </row>
    <row r="777" spans="1:5" s="327" customFormat="1" x14ac:dyDescent="0.2">
      <c r="A777" s="327" t="s">
        <v>1850</v>
      </c>
      <c r="B777" s="353" t="s">
        <v>1586</v>
      </c>
      <c r="C777" s="327" t="s">
        <v>1587</v>
      </c>
      <c r="D777" s="327" t="s">
        <v>1588</v>
      </c>
      <c r="E777" s="4"/>
    </row>
    <row r="778" spans="1:5" s="327" customFormat="1" x14ac:dyDescent="0.2">
      <c r="A778" s="327" t="s">
        <v>1850</v>
      </c>
      <c r="B778" s="353" t="s">
        <v>1589</v>
      </c>
      <c r="C778" s="327" t="s">
        <v>1590</v>
      </c>
      <c r="D778" s="327" t="s">
        <v>1591</v>
      </c>
      <c r="E778" s="4"/>
    </row>
    <row r="779" spans="1:5" s="327" customFormat="1" x14ac:dyDescent="0.2">
      <c r="A779" s="327" t="s">
        <v>1850</v>
      </c>
      <c r="B779" s="353" t="s">
        <v>1592</v>
      </c>
      <c r="C779" s="327" t="s">
        <v>1593</v>
      </c>
      <c r="D779" s="327" t="s">
        <v>1594</v>
      </c>
      <c r="E779" s="4"/>
    </row>
    <row r="780" spans="1:5" s="327" customFormat="1" x14ac:dyDescent="0.2">
      <c r="A780" s="327" t="s">
        <v>1850</v>
      </c>
      <c r="B780" s="353" t="s">
        <v>1595</v>
      </c>
      <c r="C780" s="327" t="s">
        <v>1596</v>
      </c>
      <c r="D780" s="327" t="s">
        <v>1597</v>
      </c>
      <c r="E780" s="4"/>
    </row>
    <row r="781" spans="1:5" s="327" customFormat="1" x14ac:dyDescent="0.2">
      <c r="A781" s="327" t="s">
        <v>1850</v>
      </c>
      <c r="B781" s="353" t="s">
        <v>1598</v>
      </c>
      <c r="C781" s="327" t="s">
        <v>1599</v>
      </c>
      <c r="D781" s="327" t="s">
        <v>1600</v>
      </c>
      <c r="E781" s="4"/>
    </row>
    <row r="782" spans="1:5" s="327" customFormat="1" x14ac:dyDescent="0.2">
      <c r="A782" s="327" t="s">
        <v>1850</v>
      </c>
      <c r="B782" s="353" t="s">
        <v>1601</v>
      </c>
      <c r="C782" s="327" t="s">
        <v>1602</v>
      </c>
      <c r="D782" s="327" t="s">
        <v>1603</v>
      </c>
      <c r="E782" s="4"/>
    </row>
    <row r="783" spans="1:5" s="327" customFormat="1" x14ac:dyDescent="0.2">
      <c r="A783" s="327" t="s">
        <v>1850</v>
      </c>
      <c r="B783" s="353" t="s">
        <v>1604</v>
      </c>
      <c r="C783" s="327" t="s">
        <v>1605</v>
      </c>
      <c r="D783" s="327" t="s">
        <v>1606</v>
      </c>
      <c r="E783" s="4"/>
    </row>
    <row r="784" spans="1:5" s="327" customFormat="1" x14ac:dyDescent="0.2">
      <c r="A784" s="327" t="s">
        <v>1850</v>
      </c>
      <c r="B784" s="353" t="s">
        <v>1607</v>
      </c>
      <c r="C784" s="327" t="s">
        <v>1608</v>
      </c>
      <c r="D784" s="327" t="s">
        <v>1609</v>
      </c>
      <c r="E784" s="4"/>
    </row>
    <row r="785" spans="1:9" s="327" customFormat="1" x14ac:dyDescent="0.2">
      <c r="A785" s="327" t="s">
        <v>1850</v>
      </c>
      <c r="B785" s="353" t="s">
        <v>1610</v>
      </c>
      <c r="C785" s="327" t="s">
        <v>1611</v>
      </c>
      <c r="D785" s="327" t="s">
        <v>1612</v>
      </c>
      <c r="E785" s="4"/>
    </row>
    <row r="786" spans="1:9" s="327" customFormat="1" x14ac:dyDescent="0.2">
      <c r="A786" s="327" t="s">
        <v>1850</v>
      </c>
      <c r="B786" s="353" t="s">
        <v>1613</v>
      </c>
      <c r="C786" s="327" t="s">
        <v>1614</v>
      </c>
      <c r="D786" s="327" t="s">
        <v>1615</v>
      </c>
      <c r="E786" s="4"/>
    </row>
    <row r="787" spans="1:9" s="327" customFormat="1" x14ac:dyDescent="0.2">
      <c r="A787" s="327" t="s">
        <v>1850</v>
      </c>
      <c r="B787" s="353" t="s">
        <v>1616</v>
      </c>
      <c r="C787" s="327" t="s">
        <v>1617</v>
      </c>
      <c r="D787" s="327" t="s">
        <v>1618</v>
      </c>
      <c r="E787" s="4"/>
    </row>
    <row r="788" spans="1:9" s="327" customFormat="1" x14ac:dyDescent="0.2">
      <c r="A788" s="327" t="s">
        <v>1850</v>
      </c>
      <c r="B788" s="353" t="s">
        <v>1619</v>
      </c>
      <c r="C788" s="327" t="s">
        <v>1620</v>
      </c>
      <c r="D788" s="327" t="s">
        <v>1621</v>
      </c>
      <c r="E788" s="4"/>
    </row>
    <row r="789" spans="1:9" s="327" customFormat="1" x14ac:dyDescent="0.2">
      <c r="A789" s="327" t="s">
        <v>1850</v>
      </c>
      <c r="B789" s="353" t="s">
        <v>1622</v>
      </c>
      <c r="C789" s="327" t="s">
        <v>1623</v>
      </c>
      <c r="D789" s="327" t="s">
        <v>1624</v>
      </c>
      <c r="E789" s="4"/>
    </row>
    <row r="790" spans="1:9" s="327" customFormat="1" x14ac:dyDescent="0.2">
      <c r="A790" s="327" t="s">
        <v>1850</v>
      </c>
      <c r="B790" s="353" t="s">
        <v>1628</v>
      </c>
      <c r="C790" s="327" t="s">
        <v>1629</v>
      </c>
      <c r="D790" s="327" t="s">
        <v>1630</v>
      </c>
      <c r="E790" s="4"/>
    </row>
    <row r="791" spans="1:9" s="327" customFormat="1" x14ac:dyDescent="0.2">
      <c r="A791" s="327" t="s">
        <v>1850</v>
      </c>
      <c r="B791" s="353" t="s">
        <v>1631</v>
      </c>
      <c r="C791" s="327" t="s">
        <v>1632</v>
      </c>
      <c r="D791" s="327" t="s">
        <v>1633</v>
      </c>
      <c r="E791" s="4"/>
    </row>
    <row r="792" spans="1:9" s="327" customFormat="1" x14ac:dyDescent="0.2">
      <c r="A792" s="327" t="s">
        <v>1850</v>
      </c>
      <c r="B792" s="353" t="s">
        <v>1842</v>
      </c>
      <c r="C792" s="327" t="s">
        <v>1843</v>
      </c>
      <c r="D792" s="327" t="s">
        <v>662</v>
      </c>
      <c r="E792" s="4"/>
    </row>
    <row r="793" spans="1:9" s="327" customFormat="1" x14ac:dyDescent="0.2">
      <c r="A793" s="327" t="s">
        <v>1850</v>
      </c>
      <c r="B793" s="353" t="s">
        <v>1844</v>
      </c>
      <c r="C793" s="327" t="s">
        <v>1845</v>
      </c>
      <c r="D793" s="327" t="s">
        <v>664</v>
      </c>
      <c r="E793" s="4"/>
    </row>
    <row r="794" spans="1:9" x14ac:dyDescent="0.2">
      <c r="E794" s="4"/>
    </row>
    <row r="795" spans="1:9" s="327" customFormat="1" x14ac:dyDescent="0.2">
      <c r="A795" s="331" t="s">
        <v>2118</v>
      </c>
      <c r="B795" s="360" t="s">
        <v>1851</v>
      </c>
      <c r="C795" s="331" t="s">
        <v>1852</v>
      </c>
      <c r="D795" s="332" t="s">
        <v>1853</v>
      </c>
      <c r="E795" s="4"/>
      <c r="F795" s="333"/>
      <c r="G795" s="333"/>
      <c r="H795" s="333"/>
      <c r="I795" s="333"/>
    </row>
    <row r="796" spans="1:9" s="327" customFormat="1" x14ac:dyDescent="0.2">
      <c r="A796" s="331" t="s">
        <v>2118</v>
      </c>
      <c r="B796" s="360" t="s">
        <v>1854</v>
      </c>
      <c r="C796" s="331" t="s">
        <v>1855</v>
      </c>
      <c r="D796" s="332" t="s">
        <v>1856</v>
      </c>
      <c r="E796" s="4"/>
      <c r="F796" s="333"/>
      <c r="G796" s="333"/>
      <c r="H796" s="333"/>
      <c r="I796" s="333"/>
    </row>
    <row r="797" spans="1:9" s="327" customFormat="1" x14ac:dyDescent="0.2">
      <c r="A797" s="331" t="s">
        <v>2118</v>
      </c>
      <c r="B797" s="360" t="s">
        <v>1857</v>
      </c>
      <c r="C797" s="331" t="s">
        <v>1858</v>
      </c>
      <c r="D797" s="332" t="s">
        <v>1859</v>
      </c>
      <c r="E797" s="4"/>
      <c r="F797" s="333"/>
      <c r="G797" s="333"/>
      <c r="H797" s="333"/>
      <c r="I797" s="333"/>
    </row>
    <row r="798" spans="1:9" s="327" customFormat="1" x14ac:dyDescent="0.2">
      <c r="A798" s="331" t="s">
        <v>2118</v>
      </c>
      <c r="B798" s="360" t="s">
        <v>1860</v>
      </c>
      <c r="C798" s="331" t="s">
        <v>1861</v>
      </c>
      <c r="D798" s="332" t="s">
        <v>1862</v>
      </c>
      <c r="E798" s="4"/>
      <c r="F798" s="333"/>
      <c r="G798" s="333"/>
      <c r="H798" s="333"/>
      <c r="I798" s="333"/>
    </row>
    <row r="799" spans="1:9" s="327" customFormat="1" x14ac:dyDescent="0.2">
      <c r="A799" s="331" t="s">
        <v>2118</v>
      </c>
      <c r="B799" s="360" t="s">
        <v>1863</v>
      </c>
      <c r="C799" s="331" t="s">
        <v>1864</v>
      </c>
      <c r="D799" s="332" t="s">
        <v>1865</v>
      </c>
      <c r="E799" s="4"/>
      <c r="F799" s="333"/>
      <c r="G799" s="333"/>
      <c r="H799" s="333"/>
      <c r="I799" s="333"/>
    </row>
    <row r="800" spans="1:9" s="327" customFormat="1" x14ac:dyDescent="0.2">
      <c r="A800" s="331" t="s">
        <v>2118</v>
      </c>
      <c r="B800" s="360" t="s">
        <v>1866</v>
      </c>
      <c r="C800" s="331" t="s">
        <v>1867</v>
      </c>
      <c r="D800" s="332" t="s">
        <v>1868</v>
      </c>
      <c r="E800" s="4"/>
      <c r="F800" s="333"/>
      <c r="G800" s="333"/>
      <c r="H800" s="333"/>
      <c r="I800" s="333"/>
    </row>
    <row r="801" spans="1:9" s="327" customFormat="1" x14ac:dyDescent="0.2">
      <c r="A801" s="331" t="s">
        <v>2118</v>
      </c>
      <c r="B801" s="360" t="s">
        <v>1869</v>
      </c>
      <c r="C801" s="331" t="s">
        <v>1870</v>
      </c>
      <c r="D801" s="332" t="s">
        <v>1871</v>
      </c>
      <c r="E801" s="4"/>
      <c r="F801" s="333"/>
      <c r="G801" s="333"/>
      <c r="H801" s="333"/>
      <c r="I801" s="333"/>
    </row>
    <row r="802" spans="1:9" s="327" customFormat="1" x14ac:dyDescent="0.2">
      <c r="A802" s="331" t="s">
        <v>2118</v>
      </c>
      <c r="B802" s="360" t="s">
        <v>1872</v>
      </c>
      <c r="C802" s="331" t="s">
        <v>1873</v>
      </c>
      <c r="D802" s="332" t="s">
        <v>1874</v>
      </c>
      <c r="E802" s="4"/>
      <c r="F802" s="333"/>
      <c r="G802" s="333"/>
      <c r="H802" s="333"/>
      <c r="I802" s="333"/>
    </row>
    <row r="803" spans="1:9" s="327" customFormat="1" x14ac:dyDescent="0.2">
      <c r="A803" s="331"/>
      <c r="B803" s="360"/>
      <c r="C803" s="331"/>
      <c r="D803" s="331"/>
      <c r="E803" s="4"/>
      <c r="F803" s="333"/>
      <c r="G803" s="333"/>
      <c r="H803" s="333"/>
      <c r="I803" s="333"/>
    </row>
    <row r="804" spans="1:9" s="327" customFormat="1" x14ac:dyDescent="0.2">
      <c r="A804" s="331" t="s">
        <v>2119</v>
      </c>
      <c r="B804" s="360" t="s">
        <v>1875</v>
      </c>
      <c r="C804" s="331" t="s">
        <v>1852</v>
      </c>
      <c r="D804" s="332" t="s">
        <v>1853</v>
      </c>
      <c r="E804" s="4"/>
      <c r="F804" s="331" t="s">
        <v>1851</v>
      </c>
      <c r="G804" s="333"/>
      <c r="H804" s="333"/>
      <c r="I804" s="333"/>
    </row>
    <row r="805" spans="1:9" s="327" customFormat="1" x14ac:dyDescent="0.2">
      <c r="A805" s="331" t="s">
        <v>2119</v>
      </c>
      <c r="B805" s="360" t="s">
        <v>1876</v>
      </c>
      <c r="C805" s="331" t="s">
        <v>1877</v>
      </c>
      <c r="D805" s="332" t="s">
        <v>1878</v>
      </c>
      <c r="E805" s="4"/>
      <c r="F805" s="331" t="s">
        <v>1872</v>
      </c>
      <c r="G805" s="333"/>
      <c r="H805" s="333"/>
      <c r="I805" s="333"/>
    </row>
    <row r="806" spans="1:9" s="327" customFormat="1" x14ac:dyDescent="0.2">
      <c r="A806" s="331" t="s">
        <v>2119</v>
      </c>
      <c r="B806" s="360" t="s">
        <v>1879</v>
      </c>
      <c r="C806" s="331" t="s">
        <v>1880</v>
      </c>
      <c r="D806" s="332" t="s">
        <v>1881</v>
      </c>
      <c r="E806" s="4"/>
      <c r="F806" s="331" t="s">
        <v>1872</v>
      </c>
      <c r="G806" s="333"/>
      <c r="H806" s="333"/>
      <c r="I806" s="333"/>
    </row>
    <row r="807" spans="1:9" s="327" customFormat="1" x14ac:dyDescent="0.2">
      <c r="A807" s="331" t="s">
        <v>2119</v>
      </c>
      <c r="B807" s="360" t="s">
        <v>1882</v>
      </c>
      <c r="C807" s="331" t="s">
        <v>1883</v>
      </c>
      <c r="D807" s="332" t="s">
        <v>1884</v>
      </c>
      <c r="E807" s="4"/>
      <c r="F807" s="331" t="s">
        <v>1854</v>
      </c>
      <c r="G807" s="333"/>
      <c r="H807" s="333"/>
      <c r="I807" s="333"/>
    </row>
    <row r="808" spans="1:9" s="327" customFormat="1" x14ac:dyDescent="0.2">
      <c r="A808" s="331" t="s">
        <v>2119</v>
      </c>
      <c r="B808" s="360" t="s">
        <v>1885</v>
      </c>
      <c r="C808" s="331" t="s">
        <v>1886</v>
      </c>
      <c r="D808" s="332" t="s">
        <v>1887</v>
      </c>
      <c r="E808" s="4"/>
      <c r="F808" s="331" t="s">
        <v>1854</v>
      </c>
      <c r="G808" s="333"/>
      <c r="H808" s="333"/>
      <c r="I808" s="333"/>
    </row>
    <row r="809" spans="1:9" s="327" customFormat="1" x14ac:dyDescent="0.2">
      <c r="A809" s="331" t="s">
        <v>2119</v>
      </c>
      <c r="B809" s="360" t="s">
        <v>1888</v>
      </c>
      <c r="C809" s="331" t="s">
        <v>1889</v>
      </c>
      <c r="D809" s="332" t="s">
        <v>1890</v>
      </c>
      <c r="E809" s="4"/>
      <c r="F809" s="331" t="s">
        <v>1854</v>
      </c>
      <c r="G809" s="333"/>
      <c r="H809" s="333"/>
      <c r="I809" s="333"/>
    </row>
    <row r="810" spans="1:9" s="327" customFormat="1" x14ac:dyDescent="0.2">
      <c r="A810" s="331" t="s">
        <v>2119</v>
      </c>
      <c r="B810" s="360" t="s">
        <v>1891</v>
      </c>
      <c r="C810" s="331" t="s">
        <v>1892</v>
      </c>
      <c r="D810" s="332" t="s">
        <v>1893</v>
      </c>
      <c r="E810" s="4"/>
      <c r="F810" s="331" t="s">
        <v>1857</v>
      </c>
      <c r="G810" s="333"/>
      <c r="H810" s="333"/>
      <c r="I810" s="333"/>
    </row>
    <row r="811" spans="1:9" s="327" customFormat="1" x14ac:dyDescent="0.2">
      <c r="A811" s="331" t="s">
        <v>2119</v>
      </c>
      <c r="B811" s="360" t="s">
        <v>1894</v>
      </c>
      <c r="C811" s="331" t="s">
        <v>1895</v>
      </c>
      <c r="D811" s="332" t="s">
        <v>1896</v>
      </c>
      <c r="E811" s="4"/>
      <c r="F811" s="331" t="s">
        <v>1857</v>
      </c>
      <c r="G811" s="333"/>
      <c r="H811" s="333"/>
      <c r="I811" s="333"/>
    </row>
    <row r="812" spans="1:9" s="327" customFormat="1" x14ac:dyDescent="0.2">
      <c r="A812" s="331" t="s">
        <v>2119</v>
      </c>
      <c r="B812" s="360" t="s">
        <v>1897</v>
      </c>
      <c r="C812" s="331" t="s">
        <v>1898</v>
      </c>
      <c r="D812" s="332" t="s">
        <v>1899</v>
      </c>
      <c r="E812" s="4"/>
      <c r="F812" s="331" t="s">
        <v>1857</v>
      </c>
      <c r="G812" s="333"/>
      <c r="H812" s="333"/>
      <c r="I812" s="333"/>
    </row>
    <row r="813" spans="1:9" s="327" customFormat="1" x14ac:dyDescent="0.2">
      <c r="A813" s="331" t="s">
        <v>2119</v>
      </c>
      <c r="B813" s="360" t="s">
        <v>1900</v>
      </c>
      <c r="C813" s="331" t="s">
        <v>1901</v>
      </c>
      <c r="D813" s="332" t="s">
        <v>1902</v>
      </c>
      <c r="E813" s="4"/>
      <c r="F813" s="331" t="s">
        <v>1857</v>
      </c>
      <c r="G813" s="333"/>
      <c r="H813" s="333"/>
      <c r="I813" s="333"/>
    </row>
    <row r="814" spans="1:9" s="327" customFormat="1" x14ac:dyDescent="0.2">
      <c r="A814" s="331" t="s">
        <v>2119</v>
      </c>
      <c r="B814" s="360" t="s">
        <v>1903</v>
      </c>
      <c r="C814" s="331" t="s">
        <v>1904</v>
      </c>
      <c r="D814" s="332" t="s">
        <v>2261</v>
      </c>
      <c r="E814" s="4"/>
      <c r="F814" s="331" t="s">
        <v>1857</v>
      </c>
      <c r="G814" s="333"/>
      <c r="H814" s="333"/>
      <c r="I814" s="333"/>
    </row>
    <row r="815" spans="1:9" s="327" customFormat="1" x14ac:dyDescent="0.2">
      <c r="A815" s="331" t="s">
        <v>2119</v>
      </c>
      <c r="B815" s="360" t="s">
        <v>1905</v>
      </c>
      <c r="C815" s="331" t="s">
        <v>1906</v>
      </c>
      <c r="D815" s="332" t="s">
        <v>1907</v>
      </c>
      <c r="E815" s="4"/>
      <c r="F815" s="331" t="s">
        <v>1857</v>
      </c>
      <c r="G815" s="333"/>
      <c r="H815" s="333"/>
      <c r="I815" s="333"/>
    </row>
    <row r="816" spans="1:9" s="327" customFormat="1" x14ac:dyDescent="0.2">
      <c r="A816" s="331" t="s">
        <v>2119</v>
      </c>
      <c r="B816" s="360" t="s">
        <v>1908</v>
      </c>
      <c r="C816" s="331" t="s">
        <v>1909</v>
      </c>
      <c r="D816" s="332" t="s">
        <v>1910</v>
      </c>
      <c r="E816" s="4"/>
      <c r="F816" s="331" t="s">
        <v>1860</v>
      </c>
      <c r="G816" s="333"/>
      <c r="H816" s="333"/>
      <c r="I816" s="333"/>
    </row>
    <row r="817" spans="1:9" s="327" customFormat="1" x14ac:dyDescent="0.2">
      <c r="A817" s="331" t="s">
        <v>2119</v>
      </c>
      <c r="B817" s="360" t="s">
        <v>1911</v>
      </c>
      <c r="C817" s="331" t="s">
        <v>1912</v>
      </c>
      <c r="D817" s="332" t="s">
        <v>1913</v>
      </c>
      <c r="E817" s="4"/>
      <c r="F817" s="331" t="s">
        <v>1860</v>
      </c>
      <c r="G817" s="333"/>
      <c r="H817" s="333"/>
      <c r="I817" s="333"/>
    </row>
    <row r="818" spans="1:9" s="327" customFormat="1" x14ac:dyDescent="0.2">
      <c r="A818" s="331" t="s">
        <v>2119</v>
      </c>
      <c r="B818" s="360" t="s">
        <v>1914</v>
      </c>
      <c r="C818" s="331" t="s">
        <v>1915</v>
      </c>
      <c r="D818" s="332" t="s">
        <v>1916</v>
      </c>
      <c r="E818" s="4"/>
      <c r="F818" s="331" t="s">
        <v>1860</v>
      </c>
      <c r="G818" s="333"/>
      <c r="H818" s="333"/>
      <c r="I818" s="333"/>
    </row>
    <row r="819" spans="1:9" s="327" customFormat="1" x14ac:dyDescent="0.2">
      <c r="A819" s="331" t="s">
        <v>2119</v>
      </c>
      <c r="B819" s="360" t="s">
        <v>1917</v>
      </c>
      <c r="C819" s="331" t="s">
        <v>1861</v>
      </c>
      <c r="D819" s="332" t="s">
        <v>1862</v>
      </c>
      <c r="E819" s="4"/>
      <c r="F819" s="331" t="s">
        <v>1860</v>
      </c>
      <c r="G819" s="333"/>
      <c r="H819" s="333"/>
      <c r="I819" s="333"/>
    </row>
    <row r="820" spans="1:9" s="327" customFormat="1" x14ac:dyDescent="0.2">
      <c r="A820" s="331" t="s">
        <v>2119</v>
      </c>
      <c r="B820" s="360" t="s">
        <v>1918</v>
      </c>
      <c r="C820" s="331" t="s">
        <v>1870</v>
      </c>
      <c r="D820" s="332" t="s">
        <v>1871</v>
      </c>
      <c r="E820" s="4"/>
      <c r="F820" s="331" t="s">
        <v>1869</v>
      </c>
      <c r="G820" s="333"/>
      <c r="H820" s="333"/>
      <c r="I820" s="333"/>
    </row>
    <row r="821" spans="1:9" s="327" customFormat="1" x14ac:dyDescent="0.2">
      <c r="A821" s="331" t="s">
        <v>2119</v>
      </c>
      <c r="B821" s="360" t="s">
        <v>1919</v>
      </c>
      <c r="C821" s="331" t="s">
        <v>1920</v>
      </c>
      <c r="D821" s="332" t="s">
        <v>1921</v>
      </c>
      <c r="E821" s="4"/>
      <c r="F821" s="331" t="s">
        <v>1863</v>
      </c>
      <c r="G821" s="333"/>
      <c r="H821" s="333"/>
      <c r="I821" s="333"/>
    </row>
    <row r="822" spans="1:9" s="327" customFormat="1" x14ac:dyDescent="0.2">
      <c r="A822" s="331" t="s">
        <v>2119</v>
      </c>
      <c r="B822" s="360" t="s">
        <v>1922</v>
      </c>
      <c r="C822" s="331" t="s">
        <v>1923</v>
      </c>
      <c r="D822" s="332" t="s">
        <v>1924</v>
      </c>
      <c r="E822" s="4"/>
      <c r="F822" s="331" t="s">
        <v>1863</v>
      </c>
      <c r="G822" s="333"/>
      <c r="H822" s="333"/>
      <c r="I822" s="333"/>
    </row>
    <row r="823" spans="1:9" s="327" customFormat="1" x14ac:dyDescent="0.2">
      <c r="A823" s="331" t="s">
        <v>2119</v>
      </c>
      <c r="B823" s="360" t="s">
        <v>1925</v>
      </c>
      <c r="C823" s="331" t="s">
        <v>1926</v>
      </c>
      <c r="D823" s="332" t="s">
        <v>1927</v>
      </c>
      <c r="E823" s="4"/>
      <c r="F823" s="331" t="s">
        <v>1863</v>
      </c>
      <c r="G823" s="333"/>
      <c r="H823" s="333"/>
      <c r="I823" s="333"/>
    </row>
    <row r="824" spans="1:9" s="327" customFormat="1" x14ac:dyDescent="0.2">
      <c r="A824" s="331" t="s">
        <v>2119</v>
      </c>
      <c r="B824" s="360" t="s">
        <v>1928</v>
      </c>
      <c r="C824" s="331" t="s">
        <v>1929</v>
      </c>
      <c r="D824" s="332" t="s">
        <v>1930</v>
      </c>
      <c r="E824" s="4"/>
      <c r="F824" s="331" t="s">
        <v>1863</v>
      </c>
      <c r="G824" s="333"/>
      <c r="H824" s="333"/>
      <c r="I824" s="333"/>
    </row>
    <row r="825" spans="1:9" s="327" customFormat="1" x14ac:dyDescent="0.2">
      <c r="A825" s="331" t="s">
        <v>2119</v>
      </c>
      <c r="B825" s="360" t="s">
        <v>1931</v>
      </c>
      <c r="C825" s="331" t="s">
        <v>1932</v>
      </c>
      <c r="D825" s="332" t="s">
        <v>1933</v>
      </c>
      <c r="E825" s="4"/>
      <c r="F825" s="331" t="s">
        <v>1863</v>
      </c>
      <c r="G825" s="333"/>
      <c r="H825" s="333"/>
      <c r="I825" s="333"/>
    </row>
    <row r="826" spans="1:9" s="327" customFormat="1" x14ac:dyDescent="0.2">
      <c r="A826" s="331" t="s">
        <v>2119</v>
      </c>
      <c r="B826" s="360" t="s">
        <v>1934</v>
      </c>
      <c r="C826" s="331" t="s">
        <v>1935</v>
      </c>
      <c r="D826" s="332" t="s">
        <v>1936</v>
      </c>
      <c r="E826" s="4"/>
      <c r="F826" s="331" t="s">
        <v>1863</v>
      </c>
      <c r="G826" s="333"/>
      <c r="H826" s="333"/>
      <c r="I826" s="333"/>
    </row>
    <row r="827" spans="1:9" s="327" customFormat="1" x14ac:dyDescent="0.2">
      <c r="A827" s="331" t="s">
        <v>2119</v>
      </c>
      <c r="B827" s="360" t="s">
        <v>1937</v>
      </c>
      <c r="C827" s="331" t="s">
        <v>1938</v>
      </c>
      <c r="D827" s="332" t="s">
        <v>1939</v>
      </c>
      <c r="E827" s="4"/>
      <c r="F827" s="331" t="s">
        <v>1866</v>
      </c>
      <c r="G827" s="333"/>
      <c r="H827" s="333"/>
      <c r="I827" s="333"/>
    </row>
    <row r="828" spans="1:9" s="327" customFormat="1" x14ac:dyDescent="0.2">
      <c r="A828" s="331" t="s">
        <v>2119</v>
      </c>
      <c r="B828" s="360" t="s">
        <v>1940</v>
      </c>
      <c r="C828" s="331" t="s">
        <v>1941</v>
      </c>
      <c r="D828" s="332" t="s">
        <v>1942</v>
      </c>
      <c r="E828" s="4"/>
      <c r="F828" s="331" t="s">
        <v>1866</v>
      </c>
      <c r="G828" s="333"/>
      <c r="H828" s="333"/>
      <c r="I828" s="333"/>
    </row>
    <row r="829" spans="1:9" s="327" customFormat="1" x14ac:dyDescent="0.2">
      <c r="A829" s="331" t="s">
        <v>2119</v>
      </c>
      <c r="B829" s="360" t="s">
        <v>1943</v>
      </c>
      <c r="C829" s="331" t="s">
        <v>1944</v>
      </c>
      <c r="D829" s="332" t="s">
        <v>1945</v>
      </c>
      <c r="E829" s="4"/>
      <c r="F829" s="331" t="s">
        <v>1866</v>
      </c>
      <c r="G829" s="333"/>
      <c r="H829" s="333"/>
      <c r="I829" s="333"/>
    </row>
    <row r="830" spans="1:9" x14ac:dyDescent="0.2">
      <c r="E830" s="4"/>
    </row>
    <row r="831" spans="1:9" x14ac:dyDescent="0.2">
      <c r="A831" s="327" t="s">
        <v>33</v>
      </c>
      <c r="B831" s="353">
        <v>1</v>
      </c>
      <c r="C831" s="326" t="s">
        <v>1946</v>
      </c>
      <c r="D831" s="326" t="s">
        <v>1947</v>
      </c>
      <c r="E831" s="4"/>
    </row>
    <row r="832" spans="1:9" x14ac:dyDescent="0.2">
      <c r="A832" s="327" t="s">
        <v>33</v>
      </c>
      <c r="B832" s="353">
        <v>2</v>
      </c>
      <c r="C832" s="326" t="s">
        <v>1948</v>
      </c>
      <c r="D832" s="326" t="s">
        <v>1949</v>
      </c>
      <c r="E832" s="4"/>
    </row>
    <row r="833" spans="1:5" x14ac:dyDescent="0.2">
      <c r="A833" s="327" t="s">
        <v>33</v>
      </c>
      <c r="B833" s="353">
        <v>3</v>
      </c>
      <c r="C833" s="326" t="s">
        <v>1950</v>
      </c>
      <c r="D833" s="326" t="s">
        <v>1951</v>
      </c>
      <c r="E833" s="4"/>
    </row>
    <row r="834" spans="1:5" x14ac:dyDescent="0.2">
      <c r="A834" s="327" t="s">
        <v>33</v>
      </c>
      <c r="B834" s="353">
        <v>4</v>
      </c>
      <c r="C834" s="326" t="s">
        <v>1952</v>
      </c>
      <c r="D834" s="326" t="s">
        <v>1953</v>
      </c>
      <c r="E834" s="4"/>
    </row>
    <row r="835" spans="1:5" x14ac:dyDescent="0.2">
      <c r="A835" s="327" t="s">
        <v>33</v>
      </c>
      <c r="B835" s="353">
        <v>5</v>
      </c>
      <c r="C835" s="326" t="s">
        <v>1954</v>
      </c>
      <c r="D835" s="326" t="s">
        <v>1955</v>
      </c>
      <c r="E835" s="4"/>
    </row>
    <row r="836" spans="1:5" x14ac:dyDescent="0.2">
      <c r="A836" s="327" t="s">
        <v>33</v>
      </c>
      <c r="B836" s="353">
        <v>6</v>
      </c>
      <c r="C836" s="326" t="s">
        <v>1956</v>
      </c>
      <c r="D836" s="326" t="s">
        <v>1957</v>
      </c>
      <c r="E836" s="4"/>
    </row>
    <row r="837" spans="1:5" x14ac:dyDescent="0.2">
      <c r="A837" s="327" t="s">
        <v>33</v>
      </c>
      <c r="B837" s="353">
        <v>7</v>
      </c>
      <c r="C837" s="326" t="s">
        <v>1958</v>
      </c>
      <c r="D837" s="326" t="s">
        <v>1959</v>
      </c>
      <c r="E837" s="4"/>
    </row>
    <row r="838" spans="1:5" x14ac:dyDescent="0.2">
      <c r="A838" s="327" t="s">
        <v>33</v>
      </c>
      <c r="B838" s="353">
        <v>8</v>
      </c>
      <c r="C838" s="326" t="s">
        <v>1960</v>
      </c>
      <c r="D838" s="326" t="s">
        <v>1961</v>
      </c>
      <c r="E838" s="4"/>
    </row>
    <row r="839" spans="1:5" x14ac:dyDescent="0.2">
      <c r="A839" s="327" t="s">
        <v>33</v>
      </c>
      <c r="B839" s="353">
        <v>9</v>
      </c>
      <c r="C839" s="326" t="s">
        <v>1962</v>
      </c>
      <c r="D839" s="326" t="s">
        <v>1963</v>
      </c>
      <c r="E839" s="4"/>
    </row>
    <row r="840" spans="1:5" x14ac:dyDescent="0.2">
      <c r="A840" s="327" t="s">
        <v>33</v>
      </c>
      <c r="B840" s="353">
        <v>10</v>
      </c>
      <c r="C840" s="326" t="s">
        <v>1964</v>
      </c>
      <c r="D840" s="326" t="s">
        <v>1965</v>
      </c>
      <c r="E840" s="4"/>
    </row>
    <row r="841" spans="1:5" x14ac:dyDescent="0.2">
      <c r="A841" s="327" t="s">
        <v>33</v>
      </c>
      <c r="B841" s="353">
        <v>11</v>
      </c>
      <c r="C841" s="326" t="s">
        <v>1966</v>
      </c>
      <c r="D841" s="326" t="s">
        <v>1967</v>
      </c>
      <c r="E841" s="4"/>
    </row>
    <row r="842" spans="1:5" x14ac:dyDescent="0.2">
      <c r="A842" s="327" t="s">
        <v>33</v>
      </c>
      <c r="B842" s="353">
        <v>12</v>
      </c>
      <c r="C842" s="326" t="s">
        <v>1968</v>
      </c>
      <c r="D842" s="326" t="s">
        <v>1969</v>
      </c>
      <c r="E842" s="4"/>
    </row>
    <row r="843" spans="1:5" x14ac:dyDescent="0.2">
      <c r="A843" s="327" t="s">
        <v>33</v>
      </c>
      <c r="B843" s="353">
        <v>13</v>
      </c>
      <c r="C843" s="326" t="s">
        <v>1970</v>
      </c>
      <c r="D843" s="326" t="s">
        <v>1971</v>
      </c>
      <c r="E843" s="4"/>
    </row>
    <row r="844" spans="1:5" x14ac:dyDescent="0.2">
      <c r="A844" s="327" t="s">
        <v>33</v>
      </c>
      <c r="B844" s="353">
        <v>14</v>
      </c>
      <c r="C844" s="326" t="s">
        <v>1972</v>
      </c>
      <c r="D844" s="326" t="s">
        <v>1973</v>
      </c>
      <c r="E844" s="4"/>
    </row>
    <row r="845" spans="1:5" x14ac:dyDescent="0.2">
      <c r="A845" s="327" t="s">
        <v>33</v>
      </c>
      <c r="B845" s="353">
        <v>15</v>
      </c>
      <c r="C845" s="326" t="s">
        <v>1974</v>
      </c>
      <c r="D845" s="326" t="s">
        <v>1975</v>
      </c>
      <c r="E845" s="4"/>
    </row>
    <row r="846" spans="1:5" x14ac:dyDescent="0.2">
      <c r="A846" s="327" t="s">
        <v>33</v>
      </c>
      <c r="B846" s="353">
        <v>16</v>
      </c>
      <c r="C846" s="326" t="s">
        <v>1976</v>
      </c>
      <c r="D846" s="326" t="s">
        <v>1977</v>
      </c>
      <c r="E846" s="4"/>
    </row>
    <row r="847" spans="1:5" x14ac:dyDescent="0.2">
      <c r="A847" s="327" t="s">
        <v>33</v>
      </c>
      <c r="B847" s="353">
        <v>17</v>
      </c>
      <c r="C847" s="326" t="s">
        <v>1978</v>
      </c>
      <c r="D847" s="326" t="s">
        <v>1979</v>
      </c>
      <c r="E847" s="4"/>
    </row>
    <row r="848" spans="1:5" x14ac:dyDescent="0.2">
      <c r="A848" s="327" t="s">
        <v>33</v>
      </c>
      <c r="B848" s="353">
        <v>18</v>
      </c>
      <c r="C848" s="326" t="s">
        <v>1980</v>
      </c>
      <c r="D848" s="326" t="s">
        <v>1981</v>
      </c>
      <c r="E848" s="4"/>
    </row>
    <row r="849" spans="1:5" x14ac:dyDescent="0.2">
      <c r="A849" s="327" t="s">
        <v>33</v>
      </c>
      <c r="B849" s="353">
        <v>19</v>
      </c>
      <c r="C849" s="326" t="s">
        <v>1982</v>
      </c>
      <c r="D849" s="326" t="s">
        <v>1983</v>
      </c>
      <c r="E849" s="4"/>
    </row>
    <row r="850" spans="1:5" x14ac:dyDescent="0.2">
      <c r="A850" s="327" t="s">
        <v>33</v>
      </c>
      <c r="B850" s="353">
        <v>20</v>
      </c>
      <c r="C850" s="326" t="s">
        <v>1984</v>
      </c>
      <c r="D850" s="326" t="s">
        <v>1985</v>
      </c>
      <c r="E850" s="4"/>
    </row>
    <row r="851" spans="1:5" x14ac:dyDescent="0.2">
      <c r="A851" s="327" t="s">
        <v>33</v>
      </c>
      <c r="B851" s="353">
        <v>21</v>
      </c>
      <c r="C851" s="326" t="s">
        <v>1986</v>
      </c>
      <c r="D851" s="326" t="s">
        <v>1987</v>
      </c>
      <c r="E851" s="4"/>
    </row>
    <row r="852" spans="1:5" x14ac:dyDescent="0.2">
      <c r="A852" s="327" t="s">
        <v>33</v>
      </c>
      <c r="B852" s="353">
        <v>22</v>
      </c>
      <c r="C852" s="326" t="s">
        <v>1988</v>
      </c>
      <c r="D852" s="326" t="s">
        <v>1989</v>
      </c>
      <c r="E852" s="4"/>
    </row>
    <row r="853" spans="1:5" x14ac:dyDescent="0.2">
      <c r="A853" s="327" t="s">
        <v>33</v>
      </c>
      <c r="B853" s="353">
        <v>23</v>
      </c>
      <c r="C853" s="326" t="s">
        <v>1990</v>
      </c>
      <c r="D853" s="326" t="s">
        <v>1991</v>
      </c>
      <c r="E853" s="4"/>
    </row>
    <row r="854" spans="1:5" x14ac:dyDescent="0.2">
      <c r="A854" s="327" t="s">
        <v>33</v>
      </c>
      <c r="B854" s="353">
        <v>24</v>
      </c>
      <c r="C854" s="326" t="s">
        <v>1992</v>
      </c>
      <c r="D854" s="326" t="s">
        <v>1993</v>
      </c>
      <c r="E854" s="4"/>
    </row>
    <row r="855" spans="1:5" x14ac:dyDescent="0.2">
      <c r="A855" s="327" t="s">
        <v>33</v>
      </c>
      <c r="B855" s="353">
        <v>25</v>
      </c>
      <c r="C855" s="326" t="s">
        <v>1994</v>
      </c>
      <c r="D855" s="326" t="s">
        <v>1995</v>
      </c>
      <c r="E855" s="4"/>
    </row>
    <row r="856" spans="1:5" x14ac:dyDescent="0.2">
      <c r="A856" s="327" t="s">
        <v>33</v>
      </c>
      <c r="B856" s="353">
        <v>26</v>
      </c>
      <c r="C856" s="326" t="s">
        <v>1996</v>
      </c>
      <c r="D856" s="326" t="s">
        <v>1997</v>
      </c>
      <c r="E856" s="4"/>
    </row>
    <row r="857" spans="1:5" x14ac:dyDescent="0.2">
      <c r="A857" s="327" t="s">
        <v>33</v>
      </c>
      <c r="B857" s="353">
        <v>27</v>
      </c>
      <c r="C857" s="326" t="s">
        <v>1998</v>
      </c>
      <c r="D857" s="326" t="s">
        <v>1999</v>
      </c>
      <c r="E857" s="4"/>
    </row>
    <row r="858" spans="1:5" x14ac:dyDescent="0.2">
      <c r="A858" s="327" t="s">
        <v>33</v>
      </c>
      <c r="B858" s="353">
        <v>28</v>
      </c>
      <c r="C858" s="326" t="s">
        <v>2000</v>
      </c>
      <c r="D858" s="326" t="s">
        <v>2001</v>
      </c>
      <c r="E858" s="4"/>
    </row>
    <row r="859" spans="1:5" x14ac:dyDescent="0.2">
      <c r="A859" s="327" t="s">
        <v>33</v>
      </c>
      <c r="B859" s="353">
        <v>29</v>
      </c>
      <c r="C859" s="326" t="s">
        <v>2002</v>
      </c>
      <c r="D859" s="326" t="s">
        <v>2003</v>
      </c>
      <c r="E859" s="4"/>
    </row>
    <row r="860" spans="1:5" x14ac:dyDescent="0.2">
      <c r="A860" s="327" t="s">
        <v>33</v>
      </c>
      <c r="B860" s="353">
        <v>30</v>
      </c>
      <c r="C860" s="326" t="s">
        <v>2004</v>
      </c>
      <c r="D860" s="326" t="s">
        <v>2005</v>
      </c>
      <c r="E860" s="4"/>
    </row>
    <row r="861" spans="1:5" x14ac:dyDescent="0.2">
      <c r="A861" s="327" t="s">
        <v>33</v>
      </c>
      <c r="B861" s="353">
        <v>31</v>
      </c>
      <c r="C861" s="326" t="s">
        <v>2006</v>
      </c>
      <c r="D861" s="326" t="s">
        <v>2007</v>
      </c>
      <c r="E861" s="4"/>
    </row>
    <row r="862" spans="1:5" x14ac:dyDescent="0.2">
      <c r="A862" s="327" t="s">
        <v>33</v>
      </c>
      <c r="B862" s="353">
        <v>32</v>
      </c>
      <c r="C862" s="326" t="s">
        <v>2008</v>
      </c>
      <c r="D862" s="326" t="s">
        <v>2009</v>
      </c>
      <c r="E862" s="4"/>
    </row>
    <row r="863" spans="1:5" x14ac:dyDescent="0.2">
      <c r="A863" s="327" t="s">
        <v>33</v>
      </c>
      <c r="B863" s="353">
        <v>33</v>
      </c>
      <c r="C863" s="326" t="s">
        <v>2010</v>
      </c>
      <c r="D863" s="326" t="s">
        <v>2011</v>
      </c>
      <c r="E863" s="4"/>
    </row>
    <row r="864" spans="1:5" x14ac:dyDescent="0.2">
      <c r="A864" s="327" t="s">
        <v>33</v>
      </c>
      <c r="B864" s="353">
        <v>34</v>
      </c>
      <c r="C864" s="326" t="s">
        <v>2012</v>
      </c>
      <c r="D864" s="326" t="s">
        <v>2013</v>
      </c>
      <c r="E864" s="4"/>
    </row>
    <row r="865" spans="1:5" x14ac:dyDescent="0.2">
      <c r="A865" s="327" t="s">
        <v>33</v>
      </c>
      <c r="B865" s="353">
        <v>35</v>
      </c>
      <c r="C865" s="326" t="s">
        <v>2014</v>
      </c>
      <c r="D865" s="326" t="s">
        <v>2015</v>
      </c>
      <c r="E865" s="4"/>
    </row>
    <row r="866" spans="1:5" x14ac:dyDescent="0.2">
      <c r="A866" s="327" t="s">
        <v>33</v>
      </c>
      <c r="B866" s="353">
        <v>36</v>
      </c>
      <c r="C866" s="326" t="s">
        <v>2016</v>
      </c>
      <c r="D866" s="326" t="s">
        <v>2017</v>
      </c>
      <c r="E866" s="4"/>
    </row>
    <row r="867" spans="1:5" x14ac:dyDescent="0.2">
      <c r="A867" s="327" t="s">
        <v>33</v>
      </c>
      <c r="B867" s="353">
        <v>37</v>
      </c>
      <c r="C867" s="326" t="s">
        <v>2018</v>
      </c>
      <c r="D867" s="326" t="s">
        <v>2019</v>
      </c>
      <c r="E867" s="4"/>
    </row>
    <row r="868" spans="1:5" x14ac:dyDescent="0.2">
      <c r="A868" s="327" t="s">
        <v>33</v>
      </c>
      <c r="B868" s="353">
        <v>38</v>
      </c>
      <c r="C868" s="326" t="s">
        <v>2020</v>
      </c>
      <c r="D868" s="326" t="s">
        <v>2021</v>
      </c>
      <c r="E868" s="4"/>
    </row>
    <row r="869" spans="1:5" x14ac:dyDescent="0.2">
      <c r="A869" s="327" t="s">
        <v>33</v>
      </c>
      <c r="B869" s="353">
        <v>39</v>
      </c>
      <c r="C869" s="326" t="s">
        <v>2022</v>
      </c>
      <c r="D869" s="326" t="s">
        <v>2023</v>
      </c>
      <c r="E869" s="4"/>
    </row>
    <row r="870" spans="1:5" x14ac:dyDescent="0.2">
      <c r="A870" s="327" t="s">
        <v>33</v>
      </c>
      <c r="B870" s="353">
        <v>40</v>
      </c>
      <c r="C870" s="326" t="s">
        <v>2024</v>
      </c>
      <c r="D870" s="326" t="s">
        <v>2025</v>
      </c>
      <c r="E870" s="4"/>
    </row>
    <row r="871" spans="1:5" x14ac:dyDescent="0.2">
      <c r="A871" s="327" t="s">
        <v>33</v>
      </c>
      <c r="B871" s="353">
        <v>41</v>
      </c>
      <c r="C871" s="326" t="s">
        <v>2026</v>
      </c>
      <c r="D871" s="326" t="s">
        <v>2027</v>
      </c>
      <c r="E871" s="4"/>
    </row>
    <row r="872" spans="1:5" x14ac:dyDescent="0.2">
      <c r="A872" s="327" t="s">
        <v>33</v>
      </c>
      <c r="B872" s="353">
        <v>42</v>
      </c>
      <c r="C872" s="326" t="s">
        <v>2028</v>
      </c>
      <c r="D872" s="326" t="s">
        <v>2029</v>
      </c>
      <c r="E872" s="4"/>
    </row>
    <row r="873" spans="1:5" x14ac:dyDescent="0.2">
      <c r="A873" s="327" t="s">
        <v>33</v>
      </c>
      <c r="B873" s="353">
        <v>43</v>
      </c>
      <c r="C873" s="326" t="s">
        <v>2030</v>
      </c>
      <c r="D873" s="326" t="s">
        <v>2031</v>
      </c>
      <c r="E873" s="4"/>
    </row>
    <row r="874" spans="1:5" x14ac:dyDescent="0.2">
      <c r="A874" s="327" t="s">
        <v>33</v>
      </c>
      <c r="B874" s="353">
        <v>44</v>
      </c>
      <c r="C874" s="326" t="s">
        <v>2032</v>
      </c>
      <c r="D874" s="326" t="s">
        <v>2033</v>
      </c>
      <c r="E874" s="4"/>
    </row>
    <row r="875" spans="1:5" x14ac:dyDescent="0.2">
      <c r="A875" s="327" t="s">
        <v>33</v>
      </c>
      <c r="B875" s="353">
        <v>45</v>
      </c>
      <c r="C875" s="326" t="s">
        <v>2034</v>
      </c>
      <c r="D875" s="326" t="s">
        <v>2035</v>
      </c>
      <c r="E875" s="4"/>
    </row>
    <row r="876" spans="1:5" x14ac:dyDescent="0.2">
      <c r="A876" s="327" t="s">
        <v>33</v>
      </c>
      <c r="B876" s="353">
        <v>46</v>
      </c>
      <c r="C876" s="326" t="s">
        <v>2036</v>
      </c>
      <c r="D876" s="326" t="s">
        <v>2037</v>
      </c>
      <c r="E876" s="4"/>
    </row>
    <row r="877" spans="1:5" x14ac:dyDescent="0.2">
      <c r="A877" s="327" t="s">
        <v>33</v>
      </c>
      <c r="B877" s="353">
        <v>47</v>
      </c>
      <c r="C877" s="326" t="s">
        <v>2038</v>
      </c>
      <c r="D877" s="326" t="s">
        <v>2039</v>
      </c>
      <c r="E877" s="4"/>
    </row>
    <row r="878" spans="1:5" x14ac:dyDescent="0.2">
      <c r="A878" s="327" t="s">
        <v>33</v>
      </c>
      <c r="B878" s="353">
        <v>48</v>
      </c>
      <c r="C878" s="326" t="s">
        <v>2040</v>
      </c>
      <c r="D878" s="326" t="s">
        <v>2041</v>
      </c>
      <c r="E878" s="4"/>
    </row>
    <row r="879" spans="1:5" x14ac:dyDescent="0.2">
      <c r="A879" s="327" t="s">
        <v>33</v>
      </c>
      <c r="B879" s="353">
        <v>49</v>
      </c>
      <c r="C879" s="326" t="s">
        <v>2042</v>
      </c>
      <c r="D879" s="326" t="s">
        <v>2043</v>
      </c>
      <c r="E879" s="4"/>
    </row>
    <row r="880" spans="1:5" x14ac:dyDescent="0.2">
      <c r="A880" s="327" t="s">
        <v>33</v>
      </c>
      <c r="B880" s="353">
        <v>50</v>
      </c>
      <c r="C880" s="326" t="s">
        <v>2044</v>
      </c>
      <c r="D880" s="326" t="s">
        <v>2045</v>
      </c>
      <c r="E880" s="4"/>
    </row>
    <row r="881" spans="1:5" x14ac:dyDescent="0.2">
      <c r="A881" s="327" t="s">
        <v>33</v>
      </c>
      <c r="B881" s="353">
        <v>51</v>
      </c>
      <c r="C881" s="326" t="s">
        <v>2046</v>
      </c>
      <c r="D881" s="326" t="s">
        <v>2047</v>
      </c>
      <c r="E881" s="4"/>
    </row>
    <row r="882" spans="1:5" x14ac:dyDescent="0.2">
      <c r="A882" s="327" t="s">
        <v>33</v>
      </c>
      <c r="B882" s="353">
        <v>52</v>
      </c>
      <c r="C882" s="326" t="s">
        <v>2048</v>
      </c>
      <c r="D882" s="326" t="s">
        <v>2049</v>
      </c>
      <c r="E882" s="4"/>
    </row>
    <row r="883" spans="1:5" x14ac:dyDescent="0.2">
      <c r="A883" s="327" t="s">
        <v>33</v>
      </c>
      <c r="B883" s="353">
        <v>53</v>
      </c>
      <c r="C883" s="326" t="s">
        <v>2050</v>
      </c>
      <c r="D883" s="326" t="s">
        <v>2051</v>
      </c>
      <c r="E883" s="4"/>
    </row>
    <row r="884" spans="1:5" x14ac:dyDescent="0.2">
      <c r="A884" s="327" t="s">
        <v>33</v>
      </c>
      <c r="B884" s="353">
        <v>54</v>
      </c>
      <c r="C884" s="326" t="s">
        <v>2052</v>
      </c>
      <c r="D884" s="326" t="s">
        <v>2053</v>
      </c>
      <c r="E884" s="4"/>
    </row>
    <row r="885" spans="1:5" x14ac:dyDescent="0.2">
      <c r="A885" s="327" t="s">
        <v>33</v>
      </c>
      <c r="B885" s="353">
        <v>55</v>
      </c>
      <c r="C885" s="326" t="s">
        <v>2054</v>
      </c>
      <c r="D885" s="326" t="s">
        <v>2055</v>
      </c>
      <c r="E885" s="4"/>
    </row>
    <row r="886" spans="1:5" x14ac:dyDescent="0.2">
      <c r="A886" s="327" t="s">
        <v>33</v>
      </c>
      <c r="B886" s="353">
        <v>56</v>
      </c>
      <c r="C886" s="326" t="s">
        <v>2056</v>
      </c>
      <c r="D886" s="326" t="s">
        <v>2057</v>
      </c>
      <c r="E886" s="4"/>
    </row>
    <row r="887" spans="1:5" x14ac:dyDescent="0.2">
      <c r="A887" s="327" t="s">
        <v>33</v>
      </c>
      <c r="B887" s="353">
        <v>57</v>
      </c>
      <c r="C887" s="326" t="s">
        <v>2058</v>
      </c>
      <c r="D887" s="326" t="s">
        <v>2059</v>
      </c>
      <c r="E887" s="4"/>
    </row>
    <row r="888" spans="1:5" x14ac:dyDescent="0.2">
      <c r="A888" s="327" t="s">
        <v>33</v>
      </c>
      <c r="B888" s="353">
        <v>58</v>
      </c>
      <c r="C888" s="326" t="s">
        <v>2060</v>
      </c>
      <c r="D888" s="326" t="s">
        <v>2061</v>
      </c>
      <c r="E888" s="4"/>
    </row>
    <row r="889" spans="1:5" x14ac:dyDescent="0.2">
      <c r="A889" s="327" t="s">
        <v>33</v>
      </c>
      <c r="B889" s="353">
        <v>59</v>
      </c>
      <c r="C889" s="326" t="s">
        <v>2062</v>
      </c>
      <c r="D889" s="326" t="s">
        <v>2063</v>
      </c>
      <c r="E889" s="4"/>
    </row>
    <row r="890" spans="1:5" x14ac:dyDescent="0.2">
      <c r="A890" s="327" t="s">
        <v>33</v>
      </c>
      <c r="B890" s="353">
        <v>60</v>
      </c>
      <c r="C890" s="326" t="s">
        <v>2064</v>
      </c>
      <c r="D890" s="326" t="s">
        <v>2065</v>
      </c>
      <c r="E890" s="4"/>
    </row>
    <row r="891" spans="1:5" x14ac:dyDescent="0.2">
      <c r="A891" s="327" t="s">
        <v>33</v>
      </c>
      <c r="B891" s="353">
        <v>61</v>
      </c>
      <c r="C891" s="326" t="s">
        <v>2066</v>
      </c>
      <c r="D891" s="326" t="s">
        <v>2067</v>
      </c>
      <c r="E891" s="4"/>
    </row>
    <row r="892" spans="1:5" x14ac:dyDescent="0.2">
      <c r="A892" s="327" t="s">
        <v>33</v>
      </c>
      <c r="B892" s="353">
        <v>62</v>
      </c>
      <c r="C892" s="327" t="s">
        <v>2068</v>
      </c>
      <c r="D892" s="326" t="s">
        <v>2069</v>
      </c>
      <c r="E892" s="4"/>
    </row>
    <row r="893" spans="1:5" x14ac:dyDescent="0.2">
      <c r="A893" s="327" t="s">
        <v>33</v>
      </c>
      <c r="B893" s="353">
        <v>63</v>
      </c>
      <c r="C893" s="327" t="s">
        <v>2070</v>
      </c>
      <c r="D893" s="326" t="s">
        <v>2071</v>
      </c>
      <c r="E893" s="4"/>
    </row>
    <row r="894" spans="1:5" x14ac:dyDescent="0.2">
      <c r="A894" s="327" t="s">
        <v>33</v>
      </c>
      <c r="B894" s="353">
        <v>64</v>
      </c>
      <c r="C894" s="327" t="s">
        <v>2072</v>
      </c>
      <c r="D894" s="326" t="s">
        <v>2073</v>
      </c>
      <c r="E894" s="4"/>
    </row>
    <row r="895" spans="1:5" x14ac:dyDescent="0.2">
      <c r="A895" s="327" t="s">
        <v>33</v>
      </c>
      <c r="B895" s="353">
        <v>65</v>
      </c>
      <c r="C895" s="327" t="s">
        <v>2074</v>
      </c>
      <c r="D895" s="327" t="s">
        <v>2075</v>
      </c>
      <c r="E895" s="4"/>
    </row>
    <row r="896" spans="1:5" x14ac:dyDescent="0.2">
      <c r="A896" s="327" t="s">
        <v>33</v>
      </c>
      <c r="B896" s="353">
        <v>66</v>
      </c>
      <c r="C896" s="327" t="s">
        <v>2076</v>
      </c>
      <c r="D896" s="327" t="s">
        <v>2077</v>
      </c>
      <c r="E896" s="4"/>
    </row>
    <row r="897" spans="1:5" x14ac:dyDescent="0.2">
      <c r="A897" s="327" t="s">
        <v>33</v>
      </c>
      <c r="B897" s="353">
        <v>67</v>
      </c>
      <c r="C897" s="327" t="s">
        <v>2078</v>
      </c>
      <c r="D897" s="327" t="s">
        <v>2079</v>
      </c>
      <c r="E897" s="4"/>
    </row>
    <row r="898" spans="1:5" x14ac:dyDescent="0.2">
      <c r="A898" s="327" t="s">
        <v>33</v>
      </c>
      <c r="B898" s="353">
        <v>68</v>
      </c>
      <c r="C898" s="327" t="s">
        <v>2080</v>
      </c>
      <c r="D898" s="327" t="s">
        <v>2081</v>
      </c>
      <c r="E898" s="4"/>
    </row>
  </sheetData>
  <sheetProtection algorithmName="SHA-512" hashValue="g5aCQ+Xczpz1SDUKr0o/xC4kNT+5dLqpt3skzK6Dlf4+xAx8wbzY5KXY3F0+zN/17l43pQgELEYzdj1zReRyDA==" saltValue="6r2ShXikuw8t1/4h+GWcbQ==" spinCount="100000" sheet="1" formatCells="0" formatColumns="0" formatRows="0" insertColumns="0" insertRows="0" deleteColumns="0" deleteRows="0"/>
  <phoneticPr fontId="4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9" sqref="B29"/>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1353</v>
      </c>
      <c r="B1" s="6" t="s">
        <v>1354</v>
      </c>
      <c r="C1" s="6" t="s">
        <v>1355</v>
      </c>
      <c r="D1" s="6" t="s">
        <v>1356</v>
      </c>
    </row>
    <row r="2" spans="1:4" x14ac:dyDescent="0.2">
      <c r="A2" s="3" t="s">
        <v>1357</v>
      </c>
      <c r="B2" s="4" t="s">
        <v>1358</v>
      </c>
      <c r="C2" t="s">
        <v>37</v>
      </c>
      <c r="D2" s="3" t="s">
        <v>1359</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91" sqref="C91"/>
    </sheetView>
  </sheetViews>
  <sheetFormatPr baseColWidth="10" defaultColWidth="10.83203125" defaultRowHeight="15" x14ac:dyDescent="0.2"/>
  <cols>
    <col min="1" max="2" width="10.83203125" style="125"/>
    <col min="3" max="3" width="15.1640625" style="139" customWidth="1"/>
    <col min="4" max="4" width="10.83203125" style="140"/>
    <col min="5" max="5" width="28.83203125" style="141" customWidth="1"/>
    <col min="6" max="6" width="32" style="141" customWidth="1"/>
    <col min="7" max="16384" width="10.83203125" style="125"/>
  </cols>
  <sheetData>
    <row r="2" spans="2:6" x14ac:dyDescent="0.2">
      <c r="C2" s="126"/>
      <c r="D2" s="127"/>
      <c r="E2" s="128"/>
      <c r="F2" s="128"/>
    </row>
    <row r="3" spans="2:6" ht="32" x14ac:dyDescent="0.2">
      <c r="B3" s="129"/>
      <c r="C3" s="130" t="s">
        <v>1360</v>
      </c>
      <c r="D3" s="131" t="s">
        <v>1361</v>
      </c>
      <c r="E3" s="132" t="s">
        <v>1362</v>
      </c>
      <c r="F3" s="132" t="s">
        <v>1363</v>
      </c>
    </row>
    <row r="4" spans="2:6" ht="16" x14ac:dyDescent="0.2">
      <c r="B4" s="129"/>
      <c r="C4" s="9"/>
      <c r="D4" s="133" t="s">
        <v>1364</v>
      </c>
      <c r="E4" s="134" t="s">
        <v>1365</v>
      </c>
      <c r="F4" s="253" t="s">
        <v>1366</v>
      </c>
    </row>
    <row r="5" spans="2:6" ht="16" x14ac:dyDescent="0.2">
      <c r="B5" s="129"/>
      <c r="C5" s="9" t="s">
        <v>2082</v>
      </c>
      <c r="D5" s="133" t="s">
        <v>1367</v>
      </c>
      <c r="E5" s="134" t="s">
        <v>1368</v>
      </c>
      <c r="F5" s="254" t="s">
        <v>1369</v>
      </c>
    </row>
    <row r="6" spans="2:6" ht="16" x14ac:dyDescent="0.2">
      <c r="B6" s="129"/>
      <c r="C6" s="9"/>
      <c r="D6" s="133" t="s">
        <v>1370</v>
      </c>
      <c r="E6" s="134" t="s">
        <v>1371</v>
      </c>
      <c r="F6" s="254" t="s">
        <v>1372</v>
      </c>
    </row>
    <row r="7" spans="2:6" ht="16" x14ac:dyDescent="0.2">
      <c r="B7" s="129"/>
      <c r="C7" s="9"/>
      <c r="D7" s="133" t="s">
        <v>1373</v>
      </c>
      <c r="E7" s="134" t="s">
        <v>1374</v>
      </c>
      <c r="F7" s="254" t="s">
        <v>1375</v>
      </c>
    </row>
    <row r="8" spans="2:6" ht="16" x14ac:dyDescent="0.2">
      <c r="B8" s="129"/>
      <c r="C8" s="9"/>
      <c r="D8" s="133" t="s">
        <v>1376</v>
      </c>
      <c r="E8" s="134" t="s">
        <v>1377</v>
      </c>
      <c r="F8" s="254" t="s">
        <v>1378</v>
      </c>
    </row>
    <row r="9" spans="2:6" ht="16" x14ac:dyDescent="0.2">
      <c r="B9" s="129"/>
      <c r="C9" s="9" t="s">
        <v>2082</v>
      </c>
      <c r="D9" s="133" t="s">
        <v>1379</v>
      </c>
      <c r="E9" s="134" t="s">
        <v>1380</v>
      </c>
      <c r="F9" s="254" t="s">
        <v>1381</v>
      </c>
    </row>
    <row r="10" spans="2:6" ht="16" x14ac:dyDescent="0.2">
      <c r="B10" s="129"/>
      <c r="C10" s="167"/>
      <c r="D10" s="133" t="s">
        <v>1382</v>
      </c>
      <c r="E10" s="135" t="s">
        <v>1383</v>
      </c>
      <c r="F10" s="255" t="s">
        <v>1384</v>
      </c>
    </row>
    <row r="11" spans="2:6" ht="16" x14ac:dyDescent="0.2">
      <c r="B11" s="129"/>
      <c r="C11" s="9"/>
      <c r="D11" s="133" t="s">
        <v>1385</v>
      </c>
      <c r="E11" s="134" t="s">
        <v>1386</v>
      </c>
      <c r="F11" s="254" t="s">
        <v>1387</v>
      </c>
    </row>
    <row r="12" spans="2:6" ht="16" x14ac:dyDescent="0.2">
      <c r="B12" s="129"/>
      <c r="C12" s="9" t="s">
        <v>2082</v>
      </c>
      <c r="D12" s="133" t="s">
        <v>1388</v>
      </c>
      <c r="E12" s="134" t="s">
        <v>1389</v>
      </c>
      <c r="F12" s="254" t="s">
        <v>1390</v>
      </c>
    </row>
    <row r="13" spans="2:6" ht="16" x14ac:dyDescent="0.2">
      <c r="B13" s="129"/>
      <c r="C13" s="9"/>
      <c r="D13" s="133" t="s">
        <v>1391</v>
      </c>
      <c r="E13" s="134" t="s">
        <v>1392</v>
      </c>
      <c r="F13" s="254" t="s">
        <v>1393</v>
      </c>
    </row>
    <row r="14" spans="2:6" ht="16" x14ac:dyDescent="0.2">
      <c r="B14" s="129"/>
      <c r="C14" s="9"/>
      <c r="D14" s="133" t="s">
        <v>1394</v>
      </c>
      <c r="E14" s="134" t="s">
        <v>1395</v>
      </c>
      <c r="F14" s="254" t="s">
        <v>1396</v>
      </c>
    </row>
    <row r="15" spans="2:6" ht="16" x14ac:dyDescent="0.2">
      <c r="B15" s="129"/>
      <c r="C15" s="9"/>
      <c r="D15" s="133" t="s">
        <v>1397</v>
      </c>
      <c r="E15" s="134" t="s">
        <v>1398</v>
      </c>
      <c r="F15" s="254" t="s">
        <v>1399</v>
      </c>
    </row>
    <row r="16" spans="2:6" ht="16" x14ac:dyDescent="0.2">
      <c r="B16" s="129"/>
      <c r="C16" s="9"/>
      <c r="D16" s="133" t="s">
        <v>1400</v>
      </c>
      <c r="E16" s="134" t="s">
        <v>1401</v>
      </c>
      <c r="F16" s="254" t="s">
        <v>1402</v>
      </c>
    </row>
    <row r="17" spans="2:6" ht="16" x14ac:dyDescent="0.2">
      <c r="B17" s="129"/>
      <c r="C17" s="167"/>
      <c r="D17" s="133" t="s">
        <v>1403</v>
      </c>
      <c r="E17" s="135" t="s">
        <v>1404</v>
      </c>
      <c r="F17" s="255" t="s">
        <v>1405</v>
      </c>
    </row>
    <row r="18" spans="2:6" ht="16" x14ac:dyDescent="0.2">
      <c r="B18" s="129"/>
      <c r="C18" s="9"/>
      <c r="D18" s="133" t="s">
        <v>1406</v>
      </c>
      <c r="E18" s="134" t="s">
        <v>1407</v>
      </c>
      <c r="F18" s="254" t="s">
        <v>1408</v>
      </c>
    </row>
    <row r="19" spans="2:6" ht="16" x14ac:dyDescent="0.2">
      <c r="B19" s="129"/>
      <c r="C19" s="9"/>
      <c r="D19" s="133" t="s">
        <v>1409</v>
      </c>
      <c r="E19" s="134" t="s">
        <v>1410</v>
      </c>
      <c r="F19" s="254" t="s">
        <v>1411</v>
      </c>
    </row>
    <row r="20" spans="2:6" ht="16" x14ac:dyDescent="0.2">
      <c r="B20" s="129"/>
      <c r="C20" s="9"/>
      <c r="D20" s="133" t="s">
        <v>1412</v>
      </c>
      <c r="E20" s="134" t="s">
        <v>1413</v>
      </c>
      <c r="F20" s="254" t="s">
        <v>1414</v>
      </c>
    </row>
    <row r="21" spans="2:6" ht="16" x14ac:dyDescent="0.2">
      <c r="B21" s="129"/>
      <c r="C21" s="9"/>
      <c r="D21" s="133" t="s">
        <v>1415</v>
      </c>
      <c r="E21" s="134" t="s">
        <v>1416</v>
      </c>
      <c r="F21" s="254" t="s">
        <v>1417</v>
      </c>
    </row>
    <row r="22" spans="2:6" ht="16" x14ac:dyDescent="0.2">
      <c r="B22" s="129"/>
      <c r="C22" s="9"/>
      <c r="D22" s="133" t="s">
        <v>1418</v>
      </c>
      <c r="E22" s="134" t="s">
        <v>1419</v>
      </c>
      <c r="F22" s="254" t="s">
        <v>1420</v>
      </c>
    </row>
    <row r="23" spans="2:6" ht="16" x14ac:dyDescent="0.2">
      <c r="B23" s="129"/>
      <c r="C23" s="9"/>
      <c r="D23" s="133" t="s">
        <v>1421</v>
      </c>
      <c r="E23" s="134" t="s">
        <v>1422</v>
      </c>
      <c r="F23" s="254" t="s">
        <v>1423</v>
      </c>
    </row>
    <row r="24" spans="2:6" ht="16" x14ac:dyDescent="0.2">
      <c r="B24" s="129"/>
      <c r="C24" s="9"/>
      <c r="D24" s="133" t="s">
        <v>1424</v>
      </c>
      <c r="E24" s="134" t="s">
        <v>1425</v>
      </c>
      <c r="F24" s="254" t="s">
        <v>1426</v>
      </c>
    </row>
    <row r="25" spans="2:6" ht="16" x14ac:dyDescent="0.2">
      <c r="B25" s="129"/>
      <c r="C25" s="167"/>
      <c r="D25" s="133" t="s">
        <v>1427</v>
      </c>
      <c r="E25" s="135" t="s">
        <v>1428</v>
      </c>
      <c r="F25" s="255" t="s">
        <v>1429</v>
      </c>
    </row>
    <row r="26" spans="2:6" ht="16" x14ac:dyDescent="0.2">
      <c r="B26" s="129"/>
      <c r="C26" s="9"/>
      <c r="D26" s="133" t="s">
        <v>1430</v>
      </c>
      <c r="E26" s="134" t="s">
        <v>1431</v>
      </c>
      <c r="F26" s="254" t="s">
        <v>1432</v>
      </c>
    </row>
    <row r="27" spans="2:6" ht="16" x14ac:dyDescent="0.2">
      <c r="B27" s="129"/>
      <c r="C27" s="9"/>
      <c r="D27" s="133" t="s">
        <v>1433</v>
      </c>
      <c r="E27" s="134" t="s">
        <v>1434</v>
      </c>
      <c r="F27" s="254" t="s">
        <v>1435</v>
      </c>
    </row>
    <row r="28" spans="2:6" ht="16" x14ac:dyDescent="0.2">
      <c r="B28" s="129"/>
      <c r="C28" s="9"/>
      <c r="D28" s="133" t="s">
        <v>1436</v>
      </c>
      <c r="E28" s="134" t="s">
        <v>1437</v>
      </c>
      <c r="F28" s="254" t="s">
        <v>1438</v>
      </c>
    </row>
    <row r="29" spans="2:6" ht="16" x14ac:dyDescent="0.2">
      <c r="B29" s="129"/>
      <c r="C29" s="9"/>
      <c r="D29" s="133" t="s">
        <v>1439</v>
      </c>
      <c r="E29" s="134" t="s">
        <v>1440</v>
      </c>
      <c r="F29" s="254" t="s">
        <v>1441</v>
      </c>
    </row>
    <row r="30" spans="2:6" ht="16" x14ac:dyDescent="0.2">
      <c r="B30" s="129"/>
      <c r="C30" s="9"/>
      <c r="D30" s="133" t="s">
        <v>1442</v>
      </c>
      <c r="E30" s="134" t="s">
        <v>1443</v>
      </c>
      <c r="F30" s="254" t="s">
        <v>1444</v>
      </c>
    </row>
    <row r="31" spans="2:6" ht="16" x14ac:dyDescent="0.2">
      <c r="B31" s="129"/>
      <c r="C31" s="9"/>
      <c r="D31" s="133" t="s">
        <v>1445</v>
      </c>
      <c r="E31" s="134" t="s">
        <v>1446</v>
      </c>
      <c r="F31" s="254" t="s">
        <v>1447</v>
      </c>
    </row>
    <row r="32" spans="2:6" ht="16" x14ac:dyDescent="0.2">
      <c r="B32" s="129"/>
      <c r="C32" s="9"/>
      <c r="D32" s="133" t="s">
        <v>1448</v>
      </c>
      <c r="E32" s="134" t="s">
        <v>1449</v>
      </c>
      <c r="F32" s="254" t="s">
        <v>1450</v>
      </c>
    </row>
    <row r="33" spans="2:6" ht="32" x14ac:dyDescent="0.2">
      <c r="B33" s="129"/>
      <c r="C33" s="9"/>
      <c r="D33" s="133" t="s">
        <v>1451</v>
      </c>
      <c r="E33" s="134" t="s">
        <v>1452</v>
      </c>
      <c r="F33" s="254" t="s">
        <v>1453</v>
      </c>
    </row>
    <row r="34" spans="2:6" ht="16" x14ac:dyDescent="0.2">
      <c r="B34" s="129"/>
      <c r="C34" s="9"/>
      <c r="D34" s="133" t="s">
        <v>1454</v>
      </c>
      <c r="E34" s="134" t="s">
        <v>1455</v>
      </c>
      <c r="F34" s="254" t="s">
        <v>1456</v>
      </c>
    </row>
    <row r="35" spans="2:6" ht="16" x14ac:dyDescent="0.2">
      <c r="B35" s="129"/>
      <c r="C35" s="167"/>
      <c r="D35" s="133" t="s">
        <v>1457</v>
      </c>
      <c r="E35" s="135" t="s">
        <v>1458</v>
      </c>
      <c r="F35" s="255" t="s">
        <v>1459</v>
      </c>
    </row>
    <row r="36" spans="2:6" ht="16" x14ac:dyDescent="0.2">
      <c r="B36" s="129"/>
      <c r="C36" s="9" t="s">
        <v>2082</v>
      </c>
      <c r="D36" s="133" t="s">
        <v>1460</v>
      </c>
      <c r="E36" s="134" t="s">
        <v>1461</v>
      </c>
      <c r="F36" s="254" t="s">
        <v>1462</v>
      </c>
    </row>
    <row r="37" spans="2:6" ht="16" x14ac:dyDescent="0.2">
      <c r="B37" s="129"/>
      <c r="C37" s="9"/>
      <c r="D37" s="133" t="s">
        <v>1463</v>
      </c>
      <c r="E37" s="134" t="s">
        <v>1464</v>
      </c>
      <c r="F37" s="254" t="s">
        <v>1465</v>
      </c>
    </row>
    <row r="38" spans="2:6" ht="16" x14ac:dyDescent="0.2">
      <c r="B38" s="129"/>
      <c r="C38" s="9"/>
      <c r="D38" s="133" t="s">
        <v>1466</v>
      </c>
      <c r="E38" s="134" t="s">
        <v>1467</v>
      </c>
      <c r="F38" s="254" t="s">
        <v>1468</v>
      </c>
    </row>
    <row r="39" spans="2:6" ht="16" x14ac:dyDescent="0.2">
      <c r="B39" s="129"/>
      <c r="C39" s="9"/>
      <c r="D39" s="133" t="s">
        <v>1469</v>
      </c>
      <c r="E39" s="134" t="s">
        <v>1470</v>
      </c>
      <c r="F39" s="254" t="s">
        <v>1471</v>
      </c>
    </row>
    <row r="40" spans="2:6" ht="16" x14ac:dyDescent="0.2">
      <c r="B40" s="129"/>
      <c r="C40" s="9"/>
      <c r="D40" s="133" t="s">
        <v>1472</v>
      </c>
      <c r="E40" s="134" t="s">
        <v>1473</v>
      </c>
      <c r="F40" s="254" t="s">
        <v>1474</v>
      </c>
    </row>
    <row r="41" spans="2:6" ht="16" x14ac:dyDescent="0.2">
      <c r="B41" s="129"/>
      <c r="C41" s="9"/>
      <c r="D41" s="133" t="s">
        <v>1475</v>
      </c>
      <c r="E41" s="134" t="s">
        <v>1476</v>
      </c>
      <c r="F41" s="254" t="s">
        <v>1477</v>
      </c>
    </row>
    <row r="42" spans="2:6" ht="16" x14ac:dyDescent="0.2">
      <c r="B42" s="129"/>
      <c r="C42" s="9"/>
      <c r="D42" s="133" t="s">
        <v>1478</v>
      </c>
      <c r="E42" s="134" t="s">
        <v>1479</v>
      </c>
      <c r="F42" s="254" t="s">
        <v>1480</v>
      </c>
    </row>
    <row r="43" spans="2:6" ht="16" x14ac:dyDescent="0.2">
      <c r="B43" s="129"/>
      <c r="C43" s="9"/>
      <c r="D43" s="133" t="s">
        <v>1481</v>
      </c>
      <c r="E43" s="134" t="s">
        <v>1482</v>
      </c>
      <c r="F43" s="254" t="s">
        <v>1483</v>
      </c>
    </row>
    <row r="44" spans="2:6" ht="16" x14ac:dyDescent="0.2">
      <c r="B44" s="129"/>
      <c r="C44" s="9"/>
      <c r="D44" s="133" t="s">
        <v>1484</v>
      </c>
      <c r="E44" s="134" t="s">
        <v>1485</v>
      </c>
      <c r="F44" s="254" t="s">
        <v>1486</v>
      </c>
    </row>
    <row r="45" spans="2:6" ht="16" x14ac:dyDescent="0.2">
      <c r="B45" s="129"/>
      <c r="C45" s="9"/>
      <c r="D45" s="133" t="s">
        <v>1487</v>
      </c>
      <c r="E45" s="134" t="s">
        <v>1488</v>
      </c>
      <c r="F45" s="254" t="s">
        <v>1489</v>
      </c>
    </row>
    <row r="46" spans="2:6" ht="16" x14ac:dyDescent="0.2">
      <c r="B46" s="129"/>
      <c r="C46" s="9"/>
      <c r="D46" s="133" t="s">
        <v>1490</v>
      </c>
      <c r="E46" s="134" t="s">
        <v>1491</v>
      </c>
      <c r="F46" s="254" t="s">
        <v>1492</v>
      </c>
    </row>
    <row r="47" spans="2:6" ht="16" x14ac:dyDescent="0.2">
      <c r="B47" s="129"/>
      <c r="C47" s="167"/>
      <c r="D47" s="133" t="s">
        <v>1493</v>
      </c>
      <c r="E47" s="135" t="s">
        <v>1494</v>
      </c>
      <c r="F47" s="255" t="s">
        <v>1495</v>
      </c>
    </row>
    <row r="48" spans="2:6" ht="16" x14ac:dyDescent="0.2">
      <c r="B48" s="129"/>
      <c r="C48" s="9"/>
      <c r="D48" s="133" t="s">
        <v>1496</v>
      </c>
      <c r="E48" s="134" t="s">
        <v>1497</v>
      </c>
      <c r="F48" s="254" t="s">
        <v>1498</v>
      </c>
    </row>
    <row r="49" spans="2:6" ht="16" x14ac:dyDescent="0.2">
      <c r="B49" s="129"/>
      <c r="C49" s="9" t="s">
        <v>2082</v>
      </c>
      <c r="D49" s="133" t="s">
        <v>1499</v>
      </c>
      <c r="E49" s="134" t="s">
        <v>1500</v>
      </c>
      <c r="F49" s="254" t="s">
        <v>1501</v>
      </c>
    </row>
    <row r="50" spans="2:6" ht="16" x14ac:dyDescent="0.2">
      <c r="B50" s="129"/>
      <c r="C50" s="9"/>
      <c r="D50" s="133" t="s">
        <v>1502</v>
      </c>
      <c r="E50" s="134" t="s">
        <v>1503</v>
      </c>
      <c r="F50" s="254" t="s">
        <v>1504</v>
      </c>
    </row>
    <row r="51" spans="2:6" ht="16" x14ac:dyDescent="0.2">
      <c r="B51" s="129"/>
      <c r="C51" s="9"/>
      <c r="D51" s="133" t="s">
        <v>1505</v>
      </c>
      <c r="E51" s="134" t="s">
        <v>1506</v>
      </c>
      <c r="F51" s="254" t="s">
        <v>1507</v>
      </c>
    </row>
    <row r="52" spans="2:6" ht="16" x14ac:dyDescent="0.2">
      <c r="B52" s="129"/>
      <c r="C52" s="167"/>
      <c r="D52" s="133" t="s">
        <v>1508</v>
      </c>
      <c r="E52" s="135" t="s">
        <v>1509</v>
      </c>
      <c r="F52" s="255" t="s">
        <v>1510</v>
      </c>
    </row>
    <row r="53" spans="2:6" ht="16" x14ac:dyDescent="0.2">
      <c r="B53" s="129"/>
      <c r="C53" s="9"/>
      <c r="D53" s="133" t="s">
        <v>1511</v>
      </c>
      <c r="E53" s="134" t="s">
        <v>1512</v>
      </c>
      <c r="F53" s="254" t="s">
        <v>1513</v>
      </c>
    </row>
    <row r="54" spans="2:6" ht="16" x14ac:dyDescent="0.2">
      <c r="B54" s="129"/>
      <c r="C54" s="9"/>
      <c r="D54" s="133" t="s">
        <v>1514</v>
      </c>
      <c r="E54" s="134" t="s">
        <v>1515</v>
      </c>
      <c r="F54" s="254" t="s">
        <v>1516</v>
      </c>
    </row>
    <row r="55" spans="2:6" ht="16" x14ac:dyDescent="0.2">
      <c r="B55" s="129"/>
      <c r="C55" s="9"/>
      <c r="D55" s="133" t="s">
        <v>1517</v>
      </c>
      <c r="E55" s="134" t="s">
        <v>1518</v>
      </c>
      <c r="F55" s="254" t="s">
        <v>1519</v>
      </c>
    </row>
    <row r="56" spans="2:6" ht="16" x14ac:dyDescent="0.2">
      <c r="B56" s="129"/>
      <c r="C56" s="9"/>
      <c r="D56" s="133" t="s">
        <v>1520</v>
      </c>
      <c r="E56" s="134" t="s">
        <v>1521</v>
      </c>
      <c r="F56" s="254" t="s">
        <v>1522</v>
      </c>
    </row>
    <row r="57" spans="2:6" ht="16" x14ac:dyDescent="0.2">
      <c r="B57" s="129"/>
      <c r="C57" s="9"/>
      <c r="D57" s="133" t="s">
        <v>1523</v>
      </c>
      <c r="E57" s="134" t="s">
        <v>1524</v>
      </c>
      <c r="F57" s="254" t="s">
        <v>1525</v>
      </c>
    </row>
    <row r="58" spans="2:6" ht="16" x14ac:dyDescent="0.2">
      <c r="B58" s="129"/>
      <c r="C58" s="9"/>
      <c r="D58" s="133" t="s">
        <v>1526</v>
      </c>
      <c r="E58" s="134" t="s">
        <v>1527</v>
      </c>
      <c r="F58" s="254" t="s">
        <v>1528</v>
      </c>
    </row>
    <row r="59" spans="2:6" ht="16" x14ac:dyDescent="0.2">
      <c r="B59" s="129"/>
      <c r="C59" s="9"/>
      <c r="D59" s="133" t="s">
        <v>1529</v>
      </c>
      <c r="E59" s="134" t="s">
        <v>1530</v>
      </c>
      <c r="F59" s="254" t="s">
        <v>1531</v>
      </c>
    </row>
    <row r="60" spans="2:6" ht="16" x14ac:dyDescent="0.2">
      <c r="B60" s="129"/>
      <c r="C60" s="9"/>
      <c r="D60" s="133" t="s">
        <v>1532</v>
      </c>
      <c r="E60" s="134" t="s">
        <v>1533</v>
      </c>
      <c r="F60" s="254" t="s">
        <v>1534</v>
      </c>
    </row>
    <row r="61" spans="2:6" ht="16" x14ac:dyDescent="0.2">
      <c r="B61" s="129"/>
      <c r="C61" s="9"/>
      <c r="D61" s="133" t="s">
        <v>1535</v>
      </c>
      <c r="E61" s="134" t="s">
        <v>1536</v>
      </c>
      <c r="F61" s="254" t="s">
        <v>1537</v>
      </c>
    </row>
    <row r="62" spans="2:6" ht="16" x14ac:dyDescent="0.2">
      <c r="B62" s="129"/>
      <c r="C62" s="9"/>
      <c r="D62" s="133" t="s">
        <v>1538</v>
      </c>
      <c r="E62" s="134" t="s">
        <v>1539</v>
      </c>
      <c r="F62" s="254" t="s">
        <v>1540</v>
      </c>
    </row>
    <row r="63" spans="2:6" ht="16" x14ac:dyDescent="0.2">
      <c r="B63" s="129"/>
      <c r="C63" s="9" t="s">
        <v>2082</v>
      </c>
      <c r="D63" s="133" t="s">
        <v>1541</v>
      </c>
      <c r="E63" s="134" t="s">
        <v>1542</v>
      </c>
      <c r="F63" s="254" t="s">
        <v>1543</v>
      </c>
    </row>
    <row r="64" spans="2:6" ht="16" x14ac:dyDescent="0.2">
      <c r="B64" s="129"/>
      <c r="C64" s="9" t="s">
        <v>2082</v>
      </c>
      <c r="D64" s="133" t="s">
        <v>1544</v>
      </c>
      <c r="E64" s="134" t="s">
        <v>1545</v>
      </c>
      <c r="F64" s="254" t="s">
        <v>1546</v>
      </c>
    </row>
    <row r="65" spans="2:6" ht="16" x14ac:dyDescent="0.2">
      <c r="B65" s="129"/>
      <c r="C65" s="9" t="s">
        <v>2082</v>
      </c>
      <c r="D65" s="133" t="s">
        <v>1547</v>
      </c>
      <c r="E65" s="134" t="s">
        <v>1548</v>
      </c>
      <c r="F65" s="254" t="s">
        <v>1549</v>
      </c>
    </row>
    <row r="66" spans="2:6" ht="16" x14ac:dyDescent="0.2">
      <c r="B66" s="129"/>
      <c r="C66" s="9"/>
      <c r="D66" s="133" t="s">
        <v>1550</v>
      </c>
      <c r="E66" s="134" t="s">
        <v>1551</v>
      </c>
      <c r="F66" s="254" t="s">
        <v>1552</v>
      </c>
    </row>
    <row r="67" spans="2:6" ht="16" x14ac:dyDescent="0.2">
      <c r="B67" s="129"/>
      <c r="C67" s="9"/>
      <c r="D67" s="133" t="s">
        <v>1553</v>
      </c>
      <c r="E67" s="134" t="s">
        <v>1554</v>
      </c>
      <c r="F67" s="254" t="s">
        <v>1555</v>
      </c>
    </row>
    <row r="68" spans="2:6" ht="16" x14ac:dyDescent="0.2">
      <c r="B68" s="129"/>
      <c r="C68" s="9" t="s">
        <v>2082</v>
      </c>
      <c r="D68" s="133" t="s">
        <v>1556</v>
      </c>
      <c r="E68" s="134" t="s">
        <v>1557</v>
      </c>
      <c r="F68" s="254" t="s">
        <v>1558</v>
      </c>
    </row>
    <row r="69" spans="2:6" ht="16" x14ac:dyDescent="0.2">
      <c r="B69" s="129"/>
      <c r="C69" s="9"/>
      <c r="D69" s="133" t="s">
        <v>1559</v>
      </c>
      <c r="E69" s="134" t="s">
        <v>1560</v>
      </c>
      <c r="F69" s="254" t="s">
        <v>1561</v>
      </c>
    </row>
    <row r="70" spans="2:6" ht="16" x14ac:dyDescent="0.2">
      <c r="B70" s="129"/>
      <c r="C70" s="9"/>
      <c r="D70" s="133" t="s">
        <v>1562</v>
      </c>
      <c r="E70" s="134" t="s">
        <v>1563</v>
      </c>
      <c r="F70" s="254" t="s">
        <v>1564</v>
      </c>
    </row>
    <row r="71" spans="2:6" ht="16" x14ac:dyDescent="0.2">
      <c r="B71" s="129"/>
      <c r="C71" s="167"/>
      <c r="D71" s="133" t="s">
        <v>1565</v>
      </c>
      <c r="E71" s="135" t="s">
        <v>1566</v>
      </c>
      <c r="F71" s="255" t="s">
        <v>1567</v>
      </c>
    </row>
    <row r="72" spans="2:6" ht="16" x14ac:dyDescent="0.2">
      <c r="B72" s="129"/>
      <c r="C72" s="9"/>
      <c r="D72" s="133" t="s">
        <v>1568</v>
      </c>
      <c r="E72" s="134" t="s">
        <v>1569</v>
      </c>
      <c r="F72" s="254" t="s">
        <v>1570</v>
      </c>
    </row>
    <row r="73" spans="2:6" ht="16" x14ac:dyDescent="0.2">
      <c r="B73" s="129"/>
      <c r="C73" s="9"/>
      <c r="D73" s="133" t="s">
        <v>1571</v>
      </c>
      <c r="E73" s="134" t="s">
        <v>1572</v>
      </c>
      <c r="F73" s="254" t="s">
        <v>1573</v>
      </c>
    </row>
    <row r="74" spans="2:6" ht="16" x14ac:dyDescent="0.2">
      <c r="B74" s="129"/>
      <c r="C74" s="9"/>
      <c r="D74" s="133" t="s">
        <v>1574</v>
      </c>
      <c r="E74" s="134" t="s">
        <v>1575</v>
      </c>
      <c r="F74" s="254" t="s">
        <v>1576</v>
      </c>
    </row>
    <row r="75" spans="2:6" ht="16" x14ac:dyDescent="0.2">
      <c r="B75" s="129"/>
      <c r="C75" s="9"/>
      <c r="D75" s="133" t="s">
        <v>1577</v>
      </c>
      <c r="E75" s="134" t="s">
        <v>1578</v>
      </c>
      <c r="F75" s="254" t="s">
        <v>1579</v>
      </c>
    </row>
    <row r="76" spans="2:6" ht="16" x14ac:dyDescent="0.2">
      <c r="B76" s="129"/>
      <c r="C76" s="9"/>
      <c r="D76" s="133" t="s">
        <v>1580</v>
      </c>
      <c r="E76" s="134" t="s">
        <v>1581</v>
      </c>
      <c r="F76" s="254" t="s">
        <v>1582</v>
      </c>
    </row>
    <row r="77" spans="2:6" ht="16" x14ac:dyDescent="0.2">
      <c r="B77" s="129"/>
      <c r="C77" s="9"/>
      <c r="D77" s="133" t="s">
        <v>1583</v>
      </c>
      <c r="E77" s="134" t="s">
        <v>1584</v>
      </c>
      <c r="F77" s="254" t="s">
        <v>1585</v>
      </c>
    </row>
    <row r="78" spans="2:6" ht="16" x14ac:dyDescent="0.2">
      <c r="B78" s="129"/>
      <c r="C78" s="9"/>
      <c r="D78" s="133" t="s">
        <v>1586</v>
      </c>
      <c r="E78" s="134" t="s">
        <v>1587</v>
      </c>
      <c r="F78" s="254" t="s">
        <v>1588</v>
      </c>
    </row>
    <row r="79" spans="2:6" ht="16" x14ac:dyDescent="0.2">
      <c r="B79" s="129"/>
      <c r="C79" s="9"/>
      <c r="D79" s="133" t="s">
        <v>1589</v>
      </c>
      <c r="E79" s="134" t="s">
        <v>1590</v>
      </c>
      <c r="F79" s="254" t="s">
        <v>1591</v>
      </c>
    </row>
    <row r="80" spans="2:6" ht="16" x14ac:dyDescent="0.2">
      <c r="B80" s="129"/>
      <c r="C80" s="167"/>
      <c r="D80" s="133" t="s">
        <v>1592</v>
      </c>
      <c r="E80" s="135" t="s">
        <v>1593</v>
      </c>
      <c r="F80" s="255" t="s">
        <v>1594</v>
      </c>
    </row>
    <row r="81" spans="2:6" ht="16" x14ac:dyDescent="0.2">
      <c r="B81" s="129"/>
      <c r="C81" s="9"/>
      <c r="D81" s="133" t="s">
        <v>1595</v>
      </c>
      <c r="E81" s="134" t="s">
        <v>1596</v>
      </c>
      <c r="F81" s="254" t="s">
        <v>1597</v>
      </c>
    </row>
    <row r="82" spans="2:6" ht="16" x14ac:dyDescent="0.2">
      <c r="B82" s="129"/>
      <c r="C82" s="9"/>
      <c r="D82" s="133" t="s">
        <v>1598</v>
      </c>
      <c r="E82" s="134" t="s">
        <v>1599</v>
      </c>
      <c r="F82" s="254" t="s">
        <v>1600</v>
      </c>
    </row>
    <row r="83" spans="2:6" ht="16" x14ac:dyDescent="0.2">
      <c r="B83" s="129"/>
      <c r="C83" s="9"/>
      <c r="D83" s="133" t="s">
        <v>1601</v>
      </c>
      <c r="E83" s="134" t="s">
        <v>1602</v>
      </c>
      <c r="F83" s="254" t="s">
        <v>1603</v>
      </c>
    </row>
    <row r="84" spans="2:6" ht="16" x14ac:dyDescent="0.2">
      <c r="B84" s="129"/>
      <c r="C84" s="9"/>
      <c r="D84" s="133" t="s">
        <v>1604</v>
      </c>
      <c r="E84" s="134" t="s">
        <v>1605</v>
      </c>
      <c r="F84" s="254" t="s">
        <v>1606</v>
      </c>
    </row>
    <row r="85" spans="2:6" ht="16" x14ac:dyDescent="0.2">
      <c r="B85" s="129"/>
      <c r="C85" s="9"/>
      <c r="D85" s="133" t="s">
        <v>1607</v>
      </c>
      <c r="E85" s="134" t="s">
        <v>1608</v>
      </c>
      <c r="F85" s="254" t="s">
        <v>1609</v>
      </c>
    </row>
    <row r="86" spans="2:6" ht="16" x14ac:dyDescent="0.2">
      <c r="B86" s="129"/>
      <c r="C86" s="167"/>
      <c r="D86" s="133" t="s">
        <v>1610</v>
      </c>
      <c r="E86" s="135" t="s">
        <v>1611</v>
      </c>
      <c r="F86" s="255" t="s">
        <v>1612</v>
      </c>
    </row>
    <row r="87" spans="2:6" ht="16" x14ac:dyDescent="0.2">
      <c r="B87" s="129"/>
      <c r="C87" s="9"/>
      <c r="D87" s="133" t="s">
        <v>1613</v>
      </c>
      <c r="E87" s="134" t="s">
        <v>1614</v>
      </c>
      <c r="F87" s="254" t="s">
        <v>1615</v>
      </c>
    </row>
    <row r="88" spans="2:6" ht="16" x14ac:dyDescent="0.2">
      <c r="B88" s="129"/>
      <c r="C88" s="9"/>
      <c r="D88" s="133" t="s">
        <v>1616</v>
      </c>
      <c r="E88" s="134" t="s">
        <v>1617</v>
      </c>
      <c r="F88" s="254" t="s">
        <v>1618</v>
      </c>
    </row>
    <row r="89" spans="2:6" ht="16" x14ac:dyDescent="0.2">
      <c r="B89" s="129"/>
      <c r="C89" s="9"/>
      <c r="D89" s="133" t="s">
        <v>1619</v>
      </c>
      <c r="E89" s="134" t="s">
        <v>1620</v>
      </c>
      <c r="F89" s="254" t="s">
        <v>1621</v>
      </c>
    </row>
    <row r="90" spans="2:6" ht="16" x14ac:dyDescent="0.2">
      <c r="B90" s="129"/>
      <c r="C90" s="9"/>
      <c r="D90" s="133" t="s">
        <v>1622</v>
      </c>
      <c r="E90" s="134" t="s">
        <v>1623</v>
      </c>
      <c r="F90" s="254" t="s">
        <v>1624</v>
      </c>
    </row>
    <row r="91" spans="2:6" ht="16" x14ac:dyDescent="0.2">
      <c r="B91" s="129"/>
      <c r="C91" s="9" t="s">
        <v>2082</v>
      </c>
      <c r="D91" s="133" t="s">
        <v>1625</v>
      </c>
      <c r="E91" s="134" t="s">
        <v>1626</v>
      </c>
      <c r="F91" s="254" t="s">
        <v>1627</v>
      </c>
    </row>
    <row r="92" spans="2:6" ht="16" x14ac:dyDescent="0.2">
      <c r="B92" s="129"/>
      <c r="C92" s="9"/>
      <c r="D92" s="133" t="s">
        <v>1628</v>
      </c>
      <c r="E92" s="134" t="s">
        <v>1629</v>
      </c>
      <c r="F92" s="254" t="s">
        <v>1630</v>
      </c>
    </row>
    <row r="93" spans="2:6" ht="16" x14ac:dyDescent="0.2">
      <c r="B93" s="129"/>
      <c r="C93" s="167"/>
      <c r="D93" s="133" t="s">
        <v>1631</v>
      </c>
      <c r="E93" s="135" t="s">
        <v>1632</v>
      </c>
      <c r="F93" s="255" t="s">
        <v>1633</v>
      </c>
    </row>
    <row r="94" spans="2:6" x14ac:dyDescent="0.2">
      <c r="C94" s="136"/>
      <c r="D94" s="137"/>
      <c r="E94" s="138"/>
      <c r="F94" s="138"/>
    </row>
  </sheetData>
  <sheetProtection algorithmName="SHA-512" hashValue="DhsoVXFoKgp3u9w40eyzKC2ICy8mLjp0aUnx0Z5feFe8yPhiv0dUo3NsWiQlibaDxvMpkk9BydHESVV+7ltAwA==" saltValue="d1mFo4RJk1Kaw1jzzJbU7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C3" sqref="C3"/>
    </sheetView>
  </sheetViews>
  <sheetFormatPr baseColWidth="10" defaultColWidth="10.83203125" defaultRowHeight="16" x14ac:dyDescent="0.2"/>
  <cols>
    <col min="1" max="1" width="10.83203125" style="15"/>
    <col min="2" max="2" width="8.83203125" style="15" customWidth="1"/>
    <col min="3" max="3" width="27.83203125" style="15" customWidth="1"/>
    <col min="4" max="5" width="20.83203125" style="15" customWidth="1"/>
    <col min="6" max="7" width="46.5" style="37" customWidth="1"/>
    <col min="8" max="8" width="20.83203125" style="209" customWidth="1"/>
    <col min="9" max="9" width="20.83203125" style="15" customWidth="1"/>
    <col min="10" max="16384" width="10.83203125" style="15"/>
  </cols>
  <sheetData>
    <row r="1" spans="1:11" ht="17" thickBot="1" x14ac:dyDescent="0.25">
      <c r="C1" s="16"/>
      <c r="D1" s="16"/>
      <c r="E1" s="16"/>
      <c r="F1" s="34"/>
      <c r="G1" s="34"/>
      <c r="H1" s="207"/>
      <c r="I1" s="16"/>
    </row>
    <row r="2" spans="1:11" s="37" customFormat="1" ht="17" thickBot="1" x14ac:dyDescent="0.25">
      <c r="A2" s="56"/>
      <c r="B2" s="57"/>
      <c r="C2" s="58" t="s">
        <v>2225</v>
      </c>
      <c r="D2" s="59" t="s">
        <v>2224</v>
      </c>
      <c r="E2" s="202" t="s">
        <v>1634</v>
      </c>
      <c r="F2" s="204" t="s">
        <v>1635</v>
      </c>
      <c r="G2" s="35" t="s">
        <v>1636</v>
      </c>
      <c r="H2" s="210" t="s">
        <v>1637</v>
      </c>
      <c r="I2" s="60" t="s">
        <v>1638</v>
      </c>
      <c r="J2" s="61"/>
    </row>
    <row r="3" spans="1:11" ht="62.5" customHeight="1" x14ac:dyDescent="0.2">
      <c r="A3" s="17"/>
      <c r="B3" s="366" t="s">
        <v>1639</v>
      </c>
      <c r="C3" s="43" t="s">
        <v>1640</v>
      </c>
      <c r="D3" s="290" t="s">
        <v>2083</v>
      </c>
      <c r="E3" s="215" t="str">
        <f>IF(D3="","",D3)</f>
        <v>XXXXXXXX</v>
      </c>
      <c r="F3" s="284" t="s">
        <v>1641</v>
      </c>
      <c r="G3" s="164" t="s">
        <v>1642</v>
      </c>
      <c r="H3" s="211" t="s">
        <v>1643</v>
      </c>
      <c r="I3" s="230" t="s">
        <v>1643</v>
      </c>
      <c r="J3" s="18"/>
    </row>
    <row r="4" spans="1:11" ht="31.75" customHeight="1" x14ac:dyDescent="0.2">
      <c r="A4" s="17"/>
      <c r="B4" s="361"/>
      <c r="C4" s="26" t="s">
        <v>1644</v>
      </c>
      <c r="D4" s="163">
        <v>18</v>
      </c>
      <c r="E4" s="216">
        <f>IF(D4="","",D4)</f>
        <v>18</v>
      </c>
      <c r="F4" s="166" t="s">
        <v>1645</v>
      </c>
      <c r="G4" s="165" t="s">
        <v>1646</v>
      </c>
      <c r="H4" s="252">
        <v>18</v>
      </c>
      <c r="I4" s="231">
        <v>18</v>
      </c>
      <c r="J4" s="18"/>
    </row>
    <row r="5" spans="1:11" ht="43.5" customHeight="1" x14ac:dyDescent="0.2">
      <c r="A5" s="17"/>
      <c r="B5" s="361"/>
      <c r="C5" s="27" t="s">
        <v>1647</v>
      </c>
      <c r="D5" s="24" t="s">
        <v>2084</v>
      </c>
      <c r="E5" s="334" t="s">
        <v>2087</v>
      </c>
      <c r="F5" s="235" t="s">
        <v>1648</v>
      </c>
      <c r="G5" s="165" t="s">
        <v>1649</v>
      </c>
      <c r="H5" s="251" t="s">
        <v>1650</v>
      </c>
      <c r="I5" s="232" t="s">
        <v>1651</v>
      </c>
      <c r="J5" s="18"/>
    </row>
    <row r="6" spans="1:11" ht="48" x14ac:dyDescent="0.2">
      <c r="A6" s="17"/>
      <c r="B6" s="361"/>
      <c r="C6" s="28" t="s">
        <v>1652</v>
      </c>
      <c r="D6" s="24" t="s">
        <v>1655</v>
      </c>
      <c r="E6" s="334" t="s">
        <v>2088</v>
      </c>
      <c r="F6" s="235" t="s">
        <v>1653</v>
      </c>
      <c r="G6" s="166" t="s">
        <v>1654</v>
      </c>
      <c r="H6" s="247" t="s">
        <v>1655</v>
      </c>
      <c r="I6" s="228" t="s">
        <v>1656</v>
      </c>
      <c r="J6" s="18"/>
    </row>
    <row r="7" spans="1:11" s="183" customFormat="1" ht="80" x14ac:dyDescent="0.2">
      <c r="A7" s="180"/>
      <c r="B7" s="361"/>
      <c r="C7" s="336" t="s">
        <v>1657</v>
      </c>
      <c r="D7" s="217" t="s">
        <v>2085</v>
      </c>
      <c r="E7" s="337" t="s">
        <v>2115</v>
      </c>
      <c r="F7" s="235" t="s">
        <v>1658</v>
      </c>
      <c r="G7" s="181" t="s">
        <v>1659</v>
      </c>
      <c r="H7" s="247" t="s">
        <v>1660</v>
      </c>
      <c r="I7" s="229" t="s">
        <v>1661</v>
      </c>
      <c r="J7" s="182"/>
    </row>
    <row r="8" spans="1:11" ht="80" x14ac:dyDescent="0.2">
      <c r="A8" s="17"/>
      <c r="B8" s="361"/>
      <c r="C8" s="28" t="s">
        <v>1662</v>
      </c>
      <c r="D8" s="24" t="s">
        <v>2086</v>
      </c>
      <c r="E8" s="335" t="s">
        <v>2089</v>
      </c>
      <c r="F8" s="236" t="s">
        <v>1663</v>
      </c>
      <c r="G8" s="234" t="s">
        <v>1664</v>
      </c>
      <c r="H8" s="248" t="s">
        <v>1665</v>
      </c>
      <c r="I8" s="19" t="s">
        <v>1666</v>
      </c>
      <c r="J8" s="18"/>
      <c r="K8" s="292"/>
    </row>
    <row r="9" spans="1:11" ht="96" x14ac:dyDescent="0.2">
      <c r="A9" s="17"/>
      <c r="B9" s="361"/>
      <c r="C9" s="28" t="s">
        <v>1667</v>
      </c>
      <c r="D9" s="217" t="s">
        <v>2090</v>
      </c>
      <c r="E9" s="291" t="str">
        <f>IF(D9="ليس في الموسم بعد","Not yet in season",IF(D9="إعداد الأرض","Land preparation",IF(D9="الزرع","Planting",IF(D9="النمو المبكر","Early growing",IF(D9="النمو","Growing",IF(D9="النضوج","Maturing",IF(D9="الحصاد","Harvesting",IF(D9="انتهى مؤخرا","Recently Finished",""))))))))</f>
        <v>Maturing</v>
      </c>
      <c r="F9" s="205" t="s">
        <v>1668</v>
      </c>
      <c r="G9" s="234" t="s">
        <v>1669</v>
      </c>
      <c r="H9" s="249" t="s">
        <v>1670</v>
      </c>
      <c r="I9" s="228" t="s">
        <v>1671</v>
      </c>
      <c r="J9" s="18"/>
    </row>
    <row r="10" spans="1:11" s="183" customFormat="1" ht="58" customHeight="1" x14ac:dyDescent="0.2">
      <c r="A10" s="180"/>
      <c r="B10" s="361"/>
      <c r="C10" s="282" t="s">
        <v>1672</v>
      </c>
      <c r="D10" s="293" t="s">
        <v>2091</v>
      </c>
      <c r="E10" s="293" t="s">
        <v>2092</v>
      </c>
      <c r="F10" s="205" t="s">
        <v>1673</v>
      </c>
      <c r="G10" s="21" t="s">
        <v>1674</v>
      </c>
      <c r="H10" s="250" t="s">
        <v>1675</v>
      </c>
      <c r="I10" s="186" t="s">
        <v>1676</v>
      </c>
      <c r="J10" s="182"/>
    </row>
    <row r="11" spans="1:11" s="183" customFormat="1" ht="63" customHeight="1" thickBot="1" x14ac:dyDescent="0.25">
      <c r="A11" s="180"/>
      <c r="B11" s="362"/>
      <c r="C11" s="283" t="s">
        <v>1677</v>
      </c>
      <c r="D11" s="294">
        <v>10</v>
      </c>
      <c r="E11" s="218">
        <f>IF(D11&lt;&gt;"",D11,"")</f>
        <v>10</v>
      </c>
      <c r="F11" s="237" t="s">
        <v>1678</v>
      </c>
      <c r="G11" s="20" t="s">
        <v>1679</v>
      </c>
      <c r="H11" s="213">
        <v>0.2</v>
      </c>
      <c r="I11" s="227">
        <v>0.2</v>
      </c>
      <c r="J11" s="182"/>
    </row>
    <row r="12" spans="1:11" ht="32" x14ac:dyDescent="0.2">
      <c r="A12" s="17"/>
      <c r="B12" s="361" t="s">
        <v>1680</v>
      </c>
      <c r="C12" s="29" t="s">
        <v>1681</v>
      </c>
      <c r="D12" s="23" t="s">
        <v>2093</v>
      </c>
      <c r="E12" s="279" t="s">
        <v>2094</v>
      </c>
      <c r="F12" s="238" t="s">
        <v>1682</v>
      </c>
      <c r="G12" s="243" t="s">
        <v>1683</v>
      </c>
      <c r="H12" s="244" t="s">
        <v>1684</v>
      </c>
      <c r="I12" s="225" t="s">
        <v>1685</v>
      </c>
      <c r="J12" s="18"/>
    </row>
    <row r="13" spans="1:11" ht="112" x14ac:dyDescent="0.2">
      <c r="A13" s="17"/>
      <c r="B13" s="361"/>
      <c r="C13" s="121" t="s">
        <v>1686</v>
      </c>
      <c r="D13" s="295"/>
      <c r="E13" s="216" t="str">
        <f t="shared" ref="E13:E14" si="0">IF(D13="","",D13)</f>
        <v/>
      </c>
      <c r="F13" s="239" t="s">
        <v>1687</v>
      </c>
      <c r="G13" s="122" t="s">
        <v>1688</v>
      </c>
      <c r="H13" s="212">
        <v>5</v>
      </c>
      <c r="I13" s="226">
        <v>5</v>
      </c>
      <c r="J13" s="33"/>
      <c r="K13" s="53"/>
    </row>
    <row r="14" spans="1:11" ht="127" customHeight="1" x14ac:dyDescent="0.2">
      <c r="A14" s="17"/>
      <c r="B14" s="361"/>
      <c r="C14" s="121" t="s">
        <v>1689</v>
      </c>
      <c r="D14" s="295"/>
      <c r="E14" s="216" t="str">
        <f t="shared" si="0"/>
        <v/>
      </c>
      <c r="F14" s="240" t="s">
        <v>1690</v>
      </c>
      <c r="G14" s="21" t="s">
        <v>1691</v>
      </c>
      <c r="H14" s="212">
        <v>1200000</v>
      </c>
      <c r="I14" s="226">
        <v>1200000</v>
      </c>
      <c r="J14" s="18"/>
    </row>
    <row r="15" spans="1:11" ht="32" x14ac:dyDescent="0.2">
      <c r="A15" s="17"/>
      <c r="B15" s="361"/>
      <c r="C15" s="55" t="s">
        <v>1692</v>
      </c>
      <c r="D15" s="24" t="s">
        <v>2095</v>
      </c>
      <c r="E15" s="24" t="s">
        <v>2096</v>
      </c>
      <c r="F15" s="239" t="s">
        <v>1693</v>
      </c>
      <c r="G15" s="234" t="s">
        <v>1694</v>
      </c>
      <c r="H15" s="245" t="s">
        <v>1695</v>
      </c>
      <c r="I15" s="19" t="s">
        <v>1696</v>
      </c>
      <c r="J15" s="18"/>
    </row>
    <row r="16" spans="1:11" ht="33" thickBot="1" x14ac:dyDescent="0.25">
      <c r="A16" s="17"/>
      <c r="B16" s="362"/>
      <c r="C16" s="120" t="s">
        <v>1697</v>
      </c>
      <c r="D16" s="25" t="s">
        <v>2097</v>
      </c>
      <c r="E16" s="25" t="s">
        <v>2098</v>
      </c>
      <c r="F16" s="241" t="s">
        <v>1698</v>
      </c>
      <c r="G16" s="242" t="s">
        <v>1699</v>
      </c>
      <c r="H16" s="246" t="s">
        <v>1700</v>
      </c>
      <c r="I16" s="124" t="s">
        <v>1701</v>
      </c>
      <c r="J16" s="18"/>
    </row>
    <row r="17" spans="1:10" s="54" customFormat="1" ht="5.5" customHeight="1" thickBot="1" x14ac:dyDescent="0.25">
      <c r="A17" s="48"/>
      <c r="B17" s="49"/>
      <c r="C17" s="50"/>
      <c r="D17" s="123"/>
      <c r="E17" s="203"/>
      <c r="F17" s="206"/>
      <c r="G17" s="51"/>
      <c r="H17" s="214"/>
      <c r="I17" s="52"/>
      <c r="J17" s="53"/>
    </row>
    <row r="18" spans="1:10" ht="160" x14ac:dyDescent="0.2">
      <c r="A18" s="17"/>
      <c r="B18" s="363" t="s">
        <v>1702</v>
      </c>
      <c r="C18" s="44" t="s">
        <v>1703</v>
      </c>
      <c r="D18" s="338">
        <v>0.91</v>
      </c>
      <c r="E18" s="296">
        <f t="shared" ref="E18:E20" si="1">IF(D18="","",D18)</f>
        <v>0.91</v>
      </c>
      <c r="F18" s="258" t="s">
        <v>1704</v>
      </c>
      <c r="G18" s="45" t="s">
        <v>1705</v>
      </c>
      <c r="H18" s="219">
        <v>0.91</v>
      </c>
      <c r="I18" s="220">
        <v>0.91</v>
      </c>
      <c r="J18" s="18"/>
    </row>
    <row r="19" spans="1:10" ht="160" x14ac:dyDescent="0.2">
      <c r="A19" s="17"/>
      <c r="B19" s="364"/>
      <c r="C19" s="30" t="s">
        <v>1706</v>
      </c>
      <c r="D19" s="339">
        <v>0.09</v>
      </c>
      <c r="E19" s="297">
        <f t="shared" si="1"/>
        <v>0.09</v>
      </c>
      <c r="F19" s="259" t="s">
        <v>1707</v>
      </c>
      <c r="G19" s="46" t="s">
        <v>1708</v>
      </c>
      <c r="H19" s="221">
        <v>0.91</v>
      </c>
      <c r="I19" s="222">
        <v>0.91</v>
      </c>
      <c r="J19" s="18"/>
    </row>
    <row r="20" spans="1:10" ht="141" customHeight="1" thickBot="1" x14ac:dyDescent="0.25">
      <c r="A20" s="17"/>
      <c r="B20" s="365"/>
      <c r="C20" s="31" t="s">
        <v>1709</v>
      </c>
      <c r="D20" s="340">
        <v>0</v>
      </c>
      <c r="E20" s="298">
        <f t="shared" si="1"/>
        <v>0</v>
      </c>
      <c r="F20" s="241" t="s">
        <v>1710</v>
      </c>
      <c r="G20" s="47" t="s">
        <v>1711</v>
      </c>
      <c r="H20" s="223">
        <v>0.05</v>
      </c>
      <c r="I20" s="224">
        <v>0.05</v>
      </c>
      <c r="J20" s="18"/>
    </row>
    <row r="21" spans="1:10" x14ac:dyDescent="0.2">
      <c r="B21" s="22"/>
      <c r="C21" s="22"/>
      <c r="D21" s="22"/>
      <c r="E21" s="22"/>
      <c r="F21" s="36"/>
      <c r="G21" s="36"/>
      <c r="H21" s="208"/>
      <c r="I21" s="22"/>
    </row>
  </sheetData>
  <sheetProtection algorithmName="SHA-512" hashValue="qpd9UGFiUJdNu0iPeqMarBqqyuX9fm8CHZxdo5YCHEP/Hx2DE8+WTL2RjSbRssk0Dhou2uvMCD61exUBdL0oDg==" saltValue="lQzvm+AGZA1HtUVXeXv9Xg=="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"العام العادي,  العام الماضي"</formula1>
    </dataValidation>
    <dataValidation type="list" allowBlank="1"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7C34CB-4D7B-4197-B789-E2FA018FF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15B646-3C0A-4AE4-895D-12A144F3453E}">
  <ds:schemaRefs>
    <ds:schemaRef ds:uri="http://schemas.microsoft.com/office/2006/documentManagement/types"/>
    <ds:schemaRef ds:uri="http://purl.org/dc/dcmitype/"/>
    <ds:schemaRef ds:uri="http://schemas.microsoft.com/office/infopath/2007/PartnerControls"/>
    <ds:schemaRef ds:uri="http://purl.org/dc/elements/1.1/"/>
    <ds:schemaRef ds:uri="651ac188-b77a-445d-b0b3-bedb0cff8e72"/>
    <ds:schemaRef ds:uri="http://schemas.microsoft.com/office/2006/metadata/properties"/>
    <ds:schemaRef ds:uri="4efa6d18-7e22-4963-b4bf-16e1a76dd523"/>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83E29E9-50F6-4C85-836A-A023FCCA69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cp:revision/>
  <dcterms:created xsi:type="dcterms:W3CDTF">2021-01-05T14:16:30Z</dcterms:created>
  <dcterms:modified xsi:type="dcterms:W3CDTF">2023-07-03T09:24:53Z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2023-07-03T08:54:40Z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e8316884-c1c3-4658-a1f1-a4ddf375fab3</vt:lpwstr>
  </property>
  <property fmtid="{D5CDD505-2E9C-101B-9397-08002B2CF9AE}" pid="10" name="MSIP_Label_46ec50b2-b191-4ad7-ba82-7deb0436e358_ContentBits">
    <vt:lpwstr>0</vt:lpwstr>
  </property>
</Properties>
</file>