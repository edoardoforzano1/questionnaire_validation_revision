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NER/R7/"/>
    </mc:Choice>
  </mc:AlternateContent>
  <xr:revisionPtr revIDLastSave="0" documentId="13_ncr:1_{5889A322-1AF5-4A4E-B3ED-CF996F15B8CD}" xr6:coauthVersionLast="47" xr6:coauthVersionMax="47" xr10:uidLastSave="{00000000-0000-0000-0000-000000000000}"/>
  <bookViews>
    <workbookView xWindow="-38400" yWindow="-600" windowWidth="38400" windowHeight="21600" xr2:uid="{00000000-000D-0000-FFFF-FFFF00000000}"/>
  </bookViews>
  <sheets>
    <sheet name="survey" sheetId="1" r:id="rId1"/>
    <sheet name="New Durations" sheetId="2" state="hidden" r:id="rId2"/>
    <sheet name="Crop list" sheetId="3" state="hidden" r:id="rId3"/>
    <sheet name="Additional information" sheetId="4" state="hidden" r:id="rId4"/>
    <sheet name="Admin 2 info" sheetId="5" r:id="rId5"/>
  </sheets>
  <definedNames>
    <definedName name="_xlnm._FilterDatabase" localSheetId="2"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9" i="4"/>
  <c r="D7" i="4"/>
  <c r="D4" i="3" a="1"/>
  <c r="D82" i="3" s="1"/>
  <c r="Z209" i="1"/>
  <c r="Y209" i="1"/>
  <c r="G209" i="1"/>
  <c r="E209" i="1"/>
  <c r="Y208" i="1"/>
  <c r="Z208" i="1" s="1"/>
  <c r="G208" i="1"/>
  <c r="E208" i="1"/>
  <c r="Z207" i="1"/>
  <c r="Y207" i="1"/>
  <c r="Z206" i="1"/>
  <c r="Y206" i="1"/>
  <c r="G206" i="1"/>
  <c r="E206" i="1"/>
  <c r="Z205" i="1"/>
  <c r="Y205" i="1"/>
  <c r="G205" i="1"/>
  <c r="E205" i="1"/>
  <c r="Z204" i="1"/>
  <c r="Y204" i="1"/>
  <c r="G204" i="1"/>
  <c r="E204" i="1"/>
  <c r="Z203" i="1"/>
  <c r="Y203" i="1"/>
  <c r="G203" i="1"/>
  <c r="E203" i="1"/>
  <c r="Z202" i="1"/>
  <c r="Y202" i="1"/>
  <c r="G202" i="1"/>
  <c r="E202" i="1"/>
  <c r="Z201" i="1"/>
  <c r="Y201" i="1"/>
  <c r="G201" i="1"/>
  <c r="E201" i="1"/>
  <c r="Z200" i="1"/>
  <c r="Y200" i="1"/>
  <c r="G200" i="1"/>
  <c r="E200" i="1"/>
  <c r="Z199" i="1"/>
  <c r="Y199" i="1"/>
  <c r="Z198" i="1"/>
  <c r="Y198" i="1"/>
  <c r="Z197" i="1"/>
  <c r="Y197" i="1"/>
  <c r="G197" i="1"/>
  <c r="E197" i="1"/>
  <c r="Z196" i="1"/>
  <c r="Y196" i="1"/>
  <c r="Y195" i="1"/>
  <c r="Z195" i="1" s="1"/>
  <c r="G195" i="1"/>
  <c r="E195" i="1"/>
  <c r="Z194" i="1"/>
  <c r="Y194" i="1"/>
  <c r="G194" i="1"/>
  <c r="E194" i="1"/>
  <c r="Z193" i="1"/>
  <c r="Y193" i="1"/>
  <c r="Z192" i="1"/>
  <c r="Y192" i="1"/>
  <c r="G192" i="1"/>
  <c r="E192" i="1"/>
  <c r="Y191" i="1"/>
  <c r="Z191" i="1" s="1"/>
  <c r="G191" i="1"/>
  <c r="E191" i="1"/>
  <c r="A191" i="1"/>
  <c r="A192" i="1" s="1"/>
  <c r="A194" i="1" s="1"/>
  <c r="A195" i="1" s="1"/>
  <c r="Z190" i="1"/>
  <c r="Y190" i="1"/>
  <c r="Z189" i="1"/>
  <c r="Y189" i="1"/>
  <c r="G189" i="1"/>
  <c r="E189" i="1"/>
  <c r="Y188" i="1"/>
  <c r="Z188" i="1" s="1"/>
  <c r="G188" i="1"/>
  <c r="E188" i="1"/>
  <c r="A188" i="1"/>
  <c r="A189" i="1" s="1"/>
  <c r="Z187" i="1"/>
  <c r="Y187" i="1"/>
  <c r="G187" i="1"/>
  <c r="E187" i="1"/>
  <c r="A187" i="1"/>
  <c r="Z186" i="1"/>
  <c r="Y186" i="1"/>
  <c r="G186" i="1"/>
  <c r="E186" i="1"/>
  <c r="A186" i="1"/>
  <c r="Z185" i="1"/>
  <c r="Y185" i="1"/>
  <c r="G185" i="1"/>
  <c r="E185" i="1"/>
  <c r="A185" i="1"/>
  <c r="Z184" i="1"/>
  <c r="Y184" i="1"/>
  <c r="G184" i="1"/>
  <c r="E184" i="1"/>
  <c r="Z183" i="1"/>
  <c r="Y183" i="1"/>
  <c r="G183" i="1"/>
  <c r="E183" i="1"/>
  <c r="A183" i="1"/>
  <c r="A184" i="1" s="1"/>
  <c r="Z182" i="1"/>
  <c r="Y182" i="1"/>
  <c r="G182" i="1"/>
  <c r="E182" i="1"/>
  <c r="A182" i="1"/>
  <c r="Z181" i="1"/>
  <c r="Y181" i="1"/>
  <c r="G181" i="1"/>
  <c r="E181" i="1"/>
  <c r="A181" i="1"/>
  <c r="Z180" i="1"/>
  <c r="Y180" i="1"/>
  <c r="G180" i="1"/>
  <c r="E180" i="1"/>
  <c r="Z179" i="1"/>
  <c r="Y179" i="1"/>
  <c r="G179" i="1"/>
  <c r="E179" i="1"/>
  <c r="Z178" i="1"/>
  <c r="Y178" i="1"/>
  <c r="G178" i="1"/>
  <c r="E178" i="1"/>
  <c r="Z177" i="1"/>
  <c r="Y177" i="1"/>
  <c r="G177" i="1"/>
  <c r="E177" i="1"/>
  <c r="Y176" i="1"/>
  <c r="Z176" i="1" s="1"/>
  <c r="G176" i="1"/>
  <c r="E176" i="1"/>
  <c r="Z175" i="1"/>
  <c r="Y175" i="1"/>
  <c r="G175" i="1"/>
  <c r="E175" i="1"/>
  <c r="Z174" i="1"/>
  <c r="Y174" i="1"/>
  <c r="G174" i="1"/>
  <c r="E174" i="1"/>
  <c r="Z173" i="1"/>
  <c r="Y173" i="1"/>
  <c r="G173" i="1"/>
  <c r="E173" i="1"/>
  <c r="Y172" i="1"/>
  <c r="Z172" i="1" s="1"/>
  <c r="G172" i="1"/>
  <c r="E172" i="1"/>
  <c r="Z171" i="1"/>
  <c r="Y171" i="1"/>
  <c r="G171" i="1"/>
  <c r="E171" i="1"/>
  <c r="Z170" i="1"/>
  <c r="Y170" i="1"/>
  <c r="G170" i="1"/>
  <c r="E170" i="1"/>
  <c r="Z169" i="1"/>
  <c r="Y169" i="1"/>
  <c r="G169" i="1"/>
  <c r="E169" i="1"/>
  <c r="Y168" i="1"/>
  <c r="Z168" i="1" s="1"/>
  <c r="G168" i="1"/>
  <c r="E168" i="1"/>
  <c r="Y167" i="1"/>
  <c r="Z167" i="1" s="1"/>
  <c r="G167" i="1"/>
  <c r="E167" i="1"/>
  <c r="Z166" i="1"/>
  <c r="Y166" i="1"/>
  <c r="G166" i="1"/>
  <c r="E166" i="1"/>
  <c r="Y165" i="1"/>
  <c r="Z165" i="1" s="1"/>
  <c r="G165" i="1"/>
  <c r="E165" i="1"/>
  <c r="Z164" i="1"/>
  <c r="Y164" i="1"/>
  <c r="Z163" i="1"/>
  <c r="Y163" i="1"/>
  <c r="Q163" i="1"/>
  <c r="Z162" i="1"/>
  <c r="Y162" i="1"/>
  <c r="Q162" i="1"/>
  <c r="G162" i="1"/>
  <c r="E162" i="1"/>
  <c r="Z161" i="1"/>
  <c r="Y161" i="1"/>
  <c r="Q161" i="1"/>
  <c r="Q160" i="1"/>
  <c r="Y160" i="1" s="1"/>
  <c r="Z160" i="1" s="1"/>
  <c r="G160" i="1"/>
  <c r="E160" i="1"/>
  <c r="Y159" i="1"/>
  <c r="Z159" i="1" s="1"/>
  <c r="Q159" i="1"/>
  <c r="G159" i="1"/>
  <c r="E159" i="1"/>
  <c r="Z158" i="1"/>
  <c r="Y158" i="1"/>
  <c r="Q158" i="1"/>
  <c r="Z157" i="1"/>
  <c r="Y157" i="1"/>
  <c r="Q157" i="1"/>
  <c r="G157" i="1"/>
  <c r="E157" i="1"/>
  <c r="A157" i="1"/>
  <c r="A159" i="1" s="1"/>
  <c r="A160" i="1" s="1"/>
  <c r="A162" i="1" s="1"/>
  <c r="A165" i="1" s="1"/>
  <c r="A166" i="1" s="1"/>
  <c r="A167" i="1" s="1"/>
  <c r="A168" i="1" s="1"/>
  <c r="A169" i="1" s="1"/>
  <c r="A170" i="1" s="1"/>
  <c r="A171" i="1" s="1"/>
  <c r="A172" i="1" s="1"/>
  <c r="A173" i="1" s="1"/>
  <c r="A174" i="1" s="1"/>
  <c r="A175" i="1" s="1"/>
  <c r="A176" i="1" s="1"/>
  <c r="A177" i="1" s="1"/>
  <c r="A178" i="1" s="1"/>
  <c r="A179" i="1" s="1"/>
  <c r="A180" i="1" s="1"/>
  <c r="Z156" i="1"/>
  <c r="Y156" i="1"/>
  <c r="Z155" i="1"/>
  <c r="Y155" i="1"/>
  <c r="Q155" i="1"/>
  <c r="Y154" i="1"/>
  <c r="Z154" i="1" s="1"/>
  <c r="Q154" i="1"/>
  <c r="G154" i="1"/>
  <c r="E154" i="1"/>
  <c r="Q153" i="1"/>
  <c r="Y153" i="1" s="1"/>
  <c r="Z153" i="1" s="1"/>
  <c r="G153" i="1"/>
  <c r="E153" i="1"/>
  <c r="Z152" i="1"/>
  <c r="Y152" i="1"/>
  <c r="Q152" i="1"/>
  <c r="Q151" i="1"/>
  <c r="Y151" i="1" s="1"/>
  <c r="Z151" i="1" s="1"/>
  <c r="G151" i="1"/>
  <c r="E151" i="1"/>
  <c r="Z150" i="1"/>
  <c r="Y150" i="1"/>
  <c r="Q150" i="1"/>
  <c r="Q149" i="1"/>
  <c r="Y149" i="1" s="1"/>
  <c r="Z149" i="1" s="1"/>
  <c r="G149" i="1"/>
  <c r="E149" i="1"/>
  <c r="Z148" i="1"/>
  <c r="Y148" i="1"/>
  <c r="Q148" i="1"/>
  <c r="Q147" i="1"/>
  <c r="Y147" i="1" s="1"/>
  <c r="Z147" i="1" s="1"/>
  <c r="G147" i="1"/>
  <c r="E147" i="1"/>
  <c r="Z146" i="1"/>
  <c r="Y146" i="1"/>
  <c r="Z145" i="1"/>
  <c r="Y145" i="1"/>
  <c r="Q145" i="1"/>
  <c r="Y144" i="1"/>
  <c r="Z144" i="1" s="1"/>
  <c r="Q144" i="1"/>
  <c r="G144" i="1"/>
  <c r="E144" i="1"/>
  <c r="Z143" i="1"/>
  <c r="Y143" i="1"/>
  <c r="Q143" i="1"/>
  <c r="Z142" i="1"/>
  <c r="Y142" i="1"/>
  <c r="Q142" i="1"/>
  <c r="G142" i="1"/>
  <c r="E142" i="1"/>
  <c r="Q141" i="1"/>
  <c r="Y141" i="1" s="1"/>
  <c r="Z141" i="1" s="1"/>
  <c r="G141" i="1"/>
  <c r="E141" i="1"/>
  <c r="Z140" i="1"/>
  <c r="Y140" i="1"/>
  <c r="Q140" i="1"/>
  <c r="Y139" i="1"/>
  <c r="Z139" i="1" s="1"/>
  <c r="Q139" i="1"/>
  <c r="G139" i="1"/>
  <c r="E139" i="1"/>
  <c r="Z138" i="1"/>
  <c r="Y138" i="1"/>
  <c r="Z137" i="1"/>
  <c r="Y137" i="1"/>
  <c r="Q137" i="1"/>
  <c r="Z136" i="1"/>
  <c r="Q136" i="1"/>
  <c r="Y136" i="1" s="1"/>
  <c r="G136" i="1"/>
  <c r="E136" i="1"/>
  <c r="Y135" i="1"/>
  <c r="Z135" i="1" s="1"/>
  <c r="Q135" i="1"/>
  <c r="G135" i="1"/>
  <c r="E135" i="1"/>
  <c r="A135" i="1"/>
  <c r="A139" i="1" s="1"/>
  <c r="A141" i="1" s="1"/>
  <c r="A142" i="1" s="1"/>
  <c r="A144" i="1" s="1"/>
  <c r="A147" i="1" s="1"/>
  <c r="A149" i="1" s="1"/>
  <c r="A151" i="1" s="1"/>
  <c r="A153" i="1" s="1"/>
  <c r="A154" i="1" s="1"/>
  <c r="Z134" i="1"/>
  <c r="Y134" i="1"/>
  <c r="Q134" i="1"/>
  <c r="G134" i="1"/>
  <c r="E134" i="1"/>
  <c r="A134" i="1"/>
  <c r="Z133" i="1"/>
  <c r="Y133" i="1"/>
  <c r="Q133" i="1"/>
  <c r="Z132" i="1"/>
  <c r="Q132" i="1"/>
  <c r="Y132" i="1" s="1"/>
  <c r="G132" i="1"/>
  <c r="E132" i="1"/>
  <c r="Q131" i="1"/>
  <c r="Y131" i="1" s="1"/>
  <c r="Z131" i="1" s="1"/>
  <c r="G131" i="1"/>
  <c r="E131" i="1"/>
  <c r="Y130" i="1"/>
  <c r="Z130" i="1" s="1"/>
  <c r="Q130" i="1"/>
  <c r="G130" i="1"/>
  <c r="E130" i="1"/>
  <c r="Q129" i="1"/>
  <c r="Y129" i="1" s="1"/>
  <c r="Z129" i="1" s="1"/>
  <c r="G129" i="1"/>
  <c r="E129" i="1"/>
  <c r="Z128" i="1"/>
  <c r="Y128" i="1"/>
  <c r="Q128" i="1"/>
  <c r="Q127" i="1"/>
  <c r="Y127" i="1" s="1"/>
  <c r="Z127" i="1" s="1"/>
  <c r="G127" i="1"/>
  <c r="E127" i="1"/>
  <c r="Z126" i="1"/>
  <c r="Y126" i="1"/>
  <c r="Q126" i="1"/>
  <c r="Z125" i="1"/>
  <c r="Y125" i="1"/>
  <c r="Q125" i="1"/>
  <c r="G125" i="1"/>
  <c r="E125" i="1"/>
  <c r="Z124" i="1"/>
  <c r="Y124" i="1"/>
  <c r="Z123" i="1"/>
  <c r="Y123" i="1"/>
  <c r="Q123" i="1"/>
  <c r="Y122" i="1"/>
  <c r="Z122" i="1" s="1"/>
  <c r="Q122" i="1"/>
  <c r="G122" i="1"/>
  <c r="E122" i="1"/>
  <c r="Z121" i="1"/>
  <c r="Y121" i="1"/>
  <c r="Q121" i="1"/>
  <c r="Y120" i="1"/>
  <c r="Z120" i="1" s="1"/>
  <c r="Q120" i="1"/>
  <c r="G120" i="1"/>
  <c r="E120" i="1"/>
  <c r="Q119" i="1"/>
  <c r="Y119" i="1" s="1"/>
  <c r="Z119" i="1" s="1"/>
  <c r="G119" i="1"/>
  <c r="E119" i="1"/>
  <c r="Z118" i="1"/>
  <c r="Y118" i="1"/>
  <c r="Q118" i="1"/>
  <c r="Q117" i="1"/>
  <c r="Y117" i="1" s="1"/>
  <c r="Z117" i="1" s="1"/>
  <c r="G117" i="1"/>
  <c r="E117" i="1"/>
  <c r="Z116" i="1"/>
  <c r="Y116" i="1"/>
  <c r="Z115" i="1"/>
  <c r="Y115" i="1"/>
  <c r="Q115" i="1"/>
  <c r="Z114" i="1"/>
  <c r="Q114" i="1"/>
  <c r="Y114" i="1" s="1"/>
  <c r="G114" i="1"/>
  <c r="E114" i="1"/>
  <c r="Z113" i="1"/>
  <c r="Y113" i="1"/>
  <c r="Q113" i="1"/>
  <c r="Z112" i="1"/>
  <c r="Y112" i="1"/>
  <c r="Q112" i="1"/>
  <c r="G112" i="1"/>
  <c r="E112" i="1"/>
  <c r="Y111" i="1"/>
  <c r="Z111" i="1" s="1"/>
  <c r="Q111" i="1"/>
  <c r="G111" i="1"/>
  <c r="E111" i="1"/>
  <c r="A111" i="1"/>
  <c r="A112" i="1" s="1"/>
  <c r="A119" i="1" s="1"/>
  <c r="A120" i="1" s="1"/>
  <c r="A122" i="1" s="1"/>
  <c r="A125" i="1" s="1"/>
  <c r="A127" i="1" s="1"/>
  <c r="A129" i="1" s="1"/>
  <c r="A130" i="1" s="1"/>
  <c r="Z110" i="1"/>
  <c r="Y110" i="1"/>
  <c r="Q110" i="1"/>
  <c r="Y109" i="1"/>
  <c r="Z109" i="1" s="1"/>
  <c r="Q109" i="1"/>
  <c r="G109" i="1"/>
  <c r="E109" i="1"/>
  <c r="Z108" i="1"/>
  <c r="Y108" i="1"/>
  <c r="Q108" i="1"/>
  <c r="Q107" i="1"/>
  <c r="Y107" i="1" s="1"/>
  <c r="Z107" i="1" s="1"/>
  <c r="G107" i="1"/>
  <c r="E107" i="1"/>
  <c r="Z101" i="1"/>
  <c r="Y101" i="1"/>
  <c r="Q101" i="1"/>
  <c r="Z99" i="1"/>
  <c r="Q99" i="1"/>
  <c r="Y99" i="1" s="1"/>
  <c r="G99" i="1"/>
  <c r="E99" i="1"/>
  <c r="Z98" i="1"/>
  <c r="Y98" i="1"/>
  <c r="Q98" i="1"/>
  <c r="Y97" i="1"/>
  <c r="Z97" i="1" s="1"/>
  <c r="Q97" i="1"/>
  <c r="G97" i="1"/>
  <c r="E97" i="1"/>
  <c r="Z96" i="1"/>
  <c r="Y96" i="1"/>
  <c r="Q96" i="1"/>
  <c r="Y95" i="1"/>
  <c r="Z95" i="1" s="1"/>
  <c r="Q95" i="1"/>
  <c r="G95" i="1"/>
  <c r="E95" i="1"/>
  <c r="Q94" i="1"/>
  <c r="Y94" i="1" s="1"/>
  <c r="Z94" i="1" s="1"/>
  <c r="G94" i="1"/>
  <c r="E94" i="1"/>
  <c r="Z93" i="1"/>
  <c r="Y93" i="1"/>
  <c r="Q93" i="1"/>
  <c r="Q92" i="1"/>
  <c r="Y92" i="1" s="1"/>
  <c r="Z92" i="1" s="1"/>
  <c r="G92" i="1"/>
  <c r="E92" i="1"/>
  <c r="Y91" i="1"/>
  <c r="Z91" i="1" s="1"/>
  <c r="Q91" i="1"/>
  <c r="G91" i="1"/>
  <c r="E91" i="1"/>
  <c r="Z90" i="1"/>
  <c r="Y90" i="1"/>
  <c r="Q90" i="1"/>
  <c r="Q89" i="1"/>
  <c r="Y89" i="1" s="1"/>
  <c r="Z89" i="1" s="1"/>
  <c r="G89" i="1"/>
  <c r="E89" i="1"/>
  <c r="A89" i="1"/>
  <c r="A94" i="1" s="1"/>
  <c r="A97" i="1" s="1"/>
  <c r="A99" i="1" s="1"/>
  <c r="A107" i="1" s="1"/>
  <c r="A109" i="1" s="1"/>
  <c r="Z88" i="1"/>
  <c r="Y88" i="1"/>
  <c r="Z87" i="1"/>
  <c r="Y87" i="1"/>
  <c r="Q87" i="1"/>
  <c r="Q86" i="1"/>
  <c r="Y86" i="1" s="1"/>
  <c r="Z86" i="1" s="1"/>
  <c r="G86" i="1"/>
  <c r="E86" i="1"/>
  <c r="A86" i="1"/>
  <c r="Z85" i="1"/>
  <c r="Y85" i="1"/>
  <c r="Q85" i="1"/>
  <c r="Q84" i="1"/>
  <c r="Y84" i="1" s="1"/>
  <c r="Z84" i="1" s="1"/>
  <c r="G84" i="1"/>
  <c r="E84" i="1"/>
  <c r="A84" i="1"/>
  <c r="Z83" i="1"/>
  <c r="Y83" i="1"/>
  <c r="Q83" i="1"/>
  <c r="Z82" i="1"/>
  <c r="Q82" i="1"/>
  <c r="Y82" i="1" s="1"/>
  <c r="G82" i="1"/>
  <c r="E82" i="1"/>
  <c r="Z81" i="1"/>
  <c r="Q81" i="1"/>
  <c r="Y81" i="1" s="1"/>
  <c r="G81" i="1"/>
  <c r="E81" i="1"/>
  <c r="Z80" i="1"/>
  <c r="Y80" i="1"/>
  <c r="Q80" i="1"/>
  <c r="Y79" i="1"/>
  <c r="Z79" i="1" s="1"/>
  <c r="Q79" i="1"/>
  <c r="G79" i="1"/>
  <c r="E79" i="1"/>
  <c r="Q78" i="1"/>
  <c r="Y78" i="1" s="1"/>
  <c r="Z78" i="1" s="1"/>
  <c r="G78" i="1"/>
  <c r="E78" i="1"/>
  <c r="Z77" i="1"/>
  <c r="Y77" i="1"/>
  <c r="Q77" i="1"/>
  <c r="G77" i="1"/>
  <c r="E77" i="1"/>
  <c r="Q76" i="1"/>
  <c r="Y76" i="1" s="1"/>
  <c r="Z76" i="1" s="1"/>
  <c r="G76" i="1"/>
  <c r="E76" i="1"/>
  <c r="A76" i="1"/>
  <c r="A81" i="1" s="1"/>
  <c r="A82" i="1" s="1"/>
  <c r="Z75" i="1"/>
  <c r="Y75" i="1"/>
  <c r="Q75" i="1"/>
  <c r="Q74" i="1"/>
  <c r="Y74" i="1" s="1"/>
  <c r="Z74" i="1" s="1"/>
  <c r="G74" i="1"/>
  <c r="E74" i="1"/>
  <c r="A74" i="1"/>
  <c r="Z73" i="1"/>
  <c r="Y73" i="1"/>
  <c r="Q73" i="1"/>
  <c r="Z72" i="1"/>
  <c r="Q72" i="1"/>
  <c r="Y72" i="1" s="1"/>
  <c r="G72" i="1"/>
  <c r="E72" i="1"/>
  <c r="A72" i="1"/>
  <c r="Z71" i="1"/>
  <c r="Q71" i="1"/>
  <c r="Y71" i="1" s="1"/>
  <c r="G71" i="1"/>
  <c r="E71" i="1"/>
  <c r="Z70" i="1"/>
  <c r="Y70" i="1"/>
  <c r="Q70" i="1"/>
  <c r="Q69" i="1"/>
  <c r="Y69" i="1" s="1"/>
  <c r="Z69" i="1" s="1"/>
  <c r="G69" i="1"/>
  <c r="E69" i="1"/>
  <c r="Q68" i="1"/>
  <c r="Y68" i="1" s="1"/>
  <c r="Z68" i="1" s="1"/>
  <c r="G68" i="1"/>
  <c r="E68" i="1"/>
  <c r="Y67" i="1"/>
  <c r="Z67" i="1" s="1"/>
  <c r="Q67" i="1"/>
  <c r="G67" i="1"/>
  <c r="E67" i="1"/>
  <c r="Q66" i="1"/>
  <c r="Y66" i="1" s="1"/>
  <c r="Z66" i="1" s="1"/>
  <c r="G66" i="1"/>
  <c r="E66" i="1"/>
  <c r="A66" i="1"/>
  <c r="Z65" i="1"/>
  <c r="Y65" i="1"/>
  <c r="Q65" i="1"/>
  <c r="Q64" i="1"/>
  <c r="Y64" i="1" s="1"/>
  <c r="Z64" i="1" s="1"/>
  <c r="G64" i="1"/>
  <c r="E64" i="1"/>
  <c r="A64" i="1"/>
  <c r="Z63" i="1"/>
  <c r="Y63" i="1"/>
  <c r="Q63" i="1"/>
  <c r="Z62" i="1"/>
  <c r="Y62" i="1"/>
  <c r="Q62" i="1"/>
  <c r="G62" i="1"/>
  <c r="E62" i="1"/>
  <c r="Z61" i="1"/>
  <c r="Q61" i="1"/>
  <c r="Y61" i="1" s="1"/>
  <c r="G61" i="1"/>
  <c r="E61" i="1"/>
  <c r="Z60" i="1"/>
  <c r="Y60" i="1"/>
  <c r="Q60" i="1"/>
  <c r="Q59" i="1"/>
  <c r="Y59" i="1" s="1"/>
  <c r="Z59" i="1" s="1"/>
  <c r="G59" i="1"/>
  <c r="E59" i="1"/>
  <c r="Q58" i="1"/>
  <c r="Y58" i="1" s="1"/>
  <c r="Z58" i="1" s="1"/>
  <c r="G58" i="1"/>
  <c r="E58" i="1"/>
  <c r="Q57" i="1"/>
  <c r="Y57" i="1" s="1"/>
  <c r="Z57" i="1" s="1"/>
  <c r="G57" i="1"/>
  <c r="E57" i="1"/>
  <c r="Y56" i="1"/>
  <c r="Z56" i="1" s="1"/>
  <c r="Q56" i="1"/>
  <c r="G56" i="1"/>
  <c r="E56" i="1"/>
  <c r="Z55" i="1"/>
  <c r="Y55" i="1"/>
  <c r="Q55" i="1"/>
  <c r="Z54" i="1"/>
  <c r="Y54" i="1"/>
  <c r="Z53" i="1"/>
  <c r="Q53" i="1"/>
  <c r="Y53" i="1" s="1"/>
  <c r="G53" i="1"/>
  <c r="E53" i="1"/>
  <c r="Z52" i="1"/>
  <c r="Q52" i="1"/>
  <c r="Y52" i="1" s="1"/>
  <c r="G52" i="1"/>
  <c r="E52" i="1"/>
  <c r="A52" i="1"/>
  <c r="A53" i="1" s="1"/>
  <c r="A56" i="1" s="1"/>
  <c r="Z51" i="1"/>
  <c r="Q51" i="1"/>
  <c r="Y51" i="1" s="1"/>
  <c r="G51" i="1"/>
  <c r="E51" i="1"/>
  <c r="A51" i="1"/>
  <c r="Z50" i="1"/>
  <c r="Y50" i="1"/>
  <c r="Q50" i="1"/>
  <c r="G50" i="1"/>
  <c r="E50" i="1"/>
  <c r="A50" i="1"/>
  <c r="Z49" i="1"/>
  <c r="Y49" i="1"/>
  <c r="Q49" i="1"/>
  <c r="Q48" i="1"/>
  <c r="Y48" i="1" s="1"/>
  <c r="Z48" i="1" s="1"/>
  <c r="G48" i="1"/>
  <c r="E48" i="1"/>
  <c r="Z47" i="1"/>
  <c r="Y47" i="1"/>
  <c r="Q47" i="1"/>
  <c r="Z46" i="1"/>
  <c r="Y46" i="1"/>
  <c r="Q46" i="1"/>
  <c r="G46" i="1"/>
  <c r="E46" i="1"/>
  <c r="Z45" i="1"/>
  <c r="Y45" i="1"/>
  <c r="Q45" i="1"/>
  <c r="Q44" i="1"/>
  <c r="Y44" i="1" s="1"/>
  <c r="Z44" i="1" s="1"/>
  <c r="G44" i="1"/>
  <c r="E44" i="1"/>
  <c r="A44" i="1"/>
  <c r="A46" i="1" s="1"/>
  <c r="Y43" i="1"/>
  <c r="Z43" i="1" s="1"/>
  <c r="G43" i="1"/>
  <c r="E43" i="1"/>
  <c r="A43" i="1"/>
  <c r="Z42" i="1"/>
  <c r="Y42" i="1"/>
  <c r="Q42" i="1"/>
  <c r="Z41" i="1"/>
  <c r="Y41" i="1"/>
  <c r="Z40" i="1"/>
  <c r="Y40" i="1"/>
  <c r="Q40" i="1"/>
  <c r="Q39" i="1"/>
  <c r="Y39" i="1" s="1"/>
  <c r="Z39" i="1" s="1"/>
  <c r="G39" i="1"/>
  <c r="E39" i="1"/>
  <c r="G38" i="1"/>
  <c r="E38" i="1"/>
  <c r="Q37" i="1"/>
  <c r="Y37" i="1" s="1"/>
  <c r="Z37" i="1" s="1"/>
  <c r="G37" i="1"/>
  <c r="E37" i="1"/>
  <c r="A37" i="1"/>
  <c r="Q36" i="1"/>
  <c r="Y36" i="1" s="1"/>
  <c r="Z36" i="1" s="1"/>
  <c r="G36" i="1"/>
  <c r="E36" i="1"/>
  <c r="Z35" i="1"/>
  <c r="Y35" i="1"/>
  <c r="Q35" i="1"/>
  <c r="Z34" i="1"/>
  <c r="Q34" i="1"/>
  <c r="Y34" i="1" s="1"/>
  <c r="G34" i="1"/>
  <c r="E34" i="1"/>
  <c r="Z33" i="1"/>
  <c r="Q33" i="1"/>
  <c r="Y33" i="1" s="1"/>
  <c r="G33" i="1"/>
  <c r="E33" i="1"/>
  <c r="Z32" i="1"/>
  <c r="Q32" i="1"/>
  <c r="Y32" i="1" s="1"/>
  <c r="G32" i="1"/>
  <c r="E32" i="1"/>
  <c r="Z31" i="1"/>
  <c r="Y31" i="1"/>
  <c r="Q31" i="1"/>
  <c r="G31" i="1"/>
  <c r="E31" i="1"/>
  <c r="Z30" i="1"/>
  <c r="Q30" i="1"/>
  <c r="Y30" i="1" s="1"/>
  <c r="G30" i="1"/>
  <c r="E30" i="1"/>
  <c r="Z29" i="1"/>
  <c r="Q29" i="1"/>
  <c r="Y29" i="1" s="1"/>
  <c r="G29" i="1"/>
  <c r="E29" i="1"/>
  <c r="Z28" i="1"/>
  <c r="Y28" i="1"/>
  <c r="Q28" i="1"/>
  <c r="G28" i="1"/>
  <c r="E28" i="1"/>
  <c r="Z27" i="1"/>
  <c r="Q27" i="1"/>
  <c r="Y27" i="1" s="1"/>
  <c r="G27" i="1"/>
  <c r="E27" i="1"/>
  <c r="Z26" i="1"/>
  <c r="Y26" i="1"/>
  <c r="Q26" i="1"/>
  <c r="Q25" i="1"/>
  <c r="Y25" i="1" s="1"/>
  <c r="Z25" i="1" s="1"/>
  <c r="G25" i="1"/>
  <c r="E25" i="1"/>
  <c r="A25" i="1"/>
  <c r="Y24" i="1"/>
  <c r="Z24" i="1" s="1"/>
  <c r="Q24" i="1"/>
  <c r="G24" i="1"/>
  <c r="E24" i="1"/>
  <c r="Q23" i="1"/>
  <c r="Y23" i="1" s="1"/>
  <c r="Z23" i="1" s="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G6" i="1"/>
  <c r="E6" i="1"/>
  <c r="Z5" i="1"/>
  <c r="Y5" i="1"/>
  <c r="G5" i="1"/>
  <c r="E5" i="1"/>
  <c r="Z4" i="1"/>
  <c r="Y4" i="1"/>
  <c r="Y214" i="1" l="1"/>
  <c r="Y212" i="1"/>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Z6" i="1"/>
  <c r="Z212" i="1" s="1"/>
  <c r="D10" i="3"/>
  <c r="D26" i="3"/>
  <c r="D42" i="3"/>
  <c r="D58" i="3"/>
  <c r="D74" i="3"/>
  <c r="D90" i="3"/>
  <c r="D11" i="3"/>
  <c r="D27" i="3"/>
  <c r="D43" i="3"/>
  <c r="D59" i="3"/>
  <c r="D75" i="3"/>
  <c r="D91" i="3"/>
  <c r="D92" i="3"/>
  <c r="D44" i="3"/>
  <c r="D13" i="3"/>
  <c r="D29" i="3"/>
  <c r="D45" i="3"/>
  <c r="D61" i="3"/>
  <c r="D77" i="3"/>
  <c r="D93" i="3"/>
  <c r="D12" i="3"/>
  <c r="D76" i="3"/>
  <c r="D14" i="3"/>
  <c r="D30" i="3"/>
  <c r="D46" i="3"/>
  <c r="D62" i="3"/>
  <c r="D78" i="3"/>
  <c r="D28" i="3"/>
  <c r="D60" i="3"/>
  <c r="D15" i="3"/>
  <c r="D31" i="3"/>
  <c r="D47" i="3"/>
  <c r="D63" i="3"/>
  <c r="D79" i="3"/>
  <c r="D16" i="3"/>
  <c r="D32" i="3"/>
  <c r="D48" i="3"/>
  <c r="D64" i="3"/>
  <c r="D80" i="3"/>
  <c r="Y213" i="1"/>
  <c r="D17" i="3"/>
  <c r="D33" i="3"/>
  <c r="D49" i="3"/>
  <c r="D65" i="3"/>
  <c r="D81" i="3"/>
  <c r="D18" i="3"/>
  <c r="D34" i="3"/>
  <c r="D50" i="3"/>
  <c r="D66" i="3"/>
</calcChain>
</file>

<file path=xl/sharedStrings.xml><?xml version="1.0" encoding="utf-8"?>
<sst xmlns="http://schemas.openxmlformats.org/spreadsheetml/2006/main" count="2824" uniqueCount="1438">
  <si>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</si>
  <si>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</si>
  <si>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</si>
  <si>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</si>
  <si>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</si>
  <si>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</si>
  <si>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</si>
  <si>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</si>
  <si>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</si>
  <si>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</si>
  <si>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</si>
  <si>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</si>
  <si>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</si>
  <si>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</si>
  <si>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</si>
  <si>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</si>
  <si>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</si>
  <si>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</si>
  <si>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</si>
  <si>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</si>
  <si>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</si>
  <si>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</si>
  <si>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</si>
  <si>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</si>
  <si>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</si>
  <si>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</si>
  <si>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</si>
  <si>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</si>
  <si>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</si>
  <si>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</si>
  <si>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</si>
  <si>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</si>
  <si>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</si>
  <si>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</si>
  <si>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</si>
  <si>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</si>
  <si>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</si>
  <si>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</si>
  <si>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</si>
  <si>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</si>
  <si>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</si>
  <si>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</si>
  <si>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</si>
  <si>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</si>
  <si>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</si>
  <si>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</si>
  <si>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</si>
  <si>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</si>
  <si>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</si>
  <si>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</si>
  <si>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</si>
  <si>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</si>
  <si>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</si>
  <si>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</si>
  <si>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</si>
  <si>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</si>
  <si>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</si>
  <si>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</si>
  <si>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</si>
  <si>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</si>
  <si>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</si>
  <si>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t>Which language do you wish to proceed with?
[OPERATOR: READ ANSWER CHOICES. SINGLE RESPONSE.]
1)English
2)other options [add as many as necessary]</t>
  </si>
  <si>
    <t>Quelle langue souhaitez-vous utiliser?
[OPÉRATEUR/OPÉRATRICE: LIRE LES CHOIX, RÉPONSE UNIQUE]
1)Français
2)autre [ajouter autant d'options que nécessaire]</t>
  </si>
  <si>
    <t>1 = introduction [English]
2 = introduction [languages &amp; add more if needed]</t>
  </si>
  <si>
    <t>For any response, go to introduction</t>
  </si>
  <si>
    <t>Haoussa, Zerma, Kanuri, Tamachek, Peulh</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</si>
  <si>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</si>
  <si>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</si>
  <si>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</si>
  <si>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1 = Agree</t>
  </si>
  <si>
    <t>For any response, go to Agree</t>
  </si>
  <si>
    <t>No incentives</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</si>
  <si>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</si>
  <si>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</si>
  <si>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</si>
  <si>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</si>
  <si>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</si>
  <si>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[id_panel OR resp_firstname]
2 = WhenCallBack
3 = resp_refusalwhy</t>
  </si>
  <si>
    <t>if Agree = 1, go to id_panel OR resp_firstname
if Agree = 2, go to WhenCallBack
if Agree = 3, go to resp_refusalwhy</t>
  </si>
  <si>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</si>
  <si>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</si>
  <si>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</si>
  <si>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t>Est-ce que vous ou un membre de votre ménage avez reçu un appel pour le compte de la FAO sur ce sujet au cours des deux dernières années?
[OPÉRATEUR/OP´ERATRICE: RÉPONSE UNIQUE.]
1)Oui
2)Non
3)NE SAIT PAS</t>
  </si>
  <si>
    <t>1-3 = resp_firstname</t>
  </si>
  <si>
    <t>For any response, go to resp_firstname</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</si>
  <si>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</si>
  <si>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</si>
  <si>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</si>
  <si>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</si>
  <si>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</si>
  <si>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</si>
  <si>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</si>
  <si>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</si>
  <si>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</si>
  <si>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</si>
  <si>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</si>
  <si>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</si>
  <si>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</si>
  <si>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</si>
  <si>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</si>
  <si>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</si>
  <si>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</si>
  <si>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</si>
  <si>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</si>
  <si>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</si>
  <si>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</si>
  <si>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</si>
  <si>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</si>
  <si>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</si>
  <si>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</si>
  <si>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</si>
  <si>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</si>
  <si>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</si>
  <si>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</si>
  <si>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</si>
  <si>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</si>
  <si>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</si>
  <si>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</si>
  <si>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</si>
  <si>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</si>
  <si>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</si>
  <si>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</si>
  <si>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</si>
  <si>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</si>
  <si>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</si>
  <si>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</si>
  <si>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</si>
  <si>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</si>
  <si>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</si>
  <si>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</si>
  <si>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</si>
  <si>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</si>
  <si>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</si>
  <si>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</si>
  <si>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</si>
  <si>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</si>
  <si>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</si>
  <si>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</si>
  <si>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</si>
  <si>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</si>
  <si>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</si>
  <si>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</si>
  <si>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</si>
  <si>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</si>
  <si>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</si>
  <si>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Any Response = contact_2</t>
  </si>
  <si>
    <t>For any response, go to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</si>
  <si>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</si>
  <si>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</si>
  <si>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Pouvez-vous me donner un autre numéro de téléphone, le vôtre, celui d'un parent ou d'un ami,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</si>
  <si>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</si>
  <si>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</si>
  <si>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</si>
  <si>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t>What is the additional phone number?
[OPERATOR: RECORD THE NUMBER GIVEN]</t>
  </si>
  <si>
    <t>Quel est cet autre numéro de téléphone?
[OPÉRATEUR/OPÉRATRICE: SAISIR LE NUMERO.]</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</si>
  <si>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</si>
  <si>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</si>
  <si>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</si>
  <si>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</si>
  <si>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</si>
  <si>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</si>
  <si>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</si>
  <si>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</si>
  <si>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</si>
  <si>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</si>
  <si>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</si>
  <si>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</si>
  <si>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</si>
  <si>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</si>
  <si>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</si>
  <si>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</si>
  <si>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</si>
  <si>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</si>
  <si>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</si>
  <si>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</si>
  <si>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Région does your household reside?
[OPERATOR: SINGLE SELECTION.]
[HINT: HOUSEHOLD CONSISTS OF ALL MEMBERS LIVING TOGETHER, SHARING RESOURCES &amp; EATING FROM THE SAME POT.]
1)ADMIN1
2)DON'T KNOW
3)REFUSED </t>
  </si>
  <si>
    <t>Actuellement, dans quel Région votre ménage vit-il?
[OPÉRATEUR/OPÉRATRICE: RÉPONSE UNIQUE.]
[NOTE: LE MÉNAGE EST COMPOSÉ DE TOUTES LES PERSONNES VIVANT ENSEMBLE, METTANT EN COMMUN LEURS RESSOURCES ET PARTAGEANT LEURS REPAS.]
1)ADMIN1
2)NE SAIT PAS
3)REFUSÉ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</si>
  <si>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</si>
  <si>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</si>
  <si>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</si>
  <si>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</si>
  <si>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Département does your household reside?
[OPERATOR: SINGLE RESPONSE.]
1)ADMIN2
2)DON'T KNOW
3)REFUSED </t>
  </si>
  <si>
    <t>Actuellement, dans quel Département votre ménage vit-il?
[OPÉRATEUR/OPÉRATRICE: RÉPONSE UNIQUE.]
1)ADMIN2
2)NE SAIT PAS
3)REFUSÉ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</si>
  <si>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</si>
  <si>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</si>
  <si>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</si>
  <si>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</si>
  <si>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</si>
  <si>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</si>
  <si>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</si>
  <si>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</si>
  <si>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</si>
  <si>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</si>
  <si>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</si>
  <si>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</si>
  <si>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</si>
  <si>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</si>
  <si>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</si>
  <si>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</si>
  <si>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</si>
  <si>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</si>
  <si>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</si>
  <si>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</si>
  <si>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</si>
  <si>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</si>
  <si>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</si>
  <si>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</si>
  <si>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</si>
  <si>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</si>
  <si>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</si>
  <si>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</si>
  <si>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</si>
  <si>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</si>
  <si>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 xml:space="preserve">
1-12 = [income_main OR other optional question]</t>
  </si>
  <si>
    <t>For any response, go to [income_main OR other optional question]</t>
  </si>
  <si>
    <t>For any response, go to [hh_residence_type]</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</si>
  <si>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</si>
  <si>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</si>
  <si>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</si>
  <si>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</si>
  <si>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</si>
  <si>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</si>
  <si>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</si>
  <si>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</si>
  <si>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</si>
  <si>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1-50 = hh_asset_prod
88-88 = hh_asset_prod
99-99 = hh_asset_prod</t>
  </si>
  <si>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</si>
  <si>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</si>
  <si>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</si>
  <si>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t>1-7 = hh_age</t>
  </si>
  <si>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</si>
  <si>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</si>
  <si>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</si>
  <si>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</si>
  <si>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</si>
  <si>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</si>
  <si>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</si>
  <si>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</si>
  <si>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</si>
  <si>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</si>
  <si>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</si>
  <si>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#1-3 selected go to income_main_cropcheck 
if options #4 selected go to income_main_lscheck 
if options #5 selected go to income_main_fishcheck 
if options #6-18 selected, go to income_main_amount 
if options #19-21 selected, go to shock</t>
  </si>
  <si>
    <t>income_main_crop_check</t>
  </si>
  <si>
    <t xml:space="preserve">Are the crops that you sell also produced by you or anyone in your household?
[OPERATOR: SINGLE RESPONSE.]
1)YES
2)NO
3)DON'T KNOW
4)REFUSED </t>
  </si>
  <si>
    <t>Les cultures que vous vendez sont-elles produites par vous ou par un des membres de votre ménage ?
[OPÉRATEUR/OPÉRATRICE: RÉPONSE UNIQUE.]
1)Oui
2)Non
3)NE SAIT PAS
4)REFUSÉ</t>
  </si>
  <si>
    <t>1-4 = income_main_comp OR optional question</t>
  </si>
  <si>
    <t>if income_main_crop_check = 1-4, go to [income_main_comp OR optional question]</t>
  </si>
  <si>
    <t>if options #1-4, go to income_main_amount</t>
  </si>
  <si>
    <t>income_main_ls_check</t>
  </si>
  <si>
    <t xml:space="preserve">Are the livestock and livestock products that you sell also produced by you or anyone in your household?
[OPERATOR: SINGLE RESPONSE.]
1)YES
2)NO
3)DON'T KNOW
4)REFUSED </t>
  </si>
  <si>
    <t xml:space="preserve">Le bétail et les produits du bétail que vous vendez sont-ils produits par vous par un des membres de votre ménage ?
[OPÉRATEUR/OPÉRATRICE: RÉPONSE UNIQUE.]
1)Oui
2)Non
3)NE SAIT PAS
4)REFUSÉ
</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</si>
  <si>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</si>
  <si>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</si>
  <si>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</si>
  <si>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Les produits de la pêche / aquaculture que vous vendez sont-ils produits par vous ou par un membre de votre ménage ? 
[OPÉRATEUR/OPÉRATRICE: RÉPONSE UNIQUE.]
1)Oui
2)Non
3)NE SAIT PAS
4)REFUSÉ</t>
  </si>
  <si>
    <t>if income_main_fish_check = 1-4, go to [income_main_comp OR optional question]</t>
  </si>
  <si>
    <t>income_main_amount</t>
  </si>
  <si>
    <t>How much was earned [in Francs CFA] from your main income source, {income_main}, in the past 3 months ?
[OPERATOR: MAKE SURE THE INFORMATION IS RECORDED IN THE CORRECT CURRENCY. ENTER 8888888 FOR DON'T KNOW AND 9999999 FOR REFUSED.]</t>
  </si>
  <si>
    <t>Quelle somme [en Francs CFA] a rapporté votre principale source de revenus, {income_main}, au cours des trois derniers mois?
[OPÉRATEUR/OPÉRATRICE: VÉRIFIER QUE LA RÉPONSE EST ENREGISTRÉE DANS LA BONNE DEVISE. SAISIR 8888888 POUR «NE SAIT PAS» ET 9999999 POUR «REFUSÉ».]</t>
  </si>
  <si>
    <t>4500 - 450000 = income_main_comp OR optional question
450000 - 3000000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</si>
  <si>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</si>
  <si>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 xml:space="preserve">If the income amount is over the threshold set in "Additional information", the respondent will be asked to confirm with income_main_amount_conf. Otherwise, go to income_main_comp </t>
  </si>
  <si>
    <t>We recommend using this pair of questions together.</t>
  </si>
  <si>
    <t>income_main_amount_conf</t>
  </si>
  <si>
    <t>Can you confirm the amount of income you just stated is correct?
[OPERATOR: IF THE AMOUNT EARNED FROM THIS INCOME SOURCE OVER THE PAST 3 MONTH IS INDEED OVER 450000,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</si>
  <si>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450000, CLIQUER SUR CONTINUER. SINON, REVENIR EN ARRIÈRE ET MODIFIER LE MONTANT SAISI.]
1)CONTINUER</t>
  </si>
  <si>
    <t>1 = income_main_comp OR optional question</t>
  </si>
  <si>
    <t>if income_main_amount_conf = 1, go to income_main_comp or optional question</t>
  </si>
  <si>
    <t xml:space="preserve">if income_main_amount_conf = 1, go to income_main_comp </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</si>
  <si>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</si>
  <si>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</si>
  <si>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{income_main}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</si>
  <si>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</si>
  <si>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</si>
  <si>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</si>
  <si>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</si>
  <si>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</si>
  <si>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</si>
  <si>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</si>
  <si>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</si>
  <si>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 xml:space="preserve"> if options #1-3 selected go to income_sec_cropcheck 
if options #4 selected go to income_sec_lscheck 
if options #5 selected go to income_sec_fishcheck 
if options #6-18 selected, go to income_sec_amount
if options #19-21 selected, go to shock</t>
  </si>
  <si>
    <t>income_sec_crop_check</t>
  </si>
  <si>
    <t>1-4 = income_sec_comp OR optional question</t>
  </si>
  <si>
    <t>if income_sec_crop_check = 1-4, go to [income_sec_comp OR optional question]</t>
  </si>
  <si>
    <t>if options #1-4, go to income_sec_amount</t>
  </si>
  <si>
    <t>income_sec_ls_check</t>
  </si>
  <si>
    <t>if income_sec_ls_check = 1-4, go to [income_sec_comp OR optional question]</t>
  </si>
  <si>
    <t>income_sec_fish_check</t>
  </si>
  <si>
    <t>if income_sec_fish_check = 1-4, go to [income_sec_comp OR optional question]</t>
  </si>
  <si>
    <t>income_sec_amount</t>
  </si>
  <si>
    <t>How much was earned [in Francs CFA] from your second main income source, {income_sec}, in the past 3 months ?
[OPERATOR: MAKE SURE THE INFORMATION IS RECORDED IN THE CORRECT CURRENCY. ENTER 8888888 FOR DON'T KNOW AND 9999999 FOR REFUSED.]</t>
  </si>
  <si>
    <t>Quelle somme [en Francs CFA] a rapporté votre deuxième principale source de revenu, {income_sec}, au cours des trois derniers mois?
[OPÉRATEUR/OPÉRATRICE: VÉRIFIER QUE LA RÉPONSE EST ENREGISTRÉE DANS LA BONNE DEVISE. SAISIR 8888888 POUR «NE SAIT PAS» ET 9999999 POUR «REFUSÉ».]</t>
  </si>
  <si>
    <t>4500 - 450000 = income_sec_comp or optional question
450000 - 3000000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</si>
  <si>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</si>
  <si>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</si>
  <si>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</si>
  <si>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</si>
  <si>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</si>
  <si>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</si>
  <si>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{income_sec}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</si>
  <si>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</si>
  <si>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</si>
  <si>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</si>
  <si>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</si>
  <si>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</si>
  <si>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</si>
  <si>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</si>
  <si>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</si>
  <si>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options #1-3 selected go to income_third_cropcheck 
if options #4 selected go to income_third_lscheck 
if options #5 selected go to income_third_fishcheck 
if options #6-18 selected, go to income_third_amount
if options #19-21 selected, go to shock</t>
  </si>
  <si>
    <t>income_third_crop_check</t>
  </si>
  <si>
    <t>1-4 = income_third_comp OR optional question</t>
  </si>
  <si>
    <t>if income_third_crop_check = 1-4, go to [income_third_comp OR optional question]</t>
  </si>
  <si>
    <t xml:space="preserve">if options #1-4, go to income_third_amount </t>
  </si>
  <si>
    <t>income_third_ls_check</t>
  </si>
  <si>
    <t>if income_third_ls_check = 1-4, go to [income_third_comp OR optional question]</t>
  </si>
  <si>
    <t>income_third_fish_check</t>
  </si>
  <si>
    <t>if income_third_fish_check = 1-4, go to [income_third_comp OR optional question]</t>
  </si>
  <si>
    <t>income_third_amount</t>
  </si>
  <si>
    <t>How much was earned [in Francs CFA] from your third main source of income, {income_third}, in the past 3 months ?
[OPERATOR: MAKE SURE THE INFORMATION IS RECORDED IN THE CORRECT CURRENCY. ENTER 8888888 FOR DON'T KNOW AND 9999999 FOR REFUSED.]</t>
  </si>
  <si>
    <t>Quelle somme [en Francs CFA] a rapporté votre troisième principale source de revenu, {income_sec}, au cours des trois derniers mois?
[OPÉRATEUR/OPÉRATRICE: VÉRIFIER QUE LA RÉPONSE EST ENREGISTRÉE DANS LA BONNE DEVISE. SAISIR 8888888 POUR «NE SAIT PAS» ET 9999999 POUR «REFUSÉ».]</t>
  </si>
  <si>
    <t>4500 - 450000 = income_third_comp or optional question
450000 - 3000000 = income_third_amount_conf
8888888-8888888 = income_third_comp or optional question
9999999-9999999 = income_third_comp or optional question</t>
  </si>
  <si>
    <t>If the income amount is over the threshold set in "Additional information", the respondent will be asked to confirm with income_third_amount_conf. Otherwise, go to income_third_comp or optional question.</t>
  </si>
  <si>
    <t xml:space="preserve">If the income amount is over the threshold set in "Additional information", the respondent will be asked to confirm with income_third_amount_conf. Otherwise, go to income_third_comp </t>
  </si>
  <si>
    <t>income_third_amount_conf</t>
  </si>
  <si>
    <t>1 = income_third_comp or optional question</t>
  </si>
  <si>
    <t>if income_third_amount_conf = 1, go to income_third_comp or optional question</t>
  </si>
  <si>
    <t>if income_third_amount_conf = 1, go to income_third_comp</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</si>
  <si>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</si>
  <si>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</si>
  <si>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{income_third}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</si>
  <si>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</si>
  <si>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</si>
  <si>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</si>
  <si>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</si>
  <si>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</si>
  <si>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</si>
  <si>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Select All That Apply</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</si>
  <si>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</si>
  <si>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</si>
  <si>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</si>
  <si>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</si>
  <si>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1 - 27, go to crp_intro</t>
  </si>
  <si>
    <t>D. CROP PRODUCTION</t>
  </si>
  <si>
    <t>crp_intro</t>
  </si>
  <si>
    <t>We will now ask you some questions about crop production which apply to you and anyone in your household that is involved in crop production or sales. All questions refer to the crops grown during rainy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</si>
  <si>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</si>
  <si>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</si>
  <si>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</si>
  <si>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</si>
  <si>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</si>
  <si>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</si>
  <si>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</si>
  <si>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</si>
  <si>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</si>
  <si>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</si>
  <si>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</si>
  <si>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</si>
  <si>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What has been the main crop that your household has grown for food and income generation in rainy season, if any? 
 [OPERATOR: SINGLE RESPONSE. "NO CROP PRODUCTION" IS IN LAST OPTIONS AT THE END.] 
1)Millet
2)Sorghum
3)Maize
4)Potatoe
5)Beans
6)Cabbage
7)Lettuce
8)Tomatoes
9)Onions
10)Rice
11)Wheat
12)Barley
13)Other Cereal
14)Cassava
15)Sweet Potatoes
16)Yams
17)Carrots
18)Cocoyam
19)Other tubers
20)Lentils
21)Peas
22)Soybeans
23)Chickpeas
24)Fava beans
25)Broad beans
26)Other pulses
27)Spinach-Amaranth
28)Cassava leaves
29)Potatoe leaves
30)Moringa
31)Sorrel Hibiscus / Rosselle
32)Green salad herbs [thyme, parsley, mint, rocca, other]
33)Cauliflower
34)Other leafy vegetables
35)Cucumber
36)Pumpkin
37)Eggplant/aubergine
38)Zucchini
39)Okra
40)Bell pepper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t>
  </si>
  <si>
    <t>Quelle a été la principale culture pratiquée par votre ménage pour se nourrir et générer des revenus pendant la saison pluviale, si applicable? 
 [OPÉRATEUR/OPÉRATRICE: RÉPONSE UNIQUE. «AUCUNE PRODUCTION VÉGÉTALE» EST PARMI LES DERNIÈRES OPTIONS, À LA FIN DE LA LISTE.] 
1)Mil
2)Sorgho
3)Maïs
4)Pommes de terre
5)Haricots
6)Choux
7)Laitue
8)Tomates
9)Oignons
10)Riz
11)Blé
12)Orge
13)Autres céréales
14)Manioc
15)Patates douces
16)Ignames
17)Carottes
18)Chou caraïbe
19)Autres tubercules
20)Lentilles
21)Pois
22)Soja
23)Pois chiches
24)Fève
25)Fève large
26)Autres légumineuses
27)Epinards-Amaranthe
28)Feuilles de manioc
29)Feuilles de pomme de terre
30)Moringa
31)Oseille Hibiscus / Rosselle
32)Herbes aromatiques [thym, persil, menthe, rocca, autres]
33)Choux-fleur
34)Autres légumes à feuilles
35)Concombre
36)Citrouille
37)Aubergines/aubergines
38)Courgettes
39)Okra
40)Poivrons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t>
  </si>
  <si>
    <t>Form Type - Dropdown
IsDemographic</t>
  </si>
  <si>
    <t>1-90 = crp_irrig_source
91 = crp_main_check
92-93 = crp_salesmain</t>
  </si>
  <si>
    <t>if crp_main = any type of crop, go to crp_irrig_source;
if crp_main = "No crop production", go to crp_main_check
if crp_main = "Don't know" or "Refused", go to crp_salesmain</t>
  </si>
  <si>
    <t>crp_main_check</t>
  </si>
  <si>
    <t>Why did you not produce any crops in rainy season?
[OPERATOR: SINGLE RESPONSE.]
1)Don’t usually produce during this season 
2)Wasn't able to produce [e.g. due to difficulties]</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</si>
  <si>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</si>
  <si>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</si>
  <si>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</si>
  <si>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</si>
  <si>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</si>
  <si>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1-8 = crp_area_change OR optional question</t>
  </si>
  <si>
    <t>if crp_irrig_source = 1-8, go to [crp_area_change or optional question]</t>
  </si>
  <si>
    <t>For any answer, go to crp_seed_supply</t>
  </si>
  <si>
    <t>o_crp_seed_supply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</si>
  <si>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</si>
  <si>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2)Weekly market
3)Unions or Federations' agro-inputs shops 
4)Seeds fairs
5)Free distribution (governement, NGO, UN)
6)Relatives or friend
7)Other
8)DON'T KNOW
9)REFUSED</t>
  </si>
  <si>
    <t>Où vous procurez-vous habituellement vos semences ?
[OPÉRATEUR/OPÉRATRICE: PLUSIEURS RÉPONSES POSSIBLES.]
1)Propre production
2)Marché hebdomadaire 
3)Boutiques/Banques d'intrants des Unions/Fédérations
4)Foires aux semences
5)Distributions gratuites (Etat, ONG, Nations Unies)
6)Famille ou amis 
7)Autre
8)NE SAIT PAS
9)REFUSÉ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</si>
  <si>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</si>
  <si>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</si>
  <si>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</si>
  <si>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</si>
  <si>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</si>
  <si>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if crp_seed_supply = 2 go to o_crp_seed_supply_market
if crp_seed_supply = 3 go to o_crp_seed_supply_agrodealer
otherwise, go to o_fertiliser</t>
  </si>
  <si>
    <t>o_seed_supply_market</t>
  </si>
  <si>
    <t xml:space="preserve">Can you please share the contact details of the weekly market dealer from whom you purchase your seeds?
[OPERATOR: SINGLE RESPONSE.]
1)YES
2)NO
3)DON'T KNOW
4)REFUSED </t>
  </si>
  <si>
    <t>Pouvez-vous me donner les coordonnées du vendeur du marché hebdomadaire auprès duquel vous vous approvisionnez ?
[OPÉRATEUR/OPÉRATRICE: RÉPONSE UNIQUE.]
1)Oui
2)Non
3)NE SAIT PAS
4)REFUSÉ</t>
  </si>
  <si>
    <t>if o_seed_supply_market = 1, go to o_seed_supply_market_contact, otherwise, go to  o_fertiliser</t>
  </si>
  <si>
    <t>o_seed_supply_market_contact</t>
  </si>
  <si>
    <t>What is the person's phone number?
[OPERATOR: RECORD THE NUMBER GIVEN]</t>
  </si>
  <si>
    <t xml:space="preserve">Quel est le numéro de téléphone de cette personnes ?
[OPÉRATEUR/OPÉRATRICE: SAISIR LE NUMÉRO DONNÉ.]
</t>
  </si>
  <si>
    <t>for any answer, go to o_fertiliser</t>
  </si>
  <si>
    <t>o_seed_supply_agrodealer</t>
  </si>
  <si>
    <t xml:space="preserve">Can you please share the contact details of the Unions or Federations' agro-inputs shops where you purchase your seeds?
[OPERATOR: SINGLE RESPONSE.]
1)YES
2)NO
3)DON'T KNOW
4)REFUSED </t>
  </si>
  <si>
    <t>Pouvez-vous me donner les coordonnées de l'union/fédération auprès de laquelle vous vous approvisionnez en semences ?
[OPÉRATEUR/OPÉRATRICE: RÉPONSE UNIQUE.]
1)Oui
2)Non
3)NE SAIT PAS
4)REFUSÉ</t>
  </si>
  <si>
    <t>if o_seed_supply_agrodealer = 1, go to o_seed_supply_agrodealer_contact, otherwise, go to  o_fertiliser</t>
  </si>
  <si>
    <t>o_seed_supply_agrodealer_contact</t>
  </si>
  <si>
    <t xml:space="preserve">Quel est le numéro de téléphone de cette personne ?
[OPÉRATEUR/OPÉRATRICE: SAISIR LE NUMÉRO DONNÉ.]
</t>
  </si>
  <si>
    <t>o_fertiliser</t>
  </si>
  <si>
    <t>Where do you usually procure your fertilisers ?
[OPERATOR: MULTIPLE RESPONSES POSSIBLE.]
1)Government (city hall, regional or departmental technical services decentralised offices)
2)Union/Federation shops
3)Private retailer from weekly market
4)Wholesaler 
5)Other
6)Does not purchase fertilisers
7)DON'T KNOW
8)REFUSED</t>
  </si>
  <si>
    <t>Où vous approvisionnez-vous habituellement en engrais ?
[OPÉRATEUR/OPÉRATRICE: PLUSIEURS RÉPONSES POSSIBLES.]
1)Etat (mairies, bureaux régionaux ou départementaux des services techniques décentralisés, etc.)
2)Magasins ou boutiques des Unions/Fédérations
3)Détaillants privés au marché hebdomadaire
4)Grossistes privés
5)Autre
6)N'achète jamais d'engrais
7)NE SAIT PAS
8)REFUSÉ</t>
  </si>
  <si>
    <t>Single choice</t>
  </si>
  <si>
    <t>if o_fertiliser = 1 - 5, go to o_fertiliser_phone, otherwiser, go to crp_area_change</t>
  </si>
  <si>
    <t>o_fertiliser_phone</t>
  </si>
  <si>
    <t xml:space="preserve">Can you please share the contact details of trader/point of sale where you purchase fertilisers?
[OPERATOR: SINGLE RESPONSE.]
1)YES
2)NO
3)DON'T KNOW
4)REFUSED </t>
  </si>
  <si>
    <t>Pouvez-vous me donner les coordonnées du vendeur/point de vente où vous achetez vos engrais ?
[OPÉRATEUR/OPÉRATRICE: RÉPONSE UNIQUE.]
1)Oui
2)Non
3)NE SAIT PAS
4)REFUSÉ</t>
  </si>
  <si>
    <t>if o_fertiliser_phone = 1, go to o_fertiliser_contact, otherwise go to crp_area_change</t>
  </si>
  <si>
    <t>o_fertiliser_contact</t>
  </si>
  <si>
    <t>Open ended</t>
  </si>
  <si>
    <t>Next question</t>
  </si>
  <si>
    <t>crp_area_change</t>
  </si>
  <si>
    <t>How did the area planted for {crp_main} from rainy season compare to a normal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</si>
  <si>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</si>
  <si>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</si>
  <si>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</si>
  <si>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harvest of {crp_main} in the rainy season compare to a normal year? 
[OPERATOR: SINGLE RESPONSE.]
1)A lot more [increased by more than 50%]
2)Slightly more
3)Same
4)Slightly less
5)A lot less [less than half as much]
6)DON'T KNOW
7)REFUSED</t>
  </si>
  <si>
    <t>1-7 = crp_proddif OR crp_harv_vol</t>
  </si>
  <si>
    <t>if crp_harv_change = 1-7, go to [crp_proddif or crp_harv_vol]</t>
  </si>
  <si>
    <t>For any aswer, go to crp_proddif</t>
  </si>
  <si>
    <t>crp_proddif</t>
  </si>
  <si>
    <t>Has your household faced any significant difficulty in terms of crop production in rainy season?
[OPERATOR: SINGLE RESPONSE.]
1)YES
2)NO
3)DON'T KNOW
4)REFUSED</t>
  </si>
  <si>
    <t>1 = crp_proddif_2
2-4 = [crp_salesmain or optional question]</t>
  </si>
  <si>
    <t>if crp_proddif = 1, go to crp_proddif_2 ; 
if crp_proddif = 2-4, go to [crp_salesmain or optional question]</t>
  </si>
  <si>
    <t>if crp_proddif = 1, go to crp_proddif_2 ; 
if crp_proddif = 2-4, go to [crp_all]</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</si>
  <si>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</si>
  <si>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</si>
  <si>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</si>
  <si>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</si>
  <si>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</si>
  <si>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</si>
  <si>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</si>
  <si>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[crp_all]</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</si>
  <si>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</si>
  <si>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</si>
  <si>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</si>
  <si>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Pratiquez-vous d'autres cultures en dehors de {crp_main}, et si oui, lesquelles?
[OPERATEUR /OPÉRATRICE: "Pas d'autre culture" FIGURE DANS LES DERNIÈRES OPTIONS DE RÉPONSE. SÉLECTIONNER TOUTES LES CULTURES ÉNUMÉRÉES PAR LE RÉPONDANT.]
1)Pas d'autre culture
2)NE SAIT PAS
3)REFUSÉ</t>
  </si>
  <si>
    <t>Form Type - Checklist
Included unselected "crp_main"
1,2,3= IsNone</t>
  </si>
  <si>
    <t>Dynamics = crp_salesmain
1-3 = crp_salesmain</t>
  </si>
  <si>
    <t>For any response to crp_all, go to crp_salesmain</t>
  </si>
  <si>
    <t>D. CROP MARKETING</t>
  </si>
  <si>
    <t>crp_salesmain</t>
  </si>
  <si>
    <t>What has been the main crop that you have sold over the last 3 months?
[OPERATOR: "No crop sold in the last 3 months" APPEARS AT THE END OF THE LIST OF OPTIONS. SELECT ALL CROPS LISTED BY THE RESPONDENT.]
1)Millet
2)Sorghum
3)Maize
4)Potatoe
5)Beans
6)Cabbage
7)Lettuce
8)Tomatoes
9)Onions
10)Rice
11)Wheat
12)Barley
13)Other Cereal
14)Cassava
15)Sweet Potatoes
16)Yams
17)Carrots
18)Cocoyam
19)Other tubers
20)Lentils
21)Peas
22)Soybeans
23)Chickpeas
24)Fava beans
25)Broad beans
26)Other pulses
27)Spinach-Amaranth
28)Cassava leaves
29)Potatoe leaves
30)Moringa
31)Sorrel Hibiscus / Rosselle
32)Green salad herbs [thyme, parsley, mint, rocca, other]
33)Cauliflower
34)Other leafy vegetables
35)Cucumber
36)Pumpkin
37)Eggplant/aubergine
38)Zucchini
39)Okra
40)Bell pepper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</si>
  <si>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1)Mil
2)Sorgho
3)Maïs
4)Pommes de terre
5)Haricots
6)Choux
7)Laitue
8)Tomates
9)Oignons
10)Riz
11)Blé
12)Orge
13)Autres céréales
14)Manioc
15)Patates douces
16)Ignames
17)Carottes
18)Chou caraïbe
19)Autres tubercules
20)Lentilles
21)Pois
22)Soja
23)Pois chiches
24)Fève
25)Fève large
26)Autres légumineuses
27)Epinards-Amaranthe
28)Feuilles de manioc
29)Feuilles de pomme de terre
30)Moringa
31)Oseille Hibiscus / Rosselle
32)Herbes aromatiques [thym, persil, menthe, rocca, autres]
33)Choux-fleur
34)Autres légumes à feuilles
35)Concombre
36)Citrouille
37)Aubergines/aubergines
38)Courgettes
39)Okra
40)Poivrons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</si>
  <si>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</si>
  <si>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</si>
  <si>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</si>
  <si>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</si>
  <si>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</si>
  <si>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</si>
  <si>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</si>
  <si>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</si>
  <si>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</si>
  <si>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</si>
  <si>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</si>
  <si>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</si>
  <si>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</si>
  <si>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</si>
  <si>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</si>
  <si>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</si>
  <si>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</si>
  <si>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</si>
  <si>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Comment évaluez-vous le prix actuel de {crp_salesmain} de votre ménage par rapport au prix moyen de la même période de une année normale? 
[OPÉRATEUR/OPÉRATRICE: RÉPONSE UNIQUE. INSISTER SUR LA PRINCIPALE PRODUCTION MENTIONNÉE]
1)Très supérieur [augmentation de plus de 50%]
2)Légèrement supérieur
3)Identique
5)Légèrement inférieur
5)Très inférieur [moins de la moitié]
6)NE SAIT PAS
7)REFUSÉ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</si>
  <si>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</si>
  <si>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</si>
  <si>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</si>
  <si>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</si>
  <si>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</si>
  <si>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</si>
  <si>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</si>
  <si>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</si>
  <si>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</si>
  <si>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</si>
  <si>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</si>
  <si>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et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</si>
  <si>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</si>
  <si>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</si>
  <si>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</si>
  <si>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</si>
  <si>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</si>
  <si>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</si>
  <si>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</si>
  <si>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</si>
  <si>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</si>
  <si>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</si>
  <si>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</si>
  <si>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</si>
  <si>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</si>
  <si>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</si>
  <si>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</si>
  <si>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</si>
  <si>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</si>
  <si>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</si>
  <si>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</si>
  <si>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</si>
  <si>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</si>
  <si>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If ls_num_change 1-14 =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</si>
  <si>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</si>
  <si>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</si>
  <si>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</si>
  <si>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</si>
  <si>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</si>
  <si>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</si>
  <si>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</si>
  <si>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</si>
  <si>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</si>
  <si>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</si>
  <si>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</si>
  <si>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1=ls_proddif_2
2-4= [ls_salesmain OR optional question]</t>
  </si>
  <si>
    <t>if ls_proddif = 1, go to ls_proddif_2 ; 
if ls_proddif = 2-4, go to [ls_salesmain OR optional question]</t>
  </si>
  <si>
    <t>if ls_proddif = 1, go to ls_proddif_2 ; 
if ls_proddif = 2-4, go to [ls_all</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</si>
  <si>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</si>
  <si>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</si>
  <si>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</si>
  <si>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</si>
  <si>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</si>
  <si>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</si>
  <si>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</si>
  <si>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</si>
  <si>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if ls_proddif_2 = 1-13, go to ls_all</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</si>
  <si>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</si>
  <si>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</si>
  <si>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</si>
  <si>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Possédez-vous d'autres animaux d'élevage en dehors de {ls_main}, et si oui, lesquels?
[OPÉRATEUR/OPÉRATRICE: "Pas d'autres animaux" FIGURE DANS LES DERNIÈRES OPTIONS DE RÉPONSE. SAISIR TOUS LES ANIMAUX ÉNUMÉRÉS PAR LE RÉPONDANT.]
1)Pas d'autres animaux
2)NE SAIT PAS
3)REFUSÉ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</si>
  <si>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</si>
  <si>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</si>
  <si>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</si>
  <si>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4)ls_all_swine
5)ls_all_equine
6)ls_all_smallmammals
7)ls_all_poultry
8)ls_all_camelids
9)ls_all_other
10)ls_all_none
11)ls_all_dk
12)ls_all_ref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</si>
  <si>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</si>
  <si>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</si>
  <si>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</si>
  <si>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</si>
  <si>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</si>
  <si>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</si>
  <si>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</si>
  <si>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</si>
  <si>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</si>
  <si>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</si>
  <si>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</si>
  <si>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</si>
  <si>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</si>
  <si>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</si>
  <si>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</si>
  <si>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</si>
  <si>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</si>
  <si>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</si>
  <si>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</si>
  <si>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</si>
  <si>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</si>
  <si>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</si>
  <si>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</si>
  <si>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</si>
  <si>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Comment évaluez-vous le prix actuel de {ls_salesmain} par rapport au prix moyen de la même période de une année normale?
[OPÉRATEUR/OPÉRATRICE: RÉPONSE UNIQUE. INSISTER SUR LE PRINCIPAL PRODUIT MENTIONNÉ AUPARAVANT.]
1)Très supérieur [augmentation de plus de 50%]
2)Légèrement supérieur
3)Identique
5)Légèrement inférieur
5)Très inférieur [moins de la moitié]
6)NE SAIT PAS
7)REFUSÉ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</si>
  <si>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</si>
  <si>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</si>
  <si>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</si>
  <si>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</si>
  <si>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</si>
  <si>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Nous allons maintenant vous poser quelques questions sur la pêche et la production aquacole. Ces questions s'appliquent à vous et à toute personne de votre foyer impliquée dans la capture, l'élevage, la transformation ou la vente de poisson.
1)CONTINUER</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</si>
  <si>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</si>
  <si>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</si>
  <si>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</si>
  <si>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</si>
  <si>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</si>
  <si>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</si>
  <si>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</si>
  <si>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</si>
  <si>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</si>
  <si>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</si>
  <si>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</si>
  <si>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</si>
  <si>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</si>
  <si>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Comment évaluez-vous votre capture de poissons [prises] au cours des trois derniers mois [ou de la dernière récolte] par rapport à la même période [récolte] de l'année dernière?
[OPÉRATEUR/OPÉRATRICE: RÉPONSE UNIQUE]
1)Très supérieure [augmentation de plus de 50%]
2)Légèrement supérieure
3)Identique
5)Légèrement inférieure
5)Très inférieure [moins de la moitié]
6)NE SAIT PAS
7)REFUSÉ</t>
  </si>
  <si>
    <t>1-7 = fish_proddif</t>
  </si>
  <si>
    <t>if fish_change = 1-7, go to fish_proddif</t>
  </si>
  <si>
    <t>fish_proddif</t>
  </si>
  <si>
    <t>Has your household faced any significant difficulty with fish catch and/or harvest in the last 3 months?
[OPERATOR: SINGLE RESPONSE.]
1)YES
2)NO
3)DON'T KNOW
4)REFUSED</t>
  </si>
  <si>
    <t>Votre ménage a-t-il rencontré d'importantes difficultés dans la capture ou la récolte de poisson au cours des trois derniers mois?
[OPÉRATEUR/OPÉRATRICE: RÉPONSE UNIQUE.]
1)OUI
2)NON
3)NE SAIT PAS
4)REFUSÉ</t>
  </si>
  <si>
    <t>1=fish_proddif_2
2-4= [fish_salesmain OR optional question]</t>
  </si>
  <si>
    <t>if fish_proddif = 1, go to fish_proddif_2 ; 
if fish_proddif = 2-4, go to fish_salesmain OR optional question</t>
  </si>
  <si>
    <t>if fish_proddif = 1, go to fish_proddif_2 ; 
if fish_proddif = 2-4, go to fish_salesmain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</si>
  <si>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</si>
  <si>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</si>
  <si>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</si>
  <si>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 ou la récolte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</si>
  <si>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</si>
  <si>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</si>
  <si>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</si>
  <si>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 xml:space="preserve">If fish_proddif_2 = 1-11, go to fish_salesmain </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</si>
  <si>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</si>
  <si>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</si>
  <si>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</si>
  <si>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Quel était le principal produit piscicole vendu par votre ménage au cours des trois derniers mois?
[OPÉRATEUR/OPÉRATRICE: RÉPONSE UNIQUE.]
1)Poisson frais [toutes sortes, y compris invertébrés]
2)Poisson conservé [y compris poisson séché, poisson fumé, poisson fermenté, poisson salé]
3)Poisson congelé
4)Conserves de poisson
5)Autre [préciser]
6)NE SAIT PAS
7)REFUSÉ</t>
  </si>
  <si>
    <t>Form Type - RadioList
IsDemographic</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</si>
  <si>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</si>
  <si>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</si>
  <si>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</si>
  <si>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</si>
  <si>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</si>
  <si>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</si>
  <si>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</si>
  <si>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</si>
  <si>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</si>
  <si>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</si>
  <si>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</si>
  <si>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</si>
  <si>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</si>
  <si>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</si>
  <si>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</si>
  <si>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</si>
  <si>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Comment évaluez-vous le prix actuel de {fish_salesmain} vendus par votre ménage par rapport au prix moyen sur la même période/récolte de une année normale? 
[OPÉRATEUR/OPÉRATRICE: RÉPONSE UNIQUE. INSISTER SUR LE PRINCIPAL PRODUIT MENTIONNÉ AUPARAVANT.]
1)Très supérieur [augmentation de plus de 50%]
2)Légèrement supérieur
3)Identique
5)Inférieur
5)Très inférieur [moins de la moitié]
6)NE SAIT PAS
7)REFUSÉ</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</si>
  <si>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</si>
  <si>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</si>
  <si>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</si>
  <si>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</si>
  <si>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</si>
  <si>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</si>
  <si>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</si>
  <si>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</si>
  <si>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</si>
  <si>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</si>
  <si>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</si>
  <si>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</si>
  <si>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</si>
  <si>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</si>
  <si>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</si>
  <si>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</si>
  <si>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</si>
  <si>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</si>
  <si>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</si>
  <si>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</si>
  <si>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</si>
  <si>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</si>
  <si>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</si>
  <si>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</si>
  <si>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</si>
  <si>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</si>
  <si>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</si>
  <si>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</si>
  <si>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</si>
  <si>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</si>
  <si>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</si>
  <si>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</si>
  <si>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</si>
  <si>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</si>
  <si>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</si>
  <si>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</si>
  <si>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</si>
  <si>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</si>
  <si>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</si>
  <si>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</si>
  <si>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</si>
  <si>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</si>
  <si>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</si>
  <si>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</si>
  <si>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</si>
  <si>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</si>
  <si>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</si>
  <si>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</si>
  <si>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</si>
  <si>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</si>
  <si>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</si>
  <si>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</si>
  <si>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</si>
  <si>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</si>
  <si>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</si>
  <si>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1=fies_whlday_hhs
2-4 = [lcsi_intro OR hdds]</t>
  </si>
  <si>
    <t>if fies_whlday = 1, go to fies_whlday_hhs. Otherwise, go to lcsi_intro OR hdds</t>
  </si>
  <si>
    <t>if fies_whlday = 1, go to fies_whlday_hhs. Otherwise, go to lcsi_intro</t>
  </si>
  <si>
    <t>fies_whlday_hhs</t>
  </si>
  <si>
    <t>1-5 = [lcsi_intro OR hdds]</t>
  </si>
  <si>
    <t>if fies_whlday_hhs = 1-5, go to lcsi_intro OR hdds</t>
  </si>
  <si>
    <t>if fies_whlday_hhs = 1-5, go to lcsi_intro</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</si>
  <si>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</si>
  <si>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</si>
  <si>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</si>
  <si>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</si>
  <si>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</si>
  <si>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</si>
  <si>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</si>
  <si>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</si>
  <si>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</si>
  <si>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</si>
  <si>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</si>
  <si>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</si>
  <si>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</si>
  <si>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</si>
  <si>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</si>
  <si>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</si>
  <si>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</si>
  <si>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</si>
  <si>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</si>
  <si>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</si>
  <si>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</si>
  <si>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</si>
  <si>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</si>
  <si>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</si>
  <si>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</si>
  <si>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retirer les enfants de l'école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</si>
  <si>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</si>
  <si>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</si>
  <si>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</si>
  <si>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</si>
  <si>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</si>
  <si>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sa maison ou ses terres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</si>
  <si>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</si>
  <si>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</si>
  <si>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</si>
  <si>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</si>
  <si>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</si>
  <si>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votre dernières femelles animales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</si>
  <si>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</si>
  <si>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</si>
  <si>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</si>
  <si>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</si>
  <si>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</si>
  <si>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</si>
  <si>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</si>
  <si>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</si>
  <si>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</si>
  <si>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</si>
  <si>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</si>
  <si>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1 = need or next question</t>
  </si>
  <si>
    <t>if hdds_confirmation = 1, go to need or optional question</t>
  </si>
  <si>
    <t>if hdds_confirmation = 1, go to need</t>
  </si>
  <si>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</si>
  <si>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</si>
  <si>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</si>
  <si>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</si>
  <si>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</si>
  <si>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</si>
  <si>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</si>
  <si>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</si>
  <si>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</si>
  <si>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</si>
  <si>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</si>
  <si>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 xml:space="preserve">Open Ended - Select All That Apply </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</si>
  <si>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</si>
  <si>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</si>
  <si>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</si>
  <si>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</si>
  <si>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</si>
  <si>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</si>
  <si>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</si>
  <si>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</si>
  <si>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</si>
  <si>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</si>
  <si>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</si>
  <si>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</si>
  <si>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</si>
  <si>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</si>
  <si>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</si>
  <si>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1-8 = [callback or optional question]</t>
  </si>
  <si>
    <t>if assistance_quality = 1-8, go to callback or assistance_provider</t>
  </si>
  <si>
    <t>if assistance_quality = 1-8, go to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</si>
  <si>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</si>
  <si>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</si>
  <si>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</si>
  <si>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</si>
  <si>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</si>
  <si>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</si>
  <si>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</si>
  <si>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</si>
  <si>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</si>
  <si>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</si>
  <si>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</si>
  <si>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</si>
  <si>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leader_contact
2 = language2</t>
  </si>
  <si>
    <t>if callback = 1, go to leader_contact
if 2, go to language2</t>
  </si>
  <si>
    <t>leader_contact</t>
  </si>
  <si>
    <t>Can you provide me with the contact information of a leader in your community?
[OPERATOR: SINGLE RESPONSE.]
1)YES 
2)NO
3)DON'T KNOW
4)REFUSED</t>
  </si>
  <si>
    <t>Pouvez-vous me donner les coordonnées d'une personnalité influente de votre communauté?
[OPÉRATEUR/OPÉRATRICE: RÉPONSE UNIQUE.]
1)OUI
2)NON
3)NE SAIT PAS
4)REFUSÉ</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</si>
  <si>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</si>
  <si>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</si>
  <si>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</si>
  <si>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</si>
  <si>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</si>
  <si>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Quel est le rôle de cette personnalité influente pour laquelle vous fournissez des informations?
[OPÉRATEUR/OPÉRATRICE: RÉPONSE UNIQUE.]
1)Administrateur du village/de la ville
2)Agent de vulgarisation agricole
3)Agent de vulgarisation sanitaire
4)Enseignant
5)Autre [préciser]
6)NE SAIT PAS
7)REFUSÉ</t>
  </si>
  <si>
    <t>1-7 = phone_number_leader</t>
  </si>
  <si>
    <t>if leader_type = 1-7, go to phone_number_leader</t>
  </si>
  <si>
    <t>phone_number_leader</t>
  </si>
  <si>
    <t>What is the leader's phone number?
[OPERATOR: RECORD THE NUMBER GIVEN]</t>
  </si>
  <si>
    <t xml:space="preserve">Quel est le numéro de téléphone de cette personnalité influente?
[OPÉRATEUR/OPÉRATRICE: SAISIR LE NUMÉRO DONNÉ.]
</t>
  </si>
  <si>
    <t>Any Response = leader_name</t>
  </si>
  <si>
    <t>For any response, go to leader_name</t>
  </si>
  <si>
    <t>leader_name</t>
  </si>
  <si>
    <t>What is the leader's name?
[OPERATOR: RECORD THE NAME OF THE CONTACT FOR THE PHONE NUMBER.]</t>
  </si>
  <si>
    <t xml:space="preserve">Quel est le nom de cette personnalité influente?
[OPÉRATEUR/OPÉRATRICE: SAISIR LE NOM ASSOCIÉ AU NUMÉRO.]
</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</si>
  <si>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</si>
  <si>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</si>
  <si>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</si>
  <si>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</si>
  <si>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</si>
  <si>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</si>
  <si>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</si>
  <si>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</si>
  <si>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</si>
  <si>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</si>
  <si>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</si>
  <si>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</si>
  <si>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</si>
  <si>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</si>
  <si>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</si>
  <si>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</si>
  <si>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</si>
  <si>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</si>
  <si>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</si>
  <si>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</si>
  <si>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</si>
  <si>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</si>
  <si>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</si>
  <si>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</si>
  <si>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</si>
  <si>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</si>
  <si>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</si>
  <si>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</si>
  <si>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</si>
  <si>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</si>
  <si>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</si>
  <si>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</si>
  <si>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</si>
  <si>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hh_wealth_toilet</t>
  </si>
  <si>
    <t>hh_wealthwall</t>
  </si>
  <si>
    <t>hh_reprwomen</t>
  </si>
  <si>
    <t>covid_policy</t>
  </si>
  <si>
    <t>wagecompar</t>
  </si>
  <si>
    <t>hh_explanation</t>
  </si>
  <si>
    <t>crp_landsize</t>
  </si>
  <si>
    <t>crp_landsmall</t>
  </si>
  <si>
    <t>crp_landmedium</t>
  </si>
  <si>
    <t>crp_irrigation</t>
  </si>
  <si>
    <t>crp_seed_supply</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</si>
  <si>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</si>
  <si>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</si>
  <si>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</si>
  <si>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</si>
  <si>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</si>
  <si>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</si>
  <si>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</si>
  <si>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</si>
  <si>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</si>
  <si>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</si>
  <si>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</si>
  <si>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</si>
  <si>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</si>
  <si>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</si>
  <si>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</si>
  <si>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</si>
  <si>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</si>
  <si>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</si>
  <si>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</si>
  <si>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fish_inputdif</t>
  </si>
  <si>
    <t>fish_salesdif_1</t>
  </si>
  <si>
    <t>fies</t>
  </si>
  <si>
    <t>copingstrategies</t>
  </si>
  <si>
    <t>cs_stress_credit</t>
  </si>
  <si>
    <t>cs_crisis_sold_productive_asset</t>
  </si>
  <si>
    <t>cs_crisis_consumed_seed_stocks</t>
  </si>
  <si>
    <t>cs_emergency_illegal</t>
  </si>
  <si>
    <t>cs_emergency_sold_till</t>
  </si>
  <si>
    <t>cs_emergency_hh_migration</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</si>
  <si>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</si>
  <si>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</si>
  <si>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</si>
  <si>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</si>
  <si>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</si>
  <si>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</si>
  <si>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</si>
  <si>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</si>
  <si>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</si>
  <si>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</si>
  <si>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</si>
  <si>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</si>
  <si>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</si>
  <si>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</si>
  <si>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</si>
  <si>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</si>
  <si>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</si>
  <si>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hh_wealth_light</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</si>
  <si>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</si>
  <si>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</si>
  <si>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</si>
  <si>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</si>
  <si>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</si>
  <si>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</si>
  <si>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</si>
  <si>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</si>
  <si>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</si>
  <si>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</si>
  <si>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</si>
  <si>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</si>
  <si>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</si>
  <si>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</si>
  <si>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</si>
  <si>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</si>
  <si>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</si>
  <si>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</si>
  <si>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</si>
  <si>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</si>
  <si>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</si>
  <si>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</si>
  <si>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</si>
  <si>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</si>
  <si>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</si>
  <si>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</si>
  <si>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</si>
  <si>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</si>
  <si>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</si>
  <si>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</si>
  <si>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</si>
  <si>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</si>
  <si>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</si>
  <si>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</si>
  <si>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</si>
  <si>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</si>
  <si>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</si>
  <si>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</si>
  <si>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</si>
  <si>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</si>
  <si>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</si>
  <si>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</si>
  <si>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</si>
  <si>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</si>
  <si>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</si>
  <si>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</si>
  <si>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</si>
  <si>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</si>
  <si>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</si>
  <si>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</si>
  <si>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</si>
  <si>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</si>
  <si>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</si>
  <si>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</si>
  <si>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</si>
  <si>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</si>
  <si>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</si>
  <si>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</si>
  <si>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</si>
  <si>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</si>
  <si>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</si>
  <si>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</si>
  <si>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</si>
  <si>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</si>
  <si>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</si>
  <si>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</si>
  <si>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</si>
  <si>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</si>
  <si>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</si>
  <si>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</si>
  <si>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</si>
  <si>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</si>
  <si>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</si>
  <si>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</si>
  <si>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</si>
  <si>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</si>
  <si>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</si>
  <si>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</si>
  <si>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</si>
  <si>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</si>
  <si>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</si>
  <si>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</si>
  <si>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</si>
  <si>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</si>
  <si>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</si>
  <si>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</si>
  <si>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</si>
  <si>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</si>
  <si>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</si>
  <si>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</si>
  <si>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</si>
  <si>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</si>
  <si>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</si>
  <si>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</si>
  <si>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</si>
  <si>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</si>
  <si>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</si>
  <si>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</si>
  <si>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</si>
  <si>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</si>
  <si>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</si>
  <si>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</si>
  <si>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</si>
  <si>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</si>
  <si>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</si>
  <si>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</si>
  <si>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</si>
  <si>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</si>
  <si>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</si>
  <si>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</si>
  <si>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</si>
  <si>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</si>
  <si>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</si>
  <si>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</si>
  <si>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</si>
  <si>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</si>
  <si>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</si>
  <si>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</si>
  <si>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</si>
  <si>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</si>
  <si>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</si>
  <si>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</si>
  <si>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</si>
  <si>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</si>
  <si>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</si>
  <si>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</si>
  <si>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</si>
  <si>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</si>
  <si>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</si>
  <si>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</si>
  <si>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</si>
  <si>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</si>
  <si>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</si>
  <si>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</si>
  <si>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</si>
  <si>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</si>
  <si>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</si>
  <si>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</si>
  <si>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</si>
  <si>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</si>
  <si>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</si>
  <si>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</si>
  <si>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</si>
  <si>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</si>
  <si>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</si>
  <si>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</si>
  <si>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</si>
  <si>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</si>
  <si>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</si>
  <si>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</si>
  <si>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</si>
  <si>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</si>
  <si>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</si>
  <si>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</si>
  <si>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</si>
  <si>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</si>
  <si>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</si>
  <si>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</si>
  <si>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</si>
  <si>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</si>
  <si>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</si>
  <si>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</si>
  <si>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</si>
  <si>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</si>
  <si>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</si>
  <si>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</si>
  <si>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</si>
  <si>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</si>
  <si>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</si>
  <si>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</si>
  <si>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</si>
  <si>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</si>
  <si>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</si>
  <si>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</si>
  <si>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</si>
  <si>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</si>
  <si>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</si>
  <si>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</si>
  <si>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</si>
  <si>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</si>
  <si>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</si>
  <si>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</si>
  <si>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</si>
  <si>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</si>
  <si>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</si>
  <si>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</si>
  <si>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</si>
  <si>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</si>
  <si>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</si>
  <si>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</si>
  <si>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</si>
  <si>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</si>
  <si>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</si>
  <si>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</si>
  <si>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</si>
  <si>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</si>
  <si>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</si>
  <si>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</si>
  <si>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</si>
  <si>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</si>
  <si>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</si>
  <si>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</si>
  <si>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</si>
  <si>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</si>
  <si>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</si>
  <si>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</si>
  <si>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</si>
  <si>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</si>
  <si>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</si>
  <si>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</si>
  <si>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</si>
  <si>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</si>
  <si>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</si>
  <si>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</si>
  <si>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</si>
  <si>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</si>
  <si>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</si>
  <si>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</si>
  <si>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</si>
  <si>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</si>
  <si>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</si>
  <si>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</si>
  <si>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</si>
  <si>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</si>
  <si>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</si>
  <si>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</si>
  <si>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</si>
  <si>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</si>
  <si>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</si>
  <si>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</si>
  <si>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</si>
  <si>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</si>
  <si>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</si>
  <si>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</si>
  <si>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</si>
  <si>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</si>
  <si>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</si>
  <si>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</si>
  <si>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</si>
  <si>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</si>
  <si>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</si>
  <si>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</si>
  <si>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</si>
  <si>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</si>
  <si>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</si>
  <si>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</si>
  <si>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</si>
  <si>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</si>
  <si>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</si>
  <si>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</si>
  <si>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</si>
  <si>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</si>
  <si>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</si>
  <si>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</si>
  <si>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</si>
  <si>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</si>
  <si>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</si>
  <si>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</si>
  <si>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</si>
  <si>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</si>
  <si>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</si>
  <si>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</si>
  <si>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</si>
  <si>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</si>
  <si>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</si>
  <si>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</si>
  <si>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</si>
  <si>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</si>
  <si>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</si>
  <si>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</si>
  <si>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</si>
  <si>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</si>
  <si>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</si>
  <si>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</si>
  <si>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</si>
  <si>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</si>
  <si>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</si>
  <si>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</si>
  <si>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</si>
  <si>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</si>
  <si>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</si>
  <si>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</si>
  <si>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</si>
  <si>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</si>
  <si>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</si>
  <si>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</si>
  <si>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</si>
  <si>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</si>
  <si>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</si>
  <si>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</si>
  <si>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</si>
  <si>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</si>
  <si>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</si>
  <si>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</si>
  <si>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</si>
  <si>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</si>
  <si>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</si>
  <si>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</si>
  <si>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</si>
  <si>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</si>
  <si>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</si>
  <si>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</si>
  <si>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</si>
  <si>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</si>
  <si>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</si>
  <si>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</si>
  <si>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</si>
  <si>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</si>
  <si>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</si>
  <si>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</si>
  <si>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</si>
  <si>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</si>
  <si>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</si>
  <si>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</si>
  <si>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</si>
  <si>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</si>
  <si>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</si>
  <si>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</si>
  <si>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</si>
  <si>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</si>
  <si>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</si>
  <si>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</si>
  <si>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</si>
  <si>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</si>
  <si>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</si>
  <si>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</si>
  <si>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</si>
  <si>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</si>
  <si>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</si>
  <si>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</si>
  <si>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</si>
  <si>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t>FOR CORE QUESTIONS    .
(Mandatory to fill out)    .</t>
  </si>
  <si>
    <t>ADMIN1</t>
  </si>
  <si>
    <t>Region</t>
  </si>
  <si>
    <t>Région</t>
  </si>
  <si>
    <t>The first subdivision of the country, after national level; region; province; governorate; etc.</t>
  </si>
  <si>
    <t xml:space="preserve">La première subdivision du pays, après le niveau national ; par exemple, région ; province ; gouvernorat ; etc. </t>
  </si>
  <si>
    <t>region</t>
  </si>
  <si>
    <t>ADMIN2</t>
  </si>
  <si>
    <t>Department</t>
  </si>
  <si>
    <t>Département</t>
  </si>
  <si>
    <t>The second subdivision of the country; district; municipality; LGA; etc.</t>
  </si>
  <si>
    <t xml:space="preserve">La deuxième subdivision du pays ; par exemple, district, municipalité, LGA, etc. </t>
  </si>
  <si>
    <t>district</t>
  </si>
  <si>
    <t>reference year</t>
  </si>
  <si>
    <t>a normal year</t>
  </si>
  <si>
    <t>une année normale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</si>
  <si>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</si>
  <si>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</si>
  <si>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une année normale </t>
  </si>
  <si>
    <t>season</t>
  </si>
  <si>
    <t>rainy season</t>
  </si>
  <si>
    <t>saison pluviale</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</si>
  <si>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</si>
  <si>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</si>
  <si>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</si>
  <si>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</si>
  <si>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</si>
  <si>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Début de la croissance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</si>
  <si>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</si>
  <si>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</si>
  <si>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</si>
  <si>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</si>
  <si>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</si>
  <si>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</si>
  <si>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</si>
  <si>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</si>
  <si>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</si>
  <si>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</si>
  <si>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</si>
  <si>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</si>
  <si>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</si>
  <si>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Francs CFA</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</si>
  <si>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</si>
  <si>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</si>
  <si>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</si>
  <si>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</si>
  <si>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</si>
  <si>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</si>
  <si>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</si>
  <si>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</si>
  <si>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</si>
  <si>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</si>
  <si>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</si>
  <si>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</si>
  <si>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</si>
  <si>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moringa, sorrel, cabbage, tomato, lettuce, cucumber, zucchini, eggplant, carrot</t>
  </si>
  <si>
    <t>moringa, oseille, chou, tomate, laitue, concombre, courgette, aubergine, carotte</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</si>
  <si>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</si>
  <si>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</si>
  <si>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</si>
  <si>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</si>
  <si>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</si>
  <si>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Mango, watermelon, banana, pineapple, dates, orange, melon</t>
  </si>
  <si>
    <t>Mangue, pastèque, banane, ananas, dattes, orange, melon</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</si>
  <si>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</si>
  <si>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</si>
  <si>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</si>
  <si>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</si>
  <si>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</si>
  <si>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</si>
  <si>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</si>
  <si>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</si>
  <si>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</si>
  <si>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</si>
  <si>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</si>
  <si>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</si>
  <si>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</si>
  <si>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</si>
  <si>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</si>
  <si>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</si>
  <si>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</si>
  <si>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</si>
  <si>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</si>
  <si>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Aderbissinat</t>
  </si>
  <si>
    <t>NE001001</t>
  </si>
  <si>
    <t>Agadez</t>
  </si>
  <si>
    <t>NE001</t>
  </si>
  <si>
    <t>Niger</t>
  </si>
  <si>
    <t>NER</t>
  </si>
  <si>
    <t>Arlit</t>
  </si>
  <si>
    <t>NE001002</t>
  </si>
  <si>
    <t>Bilma</t>
  </si>
  <si>
    <t>NE001003</t>
  </si>
  <si>
    <t>Iferouane</t>
  </si>
  <si>
    <t>NE001004</t>
  </si>
  <si>
    <t>In-Gall</t>
  </si>
  <si>
    <t>NE001005</t>
  </si>
  <si>
    <t>Tchirozérine</t>
  </si>
  <si>
    <t>NE001006</t>
  </si>
  <si>
    <t>Bosso</t>
  </si>
  <si>
    <t>NE002001</t>
  </si>
  <si>
    <t>Diffa</t>
  </si>
  <si>
    <t>NE002</t>
  </si>
  <si>
    <t>NE002002</t>
  </si>
  <si>
    <t>Goudoumaria</t>
  </si>
  <si>
    <t>NE002003</t>
  </si>
  <si>
    <t>Maïné Soroa</t>
  </si>
  <si>
    <t>NE002004</t>
  </si>
  <si>
    <t>Ngourti</t>
  </si>
  <si>
    <t>NE002005</t>
  </si>
  <si>
    <t>N'Guigmi</t>
  </si>
  <si>
    <t>NE002006</t>
  </si>
  <si>
    <t>Boboye</t>
  </si>
  <si>
    <t>NE003001</t>
  </si>
  <si>
    <t>Dosso</t>
  </si>
  <si>
    <t>NE003</t>
  </si>
  <si>
    <t>Dioudiou</t>
  </si>
  <si>
    <t>NE003002</t>
  </si>
  <si>
    <t>Doutchi</t>
  </si>
  <si>
    <t>NE003003</t>
  </si>
  <si>
    <t>NE003004</t>
  </si>
  <si>
    <t>Falmey</t>
  </si>
  <si>
    <t>NE003005</t>
  </si>
  <si>
    <t>Gaya</t>
  </si>
  <si>
    <t>NE003006</t>
  </si>
  <si>
    <t>Loga</t>
  </si>
  <si>
    <t>NE003007</t>
  </si>
  <si>
    <t>Tibiri</t>
  </si>
  <si>
    <t>NE003008</t>
  </si>
  <si>
    <t>Aguié</t>
  </si>
  <si>
    <t>NE004001</t>
  </si>
  <si>
    <t>Maradi</t>
  </si>
  <si>
    <t>NE004</t>
  </si>
  <si>
    <t>Bermo</t>
  </si>
  <si>
    <t>NE004002</t>
  </si>
  <si>
    <t>Dakoro</t>
  </si>
  <si>
    <t>NE004003</t>
  </si>
  <si>
    <t>Gazaoua</t>
  </si>
  <si>
    <t>NE004004</t>
  </si>
  <si>
    <t>Guidan Roumji</t>
  </si>
  <si>
    <t>NE004005</t>
  </si>
  <si>
    <t>Madarounfa</t>
  </si>
  <si>
    <t>NE004006</t>
  </si>
  <si>
    <t>Mayahi</t>
  </si>
  <si>
    <t>NE004007</t>
  </si>
  <si>
    <t>Tessaoua</t>
  </si>
  <si>
    <t>NE004008</t>
  </si>
  <si>
    <t>Abalak</t>
  </si>
  <si>
    <t>NE005001</t>
  </si>
  <si>
    <t>Tahoua</t>
  </si>
  <si>
    <t>NE005</t>
  </si>
  <si>
    <t>Bagaroua</t>
  </si>
  <si>
    <t>NE005002</t>
  </si>
  <si>
    <t>Konni</t>
  </si>
  <si>
    <t>NE005003</t>
  </si>
  <si>
    <t>Bouza</t>
  </si>
  <si>
    <t>NE005004</t>
  </si>
  <si>
    <t>Illela</t>
  </si>
  <si>
    <t>NE005005</t>
  </si>
  <si>
    <t>Keita</t>
  </si>
  <si>
    <t>NE005006</t>
  </si>
  <si>
    <t>Madaoua</t>
  </si>
  <si>
    <t>NE005007</t>
  </si>
  <si>
    <t>Malbaza</t>
  </si>
  <si>
    <t>NE005008</t>
  </si>
  <si>
    <t>NE005009</t>
  </si>
  <si>
    <t>Tassara</t>
  </si>
  <si>
    <t>NE005010</t>
  </si>
  <si>
    <t>Tchintabaraden</t>
  </si>
  <si>
    <t>NE005011</t>
  </si>
  <si>
    <t>Tillia</t>
  </si>
  <si>
    <t>NE005012</t>
  </si>
  <si>
    <t>Abala</t>
  </si>
  <si>
    <t>NE006001</t>
  </si>
  <si>
    <t>Tillabery</t>
  </si>
  <si>
    <t>NE006</t>
  </si>
  <si>
    <t>Ayerou</t>
  </si>
  <si>
    <t>NE006002</t>
  </si>
  <si>
    <t>Bani Bangou</t>
  </si>
  <si>
    <t>NE006003</t>
  </si>
  <si>
    <t>Bankillare</t>
  </si>
  <si>
    <t>NE006004</t>
  </si>
  <si>
    <t>Filingué</t>
  </si>
  <si>
    <t>NE006005</t>
  </si>
  <si>
    <t>Gotheye</t>
  </si>
  <si>
    <t>NE006006</t>
  </si>
  <si>
    <t>Kollo</t>
  </si>
  <si>
    <t>NE006007</t>
  </si>
  <si>
    <t>Ouallam</t>
  </si>
  <si>
    <t>NE006008</t>
  </si>
  <si>
    <t>Say</t>
  </si>
  <si>
    <t>NE006009</t>
  </si>
  <si>
    <t>Tagazar</t>
  </si>
  <si>
    <t>NE006010</t>
  </si>
  <si>
    <t>Téra</t>
  </si>
  <si>
    <t>NE006011</t>
  </si>
  <si>
    <t>Tillabéri</t>
  </si>
  <si>
    <t>NE006012</t>
  </si>
  <si>
    <t>Torodi</t>
  </si>
  <si>
    <t>NE006013</t>
  </si>
  <si>
    <t>Tarka</t>
  </si>
  <si>
    <t>NE007009</t>
  </si>
  <si>
    <t>Zinder</t>
  </si>
  <si>
    <t>NE007</t>
  </si>
  <si>
    <t>Damagaram Takaya</t>
  </si>
  <si>
    <t>NE007001</t>
  </si>
  <si>
    <t>Dungass</t>
  </si>
  <si>
    <t>NE007002</t>
  </si>
  <si>
    <t>Gouré</t>
  </si>
  <si>
    <t>NE007003</t>
  </si>
  <si>
    <t>Magaria</t>
  </si>
  <si>
    <t>NE007004</t>
  </si>
  <si>
    <t>Matameye</t>
  </si>
  <si>
    <t>NE007005</t>
  </si>
  <si>
    <t>Mirriah</t>
  </si>
  <si>
    <t>NE007006</t>
  </si>
  <si>
    <t>Takiéta</t>
  </si>
  <si>
    <t>NE007007</t>
  </si>
  <si>
    <t>Tanout</t>
  </si>
  <si>
    <t>NE007008</t>
  </si>
  <si>
    <t>Tasker</t>
  </si>
  <si>
    <t>NE007010</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</si>
  <si>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pluviale. 
1)CONTINUER</t>
  </si>
  <si>
    <t>Pourquoi n'avez-vous pas produit de cultures pendant la saison pluviale ?
[OPÉRATEUR/OPÉRATRICE: RÉPONSE UNIQUE.]
1)Ne produit habituellement pas pendant cette saison 
2)N'a pas été en mesure de produire [en raison de difficultés, par ex.]</t>
  </si>
  <si>
    <t>Comment estimez-vous la superficie plantée de {crp_main} pour la saison pluviale par rapport à une année normale?
[OPÉRATEUR/OPÉRATRICE: RÉPONSE UNIQUE.]
1)Très supérieure [augmentation de plus de 50%]
2)Légèrement supérieure
3)Identique
5)Légèrement inférieure
5)Très inférieure [moins de la moitié]
6)NE SAIT PAS
7)REFUSÉ</t>
  </si>
  <si>
    <t>Votre ménage a-t-il rencontré d'importantes difficultés en matière de production végétale au cours de saison pluviale ?
[OPÉRATEUR/OPÉRATRICE: RÉPONSE UNIQUE.]
1)Oui
2)Non
3)NE SAIT PAS
4)REFUSÉ</t>
  </si>
  <si>
    <t>Quelles difficultés votre ménage a-t-il rencontrées dans la production végétale au cours de saison pluviale?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</si>
  <si>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Unité de mesure des terrains cultivés:
 [OPÉRATEUR/OPÉRATRICE: RÉPONSE UNIQUE.]
1)Acres
2)Hectares
3)Mètres carrés
4)Pieds carrés</t>
  </si>
  <si>
    <t xml:space="preserve">Unit of measurement for land size: 
[OPERATOR: DO NOT READ. SINGLE RESPONSE.]
1)Acres
2)Hectares
3)Square meters
4)Square feet
</t>
  </si>
  <si>
    <t>Comment estimez-vous la récolte de {crp_main} pour la saison pluviale par rapport à une année normale?
[OPÉRATEUR/OPÉRATRICE: RÉPONSE UNIQUE.]
1)Très supérieure [augmentation de plus de 50%]
2)Légèrement supérieure
3)Identique
5)Légèrement inférieure
5)Très inférieure [moins de la moitié]
6)NE SAIT PAS
7)REFUSÉ</t>
  </si>
  <si>
    <t>1)1.1
2)1.3
3)1.4
4)1.5
5)2.2
6)3.1
7)4.1
8)4.2
9)5.1
10)5.8
11)1.2
12)1.6
13)1.99
14)2.1
15)2.3
16)2.4
17)2.5
18)2.6
19)2.99
20)3.2
21)3.3
22)3.4
23)3.5
24)3.6
25)3.7
26)3.99
27)4.101
28)4.3
29)4.4
30)4.5
31)4.6
32)4.7
33)4.9
34)4.99
35)5.101
36)5.11
37)5.2
38)5.3
39)5.4
40)5.5
41)5.6
42)5.7
43)5.9
44)5.99
45)6.1
46)6.2
47)6.3
48)6.4
49)6.99
50)7.1
51)7.101
52)7.11
53)7.12
54)7.13
55)7.14
56)7.15
57)7.16
58)7.17
59)7.18
60)7.2
61)7.3
62)7.4
63)7.5
64)7.6
65)7.7
66)7.8
67)7.9
68)7.99
69)8.1
70)8.2
71)8.3
72)8.4
73)8.5
74)8.6
75)8.7
76)8.8
77)8.99
78)9.1
79)9.2
80)9.3
81)9.4
82)9.5
83)9.99
84)10.1
85)10.2
86)10.3
87)10.4
88)10.5
89)10.6
90)10.99
91)777
92)888
93)999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</si>
</sst>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2"/>
      <name val="Calibri (Body)"/>
    </font>
    <font>
      <sz val="12"/>
      <name val="Calibri"/>
      <family val="2"/>
    </font>
    <font>
      <b/>
      <sz val="12"/>
      <color theme="4"/>
      <name val="Calibri (Body)"/>
    </font>
    <font>
      <sz val="11"/>
      <name val="Calibri (Body)"/>
    </font>
    <font>
      <b/>
      <sz val="12"/>
      <name val="Calibri (Body)"/>
    </font>
    <font>
      <b/>
      <sz val="10"/>
      <color theme="4"/>
      <name val="Calibri"/>
      <family val="2"/>
      <scheme val="minor"/>
    </font>
    <font>
      <sz val="14"/>
      <name val="Calibri"/>
      <family val="2"/>
      <scheme val="minor"/>
    </font>
    <font>
      <i/>
      <sz val="10.5"/>
      <name val="Calibri"/>
      <family val="2"/>
    </font>
    <font>
      <b/>
      <sz val="11"/>
      <name val="Calibri"/>
      <family val="2"/>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FF00"/>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18">
    <xf numFmtId="0" fontId="0" fillId="0" borderId="0"/>
    <xf numFmtId="0" fontId="7" fillId="0" borderId="0"/>
    <xf numFmtId="0" fontId="8" fillId="0" borderId="0"/>
    <xf numFmtId="0" fontId="6" fillId="0" borderId="0"/>
    <xf numFmtId="0" fontId="7" fillId="0" borderId="0"/>
    <xf numFmtId="0" fontId="6" fillId="0" borderId="0"/>
    <xf numFmtId="0" fontId="6" fillId="0" borderId="0"/>
    <xf numFmtId="0" fontId="11" fillId="8" borderId="21"/>
    <xf numFmtId="0" fontId="7" fillId="0" borderId="0"/>
    <xf numFmtId="0" fontId="7" fillId="0" borderId="0"/>
    <xf numFmtId="0" fontId="7" fillId="0" borderId="0"/>
    <xf numFmtId="9" fontId="6" fillId="0" borderId="0"/>
    <xf numFmtId="0" fontId="7" fillId="0" borderId="0"/>
    <xf numFmtId="0" fontId="7" fillId="0" borderId="0"/>
    <xf numFmtId="0" fontId="7" fillId="0" borderId="0"/>
    <xf numFmtId="0" fontId="7" fillId="0" borderId="0"/>
    <xf numFmtId="0" fontId="7" fillId="0" borderId="0"/>
    <xf numFmtId="0" fontId="7" fillId="0" borderId="0"/>
  </cellStyleXfs>
  <cellXfs count="606">
    <xf numFmtId="0" fontId="0" fillId="0" borderId="0" xfId="0"/>
    <xf numFmtId="0" fontId="0" fillId="0" borderId="22" xfId="0" applyBorder="1"/>
    <xf numFmtId="0" fontId="9" fillId="0" borderId="22" xfId="0" applyFont="1" applyBorder="1" applyAlignment="1">
      <alignment horizontal="center" vertical="center"/>
    </xf>
    <xf numFmtId="0" fontId="0" fillId="0" borderId="23" xfId="0" applyBorder="1"/>
    <xf numFmtId="0" fontId="9" fillId="0" borderId="25" xfId="0" applyFont="1" applyBorder="1" applyAlignment="1">
      <alignment horizontal="center" vertical="center"/>
    </xf>
    <xf numFmtId="0" fontId="0" fillId="0" borderId="25" xfId="0" applyBorder="1"/>
    <xf numFmtId="0" fontId="9" fillId="0" borderId="26" xfId="0" applyFont="1" applyBorder="1" applyAlignment="1">
      <alignment horizontal="center" vertical="center"/>
    </xf>
    <xf numFmtId="0" fontId="0" fillId="0" borderId="26" xfId="0" applyBorder="1"/>
    <xf numFmtId="0" fontId="9" fillId="0" borderId="1" xfId="0" applyFont="1" applyBorder="1"/>
    <xf numFmtId="0" fontId="10" fillId="0" borderId="35" xfId="3" applyFont="1" applyBorder="1" applyAlignment="1" applyProtection="1">
      <alignment horizontal="left" vertical="center" wrapText="1"/>
      <protection locked="0"/>
    </xf>
    <xf numFmtId="0" fontId="10" fillId="0" borderId="36" xfId="3" applyFont="1" applyBorder="1" applyAlignment="1" applyProtection="1">
      <alignment horizontal="left" vertical="center" wrapText="1"/>
      <protection locked="0"/>
    </xf>
    <xf numFmtId="0" fontId="10" fillId="0" borderId="36" xfId="5" applyFont="1" applyBorder="1" applyAlignment="1" applyProtection="1">
      <alignment horizontal="left" vertical="center" wrapText="1"/>
      <protection locked="0"/>
    </xf>
    <xf numFmtId="0" fontId="15" fillId="9" borderId="36" xfId="3" applyFont="1" applyFill="1" applyBorder="1" applyAlignment="1" applyProtection="1">
      <alignment horizontal="left" vertical="center" wrapText="1"/>
      <protection locked="0"/>
    </xf>
    <xf numFmtId="0" fontId="10" fillId="0" borderId="37" xfId="3" applyFont="1" applyBorder="1" applyAlignment="1" applyProtection="1">
      <alignment horizontal="left" vertical="center" wrapText="1"/>
      <protection locked="0"/>
    </xf>
    <xf numFmtId="0" fontId="10" fillId="6" borderId="8" xfId="2" applyFont="1" applyFill="1" applyBorder="1" applyAlignment="1" applyProtection="1">
      <alignment horizontal="center" vertical="center"/>
      <protection locked="0"/>
    </xf>
    <xf numFmtId="0" fontId="10" fillId="6" borderId="13" xfId="0" applyFont="1" applyFill="1" applyBorder="1" applyAlignment="1" applyProtection="1">
      <alignment horizontal="left" vertical="center" wrapText="1"/>
      <protection locked="0"/>
    </xf>
    <xf numFmtId="0" fontId="10" fillId="6" borderId="3" xfId="2" applyFont="1" applyFill="1" applyBorder="1" applyAlignment="1" applyProtection="1">
      <alignment horizontal="center" vertical="center" wrapText="1"/>
      <protection locked="0"/>
    </xf>
    <xf numFmtId="0" fontId="10" fillId="6" borderId="3" xfId="0" applyFont="1" applyFill="1" applyBorder="1" applyAlignment="1" applyProtection="1">
      <alignment horizontal="center" vertical="center" wrapText="1"/>
      <protection locked="0"/>
    </xf>
    <xf numFmtId="0" fontId="10" fillId="6" borderId="3" xfId="3" applyFont="1" applyFill="1" applyBorder="1" applyAlignment="1" applyProtection="1">
      <alignment horizontal="left" vertical="center" wrapText="1"/>
      <protection locked="0"/>
    </xf>
    <xf numFmtId="0" fontId="10" fillId="6" borderId="1" xfId="0" applyFont="1" applyFill="1" applyBorder="1" applyAlignment="1" applyProtection="1">
      <alignment horizontal="left" vertical="center" wrapText="1"/>
      <protection locked="0"/>
    </xf>
    <xf numFmtId="0" fontId="10" fillId="6" borderId="1" xfId="2" applyFont="1" applyFill="1" applyBorder="1" applyAlignment="1" applyProtection="1">
      <alignment horizontal="center" vertical="center" wrapText="1"/>
      <protection locked="0"/>
    </xf>
    <xf numFmtId="0" fontId="10" fillId="6" borderId="1" xfId="0" applyFont="1" applyFill="1" applyBorder="1" applyAlignment="1" applyProtection="1">
      <alignment horizontal="center" vertical="center" wrapText="1"/>
      <protection locked="0"/>
    </xf>
    <xf numFmtId="0" fontId="10" fillId="6" borderId="1" xfId="3" applyFont="1" applyFill="1" applyBorder="1" applyAlignment="1" applyProtection="1">
      <alignment horizontal="left" vertical="center" wrapText="1"/>
      <protection locked="0"/>
    </xf>
    <xf numFmtId="0" fontId="10" fillId="6" borderId="2" xfId="2" applyFont="1" applyFill="1" applyBorder="1" applyAlignment="1" applyProtection="1">
      <alignment horizontal="center" vertical="center" wrapText="1"/>
      <protection locked="0"/>
    </xf>
    <xf numFmtId="0" fontId="10" fillId="6" borderId="13" xfId="2" applyFont="1" applyFill="1" applyBorder="1" applyAlignment="1" applyProtection="1">
      <alignment horizontal="center" vertical="center" wrapText="1"/>
      <protection locked="0"/>
    </xf>
    <xf numFmtId="0" fontId="10" fillId="0" borderId="34" xfId="3" applyFont="1" applyBorder="1" applyAlignment="1" applyProtection="1">
      <alignment horizontal="left" vertical="center" wrapText="1"/>
      <protection locked="0"/>
    </xf>
    <xf numFmtId="0" fontId="10" fillId="6" borderId="2" xfId="0" applyFont="1" applyFill="1" applyBorder="1" applyAlignment="1" applyProtection="1">
      <alignment horizontal="left" vertical="center" wrapText="1"/>
      <protection locked="0"/>
    </xf>
    <xf numFmtId="0" fontId="10" fillId="6" borderId="13" xfId="0" applyFont="1" applyFill="1" applyBorder="1" applyAlignment="1" applyProtection="1">
      <alignment horizontal="center" vertical="center" wrapText="1"/>
      <protection locked="0"/>
    </xf>
    <xf numFmtId="0" fontId="10" fillId="6" borderId="20" xfId="3" applyFont="1" applyFill="1" applyBorder="1" applyAlignment="1" applyProtection="1">
      <alignment horizontal="left" vertical="center" wrapText="1"/>
      <protection locked="0"/>
    </xf>
    <xf numFmtId="0" fontId="10" fillId="10" borderId="17" xfId="0" applyFont="1" applyFill="1" applyBorder="1" applyAlignment="1" applyProtection="1">
      <alignment horizontal="left" vertical="center" wrapText="1"/>
      <protection locked="0"/>
    </xf>
    <xf numFmtId="0" fontId="10" fillId="6" borderId="14" xfId="3" applyFont="1" applyFill="1" applyBorder="1" applyAlignment="1" applyProtection="1">
      <alignment horizontal="left" vertical="center" wrapText="1"/>
      <protection locked="0"/>
    </xf>
    <xf numFmtId="0" fontId="15" fillId="7" borderId="14" xfId="0" applyFont="1" applyFill="1" applyBorder="1" applyAlignment="1" applyProtection="1">
      <alignment horizontal="left" vertical="center" wrapText="1"/>
      <protection locked="0"/>
    </xf>
    <xf numFmtId="0" fontId="10" fillId="6" borderId="3" xfId="3" applyFont="1" applyFill="1" applyBorder="1" applyAlignment="1" applyProtection="1">
      <alignment horizontal="center" vertical="center" wrapText="1"/>
      <protection locked="0"/>
    </xf>
    <xf numFmtId="0" fontId="10" fillId="6" borderId="17" xfId="3" applyFont="1" applyFill="1" applyBorder="1" applyAlignment="1" applyProtection="1">
      <alignment horizontal="left" vertical="center" wrapText="1"/>
      <protection locked="0"/>
    </xf>
    <xf numFmtId="0" fontId="10" fillId="6" borderId="1" xfId="3" applyFont="1" applyFill="1" applyBorder="1" applyAlignment="1" applyProtection="1">
      <alignment horizontal="center" vertical="center" wrapText="1"/>
      <protection locked="0"/>
    </xf>
    <xf numFmtId="0" fontId="10" fillId="6" borderId="1" xfId="3" applyFont="1" applyFill="1" applyBorder="1" applyAlignment="1" applyProtection="1">
      <alignment vertical="center" wrapText="1"/>
      <protection locked="0"/>
    </xf>
    <xf numFmtId="0" fontId="10" fillId="6" borderId="6" xfId="2" applyFont="1" applyFill="1" applyBorder="1" applyAlignment="1" applyProtection="1">
      <alignment horizontal="center" vertical="center"/>
      <protection locked="0"/>
    </xf>
    <xf numFmtId="0" fontId="10" fillId="6" borderId="15" xfId="3" applyFont="1" applyFill="1" applyBorder="1" applyAlignment="1" applyProtection="1">
      <alignment horizontal="left" vertical="center" wrapText="1"/>
      <protection locked="0"/>
    </xf>
    <xf numFmtId="0" fontId="10" fillId="9" borderId="14" xfId="0" applyFont="1" applyFill="1" applyBorder="1" applyAlignment="1" applyProtection="1">
      <alignment horizontal="left" vertical="center" wrapText="1"/>
      <protection locked="0"/>
    </xf>
    <xf numFmtId="0" fontId="10" fillId="9" borderId="17" xfId="3" applyFont="1" applyFill="1" applyBorder="1" applyAlignment="1" applyProtection="1">
      <alignment horizontal="left" vertical="center" wrapText="1"/>
      <protection locked="0"/>
    </xf>
    <xf numFmtId="0" fontId="10" fillId="9" borderId="20" xfId="3" applyFont="1" applyFill="1" applyBorder="1" applyAlignment="1" applyProtection="1">
      <alignment horizontal="left" vertical="center" wrapText="1"/>
      <protection locked="0"/>
    </xf>
    <xf numFmtId="0" fontId="10" fillId="0" borderId="8" xfId="2" applyFont="1" applyBorder="1" applyAlignment="1" applyProtection="1">
      <alignment horizontal="center" vertical="center"/>
      <protection locked="0"/>
    </xf>
    <xf numFmtId="0" fontId="10" fillId="0" borderId="1" xfId="0" applyFont="1" applyBorder="1" applyAlignment="1" applyProtection="1">
      <alignment horizontal="left" vertical="center" wrapText="1"/>
      <protection locked="0"/>
    </xf>
    <xf numFmtId="0" fontId="10" fillId="0" borderId="1" xfId="2"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27" fillId="0" borderId="1" xfId="0" applyFont="1" applyBorder="1"/>
    <xf numFmtId="0" fontId="12" fillId="12" borderId="1" xfId="7" applyFont="1" applyFill="1" applyBorder="1" applyAlignment="1" applyProtection="1">
      <alignment horizontal="center" vertical="center"/>
      <protection locked="0"/>
    </xf>
    <xf numFmtId="0" fontId="10" fillId="0" borderId="49" xfId="3" applyFont="1" applyBorder="1" applyAlignment="1" applyProtection="1">
      <alignment horizontal="left" vertical="center" wrapText="1"/>
      <protection locked="0"/>
    </xf>
    <xf numFmtId="0" fontId="25" fillId="10" borderId="17" xfId="0" applyFont="1" applyFill="1" applyBorder="1" applyAlignment="1" applyProtection="1">
      <alignment horizontal="left" vertical="center" wrapText="1"/>
      <protection locked="0"/>
    </xf>
    <xf numFmtId="0" fontId="12" fillId="6" borderId="48" xfId="0" applyFont="1" applyFill="1" applyBorder="1" applyAlignment="1" applyProtection="1">
      <alignment horizontal="center" vertical="center"/>
      <protection locked="0"/>
    </xf>
    <xf numFmtId="0" fontId="10" fillId="6" borderId="7" xfId="2" applyFont="1" applyFill="1" applyBorder="1" applyAlignment="1" applyProtection="1">
      <alignment horizontal="center" vertical="center"/>
      <protection locked="0"/>
    </xf>
    <xf numFmtId="0" fontId="10" fillId="0" borderId="14" xfId="2" applyFont="1" applyBorder="1" applyAlignment="1" applyProtection="1">
      <alignment horizontal="left" vertical="center" wrapText="1"/>
      <protection locked="0"/>
    </xf>
    <xf numFmtId="0" fontId="10" fillId="9" borderId="14" xfId="3" applyFont="1" applyFill="1" applyBorder="1" applyAlignment="1" applyProtection="1">
      <alignment horizontal="left" vertical="center" wrapText="1"/>
      <protection locked="0"/>
    </xf>
    <xf numFmtId="0" fontId="17"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0" fillId="9" borderId="14" xfId="3" applyFont="1" applyFill="1" applyBorder="1" applyAlignment="1" applyProtection="1">
      <alignment vertical="center" wrapText="1"/>
      <protection locked="0"/>
    </xf>
    <xf numFmtId="0" fontId="10" fillId="0" borderId="49" xfId="3" applyFont="1" applyBorder="1" applyAlignment="1" applyProtection="1">
      <alignment horizontal="left" vertical="center"/>
      <protection locked="0"/>
    </xf>
    <xf numFmtId="0" fontId="31" fillId="4" borderId="36" xfId="3" applyFont="1" applyFill="1" applyBorder="1" applyAlignment="1" applyProtection="1">
      <alignment horizontal="left" vertical="center" wrapText="1"/>
      <protection locked="0"/>
    </xf>
    <xf numFmtId="0" fontId="15" fillId="0" borderId="36" xfId="3" applyFont="1" applyBorder="1" applyAlignment="1" applyProtection="1">
      <alignment horizontal="left" vertical="center" wrapText="1"/>
      <protection locked="0"/>
    </xf>
    <xf numFmtId="0" fontId="10" fillId="0" borderId="29" xfId="3" applyFont="1" applyBorder="1" applyAlignment="1" applyProtection="1">
      <alignment horizontal="left" vertical="center" wrapText="1"/>
      <protection locked="0"/>
    </xf>
    <xf numFmtId="0" fontId="31" fillId="4" borderId="7" xfId="2" applyFont="1" applyFill="1" applyBorder="1" applyAlignment="1" applyProtection="1">
      <alignment horizontal="center" vertical="center"/>
      <protection locked="0"/>
    </xf>
    <xf numFmtId="0" fontId="33" fillId="4" borderId="3" xfId="2" applyFont="1" applyFill="1" applyBorder="1" applyAlignment="1" applyProtection="1">
      <alignment horizontal="center" vertical="center" wrapText="1"/>
      <protection locked="0"/>
    </xf>
    <xf numFmtId="0" fontId="33" fillId="4" borderId="3" xfId="3" applyFont="1" applyFill="1" applyBorder="1" applyAlignment="1" applyProtection="1">
      <alignment horizontal="center" vertical="center" wrapText="1"/>
      <protection locked="0"/>
    </xf>
    <xf numFmtId="0" fontId="33" fillId="4" borderId="17" xfId="3" applyFont="1" applyFill="1" applyBorder="1" applyAlignment="1" applyProtection="1">
      <alignment horizontal="left" vertical="center" wrapText="1"/>
      <protection locked="0"/>
    </xf>
    <xf numFmtId="49" fontId="33" fillId="4" borderId="60" xfId="0" applyNumberFormat="1" applyFont="1" applyFill="1" applyBorder="1" applyAlignment="1" applyProtection="1">
      <alignment vertical="center" wrapText="1"/>
      <protection locked="0"/>
    </xf>
    <xf numFmtId="0" fontId="33" fillId="4" borderId="3" xfId="3" applyFont="1" applyFill="1" applyBorder="1" applyAlignment="1" applyProtection="1">
      <alignment horizontal="left" vertical="center" wrapText="1"/>
      <protection locked="0"/>
    </xf>
    <xf numFmtId="0" fontId="31" fillId="4" borderId="3" xfId="3" applyFont="1" applyFill="1" applyBorder="1" applyAlignment="1" applyProtection="1">
      <alignment horizontal="left" vertical="center" wrapText="1"/>
      <protection locked="0"/>
    </xf>
    <xf numFmtId="0" fontId="10" fillId="0" borderId="1" xfId="3" applyFont="1" applyBorder="1" applyAlignment="1" applyProtection="1">
      <alignment horizontal="left" vertical="center" wrapText="1"/>
      <protection locked="0"/>
    </xf>
    <xf numFmtId="0" fontId="10" fillId="0" borderId="17" xfId="3" applyFont="1" applyBorder="1" applyAlignment="1" applyProtection="1">
      <alignment horizontal="center" vertical="center" wrapText="1"/>
      <protection locked="0"/>
    </xf>
    <xf numFmtId="0" fontId="10" fillId="0" borderId="14" xfId="3" applyFont="1" applyBorder="1" applyAlignment="1" applyProtection="1">
      <alignment horizontal="center" vertical="center" wrapText="1"/>
      <protection locked="0"/>
    </xf>
    <xf numFmtId="0" fontId="10" fillId="0" borderId="14" xfId="5" applyFont="1" applyBorder="1" applyAlignment="1" applyProtection="1">
      <alignment horizontal="center" vertical="center" wrapText="1"/>
      <protection locked="0"/>
    </xf>
    <xf numFmtId="0" fontId="15" fillId="0" borderId="14" xfId="3" applyFont="1" applyBorder="1" applyAlignment="1" applyProtection="1">
      <alignment horizontal="left" vertical="center" wrapText="1"/>
      <protection locked="0"/>
    </xf>
    <xf numFmtId="0" fontId="10" fillId="0" borderId="14" xfId="3" applyFont="1" applyBorder="1" applyAlignment="1" applyProtection="1">
      <alignment horizontal="left" vertical="center" wrapText="1"/>
      <protection locked="0"/>
    </xf>
    <xf numFmtId="0" fontId="10" fillId="0" borderId="15" xfId="3" applyFont="1" applyBorder="1" applyAlignment="1" applyProtection="1">
      <alignment horizontal="center" vertical="center" wrapText="1"/>
      <protection locked="0"/>
    </xf>
    <xf numFmtId="0" fontId="10" fillId="0" borderId="17" xfId="3" applyFont="1" applyBorder="1" applyAlignment="1" applyProtection="1">
      <alignment horizontal="left" vertical="center" wrapText="1"/>
      <protection locked="0"/>
    </xf>
    <xf numFmtId="0" fontId="10" fillId="0" borderId="20" xfId="3" applyFont="1" applyBorder="1" applyAlignment="1" applyProtection="1">
      <alignment horizontal="left" vertical="center" wrapText="1"/>
      <protection locked="0"/>
    </xf>
    <xf numFmtId="0" fontId="10" fillId="0" borderId="2" xfId="3" applyFont="1" applyBorder="1" applyAlignment="1" applyProtection="1">
      <alignment horizontal="left" vertical="center" wrapText="1"/>
      <protection locked="0"/>
    </xf>
    <xf numFmtId="0" fontId="10" fillId="9" borderId="14" xfId="2" applyFont="1" applyFill="1" applyBorder="1" applyAlignment="1" applyProtection="1">
      <alignment horizontal="left" vertical="center" wrapText="1"/>
      <protection locked="0"/>
    </xf>
    <xf numFmtId="0" fontId="10" fillId="0" borderId="17" xfId="2" applyFont="1" applyBorder="1" applyAlignment="1" applyProtection="1">
      <alignment horizontal="left" vertical="center" wrapText="1"/>
      <protection locked="0"/>
    </xf>
    <xf numFmtId="0" fontId="10" fillId="0" borderId="17" xfId="0" applyFont="1" applyBorder="1" applyAlignment="1" applyProtection="1">
      <alignment vertical="center"/>
      <protection locked="0"/>
    </xf>
    <xf numFmtId="0" fontId="10" fillId="0" borderId="44" xfId="3" applyFont="1" applyBorder="1" applyAlignment="1" applyProtection="1">
      <alignment horizontal="left" vertical="center" wrapText="1"/>
      <protection locked="0"/>
    </xf>
    <xf numFmtId="0" fontId="10" fillId="0" borderId="15" xfId="0" applyFont="1" applyBorder="1" applyAlignment="1" applyProtection="1">
      <alignment horizontal="left" vertical="center" wrapText="1"/>
      <protection locked="0"/>
    </xf>
    <xf numFmtId="0" fontId="10" fillId="0" borderId="15" xfId="3" applyFont="1" applyBorder="1" applyAlignment="1" applyProtection="1">
      <alignment horizontal="left" vertical="center" wrapText="1"/>
      <protection locked="0"/>
    </xf>
    <xf numFmtId="0" fontId="10" fillId="0" borderId="14" xfId="0" applyFont="1" applyBorder="1" applyAlignment="1" applyProtection="1">
      <alignment horizontal="left" vertical="center" wrapText="1"/>
      <protection locked="0"/>
    </xf>
    <xf numFmtId="0" fontId="10" fillId="0" borderId="16" xfId="2" applyFont="1" applyBorder="1" applyAlignment="1" applyProtection="1">
      <alignment horizontal="center" vertical="center" wrapText="1"/>
      <protection locked="0"/>
    </xf>
    <xf numFmtId="0" fontId="10" fillId="0" borderId="28" xfId="3" applyFont="1" applyBorder="1" applyAlignment="1" applyProtection="1">
      <alignment horizontal="left" vertical="center" wrapText="1"/>
      <protection locked="0"/>
    </xf>
    <xf numFmtId="0" fontId="10" fillId="0" borderId="7" xfId="2"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1" xfId="3" applyFont="1" applyBorder="1" applyAlignment="1" applyProtection="1">
      <alignment horizontal="center" vertical="center" wrapText="1"/>
      <protection locked="0"/>
    </xf>
    <xf numFmtId="0" fontId="10" fillId="0" borderId="2" xfId="2" applyFont="1" applyBorder="1" applyAlignment="1" applyProtection="1">
      <alignment horizontal="center" vertical="center"/>
      <protection locked="0"/>
    </xf>
    <xf numFmtId="0" fontId="10" fillId="0" borderId="2" xfId="2" applyFont="1" applyBorder="1" applyAlignment="1" applyProtection="1">
      <alignment horizontal="center" vertical="center" wrapText="1"/>
      <protection locked="0"/>
    </xf>
    <xf numFmtId="0" fontId="10" fillId="0" borderId="2" xfId="3" applyFont="1" applyBorder="1" applyAlignment="1" applyProtection="1">
      <alignment horizontal="center" vertical="center" wrapText="1"/>
      <protection locked="0"/>
    </xf>
    <xf numFmtId="0" fontId="10" fillId="0" borderId="3" xfId="0" applyFont="1" applyBorder="1" applyAlignment="1" applyProtection="1">
      <alignment horizontal="left" vertical="center" wrapText="1"/>
      <protection locked="0"/>
    </xf>
    <xf numFmtId="0" fontId="10" fillId="0" borderId="3" xfId="2" applyFont="1" applyBorder="1" applyAlignment="1" applyProtection="1">
      <alignment horizontal="center" vertical="center" wrapText="1"/>
      <protection locked="0"/>
    </xf>
    <xf numFmtId="0" fontId="12" fillId="0" borderId="3" xfId="0" applyFont="1" applyBorder="1" applyAlignment="1" applyProtection="1">
      <alignment horizontal="center" vertical="center" wrapText="1"/>
      <protection locked="0"/>
    </xf>
    <xf numFmtId="0" fontId="10" fillId="0" borderId="3" xfId="3" applyFont="1" applyBorder="1" applyAlignment="1" applyProtection="1">
      <alignment vertical="center" wrapText="1"/>
      <protection locked="0"/>
    </xf>
    <xf numFmtId="0" fontId="10" fillId="0" borderId="3" xfId="3" applyFont="1" applyBorder="1" applyAlignment="1" applyProtection="1">
      <alignment horizontal="center" vertical="center" wrapText="1"/>
      <protection locked="0"/>
    </xf>
    <xf numFmtId="0" fontId="10" fillId="0" borderId="0" xfId="3" applyFont="1" applyAlignment="1" applyProtection="1">
      <alignment horizontal="center" vertical="center"/>
      <protection locked="0"/>
    </xf>
    <xf numFmtId="0" fontId="10" fillId="0" borderId="1" xfId="3" applyFont="1" applyBorder="1" applyAlignment="1" applyProtection="1">
      <alignment horizontal="center" vertical="center"/>
      <protection locked="0"/>
    </xf>
    <xf numFmtId="0" fontId="10" fillId="0" borderId="6" xfId="2" applyFont="1" applyBorder="1" applyAlignment="1" applyProtection="1">
      <alignment horizontal="center" vertical="center"/>
      <protection locked="0"/>
    </xf>
    <xf numFmtId="0" fontId="10" fillId="0" borderId="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9" fontId="22" fillId="0" borderId="42" xfId="11" applyFont="1" applyBorder="1" applyAlignment="1">
      <alignment horizontal="center" vertical="center" wrapText="1"/>
    </xf>
    <xf numFmtId="9" fontId="22" fillId="0" borderId="47" xfId="11" applyFont="1" applyBorder="1" applyAlignment="1">
      <alignment horizontal="center" vertical="center" wrapText="1"/>
    </xf>
    <xf numFmtId="0" fontId="16" fillId="0" borderId="3" xfId="3" applyFont="1" applyBorder="1" applyAlignment="1" applyProtection="1">
      <alignment vertical="center" wrapText="1"/>
      <protection locked="0"/>
    </xf>
    <xf numFmtId="0" fontId="30" fillId="0" borderId="2" xfId="3" applyFont="1" applyBorder="1" applyAlignment="1" applyProtection="1">
      <alignment horizontal="left" vertical="center" wrapText="1"/>
      <protection locked="0"/>
    </xf>
    <xf numFmtId="0" fontId="10" fillId="0" borderId="20" xfId="3" applyFont="1" applyBorder="1" applyAlignment="1" applyProtection="1">
      <alignment horizontal="center" vertical="center" wrapText="1"/>
      <protection locked="0"/>
    </xf>
    <xf numFmtId="0" fontId="17" fillId="9" borderId="36" xfId="3" applyFont="1" applyFill="1" applyBorder="1" applyAlignment="1" applyProtection="1">
      <alignment horizontal="left" vertical="center" wrapText="1"/>
      <protection locked="0"/>
    </xf>
    <xf numFmtId="0" fontId="15" fillId="13" borderId="17" xfId="0" applyFont="1" applyFill="1" applyBorder="1" applyAlignment="1" applyProtection="1">
      <alignment horizontal="left" vertical="center" wrapText="1"/>
      <protection locked="0"/>
    </xf>
    <xf numFmtId="0" fontId="10" fillId="4" borderId="7" xfId="2" applyFont="1" applyFill="1" applyBorder="1" applyAlignment="1" applyProtection="1">
      <alignment horizontal="center" vertical="center"/>
      <protection locked="0"/>
    </xf>
    <xf numFmtId="0" fontId="10" fillId="0" borderId="36" xfId="3" applyFont="1" applyBorder="1" applyAlignment="1" applyProtection="1">
      <alignment horizontal="center" vertical="center" wrapText="1"/>
      <protection locked="0"/>
    </xf>
    <xf numFmtId="0" fontId="10" fillId="0" borderId="0" xfId="3" applyFont="1" applyAlignment="1" applyProtection="1">
      <alignment horizontal="left" vertical="center" wrapText="1"/>
      <protection locked="0"/>
    </xf>
    <xf numFmtId="0" fontId="10" fillId="0" borderId="16" xfId="2" applyFont="1" applyBorder="1" applyAlignment="1">
      <alignment horizontal="center" vertical="center" wrapText="1"/>
    </xf>
    <xf numFmtId="0" fontId="10" fillId="0" borderId="16" xfId="2" applyFont="1" applyBorder="1" applyAlignment="1">
      <alignment horizontal="left" vertical="center" wrapText="1"/>
    </xf>
    <xf numFmtId="0" fontId="10" fillId="0" borderId="4" xfId="2" applyFont="1" applyBorder="1" applyAlignment="1">
      <alignment horizontal="center" vertical="center" wrapText="1"/>
    </xf>
    <xf numFmtId="0" fontId="10" fillId="0" borderId="4" xfId="3" applyFont="1" applyBorder="1" applyAlignment="1">
      <alignment horizontal="left" vertical="center" wrapText="1"/>
    </xf>
    <xf numFmtId="0" fontId="10" fillId="0" borderId="4" xfId="0" applyFont="1" applyBorder="1" applyAlignment="1">
      <alignment horizontal="center" vertical="center" wrapText="1"/>
    </xf>
    <xf numFmtId="0" fontId="10" fillId="0" borderId="2"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3" xfId="0" applyFont="1" applyBorder="1" applyAlignment="1">
      <alignment horizontal="center" vertical="center" wrapText="1"/>
    </xf>
    <xf numFmtId="0" fontId="31" fillId="0" borderId="0" xfId="3" applyFont="1" applyProtection="1">
      <protection locked="0"/>
    </xf>
    <xf numFmtId="0" fontId="31" fillId="0" borderId="0" xfId="0" applyFont="1" applyProtection="1">
      <protection locked="0"/>
    </xf>
    <xf numFmtId="0" fontId="32" fillId="0" borderId="0" xfId="3" applyFont="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10" fillId="0" borderId="17" xfId="3" applyFont="1" applyBorder="1" applyAlignment="1">
      <alignment horizontal="left" vertical="center" wrapText="1"/>
    </xf>
    <xf numFmtId="0" fontId="10" fillId="0" borderId="3" xfId="2" applyFont="1" applyBorder="1" applyAlignment="1">
      <alignment horizontal="center" vertical="center" wrapText="1"/>
    </xf>
    <xf numFmtId="0" fontId="10" fillId="0" borderId="3" xfId="3" applyFont="1" applyBorder="1" applyAlignment="1">
      <alignment horizontal="left" vertical="center" wrapText="1"/>
    </xf>
    <xf numFmtId="0" fontId="10" fillId="0" borderId="3" xfId="0" applyFont="1" applyBorder="1" applyAlignment="1">
      <alignment horizontal="center" vertical="center" wrapText="1"/>
    </xf>
    <xf numFmtId="0" fontId="10" fillId="0" borderId="0" xfId="3" applyFont="1" applyProtection="1">
      <protection locked="0"/>
    </xf>
    <xf numFmtId="0" fontId="10" fillId="0" borderId="0" xfId="0" applyFont="1" applyProtection="1">
      <protection locked="0"/>
    </xf>
    <xf numFmtId="0" fontId="12" fillId="0" borderId="0" xfId="3" applyFont="1" applyAlignment="1" applyProtection="1">
      <alignment horizontal="center" vertical="center"/>
      <protection locked="0"/>
    </xf>
    <xf numFmtId="0" fontId="10" fillId="0" borderId="17" xfId="0" applyFont="1" applyBorder="1" applyAlignment="1">
      <alignment horizontal="left" vertical="center" wrapText="1"/>
    </xf>
    <xf numFmtId="0" fontId="10" fillId="0" borderId="14" xfId="3" applyFont="1" applyBorder="1" applyAlignment="1">
      <alignment horizontal="left" vertical="center" wrapText="1"/>
    </xf>
    <xf numFmtId="0" fontId="1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0" fillId="0" borderId="3" xfId="3" applyFont="1" applyBorder="1" applyAlignment="1">
      <alignment horizontal="center" vertical="center" wrapText="1"/>
    </xf>
    <xf numFmtId="0" fontId="10" fillId="0" borderId="0" xfId="3" applyFont="1" applyAlignment="1" applyProtection="1">
      <alignment vertical="center" wrapText="1"/>
      <protection locked="0"/>
    </xf>
    <xf numFmtId="0" fontId="10" fillId="0" borderId="49" xfId="3" applyFont="1" applyBorder="1" applyAlignment="1" applyProtection="1">
      <alignment vertical="center" wrapText="1"/>
      <protection locked="0"/>
    </xf>
    <xf numFmtId="0" fontId="10" fillId="0" borderId="20" xfId="3" applyFont="1" applyBorder="1" applyAlignment="1">
      <alignment horizontal="left" vertical="center" wrapText="1"/>
    </xf>
    <xf numFmtId="0" fontId="10" fillId="0" borderId="13" xfId="3" applyFont="1" applyBorder="1" applyAlignment="1">
      <alignment horizontal="center" vertical="center" wrapText="1"/>
    </xf>
    <xf numFmtId="0" fontId="10" fillId="0" borderId="2" xfId="3" applyFont="1" applyBorder="1" applyAlignment="1">
      <alignment horizontal="left" vertical="center" wrapText="1"/>
    </xf>
    <xf numFmtId="0" fontId="10" fillId="0" borderId="36" xfId="3" applyFont="1" applyBorder="1" applyAlignment="1" applyProtection="1">
      <alignment vertical="center" wrapText="1"/>
      <protection locked="0"/>
    </xf>
    <xf numFmtId="0" fontId="10" fillId="0" borderId="1" xfId="3" applyFont="1" applyBorder="1" applyAlignment="1">
      <alignment horizontal="center" vertical="center" wrapText="1"/>
    </xf>
    <xf numFmtId="0" fontId="6" fillId="0" borderId="0" xfId="0" applyFont="1" applyProtection="1">
      <protection locked="0"/>
    </xf>
    <xf numFmtId="0" fontId="10" fillId="0" borderId="14" xfId="0" applyFont="1" applyBorder="1" applyAlignment="1">
      <alignment horizontal="left" vertical="center" wrapText="1"/>
    </xf>
    <xf numFmtId="0" fontId="9" fillId="0" borderId="48" xfId="6" applyFont="1" applyBorder="1" applyAlignment="1">
      <alignment vertical="center" wrapText="1"/>
    </xf>
    <xf numFmtId="0" fontId="9" fillId="0" borderId="48" xfId="3" applyFont="1" applyBorder="1" applyAlignment="1">
      <alignment vertical="center" wrapText="1"/>
    </xf>
    <xf numFmtId="0" fontId="10" fillId="0" borderId="1" xfId="3" applyFont="1" applyBorder="1" applyAlignment="1">
      <alignment vertical="center" wrapText="1"/>
    </xf>
    <xf numFmtId="0" fontId="10" fillId="0" borderId="1" xfId="3" applyFont="1" applyBorder="1" applyAlignment="1">
      <alignment horizontal="left" vertical="center" wrapText="1"/>
    </xf>
    <xf numFmtId="0" fontId="12" fillId="0" borderId="1" xfId="2" applyFont="1" applyBorder="1" applyAlignment="1">
      <alignment horizontal="center" vertical="center" wrapText="1"/>
    </xf>
    <xf numFmtId="0" fontId="10" fillId="0" borderId="17" xfId="2" applyFont="1" applyBorder="1" applyAlignment="1">
      <alignment horizontal="left" vertical="center" wrapText="1"/>
    </xf>
    <xf numFmtId="0" fontId="10" fillId="0" borderId="3" xfId="3" applyFont="1" applyBorder="1" applyAlignment="1">
      <alignment vertical="center" wrapText="1"/>
    </xf>
    <xf numFmtId="0" fontId="10" fillId="0" borderId="14" xfId="0" applyFont="1" applyBorder="1" applyAlignment="1" applyProtection="1">
      <alignment vertical="center"/>
      <protection locked="0"/>
    </xf>
    <xf numFmtId="0" fontId="10" fillId="0" borderId="3" xfId="0" applyFont="1" applyBorder="1" applyAlignment="1" applyProtection="1">
      <alignment horizontal="center" vertical="center"/>
      <protection locked="0"/>
    </xf>
    <xf numFmtId="0" fontId="10" fillId="0" borderId="3" xfId="3" applyFont="1" applyBorder="1" applyAlignment="1" applyProtection="1">
      <alignment horizontal="left" vertical="center" wrapText="1"/>
      <protection locked="0"/>
    </xf>
    <xf numFmtId="0" fontId="12" fillId="0" borderId="3" xfId="0" applyFont="1" applyBorder="1" applyAlignment="1" applyProtection="1">
      <alignment horizontal="center" vertical="center"/>
      <protection locked="0"/>
    </xf>
    <xf numFmtId="0" fontId="10" fillId="0" borderId="17" xfId="0" applyFont="1" applyBorder="1" applyAlignment="1" applyProtection="1">
      <alignment horizontal="left" vertical="center" wrapText="1"/>
      <protection locked="0"/>
    </xf>
    <xf numFmtId="0" fontId="10" fillId="0" borderId="14" xfId="2" applyFont="1" applyBorder="1" applyAlignment="1">
      <alignment horizontal="left" vertical="center" wrapText="1"/>
    </xf>
    <xf numFmtId="0" fontId="10" fillId="0" borderId="1" xfId="3" applyFont="1" applyBorder="1" applyAlignment="1">
      <alignment horizontal="center" vertical="center"/>
    </xf>
    <xf numFmtId="0" fontId="29" fillId="9" borderId="0" xfId="0" applyFont="1" applyFill="1" applyAlignment="1" applyProtection="1">
      <alignment horizontal="left" vertical="center" wrapText="1"/>
      <protection locked="0"/>
    </xf>
    <xf numFmtId="0" fontId="29" fillId="0" borderId="50" xfId="0" applyFont="1" applyBorder="1" applyAlignment="1">
      <alignment horizontal="left" vertical="center" wrapText="1"/>
    </xf>
    <xf numFmtId="0" fontId="10" fillId="0" borderId="1" xfId="2" applyFont="1" applyBorder="1" applyAlignment="1" applyProtection="1">
      <alignment horizontal="left" vertical="center" wrapText="1"/>
      <protection locked="0"/>
    </xf>
    <xf numFmtId="0" fontId="10" fillId="0" borderId="0" xfId="2" applyFont="1" applyAlignment="1" applyProtection="1">
      <alignment horizontal="left" vertical="center" wrapText="1"/>
      <protection locked="0"/>
    </xf>
    <xf numFmtId="0" fontId="10" fillId="0" borderId="1" xfId="3" applyFont="1" applyBorder="1" applyAlignment="1" applyProtection="1">
      <alignment vertical="center" wrapText="1"/>
      <protection locked="0"/>
    </xf>
    <xf numFmtId="0" fontId="10" fillId="0" borderId="1" xfId="14" applyFont="1" applyBorder="1" applyAlignment="1" applyProtection="1">
      <alignment horizontal="center" vertical="center" wrapText="1"/>
      <protection locked="0"/>
    </xf>
    <xf numFmtId="0" fontId="12" fillId="0" borderId="1" xfId="14" applyFont="1" applyBorder="1" applyAlignment="1" applyProtection="1">
      <alignment horizontal="center" vertical="center" wrapText="1"/>
      <protection locked="0"/>
    </xf>
    <xf numFmtId="0" fontId="10" fillId="0" borderId="1" xfId="14" applyFont="1" applyBorder="1" applyAlignment="1">
      <alignment horizontal="center" vertical="center" wrapText="1"/>
    </xf>
    <xf numFmtId="0" fontId="12" fillId="0" borderId="1" xfId="14" applyFont="1" applyBorder="1" applyAlignment="1">
      <alignment horizontal="center" vertical="center" wrapText="1"/>
    </xf>
    <xf numFmtId="0" fontId="6"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5" fillId="0" borderId="49" xfId="3" applyFont="1" applyBorder="1" applyAlignment="1" applyProtection="1">
      <alignment vertical="center" wrapText="1"/>
      <protection locked="0"/>
    </xf>
    <xf numFmtId="0" fontId="10" fillId="0" borderId="60" xfId="0" applyFont="1" applyBorder="1" applyAlignment="1" applyProtection="1">
      <alignment horizontal="left" vertical="center" wrapText="1"/>
      <protection locked="0"/>
    </xf>
    <xf numFmtId="0" fontId="15" fillId="0" borderId="36" xfId="3" applyFont="1" applyBorder="1" applyAlignment="1" applyProtection="1">
      <alignment vertical="center" wrapText="1"/>
      <protection locked="0"/>
    </xf>
    <xf numFmtId="0" fontId="17" fillId="0" borderId="17" xfId="0" applyFont="1" applyBorder="1" applyAlignment="1" applyProtection="1">
      <alignment horizontal="center" vertical="center" wrapText="1"/>
      <protection locked="0"/>
    </xf>
    <xf numFmtId="0" fontId="12" fillId="0" borderId="36" xfId="3" applyFont="1" applyBorder="1" applyAlignment="1" applyProtection="1">
      <alignment horizontal="center" vertical="center" wrapText="1"/>
      <protection locked="0"/>
    </xf>
    <xf numFmtId="0" fontId="12" fillId="0" borderId="3" xfId="0" applyFont="1" applyBorder="1" applyAlignment="1">
      <alignment horizontal="center" vertical="center" wrapText="1"/>
    </xf>
    <xf numFmtId="0" fontId="10" fillId="0" borderId="1" xfId="0" applyFont="1" applyBorder="1" applyAlignment="1">
      <alignment vertical="center" wrapText="1"/>
    </xf>
    <xf numFmtId="0" fontId="10" fillId="0" borderId="3" xfId="2" applyFont="1" applyBorder="1" applyAlignment="1" applyProtection="1">
      <alignment horizontal="center" vertical="center"/>
      <protection locked="0"/>
    </xf>
    <xf numFmtId="0" fontId="10" fillId="0" borderId="1" xfId="0" applyFont="1" applyBorder="1" applyAlignment="1">
      <alignment horizontal="left" vertical="center" wrapText="1"/>
    </xf>
    <xf numFmtId="0" fontId="10" fillId="0" borderId="3" xfId="0" applyFont="1" applyBorder="1" applyAlignment="1">
      <alignment horizontal="left" vertical="center" wrapText="1"/>
    </xf>
    <xf numFmtId="0" fontId="12" fillId="0" borderId="0" xfId="0" applyFont="1" applyAlignment="1" applyProtection="1">
      <alignment horizontal="center" vertical="center"/>
      <protection locked="0"/>
    </xf>
    <xf numFmtId="0" fontId="10" fillId="0" borderId="0" xfId="3" applyFont="1" applyAlignment="1" applyProtection="1">
      <alignment horizontal="left" vertical="center"/>
      <protection locked="0"/>
    </xf>
    <xf numFmtId="0" fontId="15" fillId="0" borderId="17" xfId="3" applyFont="1" applyBorder="1" applyAlignment="1" applyProtection="1">
      <alignment horizontal="left" vertical="center"/>
      <protection locked="0"/>
    </xf>
    <xf numFmtId="0" fontId="15" fillId="0" borderId="17" xfId="3" applyFont="1" applyBorder="1" applyAlignment="1">
      <alignment horizontal="left" vertical="center" wrapText="1"/>
    </xf>
    <xf numFmtId="0" fontId="10" fillId="0" borderId="3" xfId="2" applyFont="1" applyBorder="1" applyAlignment="1">
      <alignment horizontal="center" vertical="center"/>
    </xf>
    <xf numFmtId="0" fontId="10" fillId="0" borderId="3" xfId="0" applyFont="1" applyBorder="1" applyAlignment="1">
      <alignment horizontal="center" vertical="center"/>
    </xf>
    <xf numFmtId="0" fontId="10" fillId="0" borderId="17" xfId="2" applyFont="1" applyBorder="1" applyAlignment="1" applyProtection="1">
      <alignment horizontal="left" vertical="center"/>
      <protection locked="0"/>
    </xf>
    <xf numFmtId="0" fontId="10" fillId="0" borderId="17" xfId="2" applyFont="1" applyBorder="1" applyAlignment="1">
      <alignment horizontal="left" vertical="center"/>
    </xf>
    <xf numFmtId="0" fontId="10" fillId="0" borderId="1" xfId="2" applyFont="1" applyBorder="1" applyAlignment="1">
      <alignment horizontal="center" vertical="center"/>
    </xf>
    <xf numFmtId="0" fontId="10" fillId="0" borderId="3" xfId="2" applyFont="1" applyBorder="1" applyAlignment="1">
      <alignment horizontal="left" vertical="center" wrapText="1"/>
    </xf>
    <xf numFmtId="0" fontId="12" fillId="0" borderId="3" xfId="2" applyFont="1" applyBorder="1" applyAlignment="1">
      <alignment horizontal="center" vertical="center"/>
    </xf>
    <xf numFmtId="0" fontId="10" fillId="0" borderId="14" xfId="3" applyFont="1" applyBorder="1" applyAlignment="1">
      <alignment horizontal="center" vertical="center" wrapText="1"/>
    </xf>
    <xf numFmtId="0" fontId="10" fillId="0" borderId="18" xfId="3" applyFont="1" applyBorder="1" applyAlignment="1">
      <alignment horizontal="left" vertical="center" wrapText="1"/>
    </xf>
    <xf numFmtId="0" fontId="10" fillId="0" borderId="10" xfId="2" applyFont="1" applyBorder="1" applyAlignment="1">
      <alignment horizontal="center" vertical="center" wrapText="1"/>
    </xf>
    <xf numFmtId="0" fontId="10" fillId="0" borderId="10" xfId="3" applyFont="1" applyBorder="1" applyAlignment="1">
      <alignment horizontal="center" vertical="center" wrapText="1"/>
    </xf>
    <xf numFmtId="0" fontId="10" fillId="0" borderId="10" xfId="3" applyFont="1" applyBorder="1" applyAlignment="1">
      <alignment horizontal="left" vertical="center" wrapText="1"/>
    </xf>
    <xf numFmtId="0" fontId="10" fillId="0" borderId="12" xfId="0" applyFont="1" applyBorder="1" applyAlignment="1">
      <alignment horizontal="center" vertical="center" wrapText="1"/>
    </xf>
    <xf numFmtId="0" fontId="12" fillId="0" borderId="10" xfId="14" applyFont="1" applyBorder="1" applyAlignment="1">
      <alignment horizontal="center" vertical="center" wrapText="1"/>
    </xf>
    <xf numFmtId="0" fontId="15" fillId="0" borderId="14" xfId="3" applyFont="1" applyBorder="1" applyAlignment="1">
      <alignment horizontal="left" vertical="center" wrapText="1"/>
    </xf>
    <xf numFmtId="0" fontId="6" fillId="0" borderId="48" xfId="3" applyBorder="1" applyAlignment="1">
      <alignment horizontal="left" vertical="center" wrapText="1"/>
    </xf>
    <xf numFmtId="0" fontId="10" fillId="0" borderId="14" xfId="5" applyFont="1" applyBorder="1" applyAlignment="1">
      <alignment horizontal="center" vertical="center" wrapText="1"/>
    </xf>
    <xf numFmtId="0" fontId="10" fillId="0" borderId="14" xfId="5" applyFont="1" applyBorder="1" applyAlignment="1">
      <alignment horizontal="left" vertical="center" wrapText="1"/>
    </xf>
    <xf numFmtId="0" fontId="10" fillId="0" borderId="1" xfId="5" applyFont="1" applyBorder="1" applyAlignment="1">
      <alignment horizontal="left" vertical="center" wrapText="1"/>
    </xf>
    <xf numFmtId="0" fontId="10" fillId="0" borderId="17" xfId="3" applyFont="1" applyBorder="1" applyAlignment="1">
      <alignment horizontal="center" vertical="center" wrapText="1"/>
    </xf>
    <xf numFmtId="0" fontId="12" fillId="3" borderId="15" xfId="2" applyFont="1" applyFill="1" applyBorder="1" applyAlignment="1">
      <alignment horizontal="center" vertical="center" wrapText="1"/>
    </xf>
    <xf numFmtId="0" fontId="12" fillId="0" borderId="15" xfId="2" applyFont="1" applyBorder="1" applyAlignment="1">
      <alignment horizontal="center" vertical="center" wrapText="1"/>
    </xf>
    <xf numFmtId="0" fontId="12" fillId="0" borderId="2" xfId="2" applyFont="1" applyBorder="1" applyAlignment="1">
      <alignment horizontal="center" vertical="center" wrapText="1"/>
    </xf>
    <xf numFmtId="0" fontId="12" fillId="4" borderId="2" xfId="2" applyFont="1" applyFill="1" applyBorder="1" applyAlignment="1">
      <alignment horizontal="center" vertical="center" wrapText="1"/>
    </xf>
    <xf numFmtId="0" fontId="12" fillId="3" borderId="2" xfId="2" applyFont="1" applyFill="1" applyBorder="1" applyAlignment="1">
      <alignment horizontal="center" vertical="center" wrapText="1"/>
    </xf>
    <xf numFmtId="0" fontId="12" fillId="0" borderId="6" xfId="2" applyFont="1" applyBorder="1" applyAlignment="1">
      <alignment horizontal="center" vertical="center"/>
    </xf>
    <xf numFmtId="0" fontId="10" fillId="0" borderId="0" xfId="0" applyFont="1" applyAlignment="1" applyProtection="1">
      <alignment wrapText="1"/>
      <protection locked="0"/>
    </xf>
    <xf numFmtId="0" fontId="10" fillId="0" borderId="0" xfId="0" applyFont="1" applyAlignment="1" applyProtection="1">
      <alignment horizontal="center"/>
      <protection locked="0"/>
    </xf>
    <xf numFmtId="0" fontId="12" fillId="0" borderId="0" xfId="0" applyFont="1" applyProtection="1">
      <protection locked="0"/>
    </xf>
    <xf numFmtId="0" fontId="12" fillId="0" borderId="32" xfId="0" applyFont="1" applyBorder="1" applyProtection="1">
      <protection locked="0"/>
    </xf>
    <xf numFmtId="0" fontId="12" fillId="0" borderId="31" xfId="0" applyFont="1" applyBorder="1" applyAlignment="1" applyProtection="1">
      <alignment wrapText="1"/>
      <protection locked="0"/>
    </xf>
    <xf numFmtId="0" fontId="12" fillId="0" borderId="4" xfId="14" applyFont="1" applyBorder="1" applyAlignment="1">
      <alignment horizontal="center" vertical="center" wrapText="1"/>
    </xf>
    <xf numFmtId="0" fontId="10" fillId="0" borderId="0" xfId="3" applyFont="1" applyAlignment="1" applyProtection="1">
      <alignment wrapText="1"/>
      <protection locked="0"/>
    </xf>
    <xf numFmtId="0" fontId="12" fillId="0" borderId="13" xfId="14" applyFont="1" applyBorder="1" applyAlignment="1">
      <alignment horizontal="center" vertical="center" wrapText="1"/>
    </xf>
    <xf numFmtId="0" fontId="12" fillId="0" borderId="3" xfId="14" applyFont="1" applyBorder="1" applyAlignment="1">
      <alignment horizontal="center" vertical="center" wrapText="1"/>
    </xf>
    <xf numFmtId="0" fontId="12" fillId="6" borderId="1" xfId="14" applyFont="1" applyFill="1" applyBorder="1" applyAlignment="1" applyProtection="1">
      <alignment horizontal="center" vertical="center" wrapText="1"/>
      <protection locked="0"/>
    </xf>
    <xf numFmtId="0" fontId="12" fillId="0" borderId="2" xfId="14" applyFont="1" applyBorder="1" applyAlignment="1">
      <alignment horizontal="center" vertical="center" wrapText="1"/>
    </xf>
    <xf numFmtId="0" fontId="12" fillId="6" borderId="2" xfId="14" applyFont="1" applyFill="1" applyBorder="1" applyAlignment="1" applyProtection="1">
      <alignment horizontal="center" vertical="center" wrapText="1"/>
      <protection locked="0"/>
    </xf>
    <xf numFmtId="0" fontId="10" fillId="6" borderId="2" xfId="14" applyFont="1" applyFill="1" applyBorder="1" applyAlignment="1" applyProtection="1">
      <alignment horizontal="center" vertical="center" wrapText="1"/>
      <protection locked="0"/>
    </xf>
    <xf numFmtId="0" fontId="10" fillId="6" borderId="13" xfId="14" applyFont="1" applyFill="1" applyBorder="1" applyAlignment="1" applyProtection="1">
      <alignment horizontal="center" vertical="center" wrapText="1"/>
      <protection locked="0"/>
    </xf>
    <xf numFmtId="0" fontId="12" fillId="6" borderId="13" xfId="14" applyFont="1" applyFill="1" applyBorder="1" applyAlignment="1" applyProtection="1">
      <alignment horizontal="center" vertical="center" wrapText="1"/>
      <protection locked="0"/>
    </xf>
    <xf numFmtId="0" fontId="12" fillId="0" borderId="1" xfId="2" applyFont="1" applyBorder="1" applyAlignment="1" applyProtection="1">
      <alignment horizontal="center" vertical="center" wrapText="1"/>
      <protection locked="0"/>
    </xf>
    <xf numFmtId="0" fontId="13" fillId="0" borderId="0" xfId="3" applyFont="1" applyProtection="1">
      <protection locked="0"/>
    </xf>
    <xf numFmtId="0" fontId="10" fillId="0" borderId="0" xfId="0" applyFont="1" applyAlignment="1" applyProtection="1">
      <alignment horizontal="left" vertical="center" wrapText="1"/>
      <protection locked="0"/>
    </xf>
    <xf numFmtId="0" fontId="10" fillId="6" borderId="1" xfId="14" applyFont="1" applyFill="1" applyBorder="1" applyAlignment="1" applyProtection="1">
      <alignment horizontal="center" vertical="center" wrapText="1"/>
      <protection locked="0"/>
    </xf>
    <xf numFmtId="0" fontId="10" fillId="0" borderId="3" xfId="14" applyFont="1" applyBorder="1" applyAlignment="1">
      <alignment horizontal="center" vertical="center" wrapText="1"/>
    </xf>
    <xf numFmtId="0" fontId="16" fillId="0" borderId="2" xfId="3" applyFont="1" applyBorder="1" applyAlignment="1" applyProtection="1">
      <alignment vertical="center" wrapText="1"/>
      <protection locked="0"/>
    </xf>
    <xf numFmtId="0" fontId="32" fillId="4" borderId="3" xfId="14" applyFont="1" applyFill="1" applyBorder="1" applyAlignment="1" applyProtection="1">
      <alignment horizontal="center" vertical="center" wrapText="1"/>
      <protection locked="0"/>
    </xf>
    <xf numFmtId="0" fontId="12" fillId="0" borderId="3" xfId="14" applyFont="1" applyBorder="1" applyAlignment="1">
      <alignment horizontal="center" vertical="center"/>
    </xf>
    <xf numFmtId="0" fontId="12" fillId="0" borderId="0" xfId="0" applyFont="1" applyAlignment="1" applyProtection="1">
      <alignment horizontal="center" vertical="center" wrapText="1"/>
      <protection locked="0"/>
    </xf>
    <xf numFmtId="0" fontId="10" fillId="0" borderId="29" xfId="3" applyFont="1" applyBorder="1" applyAlignment="1" applyProtection="1">
      <alignment horizontal="center" vertical="center" wrapText="1"/>
      <protection locked="0"/>
    </xf>
    <xf numFmtId="0" fontId="10" fillId="0" borderId="20" xfId="3" applyFont="1" applyBorder="1" applyAlignment="1">
      <alignment horizontal="center" vertical="center" wrapText="1"/>
    </xf>
    <xf numFmtId="0" fontId="31" fillId="0" borderId="36" xfId="3" applyFont="1" applyBorder="1" applyAlignment="1" applyProtection="1">
      <alignment horizontal="left" vertical="center" wrapText="1"/>
      <protection locked="0"/>
    </xf>
    <xf numFmtId="0" fontId="31" fillId="0" borderId="17" xfId="3" applyFont="1" applyBorder="1" applyAlignment="1" applyProtection="1">
      <alignment horizontal="left" vertical="center" wrapText="1"/>
      <protection locked="0"/>
    </xf>
    <xf numFmtId="0" fontId="33" fillId="0" borderId="14" xfId="3" applyFont="1" applyBorder="1" applyAlignment="1" applyProtection="1">
      <alignment horizontal="left" vertical="center" wrapText="1"/>
      <protection locked="0"/>
    </xf>
    <xf numFmtId="0" fontId="33" fillId="0" borderId="1" xfId="2" applyFont="1" applyBorder="1" applyAlignment="1" applyProtection="1">
      <alignment horizontal="center" vertical="center" wrapText="1"/>
      <protection locked="0"/>
    </xf>
    <xf numFmtId="0" fontId="33" fillId="0" borderId="3" xfId="2" applyFont="1" applyBorder="1" applyAlignment="1" applyProtection="1">
      <alignment horizontal="center" vertical="center" wrapText="1"/>
      <protection locked="0"/>
    </xf>
    <xf numFmtId="49" fontId="33" fillId="0" borderId="60" xfId="0" applyNumberFormat="1" applyFont="1" applyBorder="1" applyAlignment="1" applyProtection="1">
      <alignment horizontal="left" vertical="center" wrapText="1"/>
      <protection locked="0"/>
    </xf>
    <xf numFmtId="0" fontId="33" fillId="0" borderId="3" xfId="0" applyFont="1" applyBorder="1" applyAlignment="1" applyProtection="1">
      <alignment horizontal="center" vertical="center" wrapText="1"/>
      <protection locked="0"/>
    </xf>
    <xf numFmtId="0" fontId="32" fillId="0" borderId="3" xfId="0" applyFont="1" applyBorder="1" applyAlignment="1" applyProtection="1">
      <alignment horizontal="center" vertical="center" wrapText="1"/>
      <protection locked="0"/>
    </xf>
    <xf numFmtId="0" fontId="31" fillId="0" borderId="6" xfId="2" applyFont="1" applyBorder="1" applyAlignment="1" applyProtection="1">
      <alignment horizontal="center" vertical="center"/>
      <protection locked="0"/>
    </xf>
    <xf numFmtId="0" fontId="10" fillId="0" borderId="20" xfId="0" applyFont="1" applyBorder="1" applyAlignment="1" applyProtection="1">
      <alignment horizontal="left" vertical="center" wrapText="1"/>
      <protection locked="0"/>
    </xf>
    <xf numFmtId="0" fontId="12" fillId="0" borderId="3" xfId="14" applyFont="1" applyBorder="1" applyAlignment="1" applyProtection="1">
      <alignment horizontal="center" vertical="center" wrapText="1"/>
      <protection locked="0"/>
    </xf>
    <xf numFmtId="0" fontId="12" fillId="0" borderId="2" xfId="14" applyFont="1" applyBorder="1" applyAlignment="1" applyProtection="1">
      <alignment horizontal="center" vertical="center" wrapText="1"/>
      <protection locked="0"/>
    </xf>
    <xf numFmtId="0" fontId="10" fillId="0" borderId="60" xfId="2" applyFont="1" applyBorder="1" applyAlignment="1" applyProtection="1">
      <alignment horizontal="left" vertical="center" wrapText="1"/>
      <protection locked="0"/>
    </xf>
    <xf numFmtId="0" fontId="12" fillId="0" borderId="3" xfId="2" applyFont="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0" fontId="10" fillId="0" borderId="3" xfId="14" applyFont="1" applyBorder="1" applyAlignment="1" applyProtection="1">
      <alignment horizontal="center" vertical="center" wrapText="1"/>
      <protection locked="0"/>
    </xf>
    <xf numFmtId="0" fontId="10" fillId="0" borderId="48" xfId="3" applyFont="1" applyBorder="1" applyAlignment="1" applyProtection="1">
      <alignment vertical="center" wrapText="1"/>
      <protection locked="0"/>
    </xf>
    <xf numFmtId="0" fontId="10" fillId="0" borderId="17" xfId="3" applyFont="1" applyBorder="1" applyAlignment="1" applyProtection="1">
      <alignment vertical="center" wrapText="1"/>
      <protection locked="0"/>
    </xf>
    <xf numFmtId="0" fontId="10" fillId="0" borderId="2" xfId="14" applyFont="1" applyBorder="1" applyAlignment="1" applyProtection="1">
      <alignment horizontal="center" vertical="center" wrapText="1"/>
      <protection locked="0"/>
    </xf>
    <xf numFmtId="9" fontId="22" fillId="0" borderId="0" xfId="11" applyFont="1" applyAlignment="1">
      <alignment horizontal="center" vertical="center"/>
    </xf>
    <xf numFmtId="0" fontId="26" fillId="3" borderId="4" xfId="2" applyFont="1" applyFill="1" applyBorder="1" applyAlignment="1">
      <alignment horizontal="center" vertical="center" wrapText="1"/>
    </xf>
    <xf numFmtId="0" fontId="26" fillId="3" borderId="33" xfId="2" applyFont="1" applyFill="1" applyBorder="1" applyAlignment="1">
      <alignment horizontal="center" vertical="center" wrapText="1"/>
    </xf>
    <xf numFmtId="164" fontId="22" fillId="0" borderId="0" xfId="0" applyNumberFormat="1" applyFont="1" applyAlignment="1">
      <alignment horizontal="center" vertical="center"/>
    </xf>
    <xf numFmtId="164" fontId="22" fillId="0" borderId="0" xfId="0" applyNumberFormat="1" applyFont="1" applyAlignment="1" applyProtection="1">
      <alignment horizontal="center" vertical="center"/>
      <protection locked="0"/>
    </xf>
    <xf numFmtId="9" fontId="22" fillId="0" borderId="0" xfId="11" applyFont="1" applyAlignment="1" applyProtection="1">
      <alignment horizontal="center" vertical="center"/>
      <protection locked="0"/>
    </xf>
    <xf numFmtId="0" fontId="22" fillId="0" borderId="0" xfId="0" applyFont="1" applyAlignment="1" applyProtection="1">
      <alignment horizontal="center" vertical="center"/>
      <protection locked="0"/>
    </xf>
    <xf numFmtId="164" fontId="22" fillId="0" borderId="0" xfId="0" applyNumberFormat="1" applyFont="1" applyAlignment="1">
      <alignment horizontal="center" vertical="center" wrapText="1"/>
    </xf>
    <xf numFmtId="164" fontId="22" fillId="0" borderId="0" xfId="0" applyNumberFormat="1" applyFont="1" applyAlignment="1" applyProtection="1">
      <alignment horizontal="center" vertical="center" wrapText="1"/>
      <protection locked="0"/>
    </xf>
    <xf numFmtId="164" fontId="22" fillId="0" borderId="0" xfId="0" applyNumberFormat="1" applyFont="1" applyAlignment="1">
      <alignment horizontal="right" vertical="center"/>
    </xf>
    <xf numFmtId="0" fontId="10" fillId="0" borderId="62" xfId="3" applyFont="1" applyBorder="1" applyAlignment="1" applyProtection="1">
      <alignment horizontal="left" vertical="center" wrapText="1"/>
      <protection locked="0"/>
    </xf>
    <xf numFmtId="0" fontId="34" fillId="4" borderId="7" xfId="2" applyFont="1" applyFill="1" applyBorder="1" applyAlignment="1" applyProtection="1">
      <alignment horizontal="center" vertical="center" wrapText="1"/>
      <protection locked="0"/>
    </xf>
    <xf numFmtId="0" fontId="34" fillId="4" borderId="17" xfId="3" applyFont="1" applyFill="1" applyBorder="1" applyAlignment="1" applyProtection="1">
      <alignment horizontal="left" vertical="center" wrapText="1"/>
      <protection locked="0"/>
    </xf>
    <xf numFmtId="0" fontId="34" fillId="4" borderId="49" xfId="3" applyFont="1" applyFill="1" applyBorder="1" applyAlignment="1" applyProtection="1">
      <alignment horizontal="left" vertical="center" wrapText="1"/>
      <protection locked="0"/>
    </xf>
    <xf numFmtId="164" fontId="36" fillId="0" borderId="0" xfId="0" applyNumberFormat="1" applyFont="1" applyAlignment="1" applyProtection="1">
      <alignment horizontal="center" vertical="center" wrapText="1"/>
      <protection locked="0"/>
    </xf>
    <xf numFmtId="9" fontId="36" fillId="0" borderId="0" xfId="11" applyFont="1" applyAlignment="1">
      <alignment horizontal="center" vertical="center"/>
    </xf>
    <xf numFmtId="164" fontId="36" fillId="0" borderId="0" xfId="0" applyNumberFormat="1" applyFont="1" applyAlignment="1">
      <alignment horizontal="center" vertical="center"/>
    </xf>
    <xf numFmtId="0" fontId="34" fillId="0" borderId="0" xfId="0" applyFont="1" applyAlignment="1" applyProtection="1">
      <alignment horizontal="center" vertical="center" wrapText="1"/>
      <protection locked="0"/>
    </xf>
    <xf numFmtId="0" fontId="34" fillId="0" borderId="0" xfId="3" applyFont="1" applyAlignment="1" applyProtection="1">
      <alignment wrapText="1"/>
      <protection locked="0"/>
    </xf>
    <xf numFmtId="0" fontId="35" fillId="0" borderId="0" xfId="3" applyFont="1" applyAlignment="1" applyProtection="1">
      <alignment horizontal="center" vertical="center" wrapText="1"/>
      <protection locked="0"/>
    </xf>
    <xf numFmtId="0" fontId="34" fillId="0" borderId="0" xfId="0" applyFont="1" applyAlignment="1" applyProtection="1">
      <alignment wrapText="1"/>
      <protection locked="0"/>
    </xf>
    <xf numFmtId="0" fontId="34" fillId="4" borderId="7" xfId="2" applyFont="1" applyFill="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3" applyFont="1" applyProtection="1">
      <protection locked="0"/>
    </xf>
    <xf numFmtId="0" fontId="34" fillId="0" borderId="0" xfId="0" applyFont="1" applyProtection="1">
      <protection locked="0"/>
    </xf>
    <xf numFmtId="0" fontId="35" fillId="4"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49" fontId="34" fillId="4" borderId="38" xfId="0" applyNumberFormat="1" applyFont="1" applyFill="1" applyBorder="1" applyAlignment="1">
      <alignment horizontal="left" vertical="center" wrapText="1"/>
    </xf>
    <xf numFmtId="0" fontId="34" fillId="4" borderId="3" xfId="2" applyFont="1" applyFill="1" applyBorder="1" applyAlignment="1">
      <alignment horizontal="center" vertical="center" wrapText="1"/>
    </xf>
    <xf numFmtId="0" fontId="34" fillId="4" borderId="14" xfId="3" applyFont="1" applyFill="1" applyBorder="1" applyAlignment="1">
      <alignment horizontal="left" vertical="center" wrapText="1"/>
    </xf>
    <xf numFmtId="0" fontId="34" fillId="4" borderId="17" xfId="3" applyFont="1" applyFill="1" applyBorder="1" applyAlignment="1">
      <alignment horizontal="left" vertical="center" wrapText="1"/>
    </xf>
    <xf numFmtId="0" fontId="34" fillId="4" borderId="36" xfId="3" applyFont="1" applyFill="1" applyBorder="1" applyAlignment="1" applyProtection="1">
      <alignment horizontal="left" vertical="center" wrapText="1"/>
      <protection locked="0"/>
    </xf>
    <xf numFmtId="0" fontId="34" fillId="4" borderId="1" xfId="2" applyFont="1" applyFill="1" applyBorder="1" applyAlignment="1">
      <alignment horizontal="center" vertical="center" wrapText="1"/>
    </xf>
    <xf numFmtId="0" fontId="35" fillId="0" borderId="3" xfId="14" applyFont="1" applyBorder="1" applyAlignment="1">
      <alignment horizontal="center" vertical="center" wrapText="1"/>
    </xf>
    <xf numFmtId="0" fontId="34" fillId="0" borderId="3" xfId="14" applyFont="1" applyBorder="1" applyAlignment="1">
      <alignment horizontal="center" vertical="center" wrapText="1"/>
    </xf>
    <xf numFmtId="49" fontId="34" fillId="0" borderId="38" xfId="0" applyNumberFormat="1" applyFont="1" applyBorder="1" applyAlignment="1">
      <alignment vertical="center" wrapText="1"/>
    </xf>
    <xf numFmtId="0" fontId="34" fillId="0" borderId="1" xfId="2" applyFont="1" applyBorder="1" applyAlignment="1">
      <alignment horizontal="center" vertical="center" wrapText="1"/>
    </xf>
    <xf numFmtId="0" fontId="34" fillId="0" borderId="1" xfId="3" applyFont="1" applyBorder="1" applyAlignment="1">
      <alignment horizontal="center" vertical="center" wrapText="1"/>
    </xf>
    <xf numFmtId="0" fontId="34" fillId="0" borderId="17" xfId="3" applyFont="1" applyBorder="1" applyAlignment="1">
      <alignment horizontal="left" vertical="center" wrapText="1"/>
    </xf>
    <xf numFmtId="0" fontId="34" fillId="0" borderId="17" xfId="3" applyFont="1" applyBorder="1" applyAlignment="1" applyProtection="1">
      <alignment horizontal="left" vertical="center" wrapText="1"/>
      <protection locked="0"/>
    </xf>
    <xf numFmtId="0" fontId="34" fillId="0" borderId="36" xfId="3" applyFont="1" applyBorder="1" applyAlignment="1" applyProtection="1">
      <alignment horizontal="left" vertical="center" wrapText="1"/>
      <protection locked="0"/>
    </xf>
    <xf numFmtId="0" fontId="34" fillId="0" borderId="1" xfId="3" applyFont="1" applyBorder="1" applyAlignment="1">
      <alignment horizontal="left" vertical="center" wrapText="1"/>
    </xf>
    <xf numFmtId="0" fontId="34" fillId="0" borderId="14" xfId="3" applyFont="1" applyBorder="1" applyAlignment="1" applyProtection="1">
      <alignment horizontal="left" vertical="center" wrapText="1"/>
      <protection locked="0"/>
    </xf>
    <xf numFmtId="0" fontId="35" fillId="4" borderId="3" xfId="14" applyFont="1" applyFill="1" applyBorder="1" applyAlignment="1">
      <alignment horizontal="center" vertical="center" wrapText="1"/>
    </xf>
    <xf numFmtId="0" fontId="34" fillId="4" borderId="3" xfId="14" applyFont="1" applyFill="1" applyBorder="1" applyAlignment="1">
      <alignment horizontal="center" vertical="center" wrapText="1"/>
    </xf>
    <xf numFmtId="49" fontId="34" fillId="4" borderId="38" xfId="0" applyNumberFormat="1" applyFont="1" applyFill="1" applyBorder="1" applyAlignment="1">
      <alignment vertical="center" wrapText="1"/>
    </xf>
    <xf numFmtId="0" fontId="34" fillId="4" borderId="1" xfId="3" applyFont="1" applyFill="1" applyBorder="1" applyAlignment="1">
      <alignment horizontal="center" vertical="center" wrapText="1"/>
    </xf>
    <xf numFmtId="0" fontId="34" fillId="4" borderId="17" xfId="0" applyFont="1" applyFill="1" applyBorder="1" applyAlignment="1">
      <alignment horizontal="left" vertical="center" wrapText="1"/>
    </xf>
    <xf numFmtId="0" fontId="34" fillId="4" borderId="17" xfId="0" applyFont="1" applyFill="1" applyBorder="1" applyAlignment="1" applyProtection="1">
      <alignment horizontal="left" vertical="center" wrapText="1"/>
      <protection locked="0"/>
    </xf>
    <xf numFmtId="0" fontId="34" fillId="4" borderId="1" xfId="3" applyFont="1" applyFill="1" applyBorder="1" applyAlignment="1">
      <alignment horizontal="left" vertical="center" wrapText="1"/>
    </xf>
    <xf numFmtId="0" fontId="34" fillId="4" borderId="14" xfId="3" applyFont="1" applyFill="1" applyBorder="1" applyAlignment="1" applyProtection="1">
      <alignment horizontal="left" vertical="center" wrapText="1"/>
      <protection locked="0"/>
    </xf>
    <xf numFmtId="0" fontId="6" fillId="0" borderId="48" xfId="2" applyFont="1" applyBorder="1" applyAlignment="1" applyProtection="1">
      <alignment horizontal="left" vertical="center" wrapText="1"/>
      <protection locked="0"/>
    </xf>
    <xf numFmtId="0" fontId="27" fillId="0" borderId="1" xfId="0" applyFont="1" applyBorder="1" applyAlignment="1">
      <alignment horizontal="center" vertical="center"/>
    </xf>
    <xf numFmtId="0" fontId="9" fillId="0" borderId="1" xfId="0" applyFont="1" applyBorder="1" applyAlignment="1">
      <alignment horizontal="center"/>
    </xf>
    <xf numFmtId="0" fontId="9" fillId="0" borderId="25" xfId="0" applyFont="1" applyBorder="1"/>
    <xf numFmtId="0" fontId="27" fillId="0" borderId="1" xfId="0" applyFont="1" applyBorder="1" applyAlignment="1">
      <alignment horizontal="center" vertical="center" wrapText="1"/>
    </xf>
    <xf numFmtId="0" fontId="9" fillId="0" borderId="26" xfId="0" applyFont="1" applyBorder="1"/>
    <xf numFmtId="0" fontId="9" fillId="0" borderId="22" xfId="0" applyFont="1" applyBorder="1"/>
    <xf numFmtId="0" fontId="10" fillId="4" borderId="8" xfId="2" applyFont="1" applyFill="1" applyBorder="1" applyAlignment="1" applyProtection="1">
      <alignment horizontal="center" vertical="center"/>
      <protection locked="0"/>
    </xf>
    <xf numFmtId="0" fontId="22" fillId="0" borderId="0" xfId="0" applyFont="1" applyAlignment="1" applyProtection="1">
      <alignment horizontal="right" vertical="center"/>
      <protection locked="0"/>
    </xf>
    <xf numFmtId="9" fontId="22" fillId="0" borderId="0" xfId="11" applyFont="1" applyAlignment="1" applyProtection="1">
      <alignment horizontal="right" vertical="center"/>
      <protection locked="0"/>
    </xf>
    <xf numFmtId="9" fontId="26" fillId="0" borderId="32" xfId="11" applyFont="1" applyBorder="1" applyAlignment="1" applyProtection="1">
      <alignment horizontal="right" vertical="center"/>
      <protection locked="0"/>
    </xf>
    <xf numFmtId="0" fontId="26" fillId="0" borderId="32" xfId="0" applyFont="1" applyBorder="1" applyAlignment="1" applyProtection="1">
      <alignment horizontal="right" vertical="center"/>
      <protection locked="0"/>
    </xf>
    <xf numFmtId="9" fontId="26" fillId="0" borderId="65" xfId="11" applyFont="1" applyBorder="1" applyAlignment="1" applyProtection="1">
      <alignment horizontal="right" vertical="center"/>
      <protection locked="0"/>
    </xf>
    <xf numFmtId="0" fontId="26" fillId="0" borderId="65" xfId="0" applyFont="1" applyBorder="1" applyAlignment="1" applyProtection="1">
      <alignment horizontal="right" vertical="center"/>
      <protection locked="0"/>
    </xf>
    <xf numFmtId="0" fontId="12" fillId="0" borderId="65" xfId="0" applyFont="1" applyBorder="1" applyProtection="1">
      <protection locked="0"/>
    </xf>
    <xf numFmtId="0" fontId="12" fillId="0" borderId="66" xfId="0" applyFont="1" applyBorder="1" applyAlignment="1" applyProtection="1">
      <alignment wrapText="1"/>
      <protection locked="0"/>
    </xf>
    <xf numFmtId="164" fontId="22" fillId="0" borderId="0" xfId="0" applyNumberFormat="1" applyFont="1" applyAlignment="1" applyProtection="1">
      <alignment horizontal="right" vertical="center"/>
      <protection locked="0"/>
    </xf>
    <xf numFmtId="0" fontId="10" fillId="0" borderId="5" xfId="2" applyFont="1" applyBorder="1" applyAlignment="1" applyProtection="1">
      <alignment horizontal="center" vertical="center"/>
      <protection locked="0"/>
    </xf>
    <xf numFmtId="0" fontId="10" fillId="0" borderId="6" xfId="2" applyFont="1" applyBorder="1" applyAlignment="1" applyProtection="1">
      <alignment horizontal="center" vertical="center" wrapText="1"/>
      <protection locked="0"/>
    </xf>
    <xf numFmtId="0" fontId="34" fillId="4" borderId="8" xfId="2" applyFont="1" applyFill="1" applyBorder="1" applyAlignment="1" applyProtection="1">
      <alignment horizontal="center" vertical="center"/>
      <protection locked="0"/>
    </xf>
    <xf numFmtId="9" fontId="36" fillId="0" borderId="0" xfId="11" applyFont="1" applyAlignment="1" applyProtection="1">
      <alignment horizontal="center" vertical="center"/>
      <protection locked="0"/>
    </xf>
    <xf numFmtId="0" fontId="10" fillId="0" borderId="7" xfId="2" applyFont="1" applyBorder="1" applyAlignment="1" applyProtection="1">
      <alignment horizontal="center" vertical="center" wrapText="1"/>
      <protection locked="0"/>
    </xf>
    <xf numFmtId="0" fontId="10" fillId="0" borderId="19" xfId="2" applyFont="1" applyBorder="1" applyAlignment="1" applyProtection="1">
      <alignment horizontal="center" vertical="center"/>
      <protection locked="0"/>
    </xf>
    <xf numFmtId="0" fontId="12" fillId="0" borderId="0" xfId="3" applyFont="1" applyProtection="1">
      <protection locked="0"/>
    </xf>
    <xf numFmtId="0" fontId="17" fillId="0" borderId="49" xfId="3" applyFont="1" applyBorder="1" applyAlignment="1" applyProtection="1">
      <alignment horizontal="center" vertical="center" wrapText="1"/>
      <protection locked="0"/>
    </xf>
    <xf numFmtId="0" fontId="34" fillId="0" borderId="7" xfId="2" applyFont="1" applyBorder="1" applyAlignment="1" applyProtection="1">
      <alignment horizontal="center" vertical="center"/>
      <protection locked="0"/>
    </xf>
    <xf numFmtId="0" fontId="10" fillId="0" borderId="43" xfId="2" applyFont="1" applyBorder="1" applyAlignment="1" applyProtection="1">
      <alignment horizontal="center" vertical="center"/>
      <protection locked="0"/>
    </xf>
    <xf numFmtId="0" fontId="10" fillId="0" borderId="9" xfId="2" applyFont="1" applyBorder="1" applyAlignment="1" applyProtection="1">
      <alignment horizontal="center" vertical="center"/>
      <protection locked="0"/>
    </xf>
    <xf numFmtId="0" fontId="12" fillId="3" borderId="28" xfId="0" applyFont="1" applyFill="1" applyBorder="1" applyAlignment="1" applyProtection="1">
      <alignment horizontal="center" vertical="center" wrapText="1"/>
      <protection locked="0"/>
    </xf>
    <xf numFmtId="0" fontId="17" fillId="6" borderId="2" xfId="3" applyFont="1" applyFill="1" applyBorder="1" applyAlignment="1" applyProtection="1">
      <alignment vertical="center" wrapText="1"/>
      <protection locked="0"/>
    </xf>
    <xf numFmtId="0" fontId="17" fillId="6" borderId="15" xfId="3" applyFont="1" applyFill="1" applyBorder="1" applyAlignment="1" applyProtection="1">
      <alignment vertical="center" wrapText="1"/>
      <protection locked="0"/>
    </xf>
    <xf numFmtId="0" fontId="12" fillId="6" borderId="3" xfId="0" applyFont="1" applyFill="1" applyBorder="1" applyAlignment="1" applyProtection="1">
      <alignment horizontal="center" vertical="center" wrapText="1"/>
      <protection locked="0"/>
    </xf>
    <xf numFmtId="0" fontId="10" fillId="6" borderId="1" xfId="3" applyFont="1" applyFill="1" applyBorder="1" applyProtection="1">
      <protection locked="0"/>
    </xf>
    <xf numFmtId="0" fontId="10" fillId="6" borderId="14" xfId="3" applyFont="1" applyFill="1" applyBorder="1" applyProtection="1">
      <protection locked="0"/>
    </xf>
    <xf numFmtId="0" fontId="17" fillId="6" borderId="1" xfId="3" applyFont="1" applyFill="1" applyBorder="1" applyAlignment="1" applyProtection="1">
      <alignment vertical="center" wrapText="1"/>
      <protection locked="0"/>
    </xf>
    <xf numFmtId="0" fontId="17" fillId="6" borderId="14" xfId="3" applyFont="1" applyFill="1" applyBorder="1" applyAlignment="1" applyProtection="1">
      <alignment vertical="center" wrapText="1"/>
      <protection locked="0"/>
    </xf>
    <xf numFmtId="0" fontId="15" fillId="0" borderId="49" xfId="3" applyFont="1" applyBorder="1" applyAlignment="1" applyProtection="1">
      <alignment horizontal="center" vertical="center" wrapText="1"/>
      <protection locked="0"/>
    </xf>
    <xf numFmtId="0" fontId="12" fillId="0" borderId="1" xfId="7" applyFont="1" applyFill="1" applyBorder="1" applyAlignment="1">
      <alignment horizontal="center" vertical="center"/>
    </xf>
    <xf numFmtId="0" fontId="10" fillId="0" borderId="6" xfId="2" applyFont="1" applyBorder="1" applyAlignment="1">
      <alignment horizontal="center" vertical="center"/>
    </xf>
    <xf numFmtId="0" fontId="25" fillId="0" borderId="1" xfId="2" applyFont="1" applyBorder="1" applyAlignment="1">
      <alignment horizontal="center" vertical="center" wrapText="1"/>
    </xf>
    <xf numFmtId="0" fontId="10" fillId="0" borderId="67" xfId="0" applyFont="1" applyBorder="1" applyAlignment="1" applyProtection="1">
      <alignment horizontal="left" vertical="center" wrapText="1"/>
      <protection locked="0"/>
    </xf>
    <xf numFmtId="0" fontId="10" fillId="6" borderId="17" xfId="0" applyFont="1" applyFill="1" applyBorder="1" applyAlignment="1" applyProtection="1">
      <alignment horizontal="left" vertical="center" wrapText="1"/>
      <protection locked="0"/>
    </xf>
    <xf numFmtId="49" fontId="33" fillId="0" borderId="38" xfId="0" applyNumberFormat="1" applyFont="1" applyBorder="1" applyAlignment="1">
      <alignment vertical="center" wrapText="1"/>
    </xf>
    <xf numFmtId="9" fontId="40" fillId="0" borderId="0" xfId="11" applyFont="1" applyAlignment="1" applyProtection="1">
      <alignment horizontal="center" vertical="center"/>
      <protection locked="0"/>
    </xf>
    <xf numFmtId="0" fontId="37" fillId="0" borderId="7" xfId="2" applyFont="1" applyBorder="1" applyAlignment="1" applyProtection="1">
      <alignment horizontal="center" vertical="center"/>
      <protection locked="0"/>
    </xf>
    <xf numFmtId="0" fontId="37" fillId="0" borderId="17" xfId="2" applyFont="1" applyBorder="1" applyAlignment="1" applyProtection="1">
      <alignment horizontal="center" vertical="center"/>
      <protection locked="0"/>
    </xf>
    <xf numFmtId="0" fontId="37" fillId="0" borderId="49" xfId="3" applyFont="1" applyBorder="1" applyAlignment="1" applyProtection="1">
      <alignment horizontal="left" vertical="center" wrapText="1"/>
      <protection locked="0"/>
    </xf>
    <xf numFmtId="0" fontId="37" fillId="0" borderId="0" xfId="0" applyFont="1" applyAlignment="1" applyProtection="1">
      <alignment horizontal="center" vertical="center"/>
      <protection locked="0"/>
    </xf>
    <xf numFmtId="0" fontId="37" fillId="0" borderId="0" xfId="3" applyFont="1" applyProtection="1">
      <protection locked="0"/>
    </xf>
    <xf numFmtId="0" fontId="37" fillId="0" borderId="0" xfId="0" applyFont="1" applyProtection="1">
      <protection locked="0"/>
    </xf>
    <xf numFmtId="0" fontId="15" fillId="6" borderId="14" xfId="0" applyFont="1" applyFill="1" applyBorder="1" applyAlignment="1" applyProtection="1">
      <alignment horizontal="left" vertical="center" wrapText="1"/>
      <protection locked="0"/>
    </xf>
    <xf numFmtId="0" fontId="19" fillId="13" borderId="14" xfId="0" applyFont="1" applyFill="1" applyBorder="1" applyAlignment="1" applyProtection="1">
      <alignment horizontal="left" vertical="center" wrapText="1"/>
      <protection locked="0"/>
    </xf>
    <xf numFmtId="0" fontId="15" fillId="13" borderId="14" xfId="0" applyFont="1" applyFill="1" applyBorder="1" applyAlignment="1" applyProtection="1">
      <alignment horizontal="left" vertical="center" wrapText="1"/>
      <protection locked="0"/>
    </xf>
    <xf numFmtId="0" fontId="25" fillId="0" borderId="3" xfId="0" applyFont="1" applyBorder="1" applyAlignment="1">
      <alignment horizontal="center" vertical="center" wrapText="1"/>
    </xf>
    <xf numFmtId="0" fontId="9" fillId="0" borderId="1" xfId="3" applyFont="1" applyBorder="1" applyAlignment="1">
      <alignment vertical="top" wrapText="1"/>
    </xf>
    <xf numFmtId="0" fontId="10" fillId="13" borderId="3" xfId="0" applyFont="1" applyFill="1" applyBorder="1" applyAlignment="1" applyProtection="1">
      <alignment horizontal="center" vertical="center" wrapText="1"/>
      <protection locked="0"/>
    </xf>
    <xf numFmtId="0" fontId="10" fillId="6" borderId="48" xfId="3" applyFont="1" applyFill="1" applyBorder="1" applyAlignment="1" applyProtection="1">
      <alignment horizontal="left" vertical="center" wrapText="1"/>
      <protection locked="0"/>
    </xf>
    <xf numFmtId="0" fontId="17" fillId="9" borderId="35" xfId="3" applyFont="1" applyFill="1" applyBorder="1" applyAlignment="1" applyProtection="1">
      <alignment horizontal="left" vertical="center" wrapText="1"/>
      <protection locked="0"/>
    </xf>
    <xf numFmtId="49" fontId="33" fillId="0" borderId="38" xfId="0" applyNumberFormat="1" applyFont="1" applyBorder="1" applyAlignment="1">
      <alignment horizontal="left" vertical="center" wrapText="1"/>
    </xf>
    <xf numFmtId="0" fontId="10" fillId="6" borderId="2" xfId="0" applyFont="1" applyFill="1" applyBorder="1" applyAlignment="1" applyProtection="1">
      <alignment horizontal="center" vertical="center" wrapText="1"/>
      <protection locked="0"/>
    </xf>
    <xf numFmtId="0" fontId="9" fillId="0" borderId="48" xfId="2" applyFont="1" applyBorder="1" applyAlignment="1">
      <alignment horizontal="left" vertical="center" wrapText="1"/>
    </xf>
    <xf numFmtId="0" fontId="10" fillId="0" borderId="67" xfId="3" applyFont="1" applyBorder="1" applyAlignment="1" applyProtection="1">
      <alignment horizontal="center" vertical="center" wrapText="1"/>
      <protection locked="0"/>
    </xf>
    <xf numFmtId="9" fontId="22" fillId="0" borderId="0" xfId="11" applyFont="1" applyAlignment="1">
      <alignment horizontal="center" vertical="center" wrapText="1"/>
    </xf>
    <xf numFmtId="0" fontId="18" fillId="0" borderId="17" xfId="3" applyFont="1" applyBorder="1" applyAlignment="1">
      <alignment horizontal="center" vertical="center" wrapText="1"/>
    </xf>
    <xf numFmtId="0" fontId="41" fillId="0" borderId="3" xfId="2" applyFont="1" applyBorder="1" applyAlignment="1">
      <alignment horizontal="center" vertical="center"/>
    </xf>
    <xf numFmtId="0" fontId="37" fillId="0" borderId="3" xfId="2" applyFont="1" applyBorder="1" applyAlignment="1">
      <alignment horizontal="center" vertical="center"/>
    </xf>
    <xf numFmtId="0" fontId="37" fillId="0" borderId="48" xfId="0" applyFont="1" applyBorder="1" applyAlignment="1">
      <alignment wrapText="1"/>
    </xf>
    <xf numFmtId="0" fontId="37" fillId="0" borderId="17" xfId="2" applyFont="1" applyBorder="1" applyAlignment="1">
      <alignment horizontal="left" vertical="center" wrapText="1"/>
    </xf>
    <xf numFmtId="0" fontId="39" fillId="0" borderId="17" xfId="3" applyFont="1" applyBorder="1" applyAlignment="1">
      <alignment horizontal="left" vertical="center" wrapText="1"/>
    </xf>
    <xf numFmtId="0" fontId="10" fillId="0" borderId="2" xfId="0" applyFont="1" applyBorder="1" applyAlignment="1">
      <alignment horizontal="left" vertical="center" wrapText="1"/>
    </xf>
    <xf numFmtId="0" fontId="16" fillId="0" borderId="14" xfId="3" applyFont="1" applyBorder="1" applyAlignment="1">
      <alignment horizontal="left" vertical="center" wrapText="1"/>
    </xf>
    <xf numFmtId="0" fontId="43" fillId="0" borderId="1" xfId="2" applyFont="1" applyBorder="1" applyAlignment="1">
      <alignment horizontal="center" vertical="center" wrapText="1"/>
    </xf>
    <xf numFmtId="0" fontId="10" fillId="0" borderId="2" xfId="14" applyFont="1" applyBorder="1" applyAlignment="1">
      <alignment horizontal="center" vertical="center" wrapText="1"/>
    </xf>
    <xf numFmtId="0" fontId="10" fillId="0" borderId="2" xfId="3" applyFont="1" applyBorder="1" applyAlignment="1">
      <alignment horizontal="center" vertical="center" wrapText="1"/>
    </xf>
    <xf numFmtId="0" fontId="10" fillId="0" borderId="15" xfId="3" applyFont="1" applyBorder="1" applyAlignment="1">
      <alignment horizontal="left" vertical="center" wrapText="1"/>
    </xf>
    <xf numFmtId="0" fontId="42" fillId="13" borderId="1" xfId="0" applyFont="1" applyFill="1" applyBorder="1" applyAlignment="1" applyProtection="1">
      <alignment horizontal="center" vertical="center"/>
      <protection locked="0"/>
    </xf>
    <xf numFmtId="0" fontId="10" fillId="0" borderId="48" xfId="3" applyFont="1" applyBorder="1" applyAlignment="1">
      <alignment horizontal="left" vertical="center" wrapText="1"/>
    </xf>
    <xf numFmtId="0" fontId="12" fillId="0" borderId="3" xfId="2" applyFont="1" applyBorder="1" applyAlignment="1">
      <alignment horizontal="center" vertical="center" wrapText="1"/>
    </xf>
    <xf numFmtId="0" fontId="14" fillId="0" borderId="1" xfId="3" applyFont="1" applyBorder="1" applyAlignment="1">
      <alignment horizontal="left" vertical="center" wrapText="1"/>
    </xf>
    <xf numFmtId="0" fontId="28" fillId="0" borderId="48" xfId="0" applyFont="1" applyBorder="1" applyAlignment="1">
      <alignment horizontal="center" vertical="center"/>
    </xf>
    <xf numFmtId="0" fontId="10" fillId="0" borderId="48" xfId="0" applyFont="1" applyBorder="1" applyAlignment="1">
      <alignment vertical="center" wrapText="1"/>
    </xf>
    <xf numFmtId="0" fontId="10" fillId="0" borderId="48" xfId="0" applyFont="1" applyBorder="1" applyAlignment="1">
      <alignment horizontal="center" vertical="center" wrapText="1"/>
    </xf>
    <xf numFmtId="0" fontId="12"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4" xfId="0" applyFont="1" applyBorder="1" applyAlignment="1">
      <alignment vertical="center"/>
    </xf>
    <xf numFmtId="0" fontId="14" fillId="0" borderId="14" xfId="3" applyFont="1" applyBorder="1" applyAlignment="1">
      <alignment horizontal="left" vertical="center" wrapText="1"/>
    </xf>
    <xf numFmtId="0" fontId="10" fillId="0" borderId="48" xfId="3" applyFont="1" applyBorder="1" applyAlignment="1">
      <alignment vertical="center" wrapText="1"/>
    </xf>
    <xf numFmtId="0" fontId="10" fillId="0" borderId="59" xfId="3" applyFont="1" applyBorder="1" applyAlignment="1">
      <alignment horizontal="left" vertical="center" wrapText="1"/>
    </xf>
    <xf numFmtId="0" fontId="10" fillId="0" borderId="15" xfId="0" applyFont="1" applyBorder="1" applyAlignment="1">
      <alignment horizontal="left" vertical="center" wrapText="1"/>
    </xf>
    <xf numFmtId="0" fontId="13" fillId="0" borderId="48" xfId="3" applyFont="1" applyBorder="1" applyAlignment="1">
      <alignment horizontal="left" vertical="center" wrapText="1"/>
    </xf>
    <xf numFmtId="0" fontId="38"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2" fillId="0" borderId="48" xfId="0" applyFont="1" applyBorder="1" applyAlignment="1">
      <alignment horizontal="center" vertical="center"/>
    </xf>
    <xf numFmtId="0" fontId="10" fillId="0" borderId="48" xfId="0" applyFont="1" applyBorder="1" applyAlignment="1">
      <alignment horizontal="center" vertical="center"/>
    </xf>
    <xf numFmtId="0" fontId="37" fillId="0" borderId="2" xfId="2" applyFont="1" applyBorder="1" applyAlignment="1">
      <alignment horizontal="center" vertical="center" wrapText="1"/>
    </xf>
    <xf numFmtId="0" fontId="10" fillId="0" borderId="0" xfId="3" applyFont="1"/>
    <xf numFmtId="0" fontId="10" fillId="6" borderId="48" xfId="0" applyFont="1" applyFill="1" applyBorder="1" applyAlignment="1" applyProtection="1">
      <alignment horizontal="center" vertical="center" wrapText="1"/>
      <protection locked="0"/>
    </xf>
    <xf numFmtId="0" fontId="37" fillId="6" borderId="2" xfId="2" applyFont="1" applyFill="1" applyBorder="1" applyAlignment="1" applyProtection="1">
      <alignment horizontal="center" vertical="center" wrapText="1"/>
      <protection locked="0"/>
    </xf>
    <xf numFmtId="0" fontId="35" fillId="4" borderId="1" xfId="0" applyFont="1" applyFill="1" applyBorder="1" applyAlignment="1" applyProtection="1">
      <alignment horizontal="center" vertical="center" wrapText="1"/>
      <protection locked="0"/>
    </xf>
    <xf numFmtId="0" fontId="34" fillId="4" borderId="1" xfId="0" applyFont="1" applyFill="1" applyBorder="1" applyAlignment="1" applyProtection="1">
      <alignment horizontal="center" vertical="center" wrapText="1"/>
      <protection locked="0"/>
    </xf>
    <xf numFmtId="49" fontId="34" fillId="4" borderId="38" xfId="0" applyNumberFormat="1" applyFont="1" applyFill="1" applyBorder="1" applyAlignment="1" applyProtection="1">
      <alignment horizontal="left" vertical="center" wrapText="1"/>
      <protection locked="0"/>
    </xf>
    <xf numFmtId="0" fontId="34" fillId="4" borderId="3" xfId="2" applyFont="1" applyFill="1" applyBorder="1" applyAlignment="1" applyProtection="1">
      <alignment horizontal="center" vertical="center" wrapText="1"/>
      <protection locked="0"/>
    </xf>
    <xf numFmtId="49" fontId="33" fillId="0" borderId="38" xfId="0" applyNumberFormat="1" applyFont="1" applyBorder="1" applyAlignment="1" applyProtection="1">
      <alignment horizontal="left" vertical="center" wrapText="1"/>
      <protection locked="0"/>
    </xf>
    <xf numFmtId="0" fontId="34" fillId="4" borderId="1" xfId="2" applyFont="1" applyFill="1" applyBorder="1" applyAlignment="1" applyProtection="1">
      <alignment horizontal="center" vertical="center" wrapText="1"/>
      <protection locked="0"/>
    </xf>
    <xf numFmtId="0" fontId="12" fillId="0" borderId="0" xfId="3" applyFont="1" applyAlignment="1">
      <alignment horizontal="center" vertical="center"/>
    </xf>
    <xf numFmtId="0" fontId="35" fillId="0" borderId="0" xfId="3" applyFont="1" applyAlignment="1">
      <alignment horizontal="center" vertical="center" wrapText="1"/>
    </xf>
    <xf numFmtId="0" fontId="10" fillId="0" borderId="0" xfId="0" applyFont="1" applyAlignment="1">
      <alignment horizontal="center" vertical="center"/>
    </xf>
    <xf numFmtId="0" fontId="10" fillId="0" borderId="0" xfId="0" applyFont="1"/>
    <xf numFmtId="0" fontId="12" fillId="0" borderId="0" xfId="3" applyFont="1" applyAlignment="1">
      <alignment horizontal="center" vertical="center" wrapText="1"/>
    </xf>
    <xf numFmtId="0" fontId="41" fillId="0" borderId="0" xfId="3" applyFont="1" applyAlignment="1">
      <alignment horizontal="center" vertical="center"/>
    </xf>
    <xf numFmtId="0" fontId="12" fillId="0" borderId="0" xfId="0" applyFont="1" applyAlignment="1">
      <alignment horizontal="center" vertical="center"/>
    </xf>
    <xf numFmtId="2" fontId="10" fillId="0" borderId="0" xfId="0" applyNumberFormat="1" applyFont="1" applyProtection="1">
      <protection locked="0"/>
    </xf>
    <xf numFmtId="2" fontId="26" fillId="0" borderId="33" xfId="0" applyNumberFormat="1" applyFont="1" applyBorder="1" applyAlignment="1" applyProtection="1">
      <alignment horizontal="right" vertical="center"/>
      <protection locked="0"/>
    </xf>
    <xf numFmtId="2" fontId="26" fillId="0" borderId="64" xfId="0" applyNumberFormat="1" applyFont="1" applyBorder="1" applyAlignment="1" applyProtection="1">
      <alignment horizontal="right" vertical="center"/>
      <protection locked="0"/>
    </xf>
    <xf numFmtId="2" fontId="26" fillId="0" borderId="11" xfId="0" applyNumberFormat="1" applyFont="1" applyBorder="1" applyAlignment="1" applyProtection="1">
      <alignment horizontal="right" vertical="center"/>
      <protection locked="0"/>
    </xf>
    <xf numFmtId="164" fontId="36" fillId="0" borderId="0" xfId="0" applyNumberFormat="1" applyFont="1" applyAlignment="1">
      <alignment horizontal="center" vertical="center" wrapText="1"/>
    </xf>
    <xf numFmtId="164" fontId="40" fillId="0" borderId="0" xfId="0" applyNumberFormat="1" applyFont="1" applyAlignment="1">
      <alignment horizontal="center" vertical="center"/>
    </xf>
    <xf numFmtId="0" fontId="10" fillId="0" borderId="1" xfId="2" applyFont="1" applyBorder="1" applyAlignment="1">
      <alignment horizontal="left" vertical="center" wrapText="1"/>
    </xf>
    <xf numFmtId="49" fontId="33" fillId="4" borderId="38" xfId="0" applyNumberFormat="1" applyFont="1" applyFill="1" applyBorder="1" applyAlignment="1">
      <alignment vertical="center" wrapText="1"/>
    </xf>
    <xf numFmtId="0" fontId="34" fillId="4" borderId="1" xfId="2" applyFont="1" applyFill="1" applyBorder="1" applyAlignment="1">
      <alignment horizontal="left" vertical="center" wrapText="1"/>
    </xf>
    <xf numFmtId="0" fontId="10" fillId="0" borderId="2" xfId="2" applyFont="1" applyBorder="1" applyAlignment="1">
      <alignment horizontal="left" vertical="center" wrapText="1"/>
    </xf>
    <xf numFmtId="0" fontId="10" fillId="6" borderId="13" xfId="2" applyFont="1" applyFill="1" applyBorder="1" applyAlignment="1" applyProtection="1">
      <alignment horizontal="left" vertical="center" wrapText="1"/>
      <protection locked="0"/>
    </xf>
    <xf numFmtId="0" fontId="10" fillId="0" borderId="3" xfId="3" applyFont="1" applyBorder="1" applyAlignment="1">
      <alignment horizontal="left" wrapText="1"/>
    </xf>
    <xf numFmtId="0" fontId="10" fillId="0" borderId="3" xfId="2" applyFont="1" applyBorder="1" applyAlignment="1" applyProtection="1">
      <alignment horizontal="left" vertical="center" wrapText="1"/>
      <protection locked="0"/>
    </xf>
    <xf numFmtId="0" fontId="10" fillId="6" borderId="1" xfId="2" applyFont="1" applyFill="1" applyBorder="1" applyAlignment="1" applyProtection="1">
      <alignment horizontal="left" vertical="center" wrapText="1"/>
      <protection locked="0"/>
    </xf>
    <xf numFmtId="0" fontId="10" fillId="6" borderId="3" xfId="2" applyFont="1" applyFill="1" applyBorder="1" applyAlignment="1" applyProtection="1">
      <alignment horizontal="left" vertical="center" wrapText="1"/>
      <protection locked="0"/>
    </xf>
    <xf numFmtId="0" fontId="10" fillId="0" borderId="1" xfId="3" applyFont="1" applyBorder="1" applyAlignment="1">
      <alignment vertical="top" wrapText="1"/>
    </xf>
    <xf numFmtId="0" fontId="10" fillId="0" borderId="0" xfId="0" applyFont="1" applyAlignment="1">
      <alignment horizontal="left" vertical="center" wrapText="1"/>
    </xf>
    <xf numFmtId="0" fontId="29" fillId="0" borderId="68" xfId="0" applyFont="1" applyBorder="1" applyAlignment="1">
      <alignment vertical="center" wrapText="1"/>
    </xf>
    <xf numFmtId="0" fontId="29" fillId="0" borderId="1" xfId="0" applyFont="1" applyBorder="1" applyAlignment="1" applyProtection="1">
      <alignment horizontal="left" vertical="center" wrapText="1"/>
      <protection locked="0"/>
    </xf>
    <xf numFmtId="0" fontId="10" fillId="7" borderId="1" xfId="0" applyFont="1" applyFill="1" applyBorder="1" applyAlignment="1" applyProtection="1">
      <alignment horizontal="left" vertical="center" wrapText="1"/>
      <protection locked="0"/>
    </xf>
    <xf numFmtId="0" fontId="10" fillId="6" borderId="2" xfId="2" applyFont="1" applyFill="1" applyBorder="1" applyAlignment="1" applyProtection="1">
      <alignment horizontal="left" vertical="center" wrapText="1"/>
      <protection locked="0"/>
    </xf>
    <xf numFmtId="0" fontId="10" fillId="0" borderId="44" xfId="2" applyFont="1" applyBorder="1" applyAlignment="1">
      <alignment horizontal="left" vertical="center" wrapText="1"/>
    </xf>
    <xf numFmtId="49" fontId="33" fillId="4" borderId="38" xfId="0" applyNumberFormat="1" applyFont="1" applyFill="1" applyBorder="1" applyAlignment="1">
      <alignment horizontal="left" vertical="center" wrapText="1"/>
    </xf>
    <xf numFmtId="9" fontId="22" fillId="0" borderId="13" xfId="11" applyFont="1" applyBorder="1" applyAlignment="1">
      <alignment horizontal="center" vertical="center" wrapText="1"/>
    </xf>
    <xf numFmtId="9" fontId="22" fillId="0" borderId="2" xfId="11" applyFont="1" applyBorder="1" applyAlignment="1">
      <alignment horizontal="center" vertical="center" wrapText="1"/>
    </xf>
    <xf numFmtId="9" fontId="22" fillId="0" borderId="10" xfId="11" applyFont="1" applyBorder="1" applyAlignment="1">
      <alignment horizontal="center" vertical="center" wrapText="1"/>
    </xf>
    <xf numFmtId="9" fontId="22" fillId="0" borderId="75" xfId="11" applyFont="1" applyBorder="1" applyAlignment="1">
      <alignment horizontal="center" vertical="center" wrapText="1"/>
    </xf>
    <xf numFmtId="0" fontId="4" fillId="9" borderId="1" xfId="16" applyFont="1" applyFill="1" applyBorder="1" applyAlignment="1" applyProtection="1">
      <alignment horizontal="center" vertical="center"/>
      <protection locked="0"/>
    </xf>
    <xf numFmtId="0" fontId="4" fillId="9" borderId="14" xfId="16" applyFont="1" applyFill="1" applyBorder="1" applyAlignment="1" applyProtection="1">
      <alignment horizontal="center" vertical="center"/>
      <protection locked="0"/>
    </xf>
    <xf numFmtId="0" fontId="4" fillId="9" borderId="1" xfId="16" applyFont="1" applyFill="1" applyBorder="1" applyAlignment="1" applyProtection="1">
      <alignment horizontal="center" vertical="center" wrapText="1"/>
      <protection locked="0"/>
    </xf>
    <xf numFmtId="0" fontId="4" fillId="9" borderId="14" xfId="16" applyFont="1" applyFill="1" applyBorder="1" applyAlignment="1" applyProtection="1">
      <alignment horizontal="center" vertical="center" wrapText="1"/>
      <protection locked="0"/>
    </xf>
    <xf numFmtId="2" fontId="4" fillId="9" borderId="69" xfId="16" applyNumberFormat="1" applyFont="1" applyFill="1" applyBorder="1" applyAlignment="1" applyProtection="1">
      <alignment horizontal="center" vertical="center" wrapText="1"/>
      <protection locked="0"/>
    </xf>
    <xf numFmtId="0" fontId="5" fillId="0" borderId="22" xfId="10" applyFont="1" applyBorder="1"/>
    <xf numFmtId="0" fontId="5" fillId="0" borderId="25" xfId="10" applyFont="1" applyBorder="1"/>
    <xf numFmtId="0" fontId="5" fillId="0" borderId="25" xfId="10" applyFont="1" applyBorder="1" applyAlignment="1">
      <alignment horizontal="left" vertical="center"/>
    </xf>
    <xf numFmtId="0" fontId="5" fillId="0" borderId="23" xfId="10" applyFont="1" applyBorder="1"/>
    <xf numFmtId="0" fontId="5" fillId="0" borderId="54" xfId="10" applyFont="1" applyBorder="1"/>
    <xf numFmtId="0" fontId="20" fillId="0" borderId="5" xfId="10" applyFont="1" applyBorder="1" applyAlignment="1">
      <alignment horizontal="center"/>
    </xf>
    <xf numFmtId="0" fontId="20" fillId="0" borderId="4" xfId="10" applyFont="1" applyBorder="1" applyAlignment="1">
      <alignment horizontal="center"/>
    </xf>
    <xf numFmtId="0" fontId="20" fillId="0" borderId="16" xfId="10" applyFont="1" applyBorder="1" applyAlignment="1">
      <alignment horizontal="center"/>
    </xf>
    <xf numFmtId="0" fontId="20" fillId="0" borderId="39" xfId="10" applyFont="1" applyBorder="1" applyAlignment="1">
      <alignment horizontal="center" vertical="center"/>
    </xf>
    <xf numFmtId="0" fontId="20" fillId="0" borderId="70" xfId="16" applyFont="1" applyBorder="1" applyAlignment="1">
      <alignment horizontal="center" vertical="center"/>
    </xf>
    <xf numFmtId="0" fontId="20" fillId="0" borderId="33" xfId="10" applyFont="1" applyBorder="1" applyAlignment="1">
      <alignment horizontal="center"/>
    </xf>
    <xf numFmtId="0" fontId="5" fillId="0" borderId="24" xfId="10" applyFont="1" applyBorder="1"/>
    <xf numFmtId="0" fontId="21" fillId="0" borderId="43" xfId="10" applyFont="1" applyBorder="1" applyAlignment="1">
      <alignment vertical="center"/>
    </xf>
    <xf numFmtId="0" fontId="21" fillId="0" borderId="45" xfId="10" applyFont="1" applyBorder="1" applyAlignment="1">
      <alignment horizontal="left" vertical="center" wrapText="1"/>
    </xf>
    <xf numFmtId="0" fontId="21" fillId="0" borderId="1" xfId="16" applyFont="1" applyBorder="1" applyAlignment="1">
      <alignment vertical="center" wrapText="1"/>
    </xf>
    <xf numFmtId="0" fontId="21" fillId="0" borderId="44" xfId="10" applyFont="1" applyBorder="1" applyAlignment="1">
      <alignment horizontal="center" vertical="center" wrapText="1"/>
    </xf>
    <xf numFmtId="0" fontId="21" fillId="0" borderId="58" xfId="16" applyFont="1" applyBorder="1" applyAlignment="1">
      <alignment horizontal="center" vertical="center" wrapText="1"/>
    </xf>
    <xf numFmtId="0" fontId="21" fillId="0" borderId="8" xfId="10" applyFont="1" applyBorder="1" applyAlignment="1">
      <alignment vertical="center"/>
    </xf>
    <xf numFmtId="0" fontId="21" fillId="0" borderId="41" xfId="10" applyFont="1" applyBorder="1" applyAlignment="1">
      <alignment horizontal="left" vertical="center" wrapText="1"/>
    </xf>
    <xf numFmtId="0" fontId="21" fillId="0" borderId="1" xfId="10" applyFont="1" applyBorder="1" applyAlignment="1">
      <alignment horizontal="center" vertical="center" wrapText="1"/>
    </xf>
    <xf numFmtId="0" fontId="21" fillId="0" borderId="40" xfId="16" applyFont="1" applyBorder="1" applyAlignment="1">
      <alignment horizontal="center" vertical="center" wrapText="1"/>
    </xf>
    <xf numFmtId="0" fontId="22" fillId="0" borderId="41" xfId="10" applyFont="1" applyBorder="1" applyAlignment="1">
      <alignment horizontal="left" vertical="center" wrapText="1"/>
    </xf>
    <xf numFmtId="0" fontId="22" fillId="0" borderId="1" xfId="16" applyFont="1" applyBorder="1" applyAlignment="1">
      <alignment vertical="center" wrapText="1"/>
    </xf>
    <xf numFmtId="0" fontId="22" fillId="0" borderId="1" xfId="10" applyFont="1" applyBorder="1" applyAlignment="1">
      <alignment horizontal="center" vertical="center" wrapText="1"/>
    </xf>
    <xf numFmtId="0" fontId="22" fillId="0" borderId="40" xfId="16" applyFont="1" applyBorder="1" applyAlignment="1">
      <alignment horizontal="center" vertical="center" wrapText="1"/>
    </xf>
    <xf numFmtId="0" fontId="4" fillId="0" borderId="1" xfId="16" applyFont="1" applyBorder="1" applyAlignment="1">
      <alignment horizontal="center" vertical="center"/>
    </xf>
    <xf numFmtId="0" fontId="23" fillId="0" borderId="8" xfId="10" applyFont="1" applyBorder="1" applyAlignment="1">
      <alignment vertical="center"/>
    </xf>
    <xf numFmtId="0" fontId="22" fillId="0" borderId="41" xfId="12" applyFont="1" applyBorder="1" applyAlignment="1">
      <alignment vertical="center" wrapText="1"/>
    </xf>
    <xf numFmtId="0" fontId="22" fillId="0" borderId="71" xfId="16" applyFont="1" applyBorder="1" applyAlignment="1">
      <alignment vertical="center" wrapText="1"/>
    </xf>
    <xf numFmtId="0" fontId="23" fillId="0" borderId="55" xfId="10" applyFont="1" applyBorder="1" applyAlignment="1">
      <alignment vertical="center"/>
    </xf>
    <xf numFmtId="2" fontId="4" fillId="4" borderId="10" xfId="16" applyNumberFormat="1" applyFont="1" applyFill="1" applyBorder="1" applyAlignment="1">
      <alignment horizontal="center" vertical="center"/>
    </xf>
    <xf numFmtId="0" fontId="22" fillId="0" borderId="56" xfId="12" applyFont="1" applyBorder="1" applyAlignment="1">
      <alignment vertical="center" wrapText="1"/>
    </xf>
    <xf numFmtId="0" fontId="22" fillId="0" borderId="72" xfId="16" applyFont="1" applyBorder="1" applyAlignment="1">
      <alignment vertical="center" wrapText="1"/>
    </xf>
    <xf numFmtId="2" fontId="22" fillId="0" borderId="12" xfId="10" applyNumberFormat="1" applyFont="1" applyBorder="1" applyAlignment="1">
      <alignment horizontal="center" vertical="center" wrapText="1"/>
    </xf>
    <xf numFmtId="2" fontId="22" fillId="0" borderId="51" xfId="16" applyNumberFormat="1" applyFont="1" applyBorder="1" applyAlignment="1">
      <alignment horizontal="center" vertical="center" wrapText="1"/>
    </xf>
    <xf numFmtId="0" fontId="21" fillId="0" borderId="7" xfId="10" applyFont="1" applyBorder="1" applyAlignment="1">
      <alignment vertical="center"/>
    </xf>
    <xf numFmtId="0" fontId="21" fillId="0" borderId="57" xfId="10" applyFont="1" applyBorder="1" applyAlignment="1">
      <alignment horizontal="left" vertical="center" wrapText="1"/>
    </xf>
    <xf numFmtId="0" fontId="21" fillId="0" borderId="76" xfId="16" applyFont="1" applyBorder="1" applyAlignment="1">
      <alignment vertical="center" wrapText="1"/>
    </xf>
    <xf numFmtId="0" fontId="21" fillId="0" borderId="3" xfId="10" applyFont="1" applyBorder="1" applyAlignment="1">
      <alignment horizontal="center" vertical="center" wrapText="1"/>
    </xf>
    <xf numFmtId="0" fontId="21" fillId="0" borderId="46" xfId="16" applyFont="1" applyBorder="1" applyAlignment="1">
      <alignment horizontal="center" vertical="center" wrapText="1"/>
    </xf>
    <xf numFmtId="0" fontId="21" fillId="0" borderId="8" xfId="12" applyFont="1" applyBorder="1" applyAlignment="1">
      <alignment horizontal="left" vertical="center"/>
    </xf>
    <xf numFmtId="0" fontId="22" fillId="0" borderId="41" xfId="10" applyFont="1" applyBorder="1" applyAlignment="1">
      <alignment vertical="center" wrapText="1"/>
    </xf>
    <xf numFmtId="0" fontId="22" fillId="0" borderId="77" xfId="16" applyFont="1" applyBorder="1" applyAlignment="1">
      <alignment vertical="center" wrapText="1"/>
    </xf>
    <xf numFmtId="4" fontId="22" fillId="0" borderId="1" xfId="12" applyNumberFormat="1" applyFont="1" applyBorder="1" applyAlignment="1">
      <alignment horizontal="center" vertical="center" wrapText="1"/>
    </xf>
    <xf numFmtId="4" fontId="4" fillId="4" borderId="67" xfId="16" applyNumberFormat="1" applyFont="1" applyFill="1" applyBorder="1" applyAlignment="1">
      <alignment horizontal="center" vertical="center"/>
    </xf>
    <xf numFmtId="0" fontId="22" fillId="0" borderId="77" xfId="16" applyFont="1" applyBorder="1" applyAlignment="1">
      <alignment wrapText="1"/>
    </xf>
    <xf numFmtId="4" fontId="22" fillId="0" borderId="1" xfId="10" applyNumberFormat="1" applyFont="1" applyBorder="1" applyAlignment="1">
      <alignment horizontal="center" vertical="center" wrapText="1"/>
    </xf>
    <xf numFmtId="0" fontId="22" fillId="4" borderId="0" xfId="10" applyFont="1" applyFill="1" applyAlignment="1">
      <alignment wrapText="1"/>
    </xf>
    <xf numFmtId="0" fontId="5" fillId="0" borderId="26" xfId="10" applyFont="1" applyBorder="1"/>
    <xf numFmtId="0" fontId="23" fillId="0" borderId="9" xfId="10" applyFont="1" applyBorder="1" applyAlignment="1">
      <alignment vertical="center"/>
    </xf>
    <xf numFmtId="0" fontId="22" fillId="0" borderId="53" xfId="10" applyFont="1" applyBorder="1" applyAlignment="1">
      <alignment horizontal="left" vertical="center" wrapText="1"/>
    </xf>
    <xf numFmtId="0" fontId="22" fillId="0" borderId="73" xfId="16" applyFont="1" applyBorder="1" applyAlignment="1">
      <alignment vertical="center" wrapText="1"/>
    </xf>
    <xf numFmtId="0" fontId="22" fillId="0" borderId="10" xfId="10" applyFont="1" applyBorder="1" applyAlignment="1">
      <alignment horizontal="center" vertical="center" wrapText="1"/>
    </xf>
    <xf numFmtId="0" fontId="22" fillId="0" borderId="47" xfId="16" applyFont="1" applyBorder="1" applyAlignment="1">
      <alignment horizontal="center" vertical="center" wrapText="1"/>
    </xf>
    <xf numFmtId="0" fontId="5" fillId="0" borderId="28" xfId="10" applyFont="1" applyBorder="1" applyAlignment="1">
      <alignment wrapText="1"/>
    </xf>
    <xf numFmtId="0" fontId="21" fillId="0" borderId="55" xfId="10" applyFont="1" applyBorder="1" applyAlignment="1">
      <alignment vertical="center"/>
    </xf>
    <xf numFmtId="0" fontId="22" fillId="0" borderId="56" xfId="10" applyFont="1" applyBorder="1" applyAlignment="1">
      <alignment horizontal="left" vertical="center" wrapText="1"/>
    </xf>
    <xf numFmtId="0" fontId="22" fillId="4" borderId="72" xfId="16" applyFont="1" applyFill="1" applyBorder="1" applyAlignment="1">
      <alignment vertical="center" wrapText="1"/>
    </xf>
    <xf numFmtId="0" fontId="22" fillId="0" borderId="12" xfId="10" applyFont="1" applyBorder="1" applyAlignment="1">
      <alignment horizontal="center" vertical="center" wrapText="1"/>
    </xf>
    <xf numFmtId="0" fontId="22" fillId="4" borderId="51" xfId="16" applyFont="1" applyFill="1" applyBorder="1" applyAlignment="1">
      <alignment horizontal="center" vertical="center" wrapText="1"/>
    </xf>
    <xf numFmtId="0" fontId="23" fillId="0" borderId="7" xfId="10" applyFont="1" applyBorder="1" applyAlignment="1">
      <alignment horizontal="left" vertical="center" wrapText="1"/>
    </xf>
    <xf numFmtId="165" fontId="4" fillId="0" borderId="44" xfId="16" applyNumberFormat="1" applyFont="1" applyBorder="1" applyAlignment="1">
      <alignment horizontal="center" vertical="center"/>
    </xf>
    <xf numFmtId="0" fontId="24" fillId="0" borderId="3" xfId="10" applyFont="1" applyBorder="1" applyAlignment="1">
      <alignment horizontal="left" vertical="center" wrapText="1"/>
    </xf>
    <xf numFmtId="0" fontId="44" fillId="0" borderId="78" xfId="16" applyFont="1" applyBorder="1" applyAlignment="1">
      <alignment vertical="center" wrapText="1"/>
    </xf>
    <xf numFmtId="0" fontId="23" fillId="0" borderId="8" xfId="10" applyFont="1" applyBorder="1" applyAlignment="1">
      <alignment horizontal="left" vertical="center" wrapText="1"/>
    </xf>
    <xf numFmtId="165" fontId="4" fillId="0" borderId="13" xfId="16" applyNumberFormat="1" applyFont="1" applyBorder="1" applyAlignment="1">
      <alignment horizontal="center" vertical="center"/>
    </xf>
    <xf numFmtId="0" fontId="24" fillId="0" borderId="1" xfId="10" applyFont="1" applyBorder="1" applyAlignment="1">
      <alignment horizontal="left" vertical="center" wrapText="1"/>
    </xf>
    <xf numFmtId="0" fontId="44" fillId="0" borderId="74" xfId="16" applyFont="1" applyBorder="1" applyAlignment="1">
      <alignment vertical="center" wrapText="1"/>
    </xf>
    <xf numFmtId="0" fontId="23" fillId="0" borderId="9" xfId="10" applyFont="1" applyBorder="1" applyAlignment="1">
      <alignment horizontal="left" vertical="center" wrapText="1"/>
    </xf>
    <xf numFmtId="165" fontId="4" fillId="0" borderId="10" xfId="16" applyNumberFormat="1" applyFont="1" applyBorder="1" applyAlignment="1">
      <alignment horizontal="center" vertical="center"/>
    </xf>
    <xf numFmtId="0" fontId="24" fillId="0" borderId="10" xfId="10" applyFont="1" applyBorder="1" applyAlignment="1">
      <alignment horizontal="left" vertical="center" wrapText="1"/>
    </xf>
    <xf numFmtId="0" fontId="44" fillId="0" borderId="73" xfId="16" applyFont="1" applyBorder="1" applyAlignment="1">
      <alignment vertical="center" wrapText="1"/>
    </xf>
    <xf numFmtId="0" fontId="5" fillId="0" borderId="26" xfId="10" applyFont="1" applyBorder="1" applyAlignment="1">
      <alignment horizontal="left" vertical="center"/>
    </xf>
    <xf numFmtId="0" fontId="5" fillId="0" borderId="22" xfId="10" applyFont="1" applyBorder="1" applyAlignment="1">
      <alignment horizontal="left" vertical="center"/>
    </xf>
    <xf numFmtId="0" fontId="0" fillId="0" borderId="25" xfId="0" applyBorder="1" applyAlignment="1">
      <alignment wrapText="1"/>
    </xf>
    <xf numFmtId="0" fontId="9" fillId="0" borderId="1" xfId="0" applyFont="1" applyBorder="1" applyAlignment="1">
      <alignment wrapText="1"/>
    </xf>
    <xf numFmtId="0" fontId="27"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0" fillId="4" borderId="2" xfId="2" applyFont="1" applyFill="1" applyBorder="1" applyAlignment="1">
      <alignment horizontal="left" vertical="center" wrapText="1"/>
    </xf>
    <xf numFmtId="0" fontId="15" fillId="0" borderId="17" xfId="0" applyFont="1" applyBorder="1" applyAlignment="1">
      <alignment horizontal="left" vertical="center" wrapText="1"/>
    </xf>
    <xf numFmtId="0" fontId="3" fillId="9" borderId="17" xfId="10" applyFont="1" applyFill="1" applyBorder="1" applyAlignment="1" applyProtection="1">
      <alignment horizontal="center" vertical="center"/>
      <protection locked="0"/>
    </xf>
    <xf numFmtId="0" fontId="17" fillId="0" borderId="34" xfId="3" applyFont="1" applyBorder="1" applyAlignment="1" applyProtection="1">
      <alignment horizontal="center" vertical="center" wrapText="1"/>
      <protection locked="0"/>
    </xf>
    <xf numFmtId="0" fontId="3" fillId="0" borderId="1" xfId="0" applyFont="1" applyBorder="1" applyAlignment="1">
      <alignment horizontal="left" vertical="center" wrapText="1"/>
    </xf>
    <xf numFmtId="0" fontId="3" fillId="0" borderId="1" xfId="2" applyFont="1" applyBorder="1" applyAlignment="1">
      <alignment horizontal="left" vertical="center" wrapText="1"/>
    </xf>
    <xf numFmtId="0" fontId="3" fillId="0" borderId="10" xfId="2" applyFont="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48" xfId="0" applyFont="1" applyBorder="1" applyAlignment="1">
      <alignment horizontal="center" vertical="center"/>
    </xf>
    <xf numFmtId="0" fontId="3" fillId="0" borderId="48" xfId="0" applyFont="1" applyBorder="1" applyAlignment="1">
      <alignment vertical="center" wrapText="1"/>
    </xf>
    <xf numFmtId="0" fontId="3" fillId="0" borderId="3" xfId="3" applyFont="1" applyBorder="1" applyAlignment="1">
      <alignment horizontal="lef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0" borderId="1" xfId="3" applyFont="1" applyBorder="1" applyAlignment="1">
      <alignment vertical="center" wrapText="1"/>
    </xf>
    <xf numFmtId="0" fontId="3" fillId="0" borderId="63" xfId="3" applyFont="1" applyBorder="1" applyAlignment="1">
      <alignment horizontal="left" vertical="center" wrapText="1"/>
    </xf>
    <xf numFmtId="0" fontId="3" fillId="0" borderId="48" xfId="3" applyFont="1" applyBorder="1" applyAlignment="1">
      <alignment horizontal="left" vertical="center" wrapText="1"/>
    </xf>
    <xf numFmtId="0" fontId="3" fillId="9" borderId="1" xfId="10" applyFont="1" applyFill="1" applyBorder="1" applyAlignment="1" applyProtection="1">
      <alignment horizontal="center" vertical="center"/>
      <protection locked="0"/>
    </xf>
    <xf numFmtId="0" fontId="3" fillId="0" borderId="22" xfId="10" applyFont="1" applyBorder="1"/>
    <xf numFmtId="0" fontId="3" fillId="0" borderId="12" xfId="10" applyFont="1" applyBorder="1" applyAlignment="1">
      <alignment horizontal="center" vertical="center"/>
    </xf>
    <xf numFmtId="0" fontId="3" fillId="0" borderId="69" xfId="10" applyFont="1" applyBorder="1" applyAlignment="1">
      <alignment horizontal="center" vertical="center"/>
    </xf>
    <xf numFmtId="165" fontId="3" fillId="9" borderId="3" xfId="10" applyNumberFormat="1" applyFont="1" applyFill="1" applyBorder="1" applyAlignment="1" applyProtection="1">
      <alignment horizontal="center" vertical="center"/>
      <protection locked="0"/>
    </xf>
    <xf numFmtId="165" fontId="3" fillId="9" borderId="1" xfId="10" applyNumberFormat="1" applyFont="1" applyFill="1" applyBorder="1" applyAlignment="1" applyProtection="1">
      <alignment horizontal="center" vertical="center"/>
      <protection locked="0"/>
    </xf>
    <xf numFmtId="165" fontId="3" fillId="9" borderId="10" xfId="10" applyNumberFormat="1" applyFont="1" applyFill="1" applyBorder="1" applyAlignment="1" applyProtection="1">
      <alignment horizontal="center" vertical="center"/>
      <protection locked="0"/>
    </xf>
    <xf numFmtId="4" fontId="4" fillId="9" borderId="1" xfId="16" applyNumberFormat="1" applyFont="1" applyFill="1" applyBorder="1" applyAlignment="1" applyProtection="1">
      <alignment horizontal="center" vertical="center"/>
      <protection locked="0"/>
    </xf>
    <xf numFmtId="0" fontId="3" fillId="9" borderId="14" xfId="16" applyFont="1" applyFill="1" applyBorder="1" applyAlignment="1" applyProtection="1">
      <alignment horizontal="center" vertical="center"/>
      <protection locked="0"/>
    </xf>
    <xf numFmtId="0" fontId="3" fillId="9" borderId="18" xfId="16" applyFont="1" applyFill="1" applyBorder="1" applyAlignment="1" applyProtection="1">
      <alignment horizontal="center" vertical="center"/>
      <protection locked="0"/>
    </xf>
    <xf numFmtId="0" fontId="3" fillId="9" borderId="1" xfId="16" applyFont="1" applyFill="1" applyBorder="1" applyAlignment="1" applyProtection="1">
      <alignment horizontal="center" vertical="center"/>
      <protection locked="0"/>
    </xf>
    <xf numFmtId="0" fontId="3" fillId="9" borderId="10" xfId="16" applyFont="1" applyFill="1" applyBorder="1" applyAlignment="1" applyProtection="1">
      <alignment horizontal="center" vertical="center"/>
      <protection locked="0"/>
    </xf>
    <xf numFmtId="0" fontId="10" fillId="9" borderId="17" xfId="0" applyFont="1" applyFill="1" applyBorder="1" applyAlignment="1" applyProtection="1">
      <alignment horizontal="left" vertical="center" wrapText="1"/>
      <protection locked="0"/>
    </xf>
    <xf numFmtId="0" fontId="0" fillId="9" borderId="52" xfId="2" applyFont="1" applyFill="1" applyBorder="1" applyAlignment="1" applyProtection="1">
      <alignment horizontal="left" vertical="center" wrapText="1"/>
      <protection locked="0"/>
    </xf>
    <xf numFmtId="0" fontId="12" fillId="14" borderId="1" xfId="14" applyFont="1" applyFill="1" applyBorder="1" applyAlignment="1" applyProtection="1">
      <alignment horizontal="center" vertical="center" wrapText="1"/>
      <protection locked="0"/>
    </xf>
    <xf numFmtId="0" fontId="10" fillId="14" borderId="1" xfId="14" applyFont="1" applyFill="1" applyBorder="1" applyAlignment="1" applyProtection="1">
      <alignment horizontal="center" vertical="center" wrapText="1"/>
      <protection locked="0"/>
    </xf>
    <xf numFmtId="0" fontId="10" fillId="14" borderId="1" xfId="3" applyFont="1" applyFill="1" applyBorder="1" applyAlignment="1" applyProtection="1">
      <alignment vertical="center" wrapText="1"/>
      <protection locked="0"/>
    </xf>
    <xf numFmtId="0" fontId="10" fillId="14" borderId="1" xfId="2" applyFont="1" applyFill="1" applyBorder="1" applyAlignment="1" applyProtection="1">
      <alignment horizontal="center" vertical="center" wrapText="1"/>
      <protection locked="0"/>
    </xf>
    <xf numFmtId="0" fontId="10" fillId="14" borderId="1" xfId="3" applyFont="1" applyFill="1" applyBorder="1" applyAlignment="1" applyProtection="1">
      <alignment horizontal="center" vertical="center" wrapText="1"/>
      <protection locked="0"/>
    </xf>
    <xf numFmtId="0" fontId="10" fillId="14" borderId="1" xfId="2" applyFont="1" applyFill="1" applyBorder="1" applyAlignment="1" applyProtection="1">
      <alignment horizontal="left" vertical="center" wrapText="1"/>
      <protection locked="0"/>
    </xf>
    <xf numFmtId="0" fontId="10" fillId="14" borderId="36" xfId="3" applyFont="1" applyFill="1" applyBorder="1" applyAlignment="1" applyProtection="1">
      <alignment horizontal="left" vertical="center" wrapText="1"/>
      <protection locked="0"/>
    </xf>
    <xf numFmtId="0" fontId="10" fillId="14" borderId="14" xfId="2" applyFont="1" applyFill="1" applyBorder="1" applyAlignment="1" applyProtection="1">
      <alignment horizontal="left" vertical="center" wrapText="1"/>
      <protection locked="0"/>
    </xf>
    <xf numFmtId="0" fontId="10" fillId="14" borderId="17" xfId="3" applyFont="1" applyFill="1" applyBorder="1" applyAlignment="1" applyProtection="1">
      <alignment horizontal="left" vertical="center" wrapText="1"/>
      <protection locked="0"/>
    </xf>
    <xf numFmtId="0" fontId="15" fillId="15" borderId="17" xfId="0" applyFont="1" applyFill="1" applyBorder="1" applyAlignment="1" applyProtection="1">
      <alignment horizontal="left" vertical="center" wrapText="1"/>
      <protection locked="0"/>
    </xf>
    <xf numFmtId="0" fontId="10" fillId="14" borderId="14" xfId="3" applyFont="1" applyFill="1" applyBorder="1" applyAlignment="1" applyProtection="1">
      <alignment horizontal="left" vertical="center" wrapText="1"/>
      <protection locked="0"/>
    </xf>
    <xf numFmtId="0" fontId="12" fillId="14" borderId="1" xfId="2" applyFont="1" applyFill="1" applyBorder="1" applyAlignment="1" applyProtection="1">
      <alignment horizontal="center" vertical="center" wrapText="1"/>
      <protection locked="0"/>
    </xf>
    <xf numFmtId="0" fontId="10" fillId="14" borderId="3" xfId="0" applyFont="1" applyFill="1" applyBorder="1" applyAlignment="1" applyProtection="1">
      <alignment horizontal="center" vertical="center" wrapText="1"/>
      <protection locked="0"/>
    </xf>
    <xf numFmtId="0" fontId="10" fillId="14" borderId="3" xfId="2" applyFont="1" applyFill="1" applyBorder="1" applyAlignment="1" applyProtection="1">
      <alignment horizontal="center" vertical="center" wrapText="1"/>
      <protection locked="0"/>
    </xf>
    <xf numFmtId="0" fontId="10" fillId="14" borderId="17" xfId="2" applyFont="1" applyFill="1" applyBorder="1" applyAlignment="1" applyProtection="1">
      <alignment horizontal="left" vertical="center" wrapText="1"/>
      <protection locked="0"/>
    </xf>
    <xf numFmtId="0" fontId="10" fillId="14" borderId="17" xfId="3" applyFont="1" applyFill="1" applyBorder="1" applyAlignment="1" applyProtection="1">
      <alignment horizontal="center" vertical="center" wrapText="1"/>
      <protection locked="0"/>
    </xf>
    <xf numFmtId="0" fontId="3" fillId="6" borderId="1" xfId="0" applyFont="1" applyFill="1" applyBorder="1" applyAlignment="1" applyProtection="1">
      <alignment horizontal="left" vertical="center" wrapText="1"/>
      <protection locked="0"/>
    </xf>
    <xf numFmtId="0" fontId="10" fillId="6" borderId="17" xfId="3" applyFont="1" applyFill="1" applyBorder="1" applyAlignment="1" applyProtection="1">
      <alignment horizontal="center" vertical="center" wrapText="1"/>
      <protection locked="0"/>
    </xf>
    <xf numFmtId="0" fontId="10" fillId="6" borderId="36" xfId="3" applyFont="1" applyFill="1" applyBorder="1" applyAlignment="1" applyProtection="1">
      <alignment horizontal="left" vertical="center" wrapText="1"/>
      <protection locked="0"/>
    </xf>
    <xf numFmtId="0" fontId="2" fillId="0" borderId="44" xfId="10" applyFont="1" applyBorder="1" applyAlignment="1">
      <alignment horizontal="center" vertical="center"/>
    </xf>
    <xf numFmtId="0" fontId="2" fillId="0" borderId="1" xfId="10" applyFont="1" applyBorder="1" applyAlignment="1">
      <alignment horizontal="center" vertical="center"/>
    </xf>
    <xf numFmtId="0" fontId="2" fillId="4" borderId="1" xfId="16" applyFont="1" applyFill="1" applyBorder="1" applyAlignment="1">
      <alignment horizontal="center" vertical="center"/>
    </xf>
    <xf numFmtId="0" fontId="45" fillId="0" borderId="79" xfId="0" applyFont="1" applyBorder="1" applyAlignment="1">
      <alignment horizontal="center" vertical="top"/>
    </xf>
    <xf numFmtId="0" fontId="10" fillId="5" borderId="28" xfId="2" applyFont="1" applyFill="1" applyBorder="1" applyAlignment="1">
      <alignment horizontal="center" vertical="center"/>
    </xf>
    <xf numFmtId="0" fontId="0" fillId="0" borderId="32" xfId="0" applyBorder="1"/>
    <xf numFmtId="0" fontId="0" fillId="0" borderId="33" xfId="0" applyBorder="1"/>
    <xf numFmtId="0" fontId="15" fillId="0" borderId="36" xfId="3" applyFont="1" applyBorder="1" applyAlignment="1" applyProtection="1">
      <alignment horizontal="center" vertical="center" wrapText="1"/>
      <protection locked="0"/>
    </xf>
    <xf numFmtId="0" fontId="0" fillId="0" borderId="49" xfId="0" applyBorder="1"/>
    <xf numFmtId="0" fontId="15" fillId="11" borderId="1" xfId="3" applyFont="1" applyFill="1" applyBorder="1" applyAlignment="1">
      <alignment horizontal="center" vertical="center" wrapText="1"/>
    </xf>
    <xf numFmtId="0" fontId="0" fillId="0" borderId="3" xfId="0" applyBorder="1"/>
    <xf numFmtId="0" fontId="10" fillId="2" borderId="27" xfId="14" applyFont="1" applyFill="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protection locked="0"/>
    </xf>
    <xf numFmtId="0" fontId="10" fillId="0" borderId="0" xfId="0" applyFont="1" applyAlignment="1" applyProtection="1">
      <alignment wrapText="1"/>
      <protection locked="0"/>
    </xf>
    <xf numFmtId="0" fontId="10" fillId="0" borderId="0" xfId="0" applyFont="1" applyProtection="1">
      <protection locked="0"/>
    </xf>
    <xf numFmtId="0" fontId="10" fillId="3" borderId="61" xfId="14" applyFont="1" applyFill="1" applyBorder="1" applyAlignment="1">
      <alignment horizontal="center" vertical="center" wrapText="1"/>
    </xf>
    <xf numFmtId="0" fontId="0" fillId="0" borderId="62" xfId="0" applyBorder="1"/>
    <xf numFmtId="0" fontId="12" fillId="3" borderId="28" xfId="2" applyFont="1" applyFill="1" applyBorder="1" applyAlignment="1">
      <alignment horizontal="center" vertical="center" wrapText="1"/>
    </xf>
    <xf numFmtId="0" fontId="0" fillId="0" borderId="30" xfId="0" applyBorder="1"/>
    <xf numFmtId="0" fontId="3" fillId="0" borderId="28" xfId="10" applyFont="1" applyBorder="1" applyAlignment="1">
      <alignment horizontal="center" vertical="top" textRotation="90"/>
    </xf>
    <xf numFmtId="0" fontId="0" fillId="0" borderId="29" xfId="0" applyBorder="1"/>
    <xf numFmtId="0" fontId="3" fillId="0" borderId="28" xfId="10" applyFont="1" applyBorder="1" applyAlignment="1">
      <alignment horizontal="center" vertical="top" textRotation="90" wrapText="1"/>
    </xf>
    <xf numFmtId="0" fontId="1" fillId="9" borderId="14" xfId="10" applyFont="1" applyFill="1" applyBorder="1" applyAlignment="1" applyProtection="1">
      <alignment horizontal="center" vertical="center"/>
      <protection locked="0"/>
    </xf>
  </cellXfs>
  <cellStyles count="18">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A214"/>
  <sheetViews>
    <sheetView tabSelected="1" zoomScale="70" zoomScaleNormal="70" workbookViewId="0">
      <pane xSplit="4" ySplit="3" topLeftCell="K91" activePane="bottomRight" state="frozen"/>
      <selection pane="topRight" activeCell="E1" sqref="E1"/>
      <selection pane="bottomLeft" activeCell="A4" sqref="A4"/>
      <selection pane="bottomRight" activeCell="K94" sqref="K94"/>
    </sheetView>
  </sheetViews>
  <sheetFormatPr baseColWidth="10" defaultColWidth="8.83203125" defaultRowHeight="16" outlineLevelCol="1" x14ac:dyDescent="0.2"/>
  <cols>
    <col min="1" max="1" width="7.5" style="131" hidden="1" customWidth="1"/>
    <col min="2" max="2" width="26" style="214" customWidth="1"/>
    <col min="3" max="3" width="36.6640625" style="213" hidden="1" customWidth="1"/>
    <col min="4" max="4" width="72.6640625" style="212" customWidth="1"/>
    <col min="5" max="5" width="9.6640625" style="131" hidden="1" customWidth="1"/>
    <col min="6" max="6" width="72.6640625" style="212" customWidth="1"/>
    <col min="7" max="7" width="9.6640625" style="131" hidden="1" customWidth="1"/>
    <col min="8" max="8" width="15.83203125" style="131" customWidth="1"/>
    <col min="9" max="9" width="12.33203125" style="131" customWidth="1"/>
    <col min="10" max="10" width="41" style="131" customWidth="1"/>
    <col min="11" max="11" width="33" style="131" customWidth="1"/>
    <col min="12" max="12" width="41.83203125" style="131" customWidth="1"/>
    <col min="13" max="13" width="33.1640625" style="131" customWidth="1"/>
    <col min="14" max="14" width="47.33203125" style="131" customWidth="1"/>
    <col min="15" max="15" width="22.33203125" style="131" customWidth="1"/>
    <col min="16" max="16" width="40.83203125" style="131" customWidth="1"/>
    <col min="17" max="17" width="15" style="317" hidden="1" customWidth="1"/>
    <col min="18" max="18" width="8.83203125" style="145" hidden="1" customWidth="1"/>
    <col min="19" max="19" width="8.83203125" style="131" hidden="1" customWidth="1"/>
    <col min="20" max="20" width="20.6640625" style="182" hidden="1" customWidth="1"/>
    <col min="21" max="21" width="8.83203125" style="131" hidden="1" customWidth="1" outlineLevel="1"/>
    <col min="22" max="22" width="8.83203125" style="131" hidden="1" customWidth="1" collapsed="1"/>
    <col min="23" max="23" width="8.83203125" style="131" hidden="1" customWidth="1"/>
    <col min="24" max="24" width="15.33203125" style="316" hidden="1" customWidth="1"/>
    <col min="25" max="25" width="11.5" style="316" customWidth="1"/>
    <col min="26" max="26" width="10.6640625" style="131" hidden="1" customWidth="1" outlineLevel="1"/>
    <col min="27" max="27" width="8.83203125" style="131" customWidth="1" collapsed="1"/>
    <col min="28" max="28" width="8.83203125" style="131" customWidth="1"/>
    <col min="29" max="16384" width="8.83203125" style="131"/>
  </cols>
  <sheetData>
    <row r="1" spans="1:26" ht="18.75" customHeight="1" thickBot="1" x14ac:dyDescent="0.25">
      <c r="A1" s="593" t="s">
        <v>0</v>
      </c>
      <c r="B1" s="594"/>
      <c r="C1" s="595"/>
      <c r="D1" s="596"/>
      <c r="E1" s="597"/>
      <c r="F1" s="596"/>
      <c r="G1" s="597"/>
      <c r="H1" s="597"/>
      <c r="I1" s="597"/>
      <c r="J1" s="597"/>
      <c r="K1" s="597"/>
      <c r="L1" s="597"/>
      <c r="M1" s="597"/>
      <c r="N1" s="597"/>
      <c r="O1" s="597"/>
      <c r="P1" s="597"/>
      <c r="Q1" s="262"/>
      <c r="R1" s="124"/>
      <c r="T1" s="124"/>
      <c r="X1" s="263"/>
      <c r="Y1" s="263"/>
    </row>
    <row r="2" spans="1:26" ht="15" customHeight="1" thickBot="1" x14ac:dyDescent="0.25">
      <c r="A2" s="598" t="s">
        <v>1</v>
      </c>
      <c r="B2" s="599"/>
      <c r="C2" s="599"/>
      <c r="D2" s="599"/>
      <c r="E2" s="599"/>
      <c r="F2" s="599"/>
      <c r="G2" s="599"/>
      <c r="H2" s="599"/>
      <c r="I2" s="599"/>
      <c r="J2" s="599"/>
      <c r="K2" s="599"/>
      <c r="L2" s="599"/>
      <c r="M2" s="599"/>
      <c r="N2" s="599"/>
      <c r="O2" s="599"/>
      <c r="P2" s="600" t="s">
        <v>2</v>
      </c>
      <c r="Q2" s="262"/>
      <c r="R2" s="124"/>
      <c r="X2" s="263"/>
      <c r="Y2" s="263"/>
    </row>
    <row r="3" spans="1:26" s="214" customFormat="1" ht="61.5" customHeight="1" thickBot="1" x14ac:dyDescent="0.25">
      <c r="A3" s="211" t="s">
        <v>3</v>
      </c>
      <c r="B3" s="210" t="s">
        <v>4</v>
      </c>
      <c r="C3" s="208" t="s">
        <v>5</v>
      </c>
      <c r="D3" s="210" t="s">
        <v>6</v>
      </c>
      <c r="E3" s="209" t="s">
        <v>7</v>
      </c>
      <c r="F3" s="210" t="s">
        <v>8</v>
      </c>
      <c r="G3" s="209" t="s">
        <v>7</v>
      </c>
      <c r="H3" s="210" t="s">
        <v>9</v>
      </c>
      <c r="I3" s="209" t="s">
        <v>10</v>
      </c>
      <c r="J3" s="208" t="s">
        <v>11</v>
      </c>
      <c r="K3" s="208" t="s">
        <v>12</v>
      </c>
      <c r="L3" s="207" t="s">
        <v>13</v>
      </c>
      <c r="M3" s="207" t="s">
        <v>14</v>
      </c>
      <c r="N3" s="206" t="s">
        <v>15</v>
      </c>
      <c r="O3" s="206" t="s">
        <v>16</v>
      </c>
      <c r="P3" s="601"/>
      <c r="Q3" s="258" t="s">
        <v>17</v>
      </c>
      <c r="R3" s="235"/>
      <c r="T3" s="336" t="s">
        <v>18</v>
      </c>
      <c r="X3" s="258" t="s">
        <v>19</v>
      </c>
      <c r="Y3" s="259" t="s">
        <v>20</v>
      </c>
      <c r="Z3" s="259" t="s">
        <v>21</v>
      </c>
    </row>
    <row r="4" spans="1:26" ht="18" customHeight="1" thickBot="1" x14ac:dyDescent="0.25">
      <c r="A4" s="586" t="s">
        <v>22</v>
      </c>
      <c r="B4" s="587"/>
      <c r="C4" s="587"/>
      <c r="D4" s="587"/>
      <c r="E4" s="587"/>
      <c r="F4" s="587"/>
      <c r="G4" s="587"/>
      <c r="H4" s="587"/>
      <c r="I4" s="587"/>
      <c r="J4" s="587"/>
      <c r="K4" s="587"/>
      <c r="L4" s="587"/>
      <c r="M4" s="587"/>
      <c r="N4" s="587"/>
      <c r="O4" s="587"/>
      <c r="P4" s="588"/>
      <c r="Q4" s="262"/>
      <c r="R4" s="124"/>
      <c r="T4" s="182" t="s">
        <v>23</v>
      </c>
      <c r="X4" s="263"/>
      <c r="Y4" s="260" t="str">
        <f>IF(X4="","",X4*V4)</f>
        <v/>
      </c>
      <c r="Z4" s="124" t="str">
        <f t="shared" ref="Z4:Z14" si="0">IF(T4="yes",Y4,"")</f>
        <v/>
      </c>
    </row>
    <row r="5" spans="1:26" ht="26.25" customHeight="1" x14ac:dyDescent="0.2">
      <c r="A5" s="87" t="s">
        <v>24</v>
      </c>
      <c r="B5" s="220" t="s">
        <v>25</v>
      </c>
      <c r="C5" s="231"/>
      <c r="D5" s="128" t="s">
        <v>25</v>
      </c>
      <c r="E5" s="127">
        <f t="shared" ref="E5:E20" si="1">LEN(D5)</f>
        <v>5</v>
      </c>
      <c r="F5" s="128" t="s">
        <v>25</v>
      </c>
      <c r="G5" s="127">
        <f t="shared" ref="G5:G20" si="2">LEN(F5)</f>
        <v>5</v>
      </c>
      <c r="H5" s="127" t="s">
        <v>26</v>
      </c>
      <c r="I5" s="127" t="s">
        <v>24</v>
      </c>
      <c r="J5" s="127" t="s">
        <v>24</v>
      </c>
      <c r="K5" s="127" t="s">
        <v>27</v>
      </c>
      <c r="L5" s="126" t="s">
        <v>28</v>
      </c>
      <c r="M5" s="205" t="s">
        <v>24</v>
      </c>
      <c r="N5" s="205" t="s">
        <v>24</v>
      </c>
      <c r="O5" s="69"/>
      <c r="P5" s="9"/>
      <c r="Q5" s="262"/>
      <c r="R5" s="124"/>
      <c r="T5" s="182" t="s">
        <v>23</v>
      </c>
      <c r="X5" s="261">
        <v>0</v>
      </c>
      <c r="Y5" s="260">
        <f t="shared" ref="Y5:Y14" si="3">IF(X5="","",X5*Q5)</f>
        <v>0</v>
      </c>
      <c r="Z5" s="124" t="str">
        <f t="shared" si="0"/>
        <v/>
      </c>
    </row>
    <row r="6" spans="1:26" ht="17" customHeight="1" x14ac:dyDescent="0.2">
      <c r="A6" s="87" t="s">
        <v>24</v>
      </c>
      <c r="B6" s="177" t="s">
        <v>29</v>
      </c>
      <c r="C6" s="129" t="s">
        <v>29</v>
      </c>
      <c r="D6" s="150" t="s">
        <v>30</v>
      </c>
      <c r="E6" s="127">
        <f t="shared" si="1"/>
        <v>48</v>
      </c>
      <c r="F6" s="150" t="s">
        <v>31</v>
      </c>
      <c r="G6" s="127">
        <f t="shared" si="2"/>
        <v>61</v>
      </c>
      <c r="H6" s="127" t="s">
        <v>26</v>
      </c>
      <c r="I6" s="127" t="s">
        <v>24</v>
      </c>
      <c r="J6" s="127" t="s">
        <v>24</v>
      </c>
      <c r="K6" s="127" t="s">
        <v>27</v>
      </c>
      <c r="L6" s="126" t="s">
        <v>32</v>
      </c>
      <c r="M6" s="205" t="s">
        <v>24</v>
      </c>
      <c r="N6" s="205" t="s">
        <v>24</v>
      </c>
      <c r="O6" s="69"/>
      <c r="P6" s="47"/>
      <c r="Q6" s="262"/>
      <c r="R6" s="124"/>
      <c r="T6" s="182" t="s">
        <v>33</v>
      </c>
      <c r="X6" s="261">
        <v>0</v>
      </c>
      <c r="Y6" s="260">
        <f t="shared" si="3"/>
        <v>0</v>
      </c>
      <c r="Z6" s="124">
        <f t="shared" si="0"/>
        <v>0</v>
      </c>
    </row>
    <row r="7" spans="1:26" ht="136" customHeight="1" x14ac:dyDescent="0.2">
      <c r="A7" s="41" t="s">
        <v>24</v>
      </c>
      <c r="B7" s="169" t="s">
        <v>34</v>
      </c>
      <c r="C7" s="129" t="s">
        <v>34</v>
      </c>
      <c r="D7" s="150" t="s">
        <v>35</v>
      </c>
      <c r="E7" s="135">
        <f t="shared" si="1"/>
        <v>146</v>
      </c>
      <c r="F7" s="425" t="s">
        <v>36</v>
      </c>
      <c r="G7" s="127">
        <f t="shared" si="2"/>
        <v>152</v>
      </c>
      <c r="H7" s="144" t="s">
        <v>37</v>
      </c>
      <c r="I7" s="135" t="s">
        <v>24</v>
      </c>
      <c r="J7" s="135" t="s">
        <v>24</v>
      </c>
      <c r="K7" s="135" t="s">
        <v>38</v>
      </c>
      <c r="L7" s="134" t="s">
        <v>39</v>
      </c>
      <c r="M7" s="205" t="s">
        <v>24</v>
      </c>
      <c r="N7" s="193" t="s">
        <v>24</v>
      </c>
      <c r="O7" s="70"/>
      <c r="P7" s="10"/>
      <c r="Q7" s="262"/>
      <c r="R7" s="124"/>
      <c r="T7" s="182" t="s">
        <v>23</v>
      </c>
      <c r="X7" s="261">
        <v>14.69530773162842</v>
      </c>
      <c r="Y7" s="260">
        <f t="shared" si="3"/>
        <v>0</v>
      </c>
      <c r="Z7" s="124" t="str">
        <f t="shared" si="0"/>
        <v/>
      </c>
    </row>
    <row r="8" spans="1:26" ht="37.5" customHeight="1" x14ac:dyDescent="0.2">
      <c r="A8" s="41" t="s">
        <v>24</v>
      </c>
      <c r="B8" s="169" t="s">
        <v>40</v>
      </c>
      <c r="C8" s="129" t="s">
        <v>41</v>
      </c>
      <c r="D8" s="204" t="s">
        <v>42</v>
      </c>
      <c r="E8" s="135">
        <f t="shared" si="1"/>
        <v>29</v>
      </c>
      <c r="F8" s="204" t="s">
        <v>43</v>
      </c>
      <c r="G8" s="127">
        <f t="shared" si="2"/>
        <v>49</v>
      </c>
      <c r="H8" s="144" t="s">
        <v>24</v>
      </c>
      <c r="I8" s="144" t="s">
        <v>24</v>
      </c>
      <c r="J8" s="144" t="s">
        <v>24</v>
      </c>
      <c r="K8" s="144" t="s">
        <v>24</v>
      </c>
      <c r="L8" s="203" t="s">
        <v>44</v>
      </c>
      <c r="M8" s="205" t="s">
        <v>24</v>
      </c>
      <c r="N8" s="202" t="s">
        <v>24</v>
      </c>
      <c r="O8" s="71"/>
      <c r="P8" s="11"/>
      <c r="Q8" s="262"/>
      <c r="R8" s="124"/>
      <c r="T8" s="182" t="s">
        <v>23</v>
      </c>
      <c r="X8" s="261">
        <v>0</v>
      </c>
      <c r="Y8" s="260">
        <f t="shared" si="3"/>
        <v>0</v>
      </c>
      <c r="Z8" s="124" t="str">
        <f t="shared" si="0"/>
        <v/>
      </c>
    </row>
    <row r="9" spans="1:26" ht="37.5" customHeight="1" x14ac:dyDescent="0.2">
      <c r="A9" s="41" t="s">
        <v>24</v>
      </c>
      <c r="B9" s="169" t="s">
        <v>45</v>
      </c>
      <c r="C9" s="129" t="s">
        <v>46</v>
      </c>
      <c r="D9" s="204" t="s">
        <v>47</v>
      </c>
      <c r="E9" s="135">
        <f t="shared" si="1"/>
        <v>31</v>
      </c>
      <c r="F9" s="425" t="s">
        <v>48</v>
      </c>
      <c r="G9" s="127">
        <f t="shared" si="2"/>
        <v>45</v>
      </c>
      <c r="H9" s="144" t="s">
        <v>24</v>
      </c>
      <c r="I9" s="144" t="s">
        <v>24</v>
      </c>
      <c r="J9" s="144" t="s">
        <v>24</v>
      </c>
      <c r="K9" s="144" t="s">
        <v>24</v>
      </c>
      <c r="L9" s="203" t="s">
        <v>49</v>
      </c>
      <c r="M9" s="205" t="s">
        <v>24</v>
      </c>
      <c r="N9" s="202" t="s">
        <v>24</v>
      </c>
      <c r="O9" s="71"/>
      <c r="P9" s="11"/>
      <c r="Q9" s="262"/>
      <c r="R9" s="124"/>
      <c r="T9" s="182" t="s">
        <v>23</v>
      </c>
      <c r="X9" s="261">
        <v>0</v>
      </c>
      <c r="Y9" s="260">
        <f t="shared" si="3"/>
        <v>0</v>
      </c>
      <c r="Z9" s="124" t="str">
        <f t="shared" si="0"/>
        <v/>
      </c>
    </row>
    <row r="10" spans="1:26" ht="37.5" customHeight="1" x14ac:dyDescent="0.2">
      <c r="A10" s="41" t="s">
        <v>24</v>
      </c>
      <c r="B10" s="169" t="s">
        <v>50</v>
      </c>
      <c r="C10" s="129" t="s">
        <v>51</v>
      </c>
      <c r="D10" s="204" t="s">
        <v>52</v>
      </c>
      <c r="E10" s="135">
        <f t="shared" si="1"/>
        <v>34</v>
      </c>
      <c r="F10" s="425" t="s">
        <v>53</v>
      </c>
      <c r="G10" s="127">
        <f t="shared" si="2"/>
        <v>44</v>
      </c>
      <c r="H10" s="144" t="s">
        <v>24</v>
      </c>
      <c r="I10" s="144" t="s">
        <v>24</v>
      </c>
      <c r="J10" s="144" t="s">
        <v>24</v>
      </c>
      <c r="K10" s="144" t="s">
        <v>24</v>
      </c>
      <c r="L10" s="203" t="s">
        <v>54</v>
      </c>
      <c r="M10" s="205" t="s">
        <v>24</v>
      </c>
      <c r="N10" s="202" t="s">
        <v>24</v>
      </c>
      <c r="O10" s="71"/>
      <c r="P10" s="11"/>
      <c r="Q10" s="262"/>
      <c r="R10" s="124"/>
      <c r="T10" s="182" t="s">
        <v>23</v>
      </c>
      <c r="X10" s="261">
        <v>0</v>
      </c>
      <c r="Y10" s="260">
        <f t="shared" si="3"/>
        <v>0</v>
      </c>
      <c r="Z10" s="124" t="str">
        <f t="shared" si="0"/>
        <v/>
      </c>
    </row>
    <row r="11" spans="1:26" ht="37.5" customHeight="1" x14ac:dyDescent="0.2">
      <c r="A11" s="41" t="s">
        <v>24</v>
      </c>
      <c r="B11" s="169" t="s">
        <v>55</v>
      </c>
      <c r="C11" s="129" t="s">
        <v>56</v>
      </c>
      <c r="D11" s="204" t="s">
        <v>57</v>
      </c>
      <c r="E11" s="135">
        <f t="shared" si="1"/>
        <v>41</v>
      </c>
      <c r="F11" s="425" t="s">
        <v>58</v>
      </c>
      <c r="G11" s="127">
        <f t="shared" si="2"/>
        <v>44</v>
      </c>
      <c r="H11" s="144" t="s">
        <v>24</v>
      </c>
      <c r="I11" s="144" t="s">
        <v>24</v>
      </c>
      <c r="J11" s="144" t="s">
        <v>24</v>
      </c>
      <c r="K11" s="144" t="s">
        <v>24</v>
      </c>
      <c r="L11" s="203" t="s">
        <v>59</v>
      </c>
      <c r="M11" s="205" t="s">
        <v>24</v>
      </c>
      <c r="N11" s="202" t="s">
        <v>24</v>
      </c>
      <c r="O11" s="71"/>
      <c r="P11" s="11"/>
      <c r="Q11" s="262"/>
      <c r="R11" s="124"/>
      <c r="T11" s="182" t="s">
        <v>23</v>
      </c>
      <c r="X11" s="261">
        <v>0</v>
      </c>
      <c r="Y11" s="260">
        <f t="shared" si="3"/>
        <v>0</v>
      </c>
      <c r="Z11" s="124" t="str">
        <f t="shared" si="0"/>
        <v/>
      </c>
    </row>
    <row r="12" spans="1:26" ht="102" customHeight="1" x14ac:dyDescent="0.2">
      <c r="A12" s="41" t="s">
        <v>24</v>
      </c>
      <c r="B12" s="169" t="s">
        <v>60</v>
      </c>
      <c r="C12" s="129" t="s">
        <v>60</v>
      </c>
      <c r="D12" s="201" t="s">
        <v>61</v>
      </c>
      <c r="E12" s="135">
        <f t="shared" si="1"/>
        <v>148</v>
      </c>
      <c r="F12" s="425" t="s">
        <v>62</v>
      </c>
      <c r="G12" s="127">
        <f t="shared" si="2"/>
        <v>156</v>
      </c>
      <c r="H12" s="144" t="s">
        <v>37</v>
      </c>
      <c r="I12" s="135" t="s">
        <v>24</v>
      </c>
      <c r="J12" s="135" t="s">
        <v>24</v>
      </c>
      <c r="K12" s="135" t="s">
        <v>38</v>
      </c>
      <c r="L12" s="134" t="s">
        <v>63</v>
      </c>
      <c r="M12" s="205" t="s">
        <v>24</v>
      </c>
      <c r="N12" s="200" t="s">
        <v>64</v>
      </c>
      <c r="O12" s="72"/>
      <c r="P12" s="12" t="s">
        <v>65</v>
      </c>
      <c r="Q12" s="262"/>
      <c r="R12" s="124"/>
      <c r="T12" s="182" t="s">
        <v>23</v>
      </c>
      <c r="X12" s="261">
        <v>3.103272438049316</v>
      </c>
      <c r="Y12" s="260">
        <f t="shared" si="3"/>
        <v>0</v>
      </c>
      <c r="Z12" s="124" t="str">
        <f t="shared" si="0"/>
        <v/>
      </c>
    </row>
    <row r="13" spans="1:26" ht="409.5" customHeight="1" x14ac:dyDescent="0.2">
      <c r="A13" s="41" t="s">
        <v>24</v>
      </c>
      <c r="B13" s="169" t="s">
        <v>66</v>
      </c>
      <c r="C13" s="129" t="s">
        <v>66</v>
      </c>
      <c r="D13" s="42" t="s">
        <v>67</v>
      </c>
      <c r="E13" s="135">
        <f t="shared" si="1"/>
        <v>1098</v>
      </c>
      <c r="F13" s="163" t="s">
        <v>68</v>
      </c>
      <c r="G13" s="127">
        <f t="shared" si="2"/>
        <v>1293</v>
      </c>
      <c r="H13" s="144" t="s">
        <v>37</v>
      </c>
      <c r="I13" s="135" t="s">
        <v>24</v>
      </c>
      <c r="J13" s="135" t="s">
        <v>24</v>
      </c>
      <c r="K13" s="135" t="s">
        <v>38</v>
      </c>
      <c r="L13" s="134" t="s">
        <v>69</v>
      </c>
      <c r="M13" s="205" t="s">
        <v>24</v>
      </c>
      <c r="N13" s="200" t="s">
        <v>70</v>
      </c>
      <c r="O13" s="72"/>
      <c r="P13" s="12" t="s">
        <v>71</v>
      </c>
      <c r="Q13" s="262"/>
      <c r="R13" s="124"/>
      <c r="T13" s="182" t="s">
        <v>23</v>
      </c>
      <c r="X13" s="261">
        <v>37.418449401855469</v>
      </c>
      <c r="Y13" s="260">
        <f t="shared" si="3"/>
        <v>0</v>
      </c>
      <c r="Z13" s="124" t="str">
        <f t="shared" si="0"/>
        <v/>
      </c>
    </row>
    <row r="14" spans="1:26" s="130" customFormat="1" ht="119" customHeight="1" x14ac:dyDescent="0.2">
      <c r="A14" s="41" t="s">
        <v>24</v>
      </c>
      <c r="B14" s="169" t="s">
        <v>72</v>
      </c>
      <c r="C14" s="129" t="s">
        <v>73</v>
      </c>
      <c r="D14" s="150" t="s">
        <v>74</v>
      </c>
      <c r="E14" s="135">
        <f t="shared" si="1"/>
        <v>134</v>
      </c>
      <c r="F14" s="534" t="s">
        <v>75</v>
      </c>
      <c r="G14" s="127">
        <f t="shared" si="2"/>
        <v>152</v>
      </c>
      <c r="H14" s="144" t="s">
        <v>76</v>
      </c>
      <c r="I14" s="135" t="s">
        <v>24</v>
      </c>
      <c r="J14" s="135" t="s">
        <v>24</v>
      </c>
      <c r="K14" s="135" t="s">
        <v>38</v>
      </c>
      <c r="L14" s="134" t="s">
        <v>77</v>
      </c>
      <c r="M14" s="205" t="s">
        <v>24</v>
      </c>
      <c r="N14" s="134" t="s">
        <v>78</v>
      </c>
      <c r="O14" s="52" t="s">
        <v>78</v>
      </c>
      <c r="P14" s="59" t="s">
        <v>79</v>
      </c>
      <c r="Q14" s="262">
        <v>1</v>
      </c>
      <c r="R14" s="124"/>
      <c r="T14" s="182" t="s">
        <v>23</v>
      </c>
      <c r="U14" s="131"/>
      <c r="X14" s="261">
        <v>3.805951595306396</v>
      </c>
      <c r="Y14" s="260">
        <f t="shared" si="3"/>
        <v>3.805951595306396</v>
      </c>
      <c r="Z14" s="124" t="str">
        <f t="shared" si="0"/>
        <v/>
      </c>
    </row>
    <row r="15" spans="1:26" s="130" customFormat="1" ht="136" customHeight="1" x14ac:dyDescent="0.2">
      <c r="A15" s="14" t="s">
        <v>24</v>
      </c>
      <c r="B15" s="221" t="s">
        <v>80</v>
      </c>
      <c r="C15" s="17" t="s">
        <v>80</v>
      </c>
      <c r="D15" s="22" t="s">
        <v>81</v>
      </c>
      <c r="E15" s="20">
        <f t="shared" si="1"/>
        <v>172</v>
      </c>
      <c r="F15" s="579" t="s">
        <v>82</v>
      </c>
      <c r="G15" s="16">
        <f t="shared" si="2"/>
        <v>206</v>
      </c>
      <c r="H15" s="34" t="s">
        <v>37</v>
      </c>
      <c r="I15" s="20" t="s">
        <v>24</v>
      </c>
      <c r="J15" s="20" t="s">
        <v>24</v>
      </c>
      <c r="K15" s="20" t="s">
        <v>38</v>
      </c>
      <c r="L15" s="30" t="s">
        <v>83</v>
      </c>
      <c r="M15" s="580" t="s">
        <v>24</v>
      </c>
      <c r="N15" s="30" t="s">
        <v>84</v>
      </c>
      <c r="O15" s="30" t="s">
        <v>84</v>
      </c>
      <c r="P15" s="581"/>
      <c r="Q15" s="262">
        <v>1</v>
      </c>
      <c r="R15" s="124"/>
      <c r="T15" s="182" t="s">
        <v>23</v>
      </c>
      <c r="U15" s="131"/>
      <c r="X15" s="261"/>
      <c r="Y15" s="261"/>
      <c r="Z15" s="124"/>
    </row>
    <row r="16" spans="1:26" s="130" customFormat="1" ht="119" customHeight="1" x14ac:dyDescent="0.2">
      <c r="A16" s="41" t="s">
        <v>24</v>
      </c>
      <c r="B16" s="169" t="s">
        <v>85</v>
      </c>
      <c r="C16" s="129" t="s">
        <v>85</v>
      </c>
      <c r="D16" s="180" t="s">
        <v>86</v>
      </c>
      <c r="E16" s="135">
        <f t="shared" si="1"/>
        <v>153</v>
      </c>
      <c r="F16" s="535" t="s">
        <v>87</v>
      </c>
      <c r="G16" s="127">
        <f t="shared" si="2"/>
        <v>178</v>
      </c>
      <c r="H16" s="144" t="s">
        <v>88</v>
      </c>
      <c r="I16" s="135" t="s">
        <v>24</v>
      </c>
      <c r="J16" s="135" t="s">
        <v>24</v>
      </c>
      <c r="K16" s="135" t="s">
        <v>89</v>
      </c>
      <c r="L16" s="134" t="s">
        <v>90</v>
      </c>
      <c r="M16" s="205" t="s">
        <v>24</v>
      </c>
      <c r="N16" s="134" t="s">
        <v>91</v>
      </c>
      <c r="O16" s="73"/>
      <c r="P16" s="10"/>
      <c r="Q16" s="262">
        <v>1</v>
      </c>
      <c r="R16" s="124"/>
      <c r="T16" s="132" t="s">
        <v>23</v>
      </c>
      <c r="U16" s="131"/>
      <c r="X16" s="261">
        <v>0</v>
      </c>
      <c r="Y16" s="260">
        <f t="shared" ref="Y16:Y37" si="4">IF(X16="","",X16*Q16)</f>
        <v>0</v>
      </c>
      <c r="Z16" s="124" t="str">
        <f t="shared" ref="Z16:Z37" si="5">IF(T16="yes",Y16,"")</f>
        <v/>
      </c>
    </row>
    <row r="17" spans="1:26" s="130" customFormat="1" ht="51" customHeight="1" x14ac:dyDescent="0.2">
      <c r="A17" s="41" t="s">
        <v>24</v>
      </c>
      <c r="B17" s="169" t="s">
        <v>92</v>
      </c>
      <c r="C17" s="129" t="s">
        <v>93</v>
      </c>
      <c r="D17" s="150" t="s">
        <v>94</v>
      </c>
      <c r="E17" s="135">
        <f t="shared" si="1"/>
        <v>80</v>
      </c>
      <c r="F17" s="535" t="s">
        <v>95</v>
      </c>
      <c r="G17" s="127">
        <f t="shared" si="2"/>
        <v>77</v>
      </c>
      <c r="H17" s="144" t="s">
        <v>26</v>
      </c>
      <c r="I17" s="135" t="s">
        <v>24</v>
      </c>
      <c r="J17" s="135" t="s">
        <v>24</v>
      </c>
      <c r="K17" s="135" t="s">
        <v>96</v>
      </c>
      <c r="L17" s="134" t="s">
        <v>97</v>
      </c>
      <c r="M17" s="205" t="s">
        <v>24</v>
      </c>
      <c r="N17" s="134" t="s">
        <v>98</v>
      </c>
      <c r="O17" s="73"/>
      <c r="P17" s="10"/>
      <c r="Q17" s="262">
        <v>1</v>
      </c>
      <c r="R17" s="124"/>
      <c r="T17" s="132" t="s">
        <v>23</v>
      </c>
      <c r="U17" s="131"/>
      <c r="X17" s="261">
        <v>0</v>
      </c>
      <c r="Y17" s="260">
        <f t="shared" si="4"/>
        <v>0</v>
      </c>
      <c r="Z17" s="124" t="str">
        <f t="shared" si="5"/>
        <v/>
      </c>
    </row>
    <row r="18" spans="1:26" s="130" customFormat="1" ht="85" customHeight="1" x14ac:dyDescent="0.2">
      <c r="A18" s="41" t="s">
        <v>24</v>
      </c>
      <c r="B18" s="169" t="s">
        <v>99</v>
      </c>
      <c r="C18" s="129" t="s">
        <v>100</v>
      </c>
      <c r="D18" s="150" t="s">
        <v>101</v>
      </c>
      <c r="E18" s="135">
        <f t="shared" si="1"/>
        <v>176</v>
      </c>
      <c r="F18" s="535" t="s">
        <v>102</v>
      </c>
      <c r="G18" s="127">
        <f t="shared" si="2"/>
        <v>211</v>
      </c>
      <c r="H18" s="144" t="s">
        <v>26</v>
      </c>
      <c r="I18" s="135" t="s">
        <v>24</v>
      </c>
      <c r="J18" s="135" t="s">
        <v>24</v>
      </c>
      <c r="K18" s="135" t="s">
        <v>27</v>
      </c>
      <c r="L18" s="134" t="s">
        <v>103</v>
      </c>
      <c r="M18" s="205" t="s">
        <v>24</v>
      </c>
      <c r="N18" s="193" t="s">
        <v>24</v>
      </c>
      <c r="O18" s="70"/>
      <c r="P18" s="10"/>
      <c r="Q18" s="262">
        <v>1</v>
      </c>
      <c r="R18" s="124"/>
      <c r="T18" s="132" t="s">
        <v>23</v>
      </c>
      <c r="U18" s="131"/>
      <c r="X18" s="261">
        <v>0</v>
      </c>
      <c r="Y18" s="260">
        <f t="shared" si="4"/>
        <v>0</v>
      </c>
      <c r="Z18" s="124" t="str">
        <f t="shared" si="5"/>
        <v/>
      </c>
    </row>
    <row r="19" spans="1:26" s="130" customFormat="1" ht="50.25" customHeight="1" x14ac:dyDescent="0.2">
      <c r="A19" s="41" t="s">
        <v>24</v>
      </c>
      <c r="B19" s="169" t="s">
        <v>104</v>
      </c>
      <c r="C19" s="129" t="s">
        <v>24</v>
      </c>
      <c r="D19" s="150" t="s">
        <v>105</v>
      </c>
      <c r="E19" s="135">
        <f t="shared" si="1"/>
        <v>99</v>
      </c>
      <c r="F19" s="535" t="s">
        <v>106</v>
      </c>
      <c r="G19" s="127">
        <f t="shared" si="2"/>
        <v>123</v>
      </c>
      <c r="H19" s="144" t="s">
        <v>24</v>
      </c>
      <c r="I19" s="135" t="s">
        <v>24</v>
      </c>
      <c r="J19" s="135" t="s">
        <v>24</v>
      </c>
      <c r="K19" s="135" t="s">
        <v>24</v>
      </c>
      <c r="L19" s="134" t="s">
        <v>107</v>
      </c>
      <c r="M19" s="205" t="s">
        <v>24</v>
      </c>
      <c r="N19" s="193" t="s">
        <v>24</v>
      </c>
      <c r="O19" s="70"/>
      <c r="P19" s="10"/>
      <c r="Q19" s="262">
        <v>1</v>
      </c>
      <c r="R19" s="124"/>
      <c r="T19" s="132" t="s">
        <v>23</v>
      </c>
      <c r="U19" s="131"/>
      <c r="X19" s="261">
        <v>0</v>
      </c>
      <c r="Y19" s="260">
        <f t="shared" si="4"/>
        <v>0</v>
      </c>
      <c r="Z19" s="124" t="str">
        <f t="shared" si="5"/>
        <v/>
      </c>
    </row>
    <row r="20" spans="1:26" s="130" customFormat="1" ht="50.25" customHeight="1" thickBot="1" x14ac:dyDescent="0.25">
      <c r="A20" s="335" t="s">
        <v>24</v>
      </c>
      <c r="B20" s="199" t="s">
        <v>108</v>
      </c>
      <c r="C20" s="198" t="s">
        <v>109</v>
      </c>
      <c r="D20" s="197" t="s">
        <v>110</v>
      </c>
      <c r="E20" s="195">
        <f t="shared" si="1"/>
        <v>65</v>
      </c>
      <c r="F20" s="536" t="s">
        <v>111</v>
      </c>
      <c r="G20" s="127">
        <f t="shared" si="2"/>
        <v>74</v>
      </c>
      <c r="H20" s="196" t="s">
        <v>24</v>
      </c>
      <c r="I20" s="195" t="s">
        <v>24</v>
      </c>
      <c r="J20" s="195" t="s">
        <v>24</v>
      </c>
      <c r="K20" s="195" t="s">
        <v>24</v>
      </c>
      <c r="L20" s="194" t="s">
        <v>112</v>
      </c>
      <c r="M20" s="205" t="s">
        <v>24</v>
      </c>
      <c r="N20" s="193" t="s">
        <v>24</v>
      </c>
      <c r="O20" s="74"/>
      <c r="P20" s="13"/>
      <c r="Q20" s="262">
        <v>1</v>
      </c>
      <c r="R20" s="124"/>
      <c r="T20" s="132" t="s">
        <v>23</v>
      </c>
      <c r="U20" s="131"/>
      <c r="X20" s="261">
        <v>0</v>
      </c>
      <c r="Y20" s="260">
        <f t="shared" si="4"/>
        <v>0</v>
      </c>
      <c r="Z20" s="124" t="str">
        <f t="shared" si="5"/>
        <v/>
      </c>
    </row>
    <row r="21" spans="1:26" s="403" customFormat="1" ht="17" customHeight="1" thickBot="1" x14ac:dyDescent="0.25">
      <c r="A21" s="586" t="s">
        <v>113</v>
      </c>
      <c r="B21" s="587"/>
      <c r="C21" s="587"/>
      <c r="D21" s="587"/>
      <c r="E21" s="587"/>
      <c r="F21" s="587"/>
      <c r="G21" s="587"/>
      <c r="H21" s="587"/>
      <c r="I21" s="587"/>
      <c r="J21" s="587"/>
      <c r="K21" s="587"/>
      <c r="L21" s="587"/>
      <c r="M21" s="587"/>
      <c r="N21" s="587"/>
      <c r="O21" s="587"/>
      <c r="P21" s="588"/>
      <c r="Q21" s="257"/>
      <c r="R21" s="414"/>
      <c r="T21" s="412"/>
      <c r="U21" s="415"/>
      <c r="X21" s="260"/>
      <c r="Y21" s="260" t="str">
        <f t="shared" si="4"/>
        <v/>
      </c>
      <c r="Z21" s="414" t="str">
        <f t="shared" si="5"/>
        <v/>
      </c>
    </row>
    <row r="22" spans="1:26" s="130" customFormat="1" ht="68.25" customHeight="1" x14ac:dyDescent="0.2">
      <c r="A22" s="334" t="s">
        <v>24</v>
      </c>
      <c r="B22" s="192" t="s">
        <v>114</v>
      </c>
      <c r="C22" s="186" t="s">
        <v>114</v>
      </c>
      <c r="D22" s="191" t="s">
        <v>115</v>
      </c>
      <c r="E22" s="190">
        <f>LEN(D22)</f>
        <v>96</v>
      </c>
      <c r="F22" s="191" t="s">
        <v>116</v>
      </c>
      <c r="G22" s="190">
        <f>LEN(F22)</f>
        <v>116</v>
      </c>
      <c r="H22" s="160" t="s">
        <v>26</v>
      </c>
      <c r="I22" s="190" t="s">
        <v>24</v>
      </c>
      <c r="J22" s="190" t="s">
        <v>24</v>
      </c>
      <c r="K22" s="190" t="s">
        <v>27</v>
      </c>
      <c r="L22" s="189" t="s">
        <v>117</v>
      </c>
      <c r="M22" s="205" t="s">
        <v>24</v>
      </c>
      <c r="N22" s="191" t="s">
        <v>118</v>
      </c>
      <c r="O22" s="188"/>
      <c r="P22" s="57"/>
      <c r="Q22" s="257">
        <f>1</f>
        <v>1</v>
      </c>
      <c r="R22" s="124"/>
      <c r="T22" s="412" t="s">
        <v>33</v>
      </c>
      <c r="U22" s="131"/>
      <c r="X22" s="260">
        <v>25.874027252197269</v>
      </c>
      <c r="Y22" s="260">
        <f t="shared" si="4"/>
        <v>25.874027252197269</v>
      </c>
      <c r="Z22" s="124">
        <f t="shared" si="5"/>
        <v>25.874027252197269</v>
      </c>
    </row>
    <row r="23" spans="1:26" s="130" customFormat="1" ht="68" customHeight="1" x14ac:dyDescent="0.2">
      <c r="A23" s="41" t="s">
        <v>24</v>
      </c>
      <c r="B23" s="192" t="s">
        <v>119</v>
      </c>
      <c r="C23" s="186" t="s">
        <v>119</v>
      </c>
      <c r="D23" s="191" t="s">
        <v>120</v>
      </c>
      <c r="E23" s="190">
        <f>LEN(D23)</f>
        <v>95</v>
      </c>
      <c r="F23" s="191" t="s">
        <v>121</v>
      </c>
      <c r="G23" s="190">
        <f>LEN(F23)</f>
        <v>132</v>
      </c>
      <c r="H23" s="160" t="s">
        <v>26</v>
      </c>
      <c r="I23" s="190" t="s">
        <v>24</v>
      </c>
      <c r="J23" s="190" t="s">
        <v>24</v>
      </c>
      <c r="K23" s="190" t="s">
        <v>27</v>
      </c>
      <c r="L23" s="189" t="s">
        <v>122</v>
      </c>
      <c r="M23" s="205" t="s">
        <v>24</v>
      </c>
      <c r="N23" s="152" t="s">
        <v>123</v>
      </c>
      <c r="O23" s="188"/>
      <c r="P23" s="57"/>
      <c r="Q23" s="257">
        <f>1</f>
        <v>1</v>
      </c>
      <c r="R23" s="124"/>
      <c r="T23" s="412" t="s">
        <v>33</v>
      </c>
      <c r="U23" s="131"/>
      <c r="X23" s="260">
        <v>8.5994815826416016</v>
      </c>
      <c r="Y23" s="260">
        <f t="shared" si="4"/>
        <v>8.5994815826416016</v>
      </c>
      <c r="Z23" s="124">
        <f t="shared" si="5"/>
        <v>8.5994815826416016</v>
      </c>
    </row>
    <row r="24" spans="1:26" s="130" customFormat="1" ht="85" customHeight="1" x14ac:dyDescent="0.2">
      <c r="A24" s="87">
        <v>1</v>
      </c>
      <c r="B24" s="234" t="s">
        <v>124</v>
      </c>
      <c r="C24" s="187" t="s">
        <v>124</v>
      </c>
      <c r="D24" s="128" t="s">
        <v>125</v>
      </c>
      <c r="E24" s="186">
        <f>LEN(D24)</f>
        <v>177</v>
      </c>
      <c r="F24" s="191" t="s">
        <v>126</v>
      </c>
      <c r="G24" s="190">
        <f>LEN(F24)</f>
        <v>219</v>
      </c>
      <c r="H24" s="186" t="s">
        <v>127</v>
      </c>
      <c r="I24" s="186" t="s">
        <v>24</v>
      </c>
      <c r="J24" s="186" t="s">
        <v>24</v>
      </c>
      <c r="K24" s="186" t="s">
        <v>27</v>
      </c>
      <c r="L24" s="126" t="s">
        <v>128</v>
      </c>
      <c r="M24" s="205" t="s">
        <v>24</v>
      </c>
      <c r="N24" s="185" t="s">
        <v>129</v>
      </c>
      <c r="O24" s="184"/>
      <c r="P24" s="57"/>
      <c r="Q24" s="257">
        <f>1</f>
        <v>1</v>
      </c>
      <c r="R24" s="124"/>
      <c r="T24" s="418" t="s">
        <v>33</v>
      </c>
      <c r="U24" s="131"/>
      <c r="X24" s="260">
        <v>9.8907184600830078</v>
      </c>
      <c r="Y24" s="260">
        <f t="shared" si="4"/>
        <v>9.8907184600830078</v>
      </c>
      <c r="Z24" s="124">
        <f t="shared" si="5"/>
        <v>9.8907184600830078</v>
      </c>
    </row>
    <row r="25" spans="1:26" s="130" customFormat="1" ht="153" customHeight="1" x14ac:dyDescent="0.2">
      <c r="A25" s="87">
        <f>A24+1</f>
        <v>2</v>
      </c>
      <c r="B25" s="169" t="s">
        <v>130</v>
      </c>
      <c r="C25" s="129" t="s">
        <v>130</v>
      </c>
      <c r="D25" s="150" t="s">
        <v>131</v>
      </c>
      <c r="E25" s="135">
        <f>LEN(D25)</f>
        <v>168</v>
      </c>
      <c r="F25" s="150" t="s">
        <v>132</v>
      </c>
      <c r="G25" s="190">
        <f>LEN(F25)</f>
        <v>178</v>
      </c>
      <c r="H25" s="144" t="s">
        <v>37</v>
      </c>
      <c r="I25" s="135" t="s">
        <v>24</v>
      </c>
      <c r="J25" s="135" t="s">
        <v>24</v>
      </c>
      <c r="K25" s="135" t="s">
        <v>38</v>
      </c>
      <c r="L25" s="134" t="s">
        <v>133</v>
      </c>
      <c r="M25" s="205" t="s">
        <v>24</v>
      </c>
      <c r="N25" s="126" t="s">
        <v>134</v>
      </c>
      <c r="O25" s="75"/>
      <c r="P25" s="10"/>
      <c r="Q25" s="257">
        <f>1</f>
        <v>1</v>
      </c>
      <c r="R25" s="124"/>
      <c r="T25" s="418" t="s">
        <v>33</v>
      </c>
      <c r="U25" s="131"/>
      <c r="X25" s="260">
        <v>1.7156481742858889</v>
      </c>
      <c r="Y25" s="260">
        <f t="shared" si="4"/>
        <v>1.7156481742858889</v>
      </c>
      <c r="Z25" s="124">
        <f t="shared" si="5"/>
        <v>1.7156481742858889</v>
      </c>
    </row>
    <row r="26" spans="1:26" s="130" customFormat="1" x14ac:dyDescent="0.2">
      <c r="A26" s="87"/>
      <c r="B26" s="248"/>
      <c r="C26" s="88"/>
      <c r="D26" s="112"/>
      <c r="E26" s="43"/>
      <c r="F26" s="43"/>
      <c r="G26" s="43"/>
      <c r="H26" s="89"/>
      <c r="I26" s="43"/>
      <c r="J26" s="43"/>
      <c r="K26" s="43"/>
      <c r="L26" s="75"/>
      <c r="M26" s="75"/>
      <c r="N26" s="75"/>
      <c r="O26" s="75"/>
      <c r="P26" s="10"/>
      <c r="Q26" s="262">
        <f>1</f>
        <v>1</v>
      </c>
      <c r="R26" s="124"/>
      <c r="T26" s="182"/>
      <c r="U26" s="131"/>
      <c r="X26" s="261"/>
      <c r="Y26" s="261" t="str">
        <f t="shared" si="4"/>
        <v/>
      </c>
      <c r="Z26" s="124" t="str">
        <f t="shared" si="5"/>
        <v/>
      </c>
    </row>
    <row r="27" spans="1:26" s="280" customFormat="1" ht="153" customHeight="1" x14ac:dyDescent="0.2">
      <c r="A27" s="333"/>
      <c r="B27" s="290" t="s">
        <v>135</v>
      </c>
      <c r="C27" s="291" t="s">
        <v>135</v>
      </c>
      <c r="D27" s="292" t="s">
        <v>136</v>
      </c>
      <c r="E27" s="293">
        <f t="shared" ref="E27:E34" si="6">LEN(D27)</f>
        <v>134</v>
      </c>
      <c r="F27" s="350" t="s">
        <v>137</v>
      </c>
      <c r="G27" s="293">
        <f t="shared" ref="G27:G34" si="7">LEN(F27)</f>
        <v>181</v>
      </c>
      <c r="H27" s="294" t="s">
        <v>37</v>
      </c>
      <c r="I27" s="293" t="s">
        <v>24</v>
      </c>
      <c r="J27" s="293" t="s">
        <v>24</v>
      </c>
      <c r="K27" s="293" t="s">
        <v>38</v>
      </c>
      <c r="L27" s="295" t="s">
        <v>138</v>
      </c>
      <c r="M27" s="205" t="s">
        <v>24</v>
      </c>
      <c r="N27" s="295" t="s">
        <v>139</v>
      </c>
      <c r="O27" s="296"/>
      <c r="P27" s="297"/>
      <c r="Q27" s="272">
        <f>1</f>
        <v>1</v>
      </c>
      <c r="R27" s="279"/>
      <c r="T27" s="413" t="s">
        <v>140</v>
      </c>
      <c r="U27" s="281"/>
      <c r="X27" s="273">
        <v>6.375236988067627</v>
      </c>
      <c r="Y27" s="260">
        <f t="shared" si="4"/>
        <v>6.375236988067627</v>
      </c>
      <c r="Z27" s="124" t="str">
        <f t="shared" si="5"/>
        <v/>
      </c>
    </row>
    <row r="28" spans="1:26" s="280" customFormat="1" ht="51" customHeight="1" x14ac:dyDescent="0.2">
      <c r="A28" s="333"/>
      <c r="B28" s="290" t="s">
        <v>141</v>
      </c>
      <c r="C28" s="291" t="s">
        <v>142</v>
      </c>
      <c r="D28" s="350" t="s">
        <v>143</v>
      </c>
      <c r="E28" s="293">
        <f t="shared" si="6"/>
        <v>63</v>
      </c>
      <c r="F28" s="350" t="s">
        <v>144</v>
      </c>
      <c r="G28" s="293">
        <f t="shared" si="7"/>
        <v>78</v>
      </c>
      <c r="H28" s="294" t="s">
        <v>26</v>
      </c>
      <c r="I28" s="293" t="s">
        <v>24</v>
      </c>
      <c r="J28" s="293" t="s">
        <v>24</v>
      </c>
      <c r="K28" s="293" t="s">
        <v>27</v>
      </c>
      <c r="L28" s="295" t="s">
        <v>145</v>
      </c>
      <c r="M28" s="205" t="s">
        <v>24</v>
      </c>
      <c r="N28" s="298" t="s">
        <v>146</v>
      </c>
      <c r="O28" s="299"/>
      <c r="P28" s="297"/>
      <c r="Q28" s="272">
        <f>1</f>
        <v>1</v>
      </c>
      <c r="R28" s="279"/>
      <c r="T28" s="413" t="s">
        <v>140</v>
      </c>
      <c r="U28" s="281"/>
      <c r="X28" s="273">
        <v>28.70000076293945</v>
      </c>
      <c r="Y28" s="260">
        <f t="shared" si="4"/>
        <v>28.70000076293945</v>
      </c>
      <c r="Z28" s="124" t="str">
        <f t="shared" si="5"/>
        <v/>
      </c>
    </row>
    <row r="29" spans="1:26" s="280" customFormat="1" ht="187" customHeight="1" x14ac:dyDescent="0.2">
      <c r="A29" s="278"/>
      <c r="B29" s="300" t="s">
        <v>147</v>
      </c>
      <c r="C29" s="301" t="s">
        <v>147</v>
      </c>
      <c r="D29" s="302" t="s">
        <v>148</v>
      </c>
      <c r="E29" s="289">
        <f t="shared" si="6"/>
        <v>265</v>
      </c>
      <c r="F29" s="426" t="s">
        <v>149</v>
      </c>
      <c r="G29" s="293">
        <f t="shared" si="7"/>
        <v>297</v>
      </c>
      <c r="H29" s="303" t="s">
        <v>37</v>
      </c>
      <c r="I29" s="289" t="s">
        <v>24</v>
      </c>
      <c r="J29" s="289" t="s">
        <v>24</v>
      </c>
      <c r="K29" s="289" t="s">
        <v>38</v>
      </c>
      <c r="L29" s="287" t="s">
        <v>150</v>
      </c>
      <c r="M29" s="205" t="s">
        <v>24</v>
      </c>
      <c r="N29" s="304" t="s">
        <v>151</v>
      </c>
      <c r="O29" s="305"/>
      <c r="P29" s="288"/>
      <c r="Q29" s="272">
        <f>1</f>
        <v>1</v>
      </c>
      <c r="R29" s="279"/>
      <c r="T29" s="413" t="s">
        <v>140</v>
      </c>
      <c r="U29" s="281"/>
      <c r="X29" s="273">
        <v>10.14181709289551</v>
      </c>
      <c r="Y29" s="260">
        <f t="shared" si="4"/>
        <v>10.14181709289551</v>
      </c>
      <c r="Z29" s="124" t="str">
        <f t="shared" si="5"/>
        <v/>
      </c>
    </row>
    <row r="30" spans="1:26" s="280" customFormat="1" ht="51" customHeight="1" x14ac:dyDescent="0.2">
      <c r="A30" s="278"/>
      <c r="B30" s="300" t="s">
        <v>152</v>
      </c>
      <c r="C30" s="301" t="s">
        <v>152</v>
      </c>
      <c r="D30" s="350" t="s">
        <v>153</v>
      </c>
      <c r="E30" s="289">
        <f t="shared" si="6"/>
        <v>73</v>
      </c>
      <c r="F30" s="427" t="s">
        <v>154</v>
      </c>
      <c r="G30" s="293">
        <f t="shared" si="7"/>
        <v>82</v>
      </c>
      <c r="H30" s="303" t="s">
        <v>26</v>
      </c>
      <c r="I30" s="289" t="s">
        <v>24</v>
      </c>
      <c r="J30" s="289" t="s">
        <v>24</v>
      </c>
      <c r="K30" s="289" t="s">
        <v>27</v>
      </c>
      <c r="L30" s="287" t="s">
        <v>155</v>
      </c>
      <c r="M30" s="205" t="s">
        <v>24</v>
      </c>
      <c r="N30" s="306" t="s">
        <v>156</v>
      </c>
      <c r="O30" s="307"/>
      <c r="P30" s="288"/>
      <c r="Q30" s="272">
        <f>1</f>
        <v>1</v>
      </c>
      <c r="R30" s="279"/>
      <c r="T30" s="413" t="s">
        <v>140</v>
      </c>
      <c r="U30" s="281"/>
      <c r="X30" s="273">
        <v>21.659982681274411</v>
      </c>
      <c r="Y30" s="260">
        <f t="shared" si="4"/>
        <v>21.659982681274411</v>
      </c>
      <c r="Z30" s="124" t="str">
        <f t="shared" si="5"/>
        <v/>
      </c>
    </row>
    <row r="31" spans="1:26" s="280" customFormat="1" ht="102" customHeight="1" x14ac:dyDescent="0.2">
      <c r="A31" s="278"/>
      <c r="B31" s="300" t="s">
        <v>157</v>
      </c>
      <c r="C31" s="301" t="s">
        <v>157</v>
      </c>
      <c r="D31" s="350" t="s">
        <v>158</v>
      </c>
      <c r="E31" s="289">
        <f t="shared" si="6"/>
        <v>98</v>
      </c>
      <c r="F31" s="426" t="s">
        <v>159</v>
      </c>
      <c r="G31" s="293">
        <f t="shared" si="7"/>
        <v>138</v>
      </c>
      <c r="H31" s="303" t="s">
        <v>26</v>
      </c>
      <c r="I31" s="289" t="s">
        <v>24</v>
      </c>
      <c r="J31" s="289" t="s">
        <v>160</v>
      </c>
      <c r="K31" s="289" t="s">
        <v>27</v>
      </c>
      <c r="L31" s="287" t="s">
        <v>161</v>
      </c>
      <c r="M31" s="205" t="s">
        <v>24</v>
      </c>
      <c r="N31" s="306" t="s">
        <v>162</v>
      </c>
      <c r="O31" s="269"/>
      <c r="P31" s="288"/>
      <c r="Q31" s="272">
        <f>1</f>
        <v>1</v>
      </c>
      <c r="R31" s="279"/>
      <c r="T31" s="413" t="s">
        <v>140</v>
      </c>
      <c r="U31" s="281"/>
      <c r="X31" s="273">
        <v>11.82179641723633</v>
      </c>
      <c r="Y31" s="260">
        <f t="shared" si="4"/>
        <v>11.82179641723633</v>
      </c>
      <c r="Z31" s="124" t="str">
        <f t="shared" si="5"/>
        <v/>
      </c>
    </row>
    <row r="32" spans="1:26" s="280" customFormat="1" ht="187" customHeight="1" x14ac:dyDescent="0.2">
      <c r="A32" s="278"/>
      <c r="B32" s="300" t="s">
        <v>163</v>
      </c>
      <c r="C32" s="301" t="s">
        <v>163</v>
      </c>
      <c r="D32" s="302" t="s">
        <v>148</v>
      </c>
      <c r="E32" s="289">
        <f t="shared" si="6"/>
        <v>265</v>
      </c>
      <c r="F32" s="426" t="s">
        <v>149</v>
      </c>
      <c r="G32" s="293">
        <f t="shared" si="7"/>
        <v>297</v>
      </c>
      <c r="H32" s="303" t="s">
        <v>37</v>
      </c>
      <c r="I32" s="289" t="s">
        <v>24</v>
      </c>
      <c r="J32" s="289" t="s">
        <v>24</v>
      </c>
      <c r="K32" s="289" t="s">
        <v>38</v>
      </c>
      <c r="L32" s="287" t="s">
        <v>164</v>
      </c>
      <c r="M32" s="205" t="s">
        <v>24</v>
      </c>
      <c r="N32" s="304" t="s">
        <v>165</v>
      </c>
      <c r="O32" s="305"/>
      <c r="P32" s="288"/>
      <c r="Q32" s="272">
        <f>1</f>
        <v>1</v>
      </c>
      <c r="R32" s="279"/>
      <c r="T32" s="413" t="s">
        <v>140</v>
      </c>
      <c r="U32" s="281"/>
      <c r="X32" s="273">
        <v>3.163594007492065</v>
      </c>
      <c r="Y32" s="260">
        <f t="shared" si="4"/>
        <v>3.163594007492065</v>
      </c>
      <c r="Z32" s="124" t="str">
        <f t="shared" si="5"/>
        <v/>
      </c>
    </row>
    <row r="33" spans="1:27" s="280" customFormat="1" ht="51" customHeight="1" x14ac:dyDescent="0.2">
      <c r="A33" s="278"/>
      <c r="B33" s="300" t="s">
        <v>166</v>
      </c>
      <c r="C33" s="301" t="s">
        <v>166</v>
      </c>
      <c r="D33" s="350" t="s">
        <v>153</v>
      </c>
      <c r="E33" s="289">
        <f t="shared" si="6"/>
        <v>73</v>
      </c>
      <c r="F33" s="427" t="s">
        <v>154</v>
      </c>
      <c r="G33" s="293">
        <f t="shared" si="7"/>
        <v>82</v>
      </c>
      <c r="H33" s="303" t="s">
        <v>26</v>
      </c>
      <c r="I33" s="289" t="s">
        <v>24</v>
      </c>
      <c r="J33" s="289" t="s">
        <v>24</v>
      </c>
      <c r="K33" s="289" t="s">
        <v>27</v>
      </c>
      <c r="L33" s="287" t="s">
        <v>167</v>
      </c>
      <c r="M33" s="205" t="s">
        <v>24</v>
      </c>
      <c r="N33" s="306" t="s">
        <v>168</v>
      </c>
      <c r="O33" s="307"/>
      <c r="P33" s="288"/>
      <c r="Q33" s="272">
        <f>1</f>
        <v>1</v>
      </c>
      <c r="R33" s="279"/>
      <c r="T33" s="413" t="s">
        <v>140</v>
      </c>
      <c r="U33" s="281"/>
      <c r="X33" s="273">
        <v>10.83014392852783</v>
      </c>
      <c r="Y33" s="260">
        <f t="shared" si="4"/>
        <v>10.83014392852783</v>
      </c>
      <c r="Z33" s="124" t="str">
        <f t="shared" si="5"/>
        <v/>
      </c>
    </row>
    <row r="34" spans="1:27" s="280" customFormat="1" ht="102" customHeight="1" x14ac:dyDescent="0.2">
      <c r="A34" s="278"/>
      <c r="B34" s="300" t="s">
        <v>169</v>
      </c>
      <c r="C34" s="300" t="s">
        <v>170</v>
      </c>
      <c r="D34" s="350" t="s">
        <v>158</v>
      </c>
      <c r="E34" s="289">
        <f t="shared" si="6"/>
        <v>98</v>
      </c>
      <c r="F34" s="426" t="s">
        <v>159</v>
      </c>
      <c r="G34" s="293">
        <f t="shared" si="7"/>
        <v>138</v>
      </c>
      <c r="H34" s="303" t="s">
        <v>26</v>
      </c>
      <c r="I34" s="289" t="s">
        <v>24</v>
      </c>
      <c r="J34" s="289" t="s">
        <v>171</v>
      </c>
      <c r="K34" s="289" t="s">
        <v>27</v>
      </c>
      <c r="L34" s="287" t="s">
        <v>172</v>
      </c>
      <c r="M34" s="205" t="s">
        <v>24</v>
      </c>
      <c r="N34" s="306" t="s">
        <v>173</v>
      </c>
      <c r="O34" s="269"/>
      <c r="P34" s="288"/>
      <c r="Q34" s="272">
        <f>1</f>
        <v>1</v>
      </c>
      <c r="R34" s="279"/>
      <c r="T34" s="413" t="s">
        <v>140</v>
      </c>
      <c r="U34" s="281"/>
      <c r="X34" s="273">
        <v>11.260416984558111</v>
      </c>
      <c r="Y34" s="260">
        <f t="shared" si="4"/>
        <v>11.260416984558111</v>
      </c>
      <c r="Z34" s="124" t="str">
        <f t="shared" si="5"/>
        <v/>
      </c>
    </row>
    <row r="35" spans="1:27" s="121" customFormat="1" x14ac:dyDescent="0.2">
      <c r="A35" s="61"/>
      <c r="B35" s="233"/>
      <c r="C35" s="233"/>
      <c r="D35" s="65"/>
      <c r="E35" s="62"/>
      <c r="F35" s="62"/>
      <c r="G35" s="62"/>
      <c r="H35" s="63"/>
      <c r="I35" s="62"/>
      <c r="J35" s="62"/>
      <c r="K35" s="62"/>
      <c r="L35" s="64"/>
      <c r="M35" s="69"/>
      <c r="N35" s="66"/>
      <c r="O35" s="67"/>
      <c r="P35" s="58"/>
      <c r="Q35" s="262">
        <f>1</f>
        <v>1</v>
      </c>
      <c r="R35" s="124"/>
      <c r="T35" s="123"/>
      <c r="U35" s="122"/>
      <c r="X35" s="261"/>
      <c r="Y35" s="261" t="str">
        <f t="shared" si="4"/>
        <v/>
      </c>
      <c r="Z35" s="124" t="str">
        <f t="shared" si="5"/>
        <v/>
      </c>
    </row>
    <row r="36" spans="1:27" s="130" customFormat="1" ht="153" customHeight="1" x14ac:dyDescent="0.2">
      <c r="A36" s="87">
        <v>3</v>
      </c>
      <c r="B36" s="220" t="s">
        <v>174</v>
      </c>
      <c r="C36" s="129" t="s">
        <v>174</v>
      </c>
      <c r="D36" s="128" t="s">
        <v>175</v>
      </c>
      <c r="E36" s="127">
        <f>LEN(D36)</f>
        <v>224</v>
      </c>
      <c r="F36" s="191" t="s">
        <v>176</v>
      </c>
      <c r="G36" s="127">
        <f>LEN(F36)</f>
        <v>258</v>
      </c>
      <c r="H36" s="137" t="s">
        <v>37</v>
      </c>
      <c r="I36" s="127" t="s">
        <v>24</v>
      </c>
      <c r="J36" s="127" t="s">
        <v>24</v>
      </c>
      <c r="K36" s="127" t="s">
        <v>177</v>
      </c>
      <c r="L36" s="376" t="s">
        <v>178</v>
      </c>
      <c r="M36" s="205" t="s">
        <v>24</v>
      </c>
      <c r="N36" s="591" t="s">
        <v>179</v>
      </c>
      <c r="O36" s="267"/>
      <c r="P36" s="10"/>
      <c r="Q36" s="257">
        <f>1</f>
        <v>1</v>
      </c>
      <c r="R36" s="124"/>
      <c r="T36" s="418" t="s">
        <v>33</v>
      </c>
      <c r="U36" s="131"/>
      <c r="X36" s="260">
        <v>13.957258919109851</v>
      </c>
      <c r="Y36" s="260">
        <f t="shared" si="4"/>
        <v>13.957258919109851</v>
      </c>
      <c r="Z36" s="124">
        <f t="shared" si="5"/>
        <v>13.957258919109851</v>
      </c>
    </row>
    <row r="37" spans="1:27" s="130" customFormat="1" ht="119" customHeight="1" x14ac:dyDescent="0.2">
      <c r="A37" s="41">
        <f>A36+1</f>
        <v>4</v>
      </c>
      <c r="B37" s="169" t="s">
        <v>180</v>
      </c>
      <c r="C37" s="129" t="s">
        <v>180</v>
      </c>
      <c r="D37" s="377" t="s">
        <v>181</v>
      </c>
      <c r="E37" s="135">
        <f>LEN(D37)</f>
        <v>123</v>
      </c>
      <c r="F37" s="377" t="s">
        <v>182</v>
      </c>
      <c r="G37" s="127">
        <f>LEN(F37)</f>
        <v>130</v>
      </c>
      <c r="H37" s="144" t="s">
        <v>37</v>
      </c>
      <c r="I37" s="135" t="s">
        <v>24</v>
      </c>
      <c r="J37" s="135" t="s">
        <v>24</v>
      </c>
      <c r="K37" s="135" t="s">
        <v>183</v>
      </c>
      <c r="L37" s="378" t="s">
        <v>184</v>
      </c>
      <c r="M37" s="205" t="s">
        <v>24</v>
      </c>
      <c r="N37" s="592"/>
      <c r="O37" s="369"/>
      <c r="P37" s="111"/>
      <c r="Q37" s="257">
        <f>1</f>
        <v>1</v>
      </c>
      <c r="R37" s="124"/>
      <c r="T37" s="418" t="s">
        <v>33</v>
      </c>
      <c r="U37" s="131"/>
      <c r="X37" s="260">
        <v>7.9549989700317383</v>
      </c>
      <c r="Y37" s="260">
        <f t="shared" si="4"/>
        <v>7.9549989700317383</v>
      </c>
      <c r="Z37" s="124">
        <f t="shared" si="5"/>
        <v>7.9549989700317383</v>
      </c>
    </row>
    <row r="38" spans="1:27" s="130" customFormat="1" ht="170" customHeight="1" x14ac:dyDescent="0.2">
      <c r="A38" s="100"/>
      <c r="B38" s="222" t="s">
        <v>185</v>
      </c>
      <c r="C38" s="120" t="s">
        <v>185</v>
      </c>
      <c r="D38" s="150" t="s">
        <v>186</v>
      </c>
      <c r="E38" s="379">
        <f>LEN(D38)</f>
        <v>218</v>
      </c>
      <c r="F38" s="425" t="s">
        <v>187</v>
      </c>
      <c r="G38" s="127">
        <f>LEN(F38)</f>
        <v>251</v>
      </c>
      <c r="H38" s="144" t="s">
        <v>37</v>
      </c>
      <c r="I38" s="144" t="s">
        <v>24</v>
      </c>
      <c r="J38" s="144" t="s">
        <v>24</v>
      </c>
      <c r="K38" s="144" t="s">
        <v>38</v>
      </c>
      <c r="L38" s="134" t="s">
        <v>188</v>
      </c>
      <c r="M38" s="205" t="s">
        <v>24</v>
      </c>
      <c r="N38" s="375"/>
      <c r="O38" s="353"/>
      <c r="P38" s="354"/>
      <c r="Q38" s="260"/>
      <c r="R38" s="260"/>
      <c r="S38" s="124"/>
      <c r="U38" s="182"/>
      <c r="V38" s="131"/>
      <c r="Y38" s="260"/>
      <c r="Z38" s="260"/>
      <c r="AA38" s="124"/>
    </row>
    <row r="39" spans="1:27" s="130" customFormat="1" ht="306" customHeight="1" x14ac:dyDescent="0.2">
      <c r="A39" s="100">
        <v>1</v>
      </c>
      <c r="B39" s="222" t="s">
        <v>189</v>
      </c>
      <c r="C39" s="380" t="s">
        <v>189</v>
      </c>
      <c r="D39" s="142" t="s">
        <v>190</v>
      </c>
      <c r="E39" s="118">
        <f>LEN(D39)</f>
        <v>658</v>
      </c>
      <c r="F39" s="428" t="s">
        <v>191</v>
      </c>
      <c r="G39" s="127">
        <f>LEN(F39)</f>
        <v>794</v>
      </c>
      <c r="H39" s="381" t="s">
        <v>37</v>
      </c>
      <c r="I39" s="118" t="s">
        <v>24</v>
      </c>
      <c r="J39" s="118" t="s">
        <v>24</v>
      </c>
      <c r="K39" s="118" t="s">
        <v>38</v>
      </c>
      <c r="L39" s="382" t="s">
        <v>192</v>
      </c>
      <c r="M39" s="205" t="s">
        <v>24</v>
      </c>
      <c r="N39" s="140" t="s">
        <v>193</v>
      </c>
      <c r="O39" s="76"/>
      <c r="P39" s="25"/>
      <c r="Q39" s="257">
        <f>1</f>
        <v>1</v>
      </c>
      <c r="R39" s="124"/>
      <c r="T39" s="418" t="s">
        <v>33</v>
      </c>
      <c r="U39" s="131"/>
      <c r="X39" s="260">
        <v>24.41083908081055</v>
      </c>
      <c r="Y39" s="260">
        <f t="shared" ref="Y39:Y70" si="8">IF(X39="","",X39*Q39)</f>
        <v>24.41083908081055</v>
      </c>
      <c r="Z39" s="124">
        <f t="shared" ref="Z39:Z70" si="9">IF(T39="yes",Y39,"")</f>
        <v>24.41083908081055</v>
      </c>
    </row>
    <row r="40" spans="1:27" s="130" customFormat="1" ht="17" customHeight="1" thickBot="1" x14ac:dyDescent="0.25">
      <c r="A40" s="90"/>
      <c r="B40" s="249"/>
      <c r="C40" s="256"/>
      <c r="D40" s="77"/>
      <c r="E40" s="91"/>
      <c r="F40" s="91"/>
      <c r="G40" s="91"/>
      <c r="H40" s="92"/>
      <c r="I40" s="91"/>
      <c r="J40" s="91"/>
      <c r="K40" s="91"/>
      <c r="L40" s="77"/>
      <c r="M40" s="77"/>
      <c r="N40" s="77"/>
      <c r="O40" s="77"/>
      <c r="P40" s="25"/>
      <c r="Q40" s="262">
        <f>1</f>
        <v>1</v>
      </c>
      <c r="R40" s="124"/>
      <c r="T40" s="182"/>
      <c r="U40" s="131"/>
      <c r="X40" s="261"/>
      <c r="Y40" s="261" t="str">
        <f t="shared" si="8"/>
        <v/>
      </c>
      <c r="Z40" s="124" t="str">
        <f t="shared" si="9"/>
        <v/>
      </c>
    </row>
    <row r="41" spans="1:27" s="130" customFormat="1" ht="17" customHeight="1" thickBot="1" x14ac:dyDescent="0.25">
      <c r="A41" s="586" t="s">
        <v>194</v>
      </c>
      <c r="B41" s="587"/>
      <c r="C41" s="587"/>
      <c r="D41" s="587"/>
      <c r="E41" s="587"/>
      <c r="F41" s="587"/>
      <c r="G41" s="587"/>
      <c r="H41" s="587"/>
      <c r="I41" s="587"/>
      <c r="J41" s="587"/>
      <c r="K41" s="587"/>
      <c r="L41" s="587"/>
      <c r="M41" s="587"/>
      <c r="N41" s="587"/>
      <c r="O41" s="587"/>
      <c r="P41" s="588"/>
      <c r="Q41" s="262"/>
      <c r="R41" s="124"/>
      <c r="T41" s="132"/>
      <c r="U41" s="131"/>
      <c r="X41" s="261"/>
      <c r="Y41" s="260" t="str">
        <f t="shared" si="8"/>
        <v/>
      </c>
      <c r="Z41" s="124" t="str">
        <f t="shared" si="9"/>
        <v/>
      </c>
    </row>
    <row r="42" spans="1:27" s="130" customFormat="1" x14ac:dyDescent="0.2">
      <c r="A42" s="179"/>
      <c r="B42" s="179"/>
      <c r="C42" s="179"/>
      <c r="D42" s="94"/>
      <c r="E42" s="179"/>
      <c r="F42" s="94"/>
      <c r="G42" s="179"/>
      <c r="H42" s="179"/>
      <c r="I42" s="179"/>
      <c r="J42" s="179"/>
      <c r="K42" s="179"/>
      <c r="L42" s="179"/>
      <c r="M42" s="179"/>
      <c r="N42" s="179"/>
      <c r="O42" s="179"/>
      <c r="P42" s="47"/>
      <c r="Q42" s="262">
        <f>1</f>
        <v>1</v>
      </c>
      <c r="R42" s="124"/>
      <c r="T42" s="132"/>
      <c r="U42" s="131"/>
      <c r="X42" s="261"/>
      <c r="Y42" s="261" t="str">
        <f t="shared" si="8"/>
        <v/>
      </c>
      <c r="Z42" s="124" t="str">
        <f t="shared" si="9"/>
        <v/>
      </c>
    </row>
    <row r="43" spans="1:27" s="356" customFormat="1" ht="153" customHeight="1" x14ac:dyDescent="0.2">
      <c r="A43" s="352">
        <f>A39+1</f>
        <v>2</v>
      </c>
      <c r="B43" s="372" t="s">
        <v>195</v>
      </c>
      <c r="C43" s="373" t="s">
        <v>195</v>
      </c>
      <c r="D43" s="374" t="s">
        <v>196</v>
      </c>
      <c r="E43" s="373">
        <f>LEN(D43)</f>
        <v>97</v>
      </c>
      <c r="F43" s="425" t="s">
        <v>197</v>
      </c>
      <c r="G43" s="373">
        <f>LEN(F43)</f>
        <v>105</v>
      </c>
      <c r="H43" s="373" t="s">
        <v>37</v>
      </c>
      <c r="I43" s="373" t="s">
        <v>24</v>
      </c>
      <c r="J43" s="373" t="s">
        <v>24</v>
      </c>
      <c r="K43" s="373" t="s">
        <v>38</v>
      </c>
      <c r="L43" s="375" t="s">
        <v>198</v>
      </c>
      <c r="M43" s="205" t="s">
        <v>24</v>
      </c>
      <c r="N43" s="375" t="s">
        <v>199</v>
      </c>
      <c r="O43" s="353"/>
      <c r="P43" s="354"/>
      <c r="Q43" s="351">
        <v>1</v>
      </c>
      <c r="R43" s="355"/>
      <c r="T43" s="417" t="s">
        <v>33</v>
      </c>
      <c r="U43" s="357"/>
      <c r="X43" s="424">
        <v>10.5</v>
      </c>
      <c r="Y43" s="260">
        <f t="shared" si="8"/>
        <v>10.5</v>
      </c>
      <c r="Z43" s="355">
        <f t="shared" si="9"/>
        <v>10.5</v>
      </c>
    </row>
    <row r="44" spans="1:27" s="130" customFormat="1" ht="136" customHeight="1" x14ac:dyDescent="0.2">
      <c r="A44" s="87">
        <f>A43+1</f>
        <v>3</v>
      </c>
      <c r="B44" s="220" t="s">
        <v>200</v>
      </c>
      <c r="C44" s="129" t="s">
        <v>200</v>
      </c>
      <c r="D44" s="181" t="s">
        <v>201</v>
      </c>
      <c r="E44" s="127">
        <f>LEN(D44)</f>
        <v>116</v>
      </c>
      <c r="F44" s="425" t="s">
        <v>202</v>
      </c>
      <c r="G44" s="373">
        <f>LEN(F44)</f>
        <v>134</v>
      </c>
      <c r="H44" s="129" t="s">
        <v>37</v>
      </c>
      <c r="I44" s="127" t="s">
        <v>24</v>
      </c>
      <c r="J44" s="127" t="s">
        <v>24</v>
      </c>
      <c r="K44" s="127" t="s">
        <v>38</v>
      </c>
      <c r="L44" s="126" t="s">
        <v>203</v>
      </c>
      <c r="M44" s="205" t="s">
        <v>24</v>
      </c>
      <c r="N44" s="126" t="s">
        <v>204</v>
      </c>
      <c r="O44" s="75"/>
      <c r="P44" s="47"/>
      <c r="Q44" s="257">
        <f>1</f>
        <v>1</v>
      </c>
      <c r="R44" s="124"/>
      <c r="T44" s="412" t="s">
        <v>33</v>
      </c>
      <c r="U44" s="131"/>
      <c r="X44" s="260">
        <v>10.504533767700201</v>
      </c>
      <c r="Y44" s="260">
        <f t="shared" si="8"/>
        <v>10.504533767700201</v>
      </c>
      <c r="Z44" s="124">
        <f t="shared" si="9"/>
        <v>10.504533767700201</v>
      </c>
    </row>
    <row r="45" spans="1:27" s="130" customFormat="1" x14ac:dyDescent="0.2">
      <c r="A45" s="87"/>
      <c r="B45" s="248"/>
      <c r="C45" s="88"/>
      <c r="D45" s="93"/>
      <c r="E45" s="94"/>
      <c r="F45" s="94"/>
      <c r="G45" s="94"/>
      <c r="H45" s="88"/>
      <c r="I45" s="94"/>
      <c r="J45" s="94"/>
      <c r="K45" s="94"/>
      <c r="L45" s="75"/>
      <c r="M45" s="75"/>
      <c r="N45" s="75"/>
      <c r="O45" s="75"/>
      <c r="P45" s="47"/>
      <c r="Q45" s="262">
        <f>1</f>
        <v>1</v>
      </c>
      <c r="R45" s="124"/>
      <c r="T45" s="132"/>
      <c r="U45" s="131"/>
      <c r="X45" s="261"/>
      <c r="Y45" s="261" t="str">
        <f t="shared" si="8"/>
        <v/>
      </c>
      <c r="Z45" s="124" t="str">
        <f t="shared" si="9"/>
        <v/>
      </c>
    </row>
    <row r="46" spans="1:27" s="130" customFormat="1" ht="187" customHeight="1" x14ac:dyDescent="0.2">
      <c r="A46" s="41">
        <f>A44+1</f>
        <v>4</v>
      </c>
      <c r="B46" s="169" t="s">
        <v>205</v>
      </c>
      <c r="C46" s="129" t="s">
        <v>205</v>
      </c>
      <c r="D46" s="537" t="s">
        <v>206</v>
      </c>
      <c r="E46" s="135">
        <f>LEN(D46)</f>
        <v>314</v>
      </c>
      <c r="F46" s="425" t="s">
        <v>207</v>
      </c>
      <c r="G46" s="135">
        <f>LEN(F46)</f>
        <v>324</v>
      </c>
      <c r="H46" s="136" t="s">
        <v>37</v>
      </c>
      <c r="I46" s="135" t="s">
        <v>24</v>
      </c>
      <c r="J46" s="135" t="s">
        <v>24</v>
      </c>
      <c r="K46" s="135" t="s">
        <v>38</v>
      </c>
      <c r="L46" s="134" t="s">
        <v>208</v>
      </c>
      <c r="M46" s="205" t="s">
        <v>24</v>
      </c>
      <c r="N46" s="126" t="s">
        <v>209</v>
      </c>
      <c r="O46" s="75"/>
      <c r="P46" s="25"/>
      <c r="Q46" s="257">
        <f>1</f>
        <v>1</v>
      </c>
      <c r="R46" s="124"/>
      <c r="T46" s="412" t="s">
        <v>33</v>
      </c>
      <c r="U46" s="131"/>
      <c r="X46" s="260">
        <v>12.42189884185791</v>
      </c>
      <c r="Y46" s="260">
        <f t="shared" si="8"/>
        <v>12.42189884185791</v>
      </c>
      <c r="Z46" s="124">
        <f t="shared" si="9"/>
        <v>12.42189884185791</v>
      </c>
    </row>
    <row r="47" spans="1:27" s="130" customFormat="1" x14ac:dyDescent="0.2">
      <c r="A47" s="41"/>
      <c r="B47" s="167"/>
      <c r="C47" s="88"/>
      <c r="D47" s="42"/>
      <c r="E47" s="43"/>
      <c r="F47" s="42"/>
      <c r="G47" s="43"/>
      <c r="H47" s="44"/>
      <c r="I47" s="43"/>
      <c r="J47" s="43"/>
      <c r="K47" s="43"/>
      <c r="L47" s="83"/>
      <c r="M47" s="75"/>
      <c r="N47" s="75"/>
      <c r="O47" s="75"/>
      <c r="P47" s="25"/>
      <c r="Q47" s="262">
        <f>1</f>
        <v>1</v>
      </c>
      <c r="R47" s="124"/>
      <c r="T47" s="132"/>
      <c r="U47" s="131"/>
      <c r="X47" s="261"/>
      <c r="Y47" s="261" t="str">
        <f t="shared" si="8"/>
        <v/>
      </c>
      <c r="Z47" s="124" t="str">
        <f t="shared" si="9"/>
        <v/>
      </c>
    </row>
    <row r="48" spans="1:27" s="130" customFormat="1" ht="272" customHeight="1" x14ac:dyDescent="0.2">
      <c r="A48" s="41">
        <v>10</v>
      </c>
      <c r="B48" s="167" t="s">
        <v>210</v>
      </c>
      <c r="C48" s="166" t="s">
        <v>210</v>
      </c>
      <c r="D48" s="42" t="s">
        <v>211</v>
      </c>
      <c r="E48" s="43">
        <f>LEN(D48)</f>
        <v>313</v>
      </c>
      <c r="F48" s="163" t="s">
        <v>212</v>
      </c>
      <c r="G48" s="43">
        <f>LEN(F48)</f>
        <v>372</v>
      </c>
      <c r="H48" s="44" t="s">
        <v>37</v>
      </c>
      <c r="I48" s="43" t="s">
        <v>24</v>
      </c>
      <c r="J48" s="43" t="s">
        <v>24</v>
      </c>
      <c r="K48" s="43" t="s">
        <v>38</v>
      </c>
      <c r="L48" s="232" t="s">
        <v>213</v>
      </c>
      <c r="M48" s="69" t="s">
        <v>24</v>
      </c>
      <c r="N48" s="165" t="s">
        <v>214</v>
      </c>
      <c r="O48" s="56" t="s">
        <v>215</v>
      </c>
      <c r="P48" s="533" t="s">
        <v>216</v>
      </c>
      <c r="Q48" s="262">
        <f>1</f>
        <v>1</v>
      </c>
      <c r="R48" s="124"/>
      <c r="T48" s="132" t="s">
        <v>33</v>
      </c>
      <c r="U48" s="131"/>
      <c r="X48" s="261">
        <v>16.615655899047852</v>
      </c>
      <c r="Y48" s="261">
        <f t="shared" si="8"/>
        <v>16.615655899047852</v>
      </c>
      <c r="Z48" s="124">
        <f t="shared" si="9"/>
        <v>16.615655899047852</v>
      </c>
    </row>
    <row r="49" spans="1:26" s="130" customFormat="1" x14ac:dyDescent="0.2">
      <c r="A49" s="41"/>
      <c r="B49" s="167"/>
      <c r="C49" s="253"/>
      <c r="D49" s="538"/>
      <c r="E49" s="94"/>
      <c r="F49" s="94"/>
      <c r="G49" s="94"/>
      <c r="H49" s="88"/>
      <c r="I49" s="94"/>
      <c r="J49" s="94"/>
      <c r="K49" s="94"/>
      <c r="L49" s="105"/>
      <c r="M49" s="75"/>
      <c r="N49" s="255"/>
      <c r="O49" s="255"/>
      <c r="P49" s="332"/>
      <c r="Q49" s="262">
        <f>1</f>
        <v>1</v>
      </c>
      <c r="R49" s="124"/>
      <c r="T49" s="132"/>
      <c r="U49" s="131"/>
      <c r="X49" s="261"/>
      <c r="Y49" s="261" t="str">
        <f t="shared" si="8"/>
        <v/>
      </c>
      <c r="Z49" s="124" t="str">
        <f t="shared" si="9"/>
        <v/>
      </c>
    </row>
    <row r="50" spans="1:26" s="130" customFormat="1" ht="409.5" customHeight="1" x14ac:dyDescent="0.2">
      <c r="A50" s="14" t="e">
        <f>#REF!+1</f>
        <v>#REF!</v>
      </c>
      <c r="B50" s="221" t="s">
        <v>217</v>
      </c>
      <c r="C50" s="17" t="s">
        <v>217</v>
      </c>
      <c r="D50" s="15" t="s">
        <v>218</v>
      </c>
      <c r="E50" s="16">
        <f>LEN(D50)</f>
        <v>1333</v>
      </c>
      <c r="F50" s="15" t="s">
        <v>219</v>
      </c>
      <c r="G50" s="16">
        <f>LEN(F50)</f>
        <v>1534</v>
      </c>
      <c r="H50" s="17" t="s">
        <v>37</v>
      </c>
      <c r="I50" s="16" t="s">
        <v>24</v>
      </c>
      <c r="J50" s="16" t="s">
        <v>24</v>
      </c>
      <c r="K50" s="16" t="s">
        <v>38</v>
      </c>
      <c r="L50" s="18" t="s">
        <v>220</v>
      </c>
      <c r="M50" s="69" t="s">
        <v>24</v>
      </c>
      <c r="N50" s="35" t="s">
        <v>221</v>
      </c>
      <c r="O50" s="35" t="s">
        <v>221</v>
      </c>
      <c r="P50" s="47"/>
      <c r="Q50" s="262">
        <f>1</f>
        <v>1</v>
      </c>
      <c r="R50" s="124"/>
      <c r="T50" s="132" t="s">
        <v>23</v>
      </c>
      <c r="U50" s="131"/>
      <c r="X50" s="261">
        <v>13.22066497802734</v>
      </c>
      <c r="Y50" s="261">
        <f t="shared" si="8"/>
        <v>13.22066497802734</v>
      </c>
      <c r="Z50" s="124" t="str">
        <f t="shared" si="9"/>
        <v/>
      </c>
    </row>
    <row r="51" spans="1:26" s="130" customFormat="1" ht="119" customHeight="1" x14ac:dyDescent="0.2">
      <c r="A51" s="14" t="e">
        <f>A50+1</f>
        <v>#REF!</v>
      </c>
      <c r="B51" s="221" t="s">
        <v>222</v>
      </c>
      <c r="C51" s="21" t="s">
        <v>222</v>
      </c>
      <c r="D51" s="19" t="s">
        <v>223</v>
      </c>
      <c r="E51" s="20">
        <f>LEN(D51)</f>
        <v>269</v>
      </c>
      <c r="F51" s="19" t="s">
        <v>224</v>
      </c>
      <c r="G51" s="20">
        <f>LEN(F51)</f>
        <v>310</v>
      </c>
      <c r="H51" s="21" t="s">
        <v>127</v>
      </c>
      <c r="I51" s="20" t="s">
        <v>24</v>
      </c>
      <c r="J51" s="20" t="s">
        <v>24</v>
      </c>
      <c r="K51" s="20" t="s">
        <v>27</v>
      </c>
      <c r="L51" s="22" t="s">
        <v>225</v>
      </c>
      <c r="M51" s="69" t="s">
        <v>24</v>
      </c>
      <c r="N51" s="35" t="s">
        <v>221</v>
      </c>
      <c r="O51" s="35" t="s">
        <v>221</v>
      </c>
      <c r="P51" s="10"/>
      <c r="Q51" s="262">
        <f>1</f>
        <v>1</v>
      </c>
      <c r="R51" s="124"/>
      <c r="T51" s="132" t="s">
        <v>23</v>
      </c>
      <c r="U51" s="131"/>
      <c r="X51" s="261">
        <v>16.90229415893555</v>
      </c>
      <c r="Y51" s="261">
        <f t="shared" si="8"/>
        <v>16.90229415893555</v>
      </c>
      <c r="Z51" s="124" t="str">
        <f t="shared" si="9"/>
        <v/>
      </c>
    </row>
    <row r="52" spans="1:26" s="130" customFormat="1" ht="187" customHeight="1" x14ac:dyDescent="0.2">
      <c r="A52" s="14" t="e">
        <f>#REF!+1</f>
        <v>#REF!</v>
      </c>
      <c r="B52" s="226" t="s">
        <v>226</v>
      </c>
      <c r="C52" s="225" t="s">
        <v>226</v>
      </c>
      <c r="D52" s="15" t="s">
        <v>227</v>
      </c>
      <c r="E52" s="23">
        <f>LEN(D52)</f>
        <v>180</v>
      </c>
      <c r="F52" s="19" t="s">
        <v>228</v>
      </c>
      <c r="G52" s="23">
        <f>LEN(F52)</f>
        <v>199</v>
      </c>
      <c r="H52" s="21" t="s">
        <v>37</v>
      </c>
      <c r="I52" s="24" t="s">
        <v>24</v>
      </c>
      <c r="J52" s="24" t="s">
        <v>24</v>
      </c>
      <c r="K52" s="20" t="s">
        <v>38</v>
      </c>
      <c r="L52" s="22" t="s">
        <v>229</v>
      </c>
      <c r="M52" s="69" t="s">
        <v>24</v>
      </c>
      <c r="N52" s="35" t="s">
        <v>221</v>
      </c>
      <c r="O52" s="35" t="s">
        <v>221</v>
      </c>
      <c r="P52" s="25"/>
      <c r="Q52" s="262">
        <f>1</f>
        <v>1</v>
      </c>
      <c r="R52" s="124"/>
      <c r="T52" s="132" t="s">
        <v>23</v>
      </c>
      <c r="U52" s="131"/>
      <c r="X52" s="261">
        <v>9.9618663787841797</v>
      </c>
      <c r="Y52" s="261">
        <f t="shared" si="8"/>
        <v>9.9618663787841797</v>
      </c>
      <c r="Z52" s="124" t="str">
        <f t="shared" si="9"/>
        <v/>
      </c>
    </row>
    <row r="53" spans="1:26" s="130" customFormat="1" ht="171" customHeight="1" thickBot="1" x14ac:dyDescent="0.25">
      <c r="A53" s="14" t="e">
        <f>A52+1</f>
        <v>#REF!</v>
      </c>
      <c r="B53" s="223" t="s">
        <v>230</v>
      </c>
      <c r="C53" s="224" t="s">
        <v>230</v>
      </c>
      <c r="D53" s="26" t="s">
        <v>231</v>
      </c>
      <c r="E53" s="23">
        <f>LEN(D53)</f>
        <v>133</v>
      </c>
      <c r="F53" s="429" t="s">
        <v>232</v>
      </c>
      <c r="G53" s="23">
        <f>LEN(F53)</f>
        <v>173</v>
      </c>
      <c r="H53" s="21" t="s">
        <v>37</v>
      </c>
      <c r="I53" s="23" t="s">
        <v>24</v>
      </c>
      <c r="J53" s="23" t="s">
        <v>24</v>
      </c>
      <c r="K53" s="20" t="s">
        <v>38</v>
      </c>
      <c r="L53" s="22" t="s">
        <v>233</v>
      </c>
      <c r="M53" s="69" t="s">
        <v>24</v>
      </c>
      <c r="N53" s="35" t="s">
        <v>221</v>
      </c>
      <c r="O53" s="35" t="s">
        <v>221</v>
      </c>
      <c r="P53" s="10"/>
      <c r="Q53" s="262">
        <f>1</f>
        <v>1</v>
      </c>
      <c r="R53" s="124"/>
      <c r="T53" s="132" t="s">
        <v>23</v>
      </c>
      <c r="U53" s="131"/>
      <c r="X53" s="261">
        <v>7.02484130859375</v>
      </c>
      <c r="Y53" s="261">
        <f t="shared" si="8"/>
        <v>7.02484130859375</v>
      </c>
      <c r="Z53" s="124" t="str">
        <f t="shared" si="9"/>
        <v/>
      </c>
    </row>
    <row r="54" spans="1:26" s="403" customFormat="1" ht="17" customHeight="1" thickBot="1" x14ac:dyDescent="0.25">
      <c r="A54" s="586" t="s">
        <v>234</v>
      </c>
      <c r="B54" s="587"/>
      <c r="C54" s="587"/>
      <c r="D54" s="587"/>
      <c r="E54" s="587"/>
      <c r="F54" s="587"/>
      <c r="G54" s="587"/>
      <c r="H54" s="587"/>
      <c r="I54" s="587"/>
      <c r="J54" s="587"/>
      <c r="K54" s="587"/>
      <c r="L54" s="587"/>
      <c r="M54" s="587"/>
      <c r="N54" s="587"/>
      <c r="O54" s="587"/>
      <c r="P54" s="588"/>
      <c r="Q54" s="257"/>
      <c r="R54" s="414"/>
      <c r="T54" s="412"/>
      <c r="U54" s="415"/>
      <c r="X54" s="260"/>
      <c r="Y54" s="260" t="str">
        <f t="shared" si="8"/>
        <v/>
      </c>
      <c r="Z54" s="414" t="str">
        <f t="shared" si="9"/>
        <v/>
      </c>
    </row>
    <row r="55" spans="1:26" s="130" customFormat="1" x14ac:dyDescent="0.2">
      <c r="A55" s="179"/>
      <c r="B55" s="179"/>
      <c r="C55" s="179"/>
      <c r="D55" s="94"/>
      <c r="E55" s="179"/>
      <c r="F55" s="179"/>
      <c r="G55" s="179"/>
      <c r="H55" s="179"/>
      <c r="I55" s="179"/>
      <c r="J55" s="179"/>
      <c r="K55" s="179"/>
      <c r="L55" s="179"/>
      <c r="M55" s="75"/>
      <c r="N55" s="179"/>
      <c r="O55" s="179"/>
      <c r="P55" s="47"/>
      <c r="Q55" s="262">
        <f>1</f>
        <v>1</v>
      </c>
      <c r="R55" s="124"/>
      <c r="T55" s="132"/>
      <c r="U55" s="131"/>
      <c r="X55" s="261"/>
      <c r="Y55" s="261" t="str">
        <f t="shared" si="8"/>
        <v/>
      </c>
      <c r="Z55" s="124" t="str">
        <f t="shared" si="9"/>
        <v/>
      </c>
    </row>
    <row r="56" spans="1:26" s="130" customFormat="1" ht="409.5" customHeight="1" x14ac:dyDescent="0.2">
      <c r="A56" s="87" t="e">
        <f>A53+1</f>
        <v>#REF!</v>
      </c>
      <c r="B56" s="220" t="s">
        <v>235</v>
      </c>
      <c r="C56" s="129" t="s">
        <v>235</v>
      </c>
      <c r="D56" s="128" t="s">
        <v>236</v>
      </c>
      <c r="E56" s="127">
        <f>LEN(D56)</f>
        <v>1204</v>
      </c>
      <c r="F56" s="430" t="s">
        <v>237</v>
      </c>
      <c r="G56" s="127">
        <f>LEN(F56)</f>
        <v>1349</v>
      </c>
      <c r="H56" s="129" t="s">
        <v>37</v>
      </c>
      <c r="I56" s="127" t="s">
        <v>24</v>
      </c>
      <c r="J56" s="127" t="s">
        <v>24</v>
      </c>
      <c r="K56" s="127" t="s">
        <v>238</v>
      </c>
      <c r="L56" s="126" t="s">
        <v>239</v>
      </c>
      <c r="M56" s="205" t="s">
        <v>24</v>
      </c>
      <c r="N56" s="133" t="s">
        <v>240</v>
      </c>
      <c r="O56" s="48" t="s">
        <v>241</v>
      </c>
      <c r="P56" s="47"/>
      <c r="Q56" s="257">
        <f>1</f>
        <v>1</v>
      </c>
      <c r="R56" s="124"/>
      <c r="T56" s="412" t="s">
        <v>33</v>
      </c>
      <c r="U56" s="131"/>
      <c r="X56" s="260">
        <v>31.888334274291989</v>
      </c>
      <c r="Y56" s="260">
        <f t="shared" si="8"/>
        <v>31.888334274291989</v>
      </c>
      <c r="Z56" s="124">
        <f t="shared" si="9"/>
        <v>31.888334274291989</v>
      </c>
    </row>
    <row r="57" spans="1:26" s="130" customFormat="1" ht="153" customHeight="1" x14ac:dyDescent="0.2">
      <c r="A57" s="87"/>
      <c r="B57" s="220" t="s">
        <v>242</v>
      </c>
      <c r="C57" s="231" t="s">
        <v>242</v>
      </c>
      <c r="D57" s="134" t="s">
        <v>243</v>
      </c>
      <c r="E57" s="127">
        <f>LEN(D57)</f>
        <v>143</v>
      </c>
      <c r="F57" s="394" t="s">
        <v>244</v>
      </c>
      <c r="G57" s="127">
        <f>LEN(F57)</f>
        <v>175</v>
      </c>
      <c r="H57" s="129" t="s">
        <v>37</v>
      </c>
      <c r="I57" s="127" t="s">
        <v>24</v>
      </c>
      <c r="J57" s="127" t="s">
        <v>24</v>
      </c>
      <c r="K57" s="127" t="s">
        <v>38</v>
      </c>
      <c r="L57" s="126" t="s">
        <v>245</v>
      </c>
      <c r="M57" s="205" t="s">
        <v>24</v>
      </c>
      <c r="N57" s="133" t="s">
        <v>246</v>
      </c>
      <c r="O57" s="561" t="s">
        <v>247</v>
      </c>
      <c r="P57" s="47"/>
      <c r="Q57" s="257">
        <f>1</f>
        <v>1</v>
      </c>
      <c r="R57" s="124"/>
      <c r="T57" s="412" t="s">
        <v>33</v>
      </c>
      <c r="U57" s="131"/>
      <c r="X57" s="260">
        <v>8</v>
      </c>
      <c r="Y57" s="260">
        <f t="shared" si="8"/>
        <v>8</v>
      </c>
      <c r="Z57" s="124">
        <f t="shared" si="9"/>
        <v>8</v>
      </c>
    </row>
    <row r="58" spans="1:26" s="130" customFormat="1" ht="187" customHeight="1" x14ac:dyDescent="0.2">
      <c r="A58" s="87"/>
      <c r="B58" s="220" t="s">
        <v>248</v>
      </c>
      <c r="C58" s="231" t="s">
        <v>248</v>
      </c>
      <c r="D58" s="134" t="s">
        <v>249</v>
      </c>
      <c r="E58" s="127">
        <f>LEN(D58)</f>
        <v>170</v>
      </c>
      <c r="F58" s="394" t="s">
        <v>250</v>
      </c>
      <c r="G58" s="127">
        <f>LEN(F58)</f>
        <v>194</v>
      </c>
      <c r="H58" s="129" t="s">
        <v>37</v>
      </c>
      <c r="I58" s="127" t="s">
        <v>24</v>
      </c>
      <c r="J58" s="127" t="s">
        <v>24</v>
      </c>
      <c r="K58" s="127" t="s">
        <v>38</v>
      </c>
      <c r="L58" s="126" t="s">
        <v>245</v>
      </c>
      <c r="M58" s="205" t="s">
        <v>24</v>
      </c>
      <c r="N58" s="133" t="s">
        <v>251</v>
      </c>
      <c r="O58" s="561" t="s">
        <v>247</v>
      </c>
      <c r="P58" s="47"/>
      <c r="Q58" s="257">
        <f>1</f>
        <v>1</v>
      </c>
      <c r="R58" s="124"/>
      <c r="T58" s="412" t="s">
        <v>33</v>
      </c>
      <c r="U58" s="131"/>
      <c r="X58" s="260">
        <v>8</v>
      </c>
      <c r="Y58" s="260">
        <f t="shared" si="8"/>
        <v>8</v>
      </c>
      <c r="Z58" s="124">
        <f t="shared" si="9"/>
        <v>8</v>
      </c>
    </row>
    <row r="59" spans="1:26" s="130" customFormat="1" ht="153" customHeight="1" x14ac:dyDescent="0.2">
      <c r="A59" s="87"/>
      <c r="B59" s="220" t="s">
        <v>252</v>
      </c>
      <c r="C59" s="231" t="s">
        <v>252</v>
      </c>
      <c r="D59" s="134" t="s">
        <v>253</v>
      </c>
      <c r="E59" s="127">
        <f>LEN(D59)</f>
        <v>176</v>
      </c>
      <c r="F59" s="394" t="s">
        <v>254</v>
      </c>
      <c r="G59" s="127">
        <f>LEN(F59)</f>
        <v>194</v>
      </c>
      <c r="H59" s="129" t="s">
        <v>37</v>
      </c>
      <c r="I59" s="127" t="s">
        <v>24</v>
      </c>
      <c r="J59" s="127" t="s">
        <v>24</v>
      </c>
      <c r="K59" s="127" t="s">
        <v>38</v>
      </c>
      <c r="L59" s="126" t="s">
        <v>245</v>
      </c>
      <c r="M59" s="205" t="s">
        <v>24</v>
      </c>
      <c r="N59" s="133" t="s">
        <v>255</v>
      </c>
      <c r="O59" s="561" t="s">
        <v>247</v>
      </c>
      <c r="P59" s="47"/>
      <c r="Q59" s="257">
        <f>1</f>
        <v>1</v>
      </c>
      <c r="R59" s="124"/>
      <c r="T59" s="412" t="s">
        <v>33</v>
      </c>
      <c r="U59" s="131"/>
      <c r="X59" s="260">
        <v>8</v>
      </c>
      <c r="Y59" s="260">
        <f t="shared" si="8"/>
        <v>8</v>
      </c>
      <c r="Z59" s="124">
        <f t="shared" si="9"/>
        <v>8</v>
      </c>
    </row>
    <row r="60" spans="1:26" s="130" customFormat="1" x14ac:dyDescent="0.2">
      <c r="A60" s="87"/>
      <c r="B60" s="248"/>
      <c r="C60" s="253"/>
      <c r="D60" s="254"/>
      <c r="E60" s="94"/>
      <c r="G60" s="94"/>
      <c r="H60" s="88"/>
      <c r="I60" s="94"/>
      <c r="J60" s="94"/>
      <c r="K60" s="94"/>
      <c r="L60" s="75"/>
      <c r="M60" s="51"/>
      <c r="N60" s="158"/>
      <c r="O60" s="158"/>
      <c r="P60" s="47"/>
      <c r="Q60" s="262">
        <f>1</f>
        <v>1</v>
      </c>
      <c r="R60" s="124"/>
      <c r="T60" s="132"/>
      <c r="U60" s="131"/>
      <c r="X60" s="261"/>
      <c r="Y60" s="261" t="str">
        <f t="shared" si="8"/>
        <v/>
      </c>
      <c r="Z60" s="124" t="str">
        <f t="shared" si="9"/>
        <v/>
      </c>
    </row>
    <row r="61" spans="1:26" s="130" customFormat="1" ht="153" customHeight="1" x14ac:dyDescent="0.2">
      <c r="A61" s="14">
        <v>19</v>
      </c>
      <c r="B61" s="221" t="s">
        <v>256</v>
      </c>
      <c r="C61" s="17" t="s">
        <v>256</v>
      </c>
      <c r="D61" s="22" t="s">
        <v>257</v>
      </c>
      <c r="E61" s="20">
        <f>LEN(D61)</f>
        <v>233</v>
      </c>
      <c r="F61" s="432" t="s">
        <v>258</v>
      </c>
      <c r="G61" s="20">
        <f>LEN(F61)</f>
        <v>271</v>
      </c>
      <c r="H61" s="20" t="s">
        <v>127</v>
      </c>
      <c r="I61" s="20" t="s">
        <v>24</v>
      </c>
      <c r="J61" s="20" t="s">
        <v>24</v>
      </c>
      <c r="K61" s="20" t="s">
        <v>27</v>
      </c>
      <c r="L61" s="30" t="s">
        <v>259</v>
      </c>
      <c r="M61" s="69" t="s">
        <v>24</v>
      </c>
      <c r="N61" s="358" t="s">
        <v>260</v>
      </c>
      <c r="O61" s="358" t="s">
        <v>261</v>
      </c>
      <c r="P61" s="589" t="s">
        <v>262</v>
      </c>
      <c r="Q61" s="262">
        <f>1</f>
        <v>1</v>
      </c>
      <c r="R61" s="124"/>
      <c r="T61" s="132" t="s">
        <v>23</v>
      </c>
      <c r="U61" s="131"/>
      <c r="X61" s="261">
        <v>31.963766098022461</v>
      </c>
      <c r="Y61" s="261">
        <f t="shared" si="8"/>
        <v>31.963766098022461</v>
      </c>
      <c r="Z61" s="124" t="str">
        <f t="shared" si="9"/>
        <v/>
      </c>
    </row>
    <row r="62" spans="1:26" s="130" customFormat="1" ht="119" customHeight="1" x14ac:dyDescent="0.2">
      <c r="A62" s="14">
        <v>19</v>
      </c>
      <c r="B62" s="221" t="s">
        <v>263</v>
      </c>
      <c r="C62" s="230" t="s">
        <v>263</v>
      </c>
      <c r="D62" s="22" t="s">
        <v>264</v>
      </c>
      <c r="E62" s="20">
        <f>LEN(D62)</f>
        <v>248</v>
      </c>
      <c r="F62" s="433" t="s">
        <v>265</v>
      </c>
      <c r="G62" s="20">
        <f>LEN(F62)</f>
        <v>296</v>
      </c>
      <c r="H62" s="32" t="s">
        <v>37</v>
      </c>
      <c r="I62" s="16" t="s">
        <v>24</v>
      </c>
      <c r="J62" s="16" t="s">
        <v>24</v>
      </c>
      <c r="K62" s="16" t="s">
        <v>38</v>
      </c>
      <c r="L62" s="33" t="s">
        <v>266</v>
      </c>
      <c r="M62" s="69" t="s">
        <v>24</v>
      </c>
      <c r="N62" s="349" t="s">
        <v>267</v>
      </c>
      <c r="O62" s="349" t="s">
        <v>268</v>
      </c>
      <c r="P62" s="590"/>
      <c r="Q62" s="262">
        <f>1</f>
        <v>1</v>
      </c>
      <c r="R62" s="124"/>
      <c r="T62" s="132" t="s">
        <v>23</v>
      </c>
      <c r="U62" s="131"/>
      <c r="X62" s="261">
        <v>2.2273674011230469</v>
      </c>
      <c r="Y62" s="261">
        <f t="shared" si="8"/>
        <v>2.2273674011230469</v>
      </c>
      <c r="Z62" s="124" t="str">
        <f t="shared" si="9"/>
        <v/>
      </c>
    </row>
    <row r="63" spans="1:26" s="130" customFormat="1" x14ac:dyDescent="0.2">
      <c r="A63" s="41"/>
      <c r="B63" s="167"/>
      <c r="C63" s="253"/>
      <c r="D63" s="68"/>
      <c r="E63" s="43"/>
      <c r="F63" s="431"/>
      <c r="G63" s="43"/>
      <c r="H63" s="97"/>
      <c r="I63" s="94"/>
      <c r="J63" s="94"/>
      <c r="K63" s="94"/>
      <c r="L63" s="75"/>
      <c r="M63" s="51"/>
      <c r="N63" s="158"/>
      <c r="O63" s="158"/>
      <c r="P63" s="344"/>
      <c r="Q63" s="262">
        <f>1</f>
        <v>1</v>
      </c>
      <c r="R63" s="124"/>
      <c r="T63" s="132"/>
      <c r="U63" s="131"/>
      <c r="X63" s="261"/>
      <c r="Y63" s="261" t="str">
        <f t="shared" si="8"/>
        <v/>
      </c>
      <c r="Z63" s="124" t="str">
        <f t="shared" si="9"/>
        <v/>
      </c>
    </row>
    <row r="64" spans="1:26" s="130" customFormat="1" ht="204" customHeight="1" x14ac:dyDescent="0.2">
      <c r="A64" s="41">
        <f>A62+1</f>
        <v>20</v>
      </c>
      <c r="B64" s="169" t="s">
        <v>269</v>
      </c>
      <c r="C64" s="129" t="s">
        <v>269</v>
      </c>
      <c r="D64" s="149" t="s">
        <v>270</v>
      </c>
      <c r="E64" s="135">
        <f>LEN(D64)</f>
        <v>294</v>
      </c>
      <c r="F64" s="149" t="s">
        <v>271</v>
      </c>
      <c r="G64" s="135">
        <f>LEN(F64)</f>
        <v>360</v>
      </c>
      <c r="H64" s="144" t="s">
        <v>37</v>
      </c>
      <c r="I64" s="135" t="s">
        <v>24</v>
      </c>
      <c r="J64" s="135" t="s">
        <v>24</v>
      </c>
      <c r="K64" s="135" t="s">
        <v>38</v>
      </c>
      <c r="L64" s="159" t="s">
        <v>272</v>
      </c>
      <c r="M64" s="205" t="s">
        <v>24</v>
      </c>
      <c r="N64" s="159" t="s">
        <v>273</v>
      </c>
      <c r="O64" s="51"/>
      <c r="P64" s="10"/>
      <c r="Q64" s="257">
        <f>1</f>
        <v>1</v>
      </c>
      <c r="R64" s="124"/>
      <c r="T64" s="412" t="s">
        <v>33</v>
      </c>
      <c r="U64" s="131"/>
      <c r="X64" s="260">
        <v>22.126214981079102</v>
      </c>
      <c r="Y64" s="260">
        <f t="shared" si="8"/>
        <v>22.126214981079102</v>
      </c>
      <c r="Z64" s="124">
        <f t="shared" si="9"/>
        <v>22.126214981079102</v>
      </c>
    </row>
    <row r="65" spans="1:26" s="130" customFormat="1" x14ac:dyDescent="0.2">
      <c r="A65" s="41"/>
      <c r="B65" s="167"/>
      <c r="C65" s="88"/>
      <c r="D65" s="165"/>
      <c r="E65" s="43"/>
      <c r="F65" s="43"/>
      <c r="G65" s="43"/>
      <c r="H65" s="89"/>
      <c r="I65" s="43"/>
      <c r="J65" s="43"/>
      <c r="K65" s="43"/>
      <c r="L65" s="79"/>
      <c r="M65" s="51"/>
      <c r="N65" s="79"/>
      <c r="O65" s="79"/>
      <c r="P65" s="10"/>
      <c r="Q65" s="262">
        <f>1</f>
        <v>1</v>
      </c>
      <c r="R65" s="124"/>
      <c r="T65" s="132"/>
      <c r="U65" s="131"/>
      <c r="X65" s="261"/>
      <c r="Y65" s="261" t="str">
        <f t="shared" si="8"/>
        <v/>
      </c>
      <c r="Z65" s="124" t="str">
        <f t="shared" si="9"/>
        <v/>
      </c>
    </row>
    <row r="66" spans="1:26" s="130" customFormat="1" ht="408" customHeight="1" x14ac:dyDescent="0.2">
      <c r="A66" s="41">
        <f>A64+1</f>
        <v>21</v>
      </c>
      <c r="B66" s="169" t="s">
        <v>274</v>
      </c>
      <c r="C66" s="129" t="s">
        <v>274</v>
      </c>
      <c r="D66" s="149" t="s">
        <v>275</v>
      </c>
      <c r="E66" s="135">
        <f>LEN(D66)</f>
        <v>1218</v>
      </c>
      <c r="F66" s="425" t="s">
        <v>276</v>
      </c>
      <c r="G66" s="135">
        <f>LEN(F66)</f>
        <v>1329</v>
      </c>
      <c r="H66" s="144" t="s">
        <v>37</v>
      </c>
      <c r="I66" s="135" t="s">
        <v>24</v>
      </c>
      <c r="J66" s="135" t="s">
        <v>24</v>
      </c>
      <c r="K66" s="135" t="s">
        <v>277</v>
      </c>
      <c r="L66" s="126" t="s">
        <v>278</v>
      </c>
      <c r="M66" s="205" t="s">
        <v>24</v>
      </c>
      <c r="N66" s="133" t="s">
        <v>279</v>
      </c>
      <c r="O66" s="48" t="s">
        <v>280</v>
      </c>
      <c r="P66" s="10"/>
      <c r="Q66" s="257">
        <f>1</f>
        <v>1</v>
      </c>
      <c r="R66" s="124"/>
      <c r="T66" s="412" t="s">
        <v>33</v>
      </c>
      <c r="U66" s="131"/>
      <c r="X66" s="260">
        <v>18.710653305053711</v>
      </c>
      <c r="Y66" s="260">
        <f t="shared" si="8"/>
        <v>18.710653305053711</v>
      </c>
      <c r="Z66" s="124">
        <f t="shared" si="9"/>
        <v>18.710653305053711</v>
      </c>
    </row>
    <row r="67" spans="1:26" s="218" customFormat="1" ht="182" customHeight="1" x14ac:dyDescent="0.2">
      <c r="A67" s="41"/>
      <c r="B67" s="220" t="s">
        <v>281</v>
      </c>
      <c r="C67" s="231" t="s">
        <v>281</v>
      </c>
      <c r="D67" s="134" t="s">
        <v>243</v>
      </c>
      <c r="E67" s="127">
        <f>LEN(D67)</f>
        <v>143</v>
      </c>
      <c r="F67" s="394" t="s">
        <v>244</v>
      </c>
      <c r="G67" s="135">
        <f>LEN(F67)</f>
        <v>175</v>
      </c>
      <c r="H67" s="129" t="s">
        <v>37</v>
      </c>
      <c r="I67" s="127" t="s">
        <v>24</v>
      </c>
      <c r="J67" s="127" t="s">
        <v>24</v>
      </c>
      <c r="K67" s="127" t="s">
        <v>38</v>
      </c>
      <c r="L67" s="126" t="s">
        <v>282</v>
      </c>
      <c r="M67" s="205" t="s">
        <v>24</v>
      </c>
      <c r="N67" s="133" t="s">
        <v>283</v>
      </c>
      <c r="O67" s="29" t="s">
        <v>284</v>
      </c>
      <c r="P67" s="47"/>
      <c r="Q67" s="370">
        <f>1</f>
        <v>1</v>
      </c>
      <c r="R67" s="125"/>
      <c r="T67" s="416" t="s">
        <v>33</v>
      </c>
      <c r="U67" s="212"/>
      <c r="X67" s="264">
        <v>8</v>
      </c>
      <c r="Y67" s="264">
        <f t="shared" si="8"/>
        <v>8</v>
      </c>
      <c r="Z67" s="125">
        <f t="shared" si="9"/>
        <v>8</v>
      </c>
    </row>
    <row r="68" spans="1:26" s="218" customFormat="1" ht="182" customHeight="1" x14ac:dyDescent="0.2">
      <c r="A68" s="41"/>
      <c r="B68" s="220" t="s">
        <v>285</v>
      </c>
      <c r="C68" s="231" t="s">
        <v>285</v>
      </c>
      <c r="D68" s="134" t="s">
        <v>249</v>
      </c>
      <c r="E68" s="127">
        <f>LEN(D68)</f>
        <v>170</v>
      </c>
      <c r="F68" s="394" t="s">
        <v>250</v>
      </c>
      <c r="G68" s="135">
        <f>LEN(F68)</f>
        <v>194</v>
      </c>
      <c r="H68" s="129" t="s">
        <v>37</v>
      </c>
      <c r="I68" s="127" t="s">
        <v>24</v>
      </c>
      <c r="J68" s="127" t="s">
        <v>24</v>
      </c>
      <c r="K68" s="127" t="s">
        <v>38</v>
      </c>
      <c r="L68" s="126" t="s">
        <v>282</v>
      </c>
      <c r="M68" s="205" t="s">
        <v>24</v>
      </c>
      <c r="N68" s="133" t="s">
        <v>286</v>
      </c>
      <c r="O68" s="29" t="s">
        <v>284</v>
      </c>
      <c r="P68" s="47"/>
      <c r="Q68" s="370">
        <f>1</f>
        <v>1</v>
      </c>
      <c r="R68" s="125"/>
      <c r="T68" s="416" t="s">
        <v>33</v>
      </c>
      <c r="U68" s="212"/>
      <c r="X68" s="264">
        <v>8</v>
      </c>
      <c r="Y68" s="264">
        <f t="shared" si="8"/>
        <v>8</v>
      </c>
      <c r="Z68" s="125">
        <f t="shared" si="9"/>
        <v>8</v>
      </c>
    </row>
    <row r="69" spans="1:26" s="130" customFormat="1" ht="182" customHeight="1" x14ac:dyDescent="0.2">
      <c r="A69" s="41"/>
      <c r="B69" s="220" t="s">
        <v>287</v>
      </c>
      <c r="C69" s="231" t="s">
        <v>287</v>
      </c>
      <c r="D69" s="134" t="s">
        <v>253</v>
      </c>
      <c r="E69" s="127">
        <f>LEN(D69)</f>
        <v>176</v>
      </c>
      <c r="F69" s="394" t="s">
        <v>254</v>
      </c>
      <c r="G69" s="135">
        <f>LEN(F69)</f>
        <v>194</v>
      </c>
      <c r="H69" s="129" t="s">
        <v>37</v>
      </c>
      <c r="I69" s="127" t="s">
        <v>24</v>
      </c>
      <c r="J69" s="127" t="s">
        <v>24</v>
      </c>
      <c r="K69" s="127" t="s">
        <v>38</v>
      </c>
      <c r="L69" s="126" t="s">
        <v>282</v>
      </c>
      <c r="M69" s="205" t="s">
        <v>24</v>
      </c>
      <c r="N69" s="133" t="s">
        <v>288</v>
      </c>
      <c r="O69" s="29" t="s">
        <v>284</v>
      </c>
      <c r="P69" s="47"/>
      <c r="Q69" s="257">
        <f>1</f>
        <v>1</v>
      </c>
      <c r="R69" s="124"/>
      <c r="T69" s="412" t="s">
        <v>33</v>
      </c>
      <c r="U69" s="131"/>
      <c r="X69" s="260">
        <v>8</v>
      </c>
      <c r="Y69" s="260">
        <f t="shared" si="8"/>
        <v>8</v>
      </c>
      <c r="Z69" s="124">
        <f t="shared" si="9"/>
        <v>8</v>
      </c>
    </row>
    <row r="70" spans="1:26" s="130" customFormat="1" x14ac:dyDescent="0.2">
      <c r="A70" s="87"/>
      <c r="B70" s="248"/>
      <c r="C70" s="253"/>
      <c r="D70" s="254"/>
      <c r="E70" s="94"/>
      <c r="G70" s="94"/>
      <c r="H70" s="88"/>
      <c r="I70" s="94"/>
      <c r="J70" s="94"/>
      <c r="K70" s="94"/>
      <c r="L70" s="75"/>
      <c r="M70" s="51"/>
      <c r="N70" s="158"/>
      <c r="O70" s="158"/>
      <c r="P70" s="47"/>
      <c r="Q70" s="262">
        <f>1</f>
        <v>1</v>
      </c>
      <c r="R70" s="124"/>
      <c r="T70" s="132"/>
      <c r="U70" s="131"/>
      <c r="X70" s="261"/>
      <c r="Y70" s="261" t="str">
        <f t="shared" si="8"/>
        <v/>
      </c>
      <c r="Z70" s="124" t="str">
        <f t="shared" si="9"/>
        <v/>
      </c>
    </row>
    <row r="71" spans="1:26" s="130" customFormat="1" ht="153" customHeight="1" x14ac:dyDescent="0.2">
      <c r="A71" s="14">
        <v>19</v>
      </c>
      <c r="B71" s="221" t="s">
        <v>289</v>
      </c>
      <c r="C71" s="17" t="s">
        <v>289</v>
      </c>
      <c r="D71" s="22" t="s">
        <v>290</v>
      </c>
      <c r="E71" s="20">
        <f>LEN(D71)</f>
        <v>239</v>
      </c>
      <c r="F71" s="432" t="s">
        <v>291</v>
      </c>
      <c r="G71" s="20">
        <f>LEN(F71)</f>
        <v>278</v>
      </c>
      <c r="H71" s="20" t="s">
        <v>127</v>
      </c>
      <c r="I71" s="20" t="s">
        <v>24</v>
      </c>
      <c r="J71" s="20" t="s">
        <v>24</v>
      </c>
      <c r="K71" s="20" t="s">
        <v>27</v>
      </c>
      <c r="L71" s="30" t="s">
        <v>292</v>
      </c>
      <c r="M71" s="69" t="s">
        <v>24</v>
      </c>
      <c r="N71" s="31" t="s">
        <v>293</v>
      </c>
      <c r="O71" s="31" t="s">
        <v>293</v>
      </c>
      <c r="P71" s="589" t="s">
        <v>262</v>
      </c>
      <c r="Q71" s="262">
        <f>1</f>
        <v>1</v>
      </c>
      <c r="R71" s="124"/>
      <c r="T71" s="132" t="s">
        <v>23</v>
      </c>
      <c r="U71" s="131"/>
      <c r="X71" s="261">
        <v>23.200380325317379</v>
      </c>
      <c r="Y71" s="261">
        <f t="shared" ref="Y71:Y102" si="10">IF(X71="","",X71*Q71)</f>
        <v>23.200380325317379</v>
      </c>
      <c r="Z71" s="124" t="str">
        <f t="shared" ref="Z71:Z102" si="11">IF(T71="yes",Y71,"")</f>
        <v/>
      </c>
    </row>
    <row r="72" spans="1:26" s="130" customFormat="1" ht="119" customHeight="1" x14ac:dyDescent="0.2">
      <c r="A72" s="14" t="e">
        <f>#REF!+1</f>
        <v>#REF!</v>
      </c>
      <c r="B72" s="221" t="s">
        <v>294</v>
      </c>
      <c r="C72" s="230" t="s">
        <v>294</v>
      </c>
      <c r="D72" s="22" t="s">
        <v>264</v>
      </c>
      <c r="E72" s="20">
        <f>LEN(D72)</f>
        <v>248</v>
      </c>
      <c r="F72" s="433" t="s">
        <v>265</v>
      </c>
      <c r="G72" s="20">
        <f>LEN(F72)</f>
        <v>296</v>
      </c>
      <c r="H72" s="32" t="s">
        <v>37</v>
      </c>
      <c r="I72" s="16" t="s">
        <v>24</v>
      </c>
      <c r="J72" s="16" t="s">
        <v>24</v>
      </c>
      <c r="K72" s="16" t="s">
        <v>38</v>
      </c>
      <c r="L72" s="33" t="s">
        <v>295</v>
      </c>
      <c r="M72" s="69" t="s">
        <v>24</v>
      </c>
      <c r="N72" s="33" t="s">
        <v>296</v>
      </c>
      <c r="O72" s="33" t="s">
        <v>296</v>
      </c>
      <c r="P72" s="590"/>
      <c r="Q72" s="262">
        <f>1</f>
        <v>1</v>
      </c>
      <c r="R72" s="124"/>
      <c r="T72" s="132" t="s">
        <v>23</v>
      </c>
      <c r="U72" s="131"/>
      <c r="X72" s="261">
        <v>1.9277389049530029</v>
      </c>
      <c r="Y72" s="261">
        <f t="shared" si="10"/>
        <v>1.9277389049530029</v>
      </c>
      <c r="Z72" s="124" t="str">
        <f t="shared" si="11"/>
        <v/>
      </c>
    </row>
    <row r="73" spans="1:26" s="130" customFormat="1" x14ac:dyDescent="0.2">
      <c r="A73" s="41"/>
      <c r="B73" s="167"/>
      <c r="C73" s="253"/>
      <c r="D73" s="68"/>
      <c r="E73" s="43"/>
      <c r="F73" s="94"/>
      <c r="G73" s="43"/>
      <c r="H73" s="97"/>
      <c r="I73" s="94"/>
      <c r="J73" s="94"/>
      <c r="K73" s="94"/>
      <c r="L73" s="75"/>
      <c r="M73" s="51"/>
      <c r="N73" s="75"/>
      <c r="O73" s="75"/>
      <c r="P73" s="344"/>
      <c r="Q73" s="262">
        <f>1</f>
        <v>1</v>
      </c>
      <c r="R73" s="124"/>
      <c r="T73" s="132"/>
      <c r="U73" s="131"/>
      <c r="X73" s="261"/>
      <c r="Y73" s="261" t="str">
        <f t="shared" si="10"/>
        <v/>
      </c>
      <c r="Z73" s="124" t="str">
        <f t="shared" si="11"/>
        <v/>
      </c>
    </row>
    <row r="74" spans="1:26" s="130" customFormat="1" ht="204" customHeight="1" x14ac:dyDescent="0.2">
      <c r="A74" s="41" t="e">
        <f>#REF!+1</f>
        <v>#REF!</v>
      </c>
      <c r="B74" s="169" t="s">
        <v>297</v>
      </c>
      <c r="C74" s="129" t="s">
        <v>297</v>
      </c>
      <c r="D74" s="149" t="s">
        <v>298</v>
      </c>
      <c r="E74" s="135">
        <f>LEN(D74)</f>
        <v>294</v>
      </c>
      <c r="F74" s="149" t="s">
        <v>299</v>
      </c>
      <c r="G74" s="135">
        <f>LEN(F74)</f>
        <v>359</v>
      </c>
      <c r="H74" s="144" t="s">
        <v>37</v>
      </c>
      <c r="I74" s="135" t="s">
        <v>24</v>
      </c>
      <c r="J74" s="135" t="s">
        <v>24</v>
      </c>
      <c r="K74" s="135" t="s">
        <v>38</v>
      </c>
      <c r="L74" s="159" t="s">
        <v>300</v>
      </c>
      <c r="M74" s="205" t="s">
        <v>24</v>
      </c>
      <c r="N74" s="159" t="s">
        <v>301</v>
      </c>
      <c r="O74" s="51"/>
      <c r="P74" s="10"/>
      <c r="Q74" s="257">
        <f>1</f>
        <v>1</v>
      </c>
      <c r="R74" s="124"/>
      <c r="T74" s="412" t="s">
        <v>33</v>
      </c>
      <c r="U74" s="131"/>
      <c r="X74" s="260">
        <v>17.26140213012695</v>
      </c>
      <c r="Y74" s="260">
        <f t="shared" si="10"/>
        <v>17.26140213012695</v>
      </c>
      <c r="Z74" s="124">
        <f t="shared" si="11"/>
        <v>17.26140213012695</v>
      </c>
    </row>
    <row r="75" spans="1:26" s="130" customFormat="1" x14ac:dyDescent="0.2">
      <c r="A75" s="41"/>
      <c r="B75" s="167"/>
      <c r="C75" s="88"/>
      <c r="D75" s="165"/>
      <c r="E75" s="43"/>
      <c r="F75" s="43"/>
      <c r="G75" s="43"/>
      <c r="H75" s="89"/>
      <c r="I75" s="43"/>
      <c r="J75" s="43"/>
      <c r="K75" s="43"/>
      <c r="L75" s="79"/>
      <c r="M75" s="51"/>
      <c r="N75" s="79"/>
      <c r="O75" s="79"/>
      <c r="P75" s="10"/>
      <c r="Q75" s="262">
        <f>1</f>
        <v>1</v>
      </c>
      <c r="R75" s="124"/>
      <c r="T75" s="132"/>
      <c r="U75" s="131"/>
      <c r="X75" s="261"/>
      <c r="Y75" s="261" t="str">
        <f t="shared" si="10"/>
        <v/>
      </c>
      <c r="Z75" s="124" t="str">
        <f t="shared" si="11"/>
        <v/>
      </c>
    </row>
    <row r="76" spans="1:26" s="130" customFormat="1" ht="409.5" customHeight="1" x14ac:dyDescent="0.2">
      <c r="A76" s="41" t="e">
        <f>A74+1</f>
        <v>#REF!</v>
      </c>
      <c r="B76" s="169" t="s">
        <v>302</v>
      </c>
      <c r="C76" s="129" t="s">
        <v>302</v>
      </c>
      <c r="D76" s="149" t="s">
        <v>303</v>
      </c>
      <c r="E76" s="135">
        <f>LEN(D76)</f>
        <v>1225</v>
      </c>
      <c r="F76" s="425" t="s">
        <v>304</v>
      </c>
      <c r="G76" s="135">
        <f>LEN(F76)</f>
        <v>1331</v>
      </c>
      <c r="H76" s="144" t="s">
        <v>37</v>
      </c>
      <c r="I76" s="135" t="s">
        <v>24</v>
      </c>
      <c r="J76" s="135" t="s">
        <v>24</v>
      </c>
      <c r="K76" s="135" t="s">
        <v>305</v>
      </c>
      <c r="L76" s="126" t="s">
        <v>306</v>
      </c>
      <c r="M76" s="205" t="s">
        <v>24</v>
      </c>
      <c r="N76" s="133" t="s">
        <v>307</v>
      </c>
      <c r="O76" s="48" t="s">
        <v>308</v>
      </c>
      <c r="P76" s="10"/>
      <c r="Q76" s="257">
        <f>1</f>
        <v>1</v>
      </c>
      <c r="R76" s="124"/>
      <c r="T76" s="412" t="s">
        <v>33</v>
      </c>
      <c r="U76" s="131"/>
      <c r="X76" s="260">
        <v>14.47539234161377</v>
      </c>
      <c r="Y76" s="260">
        <f t="shared" si="10"/>
        <v>14.47539234161377</v>
      </c>
      <c r="Z76" s="124">
        <f t="shared" si="11"/>
        <v>14.47539234161377</v>
      </c>
    </row>
    <row r="77" spans="1:26" s="218" customFormat="1" ht="182" customHeight="1" x14ac:dyDescent="0.2">
      <c r="A77" s="329"/>
      <c r="B77" s="220" t="s">
        <v>309</v>
      </c>
      <c r="C77" s="231" t="s">
        <v>309</v>
      </c>
      <c r="D77" s="134" t="s">
        <v>243</v>
      </c>
      <c r="E77" s="127">
        <f>LEN(D77)</f>
        <v>143</v>
      </c>
      <c r="F77" s="394" t="s">
        <v>244</v>
      </c>
      <c r="G77" s="135">
        <f>LEN(F77)</f>
        <v>175</v>
      </c>
      <c r="H77" s="129" t="s">
        <v>37</v>
      </c>
      <c r="I77" s="127" t="s">
        <v>24</v>
      </c>
      <c r="J77" s="127" t="s">
        <v>24</v>
      </c>
      <c r="K77" s="127" t="s">
        <v>38</v>
      </c>
      <c r="L77" s="126" t="s">
        <v>310</v>
      </c>
      <c r="M77" s="205" t="s">
        <v>24</v>
      </c>
      <c r="N77" s="133" t="s">
        <v>311</v>
      </c>
      <c r="O77" s="29" t="s">
        <v>312</v>
      </c>
      <c r="P77" s="47"/>
      <c r="Q77" s="370">
        <f>1</f>
        <v>1</v>
      </c>
      <c r="R77" s="125"/>
      <c r="T77" s="416" t="s">
        <v>33</v>
      </c>
      <c r="U77" s="212"/>
      <c r="X77" s="264">
        <v>8</v>
      </c>
      <c r="Y77" s="264">
        <f t="shared" si="10"/>
        <v>8</v>
      </c>
      <c r="Z77" s="125">
        <f t="shared" si="11"/>
        <v>8</v>
      </c>
    </row>
    <row r="78" spans="1:26" s="218" customFormat="1" ht="182" customHeight="1" x14ac:dyDescent="0.2">
      <c r="A78" s="329"/>
      <c r="B78" s="220" t="s">
        <v>313</v>
      </c>
      <c r="C78" s="231" t="s">
        <v>313</v>
      </c>
      <c r="D78" s="134" t="s">
        <v>249</v>
      </c>
      <c r="E78" s="127">
        <f>LEN(D78)</f>
        <v>170</v>
      </c>
      <c r="F78" s="394" t="s">
        <v>250</v>
      </c>
      <c r="G78" s="135">
        <f>LEN(F78)</f>
        <v>194</v>
      </c>
      <c r="H78" s="129" t="s">
        <v>37</v>
      </c>
      <c r="I78" s="127" t="s">
        <v>24</v>
      </c>
      <c r="J78" s="127" t="s">
        <v>24</v>
      </c>
      <c r="K78" s="127" t="s">
        <v>38</v>
      </c>
      <c r="L78" s="126" t="s">
        <v>310</v>
      </c>
      <c r="M78" s="205" t="s">
        <v>24</v>
      </c>
      <c r="N78" s="133" t="s">
        <v>314</v>
      </c>
      <c r="O78" s="29" t="s">
        <v>312</v>
      </c>
      <c r="P78" s="47"/>
      <c r="Q78" s="370">
        <f>1</f>
        <v>1</v>
      </c>
      <c r="R78" s="125"/>
      <c r="T78" s="416" t="s">
        <v>33</v>
      </c>
      <c r="U78" s="212"/>
      <c r="X78" s="264">
        <v>8</v>
      </c>
      <c r="Y78" s="264">
        <f t="shared" si="10"/>
        <v>8</v>
      </c>
      <c r="Z78" s="125">
        <f t="shared" si="11"/>
        <v>8</v>
      </c>
    </row>
    <row r="79" spans="1:26" s="130" customFormat="1" ht="182" customHeight="1" x14ac:dyDescent="0.2">
      <c r="A79" s="329"/>
      <c r="B79" s="220" t="s">
        <v>315</v>
      </c>
      <c r="C79" s="231" t="s">
        <v>315</v>
      </c>
      <c r="D79" s="134" t="s">
        <v>253</v>
      </c>
      <c r="E79" s="127">
        <f>LEN(D79)</f>
        <v>176</v>
      </c>
      <c r="F79" s="394" t="s">
        <v>254</v>
      </c>
      <c r="G79" s="135">
        <f>LEN(F79)</f>
        <v>194</v>
      </c>
      <c r="H79" s="129" t="s">
        <v>37</v>
      </c>
      <c r="I79" s="127" t="s">
        <v>24</v>
      </c>
      <c r="J79" s="127" t="s">
        <v>24</v>
      </c>
      <c r="K79" s="127" t="s">
        <v>38</v>
      </c>
      <c r="L79" s="126" t="s">
        <v>310</v>
      </c>
      <c r="M79" s="205" t="s">
        <v>24</v>
      </c>
      <c r="N79" s="133" t="s">
        <v>316</v>
      </c>
      <c r="O79" s="29" t="s">
        <v>312</v>
      </c>
      <c r="P79" s="47"/>
      <c r="Q79" s="257">
        <f>1</f>
        <v>1</v>
      </c>
      <c r="R79" s="124"/>
      <c r="T79" s="412" t="s">
        <v>33</v>
      </c>
      <c r="U79" s="131"/>
      <c r="X79" s="260">
        <v>8</v>
      </c>
      <c r="Y79" s="260">
        <f t="shared" si="10"/>
        <v>8</v>
      </c>
      <c r="Z79" s="124">
        <f t="shared" si="11"/>
        <v>8</v>
      </c>
    </row>
    <row r="80" spans="1:26" s="130" customFormat="1" x14ac:dyDescent="0.2">
      <c r="A80" s="87"/>
      <c r="B80" s="248"/>
      <c r="C80" s="253"/>
      <c r="D80" s="254"/>
      <c r="E80" s="94"/>
      <c r="G80" s="94"/>
      <c r="H80" s="88"/>
      <c r="I80" s="94"/>
      <c r="J80" s="94"/>
      <c r="K80" s="94"/>
      <c r="L80" s="75"/>
      <c r="M80" s="51"/>
      <c r="N80" s="158"/>
      <c r="O80" s="158"/>
      <c r="P80" s="47"/>
      <c r="Q80" s="262">
        <f>1</f>
        <v>1</v>
      </c>
      <c r="R80" s="124"/>
      <c r="T80" s="132"/>
      <c r="U80" s="131"/>
      <c r="X80" s="261"/>
      <c r="Y80" s="261" t="str">
        <f t="shared" si="10"/>
        <v/>
      </c>
      <c r="Z80" s="124" t="str">
        <f t="shared" si="11"/>
        <v/>
      </c>
    </row>
    <row r="81" spans="1:26" s="130" customFormat="1" ht="153" customHeight="1" x14ac:dyDescent="0.2">
      <c r="A81" s="14" t="e">
        <f>A76+1</f>
        <v>#REF!</v>
      </c>
      <c r="B81" s="221" t="s">
        <v>317</v>
      </c>
      <c r="C81" s="17" t="s">
        <v>317</v>
      </c>
      <c r="D81" s="22" t="s">
        <v>318</v>
      </c>
      <c r="E81" s="20">
        <f>LEN(D81)</f>
        <v>243</v>
      </c>
      <c r="F81" s="432" t="s">
        <v>319</v>
      </c>
      <c r="G81" s="20">
        <f>LEN(F81)</f>
        <v>279</v>
      </c>
      <c r="H81" s="34" t="s">
        <v>127</v>
      </c>
      <c r="I81" s="20" t="s">
        <v>24</v>
      </c>
      <c r="J81" s="20" t="s">
        <v>24</v>
      </c>
      <c r="K81" s="20" t="s">
        <v>27</v>
      </c>
      <c r="L81" s="359" t="s">
        <v>320</v>
      </c>
      <c r="M81" s="69" t="s">
        <v>24</v>
      </c>
      <c r="N81" s="360" t="s">
        <v>321</v>
      </c>
      <c r="O81" s="360" t="s">
        <v>322</v>
      </c>
      <c r="P81" s="589" t="s">
        <v>262</v>
      </c>
      <c r="Q81" s="262">
        <f>1</f>
        <v>1</v>
      </c>
      <c r="R81" s="124"/>
      <c r="T81" s="132" t="s">
        <v>23</v>
      </c>
      <c r="U81" s="131"/>
      <c r="X81" s="261">
        <v>24.40109825134277</v>
      </c>
      <c r="Y81" s="261">
        <f t="shared" si="10"/>
        <v>24.40109825134277</v>
      </c>
      <c r="Z81" s="124" t="str">
        <f t="shared" si="11"/>
        <v/>
      </c>
    </row>
    <row r="82" spans="1:26" s="130" customFormat="1" ht="119" customHeight="1" x14ac:dyDescent="0.2">
      <c r="A82" s="14" t="e">
        <f>A81+1</f>
        <v>#REF!</v>
      </c>
      <c r="B82" s="221" t="s">
        <v>323</v>
      </c>
      <c r="C82" s="230" t="s">
        <v>323</v>
      </c>
      <c r="D82" s="22" t="s">
        <v>264</v>
      </c>
      <c r="E82" s="20">
        <f>LEN(D82)</f>
        <v>248</v>
      </c>
      <c r="F82" s="433" t="s">
        <v>265</v>
      </c>
      <c r="G82" s="20">
        <f>LEN(F82)</f>
        <v>296</v>
      </c>
      <c r="H82" s="32" t="s">
        <v>37</v>
      </c>
      <c r="I82" s="16" t="s">
        <v>24</v>
      </c>
      <c r="J82" s="16" t="s">
        <v>24</v>
      </c>
      <c r="K82" s="16" t="s">
        <v>38</v>
      </c>
      <c r="L82" s="33" t="s">
        <v>324</v>
      </c>
      <c r="M82" s="69" t="s">
        <v>24</v>
      </c>
      <c r="N82" s="33" t="s">
        <v>325</v>
      </c>
      <c r="O82" s="33" t="s">
        <v>326</v>
      </c>
      <c r="P82" s="590"/>
      <c r="Q82" s="262">
        <f>1</f>
        <v>1</v>
      </c>
      <c r="R82" s="124"/>
      <c r="T82" s="132" t="s">
        <v>23</v>
      </c>
      <c r="U82" s="131"/>
      <c r="X82" s="261">
        <v>2.4700000000000002</v>
      </c>
      <c r="Y82" s="261">
        <f t="shared" si="10"/>
        <v>2.4700000000000002</v>
      </c>
      <c r="Z82" s="124" t="str">
        <f t="shared" si="11"/>
        <v/>
      </c>
    </row>
    <row r="83" spans="1:26" s="130" customFormat="1" x14ac:dyDescent="0.2">
      <c r="A83" s="41"/>
      <c r="B83" s="167"/>
      <c r="C83" s="253"/>
      <c r="D83" s="68"/>
      <c r="E83" s="43"/>
      <c r="F83" s="94"/>
      <c r="G83" s="43"/>
      <c r="H83" s="97"/>
      <c r="I83" s="94"/>
      <c r="J83" s="94"/>
      <c r="K83" s="94"/>
      <c r="L83" s="75"/>
      <c r="M83" s="51"/>
      <c r="N83" s="75"/>
      <c r="O83" s="75"/>
      <c r="P83" s="344"/>
      <c r="Q83" s="262">
        <f>1</f>
        <v>1</v>
      </c>
      <c r="R83" s="124"/>
      <c r="T83" s="132"/>
      <c r="U83" s="131"/>
      <c r="X83" s="261"/>
      <c r="Y83" s="261" t="str">
        <f t="shared" si="10"/>
        <v/>
      </c>
      <c r="Z83" s="124" t="str">
        <f t="shared" si="11"/>
        <v/>
      </c>
    </row>
    <row r="84" spans="1:26" s="130" customFormat="1" ht="204" customHeight="1" x14ac:dyDescent="0.2">
      <c r="A84" s="41" t="e">
        <f>#REF!+1</f>
        <v>#REF!</v>
      </c>
      <c r="B84" s="169" t="s">
        <v>327</v>
      </c>
      <c r="C84" s="129" t="s">
        <v>327</v>
      </c>
      <c r="D84" s="178" t="s">
        <v>328</v>
      </c>
      <c r="E84" s="135">
        <f>LEN(D84)</f>
        <v>295</v>
      </c>
      <c r="F84" s="149" t="s">
        <v>329</v>
      </c>
      <c r="G84" s="135">
        <f>LEN(F84)</f>
        <v>361</v>
      </c>
      <c r="H84" s="144" t="s">
        <v>37</v>
      </c>
      <c r="I84" s="135" t="s">
        <v>24</v>
      </c>
      <c r="J84" s="135" t="s">
        <v>24</v>
      </c>
      <c r="K84" s="135" t="s">
        <v>38</v>
      </c>
      <c r="L84" s="159" t="s">
        <v>330</v>
      </c>
      <c r="M84" s="205" t="s">
        <v>24</v>
      </c>
      <c r="N84" s="159" t="s">
        <v>331</v>
      </c>
      <c r="O84" s="51"/>
      <c r="P84" s="10"/>
      <c r="Q84" s="257">
        <f>1</f>
        <v>1</v>
      </c>
      <c r="R84" s="124"/>
      <c r="T84" s="412" t="s">
        <v>33</v>
      </c>
      <c r="U84" s="131"/>
      <c r="X84" s="260">
        <v>15.87650299072266</v>
      </c>
      <c r="Y84" s="260">
        <f t="shared" si="10"/>
        <v>15.87650299072266</v>
      </c>
      <c r="Z84" s="124">
        <f t="shared" si="11"/>
        <v>15.87650299072266</v>
      </c>
    </row>
    <row r="85" spans="1:26" s="130" customFormat="1" x14ac:dyDescent="0.2">
      <c r="A85" s="41"/>
      <c r="B85" s="167"/>
      <c r="C85" s="88"/>
      <c r="D85" s="252"/>
      <c r="E85" s="43"/>
      <c r="F85" s="43"/>
      <c r="G85" s="43"/>
      <c r="H85" s="89"/>
      <c r="I85" s="43"/>
      <c r="J85" s="43"/>
      <c r="K85" s="43"/>
      <c r="L85" s="51"/>
      <c r="M85" s="51"/>
      <c r="N85" s="51"/>
      <c r="O85" s="51"/>
      <c r="P85" s="10"/>
      <c r="Q85" s="262">
        <f>1</f>
        <v>1</v>
      </c>
      <c r="R85" s="124"/>
      <c r="T85" s="132"/>
      <c r="U85" s="131"/>
      <c r="X85" s="261"/>
      <c r="Y85" s="261" t="str">
        <f t="shared" si="10"/>
        <v/>
      </c>
      <c r="Z85" s="124" t="str">
        <f t="shared" si="11"/>
        <v/>
      </c>
    </row>
    <row r="86" spans="1:26" s="130" customFormat="1" ht="409" customHeight="1" x14ac:dyDescent="0.2">
      <c r="A86" s="41" t="e">
        <f>#REF!+1</f>
        <v>#REF!</v>
      </c>
      <c r="B86" s="169" t="s">
        <v>332</v>
      </c>
      <c r="C86" s="361" t="s">
        <v>333</v>
      </c>
      <c r="D86" s="362" t="s">
        <v>334</v>
      </c>
      <c r="E86" s="135">
        <f>LEN(D86)</f>
        <v>1440</v>
      </c>
      <c r="F86" s="434" t="s">
        <v>335</v>
      </c>
      <c r="G86" s="135">
        <f>LEN(F86)</f>
        <v>1790</v>
      </c>
      <c r="H86" s="144" t="s">
        <v>336</v>
      </c>
      <c r="I86" s="135" t="s">
        <v>24</v>
      </c>
      <c r="J86" s="135" t="s">
        <v>24</v>
      </c>
      <c r="K86" s="347" t="s">
        <v>337</v>
      </c>
      <c r="L86" s="159" t="s">
        <v>338</v>
      </c>
      <c r="M86" s="205" t="s">
        <v>339</v>
      </c>
      <c r="N86" s="159" t="s">
        <v>340</v>
      </c>
      <c r="O86" s="78" t="s">
        <v>341</v>
      </c>
      <c r="P86" s="10"/>
      <c r="Q86" s="257">
        <f>1</f>
        <v>1</v>
      </c>
      <c r="R86" s="124"/>
      <c r="T86" s="412" t="s">
        <v>33</v>
      </c>
      <c r="U86" s="131"/>
      <c r="X86" s="260">
        <v>37.853630065917969</v>
      </c>
      <c r="Y86" s="260">
        <f t="shared" si="10"/>
        <v>37.853630065917969</v>
      </c>
      <c r="Z86" s="124">
        <f t="shared" si="11"/>
        <v>37.853630065917969</v>
      </c>
    </row>
    <row r="87" spans="1:26" s="130" customFormat="1" ht="17" customHeight="1" thickBot="1" x14ac:dyDescent="0.25">
      <c r="A87" s="41"/>
      <c r="B87" s="167"/>
      <c r="C87" s="88"/>
      <c r="D87" s="68"/>
      <c r="E87" s="43"/>
      <c r="F87" s="68"/>
      <c r="G87" s="43"/>
      <c r="H87" s="89"/>
      <c r="I87" s="43"/>
      <c r="J87" s="43"/>
      <c r="K87" s="43"/>
      <c r="L87" s="51"/>
      <c r="M87" s="51"/>
      <c r="N87" s="51"/>
      <c r="O87" s="79"/>
      <c r="P87" s="47"/>
      <c r="Q87" s="262">
        <f>1</f>
        <v>1</v>
      </c>
      <c r="R87" s="124"/>
      <c r="T87" s="132"/>
      <c r="U87" s="131"/>
      <c r="X87" s="261"/>
      <c r="Y87" s="261" t="str">
        <f t="shared" si="10"/>
        <v/>
      </c>
      <c r="Z87" s="124" t="str">
        <f t="shared" si="11"/>
        <v/>
      </c>
    </row>
    <row r="88" spans="1:26" s="403" customFormat="1" ht="17" customHeight="1" thickBot="1" x14ac:dyDescent="0.25">
      <c r="A88" s="586" t="s">
        <v>342</v>
      </c>
      <c r="B88" s="587"/>
      <c r="C88" s="587"/>
      <c r="D88" s="587"/>
      <c r="E88" s="587"/>
      <c r="F88" s="587"/>
      <c r="G88" s="587"/>
      <c r="H88" s="587"/>
      <c r="I88" s="587"/>
      <c r="J88" s="587"/>
      <c r="K88" s="587"/>
      <c r="L88" s="587"/>
      <c r="M88" s="587"/>
      <c r="N88" s="587"/>
      <c r="O88" s="587"/>
      <c r="P88" s="588"/>
      <c r="Q88" s="257"/>
      <c r="R88" s="414"/>
      <c r="T88" s="412"/>
      <c r="U88" s="415"/>
      <c r="X88" s="260"/>
      <c r="Y88" s="260" t="str">
        <f t="shared" si="10"/>
        <v/>
      </c>
      <c r="Z88" s="414" t="str">
        <f t="shared" si="11"/>
        <v/>
      </c>
    </row>
    <row r="89" spans="1:26" s="130" customFormat="1" ht="153" customHeight="1" x14ac:dyDescent="0.2">
      <c r="A89" s="87" t="e">
        <f>#REF!+1</f>
        <v>#REF!</v>
      </c>
      <c r="B89" s="177" t="s">
        <v>343</v>
      </c>
      <c r="C89" s="129" t="s">
        <v>343</v>
      </c>
      <c r="D89" s="153" t="s">
        <v>344</v>
      </c>
      <c r="E89" s="127">
        <f>LEN(D89)</f>
        <v>222</v>
      </c>
      <c r="F89" s="153" t="s">
        <v>1429</v>
      </c>
      <c r="G89" s="127">
        <f>LEN(F89)</f>
        <v>306</v>
      </c>
      <c r="H89" s="137" t="s">
        <v>37</v>
      </c>
      <c r="I89" s="127" t="s">
        <v>24</v>
      </c>
      <c r="J89" s="127" t="s">
        <v>345</v>
      </c>
      <c r="K89" s="135" t="s">
        <v>38</v>
      </c>
      <c r="L89" s="152" t="s">
        <v>346</v>
      </c>
      <c r="M89" s="205" t="s">
        <v>24</v>
      </c>
      <c r="N89" s="133" t="s">
        <v>347</v>
      </c>
      <c r="O89" s="158"/>
      <c r="P89" s="176"/>
      <c r="Q89" s="262">
        <f>'Additional information'!$D$17</f>
        <v>0.91</v>
      </c>
      <c r="R89" s="124"/>
      <c r="T89" s="412" t="s">
        <v>33</v>
      </c>
      <c r="U89" s="131"/>
      <c r="X89" s="260">
        <v>7.3040728569030762</v>
      </c>
      <c r="Y89" s="260">
        <f t="shared" si="10"/>
        <v>6.6467062997817994</v>
      </c>
      <c r="Z89" s="124">
        <f t="shared" si="11"/>
        <v>6.6467062997817994</v>
      </c>
    </row>
    <row r="90" spans="1:26" s="130" customFormat="1" x14ac:dyDescent="0.2">
      <c r="A90" s="87"/>
      <c r="B90" s="95"/>
      <c r="C90" s="88"/>
      <c r="D90" s="96"/>
      <c r="E90" s="94"/>
      <c r="F90" s="96"/>
      <c r="G90" s="94"/>
      <c r="H90" s="97"/>
      <c r="I90" s="94"/>
      <c r="J90" s="94"/>
      <c r="K90" s="43"/>
      <c r="L90" s="79"/>
      <c r="M90" s="68"/>
      <c r="N90" s="158"/>
      <c r="O90" s="158"/>
      <c r="P90" s="176"/>
      <c r="Q90" s="262">
        <f>'Additional information'!$D$17</f>
        <v>0.91</v>
      </c>
      <c r="R90" s="124"/>
      <c r="T90" s="132"/>
      <c r="U90" s="131"/>
      <c r="X90" s="261"/>
      <c r="Y90" s="261" t="str">
        <f t="shared" si="10"/>
        <v/>
      </c>
      <c r="Z90" s="124" t="str">
        <f t="shared" si="11"/>
        <v/>
      </c>
    </row>
    <row r="91" spans="1:26" s="228" customFormat="1" ht="85" customHeight="1" x14ac:dyDescent="0.2">
      <c r="A91" s="315"/>
      <c r="B91" s="151" t="s">
        <v>348</v>
      </c>
      <c r="C91" s="135" t="s">
        <v>348</v>
      </c>
      <c r="D91" s="149" t="s">
        <v>349</v>
      </c>
      <c r="E91" s="135">
        <f>LEN(D91)</f>
        <v>237</v>
      </c>
      <c r="F91" s="191" t="s">
        <v>350</v>
      </c>
      <c r="G91" s="135">
        <f>LEN(F91)</f>
        <v>250</v>
      </c>
      <c r="H91" s="136" t="s">
        <v>127</v>
      </c>
      <c r="I91" s="135" t="s">
        <v>24</v>
      </c>
      <c r="J91" s="135" t="s">
        <v>24</v>
      </c>
      <c r="K91" s="135" t="s">
        <v>27</v>
      </c>
      <c r="L91" s="159" t="s">
        <v>351</v>
      </c>
      <c r="M91" s="205" t="s">
        <v>24</v>
      </c>
      <c r="N91" s="133" t="s">
        <v>352</v>
      </c>
      <c r="O91" s="175"/>
      <c r="P91" s="174"/>
      <c r="Q91" s="262">
        <f>'Additional information'!$D$17</f>
        <v>0.91</v>
      </c>
      <c r="R91" s="124"/>
      <c r="T91" s="412" t="s">
        <v>33</v>
      </c>
      <c r="U91" s="131"/>
      <c r="X91" s="260">
        <v>23.93990516662598</v>
      </c>
      <c r="Y91" s="260">
        <f t="shared" si="10"/>
        <v>21.785313701629644</v>
      </c>
      <c r="Z91" s="124">
        <f t="shared" si="11"/>
        <v>21.785313701629644</v>
      </c>
    </row>
    <row r="92" spans="1:26" s="228" customFormat="1" ht="187" customHeight="1" x14ac:dyDescent="0.2">
      <c r="A92" s="315"/>
      <c r="B92" s="151" t="s">
        <v>353</v>
      </c>
      <c r="C92" s="135" t="s">
        <v>353</v>
      </c>
      <c r="D92" s="149" t="s">
        <v>1435</v>
      </c>
      <c r="E92" s="135">
        <f>LEN(D92)</f>
        <v>130</v>
      </c>
      <c r="F92" s="149" t="s">
        <v>1434</v>
      </c>
      <c r="G92" s="135">
        <f>LEN(F92)</f>
        <v>131</v>
      </c>
      <c r="H92" s="136" t="s">
        <v>37</v>
      </c>
      <c r="I92" s="135" t="s">
        <v>24</v>
      </c>
      <c r="J92" s="135" t="s">
        <v>24</v>
      </c>
      <c r="K92" s="135" t="s">
        <v>38</v>
      </c>
      <c r="L92" s="159" t="s">
        <v>354</v>
      </c>
      <c r="M92" s="205" t="s">
        <v>24</v>
      </c>
      <c r="N92" s="133" t="s">
        <v>355</v>
      </c>
      <c r="O92" s="158"/>
      <c r="P92" s="172"/>
      <c r="Q92" s="262">
        <f>'Additional information'!$D$17</f>
        <v>0.91</v>
      </c>
      <c r="R92" s="124"/>
      <c r="T92" s="412" t="s">
        <v>33</v>
      </c>
      <c r="U92" s="131"/>
      <c r="X92" s="260">
        <v>2.2494626045227051</v>
      </c>
      <c r="Y92" s="260">
        <f t="shared" si="10"/>
        <v>2.0470109701156618</v>
      </c>
      <c r="Z92" s="124">
        <f t="shared" si="11"/>
        <v>2.0470109701156618</v>
      </c>
    </row>
    <row r="93" spans="1:26" s="228" customFormat="1" x14ac:dyDescent="0.2">
      <c r="A93" s="110"/>
      <c r="B93" s="251"/>
      <c r="C93" s="94"/>
      <c r="D93" s="96"/>
      <c r="E93" s="94"/>
      <c r="F93" s="96"/>
      <c r="G93" s="94"/>
      <c r="H93" s="88"/>
      <c r="I93" s="94"/>
      <c r="J93" s="94"/>
      <c r="K93" s="94"/>
      <c r="L93" s="79"/>
      <c r="M93" s="68"/>
      <c r="N93" s="229"/>
      <c r="O93" s="173"/>
      <c r="P93" s="172"/>
      <c r="Q93" s="262">
        <f>'Additional information'!$D$17</f>
        <v>0.91</v>
      </c>
      <c r="R93" s="124"/>
      <c r="T93" s="132"/>
      <c r="U93" s="131"/>
      <c r="X93" s="261"/>
      <c r="Y93" s="261" t="str">
        <f t="shared" si="10"/>
        <v/>
      </c>
      <c r="Z93" s="124" t="str">
        <f t="shared" si="11"/>
        <v/>
      </c>
    </row>
    <row r="94" spans="1:26" s="130" customFormat="1" ht="119" customHeight="1" x14ac:dyDescent="0.2">
      <c r="A94" s="87" t="e">
        <f>A89+1</f>
        <v>#REF!</v>
      </c>
      <c r="B94" s="220" t="s">
        <v>356</v>
      </c>
      <c r="C94" s="129" t="s">
        <v>356</v>
      </c>
      <c r="D94" s="153" t="s">
        <v>357</v>
      </c>
      <c r="E94" s="127">
        <f>LEN(D94)</f>
        <v>1430</v>
      </c>
      <c r="F94" s="191" t="s">
        <v>358</v>
      </c>
      <c r="G94" s="127">
        <f>LEN(F94)</f>
        <v>1597</v>
      </c>
      <c r="H94" s="137" t="s">
        <v>37</v>
      </c>
      <c r="I94" s="127" t="s">
        <v>24</v>
      </c>
      <c r="J94" s="127" t="s">
        <v>24</v>
      </c>
      <c r="K94" s="129" t="s">
        <v>359</v>
      </c>
      <c r="L94" s="152" t="s">
        <v>360</v>
      </c>
      <c r="M94" s="371" t="s">
        <v>1437</v>
      </c>
      <c r="N94" s="368" t="s">
        <v>361</v>
      </c>
      <c r="O94" s="170"/>
      <c r="P94" s="47"/>
      <c r="Q94" s="262">
        <f>'Additional information'!$D$17</f>
        <v>0.91</v>
      </c>
      <c r="R94" s="124"/>
      <c r="T94" s="412" t="s">
        <v>33</v>
      </c>
      <c r="U94" s="131"/>
      <c r="X94" s="260">
        <v>23.440116882324219</v>
      </c>
      <c r="Y94" s="260">
        <f t="shared" si="10"/>
        <v>21.330506362915038</v>
      </c>
      <c r="Z94" s="124">
        <f t="shared" si="11"/>
        <v>21.330506362915038</v>
      </c>
    </row>
    <row r="95" spans="1:26" s="130" customFormat="1" ht="102" customHeight="1" x14ac:dyDescent="0.2">
      <c r="A95" s="87"/>
      <c r="B95" s="220" t="s">
        <v>362</v>
      </c>
      <c r="C95" s="129" t="s">
        <v>362</v>
      </c>
      <c r="D95" s="153" t="s">
        <v>363</v>
      </c>
      <c r="E95" s="127">
        <f>LEN(D95)</f>
        <v>177</v>
      </c>
      <c r="F95" s="153" t="s">
        <v>1430</v>
      </c>
      <c r="G95" s="127">
        <f>LEN(F95)</f>
        <v>241</v>
      </c>
      <c r="H95" s="137" t="s">
        <v>37</v>
      </c>
      <c r="I95" s="127" t="s">
        <v>24</v>
      </c>
      <c r="J95" s="127" t="s">
        <v>24</v>
      </c>
      <c r="K95" s="129" t="s">
        <v>38</v>
      </c>
      <c r="L95" s="152" t="s">
        <v>364</v>
      </c>
      <c r="M95" s="205" t="s">
        <v>24</v>
      </c>
      <c r="N95" s="171" t="s">
        <v>365</v>
      </c>
      <c r="O95" s="170"/>
      <c r="P95" s="47"/>
      <c r="Q95" s="262">
        <f>'Additional information'!$D$17</f>
        <v>0.91</v>
      </c>
      <c r="R95" s="124"/>
      <c r="T95" s="412" t="s">
        <v>33</v>
      </c>
      <c r="U95" s="131"/>
      <c r="X95" s="260">
        <v>7.7659573554992676</v>
      </c>
      <c r="Y95" s="260">
        <f t="shared" si="10"/>
        <v>7.0670211935043339</v>
      </c>
      <c r="Z95" s="124">
        <f t="shared" si="11"/>
        <v>7.0670211935043339</v>
      </c>
    </row>
    <row r="96" spans="1:26" s="130" customFormat="1" x14ac:dyDescent="0.2">
      <c r="A96" s="87"/>
      <c r="B96" s="248"/>
      <c r="C96" s="88"/>
      <c r="D96" s="96"/>
      <c r="E96" s="94"/>
      <c r="F96" s="94"/>
      <c r="G96" s="94"/>
      <c r="H96" s="97"/>
      <c r="I96" s="94"/>
      <c r="J96" s="94"/>
      <c r="K96" s="88"/>
      <c r="L96" s="79"/>
      <c r="M96" s="68"/>
      <c r="N96" s="308"/>
      <c r="O96" s="170"/>
      <c r="P96" s="47"/>
      <c r="Q96" s="262">
        <f>'Additional information'!$D$17</f>
        <v>0.91</v>
      </c>
      <c r="R96" s="124"/>
      <c r="T96" s="132"/>
      <c r="U96" s="131"/>
      <c r="X96" s="261"/>
      <c r="Y96" s="261" t="str">
        <f t="shared" si="10"/>
        <v/>
      </c>
      <c r="Z96" s="124" t="str">
        <f t="shared" si="11"/>
        <v/>
      </c>
    </row>
    <row r="97" spans="1:26" s="130" customFormat="1" ht="221" customHeight="1" x14ac:dyDescent="0.2">
      <c r="A97" s="41" t="e">
        <f>A94+1</f>
        <v>#REF!</v>
      </c>
      <c r="B97" s="151" t="s">
        <v>366</v>
      </c>
      <c r="C97" s="135" t="s">
        <v>366</v>
      </c>
      <c r="D97" s="149" t="s">
        <v>367</v>
      </c>
      <c r="E97" s="135">
        <f>LEN(D97)</f>
        <v>331</v>
      </c>
      <c r="F97" s="425" t="s">
        <v>368</v>
      </c>
      <c r="G97" s="135">
        <f>LEN(F97)</f>
        <v>389</v>
      </c>
      <c r="H97" s="136" t="s">
        <v>88</v>
      </c>
      <c r="I97" s="135" t="s">
        <v>24</v>
      </c>
      <c r="J97" s="135" t="s">
        <v>24</v>
      </c>
      <c r="K97" s="135" t="s">
        <v>89</v>
      </c>
      <c r="L97" s="159" t="s">
        <v>369</v>
      </c>
      <c r="M97" s="205" t="s">
        <v>24</v>
      </c>
      <c r="N97" s="171" t="s">
        <v>370</v>
      </c>
      <c r="O97" s="562" t="s">
        <v>371</v>
      </c>
      <c r="P97" s="10"/>
      <c r="Q97" s="262">
        <f>'Additional information'!$D$17</f>
        <v>0.91</v>
      </c>
      <c r="R97" s="124"/>
      <c r="T97" s="412" t="s">
        <v>33</v>
      </c>
      <c r="U97" s="131"/>
      <c r="X97" s="260">
        <v>16.481756210327148</v>
      </c>
      <c r="Y97" s="260">
        <f t="shared" si="10"/>
        <v>14.998398151397705</v>
      </c>
      <c r="Z97" s="124">
        <f t="shared" si="11"/>
        <v>14.998398151397705</v>
      </c>
    </row>
    <row r="98" spans="1:26" s="130" customFormat="1" ht="14" customHeight="1" x14ac:dyDescent="0.2">
      <c r="A98" s="41"/>
      <c r="B98" s="167"/>
      <c r="C98" s="166"/>
      <c r="D98" s="165"/>
      <c r="E98" s="43"/>
      <c r="F98" s="43"/>
      <c r="G98" s="43"/>
      <c r="H98" s="89"/>
      <c r="I98" s="43"/>
      <c r="J98" s="43"/>
      <c r="K98" s="43"/>
      <c r="L98" s="163"/>
      <c r="M98" s="68"/>
      <c r="N98" s="250"/>
      <c r="O98" s="163"/>
      <c r="P98" s="10"/>
      <c r="Q98" s="262">
        <f>'Additional information'!$D$17</f>
        <v>0.91</v>
      </c>
      <c r="R98" s="124"/>
      <c r="T98" s="132"/>
      <c r="U98" s="131"/>
      <c r="X98" s="261"/>
      <c r="Y98" s="261" t="str">
        <f t="shared" si="10"/>
        <v/>
      </c>
      <c r="Z98" s="124" t="str">
        <f t="shared" si="11"/>
        <v/>
      </c>
    </row>
    <row r="99" spans="1:26" s="130" customFormat="1" ht="221" customHeight="1" x14ac:dyDescent="0.2">
      <c r="A99" s="14" t="e">
        <f>A97+1</f>
        <v>#REF!</v>
      </c>
      <c r="B99" s="574" t="s">
        <v>372</v>
      </c>
      <c r="C99" s="566" t="s">
        <v>373</v>
      </c>
      <c r="D99" s="565" t="s">
        <v>374</v>
      </c>
      <c r="E99" s="566">
        <f>LEN(D99)</f>
        <v>275</v>
      </c>
      <c r="F99" s="568" t="s">
        <v>375</v>
      </c>
      <c r="G99" s="566">
        <f>LEN(F99)</f>
        <v>329</v>
      </c>
      <c r="H99" s="575" t="s">
        <v>376</v>
      </c>
      <c r="I99" s="576" t="s">
        <v>24</v>
      </c>
      <c r="J99" s="576" t="s">
        <v>24</v>
      </c>
      <c r="K99" s="576" t="s">
        <v>377</v>
      </c>
      <c r="L99" s="577" t="s">
        <v>378</v>
      </c>
      <c r="M99" s="578" t="s">
        <v>379</v>
      </c>
      <c r="N99" s="572" t="s">
        <v>380</v>
      </c>
      <c r="O99" s="572" t="s">
        <v>381</v>
      </c>
      <c r="P99" s="569"/>
      <c r="Q99" s="262">
        <f>'Additional information'!$D$17</f>
        <v>0.91</v>
      </c>
      <c r="R99" s="124"/>
      <c r="T99" s="132" t="s">
        <v>23</v>
      </c>
      <c r="U99" s="131"/>
      <c r="X99" s="261">
        <v>18.511110305786129</v>
      </c>
      <c r="Y99" s="261">
        <f t="shared" si="10"/>
        <v>16.845110378265378</v>
      </c>
      <c r="Z99" s="124" t="str">
        <f t="shared" si="11"/>
        <v/>
      </c>
    </row>
    <row r="100" spans="1:26" s="130" customFormat="1" ht="170" customHeight="1" x14ac:dyDescent="0.2">
      <c r="A100" s="14"/>
      <c r="B100" s="563" t="s">
        <v>382</v>
      </c>
      <c r="C100" s="566"/>
      <c r="D100" s="565" t="s">
        <v>383</v>
      </c>
      <c r="E100" s="566"/>
      <c r="F100" s="568" t="s">
        <v>384</v>
      </c>
      <c r="G100" s="566"/>
      <c r="H100" s="567" t="s">
        <v>37</v>
      </c>
      <c r="I100" s="576"/>
      <c r="J100" s="576"/>
      <c r="K100" s="576"/>
      <c r="L100" s="577"/>
      <c r="M100" s="578"/>
      <c r="N100" s="572"/>
      <c r="O100" s="572" t="s">
        <v>385</v>
      </c>
      <c r="P100" s="569"/>
      <c r="Q100" s="262"/>
      <c r="R100" s="124"/>
      <c r="T100" s="132"/>
      <c r="U100" s="131"/>
      <c r="X100" s="261"/>
      <c r="Y100" s="261"/>
      <c r="Z100" s="124"/>
    </row>
    <row r="101" spans="1:26" s="130" customFormat="1" ht="68" customHeight="1" x14ac:dyDescent="0.2">
      <c r="A101" s="41"/>
      <c r="B101" s="563" t="s">
        <v>386</v>
      </c>
      <c r="C101" s="564"/>
      <c r="D101" s="565" t="s">
        <v>387</v>
      </c>
      <c r="E101" s="566">
        <v>71</v>
      </c>
      <c r="F101" s="568" t="s">
        <v>388</v>
      </c>
      <c r="G101" s="566">
        <v>114</v>
      </c>
      <c r="H101" s="567" t="s">
        <v>26</v>
      </c>
      <c r="I101" s="566"/>
      <c r="J101" s="566"/>
      <c r="K101" s="566"/>
      <c r="L101" s="568"/>
      <c r="M101" s="573"/>
      <c r="N101" s="568"/>
      <c r="O101" s="568" t="s">
        <v>389</v>
      </c>
      <c r="P101" s="569"/>
      <c r="Q101" s="262">
        <f>'Additional information'!$D$17</f>
        <v>0.91</v>
      </c>
      <c r="R101" s="124"/>
      <c r="T101" s="132"/>
      <c r="U101" s="131"/>
      <c r="X101" s="261"/>
      <c r="Y101" s="261" t="str">
        <f>IF(X101="","",X101*Q101)</f>
        <v/>
      </c>
      <c r="Z101" s="124" t="str">
        <f>IF(T101="yes",Y101,"")</f>
        <v/>
      </c>
    </row>
    <row r="102" spans="1:26" s="130" customFormat="1" ht="170" customHeight="1" x14ac:dyDescent="0.2">
      <c r="A102" s="41"/>
      <c r="B102" s="563" t="s">
        <v>390</v>
      </c>
      <c r="C102" s="564"/>
      <c r="D102" s="565" t="s">
        <v>391</v>
      </c>
      <c r="E102" s="566"/>
      <c r="F102" s="568" t="s">
        <v>392</v>
      </c>
      <c r="G102" s="566"/>
      <c r="H102" s="567" t="s">
        <v>37</v>
      </c>
      <c r="I102" s="566"/>
      <c r="J102" s="566"/>
      <c r="K102" s="566"/>
      <c r="L102" s="570"/>
      <c r="M102" s="571"/>
      <c r="N102" s="568"/>
      <c r="O102" s="572" t="s">
        <v>393</v>
      </c>
      <c r="P102" s="569"/>
      <c r="Q102" s="262"/>
      <c r="R102" s="124"/>
      <c r="T102" s="132"/>
      <c r="U102" s="131"/>
      <c r="X102" s="261"/>
      <c r="Y102" s="261"/>
      <c r="Z102" s="124"/>
    </row>
    <row r="103" spans="1:26" s="130" customFormat="1" ht="68" customHeight="1" x14ac:dyDescent="0.2">
      <c r="A103" s="41"/>
      <c r="B103" s="563" t="s">
        <v>394</v>
      </c>
      <c r="C103" s="564"/>
      <c r="D103" s="565" t="s">
        <v>387</v>
      </c>
      <c r="E103" s="566">
        <v>71</v>
      </c>
      <c r="F103" s="568" t="s">
        <v>395</v>
      </c>
      <c r="G103" s="566">
        <v>114</v>
      </c>
      <c r="H103" s="567" t="s">
        <v>26</v>
      </c>
      <c r="I103" s="566"/>
      <c r="J103" s="566"/>
      <c r="K103" s="566"/>
      <c r="L103" s="570"/>
      <c r="M103" s="571"/>
      <c r="N103" s="570"/>
      <c r="O103" s="568" t="s">
        <v>389</v>
      </c>
      <c r="P103" s="569"/>
      <c r="Q103" s="262"/>
      <c r="R103" s="124"/>
      <c r="T103" s="132"/>
      <c r="U103" s="131"/>
      <c r="X103" s="261"/>
      <c r="Y103" s="261"/>
      <c r="Z103" s="124"/>
    </row>
    <row r="104" spans="1:26" s="130" customFormat="1" ht="238" customHeight="1" x14ac:dyDescent="0.2">
      <c r="A104" s="41"/>
      <c r="B104" s="563" t="s">
        <v>396</v>
      </c>
      <c r="C104" s="564"/>
      <c r="D104" s="565" t="s">
        <v>397</v>
      </c>
      <c r="E104" s="566"/>
      <c r="F104" s="568" t="s">
        <v>398</v>
      </c>
      <c r="G104" s="566"/>
      <c r="H104" s="575" t="s">
        <v>399</v>
      </c>
      <c r="I104" s="566"/>
      <c r="J104" s="566"/>
      <c r="K104" s="566"/>
      <c r="L104" s="570"/>
      <c r="M104" s="571"/>
      <c r="N104" s="570"/>
      <c r="O104" s="570" t="s">
        <v>400</v>
      </c>
      <c r="P104" s="569"/>
      <c r="Q104" s="262"/>
      <c r="R104" s="124"/>
      <c r="T104" s="132"/>
      <c r="U104" s="131"/>
      <c r="X104" s="261"/>
      <c r="Y104" s="261"/>
      <c r="Z104" s="124"/>
    </row>
    <row r="105" spans="1:26" s="130" customFormat="1" ht="170" customHeight="1" x14ac:dyDescent="0.2">
      <c r="A105" s="41"/>
      <c r="B105" s="563" t="s">
        <v>401</v>
      </c>
      <c r="C105" s="564"/>
      <c r="D105" s="565" t="s">
        <v>402</v>
      </c>
      <c r="E105" s="566"/>
      <c r="F105" s="568" t="s">
        <v>403</v>
      </c>
      <c r="G105" s="566"/>
      <c r="H105" s="575" t="s">
        <v>399</v>
      </c>
      <c r="I105" s="566"/>
      <c r="J105" s="566"/>
      <c r="K105" s="566"/>
      <c r="L105" s="570"/>
      <c r="M105" s="571"/>
      <c r="N105" s="570"/>
      <c r="O105" s="570" t="s">
        <v>404</v>
      </c>
      <c r="P105" s="569"/>
      <c r="Q105" s="262"/>
      <c r="R105" s="124"/>
      <c r="T105" s="132"/>
      <c r="U105" s="131"/>
      <c r="X105" s="261"/>
      <c r="Y105" s="261"/>
      <c r="Z105" s="124"/>
    </row>
    <row r="106" spans="1:26" s="130" customFormat="1" ht="68" customHeight="1" x14ac:dyDescent="0.2">
      <c r="A106" s="41"/>
      <c r="B106" s="563" t="s">
        <v>405</v>
      </c>
      <c r="C106" s="564"/>
      <c r="D106" s="565" t="s">
        <v>387</v>
      </c>
      <c r="E106" s="566">
        <v>71</v>
      </c>
      <c r="F106" s="568" t="s">
        <v>395</v>
      </c>
      <c r="G106" s="566"/>
      <c r="H106" s="567" t="s">
        <v>406</v>
      </c>
      <c r="I106" s="566"/>
      <c r="J106" s="566"/>
      <c r="K106" s="566"/>
      <c r="L106" s="570"/>
      <c r="M106" s="571"/>
      <c r="N106" s="570"/>
      <c r="O106" s="570" t="s">
        <v>407</v>
      </c>
      <c r="P106" s="569"/>
      <c r="Q106" s="262"/>
      <c r="R106" s="124"/>
      <c r="T106" s="132"/>
      <c r="U106" s="131"/>
      <c r="X106" s="261"/>
      <c r="Y106" s="261"/>
      <c r="Z106" s="124"/>
    </row>
    <row r="107" spans="1:26" s="130" customFormat="1" ht="204" customHeight="1" x14ac:dyDescent="0.2">
      <c r="A107" s="41" t="e">
        <f>A99+1</f>
        <v>#REF!</v>
      </c>
      <c r="B107" s="169" t="s">
        <v>408</v>
      </c>
      <c r="C107" s="168" t="s">
        <v>408</v>
      </c>
      <c r="D107" s="149" t="s">
        <v>409</v>
      </c>
      <c r="E107" s="135">
        <f>LEN(D107)</f>
        <v>256</v>
      </c>
      <c r="F107" s="425" t="s">
        <v>1431</v>
      </c>
      <c r="G107" s="135">
        <f>LEN(F107)</f>
        <v>325</v>
      </c>
      <c r="H107" s="144" t="s">
        <v>37</v>
      </c>
      <c r="I107" s="135" t="s">
        <v>24</v>
      </c>
      <c r="J107" s="135" t="s">
        <v>24</v>
      </c>
      <c r="K107" s="135" t="s">
        <v>38</v>
      </c>
      <c r="L107" s="159" t="s">
        <v>410</v>
      </c>
      <c r="M107" s="205" t="s">
        <v>24</v>
      </c>
      <c r="N107" s="159" t="s">
        <v>411</v>
      </c>
      <c r="O107" s="51"/>
      <c r="P107" s="10"/>
      <c r="Q107" s="262">
        <f>'Additional information'!$D$17</f>
        <v>0.91</v>
      </c>
      <c r="R107" s="124"/>
      <c r="T107" s="412" t="s">
        <v>33</v>
      </c>
      <c r="U107" s="131"/>
      <c r="X107" s="260">
        <v>20.308681488037109</v>
      </c>
      <c r="Y107" s="260">
        <f t="shared" ref="Y107:Y138" si="12">IF(X107="","",X107*Q107)</f>
        <v>18.480900154113769</v>
      </c>
      <c r="Z107" s="124">
        <f t="shared" ref="Z107:Z138" si="13">IF(T107="yes",Y107,"")</f>
        <v>18.480900154113769</v>
      </c>
    </row>
    <row r="108" spans="1:26" s="130" customFormat="1" x14ac:dyDescent="0.2">
      <c r="A108" s="41"/>
      <c r="B108" s="167"/>
      <c r="C108" s="166"/>
      <c r="D108" s="165"/>
      <c r="E108" s="43"/>
      <c r="F108" s="165"/>
      <c r="G108" s="43"/>
      <c r="H108" s="89"/>
      <c r="I108" s="43"/>
      <c r="J108" s="43"/>
      <c r="K108" s="43"/>
      <c r="L108" s="163"/>
      <c r="M108" s="68"/>
      <c r="N108" s="164"/>
      <c r="O108" s="163"/>
      <c r="P108" s="10"/>
      <c r="Q108" s="262">
        <f>'Additional information'!$D$17</f>
        <v>0.91</v>
      </c>
      <c r="R108" s="124"/>
      <c r="T108" s="132"/>
      <c r="U108" s="131"/>
      <c r="X108" s="261"/>
      <c r="Y108" s="261" t="str">
        <f t="shared" si="12"/>
        <v/>
      </c>
      <c r="Z108" s="124" t="str">
        <f t="shared" si="13"/>
        <v/>
      </c>
    </row>
    <row r="109" spans="1:26" s="130" customFormat="1" ht="204" customHeight="1" x14ac:dyDescent="0.2">
      <c r="A109" s="41" t="e">
        <f>A107+1</f>
        <v>#REF!</v>
      </c>
      <c r="B109" s="151" t="s">
        <v>412</v>
      </c>
      <c r="C109" s="135" t="s">
        <v>412</v>
      </c>
      <c r="D109" s="149" t="s">
        <v>413</v>
      </c>
      <c r="E109" s="135">
        <f>LEN(D109)</f>
        <v>255</v>
      </c>
      <c r="F109" s="425" t="s">
        <v>1436</v>
      </c>
      <c r="G109" s="135">
        <f>LEN(F109)</f>
        <v>314</v>
      </c>
      <c r="H109" s="144" t="s">
        <v>37</v>
      </c>
      <c r="I109" s="135" t="s">
        <v>24</v>
      </c>
      <c r="J109" s="135" t="s">
        <v>24</v>
      </c>
      <c r="K109" s="135" t="s">
        <v>38</v>
      </c>
      <c r="L109" s="134" t="s">
        <v>414</v>
      </c>
      <c r="M109" s="205" t="s">
        <v>24</v>
      </c>
      <c r="N109" s="162" t="s">
        <v>415</v>
      </c>
      <c r="O109" s="161" t="s">
        <v>416</v>
      </c>
      <c r="P109" s="111"/>
      <c r="Q109" s="262">
        <f>'Additional information'!$D$17</f>
        <v>0.91</v>
      </c>
      <c r="R109" s="124"/>
      <c r="T109" s="412" t="s">
        <v>33</v>
      </c>
      <c r="U109" s="131"/>
      <c r="X109" s="260">
        <v>15.448612213134769</v>
      </c>
      <c r="Y109" s="260">
        <f t="shared" si="12"/>
        <v>14.058237113952641</v>
      </c>
      <c r="Z109" s="124">
        <f t="shared" si="13"/>
        <v>14.058237113952641</v>
      </c>
    </row>
    <row r="110" spans="1:26" s="130" customFormat="1" x14ac:dyDescent="0.2">
      <c r="A110" s="41"/>
      <c r="B110" s="227"/>
      <c r="C110" s="88"/>
      <c r="D110" s="68"/>
      <c r="E110" s="43"/>
      <c r="F110" s="43"/>
      <c r="G110" s="43"/>
      <c r="H110" s="89"/>
      <c r="I110" s="43"/>
      <c r="J110" s="43"/>
      <c r="K110" s="43"/>
      <c r="L110" s="73"/>
      <c r="M110" s="73"/>
      <c r="N110" s="73"/>
      <c r="O110" s="73"/>
      <c r="P110" s="10"/>
      <c r="Q110" s="262">
        <f>'Additional information'!$D$17</f>
        <v>0.91</v>
      </c>
      <c r="R110" s="124"/>
      <c r="T110" s="132"/>
      <c r="U110" s="131"/>
      <c r="X110" s="261"/>
      <c r="Y110" s="261" t="str">
        <f t="shared" si="12"/>
        <v/>
      </c>
      <c r="Z110" s="124" t="str">
        <f t="shared" si="13"/>
        <v/>
      </c>
    </row>
    <row r="111" spans="1:26" s="130" customFormat="1" ht="153" customHeight="1" x14ac:dyDescent="0.2">
      <c r="A111" s="41" t="e">
        <f>#REF!+1</f>
        <v>#REF!</v>
      </c>
      <c r="B111" s="151" t="s">
        <v>417</v>
      </c>
      <c r="C111" s="129" t="s">
        <v>417</v>
      </c>
      <c r="D111" s="150" t="s">
        <v>418</v>
      </c>
      <c r="E111" s="135">
        <f>LEN(D111)</f>
        <v>161</v>
      </c>
      <c r="F111" s="425" t="s">
        <v>1432</v>
      </c>
      <c r="G111" s="135">
        <f>LEN(F111)</f>
        <v>196</v>
      </c>
      <c r="H111" s="144" t="s">
        <v>37</v>
      </c>
      <c r="I111" s="135" t="s">
        <v>24</v>
      </c>
      <c r="J111" s="135" t="s">
        <v>24</v>
      </c>
      <c r="K111" s="135" t="s">
        <v>38</v>
      </c>
      <c r="L111" s="134" t="s">
        <v>419</v>
      </c>
      <c r="M111" s="205" t="s">
        <v>24</v>
      </c>
      <c r="N111" s="134" t="s">
        <v>420</v>
      </c>
      <c r="O111" s="52" t="s">
        <v>421</v>
      </c>
      <c r="P111" s="10"/>
      <c r="Q111" s="262">
        <f>'Additional information'!$D$17</f>
        <v>0.91</v>
      </c>
      <c r="R111" s="124"/>
      <c r="T111" s="412" t="s">
        <v>33</v>
      </c>
      <c r="U111" s="131"/>
      <c r="X111" s="260">
        <v>11.37532997131348</v>
      </c>
      <c r="Y111" s="260">
        <f t="shared" si="12"/>
        <v>10.351550273895267</v>
      </c>
      <c r="Z111" s="124">
        <f t="shared" si="13"/>
        <v>10.351550273895267</v>
      </c>
    </row>
    <row r="112" spans="1:26" s="130" customFormat="1" ht="409.5" customHeight="1" x14ac:dyDescent="0.2">
      <c r="A112" s="100" t="e">
        <f>A111+1</f>
        <v>#REF!</v>
      </c>
      <c r="B112" s="222" t="s">
        <v>422</v>
      </c>
      <c r="C112" s="136" t="s">
        <v>423</v>
      </c>
      <c r="D112" s="384" t="s">
        <v>424</v>
      </c>
      <c r="E112" s="118">
        <f>LEN(D112)</f>
        <v>777</v>
      </c>
      <c r="F112" s="425" t="s">
        <v>1433</v>
      </c>
      <c r="G112" s="118">
        <f>LEN(F112)</f>
        <v>936</v>
      </c>
      <c r="H112" s="129" t="s">
        <v>376</v>
      </c>
      <c r="I112" s="118" t="s">
        <v>24</v>
      </c>
      <c r="J112" s="118" t="s">
        <v>24</v>
      </c>
      <c r="K112" s="118" t="s">
        <v>425</v>
      </c>
      <c r="L112" s="382" t="s">
        <v>426</v>
      </c>
      <c r="M112" s="205" t="s">
        <v>427</v>
      </c>
      <c r="N112" s="150" t="s">
        <v>428</v>
      </c>
      <c r="O112" s="52" t="s">
        <v>429</v>
      </c>
      <c r="P112" s="10"/>
      <c r="Q112" s="262">
        <f>'Additional information'!$D$17</f>
        <v>0.91</v>
      </c>
      <c r="R112" s="124"/>
      <c r="T112" s="412" t="s">
        <v>33</v>
      </c>
      <c r="U112" s="131"/>
      <c r="X112" s="260">
        <v>25.844999313354489</v>
      </c>
      <c r="Y112" s="260">
        <f t="shared" si="12"/>
        <v>23.518949375152584</v>
      </c>
      <c r="Z112" s="124">
        <f t="shared" si="13"/>
        <v>23.518949375152584</v>
      </c>
    </row>
    <row r="113" spans="1:26" s="130" customFormat="1" x14ac:dyDescent="0.2">
      <c r="A113" s="41"/>
      <c r="B113" s="227"/>
      <c r="C113" s="88"/>
      <c r="D113" s="68"/>
      <c r="E113" s="43"/>
      <c r="F113" s="43"/>
      <c r="G113" s="43"/>
      <c r="H113" s="89"/>
      <c r="I113" s="43"/>
      <c r="J113" s="43"/>
      <c r="K113" s="43"/>
      <c r="L113" s="73"/>
      <c r="M113" s="73"/>
      <c r="N113" s="73"/>
      <c r="O113" s="73"/>
      <c r="P113" s="10"/>
      <c r="Q113" s="262">
        <f>'Additional information'!$D$17</f>
        <v>0.91</v>
      </c>
      <c r="R113" s="124"/>
      <c r="T113" s="132"/>
      <c r="U113" s="131"/>
      <c r="X113" s="261"/>
      <c r="Y113" s="261" t="str">
        <f t="shared" si="12"/>
        <v/>
      </c>
      <c r="Z113" s="124" t="str">
        <f t="shared" si="13"/>
        <v/>
      </c>
    </row>
    <row r="114" spans="1:26" s="130" customFormat="1" ht="153" customHeight="1" x14ac:dyDescent="0.2">
      <c r="A114" s="50"/>
      <c r="B114" s="226" t="s">
        <v>430</v>
      </c>
      <c r="C114" s="225" t="s">
        <v>431</v>
      </c>
      <c r="D114" s="15" t="s">
        <v>432</v>
      </c>
      <c r="E114" s="24">
        <f>LEN(D114)</f>
        <v>233</v>
      </c>
      <c r="F114" s="15" t="s">
        <v>433</v>
      </c>
      <c r="G114" s="24">
        <f>LEN(F114)</f>
        <v>281</v>
      </c>
      <c r="H114" s="27" t="s">
        <v>336</v>
      </c>
      <c r="I114" s="24" t="s">
        <v>24</v>
      </c>
      <c r="J114" s="383" t="s">
        <v>24</v>
      </c>
      <c r="K114" s="24" t="s">
        <v>434</v>
      </c>
      <c r="L114" s="28" t="s">
        <v>435</v>
      </c>
      <c r="M114" s="69" t="s">
        <v>24</v>
      </c>
      <c r="N114" s="53" t="s">
        <v>436</v>
      </c>
      <c r="O114" s="53" t="s">
        <v>436</v>
      </c>
      <c r="P114" s="111"/>
      <c r="Q114" s="262">
        <f>'Additional information'!$D$17</f>
        <v>0.91</v>
      </c>
      <c r="R114" s="124"/>
      <c r="T114" s="132" t="s">
        <v>23</v>
      </c>
      <c r="U114" s="131"/>
      <c r="X114" s="261">
        <v>18.744722366333011</v>
      </c>
      <c r="Y114" s="261">
        <f t="shared" si="12"/>
        <v>17.057697353363039</v>
      </c>
      <c r="Z114" s="124" t="str">
        <f t="shared" si="13"/>
        <v/>
      </c>
    </row>
    <row r="115" spans="1:26" s="130" customFormat="1" ht="17" customHeight="1" thickBot="1" x14ac:dyDescent="0.25">
      <c r="A115" s="100"/>
      <c r="B115" s="249"/>
      <c r="C115" s="101"/>
      <c r="D115" s="77"/>
      <c r="E115" s="91"/>
      <c r="F115" s="91"/>
      <c r="G115" s="91"/>
      <c r="H115" s="101"/>
      <c r="I115" s="91"/>
      <c r="J115" s="91"/>
      <c r="K115" s="91"/>
      <c r="L115" s="83"/>
      <c r="M115" s="73"/>
      <c r="N115" s="77"/>
      <c r="O115" s="83"/>
      <c r="P115" s="60"/>
      <c r="Q115" s="262">
        <f>'Additional information'!$D$17</f>
        <v>0.91</v>
      </c>
      <c r="R115" s="124"/>
      <c r="T115" s="132"/>
      <c r="U115" s="131"/>
      <c r="X115" s="261"/>
      <c r="Y115" s="261" t="str">
        <f t="shared" si="12"/>
        <v/>
      </c>
      <c r="Z115" s="124" t="str">
        <f t="shared" si="13"/>
        <v/>
      </c>
    </row>
    <row r="116" spans="1:26" s="403" customFormat="1" ht="17" customHeight="1" thickBot="1" x14ac:dyDescent="0.25">
      <c r="A116" s="586" t="s">
        <v>437</v>
      </c>
      <c r="B116" s="587"/>
      <c r="C116" s="587"/>
      <c r="D116" s="587"/>
      <c r="E116" s="587"/>
      <c r="F116" s="587"/>
      <c r="G116" s="587"/>
      <c r="H116" s="587"/>
      <c r="I116" s="587"/>
      <c r="J116" s="587"/>
      <c r="K116" s="587"/>
      <c r="L116" s="587"/>
      <c r="M116" s="587"/>
      <c r="N116" s="587"/>
      <c r="O116" s="587"/>
      <c r="P116" s="588"/>
      <c r="Q116" s="257"/>
      <c r="R116" s="414"/>
      <c r="T116" s="412"/>
      <c r="U116" s="415"/>
      <c r="X116" s="260"/>
      <c r="Y116" s="260" t="str">
        <f t="shared" si="12"/>
        <v/>
      </c>
      <c r="Z116" s="414" t="str">
        <f t="shared" si="13"/>
        <v/>
      </c>
    </row>
    <row r="117" spans="1:26" s="130" customFormat="1" ht="255" customHeight="1" x14ac:dyDescent="0.2">
      <c r="A117" s="41"/>
      <c r="B117" s="169" t="s">
        <v>438</v>
      </c>
      <c r="C117" s="168" t="s">
        <v>438</v>
      </c>
      <c r="D117" s="539" t="s">
        <v>439</v>
      </c>
      <c r="E117" s="127">
        <f>LEN(D117)</f>
        <v>1461</v>
      </c>
      <c r="F117" s="435" t="s">
        <v>440</v>
      </c>
      <c r="G117" s="127">
        <f>LEN(F117)</f>
        <v>1615</v>
      </c>
      <c r="H117" s="137" t="s">
        <v>37</v>
      </c>
      <c r="I117" s="135" t="s">
        <v>24</v>
      </c>
      <c r="J117" s="129" t="s">
        <v>441</v>
      </c>
      <c r="K117" s="127" t="s">
        <v>38</v>
      </c>
      <c r="L117" s="134" t="s">
        <v>442</v>
      </c>
      <c r="M117" s="371" t="s">
        <v>443</v>
      </c>
      <c r="N117" s="134" t="s">
        <v>444</v>
      </c>
      <c r="O117" s="73"/>
      <c r="P117" s="10"/>
      <c r="Q117" s="262">
        <f>'Additional information'!$D$17</f>
        <v>0.91</v>
      </c>
      <c r="R117" s="124"/>
      <c r="T117" s="412" t="s">
        <v>33</v>
      </c>
      <c r="U117" s="131"/>
      <c r="X117" s="260">
        <v>17.612014770507809</v>
      </c>
      <c r="Y117" s="260">
        <f t="shared" si="12"/>
        <v>16.026933441162107</v>
      </c>
      <c r="Z117" s="124">
        <f t="shared" si="13"/>
        <v>16.026933441162107</v>
      </c>
    </row>
    <row r="118" spans="1:26" s="130" customFormat="1" x14ac:dyDescent="0.2">
      <c r="A118" s="41"/>
      <c r="B118" s="167"/>
      <c r="C118" s="88"/>
      <c r="D118" s="540"/>
      <c r="E118" s="94"/>
      <c r="F118" s="540"/>
      <c r="G118" s="94"/>
      <c r="H118" s="44"/>
      <c r="I118" s="43"/>
      <c r="J118" s="99"/>
      <c r="K118" s="43"/>
      <c r="L118" s="73"/>
      <c r="M118" s="73"/>
      <c r="N118" s="75"/>
      <c r="O118" s="75"/>
      <c r="P118" s="10"/>
      <c r="Q118" s="262">
        <f>'Additional information'!$D$17</f>
        <v>0.91</v>
      </c>
      <c r="R118" s="132"/>
      <c r="S118" s="131"/>
      <c r="V118" s="138"/>
      <c r="W118" s="183"/>
      <c r="X118" s="261"/>
      <c r="Y118" s="261" t="str">
        <f t="shared" si="12"/>
        <v/>
      </c>
      <c r="Z118" s="124" t="str">
        <f t="shared" si="13"/>
        <v/>
      </c>
    </row>
    <row r="119" spans="1:26" s="130" customFormat="1" ht="222" customHeight="1" x14ac:dyDescent="0.2">
      <c r="A119" s="87" t="e">
        <f>A112+1</f>
        <v>#REF!</v>
      </c>
      <c r="B119" s="385" t="s">
        <v>445</v>
      </c>
      <c r="C119" s="129" t="s">
        <v>445</v>
      </c>
      <c r="D119" s="128" t="s">
        <v>446</v>
      </c>
      <c r="E119" s="127">
        <f>LEN(D119)</f>
        <v>167</v>
      </c>
      <c r="F119" s="425" t="s">
        <v>447</v>
      </c>
      <c r="G119" s="127">
        <f>LEN(F119)</f>
        <v>211</v>
      </c>
      <c r="H119" s="137" t="s">
        <v>37</v>
      </c>
      <c r="I119" s="127" t="s">
        <v>24</v>
      </c>
      <c r="J119" s="129" t="s">
        <v>24</v>
      </c>
      <c r="K119" s="127" t="s">
        <v>38</v>
      </c>
      <c r="L119" s="126" t="s">
        <v>448</v>
      </c>
      <c r="M119" s="205" t="s">
        <v>24</v>
      </c>
      <c r="N119" s="126" t="s">
        <v>449</v>
      </c>
      <c r="O119" s="75"/>
      <c r="P119" s="47"/>
      <c r="Q119" s="262">
        <f>'Additional information'!$D$17</f>
        <v>0.91</v>
      </c>
      <c r="R119" s="124"/>
      <c r="T119" s="412" t="s">
        <v>33</v>
      </c>
      <c r="U119" s="131"/>
      <c r="X119" s="260">
        <v>10.457156181335449</v>
      </c>
      <c r="Y119" s="260">
        <f t="shared" si="12"/>
        <v>9.5160121250152585</v>
      </c>
      <c r="Z119" s="124">
        <f t="shared" si="13"/>
        <v>9.5160121250152585</v>
      </c>
    </row>
    <row r="120" spans="1:26" s="130" customFormat="1" ht="323" customHeight="1" x14ac:dyDescent="0.2">
      <c r="A120" s="41" t="e">
        <f>A119+1</f>
        <v>#REF!</v>
      </c>
      <c r="B120" s="169" t="s">
        <v>450</v>
      </c>
      <c r="C120" s="129" t="s">
        <v>451</v>
      </c>
      <c r="D120" s="384" t="s">
        <v>452</v>
      </c>
      <c r="E120" s="127">
        <f>LEN(D120)</f>
        <v>684</v>
      </c>
      <c r="F120" s="425" t="s">
        <v>453</v>
      </c>
      <c r="G120" s="127">
        <f>LEN(F120)</f>
        <v>863</v>
      </c>
      <c r="H120" s="129" t="s">
        <v>376</v>
      </c>
      <c r="I120" s="135" t="s">
        <v>24</v>
      </c>
      <c r="J120" s="160" t="s">
        <v>24</v>
      </c>
      <c r="K120" s="135" t="s">
        <v>377</v>
      </c>
      <c r="L120" s="134" t="s">
        <v>454</v>
      </c>
      <c r="M120" s="205" t="s">
        <v>455</v>
      </c>
      <c r="N120" s="134" t="s">
        <v>456</v>
      </c>
      <c r="O120" s="73"/>
      <c r="P120" s="10"/>
      <c r="Q120" s="262">
        <f>'Additional information'!$D$17</f>
        <v>0.91</v>
      </c>
      <c r="R120" s="124"/>
      <c r="T120" s="412" t="s">
        <v>33</v>
      </c>
      <c r="U120" s="131"/>
      <c r="X120" s="260">
        <v>20.769962310791019</v>
      </c>
      <c r="Y120" s="260">
        <f t="shared" si="12"/>
        <v>18.900665702819829</v>
      </c>
      <c r="Z120" s="124">
        <f t="shared" si="13"/>
        <v>18.900665702819829</v>
      </c>
    </row>
    <row r="121" spans="1:26" s="130" customFormat="1" x14ac:dyDescent="0.2">
      <c r="A121" s="41"/>
      <c r="B121" s="167"/>
      <c r="C121" s="88"/>
      <c r="D121" s="540"/>
      <c r="E121" s="94"/>
      <c r="F121" s="425"/>
      <c r="G121" s="94"/>
      <c r="H121" s="44"/>
      <c r="I121" s="43"/>
      <c r="J121" s="98"/>
      <c r="K121" s="43"/>
      <c r="L121" s="73"/>
      <c r="M121" s="73"/>
      <c r="N121" s="75"/>
      <c r="O121" s="75"/>
      <c r="P121" s="10"/>
      <c r="Q121" s="262">
        <f>'Additional information'!$D$17</f>
        <v>0.91</v>
      </c>
      <c r="R121" s="124"/>
      <c r="T121" s="132"/>
      <c r="U121" s="131"/>
      <c r="X121" s="261"/>
      <c r="Y121" s="261" t="str">
        <f t="shared" si="12"/>
        <v/>
      </c>
      <c r="Z121" s="124" t="str">
        <f t="shared" si="13"/>
        <v/>
      </c>
    </row>
    <row r="122" spans="1:26" s="130" customFormat="1" ht="261" customHeight="1" x14ac:dyDescent="0.2">
      <c r="A122" s="41" t="e">
        <f>A120+1</f>
        <v>#REF!</v>
      </c>
      <c r="B122" s="169" t="s">
        <v>457</v>
      </c>
      <c r="C122" s="129" t="s">
        <v>457</v>
      </c>
      <c r="D122" s="150" t="s">
        <v>458</v>
      </c>
      <c r="E122" s="135">
        <f>LEN(D122)</f>
        <v>340</v>
      </c>
      <c r="F122" s="425" t="s">
        <v>459</v>
      </c>
      <c r="G122" s="135">
        <f>LEN(F122)</f>
        <v>395</v>
      </c>
      <c r="H122" s="144" t="s">
        <v>37</v>
      </c>
      <c r="I122" s="135" t="s">
        <v>24</v>
      </c>
      <c r="J122" s="135" t="s">
        <v>24</v>
      </c>
      <c r="K122" s="135" t="s">
        <v>38</v>
      </c>
      <c r="L122" s="159" t="s">
        <v>460</v>
      </c>
      <c r="M122" s="205" t="s">
        <v>24</v>
      </c>
      <c r="N122" s="133" t="s">
        <v>461</v>
      </c>
      <c r="O122" s="158"/>
      <c r="P122" s="10"/>
      <c r="Q122" s="262">
        <f>'Additional information'!$D$17</f>
        <v>0.91</v>
      </c>
      <c r="R122" s="124"/>
      <c r="T122" s="412" t="s">
        <v>33</v>
      </c>
      <c r="U122" s="131"/>
      <c r="X122" s="260">
        <v>23.569721221923832</v>
      </c>
      <c r="Y122" s="260">
        <f t="shared" si="12"/>
        <v>21.448446311950686</v>
      </c>
      <c r="Z122" s="124">
        <f t="shared" si="13"/>
        <v>21.448446311950686</v>
      </c>
    </row>
    <row r="123" spans="1:26" s="130" customFormat="1" ht="17" customHeight="1" thickBot="1" x14ac:dyDescent="0.25">
      <c r="A123" s="41"/>
      <c r="B123" s="167"/>
      <c r="C123" s="88"/>
      <c r="D123" s="540"/>
      <c r="E123" s="94"/>
      <c r="F123" s="540"/>
      <c r="G123" s="94"/>
      <c r="H123" s="44"/>
      <c r="I123" s="43"/>
      <c r="J123" s="98"/>
      <c r="K123" s="43"/>
      <c r="L123" s="73"/>
      <c r="M123" s="73"/>
      <c r="N123" s="75"/>
      <c r="O123" s="75"/>
      <c r="P123" s="10"/>
      <c r="Q123" s="262">
        <f>'Additional information'!$D$17</f>
        <v>0.91</v>
      </c>
      <c r="R123" s="124"/>
      <c r="T123" s="132"/>
      <c r="U123" s="131"/>
      <c r="X123" s="261"/>
      <c r="Y123" s="261" t="str">
        <f t="shared" si="12"/>
        <v/>
      </c>
      <c r="Z123" s="124" t="str">
        <f t="shared" si="13"/>
        <v/>
      </c>
    </row>
    <row r="124" spans="1:26" s="403" customFormat="1" ht="17" customHeight="1" thickBot="1" x14ac:dyDescent="0.25">
      <c r="A124" s="586" t="s">
        <v>462</v>
      </c>
      <c r="B124" s="587"/>
      <c r="C124" s="587"/>
      <c r="D124" s="587"/>
      <c r="E124" s="587"/>
      <c r="F124" s="587"/>
      <c r="G124" s="587"/>
      <c r="H124" s="587"/>
      <c r="I124" s="587"/>
      <c r="J124" s="587"/>
      <c r="K124" s="587"/>
      <c r="L124" s="587"/>
      <c r="M124" s="587"/>
      <c r="N124" s="587"/>
      <c r="O124" s="587"/>
      <c r="P124" s="588"/>
      <c r="Q124" s="257"/>
      <c r="R124" s="414"/>
      <c r="T124" s="412"/>
      <c r="U124" s="415"/>
      <c r="X124" s="260"/>
      <c r="Y124" s="260" t="str">
        <f t="shared" si="12"/>
        <v/>
      </c>
      <c r="Z124" s="414" t="str">
        <f t="shared" si="13"/>
        <v/>
      </c>
    </row>
    <row r="125" spans="1:26" s="130" customFormat="1" ht="136" customHeight="1" x14ac:dyDescent="0.2">
      <c r="A125" s="87" t="e">
        <f>A122+1</f>
        <v>#REF!</v>
      </c>
      <c r="B125" s="387" t="s">
        <v>463</v>
      </c>
      <c r="C125" s="541" t="s">
        <v>463</v>
      </c>
      <c r="D125" s="542" t="s">
        <v>464</v>
      </c>
      <c r="E125" s="127">
        <f>LEN(D125)</f>
        <v>173</v>
      </c>
      <c r="F125" s="436" t="s">
        <v>465</v>
      </c>
      <c r="G125" s="127">
        <f>LEN(F125)</f>
        <v>215</v>
      </c>
      <c r="H125" s="127" t="s">
        <v>37</v>
      </c>
      <c r="I125" s="127" t="s">
        <v>24</v>
      </c>
      <c r="J125" s="127" t="s">
        <v>466</v>
      </c>
      <c r="K125" s="127" t="s">
        <v>38</v>
      </c>
      <c r="L125" s="126" t="s">
        <v>467</v>
      </c>
      <c r="M125" s="205" t="s">
        <v>24</v>
      </c>
      <c r="N125" s="133" t="s">
        <v>468</v>
      </c>
      <c r="O125" s="158"/>
      <c r="P125" s="9"/>
      <c r="Q125" s="257">
        <f>'Additional information'!$D$18</f>
        <v>0.91</v>
      </c>
      <c r="R125" s="124"/>
      <c r="T125" s="412" t="s">
        <v>33</v>
      </c>
      <c r="U125" s="131"/>
      <c r="X125" s="260">
        <v>4.5019583702087402</v>
      </c>
      <c r="Y125" s="260">
        <f t="shared" si="12"/>
        <v>4.0967821168899539</v>
      </c>
      <c r="Z125" s="124">
        <f t="shared" si="13"/>
        <v>4.0967821168899539</v>
      </c>
    </row>
    <row r="126" spans="1:26" s="130" customFormat="1" x14ac:dyDescent="0.2">
      <c r="A126" s="41"/>
      <c r="B126" s="167"/>
      <c r="C126" s="88"/>
      <c r="D126" s="540"/>
      <c r="E126" s="94"/>
      <c r="F126" s="437"/>
      <c r="G126" s="94"/>
      <c r="H126" s="44"/>
      <c r="I126" s="43"/>
      <c r="J126" s="99"/>
      <c r="K126" s="43"/>
      <c r="L126" s="73"/>
      <c r="M126" s="73"/>
      <c r="N126" s="75"/>
      <c r="O126" s="75"/>
      <c r="P126" s="10"/>
      <c r="Q126" s="262">
        <f>'Additional information'!$D$18</f>
        <v>0.91</v>
      </c>
      <c r="R126" s="124"/>
      <c r="T126" s="132"/>
      <c r="U126" s="131"/>
      <c r="X126" s="261"/>
      <c r="Y126" s="261" t="str">
        <f t="shared" si="12"/>
        <v/>
      </c>
      <c r="Z126" s="124" t="str">
        <f t="shared" si="13"/>
        <v/>
      </c>
    </row>
    <row r="127" spans="1:26" s="130" customFormat="1" ht="323" customHeight="1" x14ac:dyDescent="0.2">
      <c r="A127" s="87" t="e">
        <f>A125+1</f>
        <v>#REF!</v>
      </c>
      <c r="B127" s="220" t="s">
        <v>469</v>
      </c>
      <c r="C127" s="129" t="s">
        <v>469</v>
      </c>
      <c r="D127" s="128" t="s">
        <v>470</v>
      </c>
      <c r="E127" s="127">
        <f>LEN(D127)</f>
        <v>579</v>
      </c>
      <c r="F127" s="181" t="s">
        <v>471</v>
      </c>
      <c r="G127" s="127">
        <f>LEN(F127)</f>
        <v>640</v>
      </c>
      <c r="H127" s="127" t="s">
        <v>37</v>
      </c>
      <c r="I127" s="127" t="s">
        <v>24</v>
      </c>
      <c r="J127" s="127" t="s">
        <v>24</v>
      </c>
      <c r="K127" s="129" t="s">
        <v>472</v>
      </c>
      <c r="L127" s="126" t="s">
        <v>473</v>
      </c>
      <c r="M127" s="205" t="s">
        <v>24</v>
      </c>
      <c r="N127" s="133" t="s">
        <v>474</v>
      </c>
      <c r="O127" s="158"/>
      <c r="P127" s="47"/>
      <c r="Q127" s="257">
        <f>'Additional information'!$D$18</f>
        <v>0.91</v>
      </c>
      <c r="R127" s="124"/>
      <c r="T127" s="412" t="s">
        <v>33</v>
      </c>
      <c r="U127" s="131"/>
      <c r="X127" s="260">
        <v>17.402484893798832</v>
      </c>
      <c r="Y127" s="260">
        <f t="shared" si="12"/>
        <v>15.836261253356938</v>
      </c>
      <c r="Z127" s="124">
        <f t="shared" si="13"/>
        <v>15.836261253356938</v>
      </c>
    </row>
    <row r="128" spans="1:26" s="130" customFormat="1" x14ac:dyDescent="0.2">
      <c r="A128" s="87"/>
      <c r="B128" s="248"/>
      <c r="C128" s="88"/>
      <c r="D128" s="156"/>
      <c r="E128" s="94"/>
      <c r="F128" s="93"/>
      <c r="G128" s="94"/>
      <c r="H128" s="94"/>
      <c r="I128" s="94"/>
      <c r="J128" s="94"/>
      <c r="K128" s="88"/>
      <c r="L128" s="75"/>
      <c r="M128" s="73"/>
      <c r="N128" s="158"/>
      <c r="O128" s="158"/>
      <c r="P128" s="47"/>
      <c r="Q128" s="262">
        <f>'Additional information'!$D$18</f>
        <v>0.91</v>
      </c>
      <c r="R128" s="124"/>
      <c r="T128" s="132"/>
      <c r="U128" s="131"/>
      <c r="X128" s="261"/>
      <c r="Y128" s="261" t="str">
        <f t="shared" si="12"/>
        <v/>
      </c>
      <c r="Z128" s="124" t="str">
        <f t="shared" si="13"/>
        <v/>
      </c>
    </row>
    <row r="129" spans="1:26" s="130" customFormat="1" ht="68" customHeight="1" x14ac:dyDescent="0.2">
      <c r="A129" s="41" t="e">
        <f>A127+1</f>
        <v>#REF!</v>
      </c>
      <c r="B129" s="169" t="s">
        <v>475</v>
      </c>
      <c r="C129" s="129" t="s">
        <v>475</v>
      </c>
      <c r="D129" s="150" t="s">
        <v>476</v>
      </c>
      <c r="E129" s="135">
        <f>LEN(D129)</f>
        <v>152</v>
      </c>
      <c r="F129" s="181" t="s">
        <v>477</v>
      </c>
      <c r="G129" s="135">
        <f>LEN(F129)</f>
        <v>176</v>
      </c>
      <c r="H129" s="144" t="s">
        <v>127</v>
      </c>
      <c r="I129" s="135" t="s">
        <v>24</v>
      </c>
      <c r="J129" s="135" t="s">
        <v>24</v>
      </c>
      <c r="K129" s="135" t="s">
        <v>27</v>
      </c>
      <c r="L129" s="134" t="s">
        <v>478</v>
      </c>
      <c r="M129" s="205" t="s">
        <v>24</v>
      </c>
      <c r="N129" s="134" t="s">
        <v>479</v>
      </c>
      <c r="O129" s="75"/>
      <c r="P129" s="10"/>
      <c r="Q129" s="257">
        <f>'Additional information'!$D$18</f>
        <v>0.91</v>
      </c>
      <c r="R129" s="124"/>
      <c r="T129" s="412" t="s">
        <v>33</v>
      </c>
      <c r="U129" s="131"/>
      <c r="X129" s="260">
        <v>16.332881927490231</v>
      </c>
      <c r="Y129" s="260">
        <f t="shared" si="12"/>
        <v>14.862922554016111</v>
      </c>
      <c r="Z129" s="124">
        <f t="shared" si="13"/>
        <v>14.862922554016111</v>
      </c>
    </row>
    <row r="130" spans="1:26" s="130" customFormat="1" ht="68" customHeight="1" x14ac:dyDescent="0.2">
      <c r="A130" s="41" t="e">
        <f>A129+1</f>
        <v>#REF!</v>
      </c>
      <c r="B130" s="169" t="s">
        <v>480</v>
      </c>
      <c r="C130" s="129" t="s">
        <v>480</v>
      </c>
      <c r="D130" s="149" t="s">
        <v>481</v>
      </c>
      <c r="E130" s="135">
        <f>LEN(D130)</f>
        <v>128</v>
      </c>
      <c r="F130" s="181" t="s">
        <v>482</v>
      </c>
      <c r="G130" s="135">
        <f>LEN(F130)</f>
        <v>152</v>
      </c>
      <c r="H130" s="144" t="s">
        <v>127</v>
      </c>
      <c r="I130" s="135" t="s">
        <v>24</v>
      </c>
      <c r="J130" s="135" t="s">
        <v>24</v>
      </c>
      <c r="K130" s="135" t="s">
        <v>27</v>
      </c>
      <c r="L130" s="134" t="s">
        <v>483</v>
      </c>
      <c r="M130" s="205" t="s">
        <v>24</v>
      </c>
      <c r="N130" s="134" t="s">
        <v>484</v>
      </c>
      <c r="O130" s="75"/>
      <c r="P130" s="10"/>
      <c r="Q130" s="257">
        <f>'Additional information'!$D$18</f>
        <v>0.91</v>
      </c>
      <c r="R130" s="124"/>
      <c r="T130" s="412" t="s">
        <v>33</v>
      </c>
      <c r="U130" s="131"/>
      <c r="X130" s="260">
        <v>7.4144525527954102</v>
      </c>
      <c r="Y130" s="260">
        <f t="shared" si="12"/>
        <v>6.7471518230438239</v>
      </c>
      <c r="Z130" s="124">
        <f t="shared" si="13"/>
        <v>6.7471518230438239</v>
      </c>
    </row>
    <row r="131" spans="1:26" s="130" customFormat="1" ht="400" customHeight="1" x14ac:dyDescent="0.2">
      <c r="A131" s="41">
        <v>44</v>
      </c>
      <c r="B131" s="169" t="s">
        <v>485</v>
      </c>
      <c r="C131" s="129" t="s">
        <v>486</v>
      </c>
      <c r="D131" s="384" t="s">
        <v>487</v>
      </c>
      <c r="E131" s="135">
        <f>LEN(D131)</f>
        <v>787</v>
      </c>
      <c r="F131" s="425" t="s">
        <v>488</v>
      </c>
      <c r="G131" s="135">
        <f>LEN(F131)</f>
        <v>934</v>
      </c>
      <c r="H131" s="129" t="s">
        <v>376</v>
      </c>
      <c r="I131" s="135" t="s">
        <v>24</v>
      </c>
      <c r="J131" s="135" t="s">
        <v>24</v>
      </c>
      <c r="K131" s="135" t="s">
        <v>489</v>
      </c>
      <c r="L131" s="134" t="s">
        <v>490</v>
      </c>
      <c r="M131" s="205" t="s">
        <v>491</v>
      </c>
      <c r="N131" s="133" t="s">
        <v>492</v>
      </c>
      <c r="O131" s="29" t="s">
        <v>493</v>
      </c>
      <c r="P131" s="10"/>
      <c r="Q131" s="257">
        <f>'Additional information'!$D$18</f>
        <v>0.91</v>
      </c>
      <c r="R131" s="124"/>
      <c r="T131" s="412" t="s">
        <v>33</v>
      </c>
      <c r="U131" s="131"/>
      <c r="X131" s="260">
        <v>17.791135787963871</v>
      </c>
      <c r="Y131" s="260">
        <f t="shared" si="12"/>
        <v>16.189933567047124</v>
      </c>
      <c r="Z131" s="124">
        <f t="shared" si="13"/>
        <v>16.189933567047124</v>
      </c>
    </row>
    <row r="132" spans="1:26" s="130" customFormat="1" ht="238" customHeight="1" x14ac:dyDescent="0.2">
      <c r="A132" s="14">
        <v>45</v>
      </c>
      <c r="B132" s="221" t="s">
        <v>494</v>
      </c>
      <c r="C132" s="17" t="s">
        <v>495</v>
      </c>
      <c r="D132" s="22" t="s">
        <v>496</v>
      </c>
      <c r="E132" s="20">
        <f>LEN(D132)</f>
        <v>285</v>
      </c>
      <c r="F132" s="438" t="s">
        <v>497</v>
      </c>
      <c r="G132" s="20">
        <f>LEN(F132)</f>
        <v>337</v>
      </c>
      <c r="H132" s="363" t="s">
        <v>376</v>
      </c>
      <c r="I132" s="20" t="s">
        <v>24</v>
      </c>
      <c r="J132" s="20" t="s">
        <v>24</v>
      </c>
      <c r="K132" s="20" t="s">
        <v>498</v>
      </c>
      <c r="L132" s="30" t="s">
        <v>499</v>
      </c>
      <c r="M132" s="69" t="s">
        <v>500</v>
      </c>
      <c r="N132" s="109" t="s">
        <v>501</v>
      </c>
      <c r="O132" s="109" t="s">
        <v>501</v>
      </c>
      <c r="P132" s="10"/>
      <c r="Q132" s="262">
        <f>'Additional information'!$D$18</f>
        <v>0.91</v>
      </c>
      <c r="R132" s="124"/>
      <c r="T132" s="132" t="s">
        <v>23</v>
      </c>
      <c r="U132" s="131"/>
      <c r="X132" s="261">
        <v>18.08681678771973</v>
      </c>
      <c r="Y132" s="261">
        <f t="shared" si="12"/>
        <v>16.459003276824955</v>
      </c>
      <c r="Z132" s="124" t="str">
        <f t="shared" si="13"/>
        <v/>
      </c>
    </row>
    <row r="133" spans="1:26" s="130" customFormat="1" x14ac:dyDescent="0.2">
      <c r="A133" s="41"/>
      <c r="B133" s="167"/>
      <c r="C133" s="88"/>
      <c r="D133" s="68"/>
      <c r="E133" s="43"/>
      <c r="G133" s="43"/>
      <c r="H133" s="89"/>
      <c r="I133" s="43"/>
      <c r="J133" s="43"/>
      <c r="K133" s="43"/>
      <c r="L133" s="73"/>
      <c r="M133" s="73"/>
      <c r="N133" s="73"/>
      <c r="O133" s="75"/>
      <c r="P133" s="10"/>
      <c r="Q133" s="262">
        <f>'Additional information'!$D$18</f>
        <v>0.91</v>
      </c>
      <c r="R133" s="124"/>
      <c r="T133" s="132"/>
      <c r="U133" s="131"/>
      <c r="X133" s="261"/>
      <c r="Y133" s="261" t="str">
        <f t="shared" si="12"/>
        <v/>
      </c>
      <c r="Z133" s="124" t="str">
        <f t="shared" si="13"/>
        <v/>
      </c>
    </row>
    <row r="134" spans="1:26" s="130" customFormat="1" ht="153" customHeight="1" x14ac:dyDescent="0.2">
      <c r="A134" s="41">
        <f>A132+1</f>
        <v>46</v>
      </c>
      <c r="B134" s="169" t="s">
        <v>502</v>
      </c>
      <c r="C134" s="129" t="s">
        <v>502</v>
      </c>
      <c r="D134" s="150" t="s">
        <v>503</v>
      </c>
      <c r="E134" s="135">
        <f>LEN(D134)</f>
        <v>167</v>
      </c>
      <c r="F134" s="425" t="s">
        <v>504</v>
      </c>
      <c r="G134" s="135">
        <f>LEN(F134)</f>
        <v>187</v>
      </c>
      <c r="H134" s="144" t="s">
        <v>37</v>
      </c>
      <c r="I134" s="135" t="s">
        <v>24</v>
      </c>
      <c r="J134" s="135" t="s">
        <v>24</v>
      </c>
      <c r="K134" s="135" t="s">
        <v>38</v>
      </c>
      <c r="L134" s="134" t="s">
        <v>505</v>
      </c>
      <c r="M134" s="205" t="s">
        <v>24</v>
      </c>
      <c r="N134" s="134" t="s">
        <v>506</v>
      </c>
      <c r="O134" s="39" t="s">
        <v>507</v>
      </c>
      <c r="P134" s="10"/>
      <c r="Q134" s="257">
        <f>'Additional information'!$D$18</f>
        <v>0.91</v>
      </c>
      <c r="R134" s="124"/>
      <c r="T134" s="412" t="s">
        <v>33</v>
      </c>
      <c r="U134" s="131"/>
      <c r="X134" s="260">
        <v>10.37455940246582</v>
      </c>
      <c r="Y134" s="260">
        <f t="shared" si="12"/>
        <v>9.4408490562438967</v>
      </c>
      <c r="Z134" s="124">
        <f t="shared" si="13"/>
        <v>9.4408490562438967</v>
      </c>
    </row>
    <row r="135" spans="1:26" s="130" customFormat="1" ht="372" customHeight="1" x14ac:dyDescent="0.2">
      <c r="A135" s="100">
        <f>A134+1</f>
        <v>47</v>
      </c>
      <c r="B135" s="222" t="s">
        <v>508</v>
      </c>
      <c r="C135" s="120" t="s">
        <v>509</v>
      </c>
      <c r="D135" s="150" t="s">
        <v>510</v>
      </c>
      <c r="E135" s="135">
        <f>LEN(D135)</f>
        <v>662</v>
      </c>
      <c r="F135" s="425" t="s">
        <v>511</v>
      </c>
      <c r="G135" s="135">
        <f>LEN(F135)</f>
        <v>762</v>
      </c>
      <c r="H135" s="129" t="s">
        <v>376</v>
      </c>
      <c r="I135" s="135" t="s">
        <v>24</v>
      </c>
      <c r="J135" s="135" t="s">
        <v>24</v>
      </c>
      <c r="K135" s="135" t="s">
        <v>512</v>
      </c>
      <c r="L135" s="386" t="s">
        <v>513</v>
      </c>
      <c r="M135" s="205" t="s">
        <v>514</v>
      </c>
      <c r="N135" s="150" t="s">
        <v>515</v>
      </c>
      <c r="O135" s="52" t="s">
        <v>516</v>
      </c>
      <c r="P135" s="10"/>
      <c r="Q135" s="257">
        <f>'Additional information'!$D$18</f>
        <v>0.91</v>
      </c>
      <c r="R135" s="124"/>
      <c r="T135" s="412" t="s">
        <v>33</v>
      </c>
      <c r="U135" s="131"/>
      <c r="X135" s="260">
        <v>19.616762161254879</v>
      </c>
      <c r="Y135" s="260">
        <f t="shared" si="12"/>
        <v>17.851253566741942</v>
      </c>
      <c r="Z135" s="124">
        <f t="shared" si="13"/>
        <v>17.851253566741942</v>
      </c>
    </row>
    <row r="136" spans="1:26" s="130" customFormat="1" ht="238" customHeight="1" x14ac:dyDescent="0.2">
      <c r="A136" s="14"/>
      <c r="B136" s="223" t="s">
        <v>517</v>
      </c>
      <c r="C136" s="230" t="s">
        <v>518</v>
      </c>
      <c r="D136" s="15" t="s">
        <v>519</v>
      </c>
      <c r="E136" s="24">
        <f>LEN(D136)</f>
        <v>241</v>
      </c>
      <c r="F136" s="15" t="s">
        <v>520</v>
      </c>
      <c r="G136" s="24">
        <f>LEN(F136)</f>
        <v>277</v>
      </c>
      <c r="H136" s="27" t="s">
        <v>336</v>
      </c>
      <c r="I136" s="24" t="s">
        <v>24</v>
      </c>
      <c r="J136" s="24" t="s">
        <v>521</v>
      </c>
      <c r="K136" s="24" t="s">
        <v>522</v>
      </c>
      <c r="L136" s="28" t="s">
        <v>523</v>
      </c>
      <c r="M136" s="69" t="s">
        <v>524</v>
      </c>
      <c r="N136" s="53" t="s">
        <v>525</v>
      </c>
      <c r="O136" s="53" t="s">
        <v>525</v>
      </c>
      <c r="P136" s="111"/>
      <c r="Q136" s="262">
        <f>'Additional information'!$D$18</f>
        <v>0.91</v>
      </c>
      <c r="R136" s="124"/>
      <c r="T136" s="132" t="s">
        <v>23</v>
      </c>
      <c r="U136" s="131"/>
      <c r="X136" s="261">
        <v>7.2497549057006836</v>
      </c>
      <c r="Y136" s="261">
        <f t="shared" si="12"/>
        <v>6.5972769641876221</v>
      </c>
      <c r="Z136" s="124" t="str">
        <f t="shared" si="13"/>
        <v/>
      </c>
    </row>
    <row r="137" spans="1:26" s="130" customFormat="1" ht="17" customHeight="1" thickBot="1" x14ac:dyDescent="0.25">
      <c r="A137" s="41"/>
      <c r="B137" s="167"/>
      <c r="C137" s="88"/>
      <c r="D137" s="68"/>
      <c r="E137" s="43"/>
      <c r="F137" s="43"/>
      <c r="G137" s="43"/>
      <c r="H137" s="89"/>
      <c r="I137" s="43"/>
      <c r="J137" s="43"/>
      <c r="K137" s="43"/>
      <c r="L137" s="73"/>
      <c r="M137" s="73"/>
      <c r="N137" s="73"/>
      <c r="O137" s="75"/>
      <c r="P137" s="47"/>
      <c r="Q137" s="262">
        <f>'Additional information'!$D$18</f>
        <v>0.91</v>
      </c>
      <c r="R137" s="124"/>
      <c r="T137" s="132"/>
      <c r="U137" s="131"/>
      <c r="X137" s="261"/>
      <c r="Y137" s="261" t="str">
        <f t="shared" si="12"/>
        <v/>
      </c>
      <c r="Z137" s="124" t="str">
        <f t="shared" si="13"/>
        <v/>
      </c>
    </row>
    <row r="138" spans="1:26" s="403" customFormat="1" ht="17" customHeight="1" thickBot="1" x14ac:dyDescent="0.25">
      <c r="A138" s="586" t="s">
        <v>526</v>
      </c>
      <c r="B138" s="587"/>
      <c r="C138" s="587"/>
      <c r="D138" s="587"/>
      <c r="E138" s="587"/>
      <c r="F138" s="587"/>
      <c r="G138" s="587"/>
      <c r="H138" s="587"/>
      <c r="I138" s="587"/>
      <c r="J138" s="587"/>
      <c r="K138" s="587"/>
      <c r="L138" s="587"/>
      <c r="M138" s="587"/>
      <c r="N138" s="587"/>
      <c r="O138" s="587"/>
      <c r="P138" s="588"/>
      <c r="Q138" s="257"/>
      <c r="R138" s="414"/>
      <c r="T138" s="412"/>
      <c r="U138" s="415"/>
      <c r="X138" s="260"/>
      <c r="Y138" s="260" t="str">
        <f t="shared" si="12"/>
        <v/>
      </c>
      <c r="Z138" s="414" t="str">
        <f t="shared" si="13"/>
        <v/>
      </c>
    </row>
    <row r="139" spans="1:26" s="130" customFormat="1" ht="323" customHeight="1" x14ac:dyDescent="0.2">
      <c r="A139" s="87">
        <f>A135+1</f>
        <v>48</v>
      </c>
      <c r="B139" s="220" t="s">
        <v>527</v>
      </c>
      <c r="C139" s="129" t="s">
        <v>527</v>
      </c>
      <c r="D139" s="153" t="s">
        <v>528</v>
      </c>
      <c r="E139" s="127">
        <f>LEN(D139)</f>
        <v>503</v>
      </c>
      <c r="F139" s="425" t="s">
        <v>529</v>
      </c>
      <c r="G139" s="127">
        <f>LEN(F139)</f>
        <v>563</v>
      </c>
      <c r="H139" s="137" t="s">
        <v>37</v>
      </c>
      <c r="I139" s="127" t="s">
        <v>24</v>
      </c>
      <c r="J139" s="127" t="s">
        <v>530</v>
      </c>
      <c r="K139" s="129" t="s">
        <v>531</v>
      </c>
      <c r="L139" s="126" t="s">
        <v>532</v>
      </c>
      <c r="M139" s="205" t="s">
        <v>24</v>
      </c>
      <c r="N139" s="126" t="s">
        <v>533</v>
      </c>
      <c r="O139" s="75"/>
      <c r="P139" s="9"/>
      <c r="Q139" s="257">
        <f>'Additional information'!$D$18</f>
        <v>0.91</v>
      </c>
      <c r="R139" s="124"/>
      <c r="T139" s="412" t="s">
        <v>33</v>
      </c>
      <c r="U139" s="131"/>
      <c r="X139" s="260">
        <v>12.992362976074221</v>
      </c>
      <c r="Y139" s="260">
        <f t="shared" ref="Y139:Y170" si="14">IF(X139="","",X139*Q139)</f>
        <v>11.823050308227542</v>
      </c>
      <c r="Z139" s="124">
        <f t="shared" ref="Z139:Z170" si="15">IF(T139="yes",Y139,"")</f>
        <v>11.823050308227542</v>
      </c>
    </row>
    <row r="140" spans="1:26" s="130" customFormat="1" x14ac:dyDescent="0.2">
      <c r="A140" s="87"/>
      <c r="B140" s="248"/>
      <c r="C140" s="88"/>
      <c r="D140" s="96"/>
      <c r="E140" s="94"/>
      <c r="F140" s="94"/>
      <c r="G140" s="94"/>
      <c r="H140" s="97"/>
      <c r="I140" s="94"/>
      <c r="J140" s="94"/>
      <c r="K140" s="88"/>
      <c r="L140" s="75"/>
      <c r="M140" s="73"/>
      <c r="N140" s="75"/>
      <c r="O140" s="75"/>
      <c r="P140" s="47"/>
      <c r="Q140" s="262">
        <f>'Additional information'!$D$18</f>
        <v>0.91</v>
      </c>
      <c r="R140" s="124"/>
      <c r="T140" s="132"/>
      <c r="U140" s="131"/>
      <c r="X140" s="261"/>
      <c r="Y140" s="261" t="str">
        <f t="shared" si="14"/>
        <v/>
      </c>
      <c r="Z140" s="124" t="str">
        <f t="shared" si="15"/>
        <v/>
      </c>
    </row>
    <row r="141" spans="1:26" s="130" customFormat="1" ht="153" customHeight="1" x14ac:dyDescent="0.2">
      <c r="A141" s="41">
        <f>A139+1</f>
        <v>49</v>
      </c>
      <c r="B141" s="151" t="s">
        <v>534</v>
      </c>
      <c r="C141" s="129" t="s">
        <v>534</v>
      </c>
      <c r="D141" s="150" t="s">
        <v>535</v>
      </c>
      <c r="E141" s="135">
        <f>LEN(D141)</f>
        <v>166</v>
      </c>
      <c r="F141" s="425" t="s">
        <v>536</v>
      </c>
      <c r="G141" s="135">
        <f>LEN(F141)</f>
        <v>198</v>
      </c>
      <c r="H141" s="144" t="s">
        <v>37</v>
      </c>
      <c r="I141" s="135" t="s">
        <v>24</v>
      </c>
      <c r="J141" s="135" t="s">
        <v>24</v>
      </c>
      <c r="K141" s="135" t="s">
        <v>38</v>
      </c>
      <c r="L141" s="134" t="s">
        <v>537</v>
      </c>
      <c r="M141" s="205" t="s">
        <v>24</v>
      </c>
      <c r="N141" s="134" t="s">
        <v>538</v>
      </c>
      <c r="O141" s="73"/>
      <c r="P141" s="10"/>
      <c r="Q141" s="257">
        <f>'Additional information'!$D$18</f>
        <v>0.91</v>
      </c>
      <c r="R141" s="124"/>
      <c r="T141" s="412" t="s">
        <v>33</v>
      </c>
      <c r="U141" s="131"/>
      <c r="X141" s="260">
        <v>8.6295709609985352</v>
      </c>
      <c r="Y141" s="260">
        <f t="shared" si="14"/>
        <v>7.8529095745086677</v>
      </c>
      <c r="Z141" s="124">
        <f t="shared" si="15"/>
        <v>7.8529095745086677</v>
      </c>
    </row>
    <row r="142" spans="1:26" s="130" customFormat="1" ht="323" customHeight="1" x14ac:dyDescent="0.2">
      <c r="A142" s="41">
        <f>A141+1</f>
        <v>50</v>
      </c>
      <c r="B142" s="169" t="s">
        <v>539</v>
      </c>
      <c r="C142" s="129" t="s">
        <v>540</v>
      </c>
      <c r="D142" s="384" t="s">
        <v>541</v>
      </c>
      <c r="E142" s="135">
        <f>LEN(D142)</f>
        <v>751</v>
      </c>
      <c r="F142" s="425" t="s">
        <v>542</v>
      </c>
      <c r="G142" s="135">
        <f>LEN(F142)</f>
        <v>893</v>
      </c>
      <c r="H142" s="129" t="s">
        <v>376</v>
      </c>
      <c r="I142" s="135" t="s">
        <v>24</v>
      </c>
      <c r="J142" s="135" t="s">
        <v>24</v>
      </c>
      <c r="K142" s="135" t="s">
        <v>543</v>
      </c>
      <c r="L142" s="134" t="s">
        <v>544</v>
      </c>
      <c r="M142" s="205" t="s">
        <v>545</v>
      </c>
      <c r="N142" s="134" t="s">
        <v>546</v>
      </c>
      <c r="O142" s="73"/>
      <c r="P142" s="10"/>
      <c r="Q142" s="257">
        <f>'Additional information'!$D$18</f>
        <v>0.91</v>
      </c>
      <c r="R142" s="124"/>
      <c r="T142" s="412" t="s">
        <v>33</v>
      </c>
      <c r="U142" s="131"/>
      <c r="X142" s="260">
        <v>18.256172180175781</v>
      </c>
      <c r="Y142" s="260">
        <f t="shared" si="14"/>
        <v>16.613116683959962</v>
      </c>
      <c r="Z142" s="124">
        <f t="shared" si="15"/>
        <v>16.613116683959962</v>
      </c>
    </row>
    <row r="143" spans="1:26" s="130" customFormat="1" x14ac:dyDescent="0.2">
      <c r="A143" s="41"/>
      <c r="B143" s="167"/>
      <c r="C143" s="88"/>
      <c r="D143" s="112"/>
      <c r="E143" s="43"/>
      <c r="F143" s="43"/>
      <c r="G143" s="43"/>
      <c r="H143" s="44"/>
      <c r="I143" s="43"/>
      <c r="J143" s="43"/>
      <c r="K143" s="43"/>
      <c r="L143" s="73"/>
      <c r="M143" s="73"/>
      <c r="N143" s="73"/>
      <c r="O143" s="73"/>
      <c r="P143" s="10"/>
      <c r="Q143" s="262">
        <f>'Additional information'!$D$18</f>
        <v>0.91</v>
      </c>
      <c r="R143" s="124"/>
      <c r="T143" s="132"/>
      <c r="U143" s="131"/>
      <c r="X143" s="261"/>
      <c r="Y143" s="261" t="str">
        <f t="shared" si="14"/>
        <v/>
      </c>
      <c r="Z143" s="124" t="str">
        <f t="shared" si="15"/>
        <v/>
      </c>
    </row>
    <row r="144" spans="1:26" s="130" customFormat="1" ht="221" customHeight="1" x14ac:dyDescent="0.2">
      <c r="A144" s="41">
        <f>A142+1</f>
        <v>51</v>
      </c>
      <c r="B144" s="169" t="s">
        <v>547</v>
      </c>
      <c r="C144" s="129" t="s">
        <v>547</v>
      </c>
      <c r="D144" s="150" t="s">
        <v>548</v>
      </c>
      <c r="E144" s="135">
        <f>LEN(D144)</f>
        <v>338</v>
      </c>
      <c r="F144" s="425" t="s">
        <v>549</v>
      </c>
      <c r="G144" s="135">
        <f>LEN(F144)</f>
        <v>384</v>
      </c>
      <c r="H144" s="144" t="s">
        <v>37</v>
      </c>
      <c r="I144" s="135" t="s">
        <v>24</v>
      </c>
      <c r="J144" s="135" t="s">
        <v>24</v>
      </c>
      <c r="K144" s="135" t="s">
        <v>38</v>
      </c>
      <c r="L144" s="159" t="s">
        <v>550</v>
      </c>
      <c r="M144" s="205" t="s">
        <v>24</v>
      </c>
      <c r="N144" s="159" t="s">
        <v>551</v>
      </c>
      <c r="O144" s="51"/>
      <c r="P144" s="10"/>
      <c r="Q144" s="257">
        <f>'Additional information'!$D$18</f>
        <v>0.91</v>
      </c>
      <c r="R144" s="124"/>
      <c r="T144" s="412" t="s">
        <v>33</v>
      </c>
      <c r="U144" s="131"/>
      <c r="X144" s="260">
        <v>15.45627975463867</v>
      </c>
      <c r="Y144" s="260">
        <f t="shared" si="14"/>
        <v>14.065214576721191</v>
      </c>
      <c r="Z144" s="124">
        <f t="shared" si="15"/>
        <v>14.065214576721191</v>
      </c>
    </row>
    <row r="145" spans="1:26" s="130" customFormat="1" ht="17" customHeight="1" thickBot="1" x14ac:dyDescent="0.25">
      <c r="A145" s="41"/>
      <c r="B145" s="167"/>
      <c r="C145" s="88"/>
      <c r="D145" s="68"/>
      <c r="E145" s="43"/>
      <c r="F145" s="43"/>
      <c r="G145" s="43"/>
      <c r="H145" s="89"/>
      <c r="I145" s="43"/>
      <c r="J145" s="43"/>
      <c r="K145" s="43"/>
      <c r="L145" s="51"/>
      <c r="M145" s="73"/>
      <c r="N145" s="51"/>
      <c r="O145" s="51"/>
      <c r="P145" s="10"/>
      <c r="Q145" s="262">
        <f>'Additional information'!$D$18</f>
        <v>0.91</v>
      </c>
      <c r="R145" s="124"/>
      <c r="T145" s="132"/>
      <c r="U145" s="131"/>
      <c r="X145" s="261"/>
      <c r="Y145" s="261" t="str">
        <f t="shared" si="14"/>
        <v/>
      </c>
      <c r="Z145" s="124" t="str">
        <f t="shared" si="15"/>
        <v/>
      </c>
    </row>
    <row r="146" spans="1:26" s="403" customFormat="1" ht="17" customHeight="1" thickBot="1" x14ac:dyDescent="0.25">
      <c r="A146" s="586" t="s">
        <v>552</v>
      </c>
      <c r="B146" s="587"/>
      <c r="C146" s="587"/>
      <c r="D146" s="587"/>
      <c r="E146" s="587"/>
      <c r="F146" s="587"/>
      <c r="G146" s="587"/>
      <c r="H146" s="587"/>
      <c r="I146" s="587"/>
      <c r="J146" s="587"/>
      <c r="K146" s="587"/>
      <c r="L146" s="587"/>
      <c r="M146" s="587"/>
      <c r="N146" s="587"/>
      <c r="O146" s="587"/>
      <c r="P146" s="588"/>
      <c r="Q146" s="257"/>
      <c r="R146" s="414"/>
      <c r="T146" s="412"/>
      <c r="U146" s="415"/>
      <c r="X146" s="260"/>
      <c r="Y146" s="260" t="str">
        <f t="shared" si="14"/>
        <v/>
      </c>
      <c r="Z146" s="414" t="str">
        <f t="shared" si="15"/>
        <v/>
      </c>
    </row>
    <row r="147" spans="1:26" s="130" customFormat="1" ht="120" customHeight="1" x14ac:dyDescent="0.2">
      <c r="A147" s="87">
        <f>A144+1</f>
        <v>52</v>
      </c>
      <c r="B147" s="220" t="s">
        <v>553</v>
      </c>
      <c r="C147" s="129" t="s">
        <v>553</v>
      </c>
      <c r="D147" s="388" t="s">
        <v>554</v>
      </c>
      <c r="E147" s="127">
        <f>LEN(D147)</f>
        <v>206</v>
      </c>
      <c r="F147" s="543" t="s">
        <v>555</v>
      </c>
      <c r="G147" s="127">
        <f>LEN(F147)</f>
        <v>254</v>
      </c>
      <c r="H147" s="127" t="s">
        <v>37</v>
      </c>
      <c r="I147" s="127" t="s">
        <v>24</v>
      </c>
      <c r="J147" s="127" t="s">
        <v>556</v>
      </c>
      <c r="K147" s="135" t="s">
        <v>38</v>
      </c>
      <c r="L147" s="126" t="s">
        <v>557</v>
      </c>
      <c r="M147" s="205" t="s">
        <v>24</v>
      </c>
      <c r="N147" s="133" t="s">
        <v>558</v>
      </c>
      <c r="O147" s="158"/>
      <c r="P147" s="9"/>
      <c r="Q147" s="257">
        <f>'Additional information'!$D$19</f>
        <v>0.05</v>
      </c>
      <c r="R147" s="124"/>
      <c r="T147" s="412" t="s">
        <v>33</v>
      </c>
      <c r="U147" s="131"/>
      <c r="X147" s="260">
        <v>2.4801323413848881</v>
      </c>
      <c r="Y147" s="260">
        <f t="shared" si="14"/>
        <v>0.12400661706924442</v>
      </c>
      <c r="Z147" s="124">
        <f t="shared" si="15"/>
        <v>0.12400661706924442</v>
      </c>
    </row>
    <row r="148" spans="1:26" s="130" customFormat="1" x14ac:dyDescent="0.2">
      <c r="A148" s="41"/>
      <c r="B148" s="167"/>
      <c r="C148" s="88"/>
      <c r="D148" s="68"/>
      <c r="E148" s="43"/>
      <c r="F148" s="68"/>
      <c r="G148" s="43"/>
      <c r="H148" s="89"/>
      <c r="I148" s="43"/>
      <c r="J148" s="43"/>
      <c r="K148" s="43"/>
      <c r="L148" s="51"/>
      <c r="M148" s="80"/>
      <c r="N148" s="51"/>
      <c r="O148" s="51"/>
      <c r="P148" s="10"/>
      <c r="Q148" s="262">
        <f>'Additional information'!$D$19</f>
        <v>0.05</v>
      </c>
      <c r="R148" s="124"/>
      <c r="T148" s="132"/>
      <c r="U148" s="131"/>
      <c r="X148" s="261"/>
      <c r="Y148" s="261" t="str">
        <f t="shared" si="14"/>
        <v/>
      </c>
      <c r="Z148" s="124" t="str">
        <f t="shared" si="15"/>
        <v/>
      </c>
    </row>
    <row r="149" spans="1:26" s="130" customFormat="1" ht="170" customHeight="1" x14ac:dyDescent="0.2">
      <c r="A149" s="87">
        <f>A147+1</f>
        <v>53</v>
      </c>
      <c r="B149" s="220" t="s">
        <v>559</v>
      </c>
      <c r="C149" s="389" t="s">
        <v>560</v>
      </c>
      <c r="D149" s="384" t="s">
        <v>561</v>
      </c>
      <c r="E149" s="127">
        <f>LEN(D149)</f>
        <v>282</v>
      </c>
      <c r="F149" s="191" t="s">
        <v>562</v>
      </c>
      <c r="G149" s="127">
        <f>LEN(F149)</f>
        <v>285</v>
      </c>
      <c r="H149" s="129" t="s">
        <v>336</v>
      </c>
      <c r="I149" s="127" t="s">
        <v>24</v>
      </c>
      <c r="J149" s="127" t="s">
        <v>24</v>
      </c>
      <c r="K149" s="127" t="s">
        <v>563</v>
      </c>
      <c r="L149" s="126" t="s">
        <v>564</v>
      </c>
      <c r="M149" s="205" t="s">
        <v>565</v>
      </c>
      <c r="N149" s="126" t="s">
        <v>566</v>
      </c>
      <c r="O149" s="75"/>
      <c r="P149" s="47"/>
      <c r="Q149" s="257">
        <f>'Additional information'!$D$19</f>
        <v>0.05</v>
      </c>
      <c r="R149" s="124"/>
      <c r="T149" s="412" t="s">
        <v>33</v>
      </c>
      <c r="U149" s="131"/>
      <c r="X149" s="260">
        <v>12.71689510345459</v>
      </c>
      <c r="Y149" s="260">
        <f t="shared" si="14"/>
        <v>0.63584475517272954</v>
      </c>
      <c r="Z149" s="124">
        <f t="shared" si="15"/>
        <v>0.63584475517272954</v>
      </c>
    </row>
    <row r="150" spans="1:26" s="130" customFormat="1" x14ac:dyDescent="0.2">
      <c r="A150" s="87"/>
      <c r="B150" s="248"/>
      <c r="C150" s="88"/>
      <c r="D150" s="544"/>
      <c r="E150" s="94"/>
      <c r="F150" s="544"/>
      <c r="G150" s="94"/>
      <c r="H150" s="88"/>
      <c r="I150" s="94"/>
      <c r="J150" s="94"/>
      <c r="K150" s="94"/>
      <c r="L150" s="75"/>
      <c r="M150" s="80"/>
      <c r="N150" s="75"/>
      <c r="O150" s="75"/>
      <c r="P150" s="47"/>
      <c r="Q150" s="262">
        <f>'Additional information'!$D$19</f>
        <v>0.05</v>
      </c>
      <c r="R150" s="124"/>
      <c r="T150" s="132"/>
      <c r="U150" s="131"/>
      <c r="X150" s="261"/>
      <c r="Y150" s="261" t="str">
        <f t="shared" si="14"/>
        <v/>
      </c>
      <c r="Z150" s="124" t="str">
        <f t="shared" si="15"/>
        <v/>
      </c>
    </row>
    <row r="151" spans="1:26" ht="221" customHeight="1" x14ac:dyDescent="0.2">
      <c r="A151" s="87">
        <f>A149+1</f>
        <v>54</v>
      </c>
      <c r="B151" s="390" t="s">
        <v>567</v>
      </c>
      <c r="C151" s="391" t="s">
        <v>567</v>
      </c>
      <c r="D151" s="384" t="s">
        <v>568</v>
      </c>
      <c r="E151" s="127">
        <f>LEN(D151)</f>
        <v>302</v>
      </c>
      <c r="F151" s="191" t="s">
        <v>569</v>
      </c>
      <c r="G151" s="127">
        <f>LEN(F151)</f>
        <v>388</v>
      </c>
      <c r="H151" s="391" t="s">
        <v>37</v>
      </c>
      <c r="I151" s="391" t="s">
        <v>24</v>
      </c>
      <c r="J151" s="391" t="s">
        <v>24</v>
      </c>
      <c r="K151" s="391" t="s">
        <v>38</v>
      </c>
      <c r="L151" s="392" t="s">
        <v>570</v>
      </c>
      <c r="M151" s="205" t="s">
        <v>24</v>
      </c>
      <c r="N151" s="392" t="s">
        <v>571</v>
      </c>
      <c r="O151" s="80"/>
      <c r="P151" s="10"/>
      <c r="Q151" s="257">
        <f>'Additional information'!$D$19</f>
        <v>0.05</v>
      </c>
      <c r="R151" s="124"/>
      <c r="T151" s="412" t="s">
        <v>33</v>
      </c>
      <c r="X151" s="260">
        <v>10.51750373840332</v>
      </c>
      <c r="Y151" s="260">
        <f t="shared" si="14"/>
        <v>0.52587518692016599</v>
      </c>
      <c r="Z151" s="124">
        <f t="shared" si="15"/>
        <v>0.52587518692016599</v>
      </c>
    </row>
    <row r="152" spans="1:26" x14ac:dyDescent="0.2">
      <c r="A152" s="87"/>
      <c r="B152" s="157"/>
      <c r="C152" s="155"/>
      <c r="D152" s="156"/>
      <c r="E152" s="94"/>
      <c r="F152" s="156"/>
      <c r="G152" s="94"/>
      <c r="H152" s="155"/>
      <c r="I152" s="155"/>
      <c r="J152" s="155"/>
      <c r="K152" s="155"/>
      <c r="L152" s="80"/>
      <c r="M152" s="80"/>
      <c r="N152" s="154"/>
      <c r="O152" s="80"/>
      <c r="P152" s="10"/>
      <c r="Q152" s="262">
        <f>'Additional information'!$D$19</f>
        <v>0.05</v>
      </c>
      <c r="R152" s="124"/>
      <c r="T152" s="132"/>
      <c r="X152" s="261"/>
      <c r="Y152" s="261" t="str">
        <f t="shared" si="14"/>
        <v/>
      </c>
      <c r="Z152" s="124" t="str">
        <f t="shared" si="15"/>
        <v/>
      </c>
    </row>
    <row r="153" spans="1:26" s="130" customFormat="1" ht="153" customHeight="1" x14ac:dyDescent="0.2">
      <c r="A153" s="87">
        <f>A151+1</f>
        <v>55</v>
      </c>
      <c r="B153" s="220" t="s">
        <v>572</v>
      </c>
      <c r="C153" s="129" t="s">
        <v>572</v>
      </c>
      <c r="D153" s="384" t="s">
        <v>573</v>
      </c>
      <c r="E153" s="127">
        <f>LEN(D153)</f>
        <v>169</v>
      </c>
      <c r="F153" s="191" t="s">
        <v>574</v>
      </c>
      <c r="G153" s="127">
        <f>LEN(F153)</f>
        <v>207</v>
      </c>
      <c r="H153" s="137" t="s">
        <v>37</v>
      </c>
      <c r="I153" s="127" t="s">
        <v>24</v>
      </c>
      <c r="J153" s="127" t="s">
        <v>24</v>
      </c>
      <c r="K153" s="127" t="s">
        <v>38</v>
      </c>
      <c r="L153" s="126" t="s">
        <v>575</v>
      </c>
      <c r="M153" s="205" t="s">
        <v>24</v>
      </c>
      <c r="N153" s="134" t="s">
        <v>576</v>
      </c>
      <c r="O153" s="39" t="s">
        <v>577</v>
      </c>
      <c r="P153" s="10"/>
      <c r="Q153" s="257">
        <f>'Additional information'!$D$19</f>
        <v>0.05</v>
      </c>
      <c r="R153" s="124"/>
      <c r="T153" s="412" t="s">
        <v>33</v>
      </c>
      <c r="U153" s="131"/>
      <c r="X153" s="260">
        <v>6.4824962615966797</v>
      </c>
      <c r="Y153" s="260">
        <f t="shared" si="14"/>
        <v>0.32412481307983398</v>
      </c>
      <c r="Z153" s="124">
        <f t="shared" si="15"/>
        <v>0.32412481307983398</v>
      </c>
    </row>
    <row r="154" spans="1:26" s="130" customFormat="1" ht="356" customHeight="1" x14ac:dyDescent="0.2">
      <c r="A154" s="41">
        <f>A153+1</f>
        <v>56</v>
      </c>
      <c r="B154" s="220" t="s">
        <v>578</v>
      </c>
      <c r="C154" s="129" t="s">
        <v>579</v>
      </c>
      <c r="D154" s="384" t="s">
        <v>580</v>
      </c>
      <c r="E154" s="135">
        <f>LEN(D154)</f>
        <v>762</v>
      </c>
      <c r="F154" s="425" t="s">
        <v>581</v>
      </c>
      <c r="G154" s="135">
        <f>LEN(F154)</f>
        <v>945</v>
      </c>
      <c r="H154" s="129" t="s">
        <v>376</v>
      </c>
      <c r="I154" s="135" t="s">
        <v>24</v>
      </c>
      <c r="J154" s="135" t="s">
        <v>24</v>
      </c>
      <c r="K154" s="135" t="s">
        <v>543</v>
      </c>
      <c r="L154" s="393" t="s">
        <v>582</v>
      </c>
      <c r="M154" s="205" t="s">
        <v>583</v>
      </c>
      <c r="N154" s="134" t="s">
        <v>584</v>
      </c>
      <c r="O154" s="52" t="s">
        <v>585</v>
      </c>
      <c r="P154" s="10"/>
      <c r="Q154" s="257">
        <f>'Additional information'!$D$19</f>
        <v>0.05</v>
      </c>
      <c r="R154" s="124"/>
      <c r="T154" s="412" t="s">
        <v>33</v>
      </c>
      <c r="U154" s="131"/>
      <c r="X154" s="260">
        <v>23.642156600952148</v>
      </c>
      <c r="Y154" s="260">
        <f t="shared" si="14"/>
        <v>1.1821078300476076</v>
      </c>
      <c r="Z154" s="124">
        <f t="shared" si="15"/>
        <v>1.1821078300476076</v>
      </c>
    </row>
    <row r="155" spans="1:26" s="130" customFormat="1" ht="17" customHeight="1" thickBot="1" x14ac:dyDescent="0.25">
      <c r="A155" s="87"/>
      <c r="B155" s="248"/>
      <c r="C155" s="88"/>
      <c r="D155" s="156"/>
      <c r="E155" s="94"/>
      <c r="F155" s="94"/>
      <c r="G155" s="94"/>
      <c r="H155" s="97"/>
      <c r="I155" s="94"/>
      <c r="J155" s="94"/>
      <c r="K155" s="94"/>
      <c r="L155" s="75"/>
      <c r="M155" s="80"/>
      <c r="N155" s="75"/>
      <c r="O155" s="75"/>
      <c r="P155" s="47"/>
      <c r="Q155" s="262">
        <f>'Additional information'!$D$19</f>
        <v>0.05</v>
      </c>
      <c r="R155" s="124"/>
      <c r="T155" s="132"/>
      <c r="U155" s="131"/>
      <c r="X155" s="261"/>
      <c r="Y155" s="261" t="str">
        <f t="shared" si="14"/>
        <v/>
      </c>
      <c r="Z155" s="124" t="str">
        <f t="shared" si="15"/>
        <v/>
      </c>
    </row>
    <row r="156" spans="1:26" s="403" customFormat="1" ht="17" customHeight="1" thickBot="1" x14ac:dyDescent="0.25">
      <c r="A156" s="586" t="s">
        <v>586</v>
      </c>
      <c r="B156" s="587"/>
      <c r="C156" s="587"/>
      <c r="D156" s="587"/>
      <c r="E156" s="587"/>
      <c r="F156" s="587"/>
      <c r="G156" s="587"/>
      <c r="H156" s="587"/>
      <c r="I156" s="587"/>
      <c r="J156" s="587"/>
      <c r="K156" s="587"/>
      <c r="L156" s="587"/>
      <c r="M156" s="587"/>
      <c r="N156" s="587"/>
      <c r="O156" s="587"/>
      <c r="P156" s="588"/>
      <c r="Q156" s="257"/>
      <c r="R156" s="414"/>
      <c r="T156" s="412"/>
      <c r="U156" s="415"/>
      <c r="X156" s="260"/>
      <c r="Y156" s="260" t="str">
        <f t="shared" si="14"/>
        <v/>
      </c>
      <c r="Z156" s="414" t="str">
        <f t="shared" si="15"/>
        <v/>
      </c>
    </row>
    <row r="157" spans="1:26" s="130" customFormat="1" ht="221" customHeight="1" x14ac:dyDescent="0.2">
      <c r="A157" s="87" t="e">
        <f>#REF!+1</f>
        <v>#REF!</v>
      </c>
      <c r="B157" s="220" t="s">
        <v>587</v>
      </c>
      <c r="C157" s="129" t="s">
        <v>587</v>
      </c>
      <c r="D157" s="394" t="s">
        <v>588</v>
      </c>
      <c r="E157" s="127">
        <f>LEN(D157)</f>
        <v>302</v>
      </c>
      <c r="F157" s="425" t="s">
        <v>589</v>
      </c>
      <c r="G157" s="127">
        <f>LEN(F157)</f>
        <v>369</v>
      </c>
      <c r="H157" s="137" t="s">
        <v>88</v>
      </c>
      <c r="I157" s="127" t="s">
        <v>24</v>
      </c>
      <c r="J157" s="127" t="s">
        <v>24</v>
      </c>
      <c r="K157" s="127" t="s">
        <v>590</v>
      </c>
      <c r="L157" s="152" t="s">
        <v>591</v>
      </c>
      <c r="M157" s="205" t="s">
        <v>24</v>
      </c>
      <c r="N157" s="395" t="s">
        <v>592</v>
      </c>
      <c r="O157" s="81"/>
      <c r="P157" s="9"/>
      <c r="Q157" s="257">
        <f>'Additional information'!$D$19</f>
        <v>0.05</v>
      </c>
      <c r="R157" s="124"/>
      <c r="T157" s="412" t="s">
        <v>33</v>
      </c>
      <c r="U157" s="131"/>
      <c r="X157" s="260">
        <v>9.2754945755004883</v>
      </c>
      <c r="Y157" s="260">
        <f t="shared" si="14"/>
        <v>0.46377472877502446</v>
      </c>
      <c r="Z157" s="124">
        <f t="shared" si="15"/>
        <v>0.46377472877502446</v>
      </c>
    </row>
    <row r="158" spans="1:26" s="130" customFormat="1" x14ac:dyDescent="0.2">
      <c r="A158" s="87"/>
      <c r="B158" s="248"/>
      <c r="C158" s="88"/>
      <c r="D158" s="96"/>
      <c r="E158" s="94"/>
      <c r="F158" s="96"/>
      <c r="G158" s="94"/>
      <c r="H158" s="97"/>
      <c r="I158" s="94"/>
      <c r="J158" s="94"/>
      <c r="K158" s="94"/>
      <c r="L158" s="79"/>
      <c r="M158" s="68"/>
      <c r="N158" s="76"/>
      <c r="O158" s="76"/>
      <c r="P158" s="47"/>
      <c r="Q158" s="262">
        <f>'Additional information'!$D$19</f>
        <v>0.05</v>
      </c>
      <c r="R158" s="124"/>
      <c r="T158" s="132"/>
      <c r="U158" s="131"/>
      <c r="X158" s="261"/>
      <c r="Y158" s="261" t="str">
        <f t="shared" si="14"/>
        <v/>
      </c>
      <c r="Z158" s="124" t="str">
        <f t="shared" si="15"/>
        <v/>
      </c>
    </row>
    <row r="159" spans="1:26" s="130" customFormat="1" ht="153" customHeight="1" x14ac:dyDescent="0.2">
      <c r="A159" s="41" t="e">
        <f>A157+1</f>
        <v>#REF!</v>
      </c>
      <c r="B159" s="151" t="s">
        <v>593</v>
      </c>
      <c r="C159" s="135" t="s">
        <v>593</v>
      </c>
      <c r="D159" s="384" t="s">
        <v>594</v>
      </c>
      <c r="E159" s="135">
        <f>LEN(D159)</f>
        <v>179</v>
      </c>
      <c r="F159" s="425" t="s">
        <v>595</v>
      </c>
      <c r="G159" s="135">
        <f>LEN(F159)</f>
        <v>216</v>
      </c>
      <c r="H159" s="144" t="s">
        <v>37</v>
      </c>
      <c r="I159" s="135" t="s">
        <v>24</v>
      </c>
      <c r="J159" s="135" t="s">
        <v>24</v>
      </c>
      <c r="K159" s="135" t="s">
        <v>38</v>
      </c>
      <c r="L159" s="134" t="s">
        <v>596</v>
      </c>
      <c r="M159" s="205" t="s">
        <v>24</v>
      </c>
      <c r="N159" s="396" t="s">
        <v>597</v>
      </c>
      <c r="O159" s="82"/>
      <c r="P159" s="10"/>
      <c r="Q159" s="257">
        <f>'Additional information'!$D$19</f>
        <v>0.05</v>
      </c>
      <c r="R159" s="124"/>
      <c r="T159" s="412" t="s">
        <v>33</v>
      </c>
      <c r="U159" s="131"/>
      <c r="X159" s="260">
        <v>6.4158415794372559</v>
      </c>
      <c r="Y159" s="260">
        <f t="shared" si="14"/>
        <v>0.32079207897186279</v>
      </c>
      <c r="Z159" s="124">
        <f t="shared" si="15"/>
        <v>0.32079207897186279</v>
      </c>
    </row>
    <row r="160" spans="1:26" s="130" customFormat="1" ht="323" customHeight="1" x14ac:dyDescent="0.2">
      <c r="A160" s="41" t="e">
        <f>A159+1</f>
        <v>#REF!</v>
      </c>
      <c r="B160" s="169" t="s">
        <v>598</v>
      </c>
      <c r="C160" s="129" t="s">
        <v>599</v>
      </c>
      <c r="D160" s="384" t="s">
        <v>600</v>
      </c>
      <c r="E160" s="135">
        <f>LEN(D160)</f>
        <v>666</v>
      </c>
      <c r="F160" s="425" t="s">
        <v>601</v>
      </c>
      <c r="G160" s="135">
        <f>LEN(F160)</f>
        <v>843</v>
      </c>
      <c r="H160" s="129" t="s">
        <v>376</v>
      </c>
      <c r="I160" s="135" t="s">
        <v>24</v>
      </c>
      <c r="J160" s="135" t="s">
        <v>24</v>
      </c>
      <c r="K160" s="135" t="s">
        <v>377</v>
      </c>
      <c r="L160" s="134" t="s">
        <v>602</v>
      </c>
      <c r="M160" s="205" t="s">
        <v>603</v>
      </c>
      <c r="N160" s="382" t="s">
        <v>604</v>
      </c>
      <c r="O160" s="83"/>
      <c r="P160" s="10"/>
      <c r="Q160" s="257">
        <f>'Additional information'!$D$19</f>
        <v>0.05</v>
      </c>
      <c r="R160" s="124"/>
      <c r="T160" s="412" t="s">
        <v>33</v>
      </c>
      <c r="U160" s="131"/>
      <c r="X160" s="260">
        <v>20.53435134887695</v>
      </c>
      <c r="Y160" s="260">
        <f t="shared" si="14"/>
        <v>1.0267175674438476</v>
      </c>
      <c r="Z160" s="124">
        <f t="shared" si="15"/>
        <v>1.0267175674438476</v>
      </c>
    </row>
    <row r="161" spans="1:26" s="130" customFormat="1" x14ac:dyDescent="0.2">
      <c r="A161" s="100"/>
      <c r="B161" s="249"/>
      <c r="C161" s="44"/>
      <c r="D161" s="545"/>
      <c r="E161" s="91"/>
      <c r="F161" s="91"/>
      <c r="G161" s="91"/>
      <c r="H161" s="101"/>
      <c r="I161" s="91"/>
      <c r="J161" s="91"/>
      <c r="K161" s="91"/>
      <c r="L161" s="83"/>
      <c r="M161" s="68"/>
      <c r="N161" s="83"/>
      <c r="O161" s="83"/>
      <c r="P161" s="25"/>
      <c r="Q161" s="262">
        <f>'Additional information'!$D$19</f>
        <v>0.05</v>
      </c>
      <c r="R161" s="124"/>
      <c r="T161" s="132"/>
      <c r="U161" s="131"/>
      <c r="X161" s="261"/>
      <c r="Y161" s="261" t="str">
        <f t="shared" si="14"/>
        <v/>
      </c>
      <c r="Z161" s="124" t="str">
        <f t="shared" si="15"/>
        <v/>
      </c>
    </row>
    <row r="162" spans="1:26" s="130" customFormat="1" ht="221" customHeight="1" x14ac:dyDescent="0.2">
      <c r="A162" s="100" t="e">
        <f>A160+1</f>
        <v>#REF!</v>
      </c>
      <c r="B162" s="222" t="s">
        <v>605</v>
      </c>
      <c r="C162" s="136" t="s">
        <v>605</v>
      </c>
      <c r="D162" s="397" t="s">
        <v>606</v>
      </c>
      <c r="E162" s="118">
        <f>LEN(D162)</f>
        <v>354</v>
      </c>
      <c r="F162" s="428" t="s">
        <v>607</v>
      </c>
      <c r="G162" s="118">
        <f>LEN(F162)</f>
        <v>409</v>
      </c>
      <c r="H162" s="381" t="s">
        <v>37</v>
      </c>
      <c r="I162" s="118" t="s">
        <v>24</v>
      </c>
      <c r="J162" s="118" t="s">
        <v>24</v>
      </c>
      <c r="K162" s="118" t="s">
        <v>38</v>
      </c>
      <c r="L162" s="382" t="s">
        <v>608</v>
      </c>
      <c r="M162" s="205" t="s">
        <v>24</v>
      </c>
      <c r="N162" s="382" t="s">
        <v>609</v>
      </c>
      <c r="O162" s="83"/>
      <c r="P162" s="10"/>
      <c r="Q162" s="257">
        <f>'Additional information'!$D$19</f>
        <v>0.05</v>
      </c>
      <c r="R162" s="124"/>
      <c r="T162" s="412" t="s">
        <v>33</v>
      </c>
      <c r="U162" s="131"/>
      <c r="X162" s="260">
        <v>8.3069305419921875</v>
      </c>
      <c r="Y162" s="260">
        <f t="shared" si="14"/>
        <v>0.4153465270996094</v>
      </c>
      <c r="Z162" s="124">
        <f t="shared" si="15"/>
        <v>0.4153465270996094</v>
      </c>
    </row>
    <row r="163" spans="1:26" s="130" customFormat="1" ht="17" customHeight="1" thickBot="1" x14ac:dyDescent="0.25">
      <c r="A163" s="100"/>
      <c r="B163" s="249"/>
      <c r="C163" s="102"/>
      <c r="D163" s="545"/>
      <c r="E163" s="91"/>
      <c r="F163" s="91"/>
      <c r="G163" s="91"/>
      <c r="H163" s="101"/>
      <c r="I163" s="91"/>
      <c r="J163" s="91"/>
      <c r="K163" s="91"/>
      <c r="L163" s="83"/>
      <c r="M163" s="83"/>
      <c r="N163" s="83"/>
      <c r="O163" s="83"/>
      <c r="P163" s="60"/>
      <c r="Q163" s="262">
        <f>'Additional information'!$D$19</f>
        <v>0.05</v>
      </c>
      <c r="R163" s="124"/>
      <c r="T163" s="132"/>
      <c r="U163" s="131"/>
      <c r="X163" s="261"/>
      <c r="Y163" s="261" t="str">
        <f t="shared" si="14"/>
        <v/>
      </c>
      <c r="Z163" s="124" t="str">
        <f t="shared" si="15"/>
        <v/>
      </c>
    </row>
    <row r="164" spans="1:26" s="403" customFormat="1" ht="17" customHeight="1" thickBot="1" x14ac:dyDescent="0.25">
      <c r="A164" s="586" t="s">
        <v>610</v>
      </c>
      <c r="B164" s="587"/>
      <c r="C164" s="587"/>
      <c r="D164" s="587"/>
      <c r="E164" s="587"/>
      <c r="F164" s="587"/>
      <c r="G164" s="587"/>
      <c r="H164" s="587"/>
      <c r="I164" s="587"/>
      <c r="J164" s="587"/>
      <c r="K164" s="587"/>
      <c r="L164" s="587"/>
      <c r="M164" s="587"/>
      <c r="N164" s="587"/>
      <c r="O164" s="587"/>
      <c r="P164" s="588"/>
      <c r="Q164" s="257"/>
      <c r="R164" s="414"/>
      <c r="T164" s="412"/>
      <c r="U164" s="415"/>
      <c r="X164" s="260"/>
      <c r="Y164" s="260" t="str">
        <f t="shared" si="14"/>
        <v/>
      </c>
      <c r="Z164" s="414" t="str">
        <f t="shared" si="15"/>
        <v/>
      </c>
    </row>
    <row r="165" spans="1:26" s="130" customFormat="1" ht="153" customHeight="1" x14ac:dyDescent="0.2">
      <c r="A165" s="87" t="e">
        <f>A162+1</f>
        <v>#REF!</v>
      </c>
      <c r="B165" s="220" t="s">
        <v>611</v>
      </c>
      <c r="C165" s="231" t="s">
        <v>611</v>
      </c>
      <c r="D165" s="128" t="s">
        <v>612</v>
      </c>
      <c r="E165" s="127">
        <f t="shared" ref="E165:E189" si="16">LEN(D165)</f>
        <v>335</v>
      </c>
      <c r="F165" s="128" t="s">
        <v>613</v>
      </c>
      <c r="G165" s="127">
        <f t="shared" ref="G165:G189" si="17">LEN(F165)</f>
        <v>441</v>
      </c>
      <c r="H165" s="137" t="s">
        <v>37</v>
      </c>
      <c r="I165" s="127" t="s">
        <v>24</v>
      </c>
      <c r="J165" s="127" t="s">
        <v>24</v>
      </c>
      <c r="K165" s="127" t="s">
        <v>38</v>
      </c>
      <c r="L165" s="126" t="s">
        <v>614</v>
      </c>
      <c r="M165" s="205" t="s">
        <v>24</v>
      </c>
      <c r="N165" s="126" t="s">
        <v>615</v>
      </c>
      <c r="O165" s="75"/>
      <c r="P165" s="365" t="s">
        <v>616</v>
      </c>
      <c r="Q165" s="257">
        <v>1</v>
      </c>
      <c r="R165" s="124"/>
      <c r="T165" s="412" t="s">
        <v>33</v>
      </c>
      <c r="U165" s="131"/>
      <c r="X165" s="260">
        <v>8.0881662368774414</v>
      </c>
      <c r="Y165" s="260">
        <f t="shared" si="14"/>
        <v>8.0881662368774414</v>
      </c>
      <c r="Z165" s="124">
        <f t="shared" si="15"/>
        <v>8.0881662368774414</v>
      </c>
    </row>
    <row r="166" spans="1:26" s="130" customFormat="1" ht="170" customHeight="1" x14ac:dyDescent="0.2">
      <c r="A166" s="41" t="e">
        <f t="shared" ref="A166:A180" si="18">A165+1</f>
        <v>#REF!</v>
      </c>
      <c r="B166" s="169" t="s">
        <v>617</v>
      </c>
      <c r="C166" s="129" t="s">
        <v>617</v>
      </c>
      <c r="D166" s="149" t="s">
        <v>618</v>
      </c>
      <c r="E166" s="135">
        <f t="shared" si="16"/>
        <v>236</v>
      </c>
      <c r="F166" s="428" t="s">
        <v>619</v>
      </c>
      <c r="G166" s="135">
        <f t="shared" si="17"/>
        <v>258</v>
      </c>
      <c r="H166" s="144" t="s">
        <v>37</v>
      </c>
      <c r="I166" s="135" t="s">
        <v>24</v>
      </c>
      <c r="J166" s="135" t="s">
        <v>24</v>
      </c>
      <c r="K166" s="135" t="s">
        <v>38</v>
      </c>
      <c r="L166" s="134" t="s">
        <v>620</v>
      </c>
      <c r="M166" s="205" t="s">
        <v>24</v>
      </c>
      <c r="N166" s="146" t="s">
        <v>621</v>
      </c>
      <c r="O166" s="84"/>
      <c r="P166" s="10"/>
      <c r="Q166" s="257">
        <v>1</v>
      </c>
      <c r="R166" s="124"/>
      <c r="T166" s="412" t="s">
        <v>33</v>
      </c>
      <c r="U166" s="131"/>
      <c r="X166" s="260">
        <v>20.224567413330082</v>
      </c>
      <c r="Y166" s="260">
        <f t="shared" si="14"/>
        <v>20.224567413330082</v>
      </c>
      <c r="Z166" s="124">
        <f t="shared" si="15"/>
        <v>20.224567413330082</v>
      </c>
    </row>
    <row r="167" spans="1:26" s="130" customFormat="1" ht="170" customHeight="1" x14ac:dyDescent="0.2">
      <c r="A167" s="41" t="e">
        <f t="shared" si="18"/>
        <v>#REF!</v>
      </c>
      <c r="B167" s="169" t="s">
        <v>622</v>
      </c>
      <c r="C167" s="129" t="s">
        <v>622</v>
      </c>
      <c r="D167" s="149" t="s">
        <v>623</v>
      </c>
      <c r="E167" s="135">
        <f t="shared" si="16"/>
        <v>234</v>
      </c>
      <c r="F167" s="428" t="s">
        <v>624</v>
      </c>
      <c r="G167" s="135">
        <f t="shared" si="17"/>
        <v>253</v>
      </c>
      <c r="H167" s="144" t="s">
        <v>37</v>
      </c>
      <c r="I167" s="135" t="s">
        <v>24</v>
      </c>
      <c r="J167" s="135" t="s">
        <v>24</v>
      </c>
      <c r="K167" s="135" t="s">
        <v>38</v>
      </c>
      <c r="L167" s="134" t="s">
        <v>625</v>
      </c>
      <c r="M167" s="205" t="s">
        <v>24</v>
      </c>
      <c r="N167" s="146" t="s">
        <v>626</v>
      </c>
      <c r="O167" s="84"/>
      <c r="P167" s="10"/>
      <c r="Q167" s="257">
        <v>1</v>
      </c>
      <c r="R167" s="124"/>
      <c r="T167" s="412" t="s">
        <v>33</v>
      </c>
      <c r="U167" s="131"/>
      <c r="X167" s="260">
        <v>14.02606105804443</v>
      </c>
      <c r="Y167" s="260">
        <f t="shared" si="14"/>
        <v>14.02606105804443</v>
      </c>
      <c r="Z167" s="124">
        <f t="shared" si="15"/>
        <v>14.02606105804443</v>
      </c>
    </row>
    <row r="168" spans="1:26" s="130" customFormat="1" ht="153" customHeight="1" x14ac:dyDescent="0.2">
      <c r="A168" s="41" t="e">
        <f t="shared" si="18"/>
        <v>#REF!</v>
      </c>
      <c r="B168" s="169" t="s">
        <v>627</v>
      </c>
      <c r="C168" s="129" t="s">
        <v>627</v>
      </c>
      <c r="D168" s="149" t="s">
        <v>628</v>
      </c>
      <c r="E168" s="135">
        <f t="shared" si="16"/>
        <v>217</v>
      </c>
      <c r="F168" s="428" t="s">
        <v>629</v>
      </c>
      <c r="G168" s="135">
        <f t="shared" si="17"/>
        <v>234</v>
      </c>
      <c r="H168" s="144" t="s">
        <v>37</v>
      </c>
      <c r="I168" s="135" t="s">
        <v>24</v>
      </c>
      <c r="J168" s="135" t="s">
        <v>24</v>
      </c>
      <c r="K168" s="135" t="s">
        <v>38</v>
      </c>
      <c r="L168" s="134" t="s">
        <v>630</v>
      </c>
      <c r="M168" s="205" t="s">
        <v>24</v>
      </c>
      <c r="N168" s="146" t="s">
        <v>631</v>
      </c>
      <c r="O168" s="84"/>
      <c r="P168" s="10"/>
      <c r="Q168" s="257">
        <v>1</v>
      </c>
      <c r="R168" s="124"/>
      <c r="T168" s="412" t="s">
        <v>33</v>
      </c>
      <c r="U168" s="131"/>
      <c r="X168" s="260">
        <v>11.558505058288571</v>
      </c>
      <c r="Y168" s="260">
        <f t="shared" si="14"/>
        <v>11.558505058288571</v>
      </c>
      <c r="Z168" s="124">
        <f t="shared" si="15"/>
        <v>11.558505058288571</v>
      </c>
    </row>
    <row r="169" spans="1:26" s="130" customFormat="1" ht="153" customHeight="1" x14ac:dyDescent="0.2">
      <c r="A169" s="41" t="e">
        <f t="shared" si="18"/>
        <v>#REF!</v>
      </c>
      <c r="B169" s="169" t="s">
        <v>632</v>
      </c>
      <c r="C169" s="129" t="s">
        <v>632</v>
      </c>
      <c r="D169" s="149" t="s">
        <v>633</v>
      </c>
      <c r="E169" s="135">
        <f t="shared" si="16"/>
        <v>218</v>
      </c>
      <c r="F169" s="428" t="s">
        <v>634</v>
      </c>
      <c r="G169" s="135">
        <f t="shared" si="17"/>
        <v>221</v>
      </c>
      <c r="H169" s="144" t="s">
        <v>37</v>
      </c>
      <c r="I169" s="135" t="s">
        <v>24</v>
      </c>
      <c r="J169" s="135" t="s">
        <v>24</v>
      </c>
      <c r="K169" s="135" t="s">
        <v>38</v>
      </c>
      <c r="L169" s="134" t="s">
        <v>635</v>
      </c>
      <c r="M169" s="205" t="s">
        <v>24</v>
      </c>
      <c r="N169" s="134" t="s">
        <v>636</v>
      </c>
      <c r="O169" s="73"/>
      <c r="P169" s="10"/>
      <c r="Q169" s="257">
        <v>1</v>
      </c>
      <c r="R169" s="124"/>
      <c r="T169" s="412" t="s">
        <v>33</v>
      </c>
      <c r="U169" s="131"/>
      <c r="X169" s="260">
        <v>11.379257202148439</v>
      </c>
      <c r="Y169" s="260">
        <f t="shared" si="14"/>
        <v>11.379257202148439</v>
      </c>
      <c r="Z169" s="124">
        <f t="shared" si="15"/>
        <v>11.379257202148439</v>
      </c>
    </row>
    <row r="170" spans="1:26" s="130" customFormat="1" ht="170" customHeight="1" x14ac:dyDescent="0.2">
      <c r="A170" s="41" t="e">
        <f t="shared" si="18"/>
        <v>#REF!</v>
      </c>
      <c r="B170" s="169" t="s">
        <v>637</v>
      </c>
      <c r="C170" s="129" t="s">
        <v>637</v>
      </c>
      <c r="D170" s="149" t="s">
        <v>638</v>
      </c>
      <c r="E170" s="135">
        <f t="shared" si="16"/>
        <v>224</v>
      </c>
      <c r="F170" s="428" t="s">
        <v>639</v>
      </c>
      <c r="G170" s="135">
        <f t="shared" si="17"/>
        <v>293</v>
      </c>
      <c r="H170" s="144" t="s">
        <v>37</v>
      </c>
      <c r="I170" s="135" t="s">
        <v>24</v>
      </c>
      <c r="J170" s="135" t="s">
        <v>24</v>
      </c>
      <c r="K170" s="135" t="s">
        <v>38</v>
      </c>
      <c r="L170" s="134" t="s">
        <v>640</v>
      </c>
      <c r="M170" s="205" t="s">
        <v>24</v>
      </c>
      <c r="N170" s="134" t="s">
        <v>641</v>
      </c>
      <c r="O170" s="73"/>
      <c r="P170" s="10"/>
      <c r="Q170" s="257">
        <v>1</v>
      </c>
      <c r="R170" s="124"/>
      <c r="T170" s="412" t="s">
        <v>33</v>
      </c>
      <c r="U170" s="131"/>
      <c r="X170" s="260">
        <v>10.443217277526861</v>
      </c>
      <c r="Y170" s="260">
        <f t="shared" si="14"/>
        <v>10.443217277526861</v>
      </c>
      <c r="Z170" s="124">
        <f t="shared" si="15"/>
        <v>10.443217277526861</v>
      </c>
    </row>
    <row r="171" spans="1:26" s="130" customFormat="1" ht="170" customHeight="1" x14ac:dyDescent="0.2">
      <c r="A171" s="41" t="e">
        <f t="shared" si="18"/>
        <v>#REF!</v>
      </c>
      <c r="B171" s="169" t="s">
        <v>642</v>
      </c>
      <c r="C171" s="168" t="s">
        <v>642</v>
      </c>
      <c r="D171" s="148" t="s">
        <v>643</v>
      </c>
      <c r="E171" s="135">
        <f t="shared" si="16"/>
        <v>182</v>
      </c>
      <c r="F171" s="394" t="s">
        <v>644</v>
      </c>
      <c r="G171" s="135">
        <f t="shared" si="17"/>
        <v>263</v>
      </c>
      <c r="H171" s="144" t="s">
        <v>37</v>
      </c>
      <c r="I171" s="135" t="s">
        <v>24</v>
      </c>
      <c r="J171" s="135" t="s">
        <v>24</v>
      </c>
      <c r="K171" s="135" t="s">
        <v>38</v>
      </c>
      <c r="L171" s="134" t="s">
        <v>645</v>
      </c>
      <c r="M171" s="205" t="s">
        <v>24</v>
      </c>
      <c r="N171" s="146" t="s">
        <v>646</v>
      </c>
      <c r="O171" s="84"/>
      <c r="P171" s="10"/>
      <c r="Q171" s="257">
        <v>1</v>
      </c>
      <c r="R171" s="124"/>
      <c r="T171" s="412" t="s">
        <v>33</v>
      </c>
      <c r="U171" s="131"/>
      <c r="X171" s="260">
        <v>10.732010841369631</v>
      </c>
      <c r="Y171" s="260">
        <f t="shared" ref="Y171:Y202" si="19">IF(X171="","",X171*Q171)</f>
        <v>10.732010841369631</v>
      </c>
      <c r="Z171" s="124">
        <f t="shared" ref="Z171:Z202" si="20">IF(T171="yes",Y171,"")</f>
        <v>10.732010841369631</v>
      </c>
    </row>
    <row r="172" spans="1:26" s="331" customFormat="1" ht="153" customHeight="1" x14ac:dyDescent="0.2">
      <c r="A172" s="41" t="e">
        <f t="shared" si="18"/>
        <v>#REF!</v>
      </c>
      <c r="B172" s="169" t="s">
        <v>647</v>
      </c>
      <c r="C172" s="168" t="s">
        <v>647</v>
      </c>
      <c r="D172" s="147" t="s">
        <v>648</v>
      </c>
      <c r="E172" s="135">
        <f t="shared" si="16"/>
        <v>214</v>
      </c>
      <c r="F172" s="425" t="s">
        <v>649</v>
      </c>
      <c r="G172" s="135">
        <f t="shared" si="17"/>
        <v>279</v>
      </c>
      <c r="H172" s="144" t="s">
        <v>37</v>
      </c>
      <c r="I172" s="135" t="s">
        <v>24</v>
      </c>
      <c r="J172" s="135" t="s">
        <v>24</v>
      </c>
      <c r="K172" s="135" t="s">
        <v>38</v>
      </c>
      <c r="L172" s="134" t="s">
        <v>650</v>
      </c>
      <c r="M172" s="205" t="s">
        <v>24</v>
      </c>
      <c r="N172" s="134" t="s">
        <v>651</v>
      </c>
      <c r="O172" s="73"/>
      <c r="P172" s="10"/>
      <c r="Q172" s="257">
        <v>1</v>
      </c>
      <c r="R172" s="124"/>
      <c r="T172" s="412" t="s">
        <v>33</v>
      </c>
      <c r="U172" s="131"/>
      <c r="X172" s="260">
        <v>11.58613967895508</v>
      </c>
      <c r="Y172" s="260">
        <f t="shared" si="19"/>
        <v>11.58613967895508</v>
      </c>
      <c r="Z172" s="124">
        <f t="shared" si="20"/>
        <v>11.58613967895508</v>
      </c>
    </row>
    <row r="173" spans="1:26" s="130" customFormat="1" ht="153" customHeight="1" x14ac:dyDescent="0.2">
      <c r="A173" s="41" t="e">
        <f t="shared" si="18"/>
        <v>#REF!</v>
      </c>
      <c r="B173" s="169" t="s">
        <v>652</v>
      </c>
      <c r="C173" s="129" t="s">
        <v>652</v>
      </c>
      <c r="D173" s="148" t="s">
        <v>653</v>
      </c>
      <c r="E173" s="135">
        <f t="shared" si="16"/>
        <v>184</v>
      </c>
      <c r="F173" s="394" t="s">
        <v>654</v>
      </c>
      <c r="G173" s="135">
        <f t="shared" si="17"/>
        <v>228</v>
      </c>
      <c r="H173" s="144" t="s">
        <v>37</v>
      </c>
      <c r="I173" s="135" t="s">
        <v>24</v>
      </c>
      <c r="J173" s="135" t="s">
        <v>24</v>
      </c>
      <c r="K173" s="135" t="s">
        <v>38</v>
      </c>
      <c r="L173" s="134" t="s">
        <v>655</v>
      </c>
      <c r="M173" s="205" t="s">
        <v>24</v>
      </c>
      <c r="N173" s="146" t="s">
        <v>656</v>
      </c>
      <c r="O173" s="84"/>
      <c r="P173" s="10"/>
      <c r="Q173" s="257">
        <v>1</v>
      </c>
      <c r="R173" s="124"/>
      <c r="T173" s="412" t="s">
        <v>33</v>
      </c>
      <c r="U173" s="131"/>
      <c r="X173" s="260">
        <v>9.7552013397216797</v>
      </c>
      <c r="Y173" s="260">
        <f t="shared" si="19"/>
        <v>9.7552013397216797</v>
      </c>
      <c r="Z173" s="124">
        <f t="shared" si="20"/>
        <v>9.7552013397216797</v>
      </c>
    </row>
    <row r="174" spans="1:26" s="130" customFormat="1" ht="153" customHeight="1" x14ac:dyDescent="0.2">
      <c r="A174" s="41" t="e">
        <f t="shared" si="18"/>
        <v>#REF!</v>
      </c>
      <c r="B174" s="169" t="s">
        <v>657</v>
      </c>
      <c r="C174" s="168" t="s">
        <v>657</v>
      </c>
      <c r="D174" s="147" t="s">
        <v>648</v>
      </c>
      <c r="E174" s="135">
        <f t="shared" si="16"/>
        <v>214</v>
      </c>
      <c r="F174" s="425" t="s">
        <v>649</v>
      </c>
      <c r="G174" s="135">
        <f t="shared" si="17"/>
        <v>279</v>
      </c>
      <c r="H174" s="144" t="s">
        <v>37</v>
      </c>
      <c r="I174" s="135" t="s">
        <v>24</v>
      </c>
      <c r="J174" s="135" t="s">
        <v>24</v>
      </c>
      <c r="K174" s="135" t="s">
        <v>38</v>
      </c>
      <c r="L174" s="134" t="s">
        <v>658</v>
      </c>
      <c r="M174" s="205" t="s">
        <v>24</v>
      </c>
      <c r="N174" s="134" t="s">
        <v>659</v>
      </c>
      <c r="O174" s="73"/>
      <c r="P174" s="10"/>
      <c r="Q174" s="257">
        <v>1</v>
      </c>
      <c r="R174" s="124"/>
      <c r="T174" s="412" t="s">
        <v>33</v>
      </c>
      <c r="U174" s="131"/>
      <c r="X174" s="260">
        <v>7.9447951316833496</v>
      </c>
      <c r="Y174" s="260">
        <f t="shared" si="19"/>
        <v>7.9447951316833496</v>
      </c>
      <c r="Z174" s="124">
        <f t="shared" si="20"/>
        <v>7.9447951316833496</v>
      </c>
    </row>
    <row r="175" spans="1:26" s="130" customFormat="1" ht="170" customHeight="1" x14ac:dyDescent="0.2">
      <c r="A175" s="41" t="e">
        <f t="shared" si="18"/>
        <v>#REF!</v>
      </c>
      <c r="B175" s="169" t="s">
        <v>660</v>
      </c>
      <c r="C175" s="129" t="s">
        <v>660</v>
      </c>
      <c r="D175" s="148" t="s">
        <v>661</v>
      </c>
      <c r="E175" s="135">
        <f t="shared" si="16"/>
        <v>212</v>
      </c>
      <c r="F175" s="394" t="s">
        <v>662</v>
      </c>
      <c r="G175" s="135">
        <f t="shared" si="17"/>
        <v>245</v>
      </c>
      <c r="H175" s="144" t="s">
        <v>37</v>
      </c>
      <c r="I175" s="135" t="s">
        <v>24</v>
      </c>
      <c r="J175" s="135" t="s">
        <v>24</v>
      </c>
      <c r="K175" s="135" t="s">
        <v>38</v>
      </c>
      <c r="L175" s="134" t="s">
        <v>663</v>
      </c>
      <c r="M175" s="205" t="s">
        <v>24</v>
      </c>
      <c r="N175" s="146" t="s">
        <v>664</v>
      </c>
      <c r="O175" s="38" t="s">
        <v>665</v>
      </c>
      <c r="P175" s="10"/>
      <c r="Q175" s="257">
        <v>1</v>
      </c>
      <c r="R175" s="124"/>
      <c r="T175" s="412" t="s">
        <v>33</v>
      </c>
      <c r="U175" s="131"/>
      <c r="X175" s="260">
        <v>7.9312248229980469</v>
      </c>
      <c r="Y175" s="260">
        <f t="shared" si="19"/>
        <v>7.9312248229980469</v>
      </c>
      <c r="Z175" s="124">
        <f t="shared" si="20"/>
        <v>7.9312248229980469</v>
      </c>
    </row>
    <row r="176" spans="1:26" s="130" customFormat="1" ht="153" customHeight="1" x14ac:dyDescent="0.2">
      <c r="A176" s="41" t="e">
        <f t="shared" si="18"/>
        <v>#REF!</v>
      </c>
      <c r="B176" s="169" t="s">
        <v>666</v>
      </c>
      <c r="C176" s="168" t="s">
        <v>666</v>
      </c>
      <c r="D176" s="147" t="s">
        <v>648</v>
      </c>
      <c r="E176" s="135">
        <f t="shared" si="16"/>
        <v>214</v>
      </c>
      <c r="F176" s="425" t="s">
        <v>649</v>
      </c>
      <c r="G176" s="135">
        <f t="shared" si="17"/>
        <v>279</v>
      </c>
      <c r="H176" s="144" t="s">
        <v>37</v>
      </c>
      <c r="I176" s="135" t="s">
        <v>24</v>
      </c>
      <c r="J176" s="135" t="s">
        <v>24</v>
      </c>
      <c r="K176" s="135" t="s">
        <v>38</v>
      </c>
      <c r="L176" s="134" t="s">
        <v>667</v>
      </c>
      <c r="M176" s="205" t="s">
        <v>24</v>
      </c>
      <c r="N176" s="146" t="s">
        <v>668</v>
      </c>
      <c r="O176" s="38" t="s">
        <v>669</v>
      </c>
      <c r="P176" s="10"/>
      <c r="Q176" s="257">
        <v>1</v>
      </c>
      <c r="R176" s="124"/>
      <c r="T176" s="412" t="s">
        <v>33</v>
      </c>
      <c r="U176" s="131"/>
      <c r="X176" s="260">
        <v>5.3390059471130371</v>
      </c>
      <c r="Y176" s="260">
        <f t="shared" si="19"/>
        <v>5.3390059471130371</v>
      </c>
      <c r="Z176" s="124">
        <f t="shared" si="20"/>
        <v>5.3390059471130371</v>
      </c>
    </row>
    <row r="177" spans="1:26" s="130" customFormat="1" ht="153" customHeight="1" x14ac:dyDescent="0.2">
      <c r="A177" s="14" t="e">
        <f t="shared" si="18"/>
        <v>#REF!</v>
      </c>
      <c r="B177" s="221" t="s">
        <v>670</v>
      </c>
      <c r="C177" s="17" t="s">
        <v>670</v>
      </c>
      <c r="D177" s="35" t="s">
        <v>671</v>
      </c>
      <c r="E177" s="20">
        <f t="shared" si="16"/>
        <v>142</v>
      </c>
      <c r="F177" s="432" t="s">
        <v>672</v>
      </c>
      <c r="G177" s="20">
        <f t="shared" si="17"/>
        <v>208</v>
      </c>
      <c r="H177" s="34" t="s">
        <v>37</v>
      </c>
      <c r="I177" s="20" t="s">
        <v>24</v>
      </c>
      <c r="J177" s="20" t="s">
        <v>24</v>
      </c>
      <c r="K177" s="20" t="s">
        <v>38</v>
      </c>
      <c r="L177" s="30" t="s">
        <v>673</v>
      </c>
      <c r="M177" s="69" t="s">
        <v>24</v>
      </c>
      <c r="N177" s="337"/>
      <c r="O177" s="338"/>
      <c r="P177" s="108" t="s">
        <v>674</v>
      </c>
      <c r="Q177" s="262">
        <v>1</v>
      </c>
      <c r="R177" s="124"/>
      <c r="T177" s="132" t="s">
        <v>23</v>
      </c>
      <c r="U177" s="131"/>
      <c r="X177" s="261">
        <v>3.816555500030518</v>
      </c>
      <c r="Y177" s="261">
        <f t="shared" si="19"/>
        <v>3.816555500030518</v>
      </c>
      <c r="Z177" s="124" t="str">
        <f t="shared" si="20"/>
        <v/>
      </c>
    </row>
    <row r="178" spans="1:26" s="130" customFormat="1" ht="221" customHeight="1" x14ac:dyDescent="0.2">
      <c r="A178" s="14" t="e">
        <f t="shared" si="18"/>
        <v>#REF!</v>
      </c>
      <c r="B178" s="339" t="s">
        <v>675</v>
      </c>
      <c r="C178" s="17" t="s">
        <v>676</v>
      </c>
      <c r="D178" s="22" t="s">
        <v>677</v>
      </c>
      <c r="E178" s="20">
        <f t="shared" si="16"/>
        <v>406</v>
      </c>
      <c r="F178" s="22" t="s">
        <v>678</v>
      </c>
      <c r="G178" s="20">
        <f t="shared" si="17"/>
        <v>479</v>
      </c>
      <c r="H178" s="34" t="s">
        <v>37</v>
      </c>
      <c r="I178" s="20" t="s">
        <v>24</v>
      </c>
      <c r="J178" s="20" t="s">
        <v>24</v>
      </c>
      <c r="K178" s="20" t="s">
        <v>38</v>
      </c>
      <c r="L178" s="30" t="s">
        <v>679</v>
      </c>
      <c r="M178" s="69" t="s">
        <v>24</v>
      </c>
      <c r="N178" s="37"/>
      <c r="O178" s="37"/>
      <c r="P178" s="10"/>
      <c r="Q178" s="262">
        <v>1</v>
      </c>
      <c r="R178" s="124"/>
      <c r="T178" s="132" t="s">
        <v>23</v>
      </c>
      <c r="U178" s="131"/>
      <c r="X178" s="261">
        <v>16.827030181884769</v>
      </c>
      <c r="Y178" s="261">
        <f t="shared" si="19"/>
        <v>16.827030181884769</v>
      </c>
      <c r="Z178" s="124" t="str">
        <f t="shared" si="20"/>
        <v/>
      </c>
    </row>
    <row r="179" spans="1:26" s="130" customFormat="1" ht="204" customHeight="1" x14ac:dyDescent="0.2">
      <c r="A179" s="14" t="e">
        <f t="shared" si="18"/>
        <v>#REF!</v>
      </c>
      <c r="B179" s="339" t="s">
        <v>680</v>
      </c>
      <c r="C179" s="17" t="s">
        <v>681</v>
      </c>
      <c r="D179" s="22" t="s">
        <v>682</v>
      </c>
      <c r="E179" s="20">
        <f t="shared" si="16"/>
        <v>344</v>
      </c>
      <c r="F179" s="22" t="s">
        <v>683</v>
      </c>
      <c r="G179" s="20">
        <f t="shared" si="17"/>
        <v>428</v>
      </c>
      <c r="H179" s="34" t="s">
        <v>37</v>
      </c>
      <c r="I179" s="20" t="s">
        <v>24</v>
      </c>
      <c r="J179" s="20" t="s">
        <v>24</v>
      </c>
      <c r="K179" s="20" t="s">
        <v>38</v>
      </c>
      <c r="L179" s="30" t="s">
        <v>679</v>
      </c>
      <c r="M179" s="69" t="s">
        <v>24</v>
      </c>
      <c r="N179" s="37"/>
      <c r="O179" s="37"/>
      <c r="P179" s="10"/>
      <c r="Q179" s="262">
        <v>1</v>
      </c>
      <c r="R179" s="124"/>
      <c r="T179" s="132" t="s">
        <v>23</v>
      </c>
      <c r="U179" s="131"/>
      <c r="X179" s="261">
        <v>12.211404800415041</v>
      </c>
      <c r="Y179" s="261">
        <f t="shared" si="19"/>
        <v>12.211404800415041</v>
      </c>
      <c r="Z179" s="124" t="str">
        <f t="shared" si="20"/>
        <v/>
      </c>
    </row>
    <row r="180" spans="1:26" s="130" customFormat="1" ht="221" customHeight="1" x14ac:dyDescent="0.2">
      <c r="A180" s="14" t="e">
        <f t="shared" si="18"/>
        <v>#REF!</v>
      </c>
      <c r="B180" s="339" t="s">
        <v>684</v>
      </c>
      <c r="C180" s="17" t="s">
        <v>684</v>
      </c>
      <c r="D180" s="22" t="s">
        <v>685</v>
      </c>
      <c r="E180" s="20">
        <f t="shared" si="16"/>
        <v>378</v>
      </c>
      <c r="F180" s="22" t="s">
        <v>686</v>
      </c>
      <c r="G180" s="20">
        <f t="shared" si="17"/>
        <v>462</v>
      </c>
      <c r="H180" s="34" t="s">
        <v>37</v>
      </c>
      <c r="I180" s="20" t="s">
        <v>24</v>
      </c>
      <c r="J180" s="20" t="s">
        <v>24</v>
      </c>
      <c r="K180" s="20" t="s">
        <v>38</v>
      </c>
      <c r="L180" s="30" t="s">
        <v>679</v>
      </c>
      <c r="M180" s="69" t="s">
        <v>24</v>
      </c>
      <c r="N180" s="37"/>
      <c r="O180" s="37"/>
      <c r="P180" s="10"/>
      <c r="Q180" s="262">
        <v>1</v>
      </c>
      <c r="R180" s="124"/>
      <c r="T180" s="132" t="s">
        <v>23</v>
      </c>
      <c r="U180" s="131"/>
      <c r="X180" s="261">
        <v>10.39294910430908</v>
      </c>
      <c r="Y180" s="261">
        <f t="shared" si="19"/>
        <v>10.39294910430908</v>
      </c>
      <c r="Z180" s="124" t="str">
        <f t="shared" si="20"/>
        <v/>
      </c>
    </row>
    <row r="181" spans="1:26" s="130" customFormat="1" ht="204" customHeight="1" x14ac:dyDescent="0.2">
      <c r="A181" s="14" t="e">
        <f>#REF!+1</f>
        <v>#REF!</v>
      </c>
      <c r="B181" s="339" t="s">
        <v>687</v>
      </c>
      <c r="C181" s="17" t="s">
        <v>687</v>
      </c>
      <c r="D181" s="22" t="s">
        <v>688</v>
      </c>
      <c r="E181" s="20">
        <f t="shared" si="16"/>
        <v>345</v>
      </c>
      <c r="F181" s="22" t="s">
        <v>689</v>
      </c>
      <c r="G181" s="20">
        <f t="shared" si="17"/>
        <v>427</v>
      </c>
      <c r="H181" s="34" t="s">
        <v>37</v>
      </c>
      <c r="I181" s="20" t="s">
        <v>24</v>
      </c>
      <c r="J181" s="20" t="s">
        <v>24</v>
      </c>
      <c r="K181" s="20" t="s">
        <v>38</v>
      </c>
      <c r="L181" s="30" t="s">
        <v>679</v>
      </c>
      <c r="M181" s="69" t="s">
        <v>24</v>
      </c>
      <c r="N181" s="37"/>
      <c r="O181" s="37"/>
      <c r="P181" s="10"/>
      <c r="Q181" s="262">
        <v>1</v>
      </c>
      <c r="R181" s="124"/>
      <c r="T181" s="132" t="s">
        <v>23</v>
      </c>
      <c r="U181" s="131"/>
      <c r="X181" s="261">
        <v>8.2318143844604492</v>
      </c>
      <c r="Y181" s="261">
        <f t="shared" si="19"/>
        <v>8.2318143844604492</v>
      </c>
      <c r="Z181" s="124" t="str">
        <f t="shared" si="20"/>
        <v/>
      </c>
    </row>
    <row r="182" spans="1:26" s="130" customFormat="1" ht="221" customHeight="1" x14ac:dyDescent="0.2">
      <c r="A182" s="14" t="e">
        <f>#REF!+1</f>
        <v>#REF!</v>
      </c>
      <c r="B182" s="339" t="s">
        <v>690</v>
      </c>
      <c r="C182" s="17" t="s">
        <v>690</v>
      </c>
      <c r="D182" s="22" t="s">
        <v>691</v>
      </c>
      <c r="E182" s="20">
        <f t="shared" si="16"/>
        <v>425</v>
      </c>
      <c r="F182" s="22" t="s">
        <v>692</v>
      </c>
      <c r="G182" s="20">
        <f t="shared" si="17"/>
        <v>502</v>
      </c>
      <c r="H182" s="34" t="s">
        <v>37</v>
      </c>
      <c r="I182" s="20" t="s">
        <v>24</v>
      </c>
      <c r="J182" s="20" t="s">
        <v>24</v>
      </c>
      <c r="K182" s="20" t="s">
        <v>38</v>
      </c>
      <c r="L182" s="30" t="s">
        <v>679</v>
      </c>
      <c r="M182" s="69" t="s">
        <v>24</v>
      </c>
      <c r="N182" s="37"/>
      <c r="O182" s="37"/>
      <c r="P182" s="10"/>
      <c r="Q182" s="262">
        <v>1</v>
      </c>
      <c r="R182" s="124"/>
      <c r="T182" s="132" t="s">
        <v>23</v>
      </c>
      <c r="U182" s="131"/>
      <c r="X182" s="261">
        <v>11.934056282043461</v>
      </c>
      <c r="Y182" s="261">
        <f t="shared" si="19"/>
        <v>11.934056282043461</v>
      </c>
      <c r="Z182" s="124" t="str">
        <f t="shared" si="20"/>
        <v/>
      </c>
    </row>
    <row r="183" spans="1:26" s="130" customFormat="1" ht="204" customHeight="1" x14ac:dyDescent="0.2">
      <c r="A183" s="14" t="e">
        <f>A182+1</f>
        <v>#REF!</v>
      </c>
      <c r="B183" s="339" t="s">
        <v>693</v>
      </c>
      <c r="C183" s="17" t="s">
        <v>693</v>
      </c>
      <c r="D183" s="22" t="s">
        <v>694</v>
      </c>
      <c r="E183" s="20">
        <f t="shared" si="16"/>
        <v>360</v>
      </c>
      <c r="F183" s="22" t="s">
        <v>695</v>
      </c>
      <c r="G183" s="20">
        <f t="shared" si="17"/>
        <v>437</v>
      </c>
      <c r="H183" s="34" t="s">
        <v>37</v>
      </c>
      <c r="I183" s="20" t="s">
        <v>24</v>
      </c>
      <c r="J183" s="20" t="s">
        <v>24</v>
      </c>
      <c r="K183" s="20" t="s">
        <v>38</v>
      </c>
      <c r="L183" s="30" t="s">
        <v>679</v>
      </c>
      <c r="M183" s="69" t="s">
        <v>24</v>
      </c>
      <c r="N183" s="22"/>
      <c r="O183" s="30"/>
      <c r="P183" s="10"/>
      <c r="Q183" s="262">
        <v>1</v>
      </c>
      <c r="R183" s="124"/>
      <c r="T183" s="132" t="s">
        <v>23</v>
      </c>
      <c r="U183" s="131"/>
      <c r="X183" s="261">
        <v>11.36098480224609</v>
      </c>
      <c r="Y183" s="261">
        <f t="shared" si="19"/>
        <v>11.36098480224609</v>
      </c>
      <c r="Z183" s="124" t="str">
        <f t="shared" si="20"/>
        <v/>
      </c>
    </row>
    <row r="184" spans="1:26" s="130" customFormat="1" ht="221" customHeight="1" x14ac:dyDescent="0.2">
      <c r="A184" s="14" t="e">
        <f>A183+1</f>
        <v>#REF!</v>
      </c>
      <c r="B184" s="339" t="s">
        <v>696</v>
      </c>
      <c r="C184" s="17" t="s">
        <v>696</v>
      </c>
      <c r="D184" s="22" t="s">
        <v>697</v>
      </c>
      <c r="E184" s="20">
        <f t="shared" si="16"/>
        <v>374</v>
      </c>
      <c r="F184" s="22" t="s">
        <v>698</v>
      </c>
      <c r="G184" s="20">
        <f t="shared" si="17"/>
        <v>464</v>
      </c>
      <c r="H184" s="34" t="s">
        <v>37</v>
      </c>
      <c r="I184" s="20" t="s">
        <v>24</v>
      </c>
      <c r="J184" s="20" t="s">
        <v>24</v>
      </c>
      <c r="K184" s="20" t="s">
        <v>38</v>
      </c>
      <c r="L184" s="30" t="s">
        <v>679</v>
      </c>
      <c r="M184" s="69" t="s">
        <v>24</v>
      </c>
      <c r="N184" s="340"/>
      <c r="O184" s="341"/>
      <c r="P184" s="10"/>
      <c r="Q184" s="262">
        <v>1</v>
      </c>
      <c r="R184" s="124"/>
      <c r="T184" s="132" t="s">
        <v>23</v>
      </c>
      <c r="U184" s="131"/>
      <c r="X184" s="261">
        <v>12.7567195892334</v>
      </c>
      <c r="Y184" s="261">
        <f t="shared" si="19"/>
        <v>12.7567195892334</v>
      </c>
      <c r="Z184" s="124" t="str">
        <f t="shared" si="20"/>
        <v/>
      </c>
    </row>
    <row r="185" spans="1:26" s="130" customFormat="1" ht="204" customHeight="1" x14ac:dyDescent="0.2">
      <c r="A185" s="14" t="e">
        <f>#REF!+1</f>
        <v>#REF!</v>
      </c>
      <c r="B185" s="339" t="s">
        <v>699</v>
      </c>
      <c r="C185" s="17" t="s">
        <v>699</v>
      </c>
      <c r="D185" s="22" t="s">
        <v>700</v>
      </c>
      <c r="E185" s="20">
        <f t="shared" si="16"/>
        <v>351</v>
      </c>
      <c r="F185" s="22" t="s">
        <v>701</v>
      </c>
      <c r="G185" s="20">
        <f t="shared" si="17"/>
        <v>437</v>
      </c>
      <c r="H185" s="34" t="s">
        <v>37</v>
      </c>
      <c r="I185" s="20" t="s">
        <v>24</v>
      </c>
      <c r="J185" s="20" t="s">
        <v>24</v>
      </c>
      <c r="K185" s="20" t="s">
        <v>38</v>
      </c>
      <c r="L185" s="30" t="s">
        <v>679</v>
      </c>
      <c r="M185" s="69" t="s">
        <v>24</v>
      </c>
      <c r="N185" s="342"/>
      <c r="O185" s="343"/>
      <c r="P185" s="10"/>
      <c r="Q185" s="262">
        <v>1</v>
      </c>
      <c r="R185" s="124"/>
      <c r="T185" s="132" t="s">
        <v>23</v>
      </c>
      <c r="U185" s="131"/>
      <c r="X185" s="261">
        <v>9.0632390975952148</v>
      </c>
      <c r="Y185" s="261">
        <f t="shared" si="19"/>
        <v>9.0632390975952148</v>
      </c>
      <c r="Z185" s="124" t="str">
        <f t="shared" si="20"/>
        <v/>
      </c>
    </row>
    <row r="186" spans="1:26" s="130" customFormat="1" ht="204" customHeight="1" x14ac:dyDescent="0.2">
      <c r="A186" s="14" t="e">
        <f>A185+1</f>
        <v>#REF!</v>
      </c>
      <c r="B186" s="339" t="s">
        <v>702</v>
      </c>
      <c r="C186" s="17" t="s">
        <v>702</v>
      </c>
      <c r="D186" s="22" t="s">
        <v>703</v>
      </c>
      <c r="E186" s="20">
        <f t="shared" si="16"/>
        <v>334</v>
      </c>
      <c r="F186" s="22" t="s">
        <v>704</v>
      </c>
      <c r="G186" s="20">
        <f t="shared" si="17"/>
        <v>414</v>
      </c>
      <c r="H186" s="34" t="s">
        <v>37</v>
      </c>
      <c r="I186" s="20" t="s">
        <v>24</v>
      </c>
      <c r="J186" s="20" t="s">
        <v>24</v>
      </c>
      <c r="K186" s="20" t="s">
        <v>38</v>
      </c>
      <c r="L186" s="30" t="s">
        <v>679</v>
      </c>
      <c r="M186" s="69" t="s">
        <v>24</v>
      </c>
      <c r="N186" s="342"/>
      <c r="O186" s="343"/>
      <c r="P186" s="10"/>
      <c r="Q186" s="262">
        <v>1</v>
      </c>
      <c r="R186" s="124"/>
      <c r="T186" s="132" t="s">
        <v>23</v>
      </c>
      <c r="U186" s="131"/>
      <c r="X186" s="261">
        <v>9.1058073043823242</v>
      </c>
      <c r="Y186" s="261">
        <f t="shared" si="19"/>
        <v>9.1058073043823242</v>
      </c>
      <c r="Z186" s="124" t="str">
        <f t="shared" si="20"/>
        <v/>
      </c>
    </row>
    <row r="187" spans="1:26" s="130" customFormat="1" ht="220" customHeight="1" x14ac:dyDescent="0.2">
      <c r="A187" s="14" t="e">
        <f>#REF!+1</f>
        <v>#REF!</v>
      </c>
      <c r="B187" s="339" t="s">
        <v>705</v>
      </c>
      <c r="C187" s="17" t="s">
        <v>705</v>
      </c>
      <c r="D187" s="22" t="s">
        <v>706</v>
      </c>
      <c r="E187" s="20">
        <f t="shared" si="16"/>
        <v>360</v>
      </c>
      <c r="F187" s="22" t="s">
        <v>707</v>
      </c>
      <c r="G187" s="20">
        <f t="shared" si="17"/>
        <v>447</v>
      </c>
      <c r="H187" s="34" t="s">
        <v>37</v>
      </c>
      <c r="I187" s="20" t="s">
        <v>24</v>
      </c>
      <c r="J187" s="20" t="s">
        <v>24</v>
      </c>
      <c r="K187" s="20" t="s">
        <v>38</v>
      </c>
      <c r="L187" s="30" t="s">
        <v>679</v>
      </c>
      <c r="M187" s="69" t="s">
        <v>24</v>
      </c>
      <c r="N187" s="342"/>
      <c r="O187" s="343"/>
      <c r="P187" s="10"/>
      <c r="Q187" s="262">
        <v>1</v>
      </c>
      <c r="R187" s="124"/>
      <c r="T187" s="132" t="s">
        <v>23</v>
      </c>
      <c r="U187" s="131"/>
      <c r="W187" s="145"/>
      <c r="X187" s="261">
        <v>6.2936897277832031</v>
      </c>
      <c r="Y187" s="261">
        <f t="shared" si="19"/>
        <v>6.2936897277832031</v>
      </c>
      <c r="Z187" s="124" t="str">
        <f t="shared" si="20"/>
        <v/>
      </c>
    </row>
    <row r="188" spans="1:26" s="130" customFormat="1" ht="409.5" customHeight="1" x14ac:dyDescent="0.2">
      <c r="A188" s="41" t="e">
        <f>#REF!+1</f>
        <v>#REF!</v>
      </c>
      <c r="B188" s="169" t="s">
        <v>708</v>
      </c>
      <c r="C188" s="129" t="s">
        <v>709</v>
      </c>
      <c r="D188" s="546" t="s">
        <v>710</v>
      </c>
      <c r="E188" s="135">
        <f t="shared" si="16"/>
        <v>1361</v>
      </c>
      <c r="F188" s="425" t="s">
        <v>711</v>
      </c>
      <c r="G188" s="135">
        <f t="shared" si="17"/>
        <v>1636</v>
      </c>
      <c r="H188" s="144" t="s">
        <v>336</v>
      </c>
      <c r="I188" s="135" t="s">
        <v>24</v>
      </c>
      <c r="J188" s="135" t="s">
        <v>24</v>
      </c>
      <c r="K188" s="135" t="s">
        <v>712</v>
      </c>
      <c r="L188" s="134" t="s">
        <v>713</v>
      </c>
      <c r="M188" s="205" t="s">
        <v>714</v>
      </c>
      <c r="N188" s="134" t="s">
        <v>715</v>
      </c>
      <c r="O188" s="73"/>
      <c r="P188" s="143"/>
      <c r="Q188" s="257">
        <v>1</v>
      </c>
      <c r="R188" s="124"/>
      <c r="T188" s="412" t="s">
        <v>33</v>
      </c>
      <c r="U188" s="131"/>
      <c r="X188" s="260">
        <v>52.174358367919922</v>
      </c>
      <c r="Y188" s="260">
        <f t="shared" si="19"/>
        <v>52.174358367919922</v>
      </c>
      <c r="Z188" s="124">
        <f t="shared" si="20"/>
        <v>52.174358367919922</v>
      </c>
    </row>
    <row r="189" spans="1:26" s="130" customFormat="1" ht="171" customHeight="1" thickBot="1" x14ac:dyDescent="0.25">
      <c r="A189" s="330" t="e">
        <f>A188+1</f>
        <v>#REF!</v>
      </c>
      <c r="B189" s="222" t="s">
        <v>716</v>
      </c>
      <c r="C189" s="168" t="s">
        <v>716</v>
      </c>
      <c r="D189" s="142" t="s">
        <v>717</v>
      </c>
      <c r="E189" s="118">
        <f t="shared" si="16"/>
        <v>327</v>
      </c>
      <c r="F189" s="191" t="s">
        <v>718</v>
      </c>
      <c r="G189" s="118">
        <f t="shared" si="17"/>
        <v>489</v>
      </c>
      <c r="H189" s="141" t="s">
        <v>37</v>
      </c>
      <c r="I189" s="119" t="s">
        <v>24</v>
      </c>
      <c r="J189" s="119" t="s">
        <v>24</v>
      </c>
      <c r="K189" s="119" t="s">
        <v>38</v>
      </c>
      <c r="L189" s="140" t="s">
        <v>719</v>
      </c>
      <c r="M189" s="205" t="s">
        <v>24</v>
      </c>
      <c r="N189" s="140" t="s">
        <v>720</v>
      </c>
      <c r="O189" s="40" t="s">
        <v>721</v>
      </c>
      <c r="P189" s="139"/>
      <c r="Q189" s="257">
        <v>1</v>
      </c>
      <c r="R189" s="124"/>
      <c r="T189" s="412" t="s">
        <v>33</v>
      </c>
      <c r="U189" s="131"/>
      <c r="X189" s="260">
        <v>1.2871023416519169</v>
      </c>
      <c r="Y189" s="260">
        <f t="shared" si="19"/>
        <v>1.2871023416519169</v>
      </c>
      <c r="Z189" s="124">
        <f t="shared" si="20"/>
        <v>1.2871023416519169</v>
      </c>
    </row>
    <row r="190" spans="1:26" s="403" customFormat="1" ht="17" customHeight="1" thickBot="1" x14ac:dyDescent="0.25">
      <c r="A190" s="586" t="s">
        <v>722</v>
      </c>
      <c r="B190" s="587"/>
      <c r="C190" s="587"/>
      <c r="D190" s="587"/>
      <c r="E190" s="587"/>
      <c r="F190" s="587"/>
      <c r="G190" s="587"/>
      <c r="H190" s="587"/>
      <c r="I190" s="587"/>
      <c r="J190" s="587"/>
      <c r="K190" s="587"/>
      <c r="L190" s="587"/>
      <c r="M190" s="587"/>
      <c r="N190" s="587"/>
      <c r="O190" s="587"/>
      <c r="P190" s="588"/>
      <c r="Q190" s="257"/>
      <c r="R190" s="414"/>
      <c r="T190" s="412"/>
      <c r="U190" s="415"/>
      <c r="X190" s="260"/>
      <c r="Y190" s="260" t="str">
        <f t="shared" si="19"/>
        <v/>
      </c>
      <c r="Z190" s="414" t="str">
        <f t="shared" si="20"/>
        <v/>
      </c>
    </row>
    <row r="191" spans="1:26" s="218" customFormat="1" ht="255" customHeight="1" x14ac:dyDescent="0.2">
      <c r="A191" s="329" t="e">
        <f>#REF!+1</f>
        <v>#REF!</v>
      </c>
      <c r="B191" s="220" t="s">
        <v>723</v>
      </c>
      <c r="C191" s="129" t="s">
        <v>723</v>
      </c>
      <c r="D191" s="128" t="s">
        <v>724</v>
      </c>
      <c r="E191" s="127">
        <f>LEN(D191)</f>
        <v>222</v>
      </c>
      <c r="F191" s="191" t="s">
        <v>725</v>
      </c>
      <c r="G191" s="127">
        <f>LEN(F191)</f>
        <v>228</v>
      </c>
      <c r="H191" s="137" t="s">
        <v>37</v>
      </c>
      <c r="I191" s="127" t="s">
        <v>24</v>
      </c>
      <c r="J191" s="135" t="s">
        <v>726</v>
      </c>
      <c r="K191" s="135" t="s">
        <v>38</v>
      </c>
      <c r="L191" s="126" t="s">
        <v>727</v>
      </c>
      <c r="M191" s="205" t="s">
        <v>24</v>
      </c>
      <c r="N191" s="531" t="s">
        <v>728</v>
      </c>
      <c r="O191" s="75"/>
      <c r="P191" s="9"/>
      <c r="Q191" s="257">
        <v>1</v>
      </c>
      <c r="R191" s="125"/>
      <c r="T191" s="416" t="s">
        <v>33</v>
      </c>
      <c r="U191" s="212"/>
      <c r="X191" s="264">
        <v>14.47277355194092</v>
      </c>
      <c r="Y191" s="260">
        <f t="shared" si="19"/>
        <v>14.47277355194092</v>
      </c>
      <c r="Z191" s="124">
        <f t="shared" si="20"/>
        <v>14.47277355194092</v>
      </c>
    </row>
    <row r="192" spans="1:26" s="130" customFormat="1" ht="409.5" customHeight="1" x14ac:dyDescent="0.2">
      <c r="A192" s="41" t="e">
        <f>A191+1</f>
        <v>#REF!</v>
      </c>
      <c r="B192" s="220" t="s">
        <v>729</v>
      </c>
      <c r="C192" s="398" t="s">
        <v>730</v>
      </c>
      <c r="D192" s="384" t="s">
        <v>731</v>
      </c>
      <c r="E192" s="135">
        <f>LEN(D192)</f>
        <v>1207</v>
      </c>
      <c r="F192" s="425" t="s">
        <v>732</v>
      </c>
      <c r="G192" s="135">
        <f>LEN(F192)</f>
        <v>1433</v>
      </c>
      <c r="H192" s="136" t="s">
        <v>733</v>
      </c>
      <c r="I192" s="135" t="s">
        <v>24</v>
      </c>
      <c r="J192" s="135" t="s">
        <v>24</v>
      </c>
      <c r="K192" s="135" t="s">
        <v>734</v>
      </c>
      <c r="L192" s="134" t="s">
        <v>735</v>
      </c>
      <c r="M192" s="205" t="s">
        <v>736</v>
      </c>
      <c r="N192" s="133" t="s">
        <v>737</v>
      </c>
      <c r="O192" s="158"/>
      <c r="P192" s="10"/>
      <c r="Q192" s="257">
        <v>1</v>
      </c>
      <c r="R192" s="124"/>
      <c r="T192" s="412" t="s">
        <v>33</v>
      </c>
      <c r="U192" s="131"/>
      <c r="X192" s="260">
        <v>33.740764617919922</v>
      </c>
      <c r="Y192" s="260">
        <f t="shared" si="19"/>
        <v>33.740764617919922</v>
      </c>
      <c r="Z192" s="124">
        <f t="shared" si="20"/>
        <v>33.740764617919922</v>
      </c>
    </row>
    <row r="193" spans="1:26" s="130" customFormat="1" x14ac:dyDescent="0.2">
      <c r="A193" s="100"/>
      <c r="B193" s="248"/>
      <c r="C193" s="88"/>
      <c r="D193" s="106"/>
      <c r="E193" s="91"/>
      <c r="F193" s="91"/>
      <c r="G193" s="91"/>
      <c r="H193" s="101"/>
      <c r="I193" s="91"/>
      <c r="J193" s="91"/>
      <c r="K193" s="91"/>
      <c r="L193" s="83"/>
      <c r="M193" s="68"/>
      <c r="N193" s="247"/>
      <c r="O193" s="247"/>
      <c r="P193" s="10"/>
      <c r="Q193" s="262">
        <v>1</v>
      </c>
      <c r="R193" s="124"/>
      <c r="T193" s="132"/>
      <c r="U193" s="131"/>
      <c r="X193" s="261"/>
      <c r="Y193" s="261" t="str">
        <f t="shared" si="19"/>
        <v/>
      </c>
      <c r="Z193" s="124" t="str">
        <f t="shared" si="20"/>
        <v/>
      </c>
    </row>
    <row r="194" spans="1:26" s="130" customFormat="1" ht="340" customHeight="1" x14ac:dyDescent="0.2">
      <c r="A194" s="346" t="e">
        <f>A192+1</f>
        <v>#REF!</v>
      </c>
      <c r="B194" s="169" t="s">
        <v>738</v>
      </c>
      <c r="C194" s="136" t="s">
        <v>739</v>
      </c>
      <c r="D194" s="384" t="s">
        <v>740</v>
      </c>
      <c r="E194" s="118">
        <f>LEN(D194)</f>
        <v>497</v>
      </c>
      <c r="F194" s="530" t="s">
        <v>741</v>
      </c>
      <c r="G194" s="118">
        <f>LEN(F194)</f>
        <v>606</v>
      </c>
      <c r="H194" s="399" t="s">
        <v>733</v>
      </c>
      <c r="I194" s="118" t="s">
        <v>24</v>
      </c>
      <c r="J194" s="118" t="s">
        <v>24</v>
      </c>
      <c r="K194" s="118" t="s">
        <v>742</v>
      </c>
      <c r="L194" s="382" t="s">
        <v>743</v>
      </c>
      <c r="M194" s="205" t="s">
        <v>744</v>
      </c>
      <c r="N194" s="382" t="s">
        <v>745</v>
      </c>
      <c r="O194" s="83"/>
      <c r="P194" s="10"/>
      <c r="Q194" s="262">
        <v>1</v>
      </c>
      <c r="R194" s="124"/>
      <c r="T194" s="412" t="s">
        <v>33</v>
      </c>
      <c r="U194" s="131"/>
      <c r="X194" s="260">
        <v>14.55059909820557</v>
      </c>
      <c r="Y194" s="260">
        <f t="shared" si="19"/>
        <v>14.55059909820557</v>
      </c>
      <c r="Z194" s="124">
        <f t="shared" si="20"/>
        <v>14.55059909820557</v>
      </c>
    </row>
    <row r="195" spans="1:26" s="130" customFormat="1" ht="255" customHeight="1" x14ac:dyDescent="0.2">
      <c r="A195" s="346" t="e">
        <f>A194+1</f>
        <v>#REF!</v>
      </c>
      <c r="B195" s="400" t="s">
        <v>746</v>
      </c>
      <c r="C195" s="401" t="s">
        <v>746</v>
      </c>
      <c r="D195" s="384" t="s">
        <v>747</v>
      </c>
      <c r="E195" s="118">
        <f>LEN(D195)</f>
        <v>460</v>
      </c>
      <c r="F195" s="428" t="s">
        <v>748</v>
      </c>
      <c r="G195" s="118">
        <f>LEN(F195)</f>
        <v>512</v>
      </c>
      <c r="H195" s="399" t="s">
        <v>37</v>
      </c>
      <c r="I195" s="118" t="s">
        <v>24</v>
      </c>
      <c r="J195" s="402" t="s">
        <v>24</v>
      </c>
      <c r="K195" s="118" t="s">
        <v>38</v>
      </c>
      <c r="L195" s="396" t="s">
        <v>749</v>
      </c>
      <c r="M195" s="205" t="s">
        <v>24</v>
      </c>
      <c r="N195" s="134" t="s">
        <v>750</v>
      </c>
      <c r="O195" s="73" t="s">
        <v>751</v>
      </c>
      <c r="P195" s="10"/>
      <c r="Q195" s="262">
        <v>1</v>
      </c>
      <c r="R195" s="124"/>
      <c r="T195" s="412" t="s">
        <v>33</v>
      </c>
      <c r="U195" s="131"/>
      <c r="X195" s="260">
        <v>10.812456130981451</v>
      </c>
      <c r="Y195" s="260">
        <f t="shared" si="19"/>
        <v>10.812456130981451</v>
      </c>
      <c r="Z195" s="124">
        <f t="shared" si="20"/>
        <v>10.812456130981451</v>
      </c>
    </row>
    <row r="196" spans="1:26" s="130" customFormat="1" x14ac:dyDescent="0.2">
      <c r="A196" s="100"/>
      <c r="B196" s="248"/>
      <c r="C196" s="88"/>
      <c r="D196" s="106"/>
      <c r="E196" s="91"/>
      <c r="F196" s="91"/>
      <c r="G196" s="91"/>
      <c r="H196" s="101"/>
      <c r="I196" s="91"/>
      <c r="J196" s="91"/>
      <c r="K196" s="91"/>
      <c r="L196" s="83"/>
      <c r="M196" s="68"/>
      <c r="N196" s="247"/>
      <c r="O196" s="348"/>
      <c r="P196" s="47"/>
      <c r="Q196" s="262">
        <v>1</v>
      </c>
      <c r="R196" s="124"/>
      <c r="T196" s="132"/>
      <c r="U196" s="131"/>
      <c r="X196" s="261"/>
      <c r="Y196" s="261" t="str">
        <f t="shared" si="19"/>
        <v/>
      </c>
      <c r="Z196" s="124" t="str">
        <f t="shared" si="20"/>
        <v/>
      </c>
    </row>
    <row r="197" spans="1:26" s="130" customFormat="1" ht="187" customHeight="1" x14ac:dyDescent="0.2">
      <c r="A197" s="36"/>
      <c r="B197" s="49" t="s">
        <v>752</v>
      </c>
      <c r="C197" s="404" t="s">
        <v>753</v>
      </c>
      <c r="D197" s="364" t="s">
        <v>754</v>
      </c>
      <c r="E197" s="23">
        <f>LEN(D197)</f>
        <v>188</v>
      </c>
      <c r="F197" s="439" t="s">
        <v>755</v>
      </c>
      <c r="G197" s="23">
        <f>LEN(F197)</f>
        <v>208</v>
      </c>
      <c r="H197" s="367" t="s">
        <v>336</v>
      </c>
      <c r="I197" s="23" t="s">
        <v>24</v>
      </c>
      <c r="J197" s="405" t="s">
        <v>24</v>
      </c>
      <c r="K197" s="23" t="s">
        <v>756</v>
      </c>
      <c r="L197" s="37" t="s">
        <v>757</v>
      </c>
      <c r="M197" s="69" t="s">
        <v>758</v>
      </c>
      <c r="N197" s="30" t="s">
        <v>759</v>
      </c>
      <c r="O197" s="30" t="s">
        <v>759</v>
      </c>
      <c r="P197" s="60"/>
      <c r="Q197" s="262">
        <v>1</v>
      </c>
      <c r="R197" s="124"/>
      <c r="T197" s="132" t="s">
        <v>23</v>
      </c>
      <c r="U197" s="131"/>
      <c r="X197" s="261">
        <v>10.812456130981451</v>
      </c>
      <c r="Y197" s="261">
        <f t="shared" si="19"/>
        <v>10.812456130981451</v>
      </c>
      <c r="Z197" s="124" t="str">
        <f t="shared" si="20"/>
        <v/>
      </c>
    </row>
    <row r="198" spans="1:26" s="130" customFormat="1" ht="17" customHeight="1" thickBot="1" x14ac:dyDescent="0.25">
      <c r="A198" s="100"/>
      <c r="B198" s="248"/>
      <c r="C198" s="88"/>
      <c r="D198" s="106"/>
      <c r="E198" s="91"/>
      <c r="F198" s="91"/>
      <c r="G198" s="91"/>
      <c r="H198" s="101"/>
      <c r="I198" s="91"/>
      <c r="J198" s="91"/>
      <c r="K198" s="91"/>
      <c r="L198" s="83"/>
      <c r="M198" s="68"/>
      <c r="N198" s="247"/>
      <c r="O198" s="247"/>
      <c r="P198" s="10"/>
      <c r="Q198" s="262">
        <v>1</v>
      </c>
      <c r="R198" s="124"/>
      <c r="T198" s="132"/>
      <c r="U198" s="131"/>
      <c r="X198" s="261"/>
      <c r="Y198" s="261" t="str">
        <f t="shared" si="19"/>
        <v/>
      </c>
      <c r="Z198" s="124" t="str">
        <f t="shared" si="20"/>
        <v/>
      </c>
    </row>
    <row r="199" spans="1:26" s="403" customFormat="1" ht="17" customHeight="1" thickBot="1" x14ac:dyDescent="0.25">
      <c r="A199" s="586" t="s">
        <v>760</v>
      </c>
      <c r="B199" s="587"/>
      <c r="C199" s="587"/>
      <c r="D199" s="587"/>
      <c r="E199" s="587"/>
      <c r="F199" s="587"/>
      <c r="G199" s="587"/>
      <c r="H199" s="587"/>
      <c r="I199" s="587"/>
      <c r="J199" s="587"/>
      <c r="K199" s="587"/>
      <c r="L199" s="587"/>
      <c r="M199" s="587"/>
      <c r="N199" s="587"/>
      <c r="O199" s="587"/>
      <c r="P199" s="588"/>
      <c r="Q199" s="257"/>
      <c r="R199" s="414"/>
      <c r="T199" s="412"/>
      <c r="U199" s="415"/>
      <c r="X199" s="260"/>
      <c r="Y199" s="260" t="str">
        <f t="shared" si="19"/>
        <v/>
      </c>
      <c r="Z199" s="414" t="str">
        <f t="shared" si="20"/>
        <v/>
      </c>
    </row>
    <row r="200" spans="1:26" s="130" customFormat="1" ht="119" customHeight="1" x14ac:dyDescent="0.2">
      <c r="A200" s="87" t="s">
        <v>24</v>
      </c>
      <c r="B200" s="220" t="s">
        <v>761</v>
      </c>
      <c r="C200" s="129" t="s">
        <v>761</v>
      </c>
      <c r="D200" s="128" t="s">
        <v>762</v>
      </c>
      <c r="E200" s="127">
        <f t="shared" ref="E200:E206" si="21">LEN(D200)</f>
        <v>162</v>
      </c>
      <c r="F200" s="440" t="s">
        <v>763</v>
      </c>
      <c r="G200" s="127">
        <f t="shared" ref="G200:G206" si="22">LEN(F200)</f>
        <v>189</v>
      </c>
      <c r="H200" s="127" t="s">
        <v>37</v>
      </c>
      <c r="I200" s="127" t="s">
        <v>24</v>
      </c>
      <c r="J200" s="127" t="s">
        <v>24</v>
      </c>
      <c r="K200" s="127" t="s">
        <v>38</v>
      </c>
      <c r="L200" s="126" t="s">
        <v>764</v>
      </c>
      <c r="M200" s="205" t="s">
        <v>24</v>
      </c>
      <c r="N200" s="126" t="s">
        <v>765</v>
      </c>
      <c r="O200" s="75"/>
      <c r="P200" s="9"/>
      <c r="Q200" s="257">
        <v>1</v>
      </c>
      <c r="R200" s="124"/>
      <c r="T200" s="412" t="s">
        <v>33</v>
      </c>
      <c r="U200" s="131"/>
      <c r="X200" s="260">
        <v>14.946464538574221</v>
      </c>
      <c r="Y200" s="260">
        <f t="shared" si="19"/>
        <v>14.946464538574221</v>
      </c>
      <c r="Z200" s="124">
        <f t="shared" si="20"/>
        <v>14.946464538574221</v>
      </c>
    </row>
    <row r="201" spans="1:26" s="275" customFormat="1" ht="137.25" customHeight="1" x14ac:dyDescent="0.2">
      <c r="A201" s="268"/>
      <c r="B201" s="406" t="s">
        <v>766</v>
      </c>
      <c r="C201" s="407" t="s">
        <v>766</v>
      </c>
      <c r="D201" s="408" t="s">
        <v>767</v>
      </c>
      <c r="E201" s="409">
        <f t="shared" si="21"/>
        <v>144</v>
      </c>
      <c r="F201" s="441" t="s">
        <v>768</v>
      </c>
      <c r="G201" s="409">
        <f t="shared" si="22"/>
        <v>164</v>
      </c>
      <c r="H201" s="409" t="s">
        <v>37</v>
      </c>
      <c r="I201" s="409" t="s">
        <v>24</v>
      </c>
      <c r="J201" s="409" t="s">
        <v>24</v>
      </c>
      <c r="K201" s="409" t="s">
        <v>38</v>
      </c>
      <c r="L201" s="269" t="s">
        <v>769</v>
      </c>
      <c r="M201" s="69" t="s">
        <v>24</v>
      </c>
      <c r="N201" s="269" t="s">
        <v>770</v>
      </c>
      <c r="O201" s="269"/>
      <c r="P201" s="270"/>
      <c r="Q201" s="328">
        <v>1</v>
      </c>
      <c r="R201" s="274"/>
      <c r="T201" s="276" t="s">
        <v>771</v>
      </c>
      <c r="U201" s="277"/>
      <c r="X201" s="271">
        <v>16.684934616088871</v>
      </c>
      <c r="Y201" s="261">
        <f t="shared" si="19"/>
        <v>16.684934616088871</v>
      </c>
      <c r="Z201" s="124" t="str">
        <f t="shared" si="20"/>
        <v/>
      </c>
    </row>
    <row r="202" spans="1:26" s="280" customFormat="1" ht="204" customHeight="1" x14ac:dyDescent="0.2">
      <c r="A202" s="278"/>
      <c r="B202" s="406" t="s">
        <v>772</v>
      </c>
      <c r="C202" s="407" t="s">
        <v>772</v>
      </c>
      <c r="D202" s="408" t="s">
        <v>773</v>
      </c>
      <c r="E202" s="409">
        <f t="shared" si="21"/>
        <v>235</v>
      </c>
      <c r="F202" s="441" t="s">
        <v>774</v>
      </c>
      <c r="G202" s="409">
        <f t="shared" si="22"/>
        <v>302</v>
      </c>
      <c r="H202" s="409" t="s">
        <v>88</v>
      </c>
      <c r="I202" s="409" t="s">
        <v>24</v>
      </c>
      <c r="J202" s="409" t="s">
        <v>24</v>
      </c>
      <c r="K202" s="409" t="s">
        <v>89</v>
      </c>
      <c r="L202" s="269" t="s">
        <v>775</v>
      </c>
      <c r="M202" s="69" t="s">
        <v>24</v>
      </c>
      <c r="N202" s="269" t="s">
        <v>776</v>
      </c>
      <c r="O202" s="269"/>
      <c r="P202" s="270"/>
      <c r="Q202" s="328">
        <v>1</v>
      </c>
      <c r="R202" s="279"/>
      <c r="T202" s="276" t="s">
        <v>771</v>
      </c>
      <c r="U202" s="281"/>
      <c r="X202" s="271">
        <v>15.116804122924799</v>
      </c>
      <c r="Y202" s="261">
        <f t="shared" si="19"/>
        <v>15.116804122924799</v>
      </c>
      <c r="Z202" s="124" t="str">
        <f t="shared" si="20"/>
        <v/>
      </c>
    </row>
    <row r="203" spans="1:26" s="280" customFormat="1" ht="68" customHeight="1" x14ac:dyDescent="0.2">
      <c r="A203" s="278"/>
      <c r="B203" s="406" t="s">
        <v>777</v>
      </c>
      <c r="C203" s="407" t="s">
        <v>777</v>
      </c>
      <c r="D203" s="410" t="s">
        <v>778</v>
      </c>
      <c r="E203" s="409">
        <f t="shared" si="21"/>
        <v>71</v>
      </c>
      <c r="F203" s="441" t="s">
        <v>779</v>
      </c>
      <c r="G203" s="409">
        <f t="shared" si="22"/>
        <v>114</v>
      </c>
      <c r="H203" s="409" t="s">
        <v>26</v>
      </c>
      <c r="I203" s="411" t="s">
        <v>24</v>
      </c>
      <c r="J203" s="411" t="s">
        <v>24</v>
      </c>
      <c r="K203" s="411" t="s">
        <v>89</v>
      </c>
      <c r="L203" s="269" t="s">
        <v>780</v>
      </c>
      <c r="M203" s="69" t="s">
        <v>24</v>
      </c>
      <c r="N203" s="269" t="s">
        <v>781</v>
      </c>
      <c r="O203" s="269"/>
      <c r="P203" s="270"/>
      <c r="Q203" s="328">
        <v>1</v>
      </c>
      <c r="R203" s="279"/>
      <c r="T203" s="276" t="s">
        <v>771</v>
      </c>
      <c r="U203" s="281"/>
      <c r="X203" s="271">
        <v>25.539003372192379</v>
      </c>
      <c r="Y203" s="261">
        <f t="shared" ref="Y203:Y234" si="23">IF(X203="","",X203*Q203)</f>
        <v>25.539003372192379</v>
      </c>
      <c r="Z203" s="124" t="str">
        <f t="shared" ref="Z203:Z234" si="24">IF(T203="yes",Y203,"")</f>
        <v/>
      </c>
    </row>
    <row r="204" spans="1:26" s="280" customFormat="1" ht="68" customHeight="1" x14ac:dyDescent="0.2">
      <c r="A204" s="278"/>
      <c r="B204" s="406" t="s">
        <v>782</v>
      </c>
      <c r="C204" s="407" t="s">
        <v>782</v>
      </c>
      <c r="D204" s="410" t="s">
        <v>783</v>
      </c>
      <c r="E204" s="409">
        <f t="shared" si="21"/>
        <v>92</v>
      </c>
      <c r="F204" s="441" t="s">
        <v>784</v>
      </c>
      <c r="G204" s="409">
        <f t="shared" si="22"/>
        <v>107</v>
      </c>
      <c r="H204" s="409" t="s">
        <v>26</v>
      </c>
      <c r="I204" s="409" t="s">
        <v>24</v>
      </c>
      <c r="J204" s="409" t="s">
        <v>24</v>
      </c>
      <c r="K204" s="411" t="s">
        <v>27</v>
      </c>
      <c r="L204" s="269" t="s">
        <v>785</v>
      </c>
      <c r="M204" s="69" t="s">
        <v>24</v>
      </c>
      <c r="N204" s="269" t="s">
        <v>786</v>
      </c>
      <c r="O204" s="269"/>
      <c r="P204" s="270"/>
      <c r="Q204" s="328">
        <v>1</v>
      </c>
      <c r="R204" s="279"/>
      <c r="T204" s="276" t="s">
        <v>771</v>
      </c>
      <c r="U204" s="281"/>
      <c r="X204" s="271">
        <v>13.714834213256839</v>
      </c>
      <c r="Y204" s="261">
        <f t="shared" si="23"/>
        <v>13.714834213256839</v>
      </c>
      <c r="Z204" s="124" t="str">
        <f t="shared" si="24"/>
        <v/>
      </c>
    </row>
    <row r="205" spans="1:26" s="281" customFormat="1" ht="187" customHeight="1" x14ac:dyDescent="0.2">
      <c r="A205" s="327"/>
      <c r="B205" s="282" t="s">
        <v>787</v>
      </c>
      <c r="C205" s="283" t="s">
        <v>788</v>
      </c>
      <c r="D205" s="366" t="s">
        <v>789</v>
      </c>
      <c r="E205" s="285">
        <f t="shared" si="21"/>
        <v>166</v>
      </c>
      <c r="F205" s="441" t="s">
        <v>790</v>
      </c>
      <c r="G205" s="285">
        <f t="shared" si="22"/>
        <v>190</v>
      </c>
      <c r="H205" s="285" t="s">
        <v>336</v>
      </c>
      <c r="I205" s="285" t="s">
        <v>24</v>
      </c>
      <c r="J205" s="285" t="s">
        <v>24</v>
      </c>
      <c r="K205" s="285" t="s">
        <v>712</v>
      </c>
      <c r="L205" s="286" t="s">
        <v>791</v>
      </c>
      <c r="M205" s="205" t="s">
        <v>24</v>
      </c>
      <c r="N205" s="287" t="s">
        <v>792</v>
      </c>
      <c r="O205" s="269"/>
      <c r="P205" s="288"/>
      <c r="Q205" s="272">
        <v>1</v>
      </c>
      <c r="R205" s="279"/>
      <c r="T205" s="413" t="s">
        <v>140</v>
      </c>
      <c r="X205" s="423">
        <v>19.354913711547852</v>
      </c>
      <c r="Y205" s="260">
        <f t="shared" si="23"/>
        <v>19.354913711547852</v>
      </c>
      <c r="Z205" s="124" t="str">
        <f t="shared" si="24"/>
        <v/>
      </c>
    </row>
    <row r="206" spans="1:26" s="281" customFormat="1" ht="120" customHeight="1" x14ac:dyDescent="0.2">
      <c r="A206" s="327"/>
      <c r="B206" s="282" t="s">
        <v>793</v>
      </c>
      <c r="C206" s="283" t="s">
        <v>794</v>
      </c>
      <c r="D206" s="284" t="s">
        <v>795</v>
      </c>
      <c r="E206" s="285">
        <f t="shared" si="21"/>
        <v>130</v>
      </c>
      <c r="F206" s="441" t="s">
        <v>796</v>
      </c>
      <c r="G206" s="285">
        <f t="shared" si="22"/>
        <v>178</v>
      </c>
      <c r="H206" s="285" t="s">
        <v>336</v>
      </c>
      <c r="I206" s="285" t="s">
        <v>24</v>
      </c>
      <c r="J206" s="285" t="s">
        <v>24</v>
      </c>
      <c r="K206" s="285" t="s">
        <v>712</v>
      </c>
      <c r="L206" s="286" t="s">
        <v>797</v>
      </c>
      <c r="M206" s="205" t="s">
        <v>24</v>
      </c>
      <c r="N206" s="287" t="s">
        <v>798</v>
      </c>
      <c r="O206" s="269"/>
      <c r="P206" s="288"/>
      <c r="Q206" s="272">
        <v>1</v>
      </c>
      <c r="R206" s="279"/>
      <c r="T206" s="413" t="s">
        <v>140</v>
      </c>
      <c r="X206" s="423">
        <v>15.88939952850342</v>
      </c>
      <c r="Y206" s="260">
        <f t="shared" si="23"/>
        <v>15.88939952850342</v>
      </c>
      <c r="Z206" s="124" t="str">
        <f t="shared" si="24"/>
        <v/>
      </c>
    </row>
    <row r="207" spans="1:26" s="122" customFormat="1" x14ac:dyDescent="0.2">
      <c r="A207" s="246"/>
      <c r="B207" s="245"/>
      <c r="C207" s="244"/>
      <c r="D207" s="243"/>
      <c r="E207" s="242"/>
      <c r="G207" s="242"/>
      <c r="H207" s="242"/>
      <c r="I207" s="241"/>
      <c r="J207" s="241"/>
      <c r="K207" s="241"/>
      <c r="L207" s="240"/>
      <c r="M207" s="73"/>
      <c r="N207" s="240"/>
      <c r="O207" s="239"/>
      <c r="P207" s="238"/>
      <c r="Q207" s="262">
        <v>1</v>
      </c>
      <c r="R207" s="124"/>
      <c r="T207" s="123"/>
      <c r="X207" s="265"/>
      <c r="Y207" s="261" t="str">
        <f t="shared" si="23"/>
        <v/>
      </c>
      <c r="Z207" s="124" t="str">
        <f t="shared" si="24"/>
        <v/>
      </c>
    </row>
    <row r="208" spans="1:26" s="218" customFormat="1" ht="103" customHeight="1" thickBot="1" x14ac:dyDescent="0.25">
      <c r="A208" s="326" t="s">
        <v>24</v>
      </c>
      <c r="B208" s="219" t="s">
        <v>799</v>
      </c>
      <c r="C208" s="120" t="s">
        <v>799</v>
      </c>
      <c r="D208" s="547" t="s">
        <v>800</v>
      </c>
      <c r="E208" s="119">
        <f>LEN(D208)</f>
        <v>158</v>
      </c>
      <c r="F208" s="548" t="s">
        <v>801</v>
      </c>
      <c r="G208" s="119">
        <f>LEN(F208)</f>
        <v>184</v>
      </c>
      <c r="H208" s="119" t="s">
        <v>37</v>
      </c>
      <c r="I208" s="119" t="s">
        <v>24</v>
      </c>
      <c r="J208" s="119" t="s">
        <v>24</v>
      </c>
      <c r="K208" s="119" t="s">
        <v>38</v>
      </c>
      <c r="L208" s="140" t="s">
        <v>802</v>
      </c>
      <c r="M208" s="205" t="s">
        <v>24</v>
      </c>
      <c r="N208" s="237" t="s">
        <v>24</v>
      </c>
      <c r="O208" s="107"/>
      <c r="P208" s="236"/>
      <c r="Q208" s="257">
        <v>1</v>
      </c>
      <c r="R208" s="124"/>
      <c r="T208" s="412" t="s">
        <v>33</v>
      </c>
      <c r="U208" s="131"/>
      <c r="X208" s="260">
        <v>17.309154088391789</v>
      </c>
      <c r="Y208" s="260">
        <f t="shared" si="23"/>
        <v>17.309154088391789</v>
      </c>
      <c r="Z208" s="124">
        <f t="shared" si="24"/>
        <v>17.309154088391789</v>
      </c>
    </row>
    <row r="209" spans="1:26" s="130" customFormat="1" ht="35" customHeight="1" thickBot="1" x14ac:dyDescent="0.25">
      <c r="A209" s="325" t="s">
        <v>24</v>
      </c>
      <c r="B209" s="217" t="s">
        <v>803</v>
      </c>
      <c r="C209" s="117" t="s">
        <v>803</v>
      </c>
      <c r="D209" s="116" t="s">
        <v>804</v>
      </c>
      <c r="E209" s="115">
        <f>LEN(D209)</f>
        <v>141</v>
      </c>
      <c r="F209" s="116" t="s">
        <v>805</v>
      </c>
      <c r="G209" s="115">
        <f>LEN(F209)</f>
        <v>161</v>
      </c>
      <c r="H209" s="115" t="s">
        <v>24</v>
      </c>
      <c r="I209" s="115" t="s">
        <v>24</v>
      </c>
      <c r="J209" s="115" t="s">
        <v>24</v>
      </c>
      <c r="K209" s="115" t="s">
        <v>24</v>
      </c>
      <c r="L209" s="114" t="s">
        <v>24</v>
      </c>
      <c r="M209" s="114"/>
      <c r="N209" s="113" t="s">
        <v>24</v>
      </c>
      <c r="O209" s="85"/>
      <c r="P209" s="86"/>
      <c r="Q209" s="257">
        <v>1</v>
      </c>
      <c r="R209" s="131"/>
      <c r="T209" s="132" t="s">
        <v>23</v>
      </c>
      <c r="U209" s="131"/>
      <c r="X209" s="266"/>
      <c r="Y209" s="260" t="str">
        <f t="shared" si="23"/>
        <v/>
      </c>
      <c r="Z209" s="124" t="str">
        <f t="shared" si="24"/>
        <v/>
      </c>
    </row>
    <row r="210" spans="1:26" x14ac:dyDescent="0.2">
      <c r="X210" s="324"/>
    </row>
    <row r="211" spans="1:26" ht="17" customHeight="1" thickBot="1" x14ac:dyDescent="0.25"/>
    <row r="212" spans="1:26" ht="18" customHeight="1" thickBot="1" x14ac:dyDescent="0.25">
      <c r="D212" s="216" t="s">
        <v>806</v>
      </c>
      <c r="E212" s="215"/>
      <c r="F212" s="216" t="s">
        <v>807</v>
      </c>
      <c r="G212" s="215"/>
      <c r="H212" s="215"/>
      <c r="I212" s="215"/>
      <c r="J212" s="215"/>
      <c r="K212" s="215"/>
      <c r="L212" s="215"/>
      <c r="M212" s="215"/>
      <c r="N212" s="215"/>
      <c r="O212" s="215"/>
      <c r="P212" s="215"/>
      <c r="Q212" s="318"/>
      <c r="X212" s="319"/>
      <c r="Y212" s="420">
        <f>(SUM(Y5:Y210))/60</f>
        <v>25.577305747481248</v>
      </c>
      <c r="Z212" s="419">
        <f>SUM(Z2:Z209)/60</f>
        <v>16.79189503571596</v>
      </c>
    </row>
    <row r="213" spans="1:26" ht="18" hidden="1" customHeight="1" thickBot="1" x14ac:dyDescent="0.25">
      <c r="D213" s="323" t="s">
        <v>808</v>
      </c>
      <c r="E213" s="322"/>
      <c r="F213" s="323" t="s">
        <v>809</v>
      </c>
      <c r="G213" s="322"/>
      <c r="H213" s="322"/>
      <c r="I213" s="322"/>
      <c r="J213" s="322"/>
      <c r="K213" s="322"/>
      <c r="L213" s="322"/>
      <c r="M213" s="322"/>
      <c r="N213" s="322"/>
      <c r="O213" s="322"/>
      <c r="P213" s="322"/>
      <c r="Q213" s="320"/>
      <c r="X213" s="321"/>
      <c r="Y213" s="421">
        <f>(SUM(Y6:Y145)+SUM(Y165:Y210))/60</f>
        <v>25.493662579071589</v>
      </c>
    </row>
    <row r="214" spans="1:26" ht="18" customHeight="1" thickBot="1" x14ac:dyDescent="0.25">
      <c r="D214" s="216" t="s">
        <v>810</v>
      </c>
      <c r="E214" s="215"/>
      <c r="F214" s="216" t="s">
        <v>811</v>
      </c>
      <c r="G214" s="215"/>
      <c r="H214" s="215"/>
      <c r="I214" s="215"/>
      <c r="J214" s="215"/>
      <c r="K214" s="215"/>
      <c r="L214" s="215"/>
      <c r="M214" s="215"/>
      <c r="N214" s="215"/>
      <c r="O214" s="215"/>
      <c r="P214" s="215"/>
      <c r="Q214" s="318"/>
      <c r="X214" s="319"/>
      <c r="Y214" s="422">
        <f>(SUM(Y6:Y26)+SUM(Y35:Y145)+SUM(Y164:Y200)+SUM(Y207:Y210))/60</f>
        <v>21.989447938613161</v>
      </c>
    </row>
  </sheetData>
  <sheetProtection algorithmName="SHA-512" hashValue="FWNO8QrTOsLWdZs4v0oVLjZDumpmf773mqjhIKrlt9j03o9xMoZZ9y47yU6Nh2VjclKETJchP4JcNoW3e02bgg==" saltValue="Kwa/EfpZO4/xL7bJsGjUlg==" spinCount="100000" sheet="1" objects="1" scenarios="1"/>
  <mergeCells count="20">
    <mergeCell ref="N36:N37"/>
    <mergeCell ref="A41:P41"/>
    <mergeCell ref="A1:P1"/>
    <mergeCell ref="A2:O2"/>
    <mergeCell ref="P2:P3"/>
    <mergeCell ref="A4:P4"/>
    <mergeCell ref="A21:P21"/>
    <mergeCell ref="A54:P54"/>
    <mergeCell ref="P61:P62"/>
    <mergeCell ref="P71:P72"/>
    <mergeCell ref="P81:P82"/>
    <mergeCell ref="A156:P156"/>
    <mergeCell ref="A190:P190"/>
    <mergeCell ref="A199:P199"/>
    <mergeCell ref="A88:P88"/>
    <mergeCell ref="A116:P116"/>
    <mergeCell ref="A124:P124"/>
    <mergeCell ref="A138:P138"/>
    <mergeCell ref="A146:P146"/>
    <mergeCell ref="A164:P164"/>
  </mergeCells>
  <conditionalFormatting sqref="B14:B19">
    <cfRule type="duplicateValues" dxfId="155" priority="717"/>
  </conditionalFormatting>
  <conditionalFormatting sqref="B20">
    <cfRule type="duplicateValues" dxfId="154" priority="716"/>
  </conditionalFormatting>
  <conditionalFormatting sqref="B28">
    <cfRule type="duplicateValues" dxfId="153" priority="574"/>
  </conditionalFormatting>
  <conditionalFormatting sqref="B34:B35">
    <cfRule type="duplicateValues" dxfId="152" priority="567"/>
  </conditionalFormatting>
  <conditionalFormatting sqref="B36:B37">
    <cfRule type="duplicateValues" dxfId="151" priority="337"/>
  </conditionalFormatting>
  <conditionalFormatting sqref="B38">
    <cfRule type="duplicateValues" dxfId="150" priority="326"/>
  </conditionalFormatting>
  <conditionalFormatting sqref="B48">
    <cfRule type="duplicateValues" dxfId="149" priority="728"/>
  </conditionalFormatting>
  <conditionalFormatting sqref="B49">
    <cfRule type="duplicateValues" dxfId="148" priority="730"/>
  </conditionalFormatting>
  <conditionalFormatting sqref="B57:B59">
    <cfRule type="duplicateValues" dxfId="147" priority="336"/>
  </conditionalFormatting>
  <conditionalFormatting sqref="B62:B63">
    <cfRule type="duplicateValues" dxfId="146" priority="714"/>
  </conditionalFormatting>
  <conditionalFormatting sqref="B67:B69">
    <cfRule type="duplicateValues" dxfId="145" priority="332"/>
  </conditionalFormatting>
  <conditionalFormatting sqref="B70">
    <cfRule type="duplicateValues" dxfId="144" priority="849"/>
  </conditionalFormatting>
  <conditionalFormatting sqref="B71">
    <cfRule type="duplicateValues" dxfId="143" priority="681"/>
  </conditionalFormatting>
  <conditionalFormatting sqref="B72:B73">
    <cfRule type="duplicateValues" dxfId="142" priority="712"/>
  </conditionalFormatting>
  <conditionalFormatting sqref="B77:B79">
    <cfRule type="duplicateValues" dxfId="141" priority="328"/>
  </conditionalFormatting>
  <conditionalFormatting sqref="B80">
    <cfRule type="duplicateValues" dxfId="140" priority="887"/>
  </conditionalFormatting>
  <conditionalFormatting sqref="B82">
    <cfRule type="duplicateValues" dxfId="139" priority="710"/>
  </conditionalFormatting>
  <conditionalFormatting sqref="B83">
    <cfRule type="duplicateValues" dxfId="138" priority="341"/>
  </conditionalFormatting>
  <conditionalFormatting sqref="B84">
    <cfRule type="duplicateValues" dxfId="137" priority="342"/>
  </conditionalFormatting>
  <conditionalFormatting sqref="B85">
    <cfRule type="duplicateValues" dxfId="136" priority="534"/>
  </conditionalFormatting>
  <conditionalFormatting sqref="B87">
    <cfRule type="duplicateValues" dxfId="135" priority="674"/>
  </conditionalFormatting>
  <conditionalFormatting sqref="B98">
    <cfRule type="duplicateValues" dxfId="134" priority="338"/>
  </conditionalFormatting>
  <conditionalFormatting sqref="B107:B109">
    <cfRule type="duplicateValues" dxfId="133" priority="707"/>
  </conditionalFormatting>
  <conditionalFormatting sqref="B110">
    <cfRule type="duplicateValues" dxfId="132" priority="533"/>
  </conditionalFormatting>
  <conditionalFormatting sqref="B112">
    <cfRule type="duplicateValues" dxfId="131" priority="720"/>
  </conditionalFormatting>
  <conditionalFormatting sqref="B113">
    <cfRule type="duplicateValues" dxfId="130" priority="523"/>
  </conditionalFormatting>
  <conditionalFormatting sqref="B114">
    <cfRule type="duplicateValues" dxfId="129" priority="725"/>
  </conditionalFormatting>
  <conditionalFormatting sqref="B115">
    <cfRule type="duplicateValues" dxfId="128" priority="532"/>
  </conditionalFormatting>
  <conditionalFormatting sqref="B117:B118">
    <cfRule type="duplicateValues" dxfId="127" priority="767"/>
  </conditionalFormatting>
  <conditionalFormatting sqref="B121">
    <cfRule type="duplicateValues" dxfId="126" priority="571"/>
  </conditionalFormatting>
  <conditionalFormatting sqref="B123">
    <cfRule type="duplicateValues" dxfId="125" priority="325"/>
  </conditionalFormatting>
  <conditionalFormatting sqref="B126">
    <cfRule type="duplicateValues" dxfId="124" priority="570"/>
  </conditionalFormatting>
  <conditionalFormatting sqref="B132">
    <cfRule type="duplicateValues" dxfId="123" priority="721"/>
  </conditionalFormatting>
  <conditionalFormatting sqref="B133">
    <cfRule type="duplicateValues" dxfId="122" priority="531"/>
  </conditionalFormatting>
  <conditionalFormatting sqref="B135">
    <cfRule type="duplicateValues" dxfId="121" priority="718"/>
    <cfRule type="duplicateValues" dxfId="120" priority="719"/>
  </conditionalFormatting>
  <conditionalFormatting sqref="B136">
    <cfRule type="duplicateValues" dxfId="119" priority="724"/>
  </conditionalFormatting>
  <conditionalFormatting sqref="B137">
    <cfRule type="duplicateValues" dxfId="118" priority="530"/>
  </conditionalFormatting>
  <conditionalFormatting sqref="B142:B143">
    <cfRule type="duplicateValues" dxfId="117" priority="705"/>
  </conditionalFormatting>
  <conditionalFormatting sqref="B145">
    <cfRule type="duplicateValues" dxfId="116" priority="675"/>
  </conditionalFormatting>
  <conditionalFormatting sqref="B147">
    <cfRule type="duplicateValues" dxfId="115" priority="676"/>
  </conditionalFormatting>
  <conditionalFormatting sqref="B148">
    <cfRule type="duplicateValues" dxfId="114" priority="569"/>
  </conditionalFormatting>
  <conditionalFormatting sqref="B149:B150">
    <cfRule type="duplicateValues" dxfId="113" priority="704"/>
  </conditionalFormatting>
  <conditionalFormatting sqref="B155">
    <cfRule type="duplicateValues" dxfId="112" priority="529"/>
  </conditionalFormatting>
  <conditionalFormatting sqref="B159:B162">
    <cfRule type="duplicateValues" dxfId="111" priority="703"/>
  </conditionalFormatting>
  <conditionalFormatting sqref="B163">
    <cfRule type="duplicateValues" dxfId="110" priority="568"/>
  </conditionalFormatting>
  <conditionalFormatting sqref="B171">
    <cfRule type="duplicateValues" dxfId="109" priority="701"/>
  </conditionalFormatting>
  <conditionalFormatting sqref="B172">
    <cfRule type="duplicateValues" dxfId="108" priority="699"/>
  </conditionalFormatting>
  <conditionalFormatting sqref="B174">
    <cfRule type="duplicateValues" dxfId="107" priority="697"/>
  </conditionalFormatting>
  <conditionalFormatting sqref="B176">
    <cfRule type="duplicateValues" dxfId="106" priority="695"/>
  </conditionalFormatting>
  <conditionalFormatting sqref="B189">
    <cfRule type="duplicateValues" dxfId="105" priority="693"/>
  </conditionalFormatting>
  <conditionalFormatting sqref="B196">
    <cfRule type="duplicateValues" dxfId="104" priority="490"/>
  </conditionalFormatting>
  <conditionalFormatting sqref="B198">
    <cfRule type="duplicateValues" dxfId="103" priority="528"/>
  </conditionalFormatting>
  <conditionalFormatting sqref="B208:B213 B200 B191:B194 B173 B157:B158 B119:B120 B122 B2:B3 B139:B141 B64:B66 B74:B76 B111 B127:B131 B134:B135 B144 B151:B154 B165:B170 B175 B177 B44 B5 B24:B27 B188 B50:B53 B81 B86 B94:B96 B7:B20 B29:B33 B46:B47 B39:B40 B215:B1048576 B56 B60:B61">
    <cfRule type="duplicateValues" dxfId="102" priority="723"/>
  </conditionalFormatting>
  <conditionalFormatting sqref="B214">
    <cfRule type="duplicateValues" dxfId="101" priority="491"/>
  </conditionalFormatting>
  <conditionalFormatting sqref="C27">
    <cfRule type="duplicateValues" dxfId="100" priority="1021"/>
  </conditionalFormatting>
  <conditionalFormatting sqref="C28">
    <cfRule type="duplicateValues" dxfId="99" priority="1022"/>
  </conditionalFormatting>
  <conditionalFormatting sqref="C29:C30 C32:C33">
    <cfRule type="duplicateValues" dxfId="98" priority="1023"/>
  </conditionalFormatting>
  <conditionalFormatting sqref="C31">
    <cfRule type="duplicateValues" dxfId="97" priority="1028"/>
  </conditionalFormatting>
  <conditionalFormatting sqref="C34:C35">
    <cfRule type="duplicateValues" dxfId="96" priority="1027"/>
  </conditionalFormatting>
  <conditionalFormatting sqref="C39:C40">
    <cfRule type="duplicateValues" dxfId="95" priority="993"/>
  </conditionalFormatting>
  <conditionalFormatting sqref="C48">
    <cfRule type="duplicateValues" dxfId="94" priority="1025"/>
  </conditionalFormatting>
  <conditionalFormatting sqref="C49">
    <cfRule type="duplicateValues" dxfId="93" priority="1026"/>
  </conditionalFormatting>
  <conditionalFormatting sqref="C52">
    <cfRule type="duplicateValues" dxfId="92" priority="1007"/>
  </conditionalFormatting>
  <conditionalFormatting sqref="C53">
    <cfRule type="duplicateValues" dxfId="91" priority="1008"/>
  </conditionalFormatting>
  <conditionalFormatting sqref="C57">
    <cfRule type="duplicateValues" dxfId="90" priority="334"/>
  </conditionalFormatting>
  <conditionalFormatting sqref="C58">
    <cfRule type="duplicateValues" dxfId="89" priority="333"/>
  </conditionalFormatting>
  <conditionalFormatting sqref="C59">
    <cfRule type="duplicateValues" dxfId="88" priority="335"/>
  </conditionalFormatting>
  <conditionalFormatting sqref="C60">
    <cfRule type="duplicateValues" dxfId="87" priority="1033"/>
  </conditionalFormatting>
  <conditionalFormatting sqref="C62:C63">
    <cfRule type="duplicateValues" dxfId="86" priority="994"/>
  </conditionalFormatting>
  <conditionalFormatting sqref="C67">
    <cfRule type="duplicateValues" dxfId="85" priority="330"/>
  </conditionalFormatting>
  <conditionalFormatting sqref="C68">
    <cfRule type="duplicateValues" dxfId="84" priority="329"/>
  </conditionalFormatting>
  <conditionalFormatting sqref="C69">
    <cfRule type="duplicateValues" dxfId="83" priority="331"/>
  </conditionalFormatting>
  <conditionalFormatting sqref="C70">
    <cfRule type="duplicateValues" dxfId="82" priority="1035"/>
  </conditionalFormatting>
  <conditionalFormatting sqref="C72:C73">
    <cfRule type="duplicateValues" dxfId="81" priority="996"/>
  </conditionalFormatting>
  <conditionalFormatting sqref="C77:C79">
    <cfRule type="duplicateValues" dxfId="80" priority="327"/>
  </conditionalFormatting>
  <conditionalFormatting sqref="C80">
    <cfRule type="duplicateValues" dxfId="79" priority="1037"/>
  </conditionalFormatting>
  <conditionalFormatting sqref="C82">
    <cfRule type="duplicateValues" dxfId="78" priority="998"/>
  </conditionalFormatting>
  <conditionalFormatting sqref="C83">
    <cfRule type="duplicateValues" dxfId="77" priority="1044"/>
  </conditionalFormatting>
  <conditionalFormatting sqref="C98">
    <cfRule type="duplicateValues" dxfId="76" priority="1030"/>
  </conditionalFormatting>
  <conditionalFormatting sqref="C107:C109">
    <cfRule type="duplicateValues" dxfId="75" priority="1000"/>
  </conditionalFormatting>
  <conditionalFormatting sqref="C114">
    <cfRule type="duplicateValues" dxfId="74" priority="1016"/>
  </conditionalFormatting>
  <conditionalFormatting sqref="C117">
    <cfRule type="duplicateValues" dxfId="73" priority="1031"/>
  </conditionalFormatting>
  <conditionalFormatting sqref="C136">
    <cfRule type="duplicateValues" dxfId="72" priority="1015"/>
  </conditionalFormatting>
  <conditionalFormatting sqref="C159">
    <cfRule type="duplicateValues" dxfId="71" priority="1001"/>
  </conditionalFormatting>
  <conditionalFormatting sqref="C165">
    <cfRule type="duplicateValues" dxfId="70" priority="119"/>
  </conditionalFormatting>
  <conditionalFormatting sqref="C171">
    <cfRule type="duplicateValues" dxfId="69" priority="1002"/>
  </conditionalFormatting>
  <conditionalFormatting sqref="C172">
    <cfRule type="duplicateValues" dxfId="68" priority="1003"/>
  </conditionalFormatting>
  <conditionalFormatting sqref="C174">
    <cfRule type="duplicateValues" dxfId="67" priority="1004"/>
  </conditionalFormatting>
  <conditionalFormatting sqref="C176">
    <cfRule type="duplicateValues" dxfId="66" priority="1005"/>
  </conditionalFormatting>
  <conditionalFormatting sqref="C189">
    <cfRule type="duplicateValues" dxfId="65" priority="1006"/>
  </conditionalFormatting>
  <conditionalFormatting sqref="D27:D35">
    <cfRule type="expression" dxfId="64" priority="3" stopIfTrue="1">
      <formula>OR($A27="audio", $A27="video")</formula>
    </cfRule>
    <cfRule type="expression" dxfId="63" priority="4" stopIfTrue="1">
      <formula>OR($A27="audio", $A27="video")</formula>
    </cfRule>
    <cfRule type="expression" dxfId="62" priority="5" stopIfTrue="1">
      <formula>$A27="image"</formula>
    </cfRule>
    <cfRule type="expression" dxfId="61" priority="6" stopIfTrue="1">
      <formula>$A27="image"</formula>
    </cfRule>
    <cfRule type="expression" dxfId="60" priority="7" stopIfTrue="1">
      <formula>OR($A27="date", $A27="datetime")</formula>
    </cfRule>
    <cfRule type="expression" dxfId="59" priority="8" stopIfTrue="1">
      <formula>OR($A27="date", $A27="datetime")</formula>
    </cfRule>
    <cfRule type="expression" dxfId="58" priority="9" stopIfTrue="1">
      <formula>OR($A27="calculate", $A27="calculate_here")</formula>
    </cfRule>
    <cfRule type="expression" dxfId="57" priority="10" stopIfTrue="1">
      <formula>$A27="note"</formula>
    </cfRule>
    <cfRule type="expression" dxfId="56" priority="11" stopIfTrue="1">
      <formula>$A27="note"</formula>
    </cfRule>
    <cfRule type="expression" dxfId="55" priority="12" stopIfTrue="1">
      <formula>$A27="barcode"</formula>
    </cfRule>
    <cfRule type="expression" dxfId="54" priority="13" stopIfTrue="1">
      <formula>$A27="barcode"</formula>
    </cfRule>
    <cfRule type="expression" dxfId="53" priority="14" stopIfTrue="1">
      <formula>$A27="geopoint"</formula>
    </cfRule>
    <cfRule type="expression" dxfId="52" priority="15" stopIfTrue="1">
      <formula>$A27="geopoint"</formula>
    </cfRule>
    <cfRule type="expression" dxfId="51" priority="16" stopIfTrue="1">
      <formula>OR($A27="audio audit", $A27="text audit")</formula>
    </cfRule>
    <cfRule type="expression" dxfId="50" priority="17" stopIfTrue="1">
      <formula>OR($A27="username", $A27="phonenumber", $A27="start", $A27="end", $A27="deviceid", $A27="subscriberid", $A27="simserial")</formula>
    </cfRule>
    <cfRule type="expression" dxfId="49" priority="18" stopIfTrue="1">
      <formula>OR(AND(LEFT($A27, 16)="select_multiple ", LEN($A27)&gt;16, NOT(ISNUMBER(SEARCH(" ", $A27, 17)))), AND(LEFT($A27, 11)="select_one ", LEN($A27)&gt;11, NOT(ISNUMBER(SEARCH(" ", $A27, 12)))))</formula>
    </cfRule>
    <cfRule type="expression" dxfId="48" priority="19" stopIfTrue="1">
      <formula>OR(AND(LEFT($A27, 16)="select_multiple ", LEN($A27)&gt;16, NOT(ISNUMBER(SEARCH(" ", $A27, 17)))), AND(LEFT($A27, 11)="select_one ", LEN($A27)&gt;11, NOT(ISNUMBER(SEARCH(" ", $A27, 12)))))</formula>
    </cfRule>
    <cfRule type="expression" dxfId="47" priority="20" stopIfTrue="1">
      <formula>$A27="decimal"</formula>
    </cfRule>
    <cfRule type="expression" dxfId="46" priority="21" stopIfTrue="1">
      <formula>$A27="decimal"</formula>
    </cfRule>
    <cfRule type="expression" dxfId="45" priority="22" stopIfTrue="1">
      <formula>$A27="integer"</formula>
    </cfRule>
    <cfRule type="expression" dxfId="44" priority="23" stopIfTrue="1">
      <formula>$A27="integer"</formula>
    </cfRule>
    <cfRule type="expression" dxfId="43" priority="24" stopIfTrue="1">
      <formula>$A27="text"</formula>
    </cfRule>
    <cfRule type="expression" dxfId="42" priority="25" stopIfTrue="1">
      <formula>$A27="text"</formula>
    </cfRule>
    <cfRule type="expression" dxfId="41" priority="26" stopIfTrue="1">
      <formula>$A27="end repeat"</formula>
    </cfRule>
    <cfRule type="expression" dxfId="40" priority="27" stopIfTrue="1">
      <formula>$A27="begin repeat"</formula>
    </cfRule>
    <cfRule type="expression" dxfId="39" priority="28" stopIfTrue="1">
      <formula>$A27="begin repeat"</formula>
    </cfRule>
    <cfRule type="expression" dxfId="38" priority="29" stopIfTrue="1">
      <formula>$A27="end group"</formula>
    </cfRule>
    <cfRule type="expression" dxfId="37" priority="30" stopIfTrue="1">
      <formula>$A27="begin group"</formula>
    </cfRule>
    <cfRule type="expression" dxfId="36" priority="31" stopIfTrue="1">
      <formula>$A27="begin group"</formula>
    </cfRule>
  </conditionalFormatting>
  <conditionalFormatting sqref="D44">
    <cfRule type="cellIs" dxfId="35" priority="687" operator="notEqual">
      <formula>$D$44</formula>
    </cfRule>
  </conditionalFormatting>
  <conditionalFormatting sqref="D201:D207">
    <cfRule type="expression" dxfId="34" priority="643" stopIfTrue="1">
      <formula>OR($A201="audio", $A201="video")</formula>
    </cfRule>
    <cfRule type="expression" dxfId="33" priority="644" stopIfTrue="1">
      <formula>OR($A201="audio", $A201="video")</formula>
    </cfRule>
    <cfRule type="expression" dxfId="32" priority="645" stopIfTrue="1">
      <formula>$A201="image"</formula>
    </cfRule>
    <cfRule type="expression" dxfId="31" priority="646" stopIfTrue="1">
      <formula>$A201="image"</formula>
    </cfRule>
    <cfRule type="expression" dxfId="30" priority="647" stopIfTrue="1">
      <formula>OR($A201="date", $A201="datetime")</formula>
    </cfRule>
    <cfRule type="expression" dxfId="29" priority="648" stopIfTrue="1">
      <formula>OR($A201="date", $A201="datetime")</formula>
    </cfRule>
    <cfRule type="expression" dxfId="28" priority="649" stopIfTrue="1">
      <formula>OR($A201="calculate", $A201="calculate_here")</formula>
    </cfRule>
    <cfRule type="expression" dxfId="27" priority="650" stopIfTrue="1">
      <formula>$A201="note"</formula>
    </cfRule>
    <cfRule type="expression" dxfId="26" priority="651" stopIfTrue="1">
      <formula>$A201="note"</formula>
    </cfRule>
    <cfRule type="expression" dxfId="25" priority="652" stopIfTrue="1">
      <formula>$A201="barcode"</formula>
    </cfRule>
    <cfRule type="expression" dxfId="24" priority="653" stopIfTrue="1">
      <formula>$A201="barcode"</formula>
    </cfRule>
    <cfRule type="expression" dxfId="23" priority="654" stopIfTrue="1">
      <formula>$A201="geopoint"</formula>
    </cfRule>
    <cfRule type="expression" dxfId="22" priority="655" stopIfTrue="1">
      <formula>$A201="geopoint"</formula>
    </cfRule>
    <cfRule type="expression" dxfId="21" priority="656" stopIfTrue="1">
      <formula>OR($A201="audio audit", $A201="text audit")</formula>
    </cfRule>
    <cfRule type="expression" dxfId="20" priority="657" stopIfTrue="1">
      <formula>OR($A201="username", $A201="phonenumber", $A201="start", $A201="end", $A201="deviceid", $A201="subscriberid", $A201="simserial")</formula>
    </cfRule>
    <cfRule type="expression" dxfId="19" priority="658" stopIfTrue="1">
      <formula>OR(AND(LEFT($A201, 16)="select_multiple ", LEN($A201)&gt;16, NOT(ISNUMBER(SEARCH(" ", $A201, 17)))), AND(LEFT($A201, 11)="select_one ", LEN($A201)&gt;11, NOT(ISNUMBER(SEARCH(" ", $A201, 12)))))</formula>
    </cfRule>
    <cfRule type="expression" dxfId="18" priority="659" stopIfTrue="1">
      <formula>OR(AND(LEFT($A201, 16)="select_multiple ", LEN($A201)&gt;16, NOT(ISNUMBER(SEARCH(" ", $A201, 17)))), AND(LEFT($A201, 11)="select_one ", LEN($A201)&gt;11, NOT(ISNUMBER(SEARCH(" ", $A201, 12)))))</formula>
    </cfRule>
    <cfRule type="expression" dxfId="17" priority="660" stopIfTrue="1">
      <formula>$A201="decimal"</formula>
    </cfRule>
    <cfRule type="expression" dxfId="16" priority="661" stopIfTrue="1">
      <formula>$A201="decimal"</formula>
    </cfRule>
    <cfRule type="expression" dxfId="15" priority="662" stopIfTrue="1">
      <formula>$A201="integer"</formula>
    </cfRule>
    <cfRule type="expression" dxfId="14" priority="663" stopIfTrue="1">
      <formula>$A201="integer"</formula>
    </cfRule>
    <cfRule type="expression" dxfId="13" priority="664" stopIfTrue="1">
      <formula>$A201="text"</formula>
    </cfRule>
    <cfRule type="expression" dxfId="12" priority="665" stopIfTrue="1">
      <formula>$A201="text"</formula>
    </cfRule>
    <cfRule type="expression" dxfId="11" priority="666" stopIfTrue="1">
      <formula>$A201="end repeat"</formula>
    </cfRule>
    <cfRule type="expression" dxfId="10" priority="667" stopIfTrue="1">
      <formula>$A201="begin repeat"</formula>
    </cfRule>
    <cfRule type="expression" dxfId="9" priority="668" stopIfTrue="1">
      <formula>$A201="begin repeat"</formula>
    </cfRule>
    <cfRule type="expression" dxfId="8" priority="669" stopIfTrue="1">
      <formula>$A201="end group"</formula>
    </cfRule>
    <cfRule type="expression" dxfId="7" priority="670" stopIfTrue="1">
      <formula>$A201="begin group"</formula>
    </cfRule>
    <cfRule type="expression" dxfId="6" priority="671" stopIfTrue="1">
      <formula>$A201="begin group"</formula>
    </cfRule>
  </conditionalFormatting>
  <conditionalFormatting sqref="C101:C104">
    <cfRule type="duplicateValues" dxfId="5" priority="1148"/>
  </conditionalFormatting>
  <conditionalFormatting sqref="B100:B104">
    <cfRule type="duplicateValues" dxfId="4" priority="1150"/>
  </conditionalFormatting>
  <conditionalFormatting sqref="C105:C106">
    <cfRule type="duplicateValues" dxfId="3" priority="1"/>
  </conditionalFormatting>
  <conditionalFormatting sqref="B105:B106">
    <cfRule type="duplicateValues" dxfId="2" priority="2"/>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812</v>
      </c>
      <c r="B1" t="s">
        <v>813</v>
      </c>
      <c r="C1" t="s">
        <v>814</v>
      </c>
      <c r="D1" t="s">
        <v>815</v>
      </c>
    </row>
    <row r="2" spans="1:4" x14ac:dyDescent="0.2">
      <c r="A2" t="s">
        <v>66</v>
      </c>
      <c r="B2" s="54">
        <v>50.822540283203118</v>
      </c>
      <c r="C2" s="55">
        <v>1</v>
      </c>
      <c r="D2" s="54">
        <v>50.822540283203118</v>
      </c>
    </row>
    <row r="3" spans="1:4" x14ac:dyDescent="0.2">
      <c r="A3" t="s">
        <v>816</v>
      </c>
      <c r="B3" s="54">
        <v>3.4964737892150879</v>
      </c>
      <c r="C3" s="55">
        <v>0.7969874100719424</v>
      </c>
      <c r="D3" s="54">
        <v>2.7866455896509641</v>
      </c>
    </row>
    <row r="4" spans="1:4" x14ac:dyDescent="0.2">
      <c r="A4" t="s">
        <v>124</v>
      </c>
      <c r="B4" s="54">
        <v>13.753072738647459</v>
      </c>
      <c r="C4" s="55">
        <v>1</v>
      </c>
      <c r="D4" s="54">
        <v>13.753072738647459</v>
      </c>
    </row>
    <row r="5" spans="1:4" x14ac:dyDescent="0.2">
      <c r="A5" t="s">
        <v>130</v>
      </c>
      <c r="B5" s="54">
        <v>2.1173560619354248</v>
      </c>
      <c r="C5" s="55">
        <v>1</v>
      </c>
      <c r="D5" s="54">
        <v>2.1173560619354248</v>
      </c>
    </row>
    <row r="6" spans="1:4" x14ac:dyDescent="0.2">
      <c r="A6" t="s">
        <v>185</v>
      </c>
      <c r="B6" s="54">
        <v>2.284250020980835</v>
      </c>
      <c r="C6" s="55">
        <v>0.7969874100719424</v>
      </c>
      <c r="D6" s="54">
        <v>1.820518508178296</v>
      </c>
    </row>
    <row r="7" spans="1:4" x14ac:dyDescent="0.2">
      <c r="A7" t="s">
        <v>189</v>
      </c>
      <c r="B7" s="54">
        <v>31.372377395629879</v>
      </c>
      <c r="C7" s="55">
        <v>1</v>
      </c>
      <c r="D7" s="54">
        <v>31.372377395629879</v>
      </c>
    </row>
    <row r="8" spans="1:4" x14ac:dyDescent="0.2">
      <c r="A8" t="s">
        <v>817</v>
      </c>
      <c r="B8" s="54">
        <v>7.9225454330444336</v>
      </c>
      <c r="C8" s="55">
        <v>0.15190347721822539</v>
      </c>
      <c r="D8" s="54">
        <v>1.2034621996988211</v>
      </c>
    </row>
    <row r="9" spans="1:4" x14ac:dyDescent="0.2">
      <c r="A9" t="s">
        <v>200</v>
      </c>
      <c r="B9" s="54">
        <v>10.08573150634766</v>
      </c>
      <c r="C9" s="55">
        <v>1</v>
      </c>
      <c r="D9" s="54">
        <v>10.08573150634766</v>
      </c>
    </row>
    <row r="10" spans="1:4" x14ac:dyDescent="0.2">
      <c r="A10" t="s">
        <v>205</v>
      </c>
      <c r="B10" s="54">
        <v>12.894034385681151</v>
      </c>
      <c r="C10" s="55">
        <v>1</v>
      </c>
      <c r="D10" s="54">
        <v>12.894034385681151</v>
      </c>
    </row>
    <row r="11" spans="1:4" x14ac:dyDescent="0.2">
      <c r="A11" t="s">
        <v>210</v>
      </c>
      <c r="B11" s="54">
        <v>15.265829086303709</v>
      </c>
      <c r="C11" s="55">
        <v>0.63796462829736211</v>
      </c>
      <c r="D11" s="54">
        <v>9.7390589786948052</v>
      </c>
    </row>
    <row r="12" spans="1:4" x14ac:dyDescent="0.2">
      <c r="A12" t="s">
        <v>818</v>
      </c>
      <c r="B12" s="54">
        <v>15.12371826171875</v>
      </c>
      <c r="C12" s="55">
        <v>0.59180155875299756</v>
      </c>
      <c r="D12" s="54">
        <v>8.9502400414263317</v>
      </c>
    </row>
    <row r="13" spans="1:4" x14ac:dyDescent="0.2">
      <c r="A13" t="s">
        <v>819</v>
      </c>
      <c r="B13" s="54">
        <v>12.8214111328125</v>
      </c>
      <c r="C13" s="55">
        <v>0.15190347721822539</v>
      </c>
      <c r="D13" s="54">
        <v>1.9476169339186851</v>
      </c>
    </row>
    <row r="14" spans="1:4" x14ac:dyDescent="0.2">
      <c r="A14" t="s">
        <v>222</v>
      </c>
      <c r="B14" s="54">
        <v>15.21184825897217</v>
      </c>
      <c r="C14" s="55">
        <v>0.51611211031175064</v>
      </c>
      <c r="D14" s="54">
        <v>7.8510191066802557</v>
      </c>
    </row>
    <row r="15" spans="1:4" x14ac:dyDescent="0.2">
      <c r="A15" t="s">
        <v>820</v>
      </c>
      <c r="B15" s="54">
        <v>19.310310363769531</v>
      </c>
      <c r="C15" s="55">
        <v>0.15190347721822539</v>
      </c>
      <c r="D15" s="54">
        <v>2.9333032904197269</v>
      </c>
    </row>
    <row r="16" spans="1:4" x14ac:dyDescent="0.2">
      <c r="A16" t="s">
        <v>235</v>
      </c>
      <c r="B16" s="54">
        <v>36.928733825683587</v>
      </c>
      <c r="C16" s="55">
        <v>1</v>
      </c>
      <c r="D16" s="54">
        <v>36.928733825683587</v>
      </c>
    </row>
    <row r="17" spans="1:4" x14ac:dyDescent="0.2">
      <c r="A17" t="s">
        <v>256</v>
      </c>
      <c r="B17" s="54">
        <v>40.047317504882812</v>
      </c>
      <c r="C17" s="55">
        <v>0.75547062350119909</v>
      </c>
      <c r="D17" s="54">
        <v>30.254571924964299</v>
      </c>
    </row>
    <row r="18" spans="1:4" x14ac:dyDescent="0.2">
      <c r="A18" t="s">
        <v>263</v>
      </c>
      <c r="B18" s="54">
        <v>3.6870110034942631</v>
      </c>
      <c r="C18" s="55">
        <v>4.7886690647482022E-2</v>
      </c>
      <c r="D18" s="54">
        <v>0.17655875533819201</v>
      </c>
    </row>
    <row r="19" spans="1:4" x14ac:dyDescent="0.2">
      <c r="A19" t="s">
        <v>269</v>
      </c>
      <c r="B19" s="54">
        <v>27.242166519165039</v>
      </c>
      <c r="C19" s="55">
        <v>0.94476918465227822</v>
      </c>
      <c r="D19" s="54">
        <v>25.73755945047315</v>
      </c>
    </row>
    <row r="20" spans="1:4" x14ac:dyDescent="0.2">
      <c r="A20" t="s">
        <v>274</v>
      </c>
      <c r="B20" s="54">
        <v>25.308004379272461</v>
      </c>
      <c r="C20" s="55">
        <v>0.94476918465227822</v>
      </c>
      <c r="D20" s="54">
        <v>23.910222662581528</v>
      </c>
    </row>
    <row r="21" spans="1:4" x14ac:dyDescent="0.2">
      <c r="A21" t="s">
        <v>289</v>
      </c>
      <c r="B21" s="54">
        <v>30.828470230102539</v>
      </c>
      <c r="C21" s="55">
        <v>0.33902877697841732</v>
      </c>
      <c r="D21" s="54">
        <v>10.451738558227211</v>
      </c>
    </row>
    <row r="22" spans="1:4" x14ac:dyDescent="0.2">
      <c r="A22" t="s">
        <v>294</v>
      </c>
      <c r="B22" s="54">
        <v>2.29411768913269</v>
      </c>
      <c r="C22" s="55">
        <v>1.14658273381295E-2</v>
      </c>
      <c r="D22" s="54">
        <v>2.6303957316944071E-2</v>
      </c>
    </row>
    <row r="23" spans="1:4" x14ac:dyDescent="0.2">
      <c r="A23" t="s">
        <v>297</v>
      </c>
      <c r="B23" s="54">
        <v>21.193256378173832</v>
      </c>
      <c r="C23" s="55">
        <v>0.43120503597122301</v>
      </c>
      <c r="D23" s="54">
        <v>9.1386388788977975</v>
      </c>
    </row>
    <row r="24" spans="1:4" x14ac:dyDescent="0.2">
      <c r="A24" t="s">
        <v>302</v>
      </c>
      <c r="B24" s="54">
        <v>20.229927062988281</v>
      </c>
      <c r="C24" s="55">
        <v>0.43120503597122301</v>
      </c>
      <c r="D24" s="54">
        <v>8.7232464268910803</v>
      </c>
    </row>
    <row r="25" spans="1:4" x14ac:dyDescent="0.2">
      <c r="A25" t="s">
        <v>317</v>
      </c>
      <c r="B25" s="54">
        <v>29.42983245849609</v>
      </c>
      <c r="C25" s="55">
        <v>7.6363908872901676E-2</v>
      </c>
      <c r="D25" s="54">
        <v>2.24737704400536</v>
      </c>
    </row>
    <row r="26" spans="1:4" x14ac:dyDescent="0.2">
      <c r="A26" t="s">
        <v>323</v>
      </c>
      <c r="B26" s="54">
        <v>1.555555582046509</v>
      </c>
      <c r="C26" s="55">
        <v>2.0233812949640292E-3</v>
      </c>
      <c r="D26" s="54">
        <v>3.1474820679897879E-3</v>
      </c>
    </row>
    <row r="27" spans="1:4" x14ac:dyDescent="0.2">
      <c r="A27" t="s">
        <v>327</v>
      </c>
      <c r="B27" s="54">
        <v>16.348396301269531</v>
      </c>
      <c r="C27" s="55">
        <v>0.1144334532374101</v>
      </c>
      <c r="D27" s="54">
        <v>1.870803443647975</v>
      </c>
    </row>
    <row r="28" spans="1:4" x14ac:dyDescent="0.2">
      <c r="A28" t="s">
        <v>821</v>
      </c>
      <c r="B28" s="54">
        <v>39.025390625</v>
      </c>
      <c r="C28" s="55">
        <v>0.7969124700239808</v>
      </c>
      <c r="D28" s="54">
        <v>31.099820436619449</v>
      </c>
    </row>
    <row r="29" spans="1:4" x14ac:dyDescent="0.2">
      <c r="A29" t="s">
        <v>822</v>
      </c>
      <c r="B29" s="54">
        <v>10.040084838867189</v>
      </c>
      <c r="C29" s="55">
        <v>3.5521582733812951E-2</v>
      </c>
      <c r="D29" s="54">
        <v>0.35663970425832192</v>
      </c>
    </row>
    <row r="30" spans="1:4" x14ac:dyDescent="0.2">
      <c r="A30" t="s">
        <v>823</v>
      </c>
      <c r="B30" s="54">
        <v>26.118782043457031</v>
      </c>
      <c r="C30" s="55">
        <v>0.35708932853717018</v>
      </c>
      <c r="D30" s="54">
        <v>9.3267383421067702</v>
      </c>
    </row>
    <row r="31" spans="1:4" x14ac:dyDescent="0.2">
      <c r="A31" t="s">
        <v>356</v>
      </c>
      <c r="B31" s="54">
        <v>27.057552337646481</v>
      </c>
      <c r="C31" s="55">
        <v>0.50651978417266186</v>
      </c>
      <c r="D31" s="54">
        <v>13.705185570305201</v>
      </c>
    </row>
    <row r="32" spans="1:4" x14ac:dyDescent="0.2">
      <c r="A32" t="s">
        <v>824</v>
      </c>
      <c r="B32" s="54">
        <v>15.983505249023439</v>
      </c>
      <c r="C32" s="55">
        <v>0.37709832134292559</v>
      </c>
      <c r="D32" s="54">
        <v>6.0273529985825789</v>
      </c>
    </row>
    <row r="33" spans="1:4" x14ac:dyDescent="0.2">
      <c r="A33" t="s">
        <v>825</v>
      </c>
      <c r="B33" s="54">
        <v>3.4111571311950679</v>
      </c>
      <c r="C33" s="55">
        <v>3.6270983213429253E-2</v>
      </c>
      <c r="D33" s="54">
        <v>0.1237260230439458</v>
      </c>
    </row>
    <row r="34" spans="1:4" x14ac:dyDescent="0.2">
      <c r="A34" t="s">
        <v>826</v>
      </c>
      <c r="B34" s="54">
        <v>5.6326532363891602</v>
      </c>
      <c r="C34" s="55">
        <v>3.6720623501199038E-3</v>
      </c>
      <c r="D34" s="54">
        <v>2.068345388062566E-2</v>
      </c>
    </row>
    <row r="35" spans="1:4" x14ac:dyDescent="0.2">
      <c r="A35" t="s">
        <v>827</v>
      </c>
      <c r="B35" s="54">
        <v>15.95429515838623</v>
      </c>
      <c r="C35" s="55">
        <v>0.25906774580335729</v>
      </c>
      <c r="D35" s="54">
        <v>4.1332432825645391</v>
      </c>
    </row>
    <row r="36" spans="1:4" x14ac:dyDescent="0.2">
      <c r="A36" t="s">
        <v>828</v>
      </c>
      <c r="B36" s="54">
        <v>17.928909301757809</v>
      </c>
      <c r="C36" s="55">
        <v>0.14231115107913669</v>
      </c>
      <c r="D36" s="54">
        <v>2.551483720326595</v>
      </c>
    </row>
    <row r="37" spans="1:4" x14ac:dyDescent="0.2">
      <c r="A37" t="s">
        <v>408</v>
      </c>
      <c r="B37" s="54">
        <v>25.436874389648441</v>
      </c>
      <c r="C37" s="55">
        <v>0.49385491606714632</v>
      </c>
      <c r="D37" s="54">
        <v>12.56212546671037</v>
      </c>
    </row>
    <row r="38" spans="1:4" x14ac:dyDescent="0.2">
      <c r="A38" t="s">
        <v>412</v>
      </c>
      <c r="B38" s="54">
        <v>19.364946365356449</v>
      </c>
      <c r="C38" s="55">
        <v>0.49385491606714632</v>
      </c>
      <c r="D38" s="54">
        <v>9.5634739619078957</v>
      </c>
    </row>
    <row r="39" spans="1:4" x14ac:dyDescent="0.2">
      <c r="A39" t="s">
        <v>829</v>
      </c>
      <c r="B39" s="54">
        <v>13.458864212036129</v>
      </c>
      <c r="C39" s="55">
        <v>0.38803956834532372</v>
      </c>
      <c r="D39" s="54">
        <v>5.222571859256826</v>
      </c>
    </row>
    <row r="40" spans="1:4" x14ac:dyDescent="0.2">
      <c r="A40" t="s">
        <v>422</v>
      </c>
      <c r="B40" s="54">
        <v>37.523288726806641</v>
      </c>
      <c r="C40" s="55">
        <v>0.30732913669064749</v>
      </c>
      <c r="D40" s="54">
        <v>11.531999930203391</v>
      </c>
    </row>
    <row r="41" spans="1:4" x14ac:dyDescent="0.2">
      <c r="A41" t="s">
        <v>830</v>
      </c>
      <c r="B41" s="54">
        <v>12.68148708343506</v>
      </c>
      <c r="C41" s="55">
        <v>0.2983363309352518</v>
      </c>
      <c r="D41" s="54">
        <v>3.783348327274803</v>
      </c>
    </row>
    <row r="42" spans="1:4" x14ac:dyDescent="0.2">
      <c r="A42" t="s">
        <v>450</v>
      </c>
      <c r="B42" s="54">
        <v>22.61360931396484</v>
      </c>
      <c r="C42" s="55">
        <v>0.12335131894484409</v>
      </c>
      <c r="D42" s="54">
        <v>2.789418534980975</v>
      </c>
    </row>
    <row r="43" spans="1:4" x14ac:dyDescent="0.2">
      <c r="A43" t="s">
        <v>457</v>
      </c>
      <c r="B43" s="54">
        <v>21.701908111572269</v>
      </c>
      <c r="C43" s="55">
        <v>0.38489208633093519</v>
      </c>
      <c r="D43" s="54">
        <v>8.3528926904252963</v>
      </c>
    </row>
    <row r="44" spans="1:4" x14ac:dyDescent="0.2">
      <c r="A44" t="s">
        <v>831</v>
      </c>
      <c r="B44" s="54">
        <v>12.12575531005859</v>
      </c>
      <c r="C44" s="55">
        <v>6.1975419664268588E-2</v>
      </c>
      <c r="D44" s="54">
        <v>0.75149877408711463</v>
      </c>
    </row>
    <row r="45" spans="1:4" x14ac:dyDescent="0.2">
      <c r="A45" t="s">
        <v>832</v>
      </c>
      <c r="B45" s="54">
        <v>13.560262680053709</v>
      </c>
      <c r="C45" s="55">
        <v>0.14860611510791369</v>
      </c>
      <c r="D45" s="54">
        <v>2.0151379567256069</v>
      </c>
    </row>
    <row r="46" spans="1:4" x14ac:dyDescent="0.2">
      <c r="A46" t="s">
        <v>833</v>
      </c>
      <c r="B46" s="54">
        <v>14.065656661987299</v>
      </c>
      <c r="C46" s="55">
        <v>1.4838129496402881E-2</v>
      </c>
      <c r="D46" s="54">
        <v>0.20870803500250951</v>
      </c>
    </row>
    <row r="47" spans="1:4" x14ac:dyDescent="0.2">
      <c r="A47" t="s">
        <v>834</v>
      </c>
      <c r="B47" s="54">
        <v>11.010929107666019</v>
      </c>
      <c r="C47" s="55">
        <v>1.371402877697842E-2</v>
      </c>
      <c r="D47" s="54">
        <v>0.15100419864380099</v>
      </c>
    </row>
    <row r="48" spans="1:4" x14ac:dyDescent="0.2">
      <c r="A48" t="s">
        <v>835</v>
      </c>
      <c r="B48" s="54">
        <v>4.8961749076843262</v>
      </c>
      <c r="C48" s="55">
        <v>1.371402877697842E-2</v>
      </c>
      <c r="D48" s="54">
        <v>6.7146283581102487E-2</v>
      </c>
    </row>
    <row r="49" spans="1:4" x14ac:dyDescent="0.2">
      <c r="A49" t="s">
        <v>469</v>
      </c>
      <c r="B49" s="54">
        <v>20.2944221496582</v>
      </c>
      <c r="C49" s="55">
        <v>0.40572541966426862</v>
      </c>
      <c r="D49" s="54">
        <v>8.2339629435139017</v>
      </c>
    </row>
    <row r="50" spans="1:4" x14ac:dyDescent="0.2">
      <c r="A50" t="s">
        <v>475</v>
      </c>
      <c r="B50" s="54">
        <v>18.539077758789059</v>
      </c>
      <c r="C50" s="55">
        <v>0.40272781774580341</v>
      </c>
      <c r="D50" s="54">
        <v>7.4662023288168777</v>
      </c>
    </row>
    <row r="51" spans="1:4" x14ac:dyDescent="0.2">
      <c r="A51" t="s">
        <v>480</v>
      </c>
      <c r="B51" s="54">
        <v>8.9158916473388672</v>
      </c>
      <c r="C51" s="55">
        <v>0.40272781774580341</v>
      </c>
      <c r="D51" s="54">
        <v>3.590677586390818</v>
      </c>
    </row>
    <row r="52" spans="1:4" x14ac:dyDescent="0.2">
      <c r="A52" t="s">
        <v>485</v>
      </c>
      <c r="B52" s="54">
        <v>25.81001091003418</v>
      </c>
      <c r="C52" s="55">
        <v>0.40272781774580341</v>
      </c>
      <c r="D52" s="54">
        <v>10.39440936979344</v>
      </c>
    </row>
    <row r="53" spans="1:4" x14ac:dyDescent="0.2">
      <c r="A53" t="s">
        <v>836</v>
      </c>
      <c r="B53" s="54">
        <v>19.55319786071777</v>
      </c>
      <c r="C53" s="55">
        <v>0.29301558752997597</v>
      </c>
      <c r="D53" s="54">
        <v>5.729391759248089</v>
      </c>
    </row>
    <row r="54" spans="1:4" x14ac:dyDescent="0.2">
      <c r="A54" t="s">
        <v>837</v>
      </c>
      <c r="B54" s="54">
        <v>13.613316535949711</v>
      </c>
      <c r="C54" s="55">
        <v>0.3038818944844125</v>
      </c>
      <c r="D54" s="54">
        <v>4.1368404191603769</v>
      </c>
    </row>
    <row r="55" spans="1:4" x14ac:dyDescent="0.2">
      <c r="A55" t="s">
        <v>508</v>
      </c>
      <c r="B55" s="54">
        <v>27.754648208618161</v>
      </c>
      <c r="C55" s="55">
        <v>0.205560551558753</v>
      </c>
      <c r="D55" s="54">
        <v>5.7052607940827054</v>
      </c>
    </row>
    <row r="56" spans="1:4" x14ac:dyDescent="0.2">
      <c r="A56" t="s">
        <v>527</v>
      </c>
      <c r="B56" s="54">
        <v>13.99939060211182</v>
      </c>
      <c r="C56" s="55">
        <v>0.2460281774580336</v>
      </c>
      <c r="D56" s="54">
        <v>3.4442445553606928</v>
      </c>
    </row>
    <row r="57" spans="1:4" x14ac:dyDescent="0.2">
      <c r="A57" t="s">
        <v>838</v>
      </c>
      <c r="B57" s="54">
        <v>10.25279426574707</v>
      </c>
      <c r="C57" s="55">
        <v>0.174310551558753</v>
      </c>
      <c r="D57" s="54">
        <v>1.787170223480792</v>
      </c>
    </row>
    <row r="58" spans="1:4" x14ac:dyDescent="0.2">
      <c r="A58" t="s">
        <v>539</v>
      </c>
      <c r="B58" s="54">
        <v>24.194343566894531</v>
      </c>
      <c r="C58" s="55">
        <v>0.1033423261390887</v>
      </c>
      <c r="D58" s="54">
        <v>2.500299743611178</v>
      </c>
    </row>
    <row r="59" spans="1:4" x14ac:dyDescent="0.2">
      <c r="A59" t="s">
        <v>547</v>
      </c>
      <c r="B59" s="54">
        <v>19.321737289428711</v>
      </c>
      <c r="C59" s="55">
        <v>0.23478717026378901</v>
      </c>
      <c r="D59" s="54">
        <v>4.5364960227653004</v>
      </c>
    </row>
    <row r="60" spans="1:4" x14ac:dyDescent="0.2">
      <c r="A60" t="s">
        <v>839</v>
      </c>
      <c r="B60" s="54">
        <v>6.0948905944824219</v>
      </c>
      <c r="C60" s="55">
        <v>1.0266786570743411E-2</v>
      </c>
      <c r="D60" s="54">
        <v>6.2574940905582424E-2</v>
      </c>
    </row>
    <row r="61" spans="1:4" x14ac:dyDescent="0.2">
      <c r="A61" t="s">
        <v>840</v>
      </c>
      <c r="B61" s="54">
        <v>17.534246444702148</v>
      </c>
      <c r="C61" s="55">
        <v>1.6411870503597121E-2</v>
      </c>
      <c r="D61" s="54">
        <v>0.28776978202860992</v>
      </c>
    </row>
    <row r="62" spans="1:4" x14ac:dyDescent="0.2">
      <c r="A62" t="s">
        <v>841</v>
      </c>
      <c r="B62" s="54">
        <v>31.458333969116211</v>
      </c>
      <c r="C62" s="55">
        <v>1.798561151079137E-3</v>
      </c>
      <c r="D62" s="54">
        <v>5.657973735452556E-2</v>
      </c>
    </row>
    <row r="63" spans="1:4" x14ac:dyDescent="0.2">
      <c r="A63" t="s">
        <v>842</v>
      </c>
      <c r="B63" s="54">
        <v>2.5</v>
      </c>
      <c r="C63" s="55">
        <v>1.4988009592326141E-4</v>
      </c>
      <c r="D63" s="54">
        <v>3.7470023980815342E-4</v>
      </c>
    </row>
    <row r="64" spans="1:4" x14ac:dyDescent="0.2">
      <c r="A64" t="s">
        <v>843</v>
      </c>
      <c r="B64" s="54">
        <v>5.75</v>
      </c>
      <c r="C64" s="55">
        <v>2.9976019184652282E-4</v>
      </c>
      <c r="D64" s="54">
        <v>1.7236211031175059E-3</v>
      </c>
    </row>
    <row r="65" spans="1:4" x14ac:dyDescent="0.2">
      <c r="A65" t="s">
        <v>844</v>
      </c>
      <c r="B65" s="54">
        <v>4.5</v>
      </c>
      <c r="C65" s="55">
        <v>1.4988009592326141E-4</v>
      </c>
      <c r="D65" s="54">
        <v>6.7446043165467619E-4</v>
      </c>
    </row>
    <row r="66" spans="1:4" x14ac:dyDescent="0.2">
      <c r="A66" t="s">
        <v>845</v>
      </c>
      <c r="B66" s="54">
        <v>3</v>
      </c>
      <c r="C66" s="55">
        <v>7.494004796163069E-5</v>
      </c>
      <c r="D66" s="54">
        <v>2.248201438848921E-4</v>
      </c>
    </row>
    <row r="67" spans="1:4" x14ac:dyDescent="0.2">
      <c r="A67" t="s">
        <v>846</v>
      </c>
      <c r="B67" s="54">
        <v>2</v>
      </c>
      <c r="C67" s="55">
        <v>7.494004796163069E-5</v>
      </c>
      <c r="D67" s="54">
        <v>1.4988009592326141E-4</v>
      </c>
    </row>
    <row r="68" spans="1:4" x14ac:dyDescent="0.2">
      <c r="A68" t="s">
        <v>559</v>
      </c>
      <c r="B68" s="54">
        <v>19.090116500854489</v>
      </c>
      <c r="C68" s="55">
        <v>2.5779376498800959E-2</v>
      </c>
      <c r="D68" s="54">
        <v>0.49213130068150068</v>
      </c>
    </row>
    <row r="69" spans="1:4" x14ac:dyDescent="0.2">
      <c r="A69" t="s">
        <v>567</v>
      </c>
      <c r="B69" s="54">
        <v>17.656976699829102</v>
      </c>
      <c r="C69" s="55">
        <v>2.5779376498800959E-2</v>
      </c>
      <c r="D69" s="54">
        <v>0.45518585017545038</v>
      </c>
    </row>
    <row r="70" spans="1:4" x14ac:dyDescent="0.2">
      <c r="A70" t="s">
        <v>847</v>
      </c>
      <c r="B70" s="54">
        <v>8.7647056579589844</v>
      </c>
      <c r="C70" s="55">
        <v>2.420563549160671E-2</v>
      </c>
      <c r="D70" s="54">
        <v>0.2121552703477782</v>
      </c>
    </row>
    <row r="71" spans="1:4" x14ac:dyDescent="0.2">
      <c r="A71" t="s">
        <v>578</v>
      </c>
      <c r="B71" s="54">
        <v>27.9538459777832</v>
      </c>
      <c r="C71" s="55">
        <v>9.7422062350119906E-3</v>
      </c>
      <c r="D71" s="54">
        <v>0.27233213257732442</v>
      </c>
    </row>
    <row r="72" spans="1:4" x14ac:dyDescent="0.2">
      <c r="A72" t="s">
        <v>848</v>
      </c>
      <c r="B72" s="54">
        <v>21.25</v>
      </c>
      <c r="C72" s="55">
        <v>1.798561151079137E-3</v>
      </c>
      <c r="D72" s="54">
        <v>3.821942446043166E-2</v>
      </c>
    </row>
    <row r="73" spans="1:4" x14ac:dyDescent="0.2">
      <c r="A73" t="s">
        <v>587</v>
      </c>
      <c r="B73" s="54">
        <v>14.38495540618896</v>
      </c>
      <c r="C73" s="55">
        <v>3.3872901678657072E-2</v>
      </c>
      <c r="D73" s="54">
        <v>0.48726018012570532</v>
      </c>
    </row>
    <row r="74" spans="1:4" x14ac:dyDescent="0.2">
      <c r="A74" t="s">
        <v>849</v>
      </c>
      <c r="B74" s="54">
        <v>9.4380531311035156</v>
      </c>
      <c r="C74" s="55">
        <v>3.3872901678657072E-2</v>
      </c>
      <c r="D74" s="54">
        <v>0.31969424574781091</v>
      </c>
    </row>
    <row r="75" spans="1:4" x14ac:dyDescent="0.2">
      <c r="A75" t="s">
        <v>593</v>
      </c>
      <c r="B75" s="54">
        <v>27.76699066162109</v>
      </c>
      <c r="C75" s="55">
        <v>7.7188249400479613E-3</v>
      </c>
      <c r="D75" s="54">
        <v>0.2143285400289997</v>
      </c>
    </row>
    <row r="76" spans="1:4" x14ac:dyDescent="0.2">
      <c r="A76" t="s">
        <v>605</v>
      </c>
      <c r="B76" s="54">
        <v>13.705752372741699</v>
      </c>
      <c r="C76" s="55">
        <v>3.3872901678657072E-2</v>
      </c>
      <c r="D76" s="54">
        <v>0.46425360255390052</v>
      </c>
    </row>
    <row r="77" spans="1:4" x14ac:dyDescent="0.2">
      <c r="A77" t="s">
        <v>850</v>
      </c>
      <c r="B77" s="54">
        <v>12.77690315246582</v>
      </c>
      <c r="C77" s="55">
        <v>1</v>
      </c>
      <c r="D77" s="54">
        <v>12.77690315246582</v>
      </c>
    </row>
    <row r="78" spans="1:4" x14ac:dyDescent="0.2">
      <c r="A78" t="s">
        <v>617</v>
      </c>
      <c r="B78" s="54">
        <v>21.398605346679691</v>
      </c>
      <c r="C78" s="55">
        <v>1</v>
      </c>
      <c r="D78" s="54">
        <v>21.398605346679691</v>
      </c>
    </row>
    <row r="79" spans="1:4" x14ac:dyDescent="0.2">
      <c r="A79" t="s">
        <v>622</v>
      </c>
      <c r="B79" s="54">
        <v>14.980740547180179</v>
      </c>
      <c r="C79" s="55">
        <v>1</v>
      </c>
      <c r="D79" s="54">
        <v>14.980740547180179</v>
      </c>
    </row>
    <row r="80" spans="1:4" x14ac:dyDescent="0.2">
      <c r="A80" t="s">
        <v>627</v>
      </c>
      <c r="B80" s="54">
        <v>13.72302150726318</v>
      </c>
      <c r="C80" s="55">
        <v>1</v>
      </c>
      <c r="D80" s="54">
        <v>13.72302150726318</v>
      </c>
    </row>
    <row r="81" spans="1:4" x14ac:dyDescent="0.2">
      <c r="A81" t="s">
        <v>632</v>
      </c>
      <c r="B81" s="54">
        <v>13.06220054626465</v>
      </c>
      <c r="C81" s="55">
        <v>1</v>
      </c>
      <c r="D81" s="54">
        <v>13.06220054626465</v>
      </c>
    </row>
    <row r="82" spans="1:4" x14ac:dyDescent="0.2">
      <c r="A82" t="s">
        <v>637</v>
      </c>
      <c r="B82" s="54">
        <v>13.09532356262207</v>
      </c>
      <c r="C82" s="55">
        <v>1</v>
      </c>
      <c r="D82" s="54">
        <v>13.09532356262207</v>
      </c>
    </row>
    <row r="83" spans="1:4" x14ac:dyDescent="0.2">
      <c r="A83" t="s">
        <v>642</v>
      </c>
      <c r="B83" s="54">
        <v>16.10101918465228</v>
      </c>
      <c r="C83" s="55">
        <v>1</v>
      </c>
      <c r="D83" s="54">
        <v>16.10101918465228</v>
      </c>
    </row>
    <row r="84" spans="1:4" x14ac:dyDescent="0.2">
      <c r="A84" t="s">
        <v>647</v>
      </c>
      <c r="B84" s="54">
        <v>11.76504325866699</v>
      </c>
      <c r="C84" s="55">
        <v>0.32628896882494007</v>
      </c>
      <c r="D84" s="54">
        <v>3.8388038330512662</v>
      </c>
    </row>
    <row r="85" spans="1:4" x14ac:dyDescent="0.2">
      <c r="A85" t="s">
        <v>652</v>
      </c>
      <c r="B85" s="54">
        <v>12.432478904724119</v>
      </c>
      <c r="C85" s="55">
        <v>1</v>
      </c>
      <c r="D85" s="54">
        <v>12.432478904724119</v>
      </c>
    </row>
    <row r="86" spans="1:4" x14ac:dyDescent="0.2">
      <c r="A86" t="s">
        <v>657</v>
      </c>
      <c r="B86" s="54">
        <v>8.9801836013793945</v>
      </c>
      <c r="C86" s="55">
        <v>0.25337230215827339</v>
      </c>
      <c r="D86" s="54">
        <v>2.2753297928854721</v>
      </c>
    </row>
    <row r="87" spans="1:4" x14ac:dyDescent="0.2">
      <c r="A87" t="s">
        <v>660</v>
      </c>
      <c r="B87" s="54">
        <v>11.089328765869141</v>
      </c>
      <c r="C87" s="55">
        <v>1</v>
      </c>
      <c r="D87" s="54">
        <v>11.089328765869141</v>
      </c>
    </row>
    <row r="88" spans="1:4" x14ac:dyDescent="0.2">
      <c r="A88" t="s">
        <v>666</v>
      </c>
      <c r="B88" s="54">
        <v>8.0683355331420898</v>
      </c>
      <c r="C88" s="55">
        <v>0.14366007194244601</v>
      </c>
      <c r="D88" s="54">
        <v>1.159097663146986</v>
      </c>
    </row>
    <row r="89" spans="1:4" x14ac:dyDescent="0.2">
      <c r="A89" t="s">
        <v>851</v>
      </c>
      <c r="B89" s="54">
        <v>5.7112536430358887</v>
      </c>
      <c r="C89" s="55">
        <v>0.80508093525179858</v>
      </c>
      <c r="D89" s="54">
        <v>4.5980214243955748</v>
      </c>
    </row>
    <row r="90" spans="1:4" x14ac:dyDescent="0.2">
      <c r="A90" t="s">
        <v>675</v>
      </c>
      <c r="B90" s="54">
        <v>19.851530075073239</v>
      </c>
      <c r="C90" s="55">
        <v>0.31092625899280568</v>
      </c>
      <c r="D90" s="54">
        <v>6.1723619815256949</v>
      </c>
    </row>
    <row r="91" spans="1:4" x14ac:dyDescent="0.2">
      <c r="A91" t="s">
        <v>680</v>
      </c>
      <c r="B91" s="54">
        <v>15.436671257019039</v>
      </c>
      <c r="C91" s="55">
        <v>0.7969874100719424</v>
      </c>
      <c r="D91" s="54">
        <v>12.302832645263599</v>
      </c>
    </row>
    <row r="92" spans="1:4" x14ac:dyDescent="0.2">
      <c r="A92" t="s">
        <v>852</v>
      </c>
      <c r="B92" s="54">
        <v>12.4080867767334</v>
      </c>
      <c r="C92" s="55">
        <v>0.7969874100719424</v>
      </c>
      <c r="D92" s="54">
        <v>9.8890889441366667</v>
      </c>
    </row>
    <row r="93" spans="1:4" x14ac:dyDescent="0.2">
      <c r="A93" t="s">
        <v>687</v>
      </c>
      <c r="B93" s="54">
        <v>9.2894678115844727</v>
      </c>
      <c r="C93" s="55">
        <v>0.31092625899280568</v>
      </c>
      <c r="D93" s="54">
        <v>2.8883394746900461</v>
      </c>
    </row>
    <row r="94" spans="1:4" x14ac:dyDescent="0.2">
      <c r="A94" t="s">
        <v>853</v>
      </c>
      <c r="B94" s="54">
        <v>15.05952072143555</v>
      </c>
      <c r="C94" s="55">
        <v>0.7969874100719424</v>
      </c>
      <c r="D94" s="54">
        <v>12.00224841670167</v>
      </c>
    </row>
    <row r="95" spans="1:4" x14ac:dyDescent="0.2">
      <c r="A95" t="s">
        <v>696</v>
      </c>
      <c r="B95" s="54">
        <v>15.543986320495611</v>
      </c>
      <c r="C95" s="55">
        <v>0.31092625899280568</v>
      </c>
      <c r="D95" s="54">
        <v>4.8330335164670464</v>
      </c>
    </row>
    <row r="96" spans="1:4" x14ac:dyDescent="0.2">
      <c r="A96" t="s">
        <v>854</v>
      </c>
      <c r="B96" s="54">
        <v>12.996181488037109</v>
      </c>
      <c r="C96" s="55">
        <v>0.78507194244604317</v>
      </c>
      <c r="D96" s="54">
        <v>10.2029374451946</v>
      </c>
    </row>
    <row r="97" spans="1:4" x14ac:dyDescent="0.2">
      <c r="A97" t="s">
        <v>699</v>
      </c>
      <c r="B97" s="54">
        <v>10.668112754821779</v>
      </c>
      <c r="C97" s="55">
        <v>0.31092625899280568</v>
      </c>
      <c r="D97" s="54">
        <v>3.3169963893701699</v>
      </c>
    </row>
    <row r="98" spans="1:4" x14ac:dyDescent="0.2">
      <c r="A98" t="s">
        <v>702</v>
      </c>
      <c r="B98" s="54">
        <v>9.716710090637207</v>
      </c>
      <c r="C98" s="55">
        <v>0.43277877697841732</v>
      </c>
      <c r="D98" s="54">
        <v>4.2051859092798161</v>
      </c>
    </row>
    <row r="99" spans="1:4" x14ac:dyDescent="0.2">
      <c r="A99" t="s">
        <v>855</v>
      </c>
      <c r="B99" s="54">
        <v>10.953365325927731</v>
      </c>
      <c r="C99" s="55">
        <v>0.63796462829736211</v>
      </c>
      <c r="D99" s="54">
        <v>6.9878596387607006</v>
      </c>
    </row>
    <row r="100" spans="1:4" x14ac:dyDescent="0.2">
      <c r="A100" t="s">
        <v>705</v>
      </c>
      <c r="B100" s="54">
        <v>10.114131927490231</v>
      </c>
      <c r="C100" s="55">
        <v>0.23703537170263789</v>
      </c>
      <c r="D100" s="54">
        <v>2.3974070208821652</v>
      </c>
    </row>
    <row r="101" spans="1:4" x14ac:dyDescent="0.2">
      <c r="A101" t="s">
        <v>856</v>
      </c>
      <c r="B101" s="54">
        <v>3.6575121879577641</v>
      </c>
      <c r="C101" s="55">
        <v>4.6387889688249397E-2</v>
      </c>
      <c r="D101" s="54">
        <v>0.16966427190841249</v>
      </c>
    </row>
    <row r="102" spans="1:4" x14ac:dyDescent="0.2">
      <c r="A102" t="s">
        <v>857</v>
      </c>
      <c r="B102" s="54">
        <v>10.86770534515381</v>
      </c>
      <c r="C102" s="55">
        <v>0.79361510791366907</v>
      </c>
      <c r="D102" s="54">
        <v>8.6247751502681975</v>
      </c>
    </row>
    <row r="103" spans="1:4" x14ac:dyDescent="0.2">
      <c r="A103" t="s">
        <v>858</v>
      </c>
      <c r="B103" s="54">
        <v>21.53330039978027</v>
      </c>
      <c r="C103" s="55">
        <v>0.15190347721822539</v>
      </c>
      <c r="D103" s="54">
        <v>3.270983206711227</v>
      </c>
    </row>
    <row r="104" spans="1:4" x14ac:dyDescent="0.2">
      <c r="A104" t="s">
        <v>708</v>
      </c>
      <c r="B104" s="54">
        <v>72.295135498046875</v>
      </c>
      <c r="C104" s="55">
        <v>0.84097721822541971</v>
      </c>
      <c r="D104" s="54">
        <v>60.798561942377248</v>
      </c>
    </row>
    <row r="105" spans="1:4" x14ac:dyDescent="0.2">
      <c r="A105" t="s">
        <v>716</v>
      </c>
      <c r="B105" s="54">
        <v>3.7052218914031978</v>
      </c>
      <c r="C105" s="55">
        <v>0.84097721822541971</v>
      </c>
      <c r="D105" s="54">
        <v>3.1160071991401899</v>
      </c>
    </row>
    <row r="106" spans="1:4" x14ac:dyDescent="0.2">
      <c r="A106" t="s">
        <v>859</v>
      </c>
      <c r="B106" s="54">
        <v>2.7029058933258061</v>
      </c>
      <c r="C106" s="55">
        <v>0.14958033573141491</v>
      </c>
      <c r="D106" s="54">
        <v>0.40430157097409392</v>
      </c>
    </row>
    <row r="107" spans="1:4" x14ac:dyDescent="0.2">
      <c r="A107" t="s">
        <v>860</v>
      </c>
      <c r="B107" s="54">
        <v>18.146602630615231</v>
      </c>
      <c r="C107" s="55">
        <v>6.2874700239808151E-2</v>
      </c>
      <c r="D107" s="54">
        <v>1.1409622007708471</v>
      </c>
    </row>
    <row r="108" spans="1:4" x14ac:dyDescent="0.2">
      <c r="A108" t="s">
        <v>861</v>
      </c>
      <c r="B108" s="54">
        <v>14.324113845825201</v>
      </c>
      <c r="C108" s="55">
        <v>8.6705635491606717E-2</v>
      </c>
      <c r="D108" s="54">
        <v>1.2419813938563959</v>
      </c>
    </row>
    <row r="109" spans="1:4" x14ac:dyDescent="0.2">
      <c r="A109" t="s">
        <v>862</v>
      </c>
      <c r="B109" s="54">
        <v>7.9697494506835938</v>
      </c>
      <c r="C109" s="55">
        <v>8.6705635491606717E-2</v>
      </c>
      <c r="D109" s="54">
        <v>0.6910221908304045</v>
      </c>
    </row>
    <row r="110" spans="1:4" x14ac:dyDescent="0.2">
      <c r="A110" t="s">
        <v>863</v>
      </c>
      <c r="B110" s="54">
        <v>7.6092715263366699</v>
      </c>
      <c r="C110" s="55">
        <v>3.3947841726618702E-2</v>
      </c>
      <c r="D110" s="54">
        <v>0.25831834543094362</v>
      </c>
    </row>
    <row r="111" spans="1:4" x14ac:dyDescent="0.2">
      <c r="A111" t="s">
        <v>864</v>
      </c>
      <c r="B111" s="54">
        <v>7.3416147232055664</v>
      </c>
      <c r="C111" s="55">
        <v>1.206534772182254E-2</v>
      </c>
      <c r="D111" s="54">
        <v>8.8579134475127108E-2</v>
      </c>
    </row>
    <row r="112" spans="1:4" x14ac:dyDescent="0.2">
      <c r="A112" t="s">
        <v>865</v>
      </c>
      <c r="B112" s="54">
        <v>7.5166668891906738</v>
      </c>
      <c r="C112" s="55">
        <v>4.4964028776978424E-3</v>
      </c>
      <c r="D112" s="54">
        <v>3.379796263125303E-2</v>
      </c>
    </row>
    <row r="113" spans="1:4" x14ac:dyDescent="0.2">
      <c r="A113" t="s">
        <v>866</v>
      </c>
      <c r="B113" s="54">
        <v>8.3076925277709961</v>
      </c>
      <c r="C113" s="55">
        <v>1.9484412470023979E-3</v>
      </c>
      <c r="D113" s="54">
        <v>1.618705078852262E-2</v>
      </c>
    </row>
    <row r="114" spans="1:4" x14ac:dyDescent="0.2">
      <c r="A114" t="s">
        <v>867</v>
      </c>
      <c r="B114" s="54">
        <v>7.769230842590332</v>
      </c>
      <c r="C114" s="55">
        <v>9.7422062350119906E-4</v>
      </c>
      <c r="D114" s="54">
        <v>7.5689449155930998E-3</v>
      </c>
    </row>
    <row r="115" spans="1:4" x14ac:dyDescent="0.2">
      <c r="A115" t="s">
        <v>868</v>
      </c>
      <c r="B115" s="54">
        <v>9.3333330154418945</v>
      </c>
      <c r="C115" s="55">
        <v>4.496402877697842E-4</v>
      </c>
      <c r="D115" s="54">
        <v>4.1966425429145211E-3</v>
      </c>
    </row>
    <row r="116" spans="1:4" x14ac:dyDescent="0.2">
      <c r="A116" t="s">
        <v>869</v>
      </c>
      <c r="B116" s="54">
        <v>6.1999998092651367</v>
      </c>
      <c r="C116" s="55">
        <v>3.7470023980815348E-4</v>
      </c>
      <c r="D116" s="54">
        <v>2.323141415342153E-3</v>
      </c>
    </row>
    <row r="117" spans="1:4" x14ac:dyDescent="0.2">
      <c r="A117" t="s">
        <v>870</v>
      </c>
      <c r="B117" s="54">
        <v>15.666666984558111</v>
      </c>
      <c r="C117" s="55">
        <v>2.248201438848921E-4</v>
      </c>
      <c r="D117" s="54">
        <v>3.5221823256650418E-3</v>
      </c>
    </row>
    <row r="118" spans="1:4" x14ac:dyDescent="0.2">
      <c r="A118" t="s">
        <v>871</v>
      </c>
      <c r="B118" s="54">
        <v>19.828245162963871</v>
      </c>
      <c r="C118" s="55">
        <v>0.63092026378896882</v>
      </c>
      <c r="D118" s="54">
        <v>12.51004166868951</v>
      </c>
    </row>
    <row r="119" spans="1:4" x14ac:dyDescent="0.2">
      <c r="A119" t="s">
        <v>729</v>
      </c>
      <c r="B119" s="54">
        <v>49.529693603515618</v>
      </c>
      <c r="C119" s="55">
        <v>0.67386091127098324</v>
      </c>
      <c r="D119" s="54">
        <v>33.376124466637627</v>
      </c>
    </row>
    <row r="120" spans="1:4" x14ac:dyDescent="0.2">
      <c r="A120" t="s">
        <v>872</v>
      </c>
      <c r="B120" s="54">
        <v>10.34935474395752</v>
      </c>
      <c r="C120" s="55">
        <v>6.3923860911270988E-2</v>
      </c>
      <c r="D120" s="54">
        <v>0.66157071317414307</v>
      </c>
    </row>
    <row r="121" spans="1:4" x14ac:dyDescent="0.2">
      <c r="A121" t="s">
        <v>873</v>
      </c>
      <c r="B121" s="54">
        <v>9.9121618270874023</v>
      </c>
      <c r="C121" s="55">
        <v>2.218225419664269E-2</v>
      </c>
      <c r="D121" s="54">
        <v>0.21987409328671101</v>
      </c>
    </row>
    <row r="122" spans="1:4" x14ac:dyDescent="0.2">
      <c r="A122" t="s">
        <v>874</v>
      </c>
      <c r="B122" s="54">
        <v>12.817567825317379</v>
      </c>
      <c r="C122" s="55">
        <v>2.218225419664269E-2</v>
      </c>
      <c r="D122" s="54">
        <v>0.28432254768389881</v>
      </c>
    </row>
    <row r="123" spans="1:4" x14ac:dyDescent="0.2">
      <c r="A123" t="s">
        <v>738</v>
      </c>
      <c r="B123" s="54">
        <v>22.029750823974609</v>
      </c>
      <c r="C123" s="55">
        <v>1</v>
      </c>
      <c r="D123" s="54">
        <v>22.029750823974609</v>
      </c>
    </row>
    <row r="124" spans="1:4" x14ac:dyDescent="0.2">
      <c r="A124" t="s">
        <v>761</v>
      </c>
      <c r="B124" s="54">
        <v>36.783046722412109</v>
      </c>
      <c r="C124" s="55">
        <v>1</v>
      </c>
      <c r="D124" s="54">
        <v>36.783046722412109</v>
      </c>
    </row>
    <row r="125" spans="1:4" x14ac:dyDescent="0.2">
      <c r="A125" t="s">
        <v>875</v>
      </c>
      <c r="B125" s="54">
        <v>13.76013851165771</v>
      </c>
      <c r="C125" s="55">
        <v>0.28087529976019182</v>
      </c>
      <c r="D125" s="54">
        <v>3.8648830292036198</v>
      </c>
    </row>
    <row r="126" spans="1:4" x14ac:dyDescent="0.2">
      <c r="A126" t="s">
        <v>684</v>
      </c>
      <c r="B126" s="54">
        <v>13.39993858337402</v>
      </c>
      <c r="C126" s="55">
        <v>0.48606115107913672</v>
      </c>
      <c r="D126" s="54">
        <v>6.5131895722245137</v>
      </c>
    </row>
    <row r="127" spans="1:4" x14ac:dyDescent="0.2">
      <c r="A127" t="s">
        <v>876</v>
      </c>
      <c r="B127" s="54">
        <v>14.62593364715576</v>
      </c>
      <c r="C127" s="55">
        <v>0.28087529976019182</v>
      </c>
      <c r="D127" s="54">
        <v>4.1080634974175503</v>
      </c>
    </row>
    <row r="128" spans="1:4" x14ac:dyDescent="0.2">
      <c r="A128" t="s">
        <v>877</v>
      </c>
      <c r="B128" s="54">
        <v>14.752389907836911</v>
      </c>
      <c r="C128" s="55">
        <v>0.48606115107913672</v>
      </c>
      <c r="D128" s="54">
        <v>7.1705636197714497</v>
      </c>
    </row>
    <row r="129" spans="1:4" x14ac:dyDescent="0.2">
      <c r="A129" t="s">
        <v>878</v>
      </c>
      <c r="B129" s="54">
        <v>14.082502365112299</v>
      </c>
      <c r="C129" s="55">
        <v>0.16531774580335731</v>
      </c>
      <c r="D129" s="54">
        <v>2.3280875462708139</v>
      </c>
    </row>
    <row r="130" spans="1:4" x14ac:dyDescent="0.2">
      <c r="A130" t="s">
        <v>879</v>
      </c>
      <c r="B130" s="54">
        <v>15.481228828430179</v>
      </c>
      <c r="C130" s="55">
        <v>2.1957434052757789E-2</v>
      </c>
      <c r="D130" s="54">
        <v>0.33992806105590839</v>
      </c>
    </row>
    <row r="131" spans="1:4" x14ac:dyDescent="0.2">
      <c r="A131" t="s">
        <v>60</v>
      </c>
      <c r="B131" s="54">
        <v>3.062232494354248</v>
      </c>
      <c r="C131" s="55">
        <v>0.68277877697841727</v>
      </c>
      <c r="D131" s="54">
        <v>2.0908273573187621</v>
      </c>
    </row>
    <row r="132" spans="1:4" x14ac:dyDescent="0.2">
      <c r="A132" t="s">
        <v>880</v>
      </c>
      <c r="B132" s="54">
        <v>10.030631065368651</v>
      </c>
      <c r="C132" s="55">
        <v>0.15902278177458029</v>
      </c>
      <c r="D132" s="54">
        <v>1.595098854969446</v>
      </c>
    </row>
    <row r="133" spans="1:4" x14ac:dyDescent="0.2">
      <c r="A133" t="s">
        <v>881</v>
      </c>
      <c r="B133" s="54">
        <v>11.38066482543945</v>
      </c>
      <c r="C133" s="55">
        <v>2.4805155875299759E-2</v>
      </c>
      <c r="D133" s="54">
        <v>0.28229916495956681</v>
      </c>
    </row>
    <row r="134" spans="1:4" x14ac:dyDescent="0.2">
      <c r="A134" t="s">
        <v>217</v>
      </c>
      <c r="B134" s="54">
        <v>30.646188735961911</v>
      </c>
      <c r="C134" s="55">
        <v>0.56722122302158273</v>
      </c>
      <c r="D134" s="54">
        <v>17.383168655762571</v>
      </c>
    </row>
    <row r="135" spans="1:4" x14ac:dyDescent="0.2">
      <c r="A135" t="s">
        <v>882</v>
      </c>
      <c r="B135" s="54">
        <v>10.112629890441889</v>
      </c>
      <c r="C135" s="55">
        <v>0.15902278177458029</v>
      </c>
      <c r="D135" s="54">
        <v>1.6081385362348399</v>
      </c>
    </row>
    <row r="136" spans="1:4" x14ac:dyDescent="0.2">
      <c r="A136" t="s">
        <v>883</v>
      </c>
      <c r="B136" s="54">
        <v>13.900094032287599</v>
      </c>
      <c r="C136" s="55">
        <v>0.15902278177458029</v>
      </c>
      <c r="D136" s="54">
        <v>2.2104316199426171</v>
      </c>
    </row>
    <row r="137" spans="1:4" x14ac:dyDescent="0.2">
      <c r="A137" t="s">
        <v>230</v>
      </c>
      <c r="B137" s="54">
        <v>8.2288064956665039</v>
      </c>
      <c r="C137" s="55">
        <v>0.36420863309352519</v>
      </c>
      <c r="D137" s="54">
        <v>2.997002365777818</v>
      </c>
    </row>
    <row r="138" spans="1:4" x14ac:dyDescent="0.2">
      <c r="A138" t="s">
        <v>884</v>
      </c>
      <c r="B138" s="54">
        <v>32.266731262207031</v>
      </c>
      <c r="C138" s="55">
        <v>0.15902278177458029</v>
      </c>
      <c r="D138" s="54">
        <v>5.1311453640889786</v>
      </c>
    </row>
    <row r="139" spans="1:4" x14ac:dyDescent="0.2">
      <c r="A139" t="s">
        <v>885</v>
      </c>
      <c r="B139" s="54">
        <v>11.01242256164551</v>
      </c>
      <c r="C139" s="55">
        <v>8.4457434052757796E-2</v>
      </c>
      <c r="D139" s="54">
        <v>0.93008095226127752</v>
      </c>
    </row>
    <row r="140" spans="1:4" x14ac:dyDescent="0.2">
      <c r="A140" t="s">
        <v>886</v>
      </c>
      <c r="B140" s="54">
        <v>59.445335388183587</v>
      </c>
      <c r="C140" s="55">
        <v>0.15902278177458029</v>
      </c>
      <c r="D140" s="54">
        <v>9.4531625969518576</v>
      </c>
    </row>
    <row r="141" spans="1:4" x14ac:dyDescent="0.2">
      <c r="A141" t="s">
        <v>887</v>
      </c>
      <c r="B141" s="54">
        <v>31.696512222290039</v>
      </c>
      <c r="C141" s="55">
        <v>0.15902278177458029</v>
      </c>
      <c r="D141" s="54">
        <v>5.0404675461405466</v>
      </c>
    </row>
    <row r="142" spans="1:4" x14ac:dyDescent="0.2">
      <c r="A142" t="s">
        <v>888</v>
      </c>
      <c r="B142" s="54">
        <v>18.788320541381839</v>
      </c>
      <c r="C142" s="55">
        <v>3.0800359712230219E-2</v>
      </c>
      <c r="D142" s="54">
        <v>0.57868703106324448</v>
      </c>
    </row>
    <row r="143" spans="1:4" x14ac:dyDescent="0.2">
      <c r="A143" t="s">
        <v>889</v>
      </c>
      <c r="B143" s="54">
        <v>14.180000305175779</v>
      </c>
      <c r="C143" s="55">
        <v>1.12410071942446E-2</v>
      </c>
      <c r="D143" s="54">
        <v>0.15939748544487159</v>
      </c>
    </row>
    <row r="144" spans="1:4" x14ac:dyDescent="0.2">
      <c r="A144" t="s">
        <v>890</v>
      </c>
      <c r="B144" s="54">
        <v>14.373562812805179</v>
      </c>
      <c r="C144" s="55">
        <v>1.303956834532374E-2</v>
      </c>
      <c r="D144" s="54">
        <v>0.18742505466337689</v>
      </c>
    </row>
    <row r="145" spans="1:4" x14ac:dyDescent="0.2">
      <c r="A145" t="s">
        <v>891</v>
      </c>
      <c r="B145" s="54">
        <v>13.638889312744141</v>
      </c>
      <c r="C145" s="55">
        <v>2.6978417266187052E-3</v>
      </c>
      <c r="D145" s="54">
        <v>3.6795564692655047E-2</v>
      </c>
    </row>
    <row r="146" spans="1:4" x14ac:dyDescent="0.2">
      <c r="A146" t="s">
        <v>693</v>
      </c>
      <c r="B146" s="54">
        <v>15.40838527679443</v>
      </c>
      <c r="C146" s="55">
        <v>0.14478417266187049</v>
      </c>
      <c r="D146" s="54">
        <v>2.2308903143560279</v>
      </c>
    </row>
    <row r="147" spans="1:4" x14ac:dyDescent="0.2">
      <c r="A147" t="s">
        <v>892</v>
      </c>
      <c r="B147" s="54">
        <v>13.428935050964361</v>
      </c>
      <c r="C147" s="55">
        <v>0.14710731414868111</v>
      </c>
      <c r="D147" s="54">
        <v>1.9754945672244479</v>
      </c>
    </row>
    <row r="148" spans="1:4" x14ac:dyDescent="0.2">
      <c r="A148" t="s">
        <v>893</v>
      </c>
      <c r="B148" s="54">
        <v>16.118755340576168</v>
      </c>
      <c r="C148" s="55">
        <v>0.15902278177458029</v>
      </c>
      <c r="D148" s="54">
        <v>2.563249313002296</v>
      </c>
    </row>
    <row r="149" spans="1:4" x14ac:dyDescent="0.2">
      <c r="A149" t="s">
        <v>894</v>
      </c>
      <c r="B149" s="54">
        <v>24.20000076293945</v>
      </c>
      <c r="C149" s="55">
        <v>3.3723021582733811E-3</v>
      </c>
      <c r="D149" s="54">
        <v>8.1609714803078187E-2</v>
      </c>
    </row>
    <row r="150" spans="1:4" x14ac:dyDescent="0.2">
      <c r="A150" t="s">
        <v>895</v>
      </c>
      <c r="B150" s="54">
        <v>15.139491081237789</v>
      </c>
      <c r="C150" s="55">
        <v>0.15902278177458029</v>
      </c>
      <c r="D150" s="54">
        <v>2.407523986389883</v>
      </c>
    </row>
    <row r="151" spans="1:4" x14ac:dyDescent="0.2">
      <c r="A151" t="s">
        <v>896</v>
      </c>
      <c r="B151" s="54">
        <v>17.901508331298832</v>
      </c>
      <c r="C151" s="55">
        <v>0.15902278177458029</v>
      </c>
      <c r="D151" s="54">
        <v>2.8467476528039661</v>
      </c>
    </row>
    <row r="152" spans="1:4" x14ac:dyDescent="0.2">
      <c r="A152" t="s">
        <v>897</v>
      </c>
      <c r="B152" s="54">
        <v>27.199811935424801</v>
      </c>
      <c r="C152" s="55">
        <v>0.15902278177458029</v>
      </c>
      <c r="D152" s="54">
        <v>4.3253897577166844</v>
      </c>
    </row>
    <row r="153" spans="1:4" x14ac:dyDescent="0.2">
      <c r="A153" t="s">
        <v>898</v>
      </c>
      <c r="B153" s="54">
        <v>20.648445129394531</v>
      </c>
      <c r="C153" s="55">
        <v>0.15902278177458029</v>
      </c>
      <c r="D153" s="54">
        <v>3.2835731837961029</v>
      </c>
    </row>
    <row r="154" spans="1:4" x14ac:dyDescent="0.2">
      <c r="A154" t="s">
        <v>899</v>
      </c>
      <c r="B154" s="54">
        <v>55.302074432373047</v>
      </c>
      <c r="C154" s="55">
        <v>0.15902278177458029</v>
      </c>
      <c r="D154" s="54">
        <v>8.7942897141408576</v>
      </c>
    </row>
    <row r="155" spans="1:4" x14ac:dyDescent="0.2">
      <c r="A155" t="s">
        <v>900</v>
      </c>
      <c r="B155" s="54">
        <v>24.500471115112301</v>
      </c>
      <c r="C155" s="55">
        <v>0.15902278177458029</v>
      </c>
      <c r="D155" s="54">
        <v>3.8961330715129132</v>
      </c>
    </row>
    <row r="156" spans="1:4" x14ac:dyDescent="0.2">
      <c r="A156" t="s">
        <v>901</v>
      </c>
      <c r="B156" s="54">
        <v>24.92459869384766</v>
      </c>
      <c r="C156" s="55">
        <v>0.15902278177458029</v>
      </c>
      <c r="D156" s="54">
        <v>3.9635790189107261</v>
      </c>
    </row>
    <row r="157" spans="1:4" x14ac:dyDescent="0.2">
      <c r="A157" t="s">
        <v>902</v>
      </c>
      <c r="B157" s="54">
        <v>17.525918960571289</v>
      </c>
      <c r="C157" s="55">
        <v>0.15902278177458029</v>
      </c>
      <c r="D157" s="54">
        <v>2.7870203862659082</v>
      </c>
    </row>
    <row r="158" spans="1:4" x14ac:dyDescent="0.2">
      <c r="A158" t="s">
        <v>903</v>
      </c>
      <c r="B158" s="54">
        <v>28.03440093994141</v>
      </c>
      <c r="C158" s="55">
        <v>0.15902278177458029</v>
      </c>
      <c r="D158" s="54">
        <v>4.4581084228533916</v>
      </c>
    </row>
    <row r="159" spans="1:4" x14ac:dyDescent="0.2">
      <c r="A159" t="s">
        <v>904</v>
      </c>
      <c r="B159" s="54">
        <v>15.688972473144529</v>
      </c>
      <c r="C159" s="55">
        <v>0.15902278177458029</v>
      </c>
      <c r="D159" s="54">
        <v>2.4949040458642608</v>
      </c>
    </row>
    <row r="160" spans="1:4" x14ac:dyDescent="0.2">
      <c r="A160" t="s">
        <v>905</v>
      </c>
      <c r="B160" s="54">
        <v>21.188030242919918</v>
      </c>
      <c r="C160" s="55">
        <v>0.15902278177458029</v>
      </c>
      <c r="D160" s="54">
        <v>3.3693795095530632</v>
      </c>
    </row>
    <row r="161" spans="1:4" x14ac:dyDescent="0.2">
      <c r="A161" t="s">
        <v>906</v>
      </c>
      <c r="B161" s="54">
        <v>10.56944465637207</v>
      </c>
      <c r="C161" s="55">
        <v>5.3956834532374104E-3</v>
      </c>
      <c r="D161" s="54">
        <v>5.7029377642295348E-2</v>
      </c>
    </row>
    <row r="162" spans="1:4" x14ac:dyDescent="0.2">
      <c r="A162" t="s">
        <v>799</v>
      </c>
      <c r="B162" s="54">
        <v>17.507846832275391</v>
      </c>
      <c r="C162" s="55">
        <v>0.68277877697841727</v>
      </c>
      <c r="D162" s="54">
        <v>11.95398624766645</v>
      </c>
    </row>
    <row r="163" spans="1:4" x14ac:dyDescent="0.2">
      <c r="A163" t="s">
        <v>73</v>
      </c>
      <c r="B163" s="54">
        <v>4.6240768432617188</v>
      </c>
      <c r="C163" s="55">
        <v>0.20293764988009591</v>
      </c>
      <c r="D163" s="54">
        <v>0.9383992874365058</v>
      </c>
    </row>
    <row r="164" spans="1:4" x14ac:dyDescent="0.2">
      <c r="A164" t="s">
        <v>907</v>
      </c>
      <c r="B164" s="54">
        <v>10.74381732940674</v>
      </c>
      <c r="C164" s="55">
        <v>0.20301258992805751</v>
      </c>
      <c r="D164" s="54">
        <v>2.1811301817568078</v>
      </c>
    </row>
    <row r="165" spans="1:4" x14ac:dyDescent="0.2">
      <c r="A165" t="s">
        <v>908</v>
      </c>
      <c r="B165" s="54"/>
      <c r="C165" s="55">
        <v>0</v>
      </c>
      <c r="D165" s="54">
        <v>0</v>
      </c>
    </row>
    <row r="166" spans="1:4" x14ac:dyDescent="0.2">
      <c r="A166" t="s">
        <v>909</v>
      </c>
      <c r="B166" s="54">
        <v>56.471023559570312</v>
      </c>
      <c r="C166" s="55">
        <v>0.20301258992805751</v>
      </c>
      <c r="D166" s="54">
        <v>11.464328748716721</v>
      </c>
    </row>
    <row r="167" spans="1:4" x14ac:dyDescent="0.2">
      <c r="A167" t="s">
        <v>910</v>
      </c>
      <c r="B167" s="54">
        <v>31</v>
      </c>
      <c r="C167" s="55">
        <v>4.0467625899280584E-3</v>
      </c>
      <c r="D167" s="54">
        <v>0.12544964028776981</v>
      </c>
    </row>
    <row r="168" spans="1:4" x14ac:dyDescent="0.2">
      <c r="A168" t="s">
        <v>911</v>
      </c>
      <c r="B168" s="54">
        <v>30.833333969116211</v>
      </c>
      <c r="C168" s="55">
        <v>4.0467625899280584E-3</v>
      </c>
      <c r="D168" s="54">
        <v>0.1247751824289775</v>
      </c>
    </row>
    <row r="169" spans="1:4" x14ac:dyDescent="0.2">
      <c r="A169" t="s">
        <v>417</v>
      </c>
      <c r="B169" s="54">
        <v>16.882986068725589</v>
      </c>
      <c r="C169" s="55">
        <v>0.1184802158273381</v>
      </c>
      <c r="D169" s="54">
        <v>2.0002998332325501</v>
      </c>
    </row>
    <row r="170" spans="1:4" x14ac:dyDescent="0.2">
      <c r="A170" t="s">
        <v>445</v>
      </c>
      <c r="B170" s="54">
        <v>16.82699012756348</v>
      </c>
      <c r="C170" s="55">
        <v>8.6630695443645087E-2</v>
      </c>
      <c r="D170" s="54">
        <v>1.457733856974174</v>
      </c>
    </row>
    <row r="171" spans="1:4" x14ac:dyDescent="0.2">
      <c r="A171" t="s">
        <v>912</v>
      </c>
      <c r="B171" s="54">
        <v>39.486873626708977</v>
      </c>
      <c r="C171" s="55">
        <v>3.139988009592326E-2</v>
      </c>
      <c r="D171" s="54">
        <v>1.2398830972415369</v>
      </c>
    </row>
    <row r="172" spans="1:4" x14ac:dyDescent="0.2">
      <c r="A172" t="s">
        <v>502</v>
      </c>
      <c r="B172" s="54">
        <v>15.9380989074707</v>
      </c>
      <c r="C172" s="55">
        <v>0.1016936450839329</v>
      </c>
      <c r="D172" s="54">
        <v>1.620803373608944</v>
      </c>
    </row>
    <row r="173" spans="1:4" x14ac:dyDescent="0.2">
      <c r="A173" t="s">
        <v>534</v>
      </c>
      <c r="B173" s="54">
        <v>13.330855369567869</v>
      </c>
      <c r="C173" s="55">
        <v>6.047661870503597E-2</v>
      </c>
      <c r="D173" s="54">
        <v>0.80620505719733748</v>
      </c>
    </row>
    <row r="174" spans="1:4" x14ac:dyDescent="0.2">
      <c r="A174" t="s">
        <v>913</v>
      </c>
      <c r="B174" s="54">
        <v>16.437650680541989</v>
      </c>
      <c r="C174" s="55">
        <v>6.25E-2</v>
      </c>
      <c r="D174" s="54">
        <v>1.027353167533875</v>
      </c>
    </row>
    <row r="175" spans="1:4" x14ac:dyDescent="0.2">
      <c r="A175" t="s">
        <v>914</v>
      </c>
      <c r="B175" s="54">
        <v>8.6666669845581055</v>
      </c>
      <c r="C175" s="55">
        <v>6.7446043165467629E-4</v>
      </c>
      <c r="D175" s="54">
        <v>5.8453239554123919E-3</v>
      </c>
    </row>
    <row r="176" spans="1:4" x14ac:dyDescent="0.2">
      <c r="A176" t="s">
        <v>572</v>
      </c>
      <c r="B176" s="54">
        <v>12.5238094329834</v>
      </c>
      <c r="C176" s="55">
        <v>1.573741007194245E-3</v>
      </c>
      <c r="D176" s="54">
        <v>1.9709232470972071E-2</v>
      </c>
    </row>
    <row r="177" spans="1:4" x14ac:dyDescent="0.2">
      <c r="A177" t="s">
        <v>915</v>
      </c>
      <c r="B177" s="54">
        <v>22.220184326171879</v>
      </c>
      <c r="C177" s="55">
        <v>8.1684652278177453E-3</v>
      </c>
      <c r="D177" s="54">
        <v>0.18150480302403579</v>
      </c>
    </row>
    <row r="178" spans="1:4" x14ac:dyDescent="0.2">
      <c r="A178" t="s">
        <v>916</v>
      </c>
      <c r="B178" s="54">
        <v>12.889907836914061</v>
      </c>
      <c r="C178" s="55">
        <v>8.1684652278177453E-3</v>
      </c>
      <c r="D178" s="54">
        <v>0.105290763955608</v>
      </c>
    </row>
    <row r="179" spans="1:4" x14ac:dyDescent="0.2">
      <c r="A179" t="s">
        <v>917</v>
      </c>
      <c r="B179" s="54">
        <v>14.84403705596924</v>
      </c>
      <c r="C179" s="55">
        <v>8.1684652278177453E-3</v>
      </c>
      <c r="D179" s="54">
        <v>0.1212530005321228</v>
      </c>
    </row>
    <row r="180" spans="1:4" x14ac:dyDescent="0.2">
      <c r="A180" t="s">
        <v>918</v>
      </c>
      <c r="B180" s="54">
        <v>18.513761520385739</v>
      </c>
      <c r="C180" s="55">
        <v>8.1684652278177453E-3</v>
      </c>
      <c r="D180" s="54">
        <v>0.1512290172153811</v>
      </c>
    </row>
    <row r="181" spans="1:4" x14ac:dyDescent="0.2">
      <c r="A181" t="s">
        <v>919</v>
      </c>
      <c r="B181" s="54">
        <v>16.880733489990231</v>
      </c>
      <c r="C181" s="55">
        <v>8.1684652278177453E-3</v>
      </c>
      <c r="D181" s="54">
        <v>0.1378896845330437</v>
      </c>
    </row>
    <row r="182" spans="1:4" x14ac:dyDescent="0.2">
      <c r="A182" t="s">
        <v>920</v>
      </c>
      <c r="B182" s="54">
        <v>17.431192398071289</v>
      </c>
      <c r="C182" s="55">
        <v>8.1684652278177453E-3</v>
      </c>
      <c r="D182" s="54">
        <v>0.14238608898304631</v>
      </c>
    </row>
    <row r="183" spans="1:4" x14ac:dyDescent="0.2">
      <c r="A183" t="s">
        <v>921</v>
      </c>
      <c r="B183" s="54">
        <v>14.110092163085939</v>
      </c>
      <c r="C183" s="55">
        <v>8.1684652278177453E-3</v>
      </c>
      <c r="D183" s="54">
        <v>0.1152577971954712</v>
      </c>
    </row>
    <row r="184" spans="1:4" x14ac:dyDescent="0.2">
      <c r="A184" t="s">
        <v>922</v>
      </c>
      <c r="B184" s="54">
        <v>15.256880760192869</v>
      </c>
      <c r="C184" s="55">
        <v>8.1684652278177453E-3</v>
      </c>
      <c r="D184" s="54">
        <v>0.124625299974597</v>
      </c>
    </row>
    <row r="185" spans="1:4" x14ac:dyDescent="0.2">
      <c r="A185" t="s">
        <v>923</v>
      </c>
      <c r="B185" s="54">
        <v>12.284403800964361</v>
      </c>
      <c r="C185" s="55">
        <v>8.1684652278177453E-3</v>
      </c>
      <c r="D185" s="54">
        <v>0.1003447252926495</v>
      </c>
    </row>
    <row r="186" spans="1:4" x14ac:dyDescent="0.2">
      <c r="A186" t="s">
        <v>924</v>
      </c>
      <c r="B186" s="54">
        <v>12.577981948852541</v>
      </c>
      <c r="C186" s="55">
        <v>8.1684652278177453E-3</v>
      </c>
      <c r="D186" s="54">
        <v>0.10274280818532119</v>
      </c>
    </row>
    <row r="187" spans="1:4" x14ac:dyDescent="0.2">
      <c r="A187" t="s">
        <v>723</v>
      </c>
      <c r="B187" s="54">
        <v>16.78225135803223</v>
      </c>
      <c r="C187" s="55">
        <v>0.16381894484412471</v>
      </c>
      <c r="D187" s="54">
        <v>2.7492507095817178</v>
      </c>
    </row>
    <row r="188" spans="1:4" x14ac:dyDescent="0.2">
      <c r="A188" t="s">
        <v>925</v>
      </c>
      <c r="B188" s="54">
        <v>11.787801742553709</v>
      </c>
      <c r="C188" s="55">
        <v>0.20518585131894479</v>
      </c>
      <c r="D188" s="54">
        <v>2.4186901357248241</v>
      </c>
    </row>
    <row r="189" spans="1:4" x14ac:dyDescent="0.2">
      <c r="A189" t="s">
        <v>332</v>
      </c>
      <c r="B189" s="54">
        <v>46.247528076171882</v>
      </c>
      <c r="C189" s="55">
        <v>1</v>
      </c>
      <c r="D189" s="54">
        <v>46.247528076171882</v>
      </c>
    </row>
    <row r="190" spans="1:4" x14ac:dyDescent="0.2">
      <c r="A190" t="s">
        <v>926</v>
      </c>
      <c r="B190" s="54">
        <v>0.1537020355463028</v>
      </c>
      <c r="C190" s="55">
        <v>1</v>
      </c>
      <c r="D190" s="54">
        <v>0.1537020355463028</v>
      </c>
    </row>
    <row r="191" spans="1:4" x14ac:dyDescent="0.2">
      <c r="A191" t="s">
        <v>927</v>
      </c>
      <c r="B191" s="54">
        <v>0.67963129281997681</v>
      </c>
      <c r="C191" s="55">
        <v>1</v>
      </c>
      <c r="D191" s="54">
        <v>0.67963129281997681</v>
      </c>
    </row>
    <row r="192" spans="1:4" x14ac:dyDescent="0.2">
      <c r="A192" t="s">
        <v>928</v>
      </c>
      <c r="B192" s="54">
        <v>2.892535924911499</v>
      </c>
      <c r="C192" s="55">
        <v>1</v>
      </c>
      <c r="D192" s="54">
        <v>2.892535924911499</v>
      </c>
    </row>
    <row r="193" spans="1:4" x14ac:dyDescent="0.2">
      <c r="A193" t="s">
        <v>929</v>
      </c>
      <c r="B193" s="54">
        <v>3.3438248634338379</v>
      </c>
      <c r="C193" s="55">
        <v>1</v>
      </c>
      <c r="D193" s="54">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43" sqref="C43"/>
    </sheetView>
  </sheetViews>
  <sheetFormatPr baseColWidth="10" defaultColWidth="10.83203125" defaultRowHeight="15" x14ac:dyDescent="0.2"/>
  <cols>
    <col min="1" max="2" width="10.83203125" style="1" customWidth="1"/>
    <col min="3" max="3" width="15.1640625" style="2" customWidth="1"/>
    <col min="4" max="4" width="10.83203125" style="314" hidden="1" customWidth="1"/>
    <col min="5" max="5" width="10.83203125" style="314" customWidth="1"/>
    <col min="6" max="6" width="41.6640625" style="1" customWidth="1"/>
    <col min="7" max="7" width="46.6640625" style="529" customWidth="1"/>
    <col min="8" max="8" width="10.83203125" style="1" customWidth="1"/>
    <col min="9" max="16384" width="10.83203125" style="1"/>
  </cols>
  <sheetData>
    <row r="2" spans="2:7" x14ac:dyDescent="0.2">
      <c r="C2" s="4"/>
      <c r="D2" s="311"/>
      <c r="E2" s="311"/>
      <c r="F2" s="5"/>
      <c r="G2" s="525"/>
    </row>
    <row r="3" spans="2:7" ht="32" customHeight="1" x14ac:dyDescent="0.2">
      <c r="B3" s="3"/>
      <c r="C3" s="312" t="s">
        <v>930</v>
      </c>
      <c r="D3" s="309" t="s">
        <v>931</v>
      </c>
      <c r="E3" s="309" t="s">
        <v>932</v>
      </c>
      <c r="F3" s="309" t="s">
        <v>933</v>
      </c>
      <c r="G3" s="312" t="s">
        <v>934</v>
      </c>
    </row>
    <row r="4" spans="2:7" ht="16" customHeight="1" x14ac:dyDescent="0.2">
      <c r="B4" s="3"/>
      <c r="C4" s="46" t="s">
        <v>935</v>
      </c>
      <c r="D4" s="8">
        <f t="array" ref="D4:D93">_xlfn.SEQUENCE(90,1,1,1)</f>
        <v>1</v>
      </c>
      <c r="E4" s="310" t="s">
        <v>936</v>
      </c>
      <c r="F4" s="8" t="s">
        <v>937</v>
      </c>
      <c r="G4" s="526" t="s">
        <v>938</v>
      </c>
    </row>
    <row r="5" spans="2:7" ht="16" customHeight="1" x14ac:dyDescent="0.2">
      <c r="B5" s="3"/>
      <c r="C5" s="46"/>
      <c r="D5" s="8">
        <v>2</v>
      </c>
      <c r="E5" s="310" t="s">
        <v>939</v>
      </c>
      <c r="F5" s="8" t="s">
        <v>940</v>
      </c>
      <c r="G5" s="526" t="s">
        <v>941</v>
      </c>
    </row>
    <row r="6" spans="2:7" ht="16" customHeight="1" x14ac:dyDescent="0.2">
      <c r="B6" s="3"/>
      <c r="C6" s="46" t="s">
        <v>935</v>
      </c>
      <c r="D6" s="8">
        <v>3</v>
      </c>
      <c r="E6" s="310" t="s">
        <v>942</v>
      </c>
      <c r="F6" s="8" t="s">
        <v>943</v>
      </c>
      <c r="G6" s="526" t="s">
        <v>944</v>
      </c>
    </row>
    <row r="7" spans="2:7" ht="16" customHeight="1" x14ac:dyDescent="0.2">
      <c r="B7" s="3"/>
      <c r="C7" s="46" t="s">
        <v>935</v>
      </c>
      <c r="D7" s="8">
        <v>4</v>
      </c>
      <c r="E7" s="310" t="s">
        <v>945</v>
      </c>
      <c r="F7" s="8" t="s">
        <v>946</v>
      </c>
      <c r="G7" s="526" t="s">
        <v>947</v>
      </c>
    </row>
    <row r="8" spans="2:7" ht="16" customHeight="1" x14ac:dyDescent="0.2">
      <c r="B8" s="3"/>
      <c r="C8" s="46" t="s">
        <v>935</v>
      </c>
      <c r="D8" s="8">
        <v>5</v>
      </c>
      <c r="E8" s="310" t="s">
        <v>948</v>
      </c>
      <c r="F8" s="8" t="s">
        <v>949</v>
      </c>
      <c r="G8" s="526" t="s">
        <v>950</v>
      </c>
    </row>
    <row r="9" spans="2:7" ht="16" customHeight="1" x14ac:dyDescent="0.2">
      <c r="B9" s="3"/>
      <c r="C9" s="46"/>
      <c r="D9" s="8">
        <v>6</v>
      </c>
      <c r="E9" s="310" t="s">
        <v>951</v>
      </c>
      <c r="F9" s="8" t="s">
        <v>952</v>
      </c>
      <c r="G9" s="526" t="s">
        <v>953</v>
      </c>
    </row>
    <row r="10" spans="2:7" ht="16" customHeight="1" x14ac:dyDescent="0.2">
      <c r="B10" s="3"/>
      <c r="C10" s="345"/>
      <c r="D10" s="8">
        <v>7</v>
      </c>
      <c r="E10" s="310" t="s">
        <v>954</v>
      </c>
      <c r="F10" s="45" t="s">
        <v>955</v>
      </c>
      <c r="G10" s="527" t="s">
        <v>956</v>
      </c>
    </row>
    <row r="11" spans="2:7" ht="16" customHeight="1" x14ac:dyDescent="0.2">
      <c r="B11" s="3"/>
      <c r="C11" s="46"/>
      <c r="D11" s="8">
        <v>8</v>
      </c>
      <c r="E11" s="310" t="s">
        <v>957</v>
      </c>
      <c r="F11" s="8" t="s">
        <v>958</v>
      </c>
      <c r="G11" s="526" t="s">
        <v>959</v>
      </c>
    </row>
    <row r="12" spans="2:7" ht="16" customHeight="1" x14ac:dyDescent="0.2">
      <c r="B12" s="3"/>
      <c r="C12" s="46" t="s">
        <v>935</v>
      </c>
      <c r="D12" s="8">
        <v>9</v>
      </c>
      <c r="E12" s="310" t="s">
        <v>960</v>
      </c>
      <c r="F12" s="8" t="s">
        <v>961</v>
      </c>
      <c r="G12" s="526" t="s">
        <v>962</v>
      </c>
    </row>
    <row r="13" spans="2:7" ht="16" customHeight="1" x14ac:dyDescent="0.2">
      <c r="B13" s="3"/>
      <c r="C13" s="46"/>
      <c r="D13" s="8">
        <v>10</v>
      </c>
      <c r="E13" s="310" t="s">
        <v>963</v>
      </c>
      <c r="F13" s="8" t="s">
        <v>964</v>
      </c>
      <c r="G13" s="526" t="s">
        <v>965</v>
      </c>
    </row>
    <row r="14" spans="2:7" ht="16" customHeight="1" x14ac:dyDescent="0.2">
      <c r="B14" s="3"/>
      <c r="C14" s="46"/>
      <c r="D14" s="8">
        <v>11</v>
      </c>
      <c r="E14" s="310" t="s">
        <v>966</v>
      </c>
      <c r="F14" s="8" t="s">
        <v>967</v>
      </c>
      <c r="G14" s="526" t="s">
        <v>968</v>
      </c>
    </row>
    <row r="15" spans="2:7" ht="16" customHeight="1" x14ac:dyDescent="0.2">
      <c r="B15" s="3"/>
      <c r="C15" s="46"/>
      <c r="D15" s="8">
        <v>12</v>
      </c>
      <c r="E15" s="310" t="s">
        <v>969</v>
      </c>
      <c r="F15" s="8" t="s">
        <v>970</v>
      </c>
      <c r="G15" s="526" t="s">
        <v>971</v>
      </c>
    </row>
    <row r="16" spans="2:7" ht="16" customHeight="1" x14ac:dyDescent="0.2">
      <c r="B16" s="3"/>
      <c r="C16" s="46"/>
      <c r="D16" s="8">
        <v>13</v>
      </c>
      <c r="E16" s="310" t="s">
        <v>972</v>
      </c>
      <c r="F16" s="8" t="s">
        <v>973</v>
      </c>
      <c r="G16" s="526" t="s">
        <v>974</v>
      </c>
    </row>
    <row r="17" spans="2:7" ht="16" customHeight="1" x14ac:dyDescent="0.2">
      <c r="B17" s="3"/>
      <c r="C17" s="345"/>
      <c r="D17" s="8">
        <v>14</v>
      </c>
      <c r="E17" s="310" t="s">
        <v>975</v>
      </c>
      <c r="F17" s="45" t="s">
        <v>976</v>
      </c>
      <c r="G17" s="527" t="s">
        <v>977</v>
      </c>
    </row>
    <row r="18" spans="2:7" ht="16" customHeight="1" x14ac:dyDescent="0.2">
      <c r="B18" s="3"/>
      <c r="C18" s="46" t="s">
        <v>935</v>
      </c>
      <c r="D18" s="8">
        <v>15</v>
      </c>
      <c r="E18" s="310" t="s">
        <v>978</v>
      </c>
      <c r="F18" s="8" t="s">
        <v>979</v>
      </c>
      <c r="G18" s="526" t="s">
        <v>980</v>
      </c>
    </row>
    <row r="19" spans="2:7" ht="16" customHeight="1" x14ac:dyDescent="0.2">
      <c r="B19" s="3"/>
      <c r="C19" s="46"/>
      <c r="D19" s="8">
        <v>16</v>
      </c>
      <c r="E19" s="310" t="s">
        <v>981</v>
      </c>
      <c r="F19" s="8" t="s">
        <v>982</v>
      </c>
      <c r="G19" s="526" t="s">
        <v>983</v>
      </c>
    </row>
    <row r="20" spans="2:7" ht="16" customHeight="1" x14ac:dyDescent="0.2">
      <c r="B20" s="3"/>
      <c r="C20" s="46"/>
      <c r="D20" s="8">
        <v>17</v>
      </c>
      <c r="E20" s="310" t="s">
        <v>984</v>
      </c>
      <c r="F20" s="8" t="s">
        <v>985</v>
      </c>
      <c r="G20" s="526" t="s">
        <v>986</v>
      </c>
    </row>
    <row r="21" spans="2:7" ht="16" customHeight="1" x14ac:dyDescent="0.2">
      <c r="B21" s="3"/>
      <c r="C21" s="46"/>
      <c r="D21" s="8">
        <v>18</v>
      </c>
      <c r="E21" s="310" t="s">
        <v>987</v>
      </c>
      <c r="F21" s="8" t="s">
        <v>988</v>
      </c>
      <c r="G21" s="526" t="s">
        <v>989</v>
      </c>
    </row>
    <row r="22" spans="2:7" ht="16" customHeight="1" x14ac:dyDescent="0.2">
      <c r="B22" s="3"/>
      <c r="C22" s="46"/>
      <c r="D22" s="8">
        <v>19</v>
      </c>
      <c r="E22" s="310" t="s">
        <v>990</v>
      </c>
      <c r="F22" s="8" t="s">
        <v>991</v>
      </c>
      <c r="G22" s="526" t="s">
        <v>992</v>
      </c>
    </row>
    <row r="23" spans="2:7" ht="16" customHeight="1" x14ac:dyDescent="0.2">
      <c r="B23" s="3"/>
      <c r="C23" s="46"/>
      <c r="D23" s="8">
        <v>20</v>
      </c>
      <c r="E23" s="310" t="s">
        <v>993</v>
      </c>
      <c r="F23" s="8" t="s">
        <v>994</v>
      </c>
      <c r="G23" s="526" t="s">
        <v>995</v>
      </c>
    </row>
    <row r="24" spans="2:7" ht="16" customHeight="1" x14ac:dyDescent="0.2">
      <c r="B24" s="3"/>
      <c r="C24" s="46"/>
      <c r="D24" s="8">
        <v>21</v>
      </c>
      <c r="E24" s="310" t="s">
        <v>996</v>
      </c>
      <c r="F24" s="8" t="s">
        <v>997</v>
      </c>
      <c r="G24" s="526" t="s">
        <v>998</v>
      </c>
    </row>
    <row r="25" spans="2:7" ht="16" customHeight="1" x14ac:dyDescent="0.2">
      <c r="B25" s="3"/>
      <c r="C25" s="345"/>
      <c r="D25" s="8">
        <v>22</v>
      </c>
      <c r="E25" s="310" t="s">
        <v>999</v>
      </c>
      <c r="F25" s="45" t="s">
        <v>1000</v>
      </c>
      <c r="G25" s="527" t="s">
        <v>1001</v>
      </c>
    </row>
    <row r="26" spans="2:7" ht="16" customHeight="1" x14ac:dyDescent="0.2">
      <c r="B26" s="3"/>
      <c r="C26" s="46" t="s">
        <v>935</v>
      </c>
      <c r="D26" s="8">
        <v>23</v>
      </c>
      <c r="E26" s="310" t="s">
        <v>1002</v>
      </c>
      <c r="F26" s="8" t="s">
        <v>1003</v>
      </c>
      <c r="G26" s="526" t="s">
        <v>1004</v>
      </c>
    </row>
    <row r="27" spans="2:7" ht="16" customHeight="1" x14ac:dyDescent="0.2">
      <c r="B27" s="3"/>
      <c r="C27" s="46" t="s">
        <v>935</v>
      </c>
      <c r="D27" s="8">
        <v>24</v>
      </c>
      <c r="E27" s="310" t="s">
        <v>1005</v>
      </c>
      <c r="F27" s="8" t="s">
        <v>1006</v>
      </c>
      <c r="G27" s="526" t="s">
        <v>1007</v>
      </c>
    </row>
    <row r="28" spans="2:7" ht="16" customHeight="1" x14ac:dyDescent="0.2">
      <c r="B28" s="3"/>
      <c r="C28" s="46"/>
      <c r="D28" s="8">
        <v>25</v>
      </c>
      <c r="E28" s="310" t="s">
        <v>1008</v>
      </c>
      <c r="F28" s="8" t="s">
        <v>1009</v>
      </c>
      <c r="G28" s="526" t="s">
        <v>1010</v>
      </c>
    </row>
    <row r="29" spans="2:7" ht="16" customHeight="1" x14ac:dyDescent="0.2">
      <c r="B29" s="3"/>
      <c r="C29" s="46"/>
      <c r="D29" s="8">
        <v>26</v>
      </c>
      <c r="E29" s="310" t="s">
        <v>1011</v>
      </c>
      <c r="F29" s="8" t="s">
        <v>1012</v>
      </c>
      <c r="G29" s="526" t="s">
        <v>1013</v>
      </c>
    </row>
    <row r="30" spans="2:7" ht="16" customHeight="1" x14ac:dyDescent="0.2">
      <c r="B30" s="3"/>
      <c r="C30" s="46"/>
      <c r="D30" s="8">
        <v>27</v>
      </c>
      <c r="E30" s="310" t="s">
        <v>1014</v>
      </c>
      <c r="F30" s="8" t="s">
        <v>1015</v>
      </c>
      <c r="G30" s="526" t="s">
        <v>1016</v>
      </c>
    </row>
    <row r="31" spans="2:7" ht="16" customHeight="1" x14ac:dyDescent="0.2">
      <c r="B31" s="3"/>
      <c r="C31" s="46"/>
      <c r="D31" s="8">
        <v>28</v>
      </c>
      <c r="E31" s="310" t="s">
        <v>1017</v>
      </c>
      <c r="F31" s="8" t="s">
        <v>1018</v>
      </c>
      <c r="G31" s="526" t="s">
        <v>1018</v>
      </c>
    </row>
    <row r="32" spans="2:7" ht="16" customHeight="1" x14ac:dyDescent="0.2">
      <c r="B32" s="3"/>
      <c r="C32" s="46"/>
      <c r="D32" s="8">
        <v>29</v>
      </c>
      <c r="E32" s="310" t="s">
        <v>1019</v>
      </c>
      <c r="F32" s="8" t="s">
        <v>1020</v>
      </c>
      <c r="G32" s="526" t="s">
        <v>1021</v>
      </c>
    </row>
    <row r="33" spans="2:7" ht="16" customHeight="1" x14ac:dyDescent="0.2">
      <c r="B33" s="3"/>
      <c r="C33" s="46"/>
      <c r="D33" s="8">
        <v>30</v>
      </c>
      <c r="E33" s="310" t="s">
        <v>1022</v>
      </c>
      <c r="F33" s="8" t="s">
        <v>1023</v>
      </c>
      <c r="G33" s="526" t="s">
        <v>1024</v>
      </c>
    </row>
    <row r="34" spans="2:7" ht="16" customHeight="1" x14ac:dyDescent="0.2">
      <c r="B34" s="3"/>
      <c r="C34" s="46"/>
      <c r="D34" s="8">
        <v>31</v>
      </c>
      <c r="E34" s="310" t="s">
        <v>1025</v>
      </c>
      <c r="F34" s="8" t="s">
        <v>1026</v>
      </c>
      <c r="G34" s="526" t="s">
        <v>1027</v>
      </c>
    </row>
    <row r="35" spans="2:7" ht="16" customHeight="1" x14ac:dyDescent="0.2">
      <c r="B35" s="3"/>
      <c r="C35" s="345"/>
      <c r="D35" s="8">
        <v>32</v>
      </c>
      <c r="E35" s="310" t="s">
        <v>1028</v>
      </c>
      <c r="F35" s="45" t="s">
        <v>1029</v>
      </c>
      <c r="G35" s="527" t="s">
        <v>1030</v>
      </c>
    </row>
    <row r="36" spans="2:7" ht="16" customHeight="1" x14ac:dyDescent="0.2">
      <c r="B36" s="3"/>
      <c r="C36" s="46" t="s">
        <v>935</v>
      </c>
      <c r="D36" s="8">
        <v>33</v>
      </c>
      <c r="E36" s="310" t="s">
        <v>1031</v>
      </c>
      <c r="F36" s="8" t="s">
        <v>1032</v>
      </c>
      <c r="G36" s="526" t="s">
        <v>1033</v>
      </c>
    </row>
    <row r="37" spans="2:7" ht="16" customHeight="1" x14ac:dyDescent="0.2">
      <c r="B37" s="3"/>
      <c r="C37" s="46"/>
      <c r="D37" s="8">
        <v>34</v>
      </c>
      <c r="E37" s="310" t="s">
        <v>1034</v>
      </c>
      <c r="F37" s="8" t="s">
        <v>1035</v>
      </c>
      <c r="G37" s="526" t="s">
        <v>1036</v>
      </c>
    </row>
    <row r="38" spans="2:7" ht="16" customHeight="1" x14ac:dyDescent="0.2">
      <c r="B38" s="3"/>
      <c r="C38" s="46"/>
      <c r="D38" s="8">
        <v>35</v>
      </c>
      <c r="E38" s="310" t="s">
        <v>1037</v>
      </c>
      <c r="F38" s="8" t="s">
        <v>1038</v>
      </c>
      <c r="G38" s="526" t="s">
        <v>1039</v>
      </c>
    </row>
    <row r="39" spans="2:7" ht="16" customHeight="1" x14ac:dyDescent="0.2">
      <c r="B39" s="3"/>
      <c r="C39" s="46"/>
      <c r="D39" s="8">
        <v>36</v>
      </c>
      <c r="E39" s="310" t="s">
        <v>1040</v>
      </c>
      <c r="F39" s="8" t="s">
        <v>1041</v>
      </c>
      <c r="G39" s="526" t="s">
        <v>1042</v>
      </c>
    </row>
    <row r="40" spans="2:7" ht="16" customHeight="1" x14ac:dyDescent="0.2">
      <c r="B40" s="3"/>
      <c r="C40" s="46"/>
      <c r="D40" s="8">
        <v>37</v>
      </c>
      <c r="E40" s="310" t="s">
        <v>1043</v>
      </c>
      <c r="F40" s="8" t="s">
        <v>1044</v>
      </c>
      <c r="G40" s="526" t="s">
        <v>1045</v>
      </c>
    </row>
    <row r="41" spans="2:7" ht="16" customHeight="1" x14ac:dyDescent="0.2">
      <c r="B41" s="3"/>
      <c r="C41" s="46"/>
      <c r="D41" s="8">
        <v>38</v>
      </c>
      <c r="E41" s="310" t="s">
        <v>1046</v>
      </c>
      <c r="F41" s="8" t="s">
        <v>1047</v>
      </c>
      <c r="G41" s="526" t="s">
        <v>1047</v>
      </c>
    </row>
    <row r="42" spans="2:7" ht="16" customHeight="1" x14ac:dyDescent="0.2">
      <c r="B42" s="3"/>
      <c r="C42" s="46"/>
      <c r="D42" s="8">
        <v>39</v>
      </c>
      <c r="E42" s="310" t="s">
        <v>1048</v>
      </c>
      <c r="F42" s="8" t="s">
        <v>1049</v>
      </c>
      <c r="G42" s="526" t="s">
        <v>1050</v>
      </c>
    </row>
    <row r="43" spans="2:7" ht="16" customHeight="1" x14ac:dyDescent="0.2">
      <c r="B43" s="3"/>
      <c r="C43" s="46" t="s">
        <v>935</v>
      </c>
      <c r="D43" s="8">
        <v>40</v>
      </c>
      <c r="E43" s="310" t="s">
        <v>1051</v>
      </c>
      <c r="F43" s="8" t="s">
        <v>1052</v>
      </c>
      <c r="G43" s="526" t="s">
        <v>1053</v>
      </c>
    </row>
    <row r="44" spans="2:7" ht="16" customHeight="1" x14ac:dyDescent="0.2">
      <c r="B44" s="3"/>
      <c r="C44" s="46"/>
      <c r="D44" s="8">
        <v>41</v>
      </c>
      <c r="E44" s="310" t="s">
        <v>1054</v>
      </c>
      <c r="F44" s="8" t="s">
        <v>1055</v>
      </c>
      <c r="G44" s="526" t="s">
        <v>1056</v>
      </c>
    </row>
    <row r="45" spans="2:7" ht="16" customHeight="1" x14ac:dyDescent="0.2">
      <c r="B45" s="3"/>
      <c r="C45" s="46"/>
      <c r="D45" s="8">
        <v>42</v>
      </c>
      <c r="E45" s="310" t="s">
        <v>1057</v>
      </c>
      <c r="F45" s="8" t="s">
        <v>1058</v>
      </c>
      <c r="G45" s="526" t="s">
        <v>1059</v>
      </c>
    </row>
    <row r="46" spans="2:7" ht="16" customHeight="1" x14ac:dyDescent="0.2">
      <c r="B46" s="3"/>
      <c r="C46" s="46"/>
      <c r="D46" s="8">
        <v>43</v>
      </c>
      <c r="E46" s="310" t="s">
        <v>1060</v>
      </c>
      <c r="F46" s="8" t="s">
        <v>1061</v>
      </c>
      <c r="G46" s="526" t="s">
        <v>1062</v>
      </c>
    </row>
    <row r="47" spans="2:7" ht="16" customHeight="1" x14ac:dyDescent="0.2">
      <c r="B47" s="3"/>
      <c r="C47" s="345"/>
      <c r="D47" s="8">
        <v>44</v>
      </c>
      <c r="E47" s="310" t="s">
        <v>1063</v>
      </c>
      <c r="F47" s="45" t="s">
        <v>1064</v>
      </c>
      <c r="G47" s="527" t="s">
        <v>1065</v>
      </c>
    </row>
    <row r="48" spans="2:7" ht="16" customHeight="1" x14ac:dyDescent="0.2">
      <c r="B48" s="3"/>
      <c r="C48" s="46"/>
      <c r="D48" s="8">
        <v>45</v>
      </c>
      <c r="E48" s="310" t="s">
        <v>1066</v>
      </c>
      <c r="F48" s="8" t="s">
        <v>1067</v>
      </c>
      <c r="G48" s="526" t="s">
        <v>1067</v>
      </c>
    </row>
    <row r="49" spans="2:7" ht="16" customHeight="1" x14ac:dyDescent="0.2">
      <c r="B49" s="3"/>
      <c r="C49" s="46"/>
      <c r="D49" s="8">
        <v>46</v>
      </c>
      <c r="E49" s="310" t="s">
        <v>1068</v>
      </c>
      <c r="F49" s="8" t="s">
        <v>1069</v>
      </c>
      <c r="G49" s="526" t="s">
        <v>1070</v>
      </c>
    </row>
    <row r="50" spans="2:7" ht="16" customHeight="1" x14ac:dyDescent="0.2">
      <c r="B50" s="3"/>
      <c r="C50" s="46"/>
      <c r="D50" s="8">
        <v>47</v>
      </c>
      <c r="E50" s="310" t="s">
        <v>1071</v>
      </c>
      <c r="F50" s="8" t="s">
        <v>1072</v>
      </c>
      <c r="G50" s="526" t="s">
        <v>1073</v>
      </c>
    </row>
    <row r="51" spans="2:7" ht="16" customHeight="1" x14ac:dyDescent="0.2">
      <c r="B51" s="3"/>
      <c r="C51" s="46"/>
      <c r="D51" s="8">
        <v>48</v>
      </c>
      <c r="E51" s="310" t="s">
        <v>1074</v>
      </c>
      <c r="F51" s="8" t="s">
        <v>1075</v>
      </c>
      <c r="G51" s="526" t="s">
        <v>1076</v>
      </c>
    </row>
    <row r="52" spans="2:7" ht="16" customHeight="1" x14ac:dyDescent="0.2">
      <c r="B52" s="3"/>
      <c r="C52" s="345"/>
      <c r="D52" s="8">
        <v>49</v>
      </c>
      <c r="E52" s="310" t="s">
        <v>1077</v>
      </c>
      <c r="F52" s="45" t="s">
        <v>1078</v>
      </c>
      <c r="G52" s="527" t="s">
        <v>1079</v>
      </c>
    </row>
    <row r="53" spans="2:7" ht="16" customHeight="1" x14ac:dyDescent="0.2">
      <c r="B53" s="3"/>
      <c r="C53" s="46"/>
      <c r="D53" s="8">
        <v>50</v>
      </c>
      <c r="E53" s="310" t="s">
        <v>1080</v>
      </c>
      <c r="F53" s="8" t="s">
        <v>1081</v>
      </c>
      <c r="G53" s="526" t="s">
        <v>1082</v>
      </c>
    </row>
    <row r="54" spans="2:7" ht="16" customHeight="1" x14ac:dyDescent="0.2">
      <c r="B54" s="3"/>
      <c r="C54" s="46"/>
      <c r="D54" s="8">
        <v>51</v>
      </c>
      <c r="E54" s="310" t="s">
        <v>1083</v>
      </c>
      <c r="F54" s="8" t="s">
        <v>1084</v>
      </c>
      <c r="G54" s="526" t="s">
        <v>1085</v>
      </c>
    </row>
    <row r="55" spans="2:7" ht="16" customHeight="1" x14ac:dyDescent="0.2">
      <c r="B55" s="3"/>
      <c r="C55" s="46"/>
      <c r="D55" s="8">
        <v>52</v>
      </c>
      <c r="E55" s="310" t="s">
        <v>1086</v>
      </c>
      <c r="F55" s="8" t="s">
        <v>1087</v>
      </c>
      <c r="G55" s="526" t="s">
        <v>1088</v>
      </c>
    </row>
    <row r="56" spans="2:7" ht="16" customHeight="1" x14ac:dyDescent="0.2">
      <c r="B56" s="3"/>
      <c r="C56" s="46"/>
      <c r="D56" s="8">
        <v>53</v>
      </c>
      <c r="E56" s="310" t="s">
        <v>1089</v>
      </c>
      <c r="F56" s="8" t="s">
        <v>1090</v>
      </c>
      <c r="G56" s="526" t="s">
        <v>1091</v>
      </c>
    </row>
    <row r="57" spans="2:7" ht="16" customHeight="1" x14ac:dyDescent="0.2">
      <c r="B57" s="3"/>
      <c r="C57" s="46"/>
      <c r="D57" s="8">
        <v>54</v>
      </c>
      <c r="E57" s="310" t="s">
        <v>1092</v>
      </c>
      <c r="F57" s="8" t="s">
        <v>1093</v>
      </c>
      <c r="G57" s="526" t="s">
        <v>1094</v>
      </c>
    </row>
    <row r="58" spans="2:7" ht="16" customHeight="1" x14ac:dyDescent="0.2">
      <c r="B58" s="3"/>
      <c r="C58" s="46"/>
      <c r="D58" s="8">
        <v>55</v>
      </c>
      <c r="E58" s="310" t="s">
        <v>1095</v>
      </c>
      <c r="F58" s="8" t="s">
        <v>1096</v>
      </c>
      <c r="G58" s="526" t="s">
        <v>1097</v>
      </c>
    </row>
    <row r="59" spans="2:7" ht="16" customHeight="1" x14ac:dyDescent="0.2">
      <c r="B59" s="3"/>
      <c r="C59" s="46"/>
      <c r="D59" s="8">
        <v>56</v>
      </c>
      <c r="E59" s="310" t="s">
        <v>1098</v>
      </c>
      <c r="F59" s="8" t="s">
        <v>1099</v>
      </c>
      <c r="G59" s="526" t="s">
        <v>1100</v>
      </c>
    </row>
    <row r="60" spans="2:7" ht="16" customHeight="1" x14ac:dyDescent="0.2">
      <c r="B60" s="3"/>
      <c r="C60" s="46"/>
      <c r="D60" s="8">
        <v>57</v>
      </c>
      <c r="E60" s="310" t="s">
        <v>1101</v>
      </c>
      <c r="F60" s="8" t="s">
        <v>1102</v>
      </c>
      <c r="G60" s="526" t="s">
        <v>1103</v>
      </c>
    </row>
    <row r="61" spans="2:7" ht="16" customHeight="1" x14ac:dyDescent="0.2">
      <c r="B61" s="3"/>
      <c r="C61" s="46"/>
      <c r="D61" s="8">
        <v>58</v>
      </c>
      <c r="E61" s="310" t="s">
        <v>1104</v>
      </c>
      <c r="F61" s="8" t="s">
        <v>1105</v>
      </c>
      <c r="G61" s="526" t="s">
        <v>1106</v>
      </c>
    </row>
    <row r="62" spans="2:7" ht="16" customHeight="1" x14ac:dyDescent="0.2">
      <c r="B62" s="3"/>
      <c r="C62" s="46"/>
      <c r="D62" s="8">
        <v>59</v>
      </c>
      <c r="E62" s="310" t="s">
        <v>1107</v>
      </c>
      <c r="F62" s="8" t="s">
        <v>1108</v>
      </c>
      <c r="G62" s="526" t="s">
        <v>1109</v>
      </c>
    </row>
    <row r="63" spans="2:7" ht="16" customHeight="1" x14ac:dyDescent="0.2">
      <c r="B63" s="3"/>
      <c r="C63" s="46"/>
      <c r="D63" s="8">
        <v>60</v>
      </c>
      <c r="E63" s="310" t="s">
        <v>1110</v>
      </c>
      <c r="F63" s="8" t="s">
        <v>1111</v>
      </c>
      <c r="G63" s="526" t="s">
        <v>1112</v>
      </c>
    </row>
    <row r="64" spans="2:7" ht="16" customHeight="1" x14ac:dyDescent="0.2">
      <c r="B64" s="3"/>
      <c r="C64" s="46"/>
      <c r="D64" s="8">
        <v>61</v>
      </c>
      <c r="E64" s="310" t="s">
        <v>1113</v>
      </c>
      <c r="F64" s="8" t="s">
        <v>1114</v>
      </c>
      <c r="G64" s="526" t="s">
        <v>1114</v>
      </c>
    </row>
    <row r="65" spans="2:7" ht="16" customHeight="1" x14ac:dyDescent="0.2">
      <c r="B65" s="3"/>
      <c r="C65" s="46"/>
      <c r="D65" s="8">
        <v>62</v>
      </c>
      <c r="E65" s="310" t="s">
        <v>1115</v>
      </c>
      <c r="F65" s="8" t="s">
        <v>1116</v>
      </c>
      <c r="G65" s="526" t="s">
        <v>1117</v>
      </c>
    </row>
    <row r="66" spans="2:7" ht="16" customHeight="1" x14ac:dyDescent="0.2">
      <c r="B66" s="3"/>
      <c r="C66" s="46"/>
      <c r="D66" s="8">
        <v>63</v>
      </c>
      <c r="E66" s="310" t="s">
        <v>1118</v>
      </c>
      <c r="F66" s="8" t="s">
        <v>1119</v>
      </c>
      <c r="G66" s="526" t="s">
        <v>1120</v>
      </c>
    </row>
    <row r="67" spans="2:7" ht="16" customHeight="1" x14ac:dyDescent="0.2">
      <c r="B67" s="3"/>
      <c r="C67" s="46"/>
      <c r="D67" s="8">
        <v>64</v>
      </c>
      <c r="E67" s="310" t="s">
        <v>1121</v>
      </c>
      <c r="F67" s="8" t="s">
        <v>1122</v>
      </c>
      <c r="G67" s="526" t="s">
        <v>1123</v>
      </c>
    </row>
    <row r="68" spans="2:7" ht="16" customHeight="1" x14ac:dyDescent="0.2">
      <c r="B68" s="3"/>
      <c r="C68" s="46"/>
      <c r="D68" s="8">
        <v>65</v>
      </c>
      <c r="E68" s="310" t="s">
        <v>1124</v>
      </c>
      <c r="F68" s="8" t="s">
        <v>1125</v>
      </c>
      <c r="G68" s="526" t="s">
        <v>1126</v>
      </c>
    </row>
    <row r="69" spans="2:7" ht="16" customHeight="1" x14ac:dyDescent="0.2">
      <c r="B69" s="3"/>
      <c r="C69" s="46"/>
      <c r="D69" s="8">
        <v>66</v>
      </c>
      <c r="E69" s="310" t="s">
        <v>1127</v>
      </c>
      <c r="F69" s="8" t="s">
        <v>1128</v>
      </c>
      <c r="G69" s="526" t="s">
        <v>1129</v>
      </c>
    </row>
    <row r="70" spans="2:7" ht="16" customHeight="1" x14ac:dyDescent="0.2">
      <c r="B70" s="3"/>
      <c r="C70" s="46"/>
      <c r="D70" s="8">
        <v>67</v>
      </c>
      <c r="E70" s="310" t="s">
        <v>1130</v>
      </c>
      <c r="F70" s="8" t="s">
        <v>1131</v>
      </c>
      <c r="G70" s="526" t="s">
        <v>1132</v>
      </c>
    </row>
    <row r="71" spans="2:7" ht="16" customHeight="1" x14ac:dyDescent="0.2">
      <c r="B71" s="3"/>
      <c r="C71" s="345"/>
      <c r="D71" s="8">
        <v>68</v>
      </c>
      <c r="E71" s="310" t="s">
        <v>1133</v>
      </c>
      <c r="F71" s="45" t="s">
        <v>1134</v>
      </c>
      <c r="G71" s="527" t="s">
        <v>1135</v>
      </c>
    </row>
    <row r="72" spans="2:7" ht="16" customHeight="1" x14ac:dyDescent="0.2">
      <c r="B72" s="3"/>
      <c r="C72" s="46"/>
      <c r="D72" s="8">
        <v>69</v>
      </c>
      <c r="E72" s="310" t="s">
        <v>1136</v>
      </c>
      <c r="F72" s="8" t="s">
        <v>1137</v>
      </c>
      <c r="G72" s="526" t="s">
        <v>1138</v>
      </c>
    </row>
    <row r="73" spans="2:7" ht="16" customHeight="1" x14ac:dyDescent="0.2">
      <c r="B73" s="3"/>
      <c r="C73" s="46"/>
      <c r="D73" s="8">
        <v>70</v>
      </c>
      <c r="E73" s="310" t="s">
        <v>1139</v>
      </c>
      <c r="F73" s="8" t="s">
        <v>1140</v>
      </c>
      <c r="G73" s="526" t="s">
        <v>1141</v>
      </c>
    </row>
    <row r="74" spans="2:7" ht="16" customHeight="1" x14ac:dyDescent="0.2">
      <c r="B74" s="3"/>
      <c r="C74" s="46"/>
      <c r="D74" s="8">
        <v>71</v>
      </c>
      <c r="E74" s="310" t="s">
        <v>1142</v>
      </c>
      <c r="F74" s="8" t="s">
        <v>1143</v>
      </c>
      <c r="G74" s="526" t="s">
        <v>1144</v>
      </c>
    </row>
    <row r="75" spans="2:7" ht="16" customHeight="1" x14ac:dyDescent="0.2">
      <c r="B75" s="3"/>
      <c r="C75" s="46"/>
      <c r="D75" s="8">
        <v>72</v>
      </c>
      <c r="E75" s="310" t="s">
        <v>1145</v>
      </c>
      <c r="F75" s="8" t="s">
        <v>1146</v>
      </c>
      <c r="G75" s="526" t="s">
        <v>1147</v>
      </c>
    </row>
    <row r="76" spans="2:7" ht="16" customHeight="1" x14ac:dyDescent="0.2">
      <c r="B76" s="3"/>
      <c r="C76" s="46"/>
      <c r="D76" s="8">
        <v>73</v>
      </c>
      <c r="E76" s="310" t="s">
        <v>1148</v>
      </c>
      <c r="F76" s="8" t="s">
        <v>1149</v>
      </c>
      <c r="G76" s="526" t="s">
        <v>1150</v>
      </c>
    </row>
    <row r="77" spans="2:7" ht="16" customHeight="1" x14ac:dyDescent="0.2">
      <c r="B77" s="3"/>
      <c r="C77" s="46"/>
      <c r="D77" s="8">
        <v>74</v>
      </c>
      <c r="E77" s="310" t="s">
        <v>1151</v>
      </c>
      <c r="F77" s="8" t="s">
        <v>1152</v>
      </c>
      <c r="G77" s="526" t="s">
        <v>1153</v>
      </c>
    </row>
    <row r="78" spans="2:7" ht="16" customHeight="1" x14ac:dyDescent="0.2">
      <c r="B78" s="3"/>
      <c r="C78" s="46"/>
      <c r="D78" s="8">
        <v>75</v>
      </c>
      <c r="E78" s="310" t="s">
        <v>1154</v>
      </c>
      <c r="F78" s="8" t="s">
        <v>1155</v>
      </c>
      <c r="G78" s="526" t="s">
        <v>1156</v>
      </c>
    </row>
    <row r="79" spans="2:7" ht="16" customHeight="1" x14ac:dyDescent="0.2">
      <c r="B79" s="3"/>
      <c r="C79" s="46"/>
      <c r="D79" s="8">
        <v>76</v>
      </c>
      <c r="E79" s="310" t="s">
        <v>1157</v>
      </c>
      <c r="F79" s="8" t="s">
        <v>1158</v>
      </c>
      <c r="G79" s="526" t="s">
        <v>1159</v>
      </c>
    </row>
    <row r="80" spans="2:7" ht="16" customHeight="1" x14ac:dyDescent="0.2">
      <c r="B80" s="3"/>
      <c r="C80" s="345"/>
      <c r="D80" s="8">
        <v>77</v>
      </c>
      <c r="E80" s="310" t="s">
        <v>1160</v>
      </c>
      <c r="F80" s="45" t="s">
        <v>1161</v>
      </c>
      <c r="G80" s="527" t="s">
        <v>1162</v>
      </c>
    </row>
    <row r="81" spans="2:7" ht="16" customHeight="1" x14ac:dyDescent="0.2">
      <c r="B81" s="3"/>
      <c r="C81" s="46"/>
      <c r="D81" s="8">
        <v>78</v>
      </c>
      <c r="E81" s="310" t="s">
        <v>1163</v>
      </c>
      <c r="F81" s="8" t="s">
        <v>1164</v>
      </c>
      <c r="G81" s="526" t="s">
        <v>1165</v>
      </c>
    </row>
    <row r="82" spans="2:7" ht="16" customHeight="1" x14ac:dyDescent="0.2">
      <c r="B82" s="3"/>
      <c r="C82" s="46"/>
      <c r="D82" s="8">
        <v>79</v>
      </c>
      <c r="E82" s="310" t="s">
        <v>1166</v>
      </c>
      <c r="F82" s="8" t="s">
        <v>1167</v>
      </c>
      <c r="G82" s="526" t="s">
        <v>1168</v>
      </c>
    </row>
    <row r="83" spans="2:7" ht="16" customHeight="1" x14ac:dyDescent="0.2">
      <c r="B83" s="3"/>
      <c r="C83" s="46"/>
      <c r="D83" s="8">
        <v>80</v>
      </c>
      <c r="E83" s="310" t="s">
        <v>1169</v>
      </c>
      <c r="F83" s="8" t="s">
        <v>1170</v>
      </c>
      <c r="G83" s="526" t="s">
        <v>1171</v>
      </c>
    </row>
    <row r="84" spans="2:7" ht="16" customHeight="1" x14ac:dyDescent="0.2">
      <c r="B84" s="3"/>
      <c r="C84" s="46"/>
      <c r="D84" s="8">
        <v>81</v>
      </c>
      <c r="E84" s="310" t="s">
        <v>1172</v>
      </c>
      <c r="F84" s="8" t="s">
        <v>1173</v>
      </c>
      <c r="G84" s="526" t="s">
        <v>1174</v>
      </c>
    </row>
    <row r="85" spans="2:7" ht="16" customHeight="1" x14ac:dyDescent="0.2">
      <c r="B85" s="3"/>
      <c r="C85" s="46"/>
      <c r="D85" s="8">
        <v>82</v>
      </c>
      <c r="E85" s="310" t="s">
        <v>1175</v>
      </c>
      <c r="F85" s="8" t="s">
        <v>1176</v>
      </c>
      <c r="G85" s="526" t="s">
        <v>1177</v>
      </c>
    </row>
    <row r="86" spans="2:7" ht="16" customHeight="1" x14ac:dyDescent="0.2">
      <c r="B86" s="3"/>
      <c r="C86" s="345"/>
      <c r="D86" s="8">
        <v>83</v>
      </c>
      <c r="E86" s="310" t="s">
        <v>1178</v>
      </c>
      <c r="F86" s="45" t="s">
        <v>1179</v>
      </c>
      <c r="G86" s="527" t="s">
        <v>1180</v>
      </c>
    </row>
    <row r="87" spans="2:7" ht="16" customHeight="1" x14ac:dyDescent="0.2">
      <c r="B87" s="3"/>
      <c r="C87" s="46"/>
      <c r="D87" s="8">
        <v>84</v>
      </c>
      <c r="E87" s="310" t="s">
        <v>1181</v>
      </c>
      <c r="F87" s="8" t="s">
        <v>1182</v>
      </c>
      <c r="G87" s="526" t="s">
        <v>1183</v>
      </c>
    </row>
    <row r="88" spans="2:7" ht="16" customHeight="1" x14ac:dyDescent="0.2">
      <c r="B88" s="3"/>
      <c r="C88" s="46"/>
      <c r="D88" s="8">
        <v>85</v>
      </c>
      <c r="E88" s="310" t="s">
        <v>1184</v>
      </c>
      <c r="F88" s="8" t="s">
        <v>1185</v>
      </c>
      <c r="G88" s="526" t="s">
        <v>1186</v>
      </c>
    </row>
    <row r="89" spans="2:7" ht="16" customHeight="1" x14ac:dyDescent="0.2">
      <c r="B89" s="3"/>
      <c r="C89" s="46"/>
      <c r="D89" s="8">
        <v>86</v>
      </c>
      <c r="E89" s="310" t="s">
        <v>1187</v>
      </c>
      <c r="F89" s="8" t="s">
        <v>1188</v>
      </c>
      <c r="G89" s="526" t="s">
        <v>1188</v>
      </c>
    </row>
    <row r="90" spans="2:7" ht="16" customHeight="1" x14ac:dyDescent="0.2">
      <c r="B90" s="3"/>
      <c r="C90" s="46"/>
      <c r="D90" s="8">
        <v>87</v>
      </c>
      <c r="E90" s="310" t="s">
        <v>1189</v>
      </c>
      <c r="F90" s="8" t="s">
        <v>1190</v>
      </c>
      <c r="G90" s="526" t="s">
        <v>1191</v>
      </c>
    </row>
    <row r="91" spans="2:7" ht="16" customHeight="1" x14ac:dyDescent="0.2">
      <c r="B91" s="3"/>
      <c r="C91" s="46"/>
      <c r="D91" s="8">
        <v>88</v>
      </c>
      <c r="E91" s="310" t="s">
        <v>1192</v>
      </c>
      <c r="F91" s="8" t="s">
        <v>1193</v>
      </c>
      <c r="G91" s="526" t="s">
        <v>1194</v>
      </c>
    </row>
    <row r="92" spans="2:7" ht="16" customHeight="1" x14ac:dyDescent="0.2">
      <c r="B92" s="3"/>
      <c r="C92" s="46"/>
      <c r="D92" s="8">
        <v>89</v>
      </c>
      <c r="E92" s="310" t="s">
        <v>1195</v>
      </c>
      <c r="F92" s="8" t="s">
        <v>1196</v>
      </c>
      <c r="G92" s="526" t="s">
        <v>1196</v>
      </c>
    </row>
    <row r="93" spans="2:7" ht="16" customHeight="1" x14ac:dyDescent="0.2">
      <c r="B93" s="3"/>
      <c r="C93" s="345"/>
      <c r="D93" s="8">
        <v>90</v>
      </c>
      <c r="E93" s="310" t="s">
        <v>1197</v>
      </c>
      <c r="F93" s="45" t="s">
        <v>1198</v>
      </c>
      <c r="G93" s="527" t="s">
        <v>1199</v>
      </c>
    </row>
    <row r="94" spans="2:7" x14ac:dyDescent="0.2">
      <c r="C94" s="6"/>
      <c r="D94" s="313"/>
      <c r="E94" s="313"/>
      <c r="F94" s="7"/>
      <c r="G94" s="528"/>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10" zoomScaleNormal="110" workbookViewId="0">
      <selection activeCell="E6" sqref="E6"/>
    </sheetView>
  </sheetViews>
  <sheetFormatPr baseColWidth="10" defaultColWidth="10.83203125" defaultRowHeight="16" x14ac:dyDescent="0.2"/>
  <cols>
    <col min="1" max="1" width="10.83203125" style="451" customWidth="1"/>
    <col min="2" max="2" width="8.83203125" style="451" customWidth="1"/>
    <col min="3" max="3" width="27.6640625" style="451" customWidth="1"/>
    <col min="4" max="5" width="28" style="451" customWidth="1"/>
    <col min="6" max="7" width="51.1640625" style="524" customWidth="1"/>
    <col min="8" max="9" width="22.83203125" style="451" customWidth="1"/>
    <col min="10" max="11" width="10.83203125" style="451" customWidth="1"/>
    <col min="12" max="12" width="44" style="451" customWidth="1"/>
    <col min="13" max="13" width="10.83203125" style="451" customWidth="1"/>
    <col min="14" max="16384" width="10.83203125" style="451"/>
  </cols>
  <sheetData>
    <row r="1" spans="1:13" ht="40" customHeight="1" thickBot="1" x14ac:dyDescent="0.25">
      <c r="C1" s="452"/>
      <c r="D1" s="452"/>
      <c r="E1" s="452"/>
      <c r="F1" s="453"/>
      <c r="G1" s="453"/>
      <c r="H1" s="452"/>
      <c r="I1" s="452"/>
    </row>
    <row r="2" spans="1:13" ht="17" customHeight="1" thickBot="1" x14ac:dyDescent="0.25">
      <c r="A2" s="454"/>
      <c r="B2" s="455"/>
      <c r="C2" s="456" t="s">
        <v>1200</v>
      </c>
      <c r="D2" s="457" t="s">
        <v>1201</v>
      </c>
      <c r="E2" s="458" t="s">
        <v>1202</v>
      </c>
      <c r="F2" s="459" t="s">
        <v>1203</v>
      </c>
      <c r="G2" s="460" t="s">
        <v>1204</v>
      </c>
      <c r="H2" s="457" t="s">
        <v>1205</v>
      </c>
      <c r="I2" s="461" t="s">
        <v>1206</v>
      </c>
      <c r="J2" s="462"/>
    </row>
    <row r="3" spans="1:13" ht="32" customHeight="1" x14ac:dyDescent="0.2">
      <c r="A3" s="454"/>
      <c r="B3" s="604" t="s">
        <v>1207</v>
      </c>
      <c r="C3" s="463" t="s">
        <v>1208</v>
      </c>
      <c r="D3" s="582" t="s">
        <v>1209</v>
      </c>
      <c r="E3" s="446" t="s">
        <v>1210</v>
      </c>
      <c r="F3" s="464" t="s">
        <v>1211</v>
      </c>
      <c r="G3" s="465" t="s">
        <v>1212</v>
      </c>
      <c r="H3" s="466" t="s">
        <v>1213</v>
      </c>
      <c r="I3" s="467" t="s">
        <v>1213</v>
      </c>
      <c r="J3" s="462"/>
    </row>
    <row r="4" spans="1:13" ht="32" customHeight="1" x14ac:dyDescent="0.2">
      <c r="A4" s="454"/>
      <c r="B4" s="603"/>
      <c r="C4" s="468" t="s">
        <v>1214</v>
      </c>
      <c r="D4" s="583" t="s">
        <v>1215</v>
      </c>
      <c r="E4" s="446" t="s">
        <v>1216</v>
      </c>
      <c r="F4" s="469" t="s">
        <v>1217</v>
      </c>
      <c r="G4" s="465" t="s">
        <v>1218</v>
      </c>
      <c r="H4" s="470" t="s">
        <v>1219</v>
      </c>
      <c r="I4" s="471" t="s">
        <v>1219</v>
      </c>
      <c r="J4" s="462"/>
    </row>
    <row r="5" spans="1:13" ht="80" customHeight="1" x14ac:dyDescent="0.2">
      <c r="A5" s="454"/>
      <c r="B5" s="603"/>
      <c r="C5" s="468" t="s">
        <v>1220</v>
      </c>
      <c r="D5" s="584" t="s">
        <v>1221</v>
      </c>
      <c r="E5" s="446" t="s">
        <v>1222</v>
      </c>
      <c r="F5" s="469" t="s">
        <v>1223</v>
      </c>
      <c r="G5" s="465" t="s">
        <v>1224</v>
      </c>
      <c r="H5" s="470" t="s">
        <v>1221</v>
      </c>
      <c r="I5" s="471" t="s">
        <v>1225</v>
      </c>
      <c r="J5" s="462"/>
    </row>
    <row r="6" spans="1:13" ht="76" customHeight="1" x14ac:dyDescent="0.2">
      <c r="A6" s="454"/>
      <c r="B6" s="603"/>
      <c r="C6" s="468" t="s">
        <v>1226</v>
      </c>
      <c r="D6" s="549" t="s">
        <v>1227</v>
      </c>
      <c r="E6" s="605" t="s">
        <v>1228</v>
      </c>
      <c r="F6" s="472" t="s">
        <v>1229</v>
      </c>
      <c r="G6" s="473" t="s">
        <v>1230</v>
      </c>
      <c r="H6" s="474" t="s">
        <v>1231</v>
      </c>
      <c r="I6" s="475" t="s">
        <v>1232</v>
      </c>
      <c r="J6" s="462"/>
      <c r="K6" s="550"/>
    </row>
    <row r="7" spans="1:13" ht="76" customHeight="1" x14ac:dyDescent="0.2">
      <c r="A7" s="454"/>
      <c r="B7" s="603"/>
      <c r="C7" s="468" t="s">
        <v>1233</v>
      </c>
      <c r="D7" s="476" t="str">
        <f>IF(E7="Pas encore en saison","Not yet in season",IF(E7="Préparation du terrain","Land preparation",IF(E7="Semis / plantation","Planting",IF(E7="Début de la croissance","Early growing",IF(E7="Croissance","Growing",IF(E7="Proche de la récolte","Maturing",IF(E7="Récolte","Harvesting",IF(E7="Post-récolte","Recently finished",""))))))))</f>
        <v>Early growing</v>
      </c>
      <c r="E7" s="447" t="s">
        <v>1234</v>
      </c>
      <c r="F7" s="472" t="s">
        <v>1235</v>
      </c>
      <c r="G7" s="473" t="s">
        <v>1236</v>
      </c>
      <c r="H7" s="474" t="s">
        <v>1237</v>
      </c>
      <c r="I7" s="475" t="s">
        <v>1238</v>
      </c>
      <c r="J7" s="462"/>
    </row>
    <row r="8" spans="1:13" ht="76" customHeight="1" x14ac:dyDescent="0.2">
      <c r="A8" s="454"/>
      <c r="B8" s="603"/>
      <c r="C8" s="477" t="s">
        <v>1239</v>
      </c>
      <c r="D8" s="448"/>
      <c r="E8" s="449"/>
      <c r="F8" s="478" t="s">
        <v>1240</v>
      </c>
      <c r="G8" s="479" t="s">
        <v>1241</v>
      </c>
      <c r="H8" s="474" t="s">
        <v>1242</v>
      </c>
      <c r="I8" s="475" t="s">
        <v>1242</v>
      </c>
      <c r="J8" s="462"/>
    </row>
    <row r="9" spans="1:13" ht="50.25" customHeight="1" thickBot="1" x14ac:dyDescent="0.25">
      <c r="A9" s="454"/>
      <c r="B9" s="601"/>
      <c r="C9" s="480" t="s">
        <v>1243</v>
      </c>
      <c r="D9" s="481" t="str">
        <f>IF(E9&lt;&gt;"",E9,"")</f>
        <v/>
      </c>
      <c r="E9" s="450"/>
      <c r="F9" s="482" t="s">
        <v>1244</v>
      </c>
      <c r="G9" s="483" t="s">
        <v>1245</v>
      </c>
      <c r="H9" s="484">
        <v>0.2</v>
      </c>
      <c r="I9" s="485">
        <v>0.2</v>
      </c>
      <c r="J9" s="462"/>
    </row>
    <row r="10" spans="1:13" ht="32" customHeight="1" x14ac:dyDescent="0.2">
      <c r="A10" s="454"/>
      <c r="B10" s="604" t="s">
        <v>1246</v>
      </c>
      <c r="C10" s="486" t="s">
        <v>1247</v>
      </c>
      <c r="D10" s="532" t="s">
        <v>1248</v>
      </c>
      <c r="E10" s="532" t="s">
        <v>1248</v>
      </c>
      <c r="F10" s="487" t="s">
        <v>1249</v>
      </c>
      <c r="G10" s="488" t="s">
        <v>1250</v>
      </c>
      <c r="H10" s="489" t="s">
        <v>1251</v>
      </c>
      <c r="I10" s="490" t="s">
        <v>1251</v>
      </c>
      <c r="J10" s="462"/>
    </row>
    <row r="11" spans="1:13" ht="94" customHeight="1" x14ac:dyDescent="0.2">
      <c r="A11" s="454"/>
      <c r="B11" s="603"/>
      <c r="C11" s="491" t="s">
        <v>1252</v>
      </c>
      <c r="D11" s="556">
        <v>4500</v>
      </c>
      <c r="E11" s="556">
        <v>4500</v>
      </c>
      <c r="F11" s="492" t="s">
        <v>1253</v>
      </c>
      <c r="G11" s="493" t="s">
        <v>1254</v>
      </c>
      <c r="H11" s="494">
        <v>5</v>
      </c>
      <c r="I11" s="495">
        <v>5</v>
      </c>
      <c r="J11" s="462"/>
      <c r="L11" s="452"/>
    </row>
    <row r="12" spans="1:13" ht="158" customHeight="1" x14ac:dyDescent="0.2">
      <c r="A12" s="454"/>
      <c r="B12" s="603"/>
      <c r="C12" s="468" t="s">
        <v>1255</v>
      </c>
      <c r="D12" s="556">
        <v>3000000</v>
      </c>
      <c r="E12" s="556">
        <v>3000000</v>
      </c>
      <c r="F12" s="472" t="s">
        <v>1256</v>
      </c>
      <c r="G12" s="496" t="s">
        <v>1257</v>
      </c>
      <c r="H12" s="497">
        <v>5000000</v>
      </c>
      <c r="I12" s="495">
        <v>5000000</v>
      </c>
      <c r="J12" s="462"/>
      <c r="K12" s="454"/>
      <c r="L12" s="498"/>
      <c r="M12" s="462"/>
    </row>
    <row r="13" spans="1:13" ht="116.25" customHeight="1" x14ac:dyDescent="0.2">
      <c r="A13" s="454"/>
      <c r="B13" s="603"/>
      <c r="C13" s="491" t="s">
        <v>1258</v>
      </c>
      <c r="D13" s="556">
        <v>450000</v>
      </c>
      <c r="E13" s="556">
        <v>450000</v>
      </c>
      <c r="F13" s="478" t="s">
        <v>1259</v>
      </c>
      <c r="G13" s="493" t="s">
        <v>1260</v>
      </c>
      <c r="H13" s="497">
        <v>1200000</v>
      </c>
      <c r="I13" s="495">
        <v>1200000</v>
      </c>
      <c r="J13" s="462"/>
      <c r="L13" s="499"/>
    </row>
    <row r="14" spans="1:13" ht="50.25" customHeight="1" x14ac:dyDescent="0.2">
      <c r="A14" s="454"/>
      <c r="B14" s="603"/>
      <c r="C14" s="477" t="s">
        <v>1261</v>
      </c>
      <c r="D14" s="559" t="s">
        <v>1262</v>
      </c>
      <c r="E14" s="557" t="s">
        <v>1263</v>
      </c>
      <c r="F14" s="472" t="s">
        <v>1264</v>
      </c>
      <c r="G14" s="479" t="s">
        <v>1265</v>
      </c>
      <c r="H14" s="474" t="s">
        <v>1266</v>
      </c>
      <c r="I14" s="475" t="s">
        <v>1267</v>
      </c>
      <c r="J14" s="462"/>
    </row>
    <row r="15" spans="1:13" ht="50.25" customHeight="1" thickBot="1" x14ac:dyDescent="0.25">
      <c r="A15" s="454"/>
      <c r="B15" s="601"/>
      <c r="C15" s="500" t="s">
        <v>1268</v>
      </c>
      <c r="D15" s="560" t="s">
        <v>1269</v>
      </c>
      <c r="E15" s="558" t="s">
        <v>1270</v>
      </c>
      <c r="F15" s="501" t="s">
        <v>1271</v>
      </c>
      <c r="G15" s="502" t="s">
        <v>1272</v>
      </c>
      <c r="H15" s="503" t="s">
        <v>1273</v>
      </c>
      <c r="I15" s="504" t="s">
        <v>1274</v>
      </c>
      <c r="J15" s="462"/>
    </row>
    <row r="16" spans="1:13" ht="5.5" customHeight="1" thickBot="1" x14ac:dyDescent="0.25">
      <c r="A16" s="454"/>
      <c r="B16" s="505"/>
      <c r="C16" s="506"/>
      <c r="D16" s="551"/>
      <c r="E16" s="552"/>
      <c r="F16" s="507"/>
      <c r="G16" s="508"/>
      <c r="H16" s="509"/>
      <c r="I16" s="510"/>
      <c r="J16" s="462"/>
    </row>
    <row r="17" spans="1:10" ht="176" customHeight="1" x14ac:dyDescent="0.2">
      <c r="A17" s="454"/>
      <c r="B17" s="602" t="s">
        <v>1275</v>
      </c>
      <c r="C17" s="511" t="s">
        <v>1276</v>
      </c>
      <c r="D17" s="512">
        <f>IF(E17="","",E17)</f>
        <v>0.91</v>
      </c>
      <c r="E17" s="553">
        <v>0.91</v>
      </c>
      <c r="F17" s="513" t="s">
        <v>1277</v>
      </c>
      <c r="G17" s="514" t="s">
        <v>1278</v>
      </c>
      <c r="H17" s="442">
        <v>0.91</v>
      </c>
      <c r="I17" s="445">
        <v>0.91</v>
      </c>
      <c r="J17" s="462"/>
    </row>
    <row r="18" spans="1:10" ht="160" customHeight="1" x14ac:dyDescent="0.2">
      <c r="A18" s="454"/>
      <c r="B18" s="603"/>
      <c r="C18" s="515" t="s">
        <v>1279</v>
      </c>
      <c r="D18" s="516">
        <f>IF(E18="","",E18)</f>
        <v>0.91</v>
      </c>
      <c r="E18" s="554">
        <v>0.91</v>
      </c>
      <c r="F18" s="517" t="s">
        <v>1280</v>
      </c>
      <c r="G18" s="518" t="s">
        <v>1281</v>
      </c>
      <c r="H18" s="443">
        <v>0.91</v>
      </c>
      <c r="I18" s="103">
        <v>0.91</v>
      </c>
      <c r="J18" s="462"/>
    </row>
    <row r="19" spans="1:10" ht="145" customHeight="1" thickBot="1" x14ac:dyDescent="0.25">
      <c r="A19" s="454"/>
      <c r="B19" s="601"/>
      <c r="C19" s="519" t="s">
        <v>1282</v>
      </c>
      <c r="D19" s="520">
        <f>IF(E19="","",E19)</f>
        <v>0.05</v>
      </c>
      <c r="E19" s="555">
        <v>0.05</v>
      </c>
      <c r="F19" s="521" t="s">
        <v>1283</v>
      </c>
      <c r="G19" s="522" t="s">
        <v>1284</v>
      </c>
      <c r="H19" s="444">
        <v>0.05</v>
      </c>
      <c r="I19" s="104">
        <v>0.05</v>
      </c>
      <c r="J19" s="462"/>
    </row>
    <row r="20" spans="1:10" x14ac:dyDescent="0.2">
      <c r="B20" s="499"/>
      <c r="C20" s="499"/>
      <c r="D20" s="499"/>
      <c r="E20" s="499"/>
      <c r="F20" s="523"/>
      <c r="G20" s="523"/>
      <c r="H20" s="499"/>
      <c r="I20" s="499"/>
    </row>
  </sheetData>
  <sheetProtection algorithmName="SHA-512" hashValue="NL9ehGRsX1X7tG5oq5CJOih251qcy8MDWWFTXPKihzMtiNS/czejv21jyQPpNcs0vmsw+0jlJLp01KUfH035Nw==" saltValue="+ROyVFtrAq2UMLOPx/xxQw==" spinCount="100000" sheet="1" objects="1" scenarios="1"/>
  <mergeCells count="3">
    <mergeCell ref="B17:B19"/>
    <mergeCell ref="B3:B9"/>
    <mergeCell ref="B10:B15"/>
  </mergeCells>
  <dataValidations count="2">
    <dataValidation type="list" showInputMessage="1" showErrorMessage="1" sqref="E5" xr:uid="{00000000-0002-0000-0300-000000000000}">
      <formula1>"l'année dernière, une année normale"</formula1>
    </dataValidation>
    <dataValidation type="list" showInputMessage="1" showErrorMessage="1" sqref="E7" xr:uid="{00000000-0002-0000-0300-000001000000}">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selection sqref="A1:XFD1048576"/>
    </sheetView>
  </sheetViews>
  <sheetFormatPr baseColWidth="10" defaultColWidth="9" defaultRowHeight="15" x14ac:dyDescent="0.2"/>
  <cols>
    <col min="1" max="2" width="15.5" bestFit="1" customWidth="1"/>
    <col min="3" max="3" width="11.1640625" bestFit="1" customWidth="1"/>
    <col min="4" max="4" width="10.6640625" bestFit="1" customWidth="1"/>
    <col min="5" max="5" width="11.1640625" bestFit="1" customWidth="1"/>
    <col min="6" max="6" width="10.6640625" bestFit="1" customWidth="1"/>
    <col min="7" max="7" width="9.83203125" bestFit="1" customWidth="1"/>
  </cols>
  <sheetData>
    <row r="1" spans="1:7" x14ac:dyDescent="0.2">
      <c r="A1" s="585" t="s">
        <v>908</v>
      </c>
      <c r="B1" s="585" t="s">
        <v>1285</v>
      </c>
      <c r="C1" s="585" t="s">
        <v>1286</v>
      </c>
      <c r="D1" s="585" t="s">
        <v>907</v>
      </c>
      <c r="E1" s="585" t="s">
        <v>1287</v>
      </c>
      <c r="F1" s="585" t="s">
        <v>1288</v>
      </c>
      <c r="G1" s="585" t="s">
        <v>1289</v>
      </c>
    </row>
    <row r="2" spans="1:7" x14ac:dyDescent="0.2">
      <c r="A2" t="s">
        <v>1290</v>
      </c>
      <c r="B2" t="s">
        <v>1290</v>
      </c>
      <c r="C2" t="s">
        <v>1291</v>
      </c>
      <c r="D2" t="s">
        <v>1292</v>
      </c>
      <c r="E2" t="s">
        <v>1293</v>
      </c>
      <c r="F2" t="s">
        <v>1294</v>
      </c>
      <c r="G2" t="s">
        <v>1295</v>
      </c>
    </row>
    <row r="3" spans="1:7" x14ac:dyDescent="0.2">
      <c r="A3" t="s">
        <v>1296</v>
      </c>
      <c r="B3" t="s">
        <v>1296</v>
      </c>
      <c r="C3" t="s">
        <v>1297</v>
      </c>
      <c r="D3" t="s">
        <v>1292</v>
      </c>
      <c r="E3" t="s">
        <v>1293</v>
      </c>
      <c r="F3" t="s">
        <v>1294</v>
      </c>
      <c r="G3" t="s">
        <v>1295</v>
      </c>
    </row>
    <row r="4" spans="1:7" x14ac:dyDescent="0.2">
      <c r="A4" t="s">
        <v>1298</v>
      </c>
      <c r="B4" t="s">
        <v>1298</v>
      </c>
      <c r="C4" t="s">
        <v>1299</v>
      </c>
      <c r="D4" t="s">
        <v>1292</v>
      </c>
      <c r="E4" t="s">
        <v>1293</v>
      </c>
      <c r="F4" t="s">
        <v>1294</v>
      </c>
      <c r="G4" t="s">
        <v>1295</v>
      </c>
    </row>
    <row r="5" spans="1:7" x14ac:dyDescent="0.2">
      <c r="A5" t="s">
        <v>1300</v>
      </c>
      <c r="B5" t="s">
        <v>1300</v>
      </c>
      <c r="C5" t="s">
        <v>1301</v>
      </c>
      <c r="D5" t="s">
        <v>1292</v>
      </c>
      <c r="E5" t="s">
        <v>1293</v>
      </c>
      <c r="F5" t="s">
        <v>1294</v>
      </c>
      <c r="G5" t="s">
        <v>1295</v>
      </c>
    </row>
    <row r="6" spans="1:7" x14ac:dyDescent="0.2">
      <c r="A6" t="s">
        <v>1302</v>
      </c>
      <c r="B6" t="s">
        <v>1302</v>
      </c>
      <c r="C6" t="s">
        <v>1303</v>
      </c>
      <c r="D6" t="s">
        <v>1292</v>
      </c>
      <c r="E6" t="s">
        <v>1293</v>
      </c>
      <c r="F6" t="s">
        <v>1294</v>
      </c>
      <c r="G6" t="s">
        <v>1295</v>
      </c>
    </row>
    <row r="7" spans="1:7" x14ac:dyDescent="0.2">
      <c r="A7" t="s">
        <v>1304</v>
      </c>
      <c r="B7" t="s">
        <v>1304</v>
      </c>
      <c r="C7" t="s">
        <v>1305</v>
      </c>
      <c r="D7" t="s">
        <v>1292</v>
      </c>
      <c r="E7" t="s">
        <v>1293</v>
      </c>
      <c r="F7" t="s">
        <v>1294</v>
      </c>
      <c r="G7" t="s">
        <v>1295</v>
      </c>
    </row>
    <row r="8" spans="1:7" x14ac:dyDescent="0.2">
      <c r="A8" t="s">
        <v>1306</v>
      </c>
      <c r="B8" t="s">
        <v>1306</v>
      </c>
      <c r="C8" t="s">
        <v>1307</v>
      </c>
      <c r="D8" t="s">
        <v>1308</v>
      </c>
      <c r="E8" t="s">
        <v>1309</v>
      </c>
      <c r="F8" t="s">
        <v>1294</v>
      </c>
      <c r="G8" t="s">
        <v>1295</v>
      </c>
    </row>
    <row r="9" spans="1:7" x14ac:dyDescent="0.2">
      <c r="A9" t="s">
        <v>1308</v>
      </c>
      <c r="B9" t="s">
        <v>1308</v>
      </c>
      <c r="C9" t="s">
        <v>1310</v>
      </c>
      <c r="D9" t="s">
        <v>1308</v>
      </c>
      <c r="E9" t="s">
        <v>1309</v>
      </c>
      <c r="F9" t="s">
        <v>1294</v>
      </c>
      <c r="G9" t="s">
        <v>1295</v>
      </c>
    </row>
    <row r="10" spans="1:7" x14ac:dyDescent="0.2">
      <c r="A10" t="s">
        <v>1311</v>
      </c>
      <c r="B10" t="s">
        <v>1311</v>
      </c>
      <c r="C10" t="s">
        <v>1312</v>
      </c>
      <c r="D10" t="s">
        <v>1308</v>
      </c>
      <c r="E10" t="s">
        <v>1309</v>
      </c>
      <c r="F10" t="s">
        <v>1294</v>
      </c>
      <c r="G10" t="s">
        <v>1295</v>
      </c>
    </row>
    <row r="11" spans="1:7" x14ac:dyDescent="0.2">
      <c r="A11" t="s">
        <v>1313</v>
      </c>
      <c r="B11" t="s">
        <v>1313</v>
      </c>
      <c r="C11" t="s">
        <v>1314</v>
      </c>
      <c r="D11" t="s">
        <v>1308</v>
      </c>
      <c r="E11" t="s">
        <v>1309</v>
      </c>
      <c r="F11" t="s">
        <v>1294</v>
      </c>
      <c r="G11" t="s">
        <v>1295</v>
      </c>
    </row>
    <row r="12" spans="1:7" x14ac:dyDescent="0.2">
      <c r="A12" t="s">
        <v>1315</v>
      </c>
      <c r="B12" t="s">
        <v>1315</v>
      </c>
      <c r="C12" t="s">
        <v>1316</v>
      </c>
      <c r="D12" t="s">
        <v>1308</v>
      </c>
      <c r="E12" t="s">
        <v>1309</v>
      </c>
      <c r="F12" t="s">
        <v>1294</v>
      </c>
      <c r="G12" t="s">
        <v>1295</v>
      </c>
    </row>
    <row r="13" spans="1:7" x14ac:dyDescent="0.2">
      <c r="A13" t="s">
        <v>1317</v>
      </c>
      <c r="B13" t="s">
        <v>1317</v>
      </c>
      <c r="C13" t="s">
        <v>1318</v>
      </c>
      <c r="D13" t="s">
        <v>1308</v>
      </c>
      <c r="E13" t="s">
        <v>1309</v>
      </c>
      <c r="F13" t="s">
        <v>1294</v>
      </c>
      <c r="G13" t="s">
        <v>1295</v>
      </c>
    </row>
    <row r="14" spans="1:7" x14ac:dyDescent="0.2">
      <c r="A14" t="s">
        <v>1319</v>
      </c>
      <c r="B14" t="s">
        <v>1319</v>
      </c>
      <c r="C14" t="s">
        <v>1320</v>
      </c>
      <c r="D14" t="s">
        <v>1321</v>
      </c>
      <c r="E14" t="s">
        <v>1322</v>
      </c>
      <c r="F14" t="s">
        <v>1294</v>
      </c>
      <c r="G14" t="s">
        <v>1295</v>
      </c>
    </row>
    <row r="15" spans="1:7" x14ac:dyDescent="0.2">
      <c r="A15" t="s">
        <v>1323</v>
      </c>
      <c r="B15" t="s">
        <v>1323</v>
      </c>
      <c r="C15" t="s">
        <v>1324</v>
      </c>
      <c r="D15" t="s">
        <v>1321</v>
      </c>
      <c r="E15" t="s">
        <v>1322</v>
      </c>
      <c r="F15" t="s">
        <v>1294</v>
      </c>
      <c r="G15" t="s">
        <v>1295</v>
      </c>
    </row>
    <row r="16" spans="1:7" x14ac:dyDescent="0.2">
      <c r="A16" t="s">
        <v>1325</v>
      </c>
      <c r="B16" t="s">
        <v>1325</v>
      </c>
      <c r="C16" t="s">
        <v>1326</v>
      </c>
      <c r="D16" t="s">
        <v>1321</v>
      </c>
      <c r="E16" t="s">
        <v>1322</v>
      </c>
      <c r="F16" t="s">
        <v>1294</v>
      </c>
      <c r="G16" t="s">
        <v>1295</v>
      </c>
    </row>
    <row r="17" spans="1:7" x14ac:dyDescent="0.2">
      <c r="A17" t="s">
        <v>1321</v>
      </c>
      <c r="B17" t="s">
        <v>1321</v>
      </c>
      <c r="C17" t="s">
        <v>1327</v>
      </c>
      <c r="D17" t="s">
        <v>1321</v>
      </c>
      <c r="E17" t="s">
        <v>1322</v>
      </c>
      <c r="F17" t="s">
        <v>1294</v>
      </c>
      <c r="G17" t="s">
        <v>1295</v>
      </c>
    </row>
    <row r="18" spans="1:7" x14ac:dyDescent="0.2">
      <c r="A18" t="s">
        <v>1328</v>
      </c>
      <c r="B18" t="s">
        <v>1328</v>
      </c>
      <c r="C18" t="s">
        <v>1329</v>
      </c>
      <c r="D18" t="s">
        <v>1321</v>
      </c>
      <c r="E18" t="s">
        <v>1322</v>
      </c>
      <c r="F18" t="s">
        <v>1294</v>
      </c>
      <c r="G18" t="s">
        <v>1295</v>
      </c>
    </row>
    <row r="19" spans="1:7" x14ac:dyDescent="0.2">
      <c r="A19" t="s">
        <v>1330</v>
      </c>
      <c r="B19" t="s">
        <v>1330</v>
      </c>
      <c r="C19" t="s">
        <v>1331</v>
      </c>
      <c r="D19" t="s">
        <v>1321</v>
      </c>
      <c r="E19" t="s">
        <v>1322</v>
      </c>
      <c r="F19" t="s">
        <v>1294</v>
      </c>
      <c r="G19" t="s">
        <v>1295</v>
      </c>
    </row>
    <row r="20" spans="1:7" x14ac:dyDescent="0.2">
      <c r="A20" t="s">
        <v>1332</v>
      </c>
      <c r="B20" t="s">
        <v>1332</v>
      </c>
      <c r="C20" t="s">
        <v>1333</v>
      </c>
      <c r="D20" t="s">
        <v>1321</v>
      </c>
      <c r="E20" t="s">
        <v>1322</v>
      </c>
      <c r="F20" t="s">
        <v>1294</v>
      </c>
      <c r="G20" t="s">
        <v>1295</v>
      </c>
    </row>
    <row r="21" spans="1:7" x14ac:dyDescent="0.2">
      <c r="A21" t="s">
        <v>1334</v>
      </c>
      <c r="B21" t="s">
        <v>1334</v>
      </c>
      <c r="C21" t="s">
        <v>1335</v>
      </c>
      <c r="D21" t="s">
        <v>1321</v>
      </c>
      <c r="E21" t="s">
        <v>1322</v>
      </c>
      <c r="F21" t="s">
        <v>1294</v>
      </c>
      <c r="G21" t="s">
        <v>1295</v>
      </c>
    </row>
    <row r="22" spans="1:7" x14ac:dyDescent="0.2">
      <c r="A22" t="s">
        <v>1336</v>
      </c>
      <c r="B22" t="s">
        <v>1336</v>
      </c>
      <c r="C22" t="s">
        <v>1337</v>
      </c>
      <c r="D22" t="s">
        <v>1338</v>
      </c>
      <c r="E22" t="s">
        <v>1339</v>
      </c>
      <c r="F22" t="s">
        <v>1294</v>
      </c>
      <c r="G22" t="s">
        <v>1295</v>
      </c>
    </row>
    <row r="23" spans="1:7" x14ac:dyDescent="0.2">
      <c r="A23" t="s">
        <v>1340</v>
      </c>
      <c r="B23" t="s">
        <v>1340</v>
      </c>
      <c r="C23" t="s">
        <v>1341</v>
      </c>
      <c r="D23" t="s">
        <v>1338</v>
      </c>
      <c r="E23" t="s">
        <v>1339</v>
      </c>
      <c r="F23" t="s">
        <v>1294</v>
      </c>
      <c r="G23" t="s">
        <v>1295</v>
      </c>
    </row>
    <row r="24" spans="1:7" x14ac:dyDescent="0.2">
      <c r="A24" t="s">
        <v>1342</v>
      </c>
      <c r="B24" t="s">
        <v>1342</v>
      </c>
      <c r="C24" t="s">
        <v>1343</v>
      </c>
      <c r="D24" t="s">
        <v>1338</v>
      </c>
      <c r="E24" t="s">
        <v>1339</v>
      </c>
      <c r="F24" t="s">
        <v>1294</v>
      </c>
      <c r="G24" t="s">
        <v>1295</v>
      </c>
    </row>
    <row r="25" spans="1:7" x14ac:dyDescent="0.2">
      <c r="A25" t="s">
        <v>1344</v>
      </c>
      <c r="B25" t="s">
        <v>1344</v>
      </c>
      <c r="C25" t="s">
        <v>1345</v>
      </c>
      <c r="D25" t="s">
        <v>1338</v>
      </c>
      <c r="E25" t="s">
        <v>1339</v>
      </c>
      <c r="F25" t="s">
        <v>1294</v>
      </c>
      <c r="G25" t="s">
        <v>1295</v>
      </c>
    </row>
    <row r="26" spans="1:7" x14ac:dyDescent="0.2">
      <c r="A26" t="s">
        <v>1346</v>
      </c>
      <c r="B26" t="s">
        <v>1346</v>
      </c>
      <c r="C26" t="s">
        <v>1347</v>
      </c>
      <c r="D26" t="s">
        <v>1338</v>
      </c>
      <c r="E26" t="s">
        <v>1339</v>
      </c>
      <c r="F26" t="s">
        <v>1294</v>
      </c>
      <c r="G26" t="s">
        <v>1295</v>
      </c>
    </row>
    <row r="27" spans="1:7" x14ac:dyDescent="0.2">
      <c r="A27" t="s">
        <v>1348</v>
      </c>
      <c r="B27" t="s">
        <v>1348</v>
      </c>
      <c r="C27" t="s">
        <v>1349</v>
      </c>
      <c r="D27" t="s">
        <v>1338</v>
      </c>
      <c r="E27" t="s">
        <v>1339</v>
      </c>
      <c r="F27" t="s">
        <v>1294</v>
      </c>
      <c r="G27" t="s">
        <v>1295</v>
      </c>
    </row>
    <row r="28" spans="1:7" x14ac:dyDescent="0.2">
      <c r="A28" t="s">
        <v>1350</v>
      </c>
      <c r="B28" t="s">
        <v>1350</v>
      </c>
      <c r="C28" t="s">
        <v>1351</v>
      </c>
      <c r="D28" t="s">
        <v>1338</v>
      </c>
      <c r="E28" t="s">
        <v>1339</v>
      </c>
      <c r="F28" t="s">
        <v>1294</v>
      </c>
      <c r="G28" t="s">
        <v>1295</v>
      </c>
    </row>
    <row r="29" spans="1:7" x14ac:dyDescent="0.2">
      <c r="A29" t="s">
        <v>1352</v>
      </c>
      <c r="B29" t="s">
        <v>1352</v>
      </c>
      <c r="C29" t="s">
        <v>1353</v>
      </c>
      <c r="D29" t="s">
        <v>1338</v>
      </c>
      <c r="E29" t="s">
        <v>1339</v>
      </c>
      <c r="F29" t="s">
        <v>1294</v>
      </c>
      <c r="G29" t="s">
        <v>1295</v>
      </c>
    </row>
    <row r="30" spans="1:7" x14ac:dyDescent="0.2">
      <c r="A30" t="s">
        <v>1354</v>
      </c>
      <c r="B30" t="s">
        <v>1354</v>
      </c>
      <c r="C30" t="s">
        <v>1355</v>
      </c>
      <c r="D30" t="s">
        <v>1356</v>
      </c>
      <c r="E30" t="s">
        <v>1357</v>
      </c>
      <c r="F30" t="s">
        <v>1294</v>
      </c>
      <c r="G30" t="s">
        <v>1295</v>
      </c>
    </row>
    <row r="31" spans="1:7" x14ac:dyDescent="0.2">
      <c r="A31" t="s">
        <v>1358</v>
      </c>
      <c r="B31" t="s">
        <v>1358</v>
      </c>
      <c r="C31" t="s">
        <v>1359</v>
      </c>
      <c r="D31" t="s">
        <v>1356</v>
      </c>
      <c r="E31" t="s">
        <v>1357</v>
      </c>
      <c r="F31" t="s">
        <v>1294</v>
      </c>
      <c r="G31" t="s">
        <v>1295</v>
      </c>
    </row>
    <row r="32" spans="1:7" x14ac:dyDescent="0.2">
      <c r="A32" t="s">
        <v>1360</v>
      </c>
      <c r="B32" t="s">
        <v>1360</v>
      </c>
      <c r="C32" t="s">
        <v>1361</v>
      </c>
      <c r="D32" t="s">
        <v>1356</v>
      </c>
      <c r="E32" t="s">
        <v>1357</v>
      </c>
      <c r="F32" t="s">
        <v>1294</v>
      </c>
      <c r="G32" t="s">
        <v>1295</v>
      </c>
    </row>
    <row r="33" spans="1:7" x14ac:dyDescent="0.2">
      <c r="A33" t="s">
        <v>1362</v>
      </c>
      <c r="B33" t="s">
        <v>1362</v>
      </c>
      <c r="C33" t="s">
        <v>1363</v>
      </c>
      <c r="D33" t="s">
        <v>1356</v>
      </c>
      <c r="E33" t="s">
        <v>1357</v>
      </c>
      <c r="F33" t="s">
        <v>1294</v>
      </c>
      <c r="G33" t="s">
        <v>1295</v>
      </c>
    </row>
    <row r="34" spans="1:7" x14ac:dyDescent="0.2">
      <c r="A34" t="s">
        <v>1364</v>
      </c>
      <c r="B34" t="s">
        <v>1364</v>
      </c>
      <c r="C34" t="s">
        <v>1365</v>
      </c>
      <c r="D34" t="s">
        <v>1356</v>
      </c>
      <c r="E34" t="s">
        <v>1357</v>
      </c>
      <c r="F34" t="s">
        <v>1294</v>
      </c>
      <c r="G34" t="s">
        <v>1295</v>
      </c>
    </row>
    <row r="35" spans="1:7" x14ac:dyDescent="0.2">
      <c r="A35" t="s">
        <v>1366</v>
      </c>
      <c r="B35" t="s">
        <v>1366</v>
      </c>
      <c r="C35" t="s">
        <v>1367</v>
      </c>
      <c r="D35" t="s">
        <v>1356</v>
      </c>
      <c r="E35" t="s">
        <v>1357</v>
      </c>
      <c r="F35" t="s">
        <v>1294</v>
      </c>
      <c r="G35" t="s">
        <v>1295</v>
      </c>
    </row>
    <row r="36" spans="1:7" x14ac:dyDescent="0.2">
      <c r="A36" t="s">
        <v>1368</v>
      </c>
      <c r="B36" t="s">
        <v>1368</v>
      </c>
      <c r="C36" t="s">
        <v>1369</v>
      </c>
      <c r="D36" t="s">
        <v>1356</v>
      </c>
      <c r="E36" t="s">
        <v>1357</v>
      </c>
      <c r="F36" t="s">
        <v>1294</v>
      </c>
      <c r="G36" t="s">
        <v>1295</v>
      </c>
    </row>
    <row r="37" spans="1:7" x14ac:dyDescent="0.2">
      <c r="A37" t="s">
        <v>1370</v>
      </c>
      <c r="B37" t="s">
        <v>1370</v>
      </c>
      <c r="C37" t="s">
        <v>1371</v>
      </c>
      <c r="D37" t="s">
        <v>1356</v>
      </c>
      <c r="E37" t="s">
        <v>1357</v>
      </c>
      <c r="F37" t="s">
        <v>1294</v>
      </c>
      <c r="G37" t="s">
        <v>1295</v>
      </c>
    </row>
    <row r="38" spans="1:7" x14ac:dyDescent="0.2">
      <c r="A38" t="s">
        <v>1356</v>
      </c>
      <c r="B38" t="s">
        <v>1356</v>
      </c>
      <c r="C38" t="s">
        <v>1372</v>
      </c>
      <c r="D38" t="s">
        <v>1356</v>
      </c>
      <c r="E38" t="s">
        <v>1357</v>
      </c>
      <c r="F38" t="s">
        <v>1294</v>
      </c>
      <c r="G38" t="s">
        <v>1295</v>
      </c>
    </row>
    <row r="39" spans="1:7" x14ac:dyDescent="0.2">
      <c r="A39" t="s">
        <v>1373</v>
      </c>
      <c r="B39" t="s">
        <v>1373</v>
      </c>
      <c r="C39" t="s">
        <v>1374</v>
      </c>
      <c r="D39" t="s">
        <v>1356</v>
      </c>
      <c r="E39" t="s">
        <v>1357</v>
      </c>
      <c r="F39" t="s">
        <v>1294</v>
      </c>
      <c r="G39" t="s">
        <v>1295</v>
      </c>
    </row>
    <row r="40" spans="1:7" x14ac:dyDescent="0.2">
      <c r="A40" t="s">
        <v>1375</v>
      </c>
      <c r="B40" t="s">
        <v>1375</v>
      </c>
      <c r="C40" t="s">
        <v>1376</v>
      </c>
      <c r="D40" t="s">
        <v>1356</v>
      </c>
      <c r="E40" t="s">
        <v>1357</v>
      </c>
      <c r="F40" t="s">
        <v>1294</v>
      </c>
      <c r="G40" t="s">
        <v>1295</v>
      </c>
    </row>
    <row r="41" spans="1:7" x14ac:dyDescent="0.2">
      <c r="A41" t="s">
        <v>1377</v>
      </c>
      <c r="B41" t="s">
        <v>1377</v>
      </c>
      <c r="C41" t="s">
        <v>1378</v>
      </c>
      <c r="D41" t="s">
        <v>1356</v>
      </c>
      <c r="E41" t="s">
        <v>1357</v>
      </c>
      <c r="F41" t="s">
        <v>1294</v>
      </c>
      <c r="G41" t="s">
        <v>1295</v>
      </c>
    </row>
    <row r="42" spans="1:7" x14ac:dyDescent="0.2">
      <c r="A42" t="s">
        <v>1379</v>
      </c>
      <c r="B42" t="s">
        <v>1379</v>
      </c>
      <c r="C42" t="s">
        <v>1380</v>
      </c>
      <c r="D42" t="s">
        <v>1381</v>
      </c>
      <c r="E42" t="s">
        <v>1382</v>
      </c>
      <c r="F42" t="s">
        <v>1294</v>
      </c>
      <c r="G42" t="s">
        <v>1295</v>
      </c>
    </row>
    <row r="43" spans="1:7" x14ac:dyDescent="0.2">
      <c r="A43" t="s">
        <v>1383</v>
      </c>
      <c r="B43" t="s">
        <v>1383</v>
      </c>
      <c r="C43" t="s">
        <v>1384</v>
      </c>
      <c r="D43" t="s">
        <v>1381</v>
      </c>
      <c r="E43" t="s">
        <v>1382</v>
      </c>
      <c r="F43" t="s">
        <v>1294</v>
      </c>
      <c r="G43" t="s">
        <v>1295</v>
      </c>
    </row>
    <row r="44" spans="1:7" x14ac:dyDescent="0.2">
      <c r="A44" t="s">
        <v>1385</v>
      </c>
      <c r="B44" t="s">
        <v>1385</v>
      </c>
      <c r="C44" t="s">
        <v>1386</v>
      </c>
      <c r="D44" t="s">
        <v>1381</v>
      </c>
      <c r="E44" t="s">
        <v>1382</v>
      </c>
      <c r="F44" t="s">
        <v>1294</v>
      </c>
      <c r="G44" t="s">
        <v>1295</v>
      </c>
    </row>
    <row r="45" spans="1:7" x14ac:dyDescent="0.2">
      <c r="A45" t="s">
        <v>1387</v>
      </c>
      <c r="B45" t="s">
        <v>1387</v>
      </c>
      <c r="C45" t="s">
        <v>1388</v>
      </c>
      <c r="D45" t="s">
        <v>1381</v>
      </c>
      <c r="E45" t="s">
        <v>1382</v>
      </c>
      <c r="F45" t="s">
        <v>1294</v>
      </c>
      <c r="G45" t="s">
        <v>1295</v>
      </c>
    </row>
    <row r="46" spans="1:7" x14ac:dyDescent="0.2">
      <c r="A46" t="s">
        <v>1389</v>
      </c>
      <c r="B46" t="s">
        <v>1389</v>
      </c>
      <c r="C46" t="s">
        <v>1390</v>
      </c>
      <c r="D46" t="s">
        <v>1381</v>
      </c>
      <c r="E46" t="s">
        <v>1382</v>
      </c>
      <c r="F46" t="s">
        <v>1294</v>
      </c>
      <c r="G46" t="s">
        <v>1295</v>
      </c>
    </row>
    <row r="47" spans="1:7" x14ac:dyDescent="0.2">
      <c r="A47" t="s">
        <v>1391</v>
      </c>
      <c r="B47" t="s">
        <v>1391</v>
      </c>
      <c r="C47" t="s">
        <v>1392</v>
      </c>
      <c r="D47" t="s">
        <v>1381</v>
      </c>
      <c r="E47" t="s">
        <v>1382</v>
      </c>
      <c r="F47" t="s">
        <v>1294</v>
      </c>
      <c r="G47" t="s">
        <v>1295</v>
      </c>
    </row>
    <row r="48" spans="1:7" x14ac:dyDescent="0.2">
      <c r="A48" t="s">
        <v>1393</v>
      </c>
      <c r="B48" t="s">
        <v>1393</v>
      </c>
      <c r="C48" t="s">
        <v>1394</v>
      </c>
      <c r="D48" t="s">
        <v>1381</v>
      </c>
      <c r="E48" t="s">
        <v>1382</v>
      </c>
      <c r="F48" t="s">
        <v>1294</v>
      </c>
      <c r="G48" t="s">
        <v>1295</v>
      </c>
    </row>
    <row r="49" spans="1:7" x14ac:dyDescent="0.2">
      <c r="A49" t="s">
        <v>1395</v>
      </c>
      <c r="B49" t="s">
        <v>1395</v>
      </c>
      <c r="C49" t="s">
        <v>1396</v>
      </c>
      <c r="D49" t="s">
        <v>1381</v>
      </c>
      <c r="E49" t="s">
        <v>1382</v>
      </c>
      <c r="F49" t="s">
        <v>1294</v>
      </c>
      <c r="G49" t="s">
        <v>1295</v>
      </c>
    </row>
    <row r="50" spans="1:7" x14ac:dyDescent="0.2">
      <c r="A50" t="s">
        <v>1397</v>
      </c>
      <c r="B50" t="s">
        <v>1397</v>
      </c>
      <c r="C50" t="s">
        <v>1398</v>
      </c>
      <c r="D50" t="s">
        <v>1381</v>
      </c>
      <c r="E50" t="s">
        <v>1382</v>
      </c>
      <c r="F50" t="s">
        <v>1294</v>
      </c>
      <c r="G50" t="s">
        <v>1295</v>
      </c>
    </row>
    <row r="51" spans="1:7" x14ac:dyDescent="0.2">
      <c r="A51" t="s">
        <v>1399</v>
      </c>
      <c r="B51" t="s">
        <v>1399</v>
      </c>
      <c r="C51" t="s">
        <v>1400</v>
      </c>
      <c r="D51" t="s">
        <v>1381</v>
      </c>
      <c r="E51" t="s">
        <v>1382</v>
      </c>
      <c r="F51" t="s">
        <v>1294</v>
      </c>
      <c r="G51" t="s">
        <v>1295</v>
      </c>
    </row>
    <row r="52" spans="1:7" x14ac:dyDescent="0.2">
      <c r="A52" t="s">
        <v>1401</v>
      </c>
      <c r="B52" t="s">
        <v>1401</v>
      </c>
      <c r="C52" t="s">
        <v>1402</v>
      </c>
      <c r="D52" t="s">
        <v>1381</v>
      </c>
      <c r="E52" t="s">
        <v>1382</v>
      </c>
      <c r="F52" t="s">
        <v>1294</v>
      </c>
      <c r="G52" t="s">
        <v>1295</v>
      </c>
    </row>
    <row r="53" spans="1:7" x14ac:dyDescent="0.2">
      <c r="A53" t="s">
        <v>1403</v>
      </c>
      <c r="B53" t="s">
        <v>1403</v>
      </c>
      <c r="C53" t="s">
        <v>1404</v>
      </c>
      <c r="D53" t="s">
        <v>1381</v>
      </c>
      <c r="E53" t="s">
        <v>1382</v>
      </c>
      <c r="F53" t="s">
        <v>1294</v>
      </c>
      <c r="G53" t="s">
        <v>1295</v>
      </c>
    </row>
    <row r="54" spans="1:7" x14ac:dyDescent="0.2">
      <c r="A54" t="s">
        <v>1405</v>
      </c>
      <c r="B54" t="s">
        <v>1405</v>
      </c>
      <c r="C54" t="s">
        <v>1406</v>
      </c>
      <c r="D54" t="s">
        <v>1381</v>
      </c>
      <c r="E54" t="s">
        <v>1382</v>
      </c>
      <c r="F54" t="s">
        <v>1294</v>
      </c>
      <c r="G54" t="s">
        <v>1295</v>
      </c>
    </row>
    <row r="55" spans="1:7" x14ac:dyDescent="0.2">
      <c r="A55" t="s">
        <v>1407</v>
      </c>
      <c r="B55" t="s">
        <v>1407</v>
      </c>
      <c r="C55" t="s">
        <v>1408</v>
      </c>
      <c r="D55" t="s">
        <v>1409</v>
      </c>
      <c r="E55" t="s">
        <v>1410</v>
      </c>
      <c r="F55" t="s">
        <v>1294</v>
      </c>
      <c r="G55" t="s">
        <v>1295</v>
      </c>
    </row>
    <row r="56" spans="1:7" x14ac:dyDescent="0.2">
      <c r="A56" t="s">
        <v>1411</v>
      </c>
      <c r="B56" t="s">
        <v>1411</v>
      </c>
      <c r="C56" t="s">
        <v>1412</v>
      </c>
      <c r="D56" t="s">
        <v>1409</v>
      </c>
      <c r="E56" t="s">
        <v>1410</v>
      </c>
      <c r="F56" t="s">
        <v>1294</v>
      </c>
      <c r="G56" t="s">
        <v>1295</v>
      </c>
    </row>
    <row r="57" spans="1:7" x14ac:dyDescent="0.2">
      <c r="A57" t="s">
        <v>1413</v>
      </c>
      <c r="B57" t="s">
        <v>1413</v>
      </c>
      <c r="C57" t="s">
        <v>1414</v>
      </c>
      <c r="D57" t="s">
        <v>1409</v>
      </c>
      <c r="E57" t="s">
        <v>1410</v>
      </c>
      <c r="F57" t="s">
        <v>1294</v>
      </c>
      <c r="G57" t="s">
        <v>1295</v>
      </c>
    </row>
    <row r="58" spans="1:7" x14ac:dyDescent="0.2">
      <c r="A58" t="s">
        <v>1415</v>
      </c>
      <c r="B58" t="s">
        <v>1415</v>
      </c>
      <c r="C58" t="s">
        <v>1416</v>
      </c>
      <c r="D58" t="s">
        <v>1409</v>
      </c>
      <c r="E58" t="s">
        <v>1410</v>
      </c>
      <c r="F58" t="s">
        <v>1294</v>
      </c>
      <c r="G58" t="s">
        <v>1295</v>
      </c>
    </row>
    <row r="59" spans="1:7" x14ac:dyDescent="0.2">
      <c r="A59" t="s">
        <v>1417</v>
      </c>
      <c r="B59" t="s">
        <v>1417</v>
      </c>
      <c r="C59" t="s">
        <v>1418</v>
      </c>
      <c r="D59" t="s">
        <v>1409</v>
      </c>
      <c r="E59" t="s">
        <v>1410</v>
      </c>
      <c r="F59" t="s">
        <v>1294</v>
      </c>
      <c r="G59" t="s">
        <v>1295</v>
      </c>
    </row>
    <row r="60" spans="1:7" x14ac:dyDescent="0.2">
      <c r="A60" t="s">
        <v>1419</v>
      </c>
      <c r="B60" t="s">
        <v>1419</v>
      </c>
      <c r="C60" t="s">
        <v>1420</v>
      </c>
      <c r="D60" t="s">
        <v>1409</v>
      </c>
      <c r="E60" t="s">
        <v>1410</v>
      </c>
      <c r="F60" t="s">
        <v>1294</v>
      </c>
      <c r="G60" t="s">
        <v>1295</v>
      </c>
    </row>
    <row r="61" spans="1:7" x14ac:dyDescent="0.2">
      <c r="A61" t="s">
        <v>1421</v>
      </c>
      <c r="B61" t="s">
        <v>1421</v>
      </c>
      <c r="C61" t="s">
        <v>1422</v>
      </c>
      <c r="D61" t="s">
        <v>1409</v>
      </c>
      <c r="E61" t="s">
        <v>1410</v>
      </c>
      <c r="F61" t="s">
        <v>1294</v>
      </c>
      <c r="G61" t="s">
        <v>1295</v>
      </c>
    </row>
    <row r="62" spans="1:7" x14ac:dyDescent="0.2">
      <c r="A62" t="s">
        <v>1423</v>
      </c>
      <c r="B62" t="s">
        <v>1423</v>
      </c>
      <c r="C62" t="s">
        <v>1424</v>
      </c>
      <c r="D62" t="s">
        <v>1409</v>
      </c>
      <c r="E62" t="s">
        <v>1410</v>
      </c>
      <c r="F62" t="s">
        <v>1294</v>
      </c>
      <c r="G62" t="s">
        <v>1295</v>
      </c>
    </row>
    <row r="63" spans="1:7" x14ac:dyDescent="0.2">
      <c r="A63" t="s">
        <v>1425</v>
      </c>
      <c r="B63" t="s">
        <v>1425</v>
      </c>
      <c r="C63" t="s">
        <v>1426</v>
      </c>
      <c r="D63" t="s">
        <v>1409</v>
      </c>
      <c r="E63" t="s">
        <v>1410</v>
      </c>
      <c r="F63" t="s">
        <v>1294</v>
      </c>
      <c r="G63" t="s">
        <v>1295</v>
      </c>
    </row>
    <row r="64" spans="1:7" x14ac:dyDescent="0.2">
      <c r="A64" t="s">
        <v>1427</v>
      </c>
      <c r="B64" t="s">
        <v>1427</v>
      </c>
      <c r="C64" t="s">
        <v>1428</v>
      </c>
      <c r="D64" t="s">
        <v>1409</v>
      </c>
      <c r="E64" t="s">
        <v>1410</v>
      </c>
      <c r="F64" t="s">
        <v>1294</v>
      </c>
      <c r="G64" t="s">
        <v>1295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2023-06-15T10:35:59Z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2023-06-15T10:17:21Z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fb8add06-b827-40bf-a669-cd2784738ed3</vt:lpwstr>
  </property>
  <property fmtid="{D5CDD505-2E9C-101B-9397-08002B2CF9AE}" pid="8" name="MSIP_Label_46ec50b2-b191-4ad7-ba82-7deb0436e358_ContentBits">
    <vt:lpwstr>0</vt:lpwstr>
  </property>
</Properties>
</file>