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NER/R9/"/>
    </mc:Choice>
  </mc:AlternateContent>
  <xr:revisionPtr revIDLastSave="0" documentId="13_ncr:1_{E18547DE-BE0A-A84D-8988-A76868EEA11C}" xr6:coauthVersionLast="47" xr6:coauthVersionMax="47" xr10:uidLastSave="{00000000-0000-0000-0000-000000000000}"/>
  <bookViews>
    <workbookView xWindow="0" yWindow="500" windowWidth="23260" windowHeight="19600" activeTab="1" xr2:uid="{00000000-000D-0000-FFFF-FFFF00000000}"/>
  </bookViews>
  <sheets>
    <sheet name="survey" sheetId="1" r:id="rId1"/>
    <sheet name="choices" sheetId="2" r:id="rId2"/>
    <sheet name="Feuil1" sheetId="3" r:id="rId3"/>
    <sheet name="settings" sheetId="4" r:id="rId4"/>
    <sheet name="Crop list" sheetId="5" state="hidden" r:id="rId5"/>
    <sheet name="Additional information" sheetId="6" state="hidden" r:id="rId6"/>
  </sheets>
  <definedNames>
    <definedName name="_xlnm._FilterDatabase" localSheetId="2" hidden="1">Feuil1!$A$1:$D$64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94" i="1" l="1"/>
  <c r="AJ290" i="1"/>
  <c r="AI290" i="1"/>
  <c r="AJ289" i="1"/>
  <c r="AI289" i="1"/>
  <c r="AJ288" i="1"/>
  <c r="AI288" i="1"/>
  <c r="AJ287" i="1"/>
  <c r="AI287" i="1"/>
  <c r="AJ286" i="1"/>
  <c r="AI286" i="1"/>
  <c r="AJ285" i="1"/>
  <c r="AI285" i="1"/>
  <c r="AJ284" i="1"/>
  <c r="AI284" i="1"/>
  <c r="AJ283" i="1"/>
  <c r="AI283" i="1"/>
  <c r="AJ282" i="1"/>
  <c r="AI282" i="1"/>
  <c r="AJ281" i="1"/>
  <c r="AI281" i="1"/>
  <c r="AJ280" i="1"/>
  <c r="AI280" i="1"/>
  <c r="AJ279" i="1"/>
  <c r="AI279" i="1"/>
  <c r="AJ278" i="1"/>
  <c r="AI278" i="1"/>
  <c r="AJ275" i="1"/>
  <c r="AI275" i="1"/>
  <c r="AJ274" i="1"/>
  <c r="AI274" i="1"/>
  <c r="AJ273" i="1"/>
  <c r="AI273" i="1"/>
  <c r="AJ272" i="1"/>
  <c r="AI272" i="1"/>
  <c r="AJ271" i="1"/>
  <c r="AI271" i="1"/>
  <c r="AJ270" i="1"/>
  <c r="AI270" i="1"/>
  <c r="AJ269" i="1"/>
  <c r="AI269" i="1"/>
  <c r="AJ268" i="1"/>
  <c r="AI268" i="1"/>
  <c r="AJ267" i="1"/>
  <c r="AI267" i="1"/>
  <c r="AJ266" i="1"/>
  <c r="AI266" i="1"/>
  <c r="AJ265" i="1"/>
  <c r="AI265" i="1"/>
  <c r="AJ264" i="1"/>
  <c r="AI264" i="1"/>
  <c r="AJ263" i="1"/>
  <c r="AI263" i="1"/>
  <c r="AJ262" i="1"/>
  <c r="AI262" i="1"/>
  <c r="AJ261" i="1"/>
  <c r="AI261" i="1"/>
  <c r="AJ260" i="1"/>
  <c r="AI260" i="1"/>
  <c r="AJ259" i="1"/>
  <c r="AI259" i="1"/>
  <c r="AJ258" i="1"/>
  <c r="AI258" i="1"/>
  <c r="AJ257" i="1"/>
  <c r="AI257" i="1"/>
  <c r="AJ256" i="1"/>
  <c r="AI256" i="1"/>
  <c r="AJ255" i="1"/>
  <c r="AI255" i="1"/>
  <c r="AJ254" i="1"/>
  <c r="AI254" i="1"/>
  <c r="AJ253" i="1"/>
  <c r="AI253" i="1"/>
  <c r="AJ252" i="1"/>
  <c r="AI252" i="1"/>
  <c r="AJ251" i="1"/>
  <c r="AI251" i="1"/>
  <c r="AJ250" i="1"/>
  <c r="AI250" i="1"/>
  <c r="AJ249" i="1"/>
  <c r="AI249" i="1"/>
  <c r="AJ248" i="1"/>
  <c r="AI248" i="1"/>
  <c r="AJ247" i="1"/>
  <c r="AI247" i="1"/>
  <c r="AJ246" i="1"/>
  <c r="AI246" i="1"/>
  <c r="AJ245" i="1"/>
  <c r="AI245" i="1"/>
  <c r="AJ244" i="1"/>
  <c r="AI244" i="1"/>
  <c r="AJ243" i="1"/>
  <c r="AI243" i="1"/>
  <c r="AJ242" i="1"/>
  <c r="AI242" i="1"/>
  <c r="AJ241" i="1"/>
  <c r="AI241" i="1"/>
  <c r="AJ240" i="1"/>
  <c r="AI240" i="1"/>
  <c r="AJ239" i="1"/>
  <c r="AI239" i="1"/>
  <c r="AJ238" i="1"/>
  <c r="AI238" i="1"/>
  <c r="AJ237" i="1"/>
  <c r="AI237" i="1"/>
  <c r="AJ236" i="1"/>
  <c r="AI236" i="1"/>
  <c r="AJ235" i="1"/>
  <c r="AI235" i="1"/>
  <c r="AJ234" i="1"/>
  <c r="AI234" i="1"/>
  <c r="AJ233" i="1"/>
  <c r="AI233" i="1"/>
  <c r="AJ232" i="1"/>
  <c r="AI232" i="1"/>
  <c r="AJ231" i="1"/>
  <c r="AI231" i="1"/>
  <c r="AJ230" i="1"/>
  <c r="AI230" i="1"/>
  <c r="AJ229" i="1"/>
  <c r="AI229" i="1"/>
  <c r="AJ228" i="1"/>
  <c r="AI228" i="1"/>
  <c r="AJ227" i="1"/>
  <c r="AI227" i="1"/>
  <c r="AJ226" i="1"/>
  <c r="AI226" i="1"/>
  <c r="AJ225" i="1"/>
  <c r="AI225" i="1"/>
  <c r="AJ224" i="1"/>
  <c r="AI224" i="1"/>
  <c r="AJ223" i="1"/>
  <c r="AI223" i="1"/>
  <c r="AJ222" i="1"/>
  <c r="AI222" i="1"/>
  <c r="AJ221" i="1"/>
  <c r="AI221" i="1"/>
  <c r="AJ220" i="1"/>
  <c r="AI220" i="1"/>
  <c r="AJ219" i="1"/>
  <c r="AI219" i="1"/>
  <c r="AJ218" i="1"/>
  <c r="AI218" i="1"/>
  <c r="AJ217" i="1"/>
  <c r="AI217" i="1"/>
  <c r="AJ216" i="1"/>
  <c r="AI216" i="1"/>
  <c r="AJ215" i="1"/>
  <c r="AI215" i="1"/>
  <c r="AJ214" i="1"/>
  <c r="AI214" i="1"/>
  <c r="AJ213" i="1"/>
  <c r="AI213" i="1"/>
  <c r="AJ212" i="1"/>
  <c r="AI212" i="1"/>
  <c r="AJ211" i="1"/>
  <c r="AI211" i="1"/>
  <c r="AJ210" i="1"/>
  <c r="AI210" i="1"/>
  <c r="AJ209" i="1"/>
  <c r="AI209" i="1"/>
  <c r="AJ208" i="1"/>
  <c r="AI208" i="1"/>
  <c r="AJ207" i="1"/>
  <c r="AI207" i="1"/>
  <c r="AJ206" i="1"/>
  <c r="AI206" i="1"/>
  <c r="AJ205" i="1"/>
  <c r="AI205" i="1"/>
  <c r="AJ204" i="1"/>
  <c r="AI204" i="1"/>
  <c r="AJ203" i="1"/>
  <c r="AI203" i="1"/>
  <c r="AJ202" i="1"/>
  <c r="AI202" i="1"/>
  <c r="AH202" i="1"/>
  <c r="AH201" i="1"/>
  <c r="AJ201" i="1" s="1"/>
  <c r="AJ200" i="1"/>
  <c r="AI200" i="1"/>
  <c r="AH200" i="1"/>
  <c r="AJ199" i="1"/>
  <c r="AI199" i="1"/>
  <c r="AH199" i="1"/>
  <c r="AH198" i="1"/>
  <c r="AJ198" i="1" s="1"/>
  <c r="AJ197" i="1"/>
  <c r="AI197" i="1"/>
  <c r="AH197" i="1"/>
  <c r="AJ196" i="1"/>
  <c r="AI196" i="1"/>
  <c r="AH196" i="1"/>
  <c r="AJ195" i="1"/>
  <c r="AI195" i="1"/>
  <c r="AH195" i="1"/>
  <c r="AJ194" i="1"/>
  <c r="AI194" i="1"/>
  <c r="AH194" i="1"/>
  <c r="AH193" i="1"/>
  <c r="AJ193" i="1" s="1"/>
  <c r="AJ192" i="1"/>
  <c r="AI192" i="1"/>
  <c r="AH192" i="1"/>
  <c r="AJ191" i="1"/>
  <c r="AI191" i="1"/>
  <c r="AJ190" i="1"/>
  <c r="AI190" i="1"/>
  <c r="AJ189" i="1"/>
  <c r="AI189" i="1"/>
  <c r="AH189" i="1"/>
  <c r="AJ188" i="1"/>
  <c r="AI188" i="1"/>
  <c r="AH188" i="1"/>
  <c r="AJ187" i="1"/>
  <c r="AI187" i="1"/>
  <c r="AH187" i="1"/>
  <c r="AH186" i="1"/>
  <c r="AI186" i="1" s="1"/>
  <c r="AH185" i="1"/>
  <c r="AJ185" i="1" s="1"/>
  <c r="AJ184" i="1"/>
  <c r="AI184" i="1"/>
  <c r="AH184" i="1"/>
  <c r="AI183" i="1"/>
  <c r="AH183" i="1"/>
  <c r="AJ183" i="1" s="1"/>
  <c r="AJ182" i="1"/>
  <c r="AI182" i="1"/>
  <c r="AH182" i="1"/>
  <c r="AH181" i="1"/>
  <c r="AJ181" i="1" s="1"/>
  <c r="AJ180" i="1"/>
  <c r="AI180" i="1"/>
  <c r="AH180" i="1"/>
  <c r="AH179" i="1"/>
  <c r="AJ179" i="1" s="1"/>
  <c r="AJ178" i="1"/>
  <c r="AI178" i="1"/>
  <c r="AJ177" i="1"/>
  <c r="AI177" i="1"/>
  <c r="AJ176" i="1"/>
  <c r="AI176" i="1"/>
  <c r="AH176" i="1"/>
  <c r="AH175" i="1"/>
  <c r="AJ175" i="1" s="1"/>
  <c r="AJ174" i="1"/>
  <c r="AI174" i="1"/>
  <c r="AH174" i="1"/>
  <c r="AH173" i="1"/>
  <c r="AI173" i="1" s="1"/>
  <c r="AH172" i="1"/>
  <c r="AJ172" i="1" s="1"/>
  <c r="AJ171" i="1"/>
  <c r="AI171" i="1"/>
  <c r="AH171" i="1"/>
  <c r="AJ170" i="1"/>
  <c r="AI170" i="1"/>
  <c r="AH170" i="1"/>
  <c r="AJ169" i="1"/>
  <c r="AI169" i="1"/>
  <c r="AH169" i="1"/>
  <c r="AJ168" i="1"/>
  <c r="AI168" i="1"/>
  <c r="AH168" i="1"/>
  <c r="AJ167" i="1"/>
  <c r="AI167" i="1"/>
  <c r="AJ166" i="1"/>
  <c r="AI166" i="1"/>
  <c r="AJ165" i="1"/>
  <c r="AI165" i="1"/>
  <c r="AH165" i="1"/>
  <c r="AJ164" i="1"/>
  <c r="AH164" i="1"/>
  <c r="AI164" i="1" s="1"/>
  <c r="AJ163" i="1"/>
  <c r="AI163" i="1"/>
  <c r="AH163" i="1"/>
  <c r="AH162" i="1"/>
  <c r="AJ162" i="1" s="1"/>
  <c r="AH161" i="1"/>
  <c r="AJ161" i="1" s="1"/>
  <c r="AJ160" i="1"/>
  <c r="AI160" i="1"/>
  <c r="AH160" i="1"/>
  <c r="AJ159" i="1"/>
  <c r="AH159" i="1"/>
  <c r="AI159" i="1" s="1"/>
  <c r="AJ158" i="1"/>
  <c r="AI158" i="1"/>
  <c r="AH158" i="1"/>
  <c r="AJ157" i="1"/>
  <c r="AH157" i="1"/>
  <c r="AI157" i="1" s="1"/>
  <c r="AJ156" i="1"/>
  <c r="AI156" i="1"/>
  <c r="AH156" i="1"/>
  <c r="AJ155" i="1"/>
  <c r="AI155" i="1"/>
  <c r="AH155" i="1"/>
  <c r="AH154" i="1"/>
  <c r="AI154" i="1" s="1"/>
  <c r="AH153" i="1"/>
  <c r="AI153" i="1" s="1"/>
  <c r="AJ152" i="1"/>
  <c r="AI152" i="1"/>
  <c r="AH152" i="1"/>
  <c r="AJ151" i="1"/>
  <c r="AI151" i="1"/>
  <c r="AH151" i="1"/>
  <c r="AI150" i="1"/>
  <c r="AH150" i="1"/>
  <c r="AJ150" i="1" s="1"/>
  <c r="AJ149" i="1"/>
  <c r="AI149" i="1"/>
  <c r="AH149" i="1"/>
  <c r="AH148" i="1"/>
  <c r="AI148" i="1" s="1"/>
  <c r="AJ147" i="1"/>
  <c r="AI147" i="1"/>
  <c r="AJ146" i="1"/>
  <c r="AI146" i="1"/>
  <c r="AJ145" i="1"/>
  <c r="AI145" i="1"/>
  <c r="AH145" i="1"/>
  <c r="AI144" i="1"/>
  <c r="AH144" i="1"/>
  <c r="AJ144" i="1" s="1"/>
  <c r="AJ143" i="1"/>
  <c r="AI143" i="1"/>
  <c r="AH143" i="1"/>
  <c r="AH142" i="1"/>
  <c r="AJ142" i="1" s="1"/>
  <c r="AJ141" i="1"/>
  <c r="AI141" i="1"/>
  <c r="AH141" i="1"/>
  <c r="AH140" i="1"/>
  <c r="AH139" i="1"/>
  <c r="AH138" i="1"/>
  <c r="AH137" i="1"/>
  <c r="AI137" i="1" s="1"/>
  <c r="AI136" i="1"/>
  <c r="AH136" i="1"/>
  <c r="AH135" i="1"/>
  <c r="AJ134" i="1"/>
  <c r="AI134" i="1"/>
  <c r="AJ133" i="1"/>
  <c r="AI133" i="1"/>
  <c r="AJ132" i="1"/>
  <c r="AI132" i="1"/>
  <c r="AH132" i="1"/>
  <c r="AJ131" i="1"/>
  <c r="AH131" i="1"/>
  <c r="AI131" i="1" s="1"/>
  <c r="AJ130" i="1"/>
  <c r="AH130" i="1"/>
  <c r="AI130" i="1" s="1"/>
  <c r="AJ129" i="1"/>
  <c r="AI129" i="1"/>
  <c r="AH129" i="1"/>
  <c r="AH128" i="1"/>
  <c r="AI128" i="1" s="1"/>
  <c r="AH127" i="1"/>
  <c r="AJ127" i="1" s="1"/>
  <c r="AJ126" i="1"/>
  <c r="AI126" i="1"/>
  <c r="AH126" i="1"/>
  <c r="AJ125" i="1"/>
  <c r="AH125" i="1"/>
  <c r="AI125" i="1" s="1"/>
  <c r="AJ124" i="1"/>
  <c r="AI124" i="1"/>
  <c r="AH124" i="1"/>
  <c r="AJ123" i="1"/>
  <c r="AI123" i="1"/>
  <c r="AH123" i="1"/>
  <c r="AJ122" i="1"/>
  <c r="AH122" i="1"/>
  <c r="AI122" i="1" s="1"/>
  <c r="AJ121" i="1"/>
  <c r="AI121" i="1"/>
  <c r="AH121" i="1"/>
  <c r="AH120" i="1"/>
  <c r="AJ120" i="1" s="1"/>
  <c r="AJ119" i="1"/>
  <c r="AI119" i="1"/>
  <c r="AH119" i="1"/>
  <c r="AH118" i="1"/>
  <c r="AJ118" i="1" s="1"/>
  <c r="AJ117" i="1"/>
  <c r="AI117" i="1"/>
  <c r="AH117" i="1"/>
  <c r="AJ116" i="1"/>
  <c r="AH116" i="1"/>
  <c r="AI116" i="1" s="1"/>
  <c r="AJ113" i="1"/>
  <c r="AI113" i="1"/>
  <c r="AH113" i="1"/>
  <c r="AJ112" i="1"/>
  <c r="AI112" i="1"/>
  <c r="AH112" i="1"/>
  <c r="AH111" i="1"/>
  <c r="AJ111" i="1" s="1"/>
  <c r="AJ110" i="1"/>
  <c r="AI110" i="1"/>
  <c r="AH110" i="1"/>
  <c r="AH109" i="1"/>
  <c r="AI109" i="1" s="1"/>
  <c r="AJ108" i="1"/>
  <c r="AI108" i="1"/>
  <c r="AH108" i="1"/>
  <c r="AH107" i="1"/>
  <c r="AJ107" i="1" s="1"/>
  <c r="AJ106" i="1"/>
  <c r="AI106" i="1"/>
  <c r="AH106" i="1"/>
  <c r="AH105" i="1"/>
  <c r="AI105" i="1" s="1"/>
  <c r="AH104" i="1"/>
  <c r="AI104" i="1" s="1"/>
  <c r="AJ103" i="1"/>
  <c r="AI103" i="1"/>
  <c r="AH103" i="1"/>
  <c r="AH102" i="1"/>
  <c r="AJ102" i="1" s="1"/>
  <c r="AJ101" i="1"/>
  <c r="AI101" i="1"/>
  <c r="AJ100" i="1"/>
  <c r="AI100" i="1"/>
  <c r="AJ99" i="1"/>
  <c r="AI99" i="1"/>
  <c r="AH99" i="1"/>
  <c r="AJ98" i="1"/>
  <c r="AI98" i="1"/>
  <c r="AH98" i="1"/>
  <c r="AJ97" i="1"/>
  <c r="AI97" i="1"/>
  <c r="AH97" i="1"/>
  <c r="AJ96" i="1"/>
  <c r="AI96" i="1"/>
  <c r="AH96" i="1"/>
  <c r="AH95" i="1"/>
  <c r="AJ95" i="1" s="1"/>
  <c r="AJ94" i="1"/>
  <c r="AI94" i="1"/>
  <c r="AH94" i="1"/>
  <c r="AH93" i="1"/>
  <c r="AI93" i="1" s="1"/>
  <c r="AJ92" i="1"/>
  <c r="AI92" i="1"/>
  <c r="AH92" i="1"/>
  <c r="AJ91" i="1"/>
  <c r="AI91" i="1"/>
  <c r="AH91" i="1"/>
  <c r="AH90" i="1"/>
  <c r="AJ90" i="1" s="1"/>
  <c r="AH89" i="1"/>
  <c r="AJ89" i="1" s="1"/>
  <c r="AH88" i="1"/>
  <c r="AI88" i="1" s="1"/>
  <c r="AJ87" i="1"/>
  <c r="AI87" i="1"/>
  <c r="AH87" i="1"/>
  <c r="AJ86" i="1"/>
  <c r="AI86" i="1"/>
  <c r="AH86" i="1"/>
  <c r="AJ85" i="1"/>
  <c r="AI85" i="1"/>
  <c r="AH85" i="1"/>
  <c r="AH84" i="1"/>
  <c r="AJ84" i="1" s="1"/>
  <c r="AJ83" i="1"/>
  <c r="AI83" i="1"/>
  <c r="AH83" i="1"/>
  <c r="AJ82" i="1"/>
  <c r="AI82" i="1"/>
  <c r="AH82" i="1"/>
  <c r="AJ81" i="1"/>
  <c r="AI81" i="1"/>
  <c r="AH81" i="1"/>
  <c r="AH80" i="1"/>
  <c r="AJ80" i="1" s="1"/>
  <c r="AH79" i="1"/>
  <c r="AJ79" i="1" s="1"/>
  <c r="AJ78" i="1"/>
  <c r="AI78" i="1"/>
  <c r="AH78" i="1"/>
  <c r="AH77" i="1"/>
  <c r="AI77" i="1" s="1"/>
  <c r="AJ76" i="1"/>
  <c r="AI76" i="1"/>
  <c r="AH76" i="1"/>
  <c r="AJ75" i="1"/>
  <c r="AI75" i="1"/>
  <c r="AH75" i="1"/>
  <c r="AJ74" i="1"/>
  <c r="AI74" i="1"/>
  <c r="AH74" i="1"/>
  <c r="AJ70" i="1"/>
  <c r="AH70" i="1"/>
  <c r="AI70" i="1" s="1"/>
  <c r="AJ69" i="1"/>
  <c r="AH69" i="1"/>
  <c r="AI69" i="1" s="1"/>
  <c r="AJ68" i="1"/>
  <c r="AI68" i="1"/>
  <c r="AH68" i="1"/>
  <c r="AJ67" i="1"/>
  <c r="AI67" i="1"/>
  <c r="AH67" i="1"/>
  <c r="AH66" i="1"/>
  <c r="AI66" i="1" s="1"/>
  <c r="AH65" i="1"/>
  <c r="AJ65" i="1" s="1"/>
  <c r="AJ64" i="1"/>
  <c r="AI64" i="1"/>
  <c r="AH64" i="1"/>
  <c r="AH63" i="1"/>
  <c r="AI63" i="1" s="1"/>
  <c r="AJ62" i="1"/>
  <c r="AI62" i="1"/>
  <c r="AH62" i="1"/>
  <c r="AJ61" i="1"/>
  <c r="AI61" i="1"/>
  <c r="AH61" i="1"/>
  <c r="AJ60" i="1"/>
  <c r="AI60" i="1"/>
  <c r="AH60" i="1"/>
  <c r="AJ59" i="1"/>
  <c r="AI59" i="1"/>
  <c r="AH59" i="1"/>
  <c r="AJ58" i="1"/>
  <c r="AH58" i="1"/>
  <c r="AI58" i="1" s="1"/>
  <c r="AJ57" i="1"/>
  <c r="AH57" i="1"/>
  <c r="AI57" i="1" s="1"/>
  <c r="AJ56" i="1"/>
  <c r="AI56" i="1"/>
  <c r="AH56" i="1"/>
  <c r="AJ55" i="1"/>
  <c r="AH55" i="1"/>
  <c r="AI55" i="1" s="1"/>
  <c r="AJ54" i="1"/>
  <c r="AH54" i="1"/>
  <c r="AI54" i="1" s="1"/>
  <c r="AJ53" i="1"/>
  <c r="AI53" i="1"/>
  <c r="AH53" i="1"/>
  <c r="AH52" i="1"/>
  <c r="AJ52" i="1" s="1"/>
  <c r="AJ51" i="1"/>
  <c r="AI51" i="1"/>
  <c r="AH51" i="1"/>
  <c r="AH50" i="1"/>
  <c r="AJ50" i="1" s="1"/>
  <c r="AJ49" i="1"/>
  <c r="AI49" i="1"/>
  <c r="AH49" i="1"/>
  <c r="AH48" i="1"/>
  <c r="AI48" i="1" s="1"/>
  <c r="AJ47" i="1"/>
  <c r="AI47" i="1"/>
  <c r="AH47" i="1"/>
  <c r="AJ46" i="1"/>
  <c r="AI46" i="1"/>
  <c r="AH46" i="1"/>
  <c r="AJ44" i="1"/>
  <c r="AI44" i="1"/>
  <c r="AH44" i="1"/>
  <c r="AJ43" i="1"/>
  <c r="AI43" i="1"/>
  <c r="AJ42" i="1"/>
  <c r="AI42" i="1"/>
  <c r="AJ41" i="1"/>
  <c r="AI41" i="1"/>
  <c r="AH41" i="1"/>
  <c r="AH40" i="1"/>
  <c r="AI40" i="1" s="1"/>
  <c r="AH39" i="1"/>
  <c r="AJ39" i="1" s="1"/>
  <c r="AJ38" i="1"/>
  <c r="AI38" i="1"/>
  <c r="AH38" i="1"/>
  <c r="AJ37" i="1"/>
  <c r="AI37" i="1"/>
  <c r="AH37" i="1"/>
  <c r="AH36" i="1"/>
  <c r="AJ36" i="1" s="1"/>
  <c r="AJ35" i="1"/>
  <c r="AI35" i="1"/>
  <c r="AH35" i="1"/>
  <c r="AH34" i="1"/>
  <c r="AJ34" i="1" s="1"/>
  <c r="AJ33" i="1"/>
  <c r="AI33" i="1"/>
  <c r="AH33" i="1"/>
  <c r="AJ32" i="1"/>
  <c r="AH32" i="1"/>
  <c r="AI32" i="1" s="1"/>
  <c r="AJ31" i="1"/>
  <c r="AH31" i="1"/>
  <c r="AI31" i="1" s="1"/>
  <c r="AJ30" i="1"/>
  <c r="AH30" i="1"/>
  <c r="AI30" i="1" s="1"/>
  <c r="AJ29" i="1"/>
  <c r="AH29" i="1"/>
  <c r="AI29" i="1" s="1"/>
  <c r="AJ28" i="1"/>
  <c r="AI28" i="1"/>
  <c r="AH28" i="1"/>
  <c r="AJ27" i="1"/>
  <c r="AH27" i="1"/>
  <c r="AI27" i="1" s="1"/>
  <c r="AJ26" i="1"/>
  <c r="AH26" i="1"/>
  <c r="AI26" i="1" s="1"/>
  <c r="AJ25" i="1"/>
  <c r="AI25" i="1"/>
  <c r="AH25" i="1"/>
  <c r="AH24" i="1"/>
  <c r="AI24" i="1" s="1"/>
  <c r="AJ23" i="1"/>
  <c r="AI23" i="1"/>
  <c r="AH23" i="1"/>
  <c r="AJ22" i="1"/>
  <c r="AH22" i="1"/>
  <c r="AI22" i="1" s="1"/>
  <c r="AJ21" i="1"/>
  <c r="AI21" i="1"/>
  <c r="AH21" i="1"/>
  <c r="AH20" i="1"/>
  <c r="AI20" i="1" s="1"/>
  <c r="AH19" i="1"/>
  <c r="AI19" i="1" s="1"/>
  <c r="AJ18" i="1"/>
  <c r="AI18" i="1"/>
  <c r="AJ17" i="1"/>
  <c r="AI17" i="1"/>
  <c r="AJ16" i="1"/>
  <c r="AI16" i="1"/>
  <c r="AJ15" i="1"/>
  <c r="AI15" i="1"/>
  <c r="AI14" i="1"/>
  <c r="AH13" i="1"/>
  <c r="AJ13" i="1" s="1"/>
  <c r="AJ12" i="1"/>
  <c r="AI12" i="1"/>
  <c r="AJ10" i="1"/>
  <c r="AI10" i="1"/>
  <c r="AJ9" i="1"/>
  <c r="AI9" i="1"/>
  <c r="AJ5" i="1"/>
  <c r="AI5" i="1"/>
  <c r="AJ4" i="1"/>
  <c r="AI4" i="1"/>
  <c r="AJ3" i="1"/>
  <c r="AI3" i="1"/>
  <c r="AJ2" i="1"/>
  <c r="AI2" i="1"/>
  <c r="AI34" i="1" l="1"/>
  <c r="AI127" i="1"/>
  <c r="AJ186" i="1"/>
  <c r="AJ109" i="1"/>
  <c r="AJ148" i="1"/>
  <c r="AJ77" i="1"/>
  <c r="AJ128" i="1"/>
  <c r="AJ105" i="1"/>
  <c r="AI118" i="1"/>
  <c r="AJ63" i="1"/>
  <c r="AI193" i="1"/>
  <c r="AI36" i="1"/>
  <c r="AI89" i="1"/>
  <c r="AI111" i="1"/>
  <c r="AI198" i="1"/>
  <c r="AJ24" i="1"/>
  <c r="AI13" i="1"/>
  <c r="AI301" i="1" s="1"/>
  <c r="AI84" i="1"/>
  <c r="AI172" i="1"/>
  <c r="AI175" i="1"/>
  <c r="AI142" i="1"/>
  <c r="AJ104" i="1"/>
  <c r="AI161" i="1"/>
  <c r="AJ19" i="1"/>
  <c r="AJ301" i="1" s="1"/>
  <c r="AI65" i="1"/>
  <c r="AI95" i="1"/>
  <c r="AJ93" i="1"/>
  <c r="AJ88" i="1"/>
  <c r="AJ20" i="1"/>
  <c r="AI90" i="1"/>
  <c r="AI107" i="1"/>
  <c r="AI179" i="1"/>
  <c r="AI39" i="1"/>
  <c r="AI52" i="1"/>
  <c r="AI181" i="1"/>
  <c r="AJ154" i="1"/>
  <c r="AJ48" i="1"/>
  <c r="AI79" i="1"/>
  <c r="AI50" i="1"/>
  <c r="AI201" i="1"/>
  <c r="AJ66" i="1"/>
  <c r="AI80" i="1"/>
  <c r="AI102" i="1"/>
  <c r="AI120" i="1"/>
  <c r="AI162" i="1"/>
  <c r="AJ173" i="1"/>
  <c r="AJ153" i="1"/>
  <c r="AI185" i="1"/>
</calcChain>
</file>

<file path=xl/sharedStrings.xml><?xml version="1.0" encoding="utf-8"?>
<sst xmlns="http://schemas.openxmlformats.org/spreadsheetml/2006/main" count="10751" uniqueCount="5151">
  <si>
    <t>type</t>
  </si>
  <si>
    <t>name</t>
  </si>
  <si>
    <t>label::English (en)</t>
  </si>
  <si>
    <t>label::French (fr)</t>
  </si>
  <si>
    <t>label::Haoussa (ha)</t>
  </si>
  <si>
    <t>label::Djerma (dj)</t>
  </si>
  <si>
    <t>label::Peulh (pe)</t>
  </si>
  <si>
    <t>label::Kanuri (kr)</t>
  </si>
  <si>
    <t>label::Tamachek (ta)</t>
  </si>
  <si>
    <t>label::</t>
  </si>
  <si>
    <t>hint::English (en)</t>
  </si>
  <si>
    <t>hint::French (fr)</t>
  </si>
  <si>
    <t>hint::Haoussa (ha)</t>
  </si>
  <si>
    <t>hint::Djerma (dj)</t>
  </si>
  <si>
    <t>hint::Peulh (pe)</t>
  </si>
  <si>
    <t>hint::Kanuri (kr)</t>
  </si>
  <si>
    <t>hint::Tamachek (ta)</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</si>
  <si>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</si>
  <si>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</si>
  <si>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</si>
  <si>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</si>
  <si>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</si>
  <si>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</si>
  <si>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</si>
  <si>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</si>
  <si>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</si>
  <si>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</si>
  <si>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</si>
  <si>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</si>
  <si>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</si>
  <si>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</si>
  <si>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</si>
  <si>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</si>
  <si>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</si>
  <si>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</si>
  <si>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</si>
  <si>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</si>
  <si>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</si>
  <si>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</si>
  <si>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</si>
  <si>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</si>
  <si>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</si>
  <si>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</si>
  <si>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</si>
  <si>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</si>
  <si>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 de l'énquêteur</t>
  </si>
  <si>
    <t>Sunan mai tambaya</t>
  </si>
  <si>
    <t>Ay mayo no ti…..</t>
  </si>
  <si>
    <t>Innde ƴamoowo</t>
  </si>
  <si>
    <t>Tchou kulachimaye</t>
  </si>
  <si>
    <t>essim nimissesten</t>
  </si>
  <si>
    <t>true</t>
  </si>
  <si>
    <t>autocomplete</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</si>
  <si>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</si>
  <si>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</si>
  <si>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</si>
  <si>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</si>
  <si>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</si>
  <si>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</si>
  <si>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</si>
  <si>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Sannu Sir/Madam, sunana ${enumerator_}. Muna nan a madadin Hukumar Abinci da Aikin Noma ta Majalisar Dinkin Duniya (FAO). Muna gudanar da bincike kan abubuwan rayuwa da iyawar gidaje don samun abinci a yankinku. Ina so in yi muku 'yan tambayoyi game da gidan ku. Binciken gabaɗaya yana ɗauka tsakanin mintuna 20/30. Duk bayanan da kuka bayar za a kiyaye su sosai; za a yi amfani da su ne kawai a cikin mahallin wannan binciken kuma ba za a sanar da su ga wasu mutane ba. Kasancewar ku na son rai a cikin wannan hirar ba ta da alaƙa da yuwuwar samun kowane taimako. Shigar da ku na son rai ne kuma, idan kuna so, za ku iya zaɓar kada ku amsa wasu ko duk tambayoyin. Koyaya, muna fatan za ku yarda ku shiga saboda ra'ayin ku yana da mahimmanci. Kuna da wasu tambayoyi?</t>
  </si>
  <si>
    <t xml:space="preserve">Mataran go albora/weybora, ay ma ti ${enumerator_}. no ne ayma aran ke  Anduniya Fu Beero Kan Ga haw goy  nda Mee Nwaari nda Farmoo fondara. Iri goga keki ga bey matan kan kina aran goga bafuney da da mo mata ga aran ga dou me gnwari aran koira ra,iri ga bai iri ma hanyan fo te aran se aran wane almiyalo bon.  
Aran gonda dama irma fakarey keyna. fahamayey kulu kan  aran giri no si goro kala tugurey ;isi goy dey kala hayaney wo fondara boro kulu no si ma rey.da aran ga ba aran ma fouro siguiro ra manti  gakasiney du yan kulu se no.aran siguiro ra furo yanwo hima ga te aran bayi koirey ra,da aran si ba manti dole no aran ma tu wala aran matu giarey ga ama dey iri ga gnwarey aran ma tu iri se zakan  aran tu yanwo ga beri iri ga.i ga samba aran se keyan noru furo yanwo se .wa bey mo kan iri ga hini ga keyan wo sambu iri ma du ga hagoy da hayan ka iri goga te se no. da aran gonda hayan iri goga hangane aran se. koy da gine?
</t>
  </si>
  <si>
    <t>"Salaamaleykum, binndin'a, isii na ${enumerator_}. Mi bulaaku nan FAO, haa dem ɓeyn'ɗoo oo wi'ɗin'a. Mi ko'booj'o foyƴi bunnudeejeede e wooɗɗudeede e nganndu'e, o faydii mi ko'banndu'ɓe laasiri e toɗɗu oo. Minnde heɗɗoɗo gannde mon ɗemngal wooɗo ko'o huuɗa ndu'ɓe. Mon ɗemɗeɗe yenndi njiidiyaaɗi e laaɓe 20/30. Nde wondudee mi woɗɗaa waɗde nde, mi tawa'ɗe neɗɗo kala. Yaɓɓe wooɗo laaɓe laasiri nii goɗɗiɗo e nde, ka'i kadi ɗum konnde jaaɓi e humpitoondi. Woɗɗo lunniri kala ɗemɗe mi njemra e entenɗa nii kadi. En entenɗa kadi e heɗɗo ngam wooɗɗoo saka mon kala. Kanko, mon ganndaa oo kadi hannde en, sabu nganndu'e nii yahdu mum waɗtoojal. E leɗɓeɗe ɗemngal kadi, woɗɗi njiɗtanteede sundeende. To mo jiɗɗo njiɗɗaa?"</t>
  </si>
  <si>
    <t>Salaamaleykum, ɓarka da yin asalin kuyanga, sunana ${enumerator_}. Muna hanyar FAO, an samu nasara a gari. Muna gudanar da hanyoyin rayuwarmu da ikirarin kudin jiki a yankin ku. Ina so ka yi min tambayoyin da za ku amsa game da gida. Yanayin rayuwa ya mayar da 20/30 da dari. Duk da cewa za ku amsa, muna son ku yin amfani da shawarwarku. Duk da cewa ku yin kulle-kulle ko duk wani tambayoyi. Hakanan kuma muna son ku ɓoye. Amma, muna yin tsokaci domin rashin amsa ba shi da wani damar samun sadarwa. Ku yiba, idan kun bincike wani tambaya?</t>
  </si>
  <si>
    <t xml:space="preserve">Tagodayam nak issinine enumerator. Nahade fell assagawar yigan tegawar titawene inken firgan wassamalan fao. Nosadou iken sistinan ikalnine fel tagawere in guiwanan dik akal nawan. Aré adawounaga issistinan wiyade fell iguiwananawan.
Asostan idakal agudiyan 20/30 ən minitan. Isalan dak wi mad tifim adakamin aylan garenaɣ, imba damatkalan ad-daɣ tabarat tan asostan əd imba diqilan atiwalaɣen ye idinat iyad. Wala iyan asostan ən nawadim wa rika atwisiɣim. Tihawt nawan ən tiridawt daɣ liɣitan ən asostan wen wareqel daɣ WALA IYAT tabarat tartayat əd tabaɣor nadinat ye agaraw ən atamosan tilalt. Eqal tiridawt əd tadobem atikisam iba nəliɣi ye asostan meɣ asostanan dak afal tarham awen. Agudendaɣ, norda as atigišam falas erhet nawan eqal ayfan.
Tilam asostan ?
</t>
  </si>
  <si>
    <t>[INSTRUCTIONS: ADDRESS QUESTIONS FROM RESPONDENT, IF ANY.]</t>
  </si>
  <si>
    <t>[OPÉRATEUR/OPÉRATRICE: LE CAS ÉCHÉANT, RÉPONDRE AUX QUESTIONS DE LA PERSONNE INTERROGÉE.]</t>
  </si>
  <si>
    <t>[mai tambaya: IDAN AKWAI, AN AYI TAMBAYA GA MUTUM DA ZA A SHIRIYA.]</t>
  </si>
  <si>
    <t>Ha ko: da tou ko yarda, i ga tou a wana ha yan wo sé</t>
  </si>
  <si>
    <t>[GAƊOOWO GOLLAL NGAL DEBBO NAA GORKO SE HEƁAAKA, NOOTO ƳAMƊE ƳAMAAƊO ON .]</t>
  </si>
  <si>
    <t>Kasuma/kamu aw kwa Am njade diyonadu korowa jawuwadu tchadunaro waltou</t>
  </si>
  <si>
    <t>amachaghal / timachaghalte : astouwirilen adajawab awedan yissistanane wintawaganen yawedan wassihor dastiwigune</t>
  </si>
  <si>
    <t>false</t>
  </si>
  <si>
    <t>no</t>
  </si>
  <si>
    <t>select_one yesno</t>
  </si>
  <si>
    <t>resp_agree</t>
  </si>
  <si>
    <t>Are you interested in participating in this survey?</t>
  </si>
  <si>
    <t>Souhaitez-vous participer à cette enquête?</t>
  </si>
  <si>
    <t>KU na so ku shiga wannan binciken?</t>
  </si>
  <si>
    <t>Aran ga ba aran ma furo iri hayan siguiro ra?</t>
  </si>
  <si>
    <t xml:space="preserve">Adayidi wonude e ngol humpitigol naa? </t>
  </si>
  <si>
    <t>Nyiye kulashi korobe adəro rəbtaadə məradənəma wa?</t>
  </si>
  <si>
    <t>Tardede Assintide?</t>
  </si>
  <si>
    <t>geopoint</t>
  </si>
  <si>
    <t>gps_1</t>
  </si>
  <si>
    <t xml:space="preserve">GPS INSTRUCTION: Take a GPS measurement. </t>
  </si>
  <si>
    <t>INSTRUCTION : Récupérer les coordonnées GPS.</t>
  </si>
  <si>
    <t>Umarni: Daukar labarun gidan da na'oura</t>
  </si>
  <si>
    <t>Koira fo no aran go ga tou ir sé?</t>
  </si>
  <si>
    <t>TINNDINOORE : ɗum ada ko GPS wurtini.</t>
  </si>
  <si>
    <t>Tissousinte :ibazadou raquaman in tissidik koul</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</si>
  <si>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</si>
  <si>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</si>
  <si>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JAWABI: Saurar bayanin jiranin GPS za a iya daukar da kwanakin lokacin - za a iya girmama minti biyu. Idan ya dauka minti biyu, tafiya zuwa tambaya ta biyu. Zaka iya samun bayanin GPS bayanin ya gaba da magana.</t>
  </si>
  <si>
    <t>Labarey: Batama labarey sambu yan wo ga hine ga sambu lokatchi kayna. Aran ga hine suru kayna. Da bissa minti 3, i ma to ha yan fo ga, ir ga yé ga ka labarey din ga, dir bane</t>
  </si>
  <si>
    <t xml:space="preserve">PAHME : adol seedaaji no waawi adugo wakkati seɗɗa - haani neɗɗo munya mintaaje seɗɗa. Senii wittake mintaaje 3, haani wittoo  e ƴamal yeesowal. Haani adon ko wurtinaa nder GPS se ƴame ɗen ngaynaama </t>
  </si>
  <si>
    <t>Barka da zuwa! Amsa tawa ayamatu daga samun maganin kayan haƙi kamar dauke da lokaci. Za a iya daukan su bayan minti goma sha uku. Idan aka dauka mafi goma sha uku, duba wuraren sauran tambayan kuma za ka iya samun koordinatun GPS bayan an taimaka.</t>
  </si>
  <si>
    <t>Tissousinte : issijil in tissidik ifrag adidkil arate nalwak - ichil adagou awedan tazedarte namazay ghour issistanete assimos ass issistan Di id kal karad minutatane widi adaki awedan sisistan wahadan idi amaran ifrag awedan adibiz raquaman in tissidik ghour agharid in sistanane</t>
  </si>
  <si>
    <t>${resp_agree} = '1'</t>
  </si>
  <si>
    <t>Refusal</t>
  </si>
  <si>
    <t>Thank you for your time, you will be removed from today's survey.</t>
  </si>
  <si>
    <t>Merci pour votre temps. Vous serez écarté de l'enquête d'aujourd'hui.</t>
  </si>
  <si>
    <t>Mum gode da lokacin da kuka bamu. ZA'ah cireka daga binciken yau.</t>
  </si>
  <si>
    <t xml:space="preserve">Fondo goy nda lokoco kan aran na iri no, iri ga aran ka hayaney siguiro ra hunkuna.  </t>
  </si>
  <si>
    <t>Mi yanti, min nonditan’on {WhenCallBack}. Mi yanti kaden gnan leiin djam</t>
  </si>
  <si>
    <t>Loktunəm kənjoro nyiro askəra, nya suro kulashi kuye adən tutuluwin.</t>
  </si>
  <si>
    <t>Nidjake alharadjene, nikaskayine dague issistane ikna yallah achal.</t>
  </si>
  <si>
    <t>${resp_agree} = '2'</t>
  </si>
  <si>
    <t>begin_group</t>
  </si>
  <si>
    <t>eligibility</t>
  </si>
  <si>
    <t>ELIGIBILITY CRITERIA</t>
  </si>
  <si>
    <t>CRITÈRES D'ÉLIGIBILITÉ</t>
  </si>
  <si>
    <t>wa'adin zabé</t>
  </si>
  <si>
    <t>soubane yan Alhalo</t>
  </si>
  <si>
    <t xml:space="preserve">LAABI CUƁIRƊI </t>
  </si>
  <si>
    <t>anamod wan wassitag imidkil</t>
  </si>
  <si>
    <t>text</t>
  </si>
  <si>
    <t>resp_firstname</t>
  </si>
  <si>
    <t>What is your first name?</t>
  </si>
  <si>
    <t>Quel est votre prénom?</t>
  </si>
  <si>
    <t>Menene Sunanka ?</t>
  </si>
  <si>
    <t>Mate no iga aran ce da?</t>
  </si>
  <si>
    <t>Noy won innde mon?</t>
  </si>
  <si>
    <t>Abi suwum buroi yo?</t>
  </si>
  <si>
    <t>Əndek  əsim ən-nak ?</t>
  </si>
  <si>
    <t>[INSTRUCTIONS: RECORD THE RESPONDENT'S FIRST NAME. ENTER 999 FOR REFUSED]</t>
  </si>
  <si>
    <t>[INSTRUCTIONS : SAISIR LE PRÉNOM DE LA PERSONNE INTÉRROGÉE. SAISIR 999 POUR REFUSÉ.]</t>
  </si>
  <si>
    <t>[MAI GUDANARWA: SHIGAR DA SUNAN FARKON MAI BADA AMSAR. SHIGAR DA 999 A MADADIN ƘIN AMINCEWA.]</t>
  </si>
  <si>
    <t>[Hantum ka : wa bora mayo hantoum.wa hantum 999 da bora wandji]</t>
  </si>
  <si>
    <t>[TINNDINOOJE : WINNDE INNDE NEƊƊO ƳAMAAƊO OON. WINNDEE NDER MASSIN 999 TO SALAKE.]</t>
  </si>
  <si>
    <t>[ ƘWAREWAƊI : SU BUROI JAWAU MAYE IKK3. IKK3 999 WAA NOMAA.]</t>
  </si>
  <si>
    <t>[tissousinte : SAQAYMU ƏSIM ƏN WA ATIWASASTANAN. IGIŠ 999 FAL TUGINT.]</t>
  </si>
  <si>
    <t>resp_lastname</t>
  </si>
  <si>
    <t>What is your last name?</t>
  </si>
  <si>
    <t>Quel est votre nom de famille?</t>
  </si>
  <si>
    <t xml:space="preserve">Menene sunanka na ƙarshe? </t>
  </si>
  <si>
    <t>Ifo ti aran baba mayo?</t>
  </si>
  <si>
    <t>Noy wani indéé bam’ma / abbaa’ma</t>
  </si>
  <si>
    <t xml:space="preserve">Abi suwum darai yo? </t>
  </si>
  <si>
    <t>Əndek əsim ən alɣayal inak ?</t>
  </si>
  <si>
    <t>[INSTRUCTIONS: RECORD THE RESPONDENT'S LAST NAME. ENTER 999 FOR REFUSED]</t>
  </si>
  <si>
    <t>Umarni: sunan may bada amsawar. rubuta 999 DON HANA.]</t>
  </si>
  <si>
    <t>[Hantum ka : wa bora mayo hantoum.wa hantum 999 da bora wandji.]</t>
  </si>
  <si>
    <t>[ ƘWAREWAƊI : SU DARAI JAWAU MAYE IKK3. IKK3 999 WAA NOMAA.]</t>
  </si>
  <si>
    <t>integer</t>
  </si>
  <si>
    <t>resp_age</t>
  </si>
  <si>
    <t>How old are you?</t>
  </si>
  <si>
    <t>Quel âge avez-vous (en années)?</t>
  </si>
  <si>
    <t xml:space="preserve">Shekarunka nawa? </t>
  </si>
  <si>
    <t>Aran guiri marge?</t>
  </si>
  <si>
    <t>Duuɓi mon foti?</t>
  </si>
  <si>
    <t xml:space="preserve">Saan3m ndawo? </t>
  </si>
  <si>
    <t>Maniket elan nak ?</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</si>
  <si>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</si>
  <si>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</si>
  <si>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</si>
  <si>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</si>
  <si>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</si>
  <si>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</si>
  <si>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</si>
  <si>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Menene jinsin mai amsawar?</t>
  </si>
  <si>
    <t>Aran wanne tu ka albor no wala weybor?</t>
  </si>
  <si>
    <t>A débbo naa a gorko?</t>
  </si>
  <si>
    <t>Jawau mad3 kamu la kongaa?</t>
  </si>
  <si>
    <t>Indek awa eqal awadim wa itawasastanan?</t>
  </si>
  <si>
    <t>[INSTRUCTIONS: DO NOT ASK THIS QUESTION OUT LOUD. SELECT THE GENDER OF THE RESPONDENT.]</t>
  </si>
  <si>
    <t>[OPÉRATEUR/OPÉRATRICE: NE PAS POSER CETTE QUESTION À VOIX HAUTE. INDIQUER LE SEXE DU RÉPONDANT.]</t>
  </si>
  <si>
    <t>[MAI GUDANARWA: SHIGAR DA SUNAN ƘARSHEN MAI BADA AMSAR. SHIGAR DA 999 A MADADIN  ƘIN AMINCEWA.]</t>
  </si>
  <si>
    <t>[HANTUM ka :wa guirey hantum ,WA GUIREY HANTUM TAK da tu ka na  inga heyyan guiro no aran se.WA YEGA HANYANWO KI.WA HANTUM 00 JAN GA BEY YAN SE.]</t>
  </si>
  <si>
    <t>[GOLLOOWO: TAA ƳAMEE NANNDI ƊE ƳAMƊE. HETTINDE HAALA JOOMUM DE MBINNDON].</t>
  </si>
  <si>
    <t>[KUNDOMA: WOND3 KORO ADAA DIMI. K3RINNE DAI JIRE MADAA GONE</t>
  </si>
  <si>
    <t xml:space="preserve"> [tissousinte  : WAR TIGED ASOSTAN WEN. SIDIRGIN YE TAMASLAQ IZAR IKIS EHAN WA AHUSKEN].</t>
  </si>
  <si>
    <t>phone_number_personal</t>
  </si>
  <si>
    <t>What is your phone number?</t>
  </si>
  <si>
    <t>Quel est votre numéro de téléphone ?</t>
  </si>
  <si>
    <t>Wacce ce ita lambar wayar??</t>
  </si>
  <si>
    <t>Ifo ti aran telfon lamba?</t>
  </si>
  <si>
    <t>Bataanan limoro mada?</t>
  </si>
  <si>
    <t>Abi lamba wayamme?</t>
  </si>
  <si>
    <t>Indek numoro nak wa telefone ?</t>
  </si>
  <si>
    <t>numbers</t>
  </si>
  <si>
    <t>regex(.,’^[0-9]{11}$’)</t>
  </si>
  <si>
    <t>Please enter the telephone number in the correct format, e.g. nan</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</si>
  <si>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</si>
  <si>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</si>
  <si>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</si>
  <si>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</si>
  <si>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</si>
  <si>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Zaku iya ba mu wata lambar ku ko ta wani mutunan tchikin guida wanda ku ke da halaka da shi</t>
  </si>
  <si>
    <t>Da aran gonda lamba hinkanté aran ma ir no, da a siino aran ma ir no ara boro mano wané kan bon ir ga hine ga dou aran.</t>
  </si>
  <si>
    <t>Haak’kan limoro gnon ko mi wawta mondima ; ba limoro korédjima non ; na limoro hii’go ma non ?</t>
  </si>
  <si>
    <t>Lamba salulaye  kanum aw  kam fadoye kamaskinum aw korinube fondikinna!</t>
  </si>
  <si>
    <t>tifragam didoutakfim raquam nawedan iyan chilan nichikagh nawan madey inmehiz nawan iyan dirwirtanamaham aghiwan assimikan ataghrou awedan</t>
  </si>
  <si>
    <t>phone_number_2</t>
  </si>
  <si>
    <t>What is the additional phone number?</t>
  </si>
  <si>
    <t>Quel est cet autre numéro de téléphone ?</t>
  </si>
  <si>
    <t>Ifo ti lamba wodine?</t>
  </si>
  <si>
    <t>Won’kan limoro guel guidaa?</t>
  </si>
  <si>
    <t>Abi lamba wayaye gade madoo?</t>
  </si>
  <si>
    <t>Indek numoro wa telefone iyan?</t>
  </si>
  <si>
    <t xml:space="preserve">${contact_2} = '1' or ${contact_2} = '2' or ${contact_2} = '3' </t>
  </si>
  <si>
    <t>contact_2_name</t>
  </si>
  <si>
    <t>What is the name of the contact?</t>
  </si>
  <si>
    <t>Quel est le nom du contact associé à ce numéro de téléphone ?</t>
  </si>
  <si>
    <t>Menene sunan mai lambar??</t>
  </si>
  <si>
    <t>Mayi fo no go hantum lamba dine bon?</t>
  </si>
  <si>
    <t>Won’kan indé djom limoro on?</t>
  </si>
  <si>
    <t>Abi su K3manz3ye?</t>
  </si>
  <si>
    <t xml:space="preserve">${contact_2} = '2' or ${contact_2} = '3' </t>
  </si>
  <si>
    <t>contact_3</t>
  </si>
  <si>
    <t>Iɗon mbaawi hokkugoyam lammba celalol gooɗom, ɗum mooɗon, ɗum goɗɗo gonuɗo nder hoggo ngon naa banndiraawo mooɗom gom laatiiɗo wana nder hoggo mooɗon wuuri, noddeteeɗo heɓa'on ?</t>
  </si>
  <si>
    <t>phone_number_3</t>
  </si>
  <si>
    <t>Ngale won limoro noddirga ɓeydoowa?</t>
  </si>
  <si>
    <t xml:space="preserve">${contact_3} = '1' or ${contact_3} = '2' or ${contact_3} = '3' </t>
  </si>
  <si>
    <t>contact_3_name</t>
  </si>
  <si>
    <t>Indek əsim ən numoro?</t>
  </si>
  <si>
    <t xml:space="preserve">${contact_3} = '2' or ${contact_3} = '3' </t>
  </si>
  <si>
    <t>select_one admin1</t>
  </si>
  <si>
    <t>adm1_pcode</t>
  </si>
  <si>
    <t>Currently, in which Region does your household reside?</t>
  </si>
  <si>
    <t>Actuellement, dans quel Region votre ménage vit-il ?</t>
  </si>
  <si>
    <t>A halin yanzu, a wanne Yanki gidanka yake?</t>
  </si>
  <si>
    <t>Sohon ra,koira fo ra no aran almiyalo go?</t>
  </si>
  <si>
    <t>Noy hourou mo’gonda an heii korédjima hiité?</t>
  </si>
  <si>
    <t>K3rmaroo, lardilan fatomanumd3 kara?</t>
  </si>
  <si>
    <t>Amaradaɣ, indek akal wadaɣ izaɣa alɣayal inak ?</t>
  </si>
  <si>
    <t>[HINT: HOUSEHOLD CONSISTS OF ALL MEMBERS LIVING TOGETHER, SHARING RESOURCES &amp; EATING FROM THE SAME POT.]</t>
  </si>
  <si>
    <t>[NOTE : LE MÉNAGE EST COMPOSÉ DE TOUTES LES PERSONNES VIVANT ENSEMBLE, PARTAGEANT LEURS RESSOURCES ET MANGEANT DANS UNE MARMITE COMMUNE.]</t>
  </si>
  <si>
    <t>[NUSARAWA: GIDA YA ƘUNSHI DUKKAN WAƊANDA SUKE ZAUNE A WURI GUDA, SUKE RARRABA ABABEN TA'AMMULI &amp; SUKE KUMA CI A TUKUNYA ƊAYA.]</t>
  </si>
  <si>
    <t>Cabe yan :almiyalo ti borrey kulu kan go nangu fo,iga koy keki ga dan tchar ra ga nwaa nongu fo]</t>
  </si>
  <si>
    <t>[TINNDINOOJE : JAWAABU GOOTO].
[MAANAA: ƁAADE NDEN FUH HAWTU JAWDI E ƳAAMEE LEY NOKKU GOOTO].</t>
  </si>
  <si>
    <t>[LAI: FATOMADONI SAIMA AM SAMMA FATOFALLIN DASAUNAMAD3, KUMBUWA RAZAUWA SAMMA ROKKO FAIDATEN.]</t>
  </si>
  <si>
    <t>[ASIKIN : ALƔAYAL EQAL AYERTAYAN ƏS ADINAT WI IDARNEN DAK, TUZANEN ANAFATAN ƏD TATAN DAƔ AKOS IYAN].</t>
  </si>
  <si>
    <t>adm1_name</t>
  </si>
  <si>
    <t>jr:choice-name(${adm1_pcode},'${adm1_pcode}')</t>
  </si>
  <si>
    <t>select_one admin2</t>
  </si>
  <si>
    <t xml:space="preserve">adm2_pcode </t>
  </si>
  <si>
    <t>Currently, in which Department does your household reside?</t>
  </si>
  <si>
    <t>Actuellement, dans quel Department votre ménage vit-il ?</t>
  </si>
  <si>
    <t>A halin yanzu, a wanne Sashi gidanka yake?</t>
  </si>
  <si>
    <t>Sohon, Iri mee ciino bon, dapatema fo ra no aran almiyalo goga bafuney?</t>
  </si>
  <si>
    <t>Der département oy hourou mon wonnii ?</t>
  </si>
  <si>
    <t>K3rmaroo, nashailan fatomad3 kara?</t>
  </si>
  <si>
    <t>Amaradaɣ, indek akal wadaɣ izaɣ alɣayal inak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</si>
  <si>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</si>
  <si>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</si>
  <si>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</si>
  <si>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</si>
  <si>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</si>
  <si>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</si>
  <si>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</si>
  <si>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Shin akwai wani a cikin gidan ku da ya samu anfanin gona ko dabobi don anfanin gida ko sayarwa a cikin watani goma sha biyu da suka shige,game da yan gidan a halin yanzu ba su huce daji ba ?</t>
  </si>
  <si>
    <t>Borfo aran wane almiyalo ra fari wala na almane kuruu windo nwaro se wala nerandi se handu wey kindi hinka kan bissa ra,I ra hada weykanyan go sadji sohon me kino bon?</t>
  </si>
  <si>
    <t xml:space="preserve">Der korédjima no wo’di mo réé’mi na mo wadii bissadjé ko naafii baadéé mon lein’bii sam’po hei di’di bintiidé ; 
</t>
  </si>
  <si>
    <t>Fatomaima nandon kulo aw dabba doni sha faidaturo aw lodoro g3naz3na suro k3ntawwa 12 koz3na ad3lan bawa, har fatomadoni tsinyero lezanadin kunten?</t>
  </si>
  <si>
    <t>Yala awadim daɣ alɣayal nawan igyak əsigyak meɣ arizeg fal ašaško ən alɣayal meɣ fal ašinš daɣ 12 uran wihin okaynen, daɣ ahan adinat nalɣayal amaradaɣ daɣ asikil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</si>
  <si>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</si>
  <si>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</si>
  <si>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[ma aikaci/ ma aikacia :Tambaya zabe ]
[shawarwari don bayanawa: kuna shuka dian itace ne domin sayarwa ko kuma don ci
Kuna kiwon bisashe ne domin sayarwa ko kuma don anfani da su,hata da kayayakin da suka shafi abin da ya fito daga kiwo kamar nama,madara,ulu ko kuma fata ;daya daga cikin en gidan ku sun tafi da dabobi daji ne a halin yanzu don kiwo?]</t>
  </si>
  <si>
    <t>[Hantum ka : Hayyan bero kan iri ga te aran se wane bon dey no.]
[ALAMA : Aran ga fari no nerandi wal nwari se ? Aran ga almane kuruu nerandi wala nwari se, ira hada heykulu kan ga funu almane ga, danga hame,waa, couro ? Sohon me kino bon aran wane koireyze fo koy sadji no da almaney ?]</t>
  </si>
  <si>
    <t>[TINNDINOOJE : JAWAABU GOOTO. WO ƳAMNGAL GOOTAL CUƁEETE. ƳAMAAƊO ON NA HAANI JAABO. TA NJEGGITON ƳAMUDE E EGGOL DU.]
[MAANAA : ƁAADE NDEN FUH HAWTU JAWDI WOOƊI E LE'AL GOOTAL ƁE ƝAAMDATA].
Rèmal mon gan tchan’nol non na gan gna’mal no ? Dourwol bissadjé ma gan tchan’nol non na gan gna’mal no ?</t>
  </si>
  <si>
    <t>[EMASESTƏN : ALƏƔI IYANDAƔ. AMOS ASOSTAN WA ATIWASANAN DAƔ UKIS. AWADIM WA ATIWASASTANAN ANIHAGA ADISUDMIR. WAHIN TITUWAM ASISTINAM ƏN ASOSTAN FAL MISUKAL].
 [ASIKIN : ALƔAYAL EQAL AYERTAYAN ƏN ADINAT WI IDARNEN DAK, TUZANEN TANFOTEN ƏD TATANEN DAƔ AKOS IYANDAƔ].</t>
  </si>
  <si>
    <t>select_one yes_no</t>
  </si>
  <si>
    <t>hh_fish</t>
  </si>
  <si>
    <t xml:space="preserve">Has anybody in your household been engaged in aquatic production [fish catch or aquaculture farming] for household consumption or for sales in the past 12 months? </t>
  </si>
  <si>
    <t>Quelqu'un dans votre ménage a-t-il été impliqué dans la production aquatique [prise de poisson ou aquaculture] pour la consommation du ménage ou pour la vente au cours des 12 derniers mois?</t>
  </si>
  <si>
    <t xml:space="preserve">Wani ne a cikin garinka ya take da alƙawarin baki [bakin samaki ko ayyuka] don tunaniya ko sahuwa tun 12 kafin shekarun baya?
</t>
  </si>
  <si>
    <t>Aran almiyalo ra boro gono kan ga hamissa di wal kan ga hamissa biri gwayan wala néré yan sé djiro kan bissa ra?</t>
  </si>
  <si>
    <t>Nder hoggo mooɗon goɗɗo no woowi gollideego nder keɓal barke nder ndiyam [nanngol liƴƴi naa  n ou fuu gollal keɓal barke nder ndiyam] ngam nyaamndu hoggo naa connol nder ɗii lebbi 12 bittiiɗi ?</t>
  </si>
  <si>
    <t>Churo koro ay ti  churo Kinda 12 Kowouna allan kamdolaa buni tayi kumbu aw lade buni tchiran kassu nin tchilado yuworo gaana mbeyiya</t>
  </si>
  <si>
    <t>kalatimal awedan daghewan nawan askala igaz ichighil wanabaz in moudaran wine naman chila in kifitan madey anabal waygan daghamass naman fil agana wadikalan tetaye nassan madey inazanassan ghour marawadan dichine wintilkamate</t>
  </si>
  <si>
    <t>[HINT FOR PROBING: It should not include sports fishing. It should be about production of aquatic products [fish catch or aquaculture farming] for household consumption or sales.]</t>
  </si>
  <si>
    <t>[CONSEIL LORS DU SONDAGE : cette question et réponse ne devraient pas inclure la pêche sportive. Il s'agit plutôt de la production de produits aquatiques [prise de poisson ou aquaculture] pour la consommation ou la vente des ménages.]</t>
  </si>
  <si>
    <t>[TAMBAYAR WADANDAYE: wanga tambayoyin ba su chahi ma su zuwa kama kifi dan son ray ba, an'ma sun chahi ma su sana'ar kama kifi  [bakin samaki ko ayyuka] don tunkarar ko sahu ko sahiyar saƙo].]</t>
  </si>
  <si>
    <t>[Konkonsa yamar yan'wo : hayan'wo da tou yan 'wo fataoutchi darbey yan na ga goune, manti]</t>
  </si>
  <si>
    <t>POOƊOL HAKKILO WAKKATI ETOL PUƊƊIRGOL : ƴamal ngal e nootal ngal haana njahda liƴƴaaki fijooɓe. No  keɓal barke faro fuu ko tawaa nder ndiyeele  [nanngol liƴƴi naa fuu gollal keɓal barke nder ndiyam] ngam nyaamndu naa connol hoggooji/gure]</t>
  </si>
  <si>
    <t xml:space="preserve">(Haware kala kan kuladachidi ma'ri: Jande koro koro atti ama buniwi tchare kubu nanga yeh rounjou, ama buni tchariri galanga nagoro koro koro a ti kan za nini) </t>
  </si>
  <si>
    <t>inissikha ghour imidkil : issistan widi daljawab nete wirtaniha ichighil wan Aman . wirtaniha har arate wadikalan abaz imoudaran wine aman chilanabaz in kifitan madey anabal waygan daghamass naman ikalan arate izamatchine madey dinzanzine</t>
  </si>
  <si>
    <t>end_group</t>
  </si>
  <si>
    <t>generalInfo</t>
  </si>
  <si>
    <t>GENERAL INFORMATION</t>
  </si>
  <si>
    <t>INFORMATIONS GÉNÉRALES</t>
  </si>
  <si>
    <t>TAMBAYA GABADEY</t>
  </si>
  <si>
    <t>Labari beri</t>
  </si>
  <si>
    <t xml:space="preserve">ANNDINOOJE MAWƊE </t>
  </si>
  <si>
    <t xml:space="preserve"> Hawarra Sammmaso</t>
  </si>
  <si>
    <t>issalan koul</t>
  </si>
  <si>
    <t>${resp_agree} = '1' and ${hh_agricactivity} != '5' and ${hh_agricactivity} != '6'</t>
  </si>
  <si>
    <t>resp_id</t>
  </si>
  <si>
    <t>Are you the head of household?</t>
  </si>
  <si>
    <t>Êtes-vous le chef de ménage ?</t>
  </si>
  <si>
    <t xml:space="preserve">Ku ne mai gidan? </t>
  </si>
  <si>
    <t xml:space="preserve">Aran kati windo djine bora? </t>
  </si>
  <si>
    <t>An wani dontidjo baadé ma?</t>
  </si>
  <si>
    <t xml:space="preserve">Nyiyaa kura fatoyewo? </t>
  </si>
  <si>
    <t>Ataqalad amɣar ən amazaɣ?</t>
  </si>
  <si>
    <t>hh_gender</t>
  </si>
  <si>
    <t xml:space="preserve">Is the head of your household male or female? </t>
  </si>
  <si>
    <t>Le chef de votre ménage est-il un homme ou une femme ?</t>
  </si>
  <si>
    <t>Jagoran gidanku namiji ne ko mace?</t>
  </si>
  <si>
    <t>Aran windo djine boro albor no wala weybor no?</t>
  </si>
  <si>
    <t>Jom wuro mon wo Debbo naa Gorko?</t>
  </si>
  <si>
    <t>Kura fatoid3 kongaa la kamu?</t>
  </si>
  <si>
    <t>Anamokal ən alɣayal nawan eqal ahalis meɣ tamaƭ ?</t>
  </si>
  <si>
    <t>${resp_id} != '1'</t>
  </si>
  <si>
    <t>select_one edu</t>
  </si>
  <si>
    <t>hh_education</t>
  </si>
  <si>
    <t xml:space="preserve">What is the educational level attained by the head of household? </t>
  </si>
  <si>
    <t>Quel est le niveau d'éducation du chef de votre ménage ?</t>
  </si>
  <si>
    <t>Dai dai wane aji jagoran gidan naku ya tshaya?</t>
  </si>
  <si>
    <t>Aran windo djine bora tchaw?</t>
  </si>
  <si>
    <t>Faa toy dontidjo baadé mon darnii janndé moune?</t>
  </si>
  <si>
    <t>Abi chi k3ra kura fatoimandoi d3?</t>
  </si>
  <si>
    <t>Indek hadi ən teɣare ta iwad anamokal ən alɣayal nawan ?</t>
  </si>
  <si>
    <t>select_one water</t>
  </si>
  <si>
    <t>hh_wealth_water</t>
  </si>
  <si>
    <t>Where does the water that you drink at home come from?</t>
  </si>
  <si>
    <t>Où procurez-vous habituellement l'eau que vous buvez dans votre foyer ?</t>
  </si>
  <si>
    <t xml:space="preserve">A ina kuke samo ruwan da kuke anfani da shi don sha a gidan? </t>
  </si>
  <si>
    <t>Man no aran ga hanyan har ikan aran almiyalo ga goy da?</t>
  </si>
  <si>
    <t>Toy djogo’tom diame jartédan badéé mon ?</t>
  </si>
  <si>
    <t>Ndaran nji doi fandon yawinnad3 ishin?</t>
  </si>
  <si>
    <t>Indek diha əd-ditifalan aman wi sasam ɣur ehan ?</t>
  </si>
  <si>
    <t>select_one toilet</t>
  </si>
  <si>
    <t>hh_wealth_toilet</t>
  </si>
  <si>
    <t>Where do household members typically go to use the toilet?</t>
  </si>
  <si>
    <t>Quel genre de toilettes les membres de votre ménage utilisent-ils?</t>
  </si>
  <si>
    <t>Wane irin bandaki yan iyalin ku ké anfani da shi?</t>
  </si>
  <si>
    <t>Hal aran té sadjora mouradou, koira bandan no aran ga koy wala mo aran gonda kossandi kan ga a té?</t>
  </si>
  <si>
    <t>Iri ɗeye lootorɗe ɓiɓɓe hoggo mooɗon naftportoo?</t>
  </si>
  <si>
    <t xml:space="preserve"> Nagadi ndayin  Finza fadon faydaniwi</t>
  </si>
  <si>
    <t>mini inough nahan nichirid wassataghmal aghiwan nawan</t>
  </si>
  <si>
    <t>select_one light</t>
  </si>
  <si>
    <t>hh_wealth_light</t>
  </si>
  <si>
    <t>What is the main source of light in your dwelling?</t>
  </si>
  <si>
    <t>Quelle est la principale source de lumière de votre logement ?</t>
  </si>
  <si>
    <t>Menene babban tushen haske a cikin gidan ku?</t>
  </si>
  <si>
    <t>Dandji fo douma no aran ga goy windora?</t>
  </si>
  <si>
    <t>Iri ngale laytal naftortoɗon nder hoggo mooɗon ?</t>
  </si>
  <si>
    <t xml:space="preserve"> Kannu haskey ir fizan  ndayin fadon faydaniwi</t>
  </si>
  <si>
    <t>memoss arate wastichghalam dagha agana wadikalan ikouss in chiyaye dagh ehanawane</t>
  </si>
  <si>
    <t>select_one residence</t>
  </si>
  <si>
    <t>hh_residencetype</t>
  </si>
  <si>
    <t>Which in the following types of residence best describes your residence?</t>
  </si>
  <si>
    <t>Parmi les propositions suivantes, laquelle décrit le mieux votre résidence ?</t>
  </si>
  <si>
    <t>A cikin waennan wane ne yafi kwatanta matshayin ku?</t>
  </si>
  <si>
    <t>Wey kan yan iga ki sohoda ra wofo no ga himanda nonkan ra aran go ga?</t>
  </si>
  <si>
    <t>Ley jonndeeji limtaaɗi fuh ndele ɓuri hollinde galle mon?</t>
  </si>
  <si>
    <t>Suro naa adiyenlan ndara nandowa samunz3?</t>
  </si>
  <si>
    <t>Daɣ haditan ən ihinan wi ilkamnen, indek wa asisknan hulen ehan wanak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</si>
  <si>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</si>
  <si>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</si>
  <si>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 xml:space="preserve">[MAI GUDANARWA: KARANTA ZAƁUKAN. AMSA GUDA ƊAYA.]
[NUSARWA: IDAN MAI BAYAR DA AMSAR YA BAR GIDA NA WANI ƊAN LOKACI (&lt;WATA 6)KO YA TASHI DA DABBOBI, KA TABBATA KA NUNA GIDANSU ida  SUKE da zama.]
</t>
  </si>
  <si>
    <t>[ hantum ka :  tuyan fonlon.]
[ALAMA:hal dey bora kan aran goga ha moru fuyan goy se kan lokacio si ku ga bissa handout idou wala sadji koyyan da almaney se,I ma hantoum nonkan a go za hanno.]</t>
  </si>
  <si>
    <t>[GOLLOOWO : JANNGON MIILO FUH. SUƁOƊOL GOOTEL.]
[MAANAA : SO JAABOTOOƊO ON WO DILLU TEFOY DE MAA WO EGGU FUH KEƊƊOƊON GAARTOL (LEWRU 6)MAKKO DE NJAHON TO O JOOƊII JOONI ƊON.].</t>
  </si>
  <si>
    <t xml:space="preserve">[LAI:JAWAUWA MAD3 FATOWA KOLZ3NA KAU GANAALARO (&lt;K3NTAU 6)AU NAFALLONO, NANZA BUROSALAKK3RO SANDIYA KALANNE.]
</t>
  </si>
  <si>
    <t>[EMASESTƏN : AƔIRE TABARATEN. ALIƔI IYANDAƔ].
[ASIKIN : AFAL WA ISIDMURAN  WAREQEL AWINAN AJIHA DAƔ AMAZAƔ YE AŠIƔIL NALWAQ ƏNDIRAN (&lt;6 URAN)MEƔ FAL IHINAN, ANIHAGA ATIGID NEHAL YE ALƔAYAL INES YE UƔIL ƔUR DIHA DILA AGUDAK].</t>
  </si>
  <si>
    <t>hh_size</t>
  </si>
  <si>
    <t>How many people are part of the household?</t>
  </si>
  <si>
    <t>De combien de personnes est composé votre ménage ?</t>
  </si>
  <si>
    <t>Mutum nawa ne a cikin gidan ku?</t>
  </si>
  <si>
    <t>Boro marge no aran wene koira?</t>
  </si>
  <si>
    <t>Himɓe foto njeyaa e wuro ngo?</t>
  </si>
  <si>
    <t>Am ndawu fatod3n?</t>
  </si>
  <si>
    <t>Maniket adinat ahanen alɣayal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</si>
  <si>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</si>
  <si>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</si>
  <si>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[ma aikaci: ku rubuta adadin mutanen gidan. Ku rubuta 888 don rishin sani.ko kuma 999 don kin amsawa ] [nasiha: en gida guda sunne suke zawne wuri guda suna rayuwa tare a nemo a  kuma 
 dinga abinci tare]</t>
  </si>
  <si>
    <t>[HANTUM Ka: wa HANTUM bora marguia kan gono. Wa hantum 88 djan ga bery se da  99 wandji ga tuyan se]
[ALAMA: da aran go windi fo aran hima ga goro  nongu fo,aran ma keki ga kande ga nwaa tu folon ra.]</t>
  </si>
  <si>
    <t>[GOLLOOWO: MBINNDON ADADU HIMƁE ƁAADE MAA WATTON 88 SO ON ANNDAA MAA 99 SO SALAADE].
[HINT: MAANAA: ƁAADE NDEN FUH HAWTU JAWDI E ƳAAMEE LEY NOKKU GOOTO.]</t>
  </si>
  <si>
    <t>[KUNDOMA: IKKE ADUDU YELLA FATOD3N DASAANAMAD3. KIKE 888 RO NOZA NYI KURU 989 RO WANO] [LAI: SURO AM FATODERO WOLTURO, AM FATODIYE SANDIYE NA FALLIN NAMTASO, AWO Y3KT3SO KURU NJE FALLIN KUMBU BOOSO.]</t>
  </si>
  <si>
    <t xml:space="preserve"> [EMASESTƏN : SAQAYMU HADI ƏN ALJAMAƔAT ƏN ALƔAYAL. AGIŠ 988 FAL AD WITISENAD ƏD 999 DAL TUNGIT].
[ASISIƔID : FAL IGI ƏN UGISH ƏN AMAZAƔ, HADI ANIHAGA AS IZAƔAN dǎɣ EHAN IYANdǎɣ, TUZANAN TAMAƔATERTE ƏD TATAN dǎɣ AKOS IYANdǎɣ].</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</si>
  <si>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</si>
  <si>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</si>
  <si>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</si>
  <si>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</si>
  <si>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</si>
  <si>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Shin gidan ku yana da ɗaya daga cikin waɗannan kaddarorin masu amfani?</t>
  </si>
  <si>
    <t xml:space="preserve">aran wido gonda goy guiney no kirgba ga aran han </t>
  </si>
  <si>
    <t>Hoggo mooɗon no woodi keɓirɗum barke hano nii ?</t>
  </si>
  <si>
    <t>Nyiye fatomanumme banalaa k3ntauwa 3 koz3na allan sowond3naa, kuru adai ma, jirifi?</t>
  </si>
  <si>
    <t>Amazaɣ nawan yala igraw tadhil ihat ɣur dǎɣ 3 uran wi hin okaynen, əd afal iya, əs indek əmik?</t>
  </si>
  <si>
    <t>[INSTRUCTIONS: MULTIPLE RESPONSES POSSIBLE. READ ANSWER OPTIONS OUT LOUD.]</t>
  </si>
  <si>
    <t>[OPÉRATEUR / OPÉRATRICE : PLUSIEURS RÉPONSES POSSIBLES. LIRE LES OPTIONS DE RÉPONSE À HAUTE VOIX.]</t>
  </si>
  <si>
    <t>[Mai aiki: AMSOSHI DAYAWA IYAWA. KARANTA ZABEN AMSA.]</t>
  </si>
  <si>
    <t>Haka, minga guinda sabou, gatchi touyan kan adou</t>
  </si>
  <si>
    <t>[GAƊOOWO GOLLAL NGAL DEBBO NAA GORKO : NOOTANƊE ƊUUƊUƊE NO MBAAWI HEƁOOGO. ƊUM TOWNINA KONNGOL FARO JANNDE IRI NOOTANNƊE KEƁETEEƊE.]</t>
  </si>
  <si>
    <t>[KUNDOMA: JAWAU NGUWU. K3RANE AWO SUROID3.]</t>
  </si>
  <si>
    <t>[ƏMASESTƏN : ƏLIƔITAN AJOTNEN. WATAƔRED TABARATEN.]</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</si>
  <si>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</si>
  <si>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</si>
  <si>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</si>
  <si>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</si>
  <si>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</si>
  <si>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 xml:space="preserve">Shin ku ko dan gidan ku kuna da ɗaya daga cikin abubuwan hawa masu zuwa?
</t>
  </si>
  <si>
    <t>Aran wal aran windora boro fo gonda motey wo ra douma fo?</t>
  </si>
  <si>
    <t>Nder hogoo mooɗon i woodi gooɗuɗo hano looreeji ɗii ?</t>
  </si>
  <si>
    <t xml:space="preserve"> Mota fadon mbeyi kanum aw ja"amado fedayan</t>
  </si>
  <si>
    <t>aghiwan nawan ihaye awedan Ilan iri in tourifte ta?</t>
  </si>
  <si>
    <t>select_one maritalstat</t>
  </si>
  <si>
    <t>hh_maritalstat</t>
  </si>
  <si>
    <t xml:space="preserve">What is the head of household’s current marital status? </t>
  </si>
  <si>
    <t>Quel est le status marital actuel du chef de ménage ?</t>
  </si>
  <si>
    <t xml:space="preserve">Ya matsayin auren jagoran gidan a halin yanzu? </t>
  </si>
  <si>
    <t>Aran koira gine bora gonad hidjey ?</t>
  </si>
  <si>
    <t>Jom wuro jooniijo o ndewluɗo naa o gortaalo?</t>
  </si>
  <si>
    <t xml:space="preserve">Kura fatoid3 kamua la kamu ba? </t>
  </si>
  <si>
    <t>Indek awa eqal aduban ən anamokal ən alɣayal ?</t>
  </si>
  <si>
    <t>Income_Shocks_group</t>
  </si>
  <si>
    <t>INCOME SOURCES, LIVELIHOODS AND SHOCKS</t>
  </si>
  <si>
    <t>SOURCES DE REVENUS, MOYENS DE SUBSISTANCE ET CHOCS</t>
  </si>
  <si>
    <t>TUSHEN KUDI, ARZIKI DA TSORO</t>
  </si>
  <si>
    <t>hankan ga da aransse norou</t>
  </si>
  <si>
    <t>GOLLE KEƁIRƊE CEEDE, LAABI GUURIƊI E PADDORƊE</t>
  </si>
  <si>
    <t xml:space="preserve"> Chana'a finwa gala ma ro  adu awi furtunzuwa kuna</t>
  </si>
  <si>
    <t>select_one incomesource1</t>
  </si>
  <si>
    <t>income_main</t>
  </si>
  <si>
    <t>What was your household's main source of income in the past 3 months?</t>
  </si>
  <si>
    <t>Quelle était la principale source de revenu de votre ménage au cours des trois derniers mois ?</t>
  </si>
  <si>
    <t>Menene sular k una farko na samun abun hanun ku a guidan a watani 3 nan da suka shige ?</t>
  </si>
  <si>
    <t>Ifo  ti aran almiyalo norou keki yan fonda  handu hinzey kan bissa ra?</t>
  </si>
  <si>
    <t>Ley lebbi tati sakitiiɗi ɗi ɗume tawaa gollal hooreyan nannanoowan ɓaade mon jawdi?</t>
  </si>
  <si>
    <t>Abi Lai kenyakkmiyo fatomaye lai nze fandiyeyo kintauwa 3 kozina allan?</t>
  </si>
  <si>
    <t>Indekat tabarat ta tatiwasanat ən agaraw ən alɣayal nawan daɣ alwaq ən 3 uran wi ilkamnen ?</t>
  </si>
  <si>
    <t>[INSTRUCTIONS: REFUSED OPTIONS SHOULD BE AVOIDED AS MUCH AS POSSIBLE.]</t>
  </si>
  <si>
    <t>[INSTRUCTIONS :  L'OPTION «REFUSÉ» DOIT ÊTRE, AUTANT QUE POSSIBLE, ÉVITÉE.]</t>
  </si>
  <si>
    <t>[HUKUNCIN: ZA A GUJEWA ZABIN “DA AKE KI” IRIN YIWU.]</t>
  </si>
  <si>
    <t>touyan wo ma ba da tchanga  touyan wo</t>
  </si>
  <si>
    <t>[TINNDINOOJE: NOOTAAKI «SALAKE » HAANI, FUU NO ƊUM WAƊATA, RUTTEE</t>
  </si>
  <si>
    <t>Oumarni hangalene kam kuladachi man ri marery kassa tchin amassa wakina la nonokini</t>
  </si>
  <si>
    <t>tissousinte :imissistanane adawiyan tarayen koul chinissikan sirisnate digriwan aljawaban yissistanane nassan</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</si>
  <si>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</si>
  <si>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</si>
  <si>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</si>
  <si>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</si>
  <si>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</si>
  <si>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</si>
  <si>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Shin amfanin gonakin kuma ku ne ko wani a cikin gidan ku ke samarwa?</t>
  </si>
  <si>
    <t xml:space="preserve">Farmi guiney karan go nera aran boumbo no go gua i far wala aran windo ra borfo wanne no? </t>
  </si>
  <si>
    <t>Barke demal connaaɗe onon ndemiɗen naa goɗɗo mo nder hoggo mooɗon?</t>
  </si>
  <si>
    <t xml:space="preserve">Kumbu Barey fandou wi ri  wundu tchi ladi kassou nin ni mama la yallan nim fadoyen </t>
  </si>
  <si>
    <t>araten windoutigrawam danabal tizinzamtanine kawaney tanibalan me arate dagh etedan nawan</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</si>
  <si>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</si>
  <si>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</si>
  <si>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</si>
  <si>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</si>
  <si>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Shin ku ko wani a gidanku ne ke sayar da dabbobin ko dabbobin?</t>
  </si>
  <si>
    <t>Almanney da djiney kan ga funu almaney ga kan aran goga nera aran wanne no wala aran windo ra borfo wanno?</t>
  </si>
  <si>
    <t>Bisaaji naa barke keɓeteeɗo e bisaaji connaaɗo onon ngaɗataɗum naa goɗɗo mo hoggo mooɗon ?</t>
  </si>
  <si>
    <t xml:space="preserve">Limane aw kumbu  limane  tcham so tchoukou so nandi ambazo la kam layeh </t>
  </si>
  <si>
    <t>ihirwan madey arate watandigmadan tizinzamtanine kawaney tidikasan me arate dagh etedan nawan</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</si>
  <si>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</si>
  <si>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</si>
  <si>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</si>
  <si>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</si>
  <si>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Shin kifaye ko kayan da ake sayar da su na cikin ruwa su ma kai ko wani dangin ku ne suka kama su?</t>
  </si>
  <si>
    <t>Hamissey kan i go ga néré, aran no go ga ii di wal aran windora boro fo?</t>
  </si>
  <si>
    <t>Liƴƴi naa barke keɓeteeɗo nder ndiyam cottaaɗo onon nanngi ɗi naa keptiɗum naa goɗɗo mo nder hoggo mooɗon?</t>
  </si>
  <si>
    <t xml:space="preserve">Buni ri la kumbu so  kassou ladiwirin  wounwoundou woundou so  tchara  ni la yallan nim so buni ra tcha ra </t>
  </si>
  <si>
    <t>kifitan madey arate wadigmadan imbal dagh aman kawaney tandibazan me arate dagh etedan nawan</t>
  </si>
  <si>
    <t>${income_main} = '6'</t>
  </si>
  <si>
    <t>decimal</t>
  </si>
  <si>
    <t>income_main_amount</t>
  </si>
  <si>
    <t>How much was earned (in Francs CFA) from your main income source, ${incomemain}, in the past 3 months ?</t>
  </si>
  <si>
    <t>Quelle somme (en Francs CFA a rapporté votre principale source de revenu, ${incomemain}, au cours des trois derniers mois ?</t>
  </si>
  <si>
    <t>Kama nawa aka samu [a kuɗin CFA] abuda kukeyi {income_main},ya kawo muku wata uku da suka shige?</t>
  </si>
  <si>
    <t>Margue goyo kan aran goga noro kekin da kade aran se handu hinzey kan bissa ra?</t>
  </si>
  <si>
    <t>No CFA buudi foti heɓuɗon e gollal mon hooreyal nannangal ɗiɗi on jawdi ${incomemain}}, ley ko sakitii e ɗi lebbi 3.</t>
  </si>
  <si>
    <t>Ndawu fandum [ kunguna CFA ] suro lainum kunguna fandoi madin, {income_main}, kuntauwa 3 kozina allan?</t>
  </si>
  <si>
    <t>Maniket atigrawam [daɣ CFA] ən tanak tabarat nagaraw, {income_main}, ɣur karad uran wi dilkamnen ?</t>
  </si>
  <si>
    <t>[INSTRUCTIONS: MAKE SURE THE INFORMATION IS RECORDED IN THE CORRECT CURRENCY. ENTER 888 FOR DON'T KNOW AND 999 FOR REFUSED.]</t>
  </si>
  <si>
    <t>[INSTRUCTIONS : VÉRIFIER QUE LE MONTANT EST ENREGISTRÉ DANS LA BONNE DEVISE. SAISIR 888 POUR «NE SAIT PAS» ET 999 POUR «REFUSÉ».]</t>
  </si>
  <si>
    <t>[HUKUNCIN: ku tabatarda kun rubuta amsa a cikin farashin da ya kamata,ku danna 88888888 don rishin sanni DA KUMA 99999999 A MATSAYIN kin amsawa.]</t>
  </si>
  <si>
    <t>[ HANTUM ka: wa tabatandi kan I na noro dima hantum ka bori.HANTUM 888 djan ga beyrey SE, 999 wandjin gat u yan se]</t>
  </si>
  <si>
    <t>[TINNDINOOJE : TAYKINEEKE KE JAWAABU ON NA SELLI. MAA WONNITOƊON ON. ADEE 888 SO ON ANNDAA MAA 999 SO SALAADE.].</t>
  </si>
  <si>
    <t>[KUNDOMA: walt3na rui nyiye am kattuu kamzanaa &amp; awo gulzanauso kalkallo kala kung3na gulzanad3n ikke. IKKE 8888888 NO ZAYI ro kuru 9999999 WAANO ro.]</t>
  </si>
  <si>
    <t xml:space="preserve">[EMASESTƏN: ASIN AS ISALAN WARAQELAN AWINAN IKNA ƏD AQALAN AQIYMAN DAƔ AHUSKEN OƔADAN. AGU 888 AFAL WATISENAD ƏD 999 FALTUGINT].
</t>
  </si>
  <si>
    <t>. &gt; 5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</si>
  <si>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</si>
  <si>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</si>
  <si>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</si>
  <si>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</si>
  <si>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</si>
  <si>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 xml:space="preserve">Kuna iya tabatarwa da adadin kudin da kuka fada hakanan ne? </t>
  </si>
  <si>
    <t xml:space="preserve">Aran ga hini ga tabatandi kan noro kan aran ki iri se yadine no ?
</t>
  </si>
  <si>
    <t>Na on heɓi ngonndinde ke adadu buuɓi keɓal ɗi mbiiɗon ɗi wo noon?</t>
  </si>
  <si>
    <t xml:space="preserve">Nyiye walt3m adudu fandiyimme gullumamad3 gulluminna? </t>
  </si>
  <si>
    <t>Tadobem asidutem as hadi nagaraw wa tisiknam eqal oɣadan ?</t>
  </si>
  <si>
    <t>[INSTRUCTIONS: IF THE RESPONDENT CONFIRMS THAT THE INCOME AMOUNT EARNED FROM THIS INCOME SOURCE OVER THE PAST 3 MONTH IS INDEED OVER 450000, CLICK ON CONTINUE. OTHERWISE, GO BACK AND CHANGE THE AMOUNT ENTERED.]</t>
  </si>
  <si>
    <t>[INSTRUCTIONS :  SI LE RÉPONDANT CONFIRME QUE LE MONTANT ISSU DE CETTE SOURCE DE REVENU AU COURS DES TROIS DERNIERS MOIS EST BIEN SUPÉRIEUR AU 450000, CLIQUER SUR CONTINUER. SINON, REVENIR EN ARRIÈRE ET MODIFIER LE MONTANT SAISI.]</t>
  </si>
  <si>
    <t>[HUKUNCI: KYAUTA A KADAN KALMOMI BABBAN SAKAMAKON ARZIKI NA KWANA. Shigar da 888 DON "BAN SANI" DA 999 DON "KASHI"].</t>
  </si>
  <si>
    <t>Da haka tchi aranse hanka d'où gato 450 000 aan koy da guitare, da neh aussitôt aran m'a ye banda ga hanser</t>
  </si>
  <si>
    <t>[TINNDINOOJE : SENII NOOTOTOOƊO TABBININII CEEDE KEƁAAƊE NDER GOLLE ƊEN NDER LEBBI TATI BITTIIƊI, MBITTAKE UJUNAAJE 90 (450000 FCAF) , NOƳƳEE DOW YAHA YEESO. NDE WANAA NON  WARTA GAƊA NDEN MOƳƳINA CEEDE ƊE WINNDI ]</t>
  </si>
  <si>
    <t>Dama fonduma koromanum niro tabbatcuw jarzu kindawu yasku
ngawoye kozuna allan 450000 tacinaa ranne lezu wande ngoworo woltuni.</t>
  </si>
  <si>
    <t>[EMASESTƏN: AFAL HADI NAWA ATWAGRAWAN ƏN TABARAT TEN ƏN AGARAW DAƔ KARAD URAN WI ILKAMNEN EQAL OGARAN 450 000 ƏFA, AGIŠ FAL UKIY. AFAL BABO, AQILID ƏZDARAƬ ƏD SIMUTIY HADI WA TIGED].</t>
  </si>
  <si>
    <t xml:space="preserve">${income_main_amount} &gt;= 450000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</si>
  <si>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</si>
  <si>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</si>
  <si>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</si>
  <si>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</si>
  <si>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 xml:space="preserve">Menene jinsi na memba (s) da ke samar da kudin shiga daga wannan tushe?
</t>
  </si>
  <si>
    <t>Windora, weyborey wal alborey no go ga kambé dan tcharra ga goyo té?</t>
  </si>
  <si>
    <t>Rewɓe non naa worɓe ngoni no keɓa ceede ɗen?</t>
  </si>
  <si>
    <t xml:space="preserve">Churo fandoyen kamu la gonga douno waro na wiro ma royen   </t>
  </si>
  <si>
    <t>mamossan etedan chidoden me medan winogarnen aguenarate ?</t>
  </si>
  <si>
    <t>select_one gender_inc_2</t>
  </si>
  <si>
    <t>income_main_control</t>
  </si>
  <si>
    <t xml:space="preserve">Who controls the revenue that is earned from this source? </t>
  </si>
  <si>
    <t xml:space="preserve">Qui contrôle les revenus qui proviennent de cette source? </t>
  </si>
  <si>
    <t>Wanene ke sarrafa kudaden shiga da ke fitowa daga wannan tushe?</t>
  </si>
  <si>
    <t>May no go ga haggoy da noro kan i go ga dou goyo ra?</t>
  </si>
  <si>
    <t>Mo woni deenoowo rsiku keɓaangu nder ngollal ngal ?</t>
  </si>
  <si>
    <t xml:space="preserve"> Kamm wundu do fandon chana'a adiye kladu curin</t>
  </si>
  <si>
    <t>metifan darate wassataghmalan etedan ?</t>
  </si>
  <si>
    <t>select_one change</t>
  </si>
  <si>
    <t>income_main_comp</t>
  </si>
  <si>
    <t>Has your household's income from ${incomemain} changed in the last 3 months compared to the same period of a normal year?</t>
  </si>
  <si>
    <t>Le revenu de votre ménage provenant de ${incomemain} a-t-il changé au cours des trois derniers mois par rapport à la même periode de une année normale ?</t>
  </si>
  <si>
    <t xml:space="preserve">Shin tushen kudin da kuke {income_main} samu ya canza cikin watanni uku da suka shige idan aka kwatanta da lokaci kamar wannan a cikin shekara irin na kulum? </t>
  </si>
  <si>
    <t>Aran  wane noro kan aran du goyo karan te  wate handu hinzey kan bissa barmey danga sonkine guiro kan bissa?</t>
  </si>
  <si>
    <t>Keɓal ɓaade mooɗon {income_main} waylake nder lebbi 3 cakitiiɗi ɗii so fonndaama e hono oo wakkati e hitaande hiɓɓunde fuh?</t>
  </si>
  <si>
    <t>Fandi fatomanumme ${incomemain} falt3naa k3ntauwa yakku 3 koz3na Allan sha saa k3mende allan?</t>
  </si>
  <si>
    <t xml:space="preserve">Yala igarawan ən amazaɣ nawan wad idahanen əs ${incomemain} amutayan ɣur dǎɣ 3 uran widǎɣ ahin okaynen dǎɣ sund alwaq ən azaman dǎɣ awatay əmdan?
</t>
  </si>
  <si>
    <t>select_one incomesource2</t>
  </si>
  <si>
    <t>income_sec</t>
  </si>
  <si>
    <t>What was your household's second most important source of income in the past 3 months?</t>
  </si>
  <si>
    <t>Quelle était la deuxième source principale de revenu de votre ménage au cours des trois derniers mois ?</t>
  </si>
  <si>
    <t>Ngolle won laawol keɓal ɗiɗaɓol ɓurngol nannande ɓaade jawdi ley lebbi 3 sakitiiɗi ɗi?</t>
  </si>
  <si>
    <t>Abi Lai kindimiyo fatomaye lai nze fandiyeyo kentauwa 3 kozena allan?</t>
  </si>
  <si>
    <t>Indek tas sanatat tabarat ən agaraw wa togarat tanfo ən alɣayal nawan ɣur 3 uran wi dilkamnen ?</t>
  </si>
  <si>
    <t>[INSTRUCTIONS: DON'T KNOW AND REFUSED OPTIONS SHOULD BE AVOIDED AS MUCH AS POSSIBLE.]</t>
  </si>
  <si>
    <t>[INSTRUCTIONS :  LES OPTIONS «NE SAIT PAS» ET «REFUSÉ» DOIVENT ÊTRE ÉVITÉES AUTANT QUE POSSIBLE].</t>
  </si>
  <si>
    <t>[ Gargajiya: JAWAU FAL NGULONG. WAANO GOTAD3 ZAURO NGUU MBEJIMA NG3LAU.]</t>
  </si>
  <si>
    <t>not(selected(${income_main}, name))</t>
  </si>
  <si>
    <t>incomesec</t>
  </si>
  <si>
    <t>jr:choice-name(${income_sec},'${income_sec}')</t>
  </si>
  <si>
    <t>income_sec_crop_check</t>
  </si>
  <si>
    <t>Doumarisey kan I go ga néré, aran no ni douma wal mo aran windora boro fo?</t>
  </si>
  <si>
    <t xml:space="preserve">Isigyak wihin tišišanmin aqalan adizgaran fal lawan meɣ fal awadim ən alɣayal nawan ?
</t>
  </si>
  <si>
    <t xml:space="preserve">${income_sec} = '1' or ${income_sec} = '2' or ${income_sec} = '3' </t>
  </si>
  <si>
    <t>income_sec_ls_check</t>
  </si>
  <si>
    <t>Almaney wal almaney albarka kan I go néré, aran no na ii biiri wal aran windora boro fo?</t>
  </si>
  <si>
    <t>Arizeg əd aratan ən arizeg wa šanšem aqalan atigam kawaned me meɣ awadəm iyan ən alɣayal nawan ?</t>
  </si>
  <si>
    <t>${income_sec} = '4'</t>
  </si>
  <si>
    <t>income_sec_fish_check</t>
  </si>
  <si>
    <t>Aratan wi nukis ən manan wi šanšem aqalan atiwagan əs kawaned meɣ awadəm iyan ən alɣayal nawan ?</t>
  </si>
  <si>
    <t>${income_sec} = '6'</t>
  </si>
  <si>
    <t>income_sec_comp</t>
  </si>
  <si>
    <t>Has your household's income from ${incomesec} changed in the last 3 months compared to the same period of a normal year?</t>
  </si>
  <si>
    <t>Le revenu de votre ménage provenant de ${incomesec} a-t-il changé au cours des trois derniers mois par rapport à la même période de une année normale ?</t>
  </si>
  <si>
    <t>Shin kuɗi da kuke nema a canza a cikin watani uku da suka shige idan a ka kwatanta shekara ta kulum?</t>
  </si>
  <si>
    <t>Aran  wane noro kan aran du goy hinkanta  karan te  wate handu hinzey kan bissa barmey danga sonkine guiro kan bissa?</t>
  </si>
  <si>
    <t xml:space="preserve">Keɓal keɓal ɓaade mooɗon ƴuwoowal e ${incomesec}  waylake nder lebbi 3 cakitiiɗi ɗii so fonndaama e hono oo wakkati e hitaande hiɓɓunde fuh? </t>
  </si>
  <si>
    <t>Fandi fatomanumme ${incomesec} falt3naa k3ntauwa yakku 3 koz3na Allan sha saa k3mende allan?</t>
  </si>
  <si>
    <t xml:space="preserve">Yala igarawan ən amazaɣ nawan wad idahanen əs {income_sec} amutayan ɣur dǎɣ 3 uran widǎɣ ahin okaynen dǎɣ sund alwaq ən azaman dǎɣ awatay əmdan?
</t>
  </si>
  <si>
    <t xml:space="preserve">${income_main} != '19' and ${income_main} != '20' and ${income_sec} != '19' and ${income_sec} != '20' and ${income_sec} != '21' </t>
  </si>
  <si>
    <t>select_one incomesource3</t>
  </si>
  <si>
    <t>income_third</t>
  </si>
  <si>
    <t>What was your household's third most important source of income in the past 3 months?</t>
  </si>
  <si>
    <t>Quelle était la troisième source principale de revenu de votre ménage au cours des trois derniers mois ?</t>
  </si>
  <si>
    <t>Menene sular ku ta uku na samun abun hanun ku a guidan a watani 3 nan da suka shige ?</t>
  </si>
  <si>
    <t>Abi Lai kenyakkmiyo fatomaye ${incomesec} lai nze fandiyeyo kintauwa 3 kozina allan?</t>
  </si>
  <si>
    <t xml:space="preserve">Indek tas karadat tabarat ən agaraw wa ogaran tanfo ən alɣayal nawan ɣur karad uran wi dilkamnen ?
</t>
  </si>
  <si>
    <t xml:space="preserve">[EMASESTƏN : ALƏƔI IYANDAƔ. TABARAT TA TUGAYAT ANIHAGA ATIQIL ATIWAYAN DAƔ HADI ƏN TADABIT].
</t>
  </si>
  <si>
    <t>not(selected(${income_main}, name) or selected(${income_sec}, name))</t>
  </si>
  <si>
    <t>incomethird</t>
  </si>
  <si>
    <t>jr:choice-name(${income_third},'${income_third}')</t>
  </si>
  <si>
    <t>income_third_crop_check</t>
  </si>
  <si>
    <t xml:space="preserve">Doumarisey kan I go ga néré, aran no ni douma wal mo aran windora boro fo?
</t>
  </si>
  <si>
    <t xml:space="preserve">${income_third} = '1' or ${income_third} = '2' or ${income_third} = '3' </t>
  </si>
  <si>
    <t>income_third_ls_check</t>
  </si>
  <si>
    <t xml:space="preserve">Arizeg əd aratan ən arizeg wa šanšem aqalan atigam kawaned me meɣ awadəm iyan ən alɣayal nawan ?
</t>
  </si>
  <si>
    <t>${income_third} = '4'</t>
  </si>
  <si>
    <t>income_third_fish_check</t>
  </si>
  <si>
    <t>${income_third} = '6'</t>
  </si>
  <si>
    <t>income_third_comp</t>
  </si>
  <si>
    <t>Has your household's income from ${incomethird} changed in the last 3 months compared to the same period of a normal year?</t>
  </si>
  <si>
    <t>Le revenu de votre ménage provenant de ${incomethird} a-t-il changé au cours des trois derniers mois par rapport à la même période de une année normale ?</t>
  </si>
  <si>
    <t xml:space="preserve">Shin kuɗi da kuke ${incomethird} nema a canza a cikin watani uku da suka shige idan a ka kwatanta shekara ta kulum? </t>
  </si>
  <si>
    <t>Aran  wane noro kan aran du goy hinzanta  karan te  wate handu hinzey kan bissa barmey danga sonkine guiro kan bissa?</t>
  </si>
  <si>
    <t xml:space="preserve">Keɓal keɓal ɓaade mooɗon ƴuwoowal e ${incomethird}  waylake nder lebbi 3 cakitiiɗi ɗii so fonndaama e hono oo wakkati e hitaande hiɓɓunde fuh? </t>
  </si>
  <si>
    <t>Fandi fatomanumme ${incomethird} falt3naa k3ntauwa yakku 3 koz3na Allan sha saa k3mende allan?</t>
  </si>
  <si>
    <t>Yala igarawan ən amazaɣ nawan wad idahanen əs {income_third} amutayan ɣur dǎɣ 3 uran widǎɣ ahin okaynen dǎɣ sund alwaq ən azaman dǎɣ awatay əmdan?</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</si>
  <si>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</si>
  <si>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</si>
  <si>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</si>
  <si>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</si>
  <si>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</si>
  <si>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 xml:space="preserve">Shin a cikin watani uku da suka shige gidanku ko kuma al ummar ya taba fuskantar wata annoba ko kuma rikici da ya sakaku kashin kudi ko kula yin abinci don cin ku ?  idan hakane wa enne?  </t>
  </si>
  <si>
    <t xml:space="preserve">Handu hinzey kan bissa ra ,aran windo wala aran kawya mane du hasaraw wala lakal tuney kulu kan na aran gandji  noru tetchi yan wala bine aran meh nwaro fari yan?di oho wofoyan ? </t>
  </si>
  <si>
    <t>Kasaara kewtoke maa fitina tampinɗo buudu mon maa galle mon, de saabii ɓuytaari keɓal mon maa ɓuyti semɓe mon no ngaɗoton no de na on ɲammina gure mon ley lebbi 3 sakitiiɗi ɗi?</t>
  </si>
  <si>
    <t xml:space="preserve">Fatomanumye tajirwa laa sha zamzinaa au tajirwa bilai doni fandimma lezinama nasha kumbu kilamme mataro kintauwa 3 kozina allan? </t>
  </si>
  <si>
    <t>Alɣayal nawan yala inhay asuɣsadan meɣ iba ən harat iyan igrawan aljamaɣat nawan meɣ alɣayal nawan əd wa igrawan aśahat nawan ye agaraw ən tanfo əd/meɣ igi ən šiška fal ataɣam  ɣur karad uran wi dilkamnen ?</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</si>
  <si>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</si>
  <si>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</si>
  <si>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[HUKUNCI: ku zabi abubuwan da mutanen gidan suka fuskanta na gilgiza. Za a iya samun amsoshi da dama. Ku fadi gilgiza da a ka samu a bangaren anfanin gona da dabobi , gilgiza ta aka samu a cikin gidan, anoba mai akuwa a haka da kuma wace mutane ke abka ta.]</t>
  </si>
  <si>
    <t>[HANTUM KA: Gwa subane hasrawey kan du aran almiyalo.iga hinni ga du tuyan bobo.i ma guna noru hasaraw,hassaraw kan ga lamba dumarey  da almaney ga,hasarawey kan ga ka yadini kan iri tamo kande da moh weykan borey no ga te a sabili..]</t>
  </si>
  <si>
    <t>[INSTRUCTIONS : ƳUBEE TOORAAJE ƁURƊI TOORUDE ƁAADE NDE. JAABOOJ HEWƊI, NDARTON TOORA JAWDI, JAAGU, DAABAAJI, TOORAAJI ƁAADE, KASAARAJI MAA HIMƁE BONƁE.].</t>
  </si>
  <si>
    <t>[Gargajiya: AWO SHA SAMUNGAA GONE SHIDONI FATOMAI WAKAZ3NAMA. AWO NGUU GOT3 MOWONJIN TANGNE ARZIYI SO, KULOWA DABBAASO, FATOMAISO, MAJIRAWA KAMS3K3NA WA KURU MAJIRAWAA NGAIMA WAKAANASOWA.]</t>
  </si>
  <si>
    <t>[EMASESTƏN : AQIS TAKMO TITBATAT TA TIGRAWAT ALƔAYAL. AJOTNEN ƏLIƔITAN ADOBATNEN. SƏNIHIGAT TAKMO TA NAMAS ƏN ALƔAYAL, ƔUR AƔAŠAD ARTAYNEN DAƔ SIGYAK ƏD ARIZEG, AƔAŠAD NAMAS ALƔAYAL, ASUƔSID NAZAMAN ƏD ASUƔSID ADIFALAN ADINAT].</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</si>
  <si>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</si>
  <si>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</si>
  <si>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</si>
  <si>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</si>
  <si>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Idan kwanan nan wani babban firgici da aka ambata a cikin wannan tantancewa ya shafi gidan ku (misali, girgizar ƙasa), menene kuke tunani kuma a cikin kalmominku sakamakon [an riga an ji ko ana tsammani] ga gidan ku?</t>
  </si>
  <si>
    <t>Guirbey kan bissa massala fo koul mane aran windo kar, da gono aran tchi irse wofo yan no?</t>
  </si>
  <si>
    <t>Senii hoggo mooɗon faddake saɗorma mawɗo nder wakkati ɗum mbinndee nder ngol etol  [hano, diwnol leydi], ɗeye ngoni, e gi'iiɗe mooɗon nder kelme mooɗon, gacceeji [nanaaɗi naa kawraaɗi] nder hoggo mooɗon?</t>
  </si>
  <si>
    <t xml:space="preserve">Wonena fando daayonaro alama joro dibi fando ra batchin karrmo la na,bou wiri nayi damain za kobora nagiri la kanou daji tchijia  jictoulaa kedu tidi kamdo aw nalaa wurto curo
teruwa adiyi fanumiya nachaa kanumin awi jandero cinumin culiyin
</t>
  </si>
  <si>
    <t>koudza aghiwan nawan kaladinamagraw darate labassan chilan  inigunigu namadal matordam kawaney ghour wan daghawal nawan arate wadewaye Adi tifrayamass madey winistikalam dagh aghiwan nawan</t>
  </si>
  <si>
    <t>[INSTRUCTIONS: RECORD IN FEW WORDS THE MAIN CONSEQUENCE OF THE RECENT SHOCKS. ENTER 888 FOR DON'T KNOW AND 999 FOR REFUSED.]</t>
  </si>
  <si>
    <t>[INSTRUCTIONS :  SAISIR EN QUELQUES MOTS LA PRINCIPALE CONSÉQUENCE DES RÉCENTS CHOCS. SAISIR 888 POUR «NE SAIT PAS» ET 999 POUR «REFUSÉ»].</t>
  </si>
  <si>
    <t>laran ma tchi irsser aran massala sintiney</t>
  </si>
  <si>
    <t>[TINNDINOOJE : ƊUM WINNDA KELME GOOƊOM DOW GACCEEJI ƊI KO FADDAA ƊUM WADDI . WINNDEE 888 FARO «ANNDAA» E 999 FARO «SALAKE»].</t>
  </si>
  <si>
    <t>Dama Adine kuladachina, kam amsa ma koro koro. na allan kalma gana runumiya jictula asowa naaduro 888 lene,nonumi fuleyin 999 cutto wayin</t>
  </si>
  <si>
    <t>tissousinte : iktibate dagharate nilkhirifan madrornene arate wadissibaban yibanarate daghadan winizraya , iktibate itamatimade ditamatimirwen ditam assina awedan wirisen id tizayate id tazatimirwin id taza assougaye  sadajawab</t>
  </si>
  <si>
    <t>${shock} != 'noshock' and ${shock} != 'dk' and ${shock} != 'ref'</t>
  </si>
  <si>
    <t>CropProduction_group</t>
  </si>
  <si>
    <t>CROP PRODUCTION</t>
  </si>
  <si>
    <t>PRODUCTION DE CULTURES</t>
  </si>
  <si>
    <t>Noman iri</t>
  </si>
  <si>
    <t>Farimi</t>
  </si>
  <si>
    <t>KEƁAL DOW FILLA DEMAL</t>
  </si>
  <si>
    <t>Kumbu Ba'ré Nagri yé</t>
  </si>
  <si>
    <t>tinfan agayak</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</si>
  <si>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</si>
  <si>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</si>
  <si>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irrigated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</si>
  <si>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irrigue'. </t>
  </si>
  <si>
    <t>Yanzu za mu yi ma ku wasu tambayoyi game da amfanin .wa ennan tamboyi sun shafe ku da ku da kukan wani mutum da yake a cikin gidan ku mai noma ko sayar da kayakin gona .duka wa ennan tambayoyi sun shafi noma da kuke yi a lokacin damana.</t>
  </si>
  <si>
    <t xml:space="preserve">Sohon  iri yayan foyan te aran se farmo bon? Hayaney wo ga aran guna aran da borfo kulu kan go aran windora kan ga farmi goy te.hayaney wo kulu I manti kala farmey kan I ga te keydiya wate bon no. </t>
  </si>
  <si>
    <t>Jooni men ngaɗanay on ƴame dow barke keɓeteeɗo to bisaaji .  Ƴame ɗen no ndaara on, onon e fuu ngonuɗo nder hoggo mooɗon tawaaɗo nder keɓol barke durngol e connol bisaaji .</t>
  </si>
  <si>
    <t>Kuwamed3 nya korolaaso ro Koren k3la bareyen shidony3 nya kuru wundudoni fannimin kara'aa k3la bare or kar3 bareyen lodoilan. Koro sammaso k3la awo baret3naye wurat3ye wokt3 ning3riyen zamanz3n.</t>
  </si>
  <si>
    <t xml:space="preserve">Akawan nisikin asostan iyaɗ fal sigyak wi hawan igraznen əd awadəm iyan dǎɣ amazaɣ nawan ihan dǎɣ sigyak meɣ dǎɣ ašiš ən sigyak. Asostan dak akan isigyak wi atiwagyaknen dǎɣ alwaq ən azaman wan ginawan. 
</t>
  </si>
  <si>
    <t>crp_landsize_num</t>
  </si>
  <si>
    <t>What is the total size of the land you can cultivate?</t>
  </si>
  <si>
    <t>Quelle superficie totale pouvez-vous cultiver ?</t>
  </si>
  <si>
    <t xml:space="preserve">Ya ya kimanin girman dai dai gonar da kuke iya nomawa? </t>
  </si>
  <si>
    <t>Fili berey fo no aran ga hinni ga far?</t>
  </si>
  <si>
    <t>Noy njaajeefi ngesa nga mbawwu-ɗon remide foti ?</t>
  </si>
  <si>
    <t>Abi nangam numkura kulomdoni bareniminna yed3?</t>
  </si>
  <si>
    <t>Indekat tesayt təmdat nakal ta taqalat as tadobem agayak ənes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</si>
  <si>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</si>
  <si>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</si>
  <si>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[HUKUNCI: SHIGAR DA GIRMAN GONAR DA MAI AMSAWAR YA BAYAR. RUBUTA 888 A MATSAYIN rashin sanni DA KUMA 999 A MATSAYIN kin amsawa. ZA A BAYYANA SASHIN AWON A TAMBAYA TA GABA.]</t>
  </si>
  <si>
    <t>[ HANTUM ka : wa hantum 888 djan ga beyrey se WALA 999 wandji ga tuyan se I ga nessidjoki ganda hayaney ra ]</t>
  </si>
  <si>
    <t>[TINNDINOOJE : JOGEE BISA NAFOOWO .] [TINNDINOORE: TO ON NGEGGUTU NGAƊON ƳAME DOW EGGOL/ƁARTOL - ƊEHAAGO BISAAJE DURDUDE YAHDE DURDUDE GOOƊOM .]</t>
  </si>
  <si>
    <t>[IKKOMA: IKKE NANGAM NUMKURA SAMMA FILI DONI JAWAU MA YEH DEH. Rwone 888 na NO ZANYI kuru 999 na WAANO. AWO NGALNOIDE KELA AWAA SIDEYAYI ALLAN DIYEN.]</t>
  </si>
  <si>
    <t xml:space="preserve"> [EMASESTƏN : SAQAYMU HADI ƏMDAN ƏN NAKAL WA IFA AMASOSTAN. ƏKITB 888 FAL IBA NUSIN ƏD 999 FAL TUGINT. HARAT WA NAKOT ANIHAGA ADIQIL ATIWAZAYAN DAƔ ASOSTAN WA ILKAMAN]</t>
  </si>
  <si>
    <t>. &gt;= 0</t>
  </si>
  <si>
    <t>select_one landsize_unit</t>
  </si>
  <si>
    <t>crp_landsize_unit</t>
  </si>
  <si>
    <t xml:space="preserve">Unit of measurement for land size: </t>
  </si>
  <si>
    <t>Unité de mesure des terrains cultivés:</t>
  </si>
  <si>
    <t xml:space="preserve">Farey nessidjo? </t>
  </si>
  <si>
    <t>Aykorgen nokku ngollirdon</t>
  </si>
  <si>
    <t xml:space="preserve">Awo numchidaye kuraa ngaltaye </t>
  </si>
  <si>
    <t>Harat ən akot wan təšigrit ən nadag :</t>
  </si>
  <si>
    <t>[INSTRUCTIONS: DO NOT READ QUESTION. SELECT UNIT OF MEASUREMENT IN WHICH LAND SIZE WAS PROVIDED.]</t>
  </si>
  <si>
    <t xml:space="preserve">[INSTRUCTIONS :  NE PAS LIRE LA QUESTION. SÉLECTIONNEZ L'UNITÉ DE MESURE UTILISÉE POUR LA SUPERFICIE TOTALE.] </t>
  </si>
  <si>
    <t>[HUKUNCI: AMSA GUDA ƊAYA. "babu ko guda daga cikin wa ennan na karshe da a ka zana.]</t>
  </si>
  <si>
    <t>wassittey ha yan, wa hamtum 888</t>
  </si>
  <si>
    <t>[TINNDINOOJE: TO ƊUM JANNGU ƳAMAL. CUƁEE ETIRƊUM DIMMA JAAJIRKA .]</t>
  </si>
  <si>
    <t>Marye koro ra kona aho ra gone dama  ye asma ro  tchi kala zou rou la karaya awayooo kassou ye woulzo</t>
  </si>
  <si>
    <t>tissousinte : Adwirtaghrim issistan idkilate ghas arate wastitagou takete nigute namadal</t>
  </si>
  <si>
    <t>${crp_landsize_num} != 888 and ${crp_landsize_num} != 999</t>
  </si>
  <si>
    <t>select_one crop</t>
  </si>
  <si>
    <t>crp_main</t>
  </si>
  <si>
    <t>What is the main crop that your household grows for food or income generation in irrigated season, if any?</t>
  </si>
  <si>
    <t>Quelle est la principale culture pratiquée par votre ménage pour se nourrir ou générer des revenus pendant la saison irrigue', si applicable ?</t>
  </si>
  <si>
    <t>Wanne ne mafi mahinmancin amfanin gona da ku da iyalenku ke shuka cikin lokacin damina domin ci ko kuma siyarwa don samun dan abun hanou , idan akwai?</t>
  </si>
  <si>
    <t xml:space="preserve">Keydia wate farmi fo no aran ga te kan ga aran ga nwa aran ga nera?
</t>
  </si>
  <si>
    <t xml:space="preserve">Ngale woni demal ɓurungal semmbe ngal ɓaade mooɗon remi faa neema ɓaade nden heɓee e tino wakkati ndunngu, so tawaama?  </t>
  </si>
  <si>
    <t xml:space="preserve">Aiyodo fatomanumme barez3 shidony3 kumburo wolz3 kuru zawal fandoyero walz3 woktu ning3riye allan mbeyya? </t>
  </si>
  <si>
    <t>Indek asigyik wa atiwasanan əs inta as amazaɣ nawan isawati dǎɣ asigyik wan ataɣam əd awa aditawagrawan dǎɣ azaman wan ginawan, aswaden awen?</t>
  </si>
  <si>
    <t>[INSTRUCTIONS: "NO CROP PRODUCTION" APPEARS AT THE END OF THE LIST OF OPTIONS.]</t>
  </si>
  <si>
    <t>[INSTRUCTIONS :  L'OPTION « AUCUNE PRODUCTION VÉGÉTALE » SE TROUVE À LA FIN DE LA LISTE.]</t>
  </si>
  <si>
    <t xml:space="preserve">ba afo si tira bon </t>
  </si>
  <si>
    <t>[TINNDINOOJE : SE ON CUƁII « WALAA FUU BARKE PUDDI » NO TAWEE HANNTORDE LIMTORDE .]</t>
  </si>
  <si>
    <t>[ Gargajiya: JAWAU FAL NGULONG. "BARE BAWO" TUKKU SIDAA AWOO ADIYEN</t>
  </si>
  <si>
    <t xml:space="preserve">[EMASESTƏN : ALƏƔI IYANDAƔ. WALA IYAN ASIDWAL ƏN HIŠKAN ORAH ƏD SAMANDO ISIMAWAN ƏN TABARATEN].
</t>
  </si>
  <si>
    <t>crpmain</t>
  </si>
  <si>
    <t>jr:choice-name(${crp_main},'${crp_main}')</t>
  </si>
  <si>
    <t>select_one cropcheck</t>
  </si>
  <si>
    <t>crp_main_check</t>
  </si>
  <si>
    <t>Why did you not produce any crops in irrigated season?</t>
  </si>
  <si>
    <t>Pourquoi n'avez-vous pas produit de cultures pendant la saison irrigue' ?</t>
  </si>
  <si>
    <t>Me ya sa ba ku shuka ba ga damana ba?</t>
  </si>
  <si>
    <t>I fo se no aran mane duma keydiya wate?</t>
  </si>
  <si>
    <t>Ngam ɗume woni on ndemaay wakkati ceeɗu ' ?</t>
  </si>
  <si>
    <t>Abi nankaro nyiye bareya dimi wokt3 ning3riyen?</t>
  </si>
  <si>
    <t xml:space="preserve">Mafal wartigyekam isigyak dǎɣ azaman wan ginawan?
</t>
  </si>
  <si>
    <t>${crp_main}='777'</t>
  </si>
  <si>
    <t>select_one irrigation</t>
  </si>
  <si>
    <t>crp_irrig_source</t>
  </si>
  <si>
    <t xml:space="preserve">Where do you normally and mainly obtain water for the production of ${crpmain}? </t>
  </si>
  <si>
    <t>Quel est normalement votre principale source d'eau pour la production de ${crpmain} ?</t>
  </si>
  <si>
    <t>A ina kuke samun ruwa da kuke shuka da shi ${crpmain} ?</t>
  </si>
  <si>
    <t xml:space="preserve">Hari fo dimi no aran ga hangandine da farmo wate? </t>
  </si>
  <si>
    <t xml:space="preserve">Noy ngoɗoton ko oɗon keɓa ndiyam faa neddo ɓaade mon ngollata ${crpmain} ? </t>
  </si>
  <si>
    <t xml:space="preserve">Nyiye ndan nji bareyeyya fandimin ${crpmain}? </t>
  </si>
  <si>
    <t xml:space="preserve">Əndek diha ən garawam amane əs tihusay əd ətbatan fal igi ən {crp_main}? 
</t>
  </si>
  <si>
    <t>${crp_main} != '777' and ${crp_main} != '888' and ${crp_main} != '999'</t>
  </si>
  <si>
    <t>crp_irrig_source_otherspecify</t>
  </si>
  <si>
    <t>If other, specify.</t>
  </si>
  <si>
    <t>Si autre, précisez.</t>
  </si>
  <si>
    <t>Idan wani, saka.</t>
  </si>
  <si>
    <t>Da afo yan gono</t>
  </si>
  <si>
    <t>Nde goɗɗum no woodi,anndinee.</t>
  </si>
  <si>
    <t xml:space="preserve"> Gade diminna fosalsune</t>
  </si>
  <si>
    <t>assimos ass ilaye watigdalan timilamtou</t>
  </si>
  <si>
    <t>[INSTRUCTIONS: RECORD THE OPEN RESPONSE GIVEN IN FEW WORDS. ENTER 888 FOR DON'T KNOW AND 999 FOR REFUSED]</t>
  </si>
  <si>
    <t>[INSTRUCTIONS :  DÉCRIVEZ LA RÉPONSE DONNÉE PAR LE RÉPONDANT EN QUELQUES MOTS. ENTREZ 888 POUR NE SAIT PAS ET 999 POUR REFUS.]</t>
  </si>
  <si>
    <t>[HUKUNCIN: BAYANI AMSAR DA MAI AMSA YA BAYAR A CIKIN KADAN KALMOMI. Shigar da 888 DON BA SAN BA DA 999 DON ƙin yarda.]</t>
  </si>
  <si>
    <t>wa sallan bora touyan gnwo bon keyna. irma hantoum  touyan  kan irdou da 888 da atchia wankan image tout 999</t>
  </si>
  <si>
    <t>[TINNDINOOJE : PAHMTINEE NOOTAL NGAL NOOTOOWO HOKKI NDER KELME ƊE ƊUUƊA . WINNDEE 888 FARO «ANNDAA» E 999 FARO «SALAKE».]</t>
  </si>
  <si>
    <t>Hawara kaladichu laktu asmro tcho Lamba 888 banne kam yano nokini .Lamba 999 Wakina</t>
  </si>
  <si>
    <t>tissousinte : imilate andiran dagh aljawab waykfa awedan way tawassastanan iguzate fil itamatimade ditamatimirwen ditam assimos ass wirissen tiguzam fil tazayatimirwen id taza assimos ass ougaye sadajawab</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</si>
  <si>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</si>
  <si>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</si>
  <si>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</si>
  <si>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</si>
  <si>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</si>
  <si>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Kuna [ko al'ummar ku] kuna amfani da famfo don tsarin ban ruwa na ku?</t>
  </si>
  <si>
    <t>Maté no aran ( da aran koira borey) go gaté ga gan aran doumisey hagnandi?</t>
  </si>
  <si>
    <t>Naftoree [naa himɓe wuro mooɗon ] masin jarnirɗum ngam jarnol demal ceeɗu?</t>
  </si>
  <si>
    <t>Ni la ama blando yé wundu Do tchi da pompi tchida juru ye  worila Ikandiye mbeyiya jamasoye injinnin kulo gudoye</t>
  </si>
  <si>
    <t>kawaney tichichghalam fafow dagayak wan awelan me ?</t>
  </si>
  <si>
    <t>not(${crp_irrig_source}='7' or ${crp_irrig_source}='8') and (${crp_main} != '777' and ${crp_main} != '888' and ${crp_main} != '999')</t>
  </si>
  <si>
    <t>crp_irrig_pay</t>
  </si>
  <si>
    <t xml:space="preserve">Do you have to pay for water rights [e.g. water rights, communal infrastructure maintenance, gas for communal pump, etc.]? </t>
  </si>
  <si>
    <t>Devez-vous payer pour avoir accès à l'eau [par exemple, droits à l'eau, entretien des infrastructures communes, gaz pour la pompe commune, etc.] ?</t>
  </si>
  <si>
    <t>Shin dole ne ku biya don samun ruwa [misali haƙƙin ruwa, kula da ababen more rayuwa na gama gari, iskar gas don famfo na gama gari, da sauransu]?</t>
  </si>
  <si>
    <t>Aran ga bana ga dou hari no?</t>
  </si>
  <si>
    <t>Haani njoɓon ngam heɓugo ndiyam [hano, hakke heɓude ndiyam, moƴƴinol maadeeji moye fuu, gas ngam pompi moye fuu, ekn.] ?</t>
  </si>
  <si>
    <t xml:space="preserve">n'gui  jaye la n''gui tchida faro  ro Seyi wuri tuluyowado don'nan injin so fanduwi jarere pompi farajé yi la am boulaye jarere tcha deyi ya </t>
  </si>
  <si>
    <t>ichil irouzmatan naman me?</t>
  </si>
  <si>
    <t xml:space="preserve">select_multiple seedsupply </t>
  </si>
  <si>
    <t>crp_seed</t>
  </si>
  <si>
    <t xml:space="preserve">Who do you normally procure your seeds from? </t>
  </si>
  <si>
    <t>Où vous procurez-vous habituellement vos semences ?</t>
  </si>
  <si>
    <t xml:space="preserve">A ina ka /kike  samun irin shukarka/ki </t>
  </si>
  <si>
    <t xml:space="preserve">Mane ga no aran ga aran wane dumi ize dey watikulu? 
</t>
  </si>
  <si>
    <t>Toy mboowuɗon kebde awtirdiijii mon?</t>
  </si>
  <si>
    <t xml:space="preserve">Ndara fallin kusinum g3nanumin? </t>
  </si>
  <si>
    <t>Idek diha ədəjara-wamid harkuk isəduma nawən ?</t>
  </si>
  <si>
    <t>[INSTRUCTIONS: MULTIPLE RESPONSES POSSIBLE.]</t>
  </si>
  <si>
    <t>[INSTRUCTIONS :  PLUSIEURS RÉPONSES POSSIBLES.]</t>
  </si>
  <si>
    <t>[HUKUNCI: ZA A IYA SAMUN AMSA DA YAWA.</t>
  </si>
  <si>
    <t xml:space="preserve">[ HANTUM ka :TUUYAN DUMII-DUMII KAN I CI A SE.]
</t>
  </si>
  <si>
    <t>[TINNDINOOJE : NOTAALI KEEWUƊI].</t>
  </si>
  <si>
    <t>[Gargajiya: AWO NGUU GOTAND3 MOWONJIN.]</t>
  </si>
  <si>
    <t>[tissousinte : ISIDMURAN AGOTNEN ATIWADABATNEN]</t>
  </si>
  <si>
    <t>if(selected(., 'ref') or selected(., 'dk'), count-selected(.) = 1, count-selected(.) &gt;= 1)</t>
  </si>
  <si>
    <t>crp_area_change</t>
  </si>
  <si>
    <t>How did the ***area planted*** for ${crpmain} from irrigated season compare to a normal year?</t>
  </si>
  <si>
    <t>Comment estimez-vous la **superficie plantée** de  ${crpmain} pour la saison irrigue' par rapport à une année normale ?</t>
  </si>
  <si>
    <t>Yaya zaku kotamta adadin inda kuka ${crpmain} yi shuka ga damana misali shekara irin ta kulum ?</t>
  </si>
  <si>
    <t xml:space="preserve">Mate naran ga filo kan aran far keydia wate dedandin da guirey kan bissa wane?
</t>
  </si>
  <si>
    <t xml:space="preserve">Noy happa njaajeefi demal ${crpmain} mooɗon wakkati ndunngu e hitaande hiɓɓunde? </t>
  </si>
  <si>
    <t>Aiyey na donyi t3nat3na d3 ${crpmain} wokt3 ning3riye daa shasaa ngayya?</t>
  </si>
  <si>
    <t xml:space="preserve">Indek awa ən edag wa atwadamen fal {crp_main} adizgaran azaman ən ginawan əs itimuzuɣ əd awatay əmdan ?
</t>
  </si>
  <si>
    <t>crp_harv_change</t>
  </si>
  <si>
    <t xml:space="preserve">How does the  ***harvest*** of ${crpmain} in the irrigated season compare to a normal year? </t>
  </si>
  <si>
    <t>Comment estimez-vous la **récolte**  de ${crpmain} pour la saison irrigue' par rapport à une année normale ?</t>
  </si>
  <si>
    <t xml:space="preserve">Yaya ne gribin shuka ku cikin lokacin damina daura da shekara irin ta kulum? </t>
  </si>
  <si>
    <t xml:space="preserve">Mate naran fari guiney ki dou keydia wate dedandin da guirey kan bissa wano?
</t>
  </si>
  <si>
    <t xml:space="preserve">Noy demal mooɗon ${crpmain} woorri wakkati ndunngu so fonndaama e hitaande hiɓɓunde? </t>
  </si>
  <si>
    <t>Aiyey karekuloye wokt3 ${crpmain}} ning3riye daa sha saa ngayya?</t>
  </si>
  <si>
    <t>Indek awa uluy wan {crp_main} dǎɣ azaman ən ginawan əs itimuzuɣ əd awatay əmdan?</t>
  </si>
  <si>
    <t>crp_harv_vol</t>
  </si>
  <si>
    <t>How much (threshed) ${crpmain} did you harvest this irrigated season?</t>
  </si>
  <si>
    <t>Quelle quantité (battue) de ${crpmain} avez-vous récoltée cette saison irrigue' ?</t>
  </si>
  <si>
    <t>${crpmain} nawa kuka girbi wannan lokacin ban ruwa?</t>
  </si>
  <si>
    <t>harañ guiro hayni da colcoti bon margue no aran dou</t>
  </si>
  <si>
    <t>Dimma ko sorɓaa ɗum ${crpmain} ɗume keɓuɗum nder demal ceeɗu ?</t>
  </si>
  <si>
    <t>Lotku biyeyi kumbufiso kongmin bareye wuzuna ${crpmain}</t>
  </si>
  <si>
    <t>Madirogda awadigamadan dagharate watine balam da tamerte tan awelan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</si>
  <si>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</si>
  <si>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</si>
  <si>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HUKUNCE-HUKUNCE: AKA BAYAR AMSA. DOLE DOLE NE A KIYAYE RA'AYIN AUNA A CIKIN TAMBAYA TA NAN. Shigar da 888 DON "BAN SANI" DA 999 DON "K'IN", AMFANI DA MATSALAR MAFI YIWU - TAMBAYA BAYANI!]</t>
  </si>
  <si>
    <t>irma hantoum  touyan  kan irdou da 888 da atchia wankan image tout 999</t>
  </si>
  <si>
    <t>[TINNDINOOJE: MBINNDEE NOOTANNDE HEƁAANDE. ETIRƊUM HAANI DARNEE NDER ƳAMAL GAROWAL . WINNDEE 888 FARO «ANNDAA» E 999 FARO «SALAKE»]., HAANA NAFTOREE SANNE - ƳAMA PAMTINIRƊE!]</t>
  </si>
  <si>
    <t>Gargajiya  :Dama Kinjo roné jawu ngawoyedu dolero nauranumbo koro fuye dwonumin lamba 888 noguni Lamba 999 wanguna</t>
  </si>
  <si>
    <t>tissousinte : aguwate aljawab watawakfan maran ilmizan ofa adidew dissitan wadouzasine da.iktibate itamatimade ditamatimirwen ditam assimos aljawab wirissena, assimos ass wirira adajawab tizayate timad id tizayate timirwen id taza</t>
  </si>
  <si>
    <t>select_one harv_unit</t>
  </si>
  <si>
    <t>crp_harv_unit</t>
  </si>
  <si>
    <t>Unit of measurement for harvested ${crpmain}:</t>
  </si>
  <si>
    <t xml:space="preserve">Unité de mesure pour la/le ${crpmain} récolté(e) : </t>
  </si>
  <si>
    <t>Ƙungiyar ma'auni don ${crpmain} da aka tattara:</t>
  </si>
  <si>
    <t>tia</t>
  </si>
  <si>
    <t>Etirɗum barke demal  :</t>
  </si>
  <si>
    <t>Kunguna ndawuyeyiye ${crpmain} cidin</t>
  </si>
  <si>
    <t>timilam ikete narate wadiutigrawam dagayak Di</t>
  </si>
  <si>
    <t>${crp_harv_vol} != '888' and ${crp_harv_vol} != '999'</t>
  </si>
  <si>
    <t>crp_harvunit</t>
  </si>
  <si>
    <t>jr:choice-name(${crp_harv_unit},'${crp_harv_unit}')</t>
  </si>
  <si>
    <t>crp_harv_unit_kg</t>
  </si>
  <si>
    <t>How many kilograms [kgs] in each unit?</t>
  </si>
  <si>
    <t>Combien de kilogrammes [kg] chaque unité contient-elle ?</t>
  </si>
  <si>
    <t>Galam nawa ké tchikin ko wané kachi</t>
  </si>
  <si>
    <t>Tia margué no kanandi koul ra</t>
  </si>
  <si>
    <t>Kilogaramuuji noye [kg] taweteetee nder ngo'otaaku fuu?</t>
  </si>
  <si>
    <t xml:space="preserve">Killo nawu tchan wandé churo tilo yan </t>
  </si>
  <si>
    <t>miniket kilotan atidakal tassikit koul</t>
  </si>
  <si>
    <t>[INSTRUCTIONS: RECORD THE RESPONSE GIVEN. ENTER 888 FOR DON'T KNOW &amp; 999 FOR REFUSED, TO BE USED RARELY - PROBE!]</t>
  </si>
  <si>
    <t>[INSTRUCTIONS :   SAISIR LA QUANTITÉ ANNONCÉE. SAISIR 888 POUR «NE SAIT PAS» ET 999 POUR «REFUSÉ».]</t>
  </si>
  <si>
    <t>[UMARNI: SHIGA YAWAN TALLA. Shigar da 888 DON "KADA KA SANI" DA 999 DON "KASHI"]</t>
  </si>
  <si>
    <t>[TINNDINOOJE :WINNDEE NDER MASIN KO HEPTAA HAALA ƊUM. WINNDEE 888 FARO « ANNDAA» E 999 FARO «SALAKE».]</t>
  </si>
  <si>
    <t>Awoo ra roune . No kini wiljia 888 . Wakina Wiljia 999</t>
  </si>
  <si>
    <t>tissousinte : akatab nawadirogda narate wadigrawan : itamatimade ditamatimirwen ditam assimos ass aljawab wirissena, itizatimad id taza assimos ass wiraren adajawaban</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</si>
  <si>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</si>
  <si>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</si>
  <si>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</si>
  <si>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</si>
  <si>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Nawa ${crp_harvunit} na ${crpmain} (wanda aka doke) kuka tara a bara a cikin wannan kakar?</t>
  </si>
  <si>
    <t>hayni bon margue no aran dou kayda manañ kay diya ga</t>
  </si>
  <si>
    <t xml:space="preserve"> ${crp_harvunit} e ${crpmain} noye (corɓaaɗum) keptuɗon hitaande wittiinde naa nder hitaande wo'otere l'année  ?</t>
  </si>
  <si>
    <t xml:space="preserve"> Saa Kojina al lan kumbu gade gade nangouyé Barenum korou ati fanduwu kuro gaye koyina ri nagou barenu ganu fanduw</t>
  </si>
  <si>
    <t>Madirogda ikete nawadoutigrawam dagayak wan edan dagh tamerte tada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</si>
  <si>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</si>
  <si>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</si>
  <si>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</si>
  <si>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irrigated season?</t>
  </si>
  <si>
    <t>Votre ménage a-t-il rencontré des difficultés importantes en matière de **production végétale** au cours de saison irrigue' ?</t>
  </si>
  <si>
    <t>Iyalenku sun fuskance mahinman matsaloli wajen shuka amfanonin gona a lokacin damina?</t>
  </si>
  <si>
    <t xml:space="preserve">Aran wane almiyalo du sandey no farmo kite keydia wate ga?
</t>
  </si>
  <si>
    <t xml:space="preserve">Ɓaade mooɗon hawrii fuh e tiiɗormaaji cattuɗi banngal demal wakkati ndunngu? </t>
  </si>
  <si>
    <t>Nyiye fatomanumme wahalalaa surunaa wokt3 bare sidinlanning3rilanwoktu?</t>
  </si>
  <si>
    <t>Amazaɣ nawan amuqas əd erkazaman atiwasanan dǎɣ əmik wan asigyik ən sigyak dǎɣ azaman  wan ginawan ?</t>
  </si>
  <si>
    <t>${crp_main} != '888' and ${crp_main} != '999' and ${crp_main_check} != 1</t>
  </si>
  <si>
    <t>select_multiple cropproddiff</t>
  </si>
  <si>
    <t>crp_proddif_</t>
  </si>
  <si>
    <t>Which difficulties has your household faced with crop production in irrigated season?</t>
  </si>
  <si>
    <t>Quelles difficultés votre ménage a-t-il rencontrées dans la production végétale au cours de saison irrigue' ?</t>
  </si>
  <si>
    <t>Wanne matsala ne Iyalenku suka fuskanta wajen shuka amfanonin gona a lokacin damina?</t>
  </si>
  <si>
    <t xml:space="preserve">Aran wane almiyalo du sandey no farmo kite keydia wate ga?
 </t>
  </si>
  <si>
    <t xml:space="preserve">Tiiɗorma oye ɓaade mooɗon hawri banngal demal wakkati ndunngu? </t>
  </si>
  <si>
    <t>Fatomanumme wahalalaa jiribi suru wokt3 bare ning3rilanwokt3?</t>
  </si>
  <si>
    <t>Indek erkazaman wa igrawan amazaɣ nawan dǎɣ asigyik ən sigyak dǎɣ azaman wan ginawan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</si>
  <si>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</si>
  <si>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</si>
  <si>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[HUKUNCI: ZA A IYA SAMUN AMSA DA YAWA. ZAƁI DAGA CIKIN ZAƁUKAN WANDA YA DACE DA BAYANIN MAI BAYAR DA AMSA YA BAYAR.]</t>
  </si>
  <si>
    <t xml:space="preserve">[HANTUM KA: TUU YON BOBO, wa hantum kan ga koy dey dey da hayan tu ka ki.]
</t>
  </si>
  <si>
    <t xml:space="preserve">[TINNDINOOJE: JAABUUJI KEEWƊI NA MBAAWI JAƁEEDE. SUƁA JAABU MAA JAABUUJI KAWROOJI E KO ƳAMAAƁE ƁEN  NJAABII]. </t>
  </si>
  <si>
    <t>[Gargajiya: JAWAU KADA RAKK3 TIN. GONESURO JAWAUWA SAD3NA LAN SHIDONI JAWAU MAYE CHINAD3LAN</t>
  </si>
  <si>
    <t xml:space="preserve"> [tissousinte: ISIDMURAN AGOTNEN ATIWADABATNEN. SƏNƏFRƏNAT DIHAD ISƏNƏFRINAN ANIMAWALNEN HULEN ƔOR ISALAN ATIWAFANEN AS ENASUDMARAN].</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</si>
  <si>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</si>
  <si>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</si>
  <si>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</si>
  <si>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</si>
  <si>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</si>
  <si>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A bara, nawa ne na hannun jarin ${crpmain} kuka yi asara (saboda kwari, rube, mold, da sauransu) bayan girbi?</t>
  </si>
  <si>
    <t>kayda kanbisa, irga ba ima bey hassarey kan aran dou  aran wani farmi gnawro</t>
  </si>
  <si>
    <t>Rowani, nder barke demal mooɗon ${crpmain} ɗume bonani'on (ngam jalɓi, tuundiiji, ko luuɓi, ekn.) gaɗa keptol?</t>
  </si>
  <si>
    <t>Saa koru gayi koynin alamna nawu he buni ladi kozuna allan kumbu gnanumaa - ra acher tim kulo bannatu aw jictula bana ir fiyeee gadę ngawo bare dimayen</t>
  </si>
  <si>
    <t>awataye wanedan Madirogda arate wastigam khassara nete filidillile nijwalan difiris astolayam</t>
  </si>
  <si>
    <t>${crp_main} != '888' and ${crp_main} != '999' and ${crp_main} != '777'</t>
  </si>
  <si>
    <t>select_multiple crop2</t>
  </si>
  <si>
    <t>crp_all</t>
  </si>
  <si>
    <t>Do you cultivate any other crops aside from ${crpmain}, and if so which ones?</t>
  </si>
  <si>
    <t>Pratiquez-vous d'autres cultures en dehors de ${crpmain}, et si oui, lesquelles ?</t>
  </si>
  <si>
    <t xml:space="preserve">Kuna noma wani abu daban na baycin wanda kuke ${crpmain} a yanzu,idan eh,wa enne? </t>
  </si>
  <si>
    <t xml:space="preserve">Aran ga dumari fon dimi te no kan ba wokaran donna?da aho wofo yanno ?
</t>
  </si>
  <si>
    <t>Yalle na on golla goɗɗum ko ɗe golle so non {crp_main}, ni kollaakam?</t>
  </si>
  <si>
    <t>Awo gad3 nat3minna ${crpmain}, ad3 dawun baro, mbejimaa ndaso?</t>
  </si>
  <si>
    <t>Uhun gayakam isəjyakan iyaɗ waren amos win {crp_main}, izar as iya əndekan ?</t>
  </si>
  <si>
    <t>[INSTRUCTIONS: "No other crops" APPEARS AT THE END OF THE LIST OF OPTIONS. SELECT ALL CROPS LISTED BY THE RESPONDENT.]</t>
  </si>
  <si>
    <t>[INSTRUCTIONS :  "Pas d'autre culture" FIGURE DANS LES DERNIÈRES OPTIONS DE RÉPONSE. SÉLECTIONNER TOUTES LES CULTURES LISTÉES PAR LE RÉPONDANT.]</t>
  </si>
  <si>
    <t>[UMARNI: "Babu wani al'ada" YANA CIKIN ZABBIN AMSA. YANZU DUK GIDAN GINDI DA MAI AMSA.]</t>
  </si>
  <si>
    <t>[HANTUM KA: "Du mi ize kul si no" a go subane yan bananteyra.wa hantum dumarey kulu kan tuka ki]</t>
  </si>
  <si>
    <t>[TINNDINOOJE : "Iri ndemri gooɗom walaa" NO TAWEE NDER IRI NOOTE KEDDIIƊE KOKKAAƊE .  MBURTINEE FUU IRI NDEMRI NDI NOOTOTOOƊO HOKKI.]</t>
  </si>
  <si>
    <t>haware ka ama sa ma Kumbu  bare ka buni  bare kala kakadou ra rouné sam go no tilo tilo ro ro seyi tche ria</t>
  </si>
  <si>
    <t>tissousinte {wirtila agayak wiliyan } iktab daghalikam naljawaban iktibate agayak watagan etedan koul winimal awedan way tajawaban</t>
  </si>
  <si>
    <t>if(selected(., '888') or selected(., '999') or selected(.,'666'), count-selected(.) = 1, count-selected(.) &gt;= 1)</t>
  </si>
  <si>
    <t>not(selected(${crp_main}, name))</t>
  </si>
  <si>
    <t>CropSales_group</t>
  </si>
  <si>
    <t>CROP MARKETING</t>
  </si>
  <si>
    <t>VENTES DES RÉCOLTES</t>
  </si>
  <si>
    <t>sana'ar kayan noma</t>
  </si>
  <si>
    <t>gnwarisey néré ya</t>
  </si>
  <si>
    <t xml:space="preserve">CONNOL BARKE DEMAL </t>
  </si>
  <si>
    <t xml:space="preserve">Dama bare gade ba curo na gaayena allan </t>
  </si>
  <si>
    <t>inazan narate wadigmadan dagayak</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</si>
  <si>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</si>
  <si>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</si>
  <si>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</si>
  <si>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</si>
  <si>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Shin ${crpmain} shine babban amfanin gona da kuka sayar a cikin *watanni 3 da suka gabata*?</t>
  </si>
  <si>
    <t>irga ba irma bey hala heyni gati aran wana gabo</t>
  </si>
  <si>
    <t>Keptol barke demal ${crpmain} taan woni ko sottaa nder* lebbi 3 ɗiiɗ bittiiɗi* ?</t>
  </si>
  <si>
    <t>Kumbou Baré finza rimba zawou maro kindawu 3 Gawu aran feda tchi buni</t>
  </si>
  <si>
    <t>agayak wan akonak inta emossan taghmirte tafiltissahadam dagharate wadoutalayam ghour karadate tilile</t>
  </si>
  <si>
    <t>${crp_main} != '' and ${crp_main} != '888' and ${crp_main} != '999' and ${crp_main} != '777'</t>
  </si>
  <si>
    <t>select_one crop3</t>
  </si>
  <si>
    <t>crp_sales_main_2</t>
  </si>
  <si>
    <t>What was the main crop that you sold over the *last 3 months*?</t>
  </si>
  <si>
    <t>Quelle principale récolte avez-vous vendue au cours des *3 derniers mois* ?</t>
  </si>
  <si>
    <t>Wa enne ne kayan noma uku mafi mahinmaci da kuka sayar a cikin watani uku sa suka shige?</t>
  </si>
  <si>
    <t>Ɗume won coggu ko jaagiɗaa ley lebbi 3 sakitiiɗi</t>
  </si>
  <si>
    <t>Indekat tasəgyak taqalat amaqaran hin ta šə šam ɣor 3 oran alkamnen ?</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</si>
  <si>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</si>
  <si>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</si>
  <si>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</si>
  <si>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</si>
  <si>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</si>
  <si>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</si>
  <si>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</si>
  <si>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</si>
  <si>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Shin iyalin ku sun fuskanci matsaloli a cikin watanni 3 da suka gabata a wajen sayarda kayan noman ta ${crp_sales_main}?</t>
  </si>
  <si>
    <t xml:space="preserve">Handu hinzey wo kan bissa ra aran almiyalo du sandey no I wane fari djiney nerando do?
</t>
  </si>
  <si>
    <t>Ɓaade mon keɓii saɗɗaji ley jaagu e lebbi 3 sakitiiɗi ɗi na ${crp_sales_main} ?</t>
  </si>
  <si>
    <t>Fatomaye wahalaa sanaa kintauwa 3 kozena dilan loktu siladinlan {crp_salesmain}?</t>
  </si>
  <si>
    <t>Alɣayal ijraw amokəs ad asuhutan ɣor 3 oran alkamnen ye a šə š nawən {crp_sales_main}</t>
  </si>
  <si>
    <t>${crp_salesmain}!='888' and ${crp_salesmain}!='999'</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</si>
  <si>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</si>
  <si>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</si>
  <si>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</si>
  <si>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</si>
  <si>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Waɗanne matsaloli mutanen gidanku suka fuskanta a cikin watanni 3 da suka gabata a wajen sayardakayakin gona ku mahi mahinmanci ${crp_sales_main}?</t>
  </si>
  <si>
    <t>Sandey fo dimi no aran almiyalo di handu hinzey kan bissa ra a wane fari djiney nerando do?</t>
  </si>
  <si>
    <t>Ɗiye saɗɗaji ɓaade mon kawri e gollal daabaaji ley lebbi 3 sakitiiɗi ɗi?</t>
  </si>
  <si>
    <t xml:space="preserve"> Wahala jirifi fatomaye suru kintauwa 3 kozilan adin loktu siladinlan ${crp_sales_main}?</t>
  </si>
  <si>
    <t>Indekan asuhutan dǎɣ amoqas asəməsədu nawan ɣor 3 oran okaynen ɣor təna še nawən, {crp_sales_main} ?</t>
  </si>
  <si>
    <t>[INSTRUCTIONS : PLUSIEURS RÉPONSES POSSIBLES. SÉLECTIONNER LA OU LES OPTIONS QUI CORRESPONDENT LE MIEUX AUX INFORMATIONS PROPOSÉES PAR LE RÉPONDANT.]</t>
  </si>
  <si>
    <t>[HUKUNCI: ZA A IYA SAMUN AMSA DA YAWA.  ZAƁI DUKKAN BAYANAN DA SUKA DACE DA ABINDA MAI BAYAR DA AMSA YA SAMAR.]</t>
  </si>
  <si>
    <t>[HANTUM KA: TUU YON BOBO . SON BU WO KAN BA ATE GUMO LABARI TUUKA SE KI E NO.]</t>
  </si>
  <si>
    <t>[TINNDINOOJE : NA WAAWI LAATAADE JAABUUJI HEWƊI. CUƁEE KO ƁURE HOLLUDE KUMPITE ƊE JAABO TOOƁE HOKKI].</t>
  </si>
  <si>
    <t xml:space="preserve"> [tissousinte : ISIDMURAN AGOTNEN ATIWADABATNEN. SƏNƏFRƏNAT DIHAD ISƏNƏFRINAN ANIMAWALNEN HULEN ƔOR ISALAN ATIWAFANEN AS ENASUDMARAN].</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</si>
  <si>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</si>
  <si>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</si>
  <si>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</si>
  <si>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</si>
  <si>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Comment évaluez-vous le prix actuel de ${crp_sales_main} par rapport au prix moyen de la même periode de une année normale ?</t>
  </si>
  <si>
    <t>Yaya ne farashin abun saidawarku na gidanku a yanzu ya kwatanta da matsakaicin farashi a irin wannan lokaci a shekara kamar kulum?</t>
  </si>
  <si>
    <t>Margue  dedandi no aran do sohon farmora da guirey kan bissa wano?</t>
  </si>
  <si>
    <t>Comment évaluez-vous le prix actuel de {ls_salesmain} par rapport au prix moyen de la même période de une année normale?</t>
  </si>
  <si>
    <t>Nyiye fatomanumme tamanz3 gadeya sha {crp_salesmain} am gadesoa wokt3 fallinsuro sa'a yen?</t>
  </si>
  <si>
    <t>Indek awa əs alhak wan amaradǎɣ ən {crp_sales_main} əs itimuzuɣ əd alhak namas ən alwaq iyandǎɣ ən awatay əmdan?</t>
  </si>
  <si>
    <t>[INSTRUCTIONS: INSIST ON THE MAIN PRODUCT MENTIONED.]</t>
  </si>
  <si>
    <t>[INSTRUCTIONS : INSISTER SUR LA PRINCIPALE CULTURE MENTIONNÉE AUPARAVANT.]</t>
  </si>
  <si>
    <t>[HUKUNCI: TABBATAR DA BABBAN ABIN SAMARWAR DA AKA AMBATA.]</t>
  </si>
  <si>
    <t>[HANTUM ka :TUUYAN FON LON]</t>
  </si>
  <si>
    <t>[TINNDINOOJE : JAWAABU GOOTO. TEENGINDE E FII HOOREYA]</t>
  </si>
  <si>
    <t>[ Gargajiya: JAWAU FAL NGULONG. KARE ASALIYED3MAN KOLLE.]</t>
  </si>
  <si>
    <t xml:space="preserve"> [tissousinte : ASUDMAR IYAN. TIMORT FAL HARAT MAQARAN IKTABAN]</t>
  </si>
  <si>
    <t>Livestock_group</t>
  </si>
  <si>
    <t>LIVESTOCK PRODUCTION</t>
  </si>
  <si>
    <t>PRODUCTION DE BÉTAIL</t>
  </si>
  <si>
    <t>SAMUN KIWO</t>
  </si>
  <si>
    <t>almane biriyan</t>
  </si>
  <si>
    <t xml:space="preserve">KEPTOL DURNGOL BISAAJI </t>
  </si>
  <si>
    <t>Daraja Lumanye</t>
  </si>
  <si>
    <t>tinfa tadoutigmadate eharey</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</si>
  <si>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</si>
  <si>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</si>
  <si>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</si>
  <si>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</si>
  <si>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Yanzu za mu yi muku wasu tambayoyi game da samar da dabbobi. Waɗannan tambayoyin sun shafi ku da duk wanda ke cikin gidan ku da ke da hannu wajen samarwa ko sayar da dabbobi.</t>
  </si>
  <si>
    <t>Ir gonda aran sé hayan kourra bon. Hayan izey wo aran dan aran windora borey koul kan ga kouré wal almane néré no aga gouné.</t>
  </si>
  <si>
    <t>Niro koro kumbu lamannen kindoyen diyen. koronde adu niya am gade  ni la kumbu lemanne caladin samsowa wuzuna  yallan la ki nima kala nii kassoun labwin</t>
  </si>
  <si>
    <t>Akawan nakfu amara asestanən iyaɗ fal iji narəzej nawan dǎɣ iji ad awadəm kul ən awadəm nəlɣayal nawan ertayan dǎɣ iji meɣ ena ši ən arəzej.</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</si>
  <si>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</si>
  <si>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</si>
  <si>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</si>
  <si>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</si>
  <si>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Wace dabba ce gidanku ya tara da farko don abinci ko samun kudin shiga a cikin watanni 12 da suka gabata?</t>
  </si>
  <si>
    <t>Almanisé fo no aran biri ga bafouney djirowo kan bissa?</t>
  </si>
  <si>
    <t>Iri ɗume bisa hoggo mooɗon duri ngam nyaamndu naa keɓol risku nder lebbi 12 ɗii bittiiɗi ?</t>
  </si>
  <si>
    <t>Lumanfi jawuro koriyo nachaa chanaye aw chiro kumbu jawuro cadinno
kindaw 12 kuro ayri koyin ri kozuna allan.</t>
  </si>
  <si>
    <t>mémos imoudar wadirinitaf  aghiwan nawan idardaghass igaraw dou daghass tinfa ghour marawate tilile id sanatate chin izrenen</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</si>
  <si>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</si>
  <si>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</si>
  <si>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[UMARNI: A RIQO BABBAN DABBAN KAWAI.] [NASIHA: KADA KA MANTA TAMBAYOYI GAME DA MULKI – MATSALAR DABBOBI DAGA KIwo DAYA ZUWA JUNA.]</t>
  </si>
  <si>
    <t>wa tchi irsse hal aran gendarmerie almane koissa, yamar yan, irma ba koyner irma bey hal aran almaney gakoy koira waneyra, koure yan</t>
  </si>
  <si>
    <t>Gargajiya : Hazaraw  loktu sa'a lunam leeru kuro tcha deyi Dana na allan nachaa lamanna nuwadadu. galanjen niya wande korumi kla chii kuladachiman laktu amsaro tcho
kayimso lemane na gadero yade kumbu ba nagaro aw gadenzuwa.</t>
  </si>
  <si>
    <t>tissousinte : adwitidkilam ar imoudar wassataghmalan etedan, inissikha dinwirtatawim atagum issistane fil tinikerte : imitikwi naharey dagh tissidik ta har ten fil agamay in timidinte</t>
  </si>
  <si>
    <t>lsmain</t>
  </si>
  <si>
    <t>jr:choice-name(${ls_main},'${ls_main}')</t>
  </si>
  <si>
    <t>ls_num_lastyr</t>
  </si>
  <si>
    <t>How many ${lsmain} did you have at the same time last year?</t>
  </si>
  <si>
    <t>Combien de ${lsmain} possédiez-vous à la même period il y a un an ?</t>
  </si>
  <si>
    <t>Daba Nawa kuka ${lsmain} malaka kamar wanan lokacin shekara da ta shige?</t>
  </si>
  <si>
    <t>Almane margue no go aran se manan massan kine?</t>
  </si>
  <si>
    <t>Noy foti ${lsmain} tawraɗon wakkati gooto o hitaande faltiinde?</t>
  </si>
  <si>
    <t xml:space="preserve">Sandi ndawu ${lsmain} saa koz3na dilan? </t>
  </si>
  <si>
    <t>Maniket nasan {ls_main}təlam ɣor azaman ən awatay okayan ?</t>
  </si>
  <si>
    <t>[INSTRUCTIONS: RECORD THE NUMBER OF ANIMALS. ENTER 888 FOR DON'T KNOW AND 999 FOR REFUSED.]</t>
  </si>
  <si>
    <t>[INSTRUCTIONS :  SAISIR LE NOMBRE D'ANIMAUX. ENTREZ 888 POUR «NE SAIT PAS» ET 999 POUR «REFUSÉ».]</t>
  </si>
  <si>
    <t>[HUKUNCIN: SHIGA LAMBAR DABBOBI. Shigar da 888 DON "KADA KA SANI" DA 999 DON "KASHI"]</t>
  </si>
  <si>
    <t>almaney dimma kabouyan</t>
  </si>
  <si>
    <t>[[TINNDINOOJE : WINNDEE ƊUUƊAL BISAAJI. WINNDEE 888 FARO «ANNDAA» E 999 FARO «SALAKE».]</t>
  </si>
  <si>
    <t>Dama ronow som lumanne fondonadu. Goyo 888 adu nodunin ba 999 no ki ro</t>
  </si>
  <si>
    <t>tissousinte : astaram atiktibam ikete in hirwan tagum itamatimade ditamatimirwen ditam assimos ass wirissena madey tizayate timad id tizayate timirwen id taza tougute saljawab</t>
  </si>
  <si>
    <t xml:space="preserve">. &gt;= 0 </t>
  </si>
  <si>
    <t>${ls_main} != '10' and ${ls_main} != '11'</t>
  </si>
  <si>
    <t>ls_num_now</t>
  </si>
  <si>
    <t>How many ${lsmain} do you have now?</t>
  </si>
  <si>
    <t>Combien de ${lsmain} avez-vous maintenant ?</t>
  </si>
  <si>
    <t>Adadin daba guda nawa gareku a halin  yanzu?</t>
  </si>
  <si>
    <t>Noy foti {ls_main} joogi ɗon jooni?</t>
  </si>
  <si>
    <t>Maniket nasan {lsmain} təlam amaradǎɣ ?</t>
  </si>
  <si>
    <t>[HUKUNCI: SHIGAR DA DADIN DABBOBIN. SHIGAR DA 888 A MATSAYIN rishin sanni 999 A MATSAYIN kin amsawa.]</t>
  </si>
  <si>
    <t>[HANTUM KA: HANTUM ALMANEY meh. Wa dan 88888 djan ga beyrey se wala 99999 wandji ga tuyan se.]</t>
  </si>
  <si>
    <t>[Gargajiya : IKKE ADUDU DABBAYE. KKE 88888 NO ZAYI ro kuru 99999 WAANO ro.]</t>
  </si>
  <si>
    <t>[tissousinte : astaram atiktibam ikete in hirwan tagum itamatimade ditamatimirwen ditam assimos ass wirissena madey tizayate timad id tizayate timirwen id taza tougute saljawab]</t>
  </si>
  <si>
    <t>ls_num_diff</t>
  </si>
  <si>
    <t xml:space="preserve">Change in ${lsmain}: </t>
  </si>
  <si>
    <t xml:space="preserve">Différence de ${lsmain}: </t>
  </si>
  <si>
    <t>(${ls_main} != '10' and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</si>
  <si>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</si>
  <si>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</si>
  <si>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</si>
  <si>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</si>
  <si>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</si>
  <si>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Me yasa adadin dabbobin da gareku  suka canza?  </t>
  </si>
  <si>
    <t>I fo se almaney meh kan go aran se barmey</t>
  </si>
  <si>
    <t>Saabi de limoore daabaaji mareteeɗi nde wattitii?</t>
  </si>
  <si>
    <t>Abi nankaro numguu dabbayede fallat3?</t>
  </si>
  <si>
    <t>Mafal tajute ən arəzeg ən agamar amutay ?</t>
  </si>
  <si>
    <t xml:space="preserve">[INSTRUCTIONS :  PLUSIEURS RÉPONSES POSSIBLES.] </t>
  </si>
  <si>
    <t>[HUKUNCI: ZA A IYA SAMUN AMSA DA DAMA.]</t>
  </si>
  <si>
    <t>[HANTUM ka : TUUYAN DUMII-DUMII KAN I CI A SE.]</t>
  </si>
  <si>
    <t>[Gargajiya : AWO NGUU GOTAND3 MOWONJIN.]</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</si>
  <si>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</si>
  <si>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</si>
  <si>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</si>
  <si>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</si>
  <si>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</si>
  <si>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 xml:space="preserve">Mafi yanwan lokaci a ina kuke samo abinci dabobin ku ${lsmain}? </t>
  </si>
  <si>
    <t xml:space="preserve">Man no aran ga du nwari aran wanne almaney se}?  
</t>
  </si>
  <si>
    <t xml:space="preserve">Toy mboowuɗon heɓɓude ${lsmain} ɲaamee? </t>
  </si>
  <si>
    <t>Ndaran kumbu soa manuwi awondosoro ${lsmain}?</t>
  </si>
  <si>
    <t>Indek diha garawam dǎɣ išray ataɣam nawan {lsmain}?</t>
  </si>
  <si>
    <t>ls_proddif</t>
  </si>
  <si>
    <t>Has your household faced any significant difficulty with livestock production over the last 3 months?</t>
  </si>
  <si>
    <t>Votre ménage a-t-il rencontré d'importantes difficultés en matière d'élevage au cours des trois derniers mois ?</t>
  </si>
  <si>
    <t>Shin iyalen ku sun fuskanci matshaloli masu mahimmanci game da kiwon dabbobi a cikin watanni 3 da suka shige?</t>
  </si>
  <si>
    <t xml:space="preserve">Aran wane almiyalo du sandey no almaney kuruu yan fondara handu hinzey kan  bisa ?
</t>
  </si>
  <si>
    <t>Ɓaade mon kawrii saɗɗa ley gollal daabaaji ley lebbi 3 sakitiiɗi?</t>
  </si>
  <si>
    <t>Nyiye fatoman3mme balau Batti laa k3la dabbaa fatoye lann surunaa k3ntauwa 3 koz3na allan?</t>
  </si>
  <si>
    <t>Amazaɣ nawan yala ənhay asisuhu iknan ən lalan wi najamar ən arizg dǎɣ uran wən karad hən okaynen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</si>
  <si>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</si>
  <si>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</si>
  <si>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</si>
  <si>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</si>
  <si>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Waɗanne matsaloli iyalen ku suka fuskanta a ɓangaren kiwon babbobin a cikin watanni 3 da suka shige?</t>
  </si>
  <si>
    <t xml:space="preserve">Aran wane almiyalo du sandey no almaney kuruu yan fondara handu hinzey kan  bisa?
</t>
  </si>
  <si>
    <t>Wahala jirifi fatomanummeh suru dabba fatoye rootalan kintauwa 3 kozina lan?</t>
  </si>
  <si>
    <t>Indekan asuhutan dar amoqas alɣayal nawan ad iijii ən narəzegɣ</t>
  </si>
  <si>
    <t>[INSTRUCTIONS : PLUSIEURS RÉPONSES POSSIBLES. SÉLECTIONNER LA OU LES OPTIONS QUI CORRESPONDENT LE MIEUX AUX INFORMATIONS PROPOSÉES PAR LES RÉPONDANTS]</t>
  </si>
  <si>
    <t xml:space="preserve">[HUKUNCI: ZA A IYA SAMUN AMSA DA YAWA.  ZAƁI DUKKAN BAYANAN DA SUKA DACE DA ABINDA MAI BAYAR DA AMSA YA SAMAR.]    </t>
  </si>
  <si>
    <t>[Gargajiya : JAWAU KADA RAKK3 TIN. GONESURO JAWAUWA SAD3NA LAN SHIDONI JAWAU MAYE CHINAD3LAN</t>
  </si>
  <si>
    <t>[tissousinte: ISIDMURAN AJƏTNEN ATIWADABATNEN. SƏNƏFRƏNAT IDAKALAN ANIMAWALNEN HULEN YE ISALAN ATIWAZGANEN AS INƏSUDMAR]</t>
  </si>
  <si>
    <t>${ls_proddif}='1'</t>
  </si>
  <si>
    <t>select_multiple lsmain2</t>
  </si>
  <si>
    <t>ls_all</t>
  </si>
  <si>
    <t>Do you own any other livestock aside from ${lsmain}, and if so which ones?</t>
  </si>
  <si>
    <t>Possédez-vous d'autres animaux d'élevage en dehors de ${lsmain}, et si oui, lesquels ?</t>
  </si>
  <si>
    <t>Shin ka/kina da wasu dabbobin baya wa ennan , idan haka ne waɗanne ne?</t>
  </si>
  <si>
    <t xml:space="preserve">Aran ga almaane dumi foyan kuruu no kan weykan yan aran donu ga kuruu?
</t>
  </si>
  <si>
    <t>Onna jogii daabaaji mareteeɗi goɗɗi ɗi wanaa {ls_main}, so ayyo ɗile</t>
  </si>
  <si>
    <t>Naammin dabbaa fatoye gade mbejiwa ${lsmain}, ndaso maduo?</t>
  </si>
  <si>
    <t>Təkrašam imudaran iyaɗ ən agamar waren amos {lsmain}, afal iya, indekan?</t>
  </si>
  <si>
    <t>[INSTRUCTIONS: "No other livestock" APPEARS AT THE END OF THE LIST OF OPTIONS. SELECT ALL LIVESTOCK LISTED BY THE RESPONDENT.]</t>
  </si>
  <si>
    <t>[INSTRUCTIONS :  "Pas d'autre bétail" FIGURE DANS LES DERNIÈRES OPTIONS DE RÉPONSE. SAISIR TOUS LES ANIMAUX ÉNUMÉRÉS PAR LE RÉPONDANT.]</t>
  </si>
  <si>
    <t>[HUKUNCI: "Babu wasu dabbobin" ZAI BAYYANA A ƘARSHEN JERIN ZAƁUKAN. ZAƁI DUKKAN DABBOBIN DA MAI BAYAR DA AMSA YA LISSAFA.]</t>
  </si>
  <si>
    <t>[HANTUM KA: "Almeney dum wani si no" wa hantum almaney kulu kan I subane.]</t>
  </si>
  <si>
    <t xml:space="preserve">[TINNDINOOJE : Goɗɗi wala. NA TAWEE HANTOODE LIMTOL KOLLOOWOL CUƁEE DAABAAJI ƊI JAABOTOOƊO 'O LIMTI]. </t>
  </si>
  <si>
    <t>[Gargajiya : "Dabba fatoi gade bawo" TUKKU SIDAA AWOO ADIYEN. DABBAA SAMMA GONE SHIDONI JAWAU MAYE CHINAMAD3.]</t>
  </si>
  <si>
    <t xml:space="preserve">[tissousinte : Iden arəzeg iyan. IZGARID ƔOR SAMƏNDO ƏN TAKARƊE. SANƏFRƏNAT IMUDARAN KUL ATIWAƔANEN AS ANASADMOR].
</t>
  </si>
  <si>
    <t>if(selected(., '10') or selected(., '11') or selected(.,'666'), count-selected(.) = 1, count-selected(.) &gt;= 1)</t>
  </si>
  <si>
    <t>not(selected(${ls_main}, name))</t>
  </si>
  <si>
    <t>LivestockSales_group</t>
  </si>
  <si>
    <t xml:space="preserve">LIVESTOCK &amp; LIVESTOCK PRODUCT MARKETING </t>
  </si>
  <si>
    <t>VENTE DE BÉTAIL ET DE PRODUITS D'ÉLEVAGE</t>
  </si>
  <si>
    <t>SIYAR DA BISASHE DA KAYAN KIWO</t>
  </si>
  <si>
    <t>almane da albarka kan iga dou almane ra néré yan</t>
  </si>
  <si>
    <t xml:space="preserve">CONNOL BISAAJI E BARKE KEƁAAƊO E DURNGOL </t>
  </si>
  <si>
    <t>lunam  la dah lu aw Tcham aw tchoukou</t>
  </si>
  <si>
    <t>inazan in hirwan intinfa tatandou tigamadate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</si>
  <si>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</si>
  <si>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</si>
  <si>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</si>
  <si>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</si>
  <si>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</si>
  <si>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Wanne kalar dabbobi ne mutanen gidanku suka fi samarwa a cikin watanni 3 da suka gabata?</t>
  </si>
  <si>
    <t>Ifo almane wala djiney kulu kan fuu almane ga  kan aran ga nera handu hinzey kan bissa ra?</t>
  </si>
  <si>
    <t>Ɗume wonnoo ndaaba hooreya maa fii maral ngan woru mon go sonni ley lebbi 3 sakitiiɗi?</t>
  </si>
  <si>
    <t>Aiyoh au dabbayiyo fatomanum meh siladu kintauwa 3 kozina allan?</t>
  </si>
  <si>
    <t>Indek amudar ogaran meɣ harat ən agamar ašəšahin alɣayal nawan ɣor 3 oran okaynen?</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</si>
  <si>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</si>
  <si>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</si>
  <si>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</si>
  <si>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</si>
  <si>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</si>
  <si>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 xml:space="preserve">Shin mutanen gidanku sun fuskanci matsaloli a ɓangaren sayar da kayakin su {ls_salesmain}? </t>
  </si>
  <si>
    <t>Aran wane almiyalo du sandey no a wane almaney nera yanwo do handu hinzey kan bissa ra?</t>
  </si>
  <si>
    <t xml:space="preserve">Ɓaade mon heɓii saɗɗa e coggu ley lebbi 3 sakitiiɗi ɗi ${ls_salesmain} </t>
  </si>
  <si>
    <t>Fatomanumme wahala laa surunawa suro kentauwa 3 kozenadilan kela ladoilan ${ls_salesmain}?</t>
  </si>
  <si>
    <t>Alɣayal nawan amoqas ad asuhutan ɣor ən 3 oran okaynen ye ašəš nawan {ls_salesmain}?</t>
  </si>
  <si>
    <t>${ls_salesmain} != '12' and ${ls_salesmain} != '13'</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</si>
  <si>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</si>
  <si>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</si>
  <si>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</si>
  <si>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</si>
  <si>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 xml:space="preserve">Waɗanne matsaloli mutanen gidanku suke fuskanta a ɓangaren sayar da kayakin su a cikin watani uku da suka shige? </t>
  </si>
  <si>
    <t>Sandey fo no aran wane almiyalo du handu hinzey wo ra almaney nera yanwo do?</t>
  </si>
  <si>
    <t xml:space="preserve">Ɗile saɗɗaaji hewtii ɓaade mon e coggu ley lebbi 3 sakitiiɗiɗi {ls_salesmain}? </t>
  </si>
  <si>
    <t>Wahala jirifiso fatomanundee suru suro kentauwa 3 kozena dilan kila ladoilan ${lssalesmain}?</t>
  </si>
  <si>
    <t>Indekan asuhutan dǎɣ amoqas alɣayal nawan ɣor 3 oran okaynen ye ašəš nawan {lssalesmain} ?.</t>
  </si>
  <si>
    <t>[INSTRUCTIONS : PLUSIEURS RÉPONSES POSSIBLES. SÉLECTIONNER LA OU LES OPTIONS QUI CORRESPONDENT LE MIEUX AUX INFORMATIONS FOURNIES PAR LES PERSONNES INTERROGÉES.]</t>
  </si>
  <si>
    <t>[HANTUM KA: TUUYON BOBO wa hantum heykan tu koy kiS.]</t>
  </si>
  <si>
    <t xml:space="preserve">[TINNDINOOJE : NA WAAWI LAATAADE JAWAABUUJI HEWƊI. CUƁEE KO ƁURI KUMPITE ƊE JAABO TOOƁE HOKKI].
</t>
  </si>
  <si>
    <t xml:space="preserve"> [tissousinte : ISIDMURAN AGOTNEN ATIWADABATNEN. SƏNƏFRƏNAT DIHAD IDAKALAN WI ANIMAWALNEN HULEN YE ISALAN ATIWAJANEN AS INƏSUDMORAN].</t>
  </si>
  <si>
    <t xml:space="preserve">${ls_salesdif} = '1' </t>
  </si>
  <si>
    <t>ls_salesprice</t>
  </si>
  <si>
    <t>How does the current price of your household's ${lssalesmain} compare to the average price in the same period of a normal year?</t>
  </si>
  <si>
    <t>Comment évaluez-vous le prix actuel de ${lssalesmain} par rapport au prix moyen sur la même période de une année normale ?</t>
  </si>
  <si>
    <t>Yaya ne kuka ga kudin saide saiden  na a yanzu ya kwatanta da matsakaicin farashi shekara kamar ta kulum?</t>
  </si>
  <si>
    <t>Margue  dedandi no aran do sohon almaney noro to da guirey kan bissa wano?</t>
  </si>
  <si>
    <t>Noy cooggu ɓaade mooɗon {ls_salesmain} hanndeewu woorri so fonndaama e cooggu kawroowu e oo wakkati e nder hitaande hiɓɓunde?</t>
  </si>
  <si>
    <t>Nyiye fatomanumme tamanz3 gadeya sha ${lssalesmain} am gadesoa wokt3 fallinsuro sa'a yen?</t>
  </si>
  <si>
    <t>Indek awa əs alhak wan amaradǎɣ ən {lssalesmain} əs itimuzuɣ əd alhak namas ən alwaq iyandǎɣ ən awatay əmdan?</t>
  </si>
  <si>
    <t>[INSTRUCTIONS : INSISTER SUR LE PRINCIPAL PRODUIT MENTIONNÉ AUPARAVANT.]</t>
  </si>
  <si>
    <t>[ Gargajiya : KARE ASALIYED3MAN KOLLE.]</t>
  </si>
  <si>
    <t>[tissousinte : ASUDMAR IYAN. TIMORT FAL HARAT MAQARAN IKTABAN]</t>
  </si>
  <si>
    <t>Fishing_group</t>
  </si>
  <si>
    <t>FISHING / AQUACULTURE PRODUCTION</t>
  </si>
  <si>
    <t>PRODUCTION PISCICOLE / AQUACOLE</t>
  </si>
  <si>
    <t>SAMUN KIFI / KIWON KIFI</t>
  </si>
  <si>
    <t>Hamissa biri yan</t>
  </si>
  <si>
    <t>KEPTOL DURNGOL LIƳƳI/BARKE NDER NDIYAM</t>
  </si>
  <si>
    <t>Buni tchiyoo/ Buni n'gui yé</t>
  </si>
  <si>
    <t>timidinte in kifitan id moudaran wine namass naman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</si>
  <si>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</si>
  <si>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</si>
  <si>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</si>
  <si>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</si>
  <si>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Yanzu za mu yi muku wasu tambayoyi game da kamun kifi da noman kiwo. Waɗannan tambayoyin sun shafi ku da duk wanda ke cikin gidan ku da ke da hannu wajen kamawa, kiwo ko girbin kifi da kayayyakin ruwa.</t>
  </si>
  <si>
    <t>Ir gonda aran sé hayan darbeyan wo bon. Hayan izey wo aran dan aran windora borey koul kan ga darbey, biri yan no aga gouné.</t>
  </si>
  <si>
    <t>Men ƴaman on joonin ka ƴamle seɗɗa ko naatanta e margal liƴƴi maa ko wuuri ley ndiyam ko jomii e mon maa neɗɗo wuro mon dow margal liƴƴie ko naatan coggu majji maa gollal.</t>
  </si>
  <si>
    <t>Akawan nafu amara harat nasestanan fal agamar ən imanan adamu ən eškan sarwan oraknen ad awadəm kul ən alɣayal nawan ertayan dǎɣ iji meɣ ašənš ən imanan/ adamu.</t>
  </si>
  <si>
    <t>select_multiple fishactivity</t>
  </si>
  <si>
    <t>fish_main</t>
  </si>
  <si>
    <t>What type of fishing activity does your household generally practice?</t>
  </si>
  <si>
    <t>Quel type de pêche votre ménage pratique-t-il généralement ?</t>
  </si>
  <si>
    <t>Wanne irin kamun kifi mutanen gidanku suke yi da dama?</t>
  </si>
  <si>
    <t>Hamissa diyan fo dimi no aran te ?</t>
  </si>
  <si>
    <t>Iri gollal awagol ngalle wuro gollata ko ɓuri hewde?</t>
  </si>
  <si>
    <t>Kasuu b3nyiyeh jirifi fatoman3ndee sidin?</t>
  </si>
  <si>
    <t>Indek iri ən ašəɣəl ən afataw ilmad alɣayal nawan hulen ?</t>
  </si>
  <si>
    <t>[INSTRUCTIONS: MUTIPLE RESPONSES POSSIBLE.]</t>
  </si>
  <si>
    <t>[ HANTUM ka :TUUYAN DUMII-DUMII KAN I CI A SE.]</t>
  </si>
  <si>
    <t xml:space="preserve"> [tissousinte : ISIDMURAN AGOTNEN ATIWADABATNEN.</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</si>
  <si>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</si>
  <si>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</si>
  <si>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</si>
  <si>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 xml:space="preserve">Shin ya ya zaku iya daidaita kamun kifi da kuka yi a cikikin wata uku da suka shige da bara warhaka?   </t>
  </si>
  <si>
    <t>Mate no aran ga hamissa kana ran ga di  dedandi handu hinzey kan bissa ga da manan sohon kine?</t>
  </si>
  <si>
    <t>Noy gollal mon liƴƴi ngan warata e ngal hitannde faltiinnde  e o wakkati?</t>
  </si>
  <si>
    <t>Jiriyimen bunyi taanum/kintauwa 3 kozinadaa saa adiyeyya falzu?</t>
  </si>
  <si>
    <t>Indek alməɣna ən iji/aramas ən imanan ɣor 3 elan okaynen ?</t>
  </si>
  <si>
    <t>not(${fish_main}='dk' or ${fish_main}='ref')</t>
  </si>
  <si>
    <t>fish_proddif</t>
  </si>
  <si>
    <t>Has your household faced any significant difficulty with fish catch / harvest / farming in the last 3 months?</t>
  </si>
  <si>
    <t>Votre ménage a-t-il rencontré d’importantes difficultés avec la pêche / la récolte / l'élevage au cours des 3 derniers mois?</t>
  </si>
  <si>
    <t>Shin iyalen ku sun fuskanci wata mahinmiyar matsala a cikin kamun kifi a cikin watanni 3 da suka shige?</t>
  </si>
  <si>
    <t>Aran almiyalo du sandey no hamissa di yanwo do wala kuruu yanwo do handun hinzey kan bissa ra?</t>
  </si>
  <si>
    <t>Ɗiye won saɗɗaaji ɗi ɓaade mon heɓi ley gollal liƴƴi kam e coggu ley lebbi 3 sakitiiɗi ɗi?</t>
  </si>
  <si>
    <t>Nyiye fatoman3mme balauBatti laa k3la b3nyi taalam kuru/ au barelann surunaa k3ntauwa 3 koz3na allan?</t>
  </si>
  <si>
    <t xml:space="preserve"> Amazaɣ nawan yala ənhay asisuhu atiwasanan fal ukis ən / meɣ asidiw ən manan dǎɣ uran wi karad hən okaynen ?</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</si>
  <si>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</si>
  <si>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</si>
  <si>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</si>
  <si>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</si>
  <si>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Waɗanne matsaloli iyalen ku suka fuskanta a ɓangaren kamun kifi cikin watanni 3 da suka shige?</t>
  </si>
  <si>
    <t xml:space="preserve">Ɗiye won saɗɗaaji ɗi baade mon heɓi ley gollal liƴƴi kam e coggu ley lebbi 3 sakitiiɗi </t>
  </si>
  <si>
    <t>Wahala jirifi fatomanummeh suru chida binyi taayeh allan kintauwa 3 kozina lan?</t>
  </si>
  <si>
    <t>Indekan asuhutan dar amoqas alɣayal nawan dǎɣ iji ən afataw ad adamu ɣor 3 oran okaynen ?</t>
  </si>
  <si>
    <t>[INSTRUCTIONS :  PLUSIEURS RÉPONSES POSSIBLES. SÉLECTIONNER LA OU LES OPTIONS QUI CORRESPONDENT LE MIEUX AUX INFORMATIONS PROPOSÉES PAR LES RÉPONDANTS].</t>
  </si>
  <si>
    <t>[HANTUM KA: TUUYON wa hantum weykulu kan tuka subane.]</t>
  </si>
  <si>
    <t>${fish_proddif}='1'</t>
  </si>
  <si>
    <t>fish_proddif_otherspecify</t>
  </si>
  <si>
    <t>wa sallan bora touyan gnwo bon keyna</t>
  </si>
  <si>
    <t>Gargajiya : Hawara kaladichu laktu asmro tcho Lamba 888 banne kam yano nokini .Lamba 999 Wakina</t>
  </si>
  <si>
    <t>[tissousinte : ISIDMURAN AGOTNEN ATIWADABATNEN. SƏNƏFRƏNAT DIHAD IDAKALAN ANIMAWALNEN HULEN YE ISALAN ATIWAJANEN AS INƏSUDMORAN].</t>
  </si>
  <si>
    <t>${fish_proddif} = '1' and selected(${fish_proddif_}, 'other')</t>
  </si>
  <si>
    <t>FishSales_group</t>
  </si>
  <si>
    <t xml:space="preserve">FISHING / AQUACULTURE MARKETING </t>
  </si>
  <si>
    <t>VENTES DE POISSON</t>
  </si>
  <si>
    <t>SANA'AR KIFI</t>
  </si>
  <si>
    <t>hamissa néra yan</t>
  </si>
  <si>
    <t>leɗɗe ladde Sotta</t>
  </si>
  <si>
    <t>Lua buni yé</t>
  </si>
  <si>
    <t>inazan in kifitan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</si>
  <si>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</si>
  <si>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</si>
  <si>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</si>
  <si>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</si>
  <si>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</si>
  <si>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Menene babban kifi ko kayan ruwa da danginku suka sayar a cikin watanni 3 da suka gabata?</t>
  </si>
  <si>
    <t>Harira almane fo no aran almiyalo néra handou hinza kan bissa ra?</t>
  </si>
  <si>
    <t>Ɗume won njenycude awade nde wuro mon sotti ley lebbi 3 sakitiiɗi ɗi?</t>
  </si>
  <si>
    <t>Curo kawu 30 allan nandi aw kamlaa curo fandoye kawu ganaro kumbu aw kumbu barey  cuwonuni kozuna mbeyiya nii aw jam'a fandu yé</t>
  </si>
  <si>
    <t>matimoss tinfa tatigarawam dagh timidinte in kifitan ghour karadate tilile chin izrenen ?</t>
  </si>
  <si>
    <t>fishsalesmain</t>
  </si>
  <si>
    <t>jr:choice-name(${fish_salesmain},'${fish_salesmain}')</t>
  </si>
  <si>
    <t>fish_salesmain_otherspecify</t>
  </si>
  <si>
    <t>Gade diminna fosalsune</t>
  </si>
  <si>
    <t>[INSTRUCTIONS : DÉCRIVEZ LA RÉPONSE DONNÉE PAR LE RÉPONDANT EN QUELQUES MOTS. ENTREZ 888 POUR NE SAIT PAS ET 999 POUR REFUS.]</t>
  </si>
  <si>
    <t>[UMARNI: BAYANI AMSAR DA MAI AMSA YA BAYAR A CIKIN KADAN KALMOMI. Shigar da 888 DON BA SAN BA DA 999 DON ƙin yarda.]</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</si>
  <si>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</si>
  <si>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</si>
  <si>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</si>
  <si>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</si>
  <si>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 xml:space="preserve">Shin iyalen ku sun fuskanci mahinman matsaloli ne wagen sayar da kifin a cikin watani uku da suka shige? </t>
  </si>
  <si>
    <t>Handu hinzey kan bissa ra, hamissa nera yan masala fo no aran da aran almialo du{fish_salesmain} ?</t>
  </si>
  <si>
    <t>Wuro mon heɓii saɗɗa e coggu liƴƴimon ${fishsalesmain} lebbi 3 sakitiiɗi ɗi?</t>
  </si>
  <si>
    <t xml:space="preserve">Fatomanummeh wahalalaa surunaa kintauwa 3 kozina allan kila ladoilan ${fishsalesmain}? </t>
  </si>
  <si>
    <t>Alɣayal amoqas ad asuhutan ɣor 3 oran ye ašəš nawan ${fishsalesmain} ən imanan ?</t>
  </si>
  <si>
    <t>${fish_salesmain} != '6' and ${fish_salesmain} != '7'</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</si>
  <si>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</si>
  <si>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</si>
  <si>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</si>
  <si>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</si>
  <si>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Waɗanne matsaloli iyalen ku suka fuskanta a cikin watanni 3 da suka shige  a wajen sayar da  kifin su?</t>
  </si>
  <si>
    <t>Handu hinzey kan bissa ra, I fo masala no aran da aran almialo du hamisa nera yaney do harey {fish_salesmain}?</t>
  </si>
  <si>
    <t>Tiiɗormaaji ɗiye ngoni ɗi ɓaade mooɗon hawri e nder soonugol {fish_salesmain} mooɗon  ?</t>
  </si>
  <si>
    <t>Fatomanummeh wahala jirifi suru kintauwa 3 kozina allan loktu suladin lan ${fishsalesmain} ?</t>
  </si>
  <si>
    <t>Indekan dar amoqas alɣayal nawan ɣor 3 oran ye ašəš nawan {fish_salesmain} ?</t>
  </si>
  <si>
    <t>[INSTRUCTIONS :  PLUSIEURS RÉPONSES POSSIBLES. SÉLECTIONNEZ LA OU LES OPTIONS QUI CORRESPONDENT LE MIEUX AUX INFORMATIONS FOURNIES PAR LES PERSONNES INTERROGÉES.]</t>
  </si>
  <si>
    <t xml:space="preserve">[HANTUM KA: TOU YAN BOBO RA SUBANE YAN. WO SUBANE TUYANEY RA WO KAN GA HIMAN DA WO KAN TU KA SUBANE.]
</t>
  </si>
  <si>
    <t xml:space="preserve">TINNDINOOJE : JAABUUJI KEEWƊI NA MBAAWI JAƁEEDE. SUƁA JAABU MAA JAABUUJI KAWROOJI E KO ƳAMAAƁE ƁEN  NJAABII].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</si>
  <si>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</si>
  <si>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</si>
  <si>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</si>
  <si>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</si>
  <si>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</si>
  <si>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 xml:space="preserve">Comment évaluez-vous le prix actuel de vos ${fishsalesmain} vendus par votre ménage par rapport au prix moyen sur la même période [récolte] de une année normale ? </t>
  </si>
  <si>
    <t>Yaya ne farashin  kifin da iyalenku suka sayar tshakanin yanzu da farashin shekara irin ta kulum ?</t>
  </si>
  <si>
    <t xml:space="preserve">Maté no aran da aran almialo di aran haran djiro da djiro kan bissa hamissa nera yan wo?
</t>
  </si>
  <si>
    <t>Noy cooggu ɓaade mooɗon {fish_salesmain} hanndeewu ngu ɓaade mooɗon soonnata woorri so fonndaama e cooggu kawroowu e oo wakkati / kettal e nder hitaande hiɓɓunde?</t>
  </si>
  <si>
    <t>Nyiye fatomanumme tamanz3 lodoiya gadeya sha ${fishsalesmain} am gadesoa wokt3 fallin/baresuro sa'a yen?</t>
  </si>
  <si>
    <t>Indek aw əs alhak wan amaradǎɣ ən {fish_Salsmain} əmik was hin inša ye wa izimuzuɣan ɣur dǎɣ alwaq iyandǎɣ/ uluy ən awatay əmdan?</t>
  </si>
  <si>
    <t>[HANTUM KA : TU YAN FOLON. WO TABATANDI HAMISSA NERANDO BON. ]</t>
  </si>
  <si>
    <t>[TINNDINOOJE : EENGINDE E FII HOOREYA]</t>
  </si>
  <si>
    <t>FSI</t>
  </si>
  <si>
    <t>FOOD SECURITY INDICATORS</t>
  </si>
  <si>
    <t>INDICATEURS DE SÉCURITÉ ALIMENTAIRE</t>
  </si>
  <si>
    <t>MALAMAI TSARON ABINCI</t>
  </si>
  <si>
    <t>hankan gadan îrma bey hal gnawrite  guidon ra wal binde aah</t>
  </si>
  <si>
    <t>KOLLOOJUM KO WADDATA NDEENA DOW FILLA  KO NYAAMETE</t>
  </si>
  <si>
    <t>Ayi feleyi alama machalla kumbu mbyi</t>
  </si>
  <si>
    <t>issistanane fil agana wadikalan tetaye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</si>
  <si>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</si>
  <si>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</si>
  <si>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</si>
  <si>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Yanzu zamu tambayeka/ki wasu tambayoyi a kan cin abinci ku, alkinta abinci da kuma dabarun don sabo da irin abincin. Tabbatar ka alaƙanta al'amarin da wannan lokacin a kan dukkan  tambayoyin.</t>
  </si>
  <si>
    <t xml:space="preserve">Sonhon ay gonda hanyan aran ngwarey bon, mata kana ran ga hagoye da aran ngwarey da mata kana ran ga té da ngwari go no wala da si no. </t>
  </si>
  <si>
    <t>Joonin kay miɗo muuya lamndaade-ɗon ke haɓɓodii e no neemorto-ɗon, no njogori-ɗon naama e e no ngatton ko na ɗum foti e mooɗon. Laamnon keh jaabuuji moɗon na kawri e wakkati mo ko njaabo-ɗon ɗum waɗi.</t>
  </si>
  <si>
    <t>Dama rakina  kala  karo Koroo niro dikin adu curo kawu 30  kindao atchi koyina atin soro nazou ni la  kamm yella nim  soro kumbu fidna kozuna adiyen.Nda niyé nglaro sommé curo fandoyen kamdolaa dalil kunguna aw kumbu bawoyé cikono tchassu fado ayi naga ro</t>
  </si>
  <si>
    <t>Arheɣ amaradəɣ akawan akfaɣ harat ən asestanan fal tetate ən amənsi, adakal ən amənsi ad imokənan ən aləmadat. Sədutətat ye atarəkam as asaɣat tahusket ye tagabayt ən asestanan kul.</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</si>
  <si>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</si>
  <si>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</si>
  <si>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</si>
  <si>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</si>
  <si>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</si>
  <si>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 xml:space="preserve">Sashin farko na tambayoyin zai shafi kwarewar ku  ko kuma ko wane ne daga mutanen gidanku a cikin kwana 30 da suka shige. </t>
  </si>
  <si>
    <t xml:space="preserve">Wo lakkal dan, sintiney hanyaney aran da aran almialo hando kan bissa ra bafouna bon no.
</t>
  </si>
  <si>
    <t>amɗe go’aɓe ɗen na kaɓɓodii e ko mboowu-ɗon anon maa ko woowi hewtaade yoga e koreeji mooɗon nder ñalaaɗe 30 cakitiiɗe ɗee.</t>
  </si>
  <si>
    <t>Nasara na farko na tambayoyin zata yin shi ne akan tsarin da kai ko mutanen gida suka gane a wannan watan lokaci da ta gabata.</t>
  </si>
  <si>
    <t xml:space="preserve">Tagabayt tazarat ən asestanan təle fal timusnawen tidar koned meɣ adinat ən alɣayal nawan tamoqasam ɣor 30 išilan okaynen.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</si>
  <si>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</si>
  <si>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</si>
  <si>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</si>
  <si>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A cikin kwana 30 da suka shige, akwai lokacin da kai ko wani daga cikin mutanen gidanku suka damu a kan rashin samun isasshen abincin da zasu ci saboda rashin kuɗi ko kuma abun nema?</t>
  </si>
  <si>
    <t xml:space="preserve">Hando wo kan bissa ra, aran, da aran  almialo aran hambourou aran ma si dou ngwari tchékayanté hando koul zama sé hankan ga hinna wala kan ga dey ngwari si no? 
</t>
  </si>
  <si>
    <t>Ley ñalaaɗe 30 cakitiiɗe ɗee, waɗii fuh nde anon maa yoga e koreeji mooɗon miijii ke neema muɓɓen saabee rafi ceede maa baawɗe goɗɗe ?</t>
  </si>
  <si>
    <t>Suro kau 30 koz3naladin, nyi au am fannimiyeh hangaldo chiz3naa k3la kumbun do booyeh ba sau kung3nando au zawal ndo baro?</t>
  </si>
  <si>
    <t>Ɣor 30 ən išilan okaynen, ilet alwaq dihad kawaned meɣ adinat iyad ən alɣayal nawan aɣsudan ad war garuwan harat ən amənsi as iban azrif meɣ təlaten tiyad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</si>
  <si>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</si>
  <si>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</si>
  <si>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</si>
  <si>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 xml:space="preserve">A cikin kwana 30 da suka shige, akwai lokacin da kai ko wani daga cikin mutanen gidanku suka kasa samun cin lafiyayyen abincin mai gina jiki sakamakon rashin kudi ko abun neman? </t>
  </si>
  <si>
    <t xml:space="preserve">Hando wo kan bissa ra, aran almialo mane ngwari kan ga gaham tchina ngwa hando koul zama sé hankan ga hinna wala kan ga dey ngwari si no? 
</t>
  </si>
  <si>
    <t>Ley ñalaaɗe 30 cakitiiɗe ɗee, waɗii fuh nde anon maa yoga e koreeji mooɗon keɓaay ñaamude neemaaji lobbi neeminiiɗi  saabee rafi ceede maa baawɗe goɗɗe ?</t>
  </si>
  <si>
    <t>Suro kau 30 koz3naladin, loktulaa mbejiwa nyi au am fandoyeh rannu kumbu ngla buuwa sau kung3nado au zawal ndo baro?</t>
  </si>
  <si>
    <t>Ɣor 30 ən išilan okaynen, ilet alwaq dihad kawaned meɣ adinat iyad ən alɣayal nawan war təgrewan tetate ən imənsiwan šadignen ad šaškanen as Iban azrif meɣ təlaten tiyad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</si>
  <si>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</si>
  <si>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</si>
  <si>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</si>
  <si>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A cikin kwana 30 da suka shige, akwai lokacin da kai ko wani daga cikin mutanen gidanku suka ci nau'uka kaɗan na abinci sakamakon rashin kudi ko abun neman?</t>
  </si>
  <si>
    <t xml:space="preserve">Hando wo kan bissa ra, aran almialo ngwa ngwari doumi folon ngwa hando koul zama sé hankan ga hinna wala kan ga dey ngwari si no? </t>
  </si>
  <si>
    <t>Ley ñalaaɗe 30 cakitiiɗe ɗee, waɗii fuh nde anon maa yoga e koreeji mooɗon keɓaay ñaamude neemaaji feere feereeji saabee rafi ceede maa baawɗe goɗɗe ?</t>
  </si>
  <si>
    <t>Suro kau 30 koz3naladin, nyi au am fannimiyeh kumbu ganalaa buwu sau kung3nando au zawal ndo baro?</t>
  </si>
  <si>
    <t>Ɣor 30 ən išilan okaynen, ilet alwaq dihad kawaned meɣ adinat iyad ən alɣayal nawan war təškem arharat ən iritan ən iməsiwan as iban təlat ən azrif meɣ təlaten tiyad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</si>
  <si>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</si>
  <si>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</si>
  <si>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</si>
  <si>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A cikin *kwana 30 da suka shude*, shin kai ko wani a gidanku* kun daina cin abinci** saboda ba ku da isassun kuɗi ko wasu kayan abinci da za ku iya ci?</t>
  </si>
  <si>
    <t xml:space="preserve">Hando wo kan bissa ra, aran almialo djan hankan ga ngwa zarora wala tchino ra zama sé hankan ga hinna wala kan ga dey ngwari si no? </t>
  </si>
  <si>
    <t>Ley ñalaaɗe 30 cakitiiɗe ɗee, waɗii fuh nde anon maa yoga e koreeji mooɗon keɓaay ñaamude wakkati mo mboowunoo ñaamude  saabee rafi ceede maa baawɗe goɗɗe faa coodon</t>
  </si>
  <si>
    <t>Churo kawu 30 gaye koyina ati  allan nandi aw kamlaa churo fandoye  kumbu sero tilo la soror ,awu fandu kumbu ni la yalla ni, kawu ganaro kumbucuwonduni kozuna mbeyiya!</t>
  </si>
  <si>
    <t>Ɣor 30 ən išilan  okaynen, ilet alwaq dihad kawaned meɣ adinat iyad ən alɣayal nawan təgadam amənsi as iban azrif meɣ təlaten tiyad ye agaraw ən amənsi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</si>
  <si>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</si>
  <si>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</si>
  <si>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</si>
  <si>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A cikin kwana 30 da suka shige, akwai lokacin da kai ko wani daga cikin mutanen gidanku suka ci abinci bai ishe su ko ba abinda kuka so ci ba  sakamakon rashin kudi ko abun neman?</t>
  </si>
  <si>
    <t>Hando wo kan bissa ra, aran almialo mane ngwa mata kan a kamatan da zama se hankan ga hinna wala kan ga dey ngwari si no?</t>
  </si>
  <si>
    <t>Ley ñalaaɗe 30 cakitiiɗe ɗee, waɗii fuh nde anon maa yoga e koreeji mooɗon keɓaay ñaamude faa hewti no mboowuno-ɗon ñaamirde saabee rafi ceede maa baawɗe goɗɗe?</t>
  </si>
  <si>
    <t>Suro kau 30 koz3naladin, nyi au am fannimiyeh kumbu gana buwuu shidone jiri buroi buwui mad3ma sidine sau kung3nando au zawal ndo baro?</t>
  </si>
  <si>
    <t>Ɣor 30 ən išilan okaynen, ilet alwaq dihad kawaned meɣ adinat iyad ən alɣayal nawan təškam əndaran war taɣelam, as iban azrif meɣ təlaten tiyad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</si>
  <si>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</si>
  <si>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</si>
  <si>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</si>
  <si>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A cikin kwana 30 da suka shige, akwai lokacin da kai ko wani daga cikin mutanen gidanku suka ko wane irin abinci sakamakon rashin abinda za a samu a siye abinci da shi?</t>
  </si>
  <si>
    <t>Hando wo kan bissa ra, aran almialo djan hankan ga ngwa kota kota zama se hankan ga dey ngwari si no?</t>
  </si>
  <si>
    <t>Ley ñalaaɗe 30 cakitiiɗe ɗee, waɗaay fuh nde neema laatiiɗo fuh hunngii heɓeede nder ɓaade mooɗon saabee rafi baawɗe faa neema soodee ?</t>
  </si>
  <si>
    <t>Kau 30 koz3nalad3n, ngaltiyay kumbu jirifima baro wolz3na fandolan sau zawal kumbu mataye deh ba?</t>
  </si>
  <si>
    <t>Ɣor 30 ən išilan okaynen, war kala tila amənsi imaren amaška,as harat ən iri adarolah, dǎɣ alɣayal nawan, as iban təlaten ye agaraw ən amənsi ?</t>
  </si>
  <si>
    <t>select_one frequency</t>
  </si>
  <si>
    <t>fies_ranout_hhs</t>
  </si>
  <si>
    <t xml:space="preserve">How often did this happen? </t>
  </si>
  <si>
    <t>Combien de fois cela s'est-il produit ?</t>
  </si>
  <si>
    <t>Sau nawa hakan yana faruwa?</t>
  </si>
  <si>
    <t>Tché margue no wodine wo té?</t>
  </si>
  <si>
    <t>Sambi soro adu waano?</t>
  </si>
  <si>
    <t>Indekat tagute as ija awen ?</t>
  </si>
  <si>
    <t>${fies_ranout} = '1'</t>
  </si>
  <si>
    <t>fies_hungry</t>
  </si>
  <si>
    <t>In the *past 30 days*, did you or any household member ever **go to sleep at night hungry** because there was not enough food?</t>
  </si>
  <si>
    <t>Au cours des *30 derniers jours*, êtiez-vous ou tout membre de votre ménage **obligé de dormir affamé le soir** parce qu'il n'y avait pas assez de nourriture ?</t>
  </si>
  <si>
    <t xml:space="preserve">A cikin kwana 30 da suka shige, kai ko wani daga cikin mutanen gidanku kun taɓa kwanciya bakuci abinci dare ba alhakli kuna jin yunwa saboda babu isasshen abinci? </t>
  </si>
  <si>
    <t>Hando wo kan bissa ra, aran, wala aran almialo ra bor fo bey ga  kaani hawey ngwari djaney se?</t>
  </si>
  <si>
    <t>Ley ñalaaɗe 30 cakitiiɗe ɗee, waɗii fuh nde anon maa yoga e koreeji mooɗon waaldi saabee neema heƴaay?</t>
  </si>
  <si>
    <t>Kau 30 koz3naladin, nyi au wundayayi fannimin lez3 boz3naa kumbu zuunyi sau kumbu nguu bad3ro?</t>
  </si>
  <si>
    <t>Ɣor 30 išilan okaynen, kawaned meɣ awadəm ən alɣayal kal etas sehad dǎɣ aloz falas wartila amənsi hulen ?</t>
  </si>
  <si>
    <t>fies_hungry_hhs</t>
  </si>
  <si>
    <t>Kile foti ɗum ɗoo waɗi?</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</si>
  <si>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</si>
  <si>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</si>
  <si>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</si>
  <si>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</si>
  <si>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 xml:space="preserve">A cikin kwana 30 da suka shige kai ko wani daga cikin mutanen gidanku kun taba yini ko kuma kwana ba tare da kun ci komai ba saboda babu isasshen abinci? </t>
  </si>
  <si>
    <t xml:space="preserve">Hando wo kan bissa ra, aran, wala aran almialo ra bor fo foy wala kaani hawey?
</t>
  </si>
  <si>
    <t>Ley ñalaaɗe 30 cakitiiɗe ɗee, waɗii fuh nde anon maa yoga e koreeji mooɗon ñalli waali tawee ñaamaay faay gootum saabee neema heƴaay?</t>
  </si>
  <si>
    <t>Kau 30 koz3naladin, nyi au wundayayi fannimin suro kauyen har bunero chaado lez3 boz3naa kumbu zuunyi sau kumbu nguu bad3ro?</t>
  </si>
  <si>
    <t>Ɣor 30 ən išilan okaynen, ilet as kawaned meɣ awadəm ən alɣayal təgam ašal iyan ad ehad imdan war təškem wala falas wartila amənsi hulen?</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</si>
  <si>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</si>
  <si>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</si>
  <si>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</si>
  <si>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</si>
  <si>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</si>
  <si>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</si>
  <si>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</si>
  <si>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</si>
  <si>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Yanzu zan so in yi muku tambayoyi na biyu game da dabarun shawo kan matsalolin da kuka aiwatar cikin *kwanaki 30 da suka gabata*. Ka yi la'akari da ko kai ko wani a cikin gidanka ya zama dole ka bi wadannan dabaru a cikin *kwana 30 da suka gabata* wanda da ba haka ba za ka kauce masa, saboda *rashin abinci ko kudi*.</t>
  </si>
  <si>
    <t>irgon da hayan fo koyner aran wana dabarey almane kour yan wal binde, farmi fondara</t>
  </si>
  <si>
    <t>Imi yiɗi jooni iri ƴame gooɗom ɗiɗaɓeeje dow dabareeji ɗi kooƴuɗon nder balɗe *30 ɗee bittiiɗe*. Miije ko onon naa goɗɗo mo hoggo mooɗon naftorake e dabareeji ɗi nder  *bamɗe 30 ɗee bittiiɗe*, ɗe nduttiɗon, ngam * rafi nyaamndu naa ceede*.</t>
  </si>
  <si>
    <t>imirda dawanaga issistanane iyade fil agana wadikalan timiwite tastigla timudourte nawan ghour karadate timirwen nizil win dizrenen ,atimilam koud kala atimal awedan daghewan nawan askala igaratan win dawanzanimil da filasse wirtila azrif tetaye da wirtoutila</t>
  </si>
  <si>
    <t>select_one coping</t>
  </si>
  <si>
    <t>cs_stress_hh_assets</t>
  </si>
  <si>
    <t>**Sell household assets/goods** (radio, furniture, television, jewelry etc.)</t>
  </si>
  <si>
    <t>**Vendre des actifs/biens ménagers** (radio, meubles, télévision, bijoux, etc.)</t>
  </si>
  <si>
    <t>** Sayar da kadarorin gida/kayayyaki** (rediyo, kayan daki, talabijin, kayan ado, da sauransu)</t>
  </si>
  <si>
    <t>nerandi fou guiney da tallam guiney</t>
  </si>
  <si>
    <t>**Sotta ko naftortoo/naftorteeɗi nder hoggo** raadiyo, korooje mawɗe ɗe saalon,  teele,  kanŋe, ekn.)</t>
  </si>
  <si>
    <t>Kirma dama atiyi fannubé lado misal tele radio aw awowa gade ( katari ladooé)</t>
  </si>
  <si>
    <t>inazan naratan naghiwan chilan radio,ehan ,ourigh ,id jouhir</t>
  </si>
  <si>
    <t>cs_stress_spent_savings</t>
  </si>
  <si>
    <t>**Spend savings**</t>
  </si>
  <si>
    <t>**Dépenser les économies**</t>
  </si>
  <si>
    <t>**Ku ciyar da tanadi**</t>
  </si>
  <si>
    <t>assousou wi yan</t>
  </si>
  <si>
    <t>**Wara risku**</t>
  </si>
  <si>
    <t>Buroowa kozunaro dabbaa ladow</t>
  </si>
  <si>
    <t>tenaghaye niriyalan win digolaznen daghewan</t>
  </si>
  <si>
    <t>cs_stress_sold_more_animals</t>
  </si>
  <si>
    <t>**Sell more animals (non-reproductive) than usual**</t>
  </si>
  <si>
    <t>**Vendre plus d'animaux (non producteurs) que d'habitude**</t>
  </si>
  <si>
    <t>** Sayar da ƙarin dabbobi (marasa samarwa) fiye da yadda aka saba**</t>
  </si>
  <si>
    <t>aran na almane néra ga bissa watikoul.</t>
  </si>
  <si>
    <t>**Sonna bisaaji (ɗi ndimata) hano wakkati fuu**</t>
  </si>
  <si>
    <t>Lua kumbu barey la kumbu lua jambo tcheri na rin</t>
  </si>
  <si>
    <t>inazan in hirwan</t>
  </si>
  <si>
    <t>cs_stress_borrowed_money</t>
  </si>
  <si>
    <t>**Borrow money**</t>
  </si>
  <si>
    <t>**Emprunter de l'argent**</t>
  </si>
  <si>
    <t>**Aron kudi**</t>
  </si>
  <si>
    <t>garaw sambou yan</t>
  </si>
  <si>
    <t>**Nyalmo ceede**</t>
  </si>
  <si>
    <t>Kussu kungunaye gone</t>
  </si>
  <si>
    <t>uzibina niriyalan</t>
  </si>
  <si>
    <t>cs_crisis_sold_prod_assets</t>
  </si>
  <si>
    <t>**Sell productive assets or means of transport** (sewing machine, wheelbarrow, bicycle, car, etc.)</t>
  </si>
  <si>
    <t>**Vendre des actifs productifs ou des véhicules** (machine à coudre, charrette vélo, voiture, etc.)</t>
  </si>
  <si>
    <t>** Sayar da kadarori ko ababen hawa mai albarka** (injin ɗinki, keken keke, mota, da sauransu)</t>
  </si>
  <si>
    <t>aran ga nera mota yan, popor yan wal binder torko neran yan</t>
  </si>
  <si>
    <t>**Sonna ko waddata ɓeydaari naa looreeji ** (masin nyootoowo, saaret beelo, loore, ekn.)</t>
  </si>
  <si>
    <t>Artiyanum fadoye ladé; mota kéké dudoye gadenzuwa</t>
  </si>
  <si>
    <t>izinzi naratan windoutaweney tinfa chila tela tan azamaye ,malakaye ,tourifte</t>
  </si>
  <si>
    <t>cs_crisis_no_school</t>
  </si>
  <si>
    <t>**Withdraw children from school**</t>
  </si>
  <si>
    <t>**Retirer les enfants de l'école**</t>
  </si>
  <si>
    <t>**Cire yara daga makaranta**</t>
  </si>
  <si>
    <t>Aran ga zankay ka lokol no?</t>
  </si>
  <si>
    <t>**itta sukaaɓe janngirde**</t>
  </si>
  <si>
    <t>Yallaanum lokkolin tuluyé</t>
  </si>
  <si>
    <t>ikouss naratan dagh tegharey</t>
  </si>
  <si>
    <t>cs_crisis_reduced_health_exp</t>
  </si>
  <si>
    <t>**Reduce expenses on health** (including drugs)</t>
  </si>
  <si>
    <t xml:space="preserve">**Réduire les dépenses de santé** (dont les médicaments) </t>
  </si>
  <si>
    <t>**Rage kudaden kiwon lafiya** (ciki har da magunguna)</t>
  </si>
  <si>
    <t>Aran garan safarey nera?</t>
  </si>
  <si>
    <t>**Ɓuyta barol ceede dow njamu** (e safareeji)</t>
  </si>
  <si>
    <t>Fulutuu kunguna kla nelewa tiyen njayo ( Wande kurun njasunumi )</t>
  </si>
  <si>
    <t>afanaz iban iriyalan winimagal</t>
  </si>
  <si>
    <t>cs_emergency_sold_house</t>
  </si>
  <si>
    <t>**Sell a house or land**</t>
  </si>
  <si>
    <t>**Vendre sa maison ou ses terres**</t>
  </si>
  <si>
    <t>**Siyar da gidanku ko filin ku**</t>
  </si>
  <si>
    <t>Da Aran windey?</t>
  </si>
  <si>
    <t>**Sonna wuro muuɗum naa jaaje muuɗum **</t>
  </si>
  <si>
    <t>Fado aw kolo ladow</t>
  </si>
  <si>
    <t>inazan naghiwan id midlan</t>
  </si>
  <si>
    <t>cs_emergency_begged</t>
  </si>
  <si>
    <t>**Beg**</t>
  </si>
  <si>
    <t>**Mendier**</t>
  </si>
  <si>
    <t>**Barka**</t>
  </si>
  <si>
    <t>aran ga koy bar kar yan?</t>
  </si>
  <si>
    <t>**toraaki**</t>
  </si>
  <si>
    <t>Godo gdo diwi</t>
  </si>
  <si>
    <t>manssay</t>
  </si>
  <si>
    <t>cs_emergency_sold_last_female</t>
  </si>
  <si>
    <t>**Sell your last female animals**</t>
  </si>
  <si>
    <t>**Vendre votre dernières femelles animales**</t>
  </si>
  <si>
    <t>**Siyar da dabbobin mata na ƙarshe**</t>
  </si>
  <si>
    <t>Da aran Almane wayo?</t>
  </si>
  <si>
    <t>**Sonna bisa muuɗum dimoojum koddiiɗo**</t>
  </si>
  <si>
    <t>Lumanum deréye tchambin ladow</t>
  </si>
  <si>
    <t>inazan nawadikima dagh hirwan imossan tintawen</t>
  </si>
  <si>
    <t>grp_hdds</t>
  </si>
  <si>
    <t>HDDS</t>
  </si>
  <si>
    <t>SDAM</t>
  </si>
  <si>
    <t xml:space="preserve">SDAM
</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</si>
  <si>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</si>
  <si>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</si>
  <si>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</si>
  <si>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Yanzu zan so na yi maku wassu tambayoyin a kan cin abinci ku, wanda ya danganci awa 24 da suka fice.</t>
  </si>
  <si>
    <t>Ay ga ba ay ma hayan fo yan tonandi aran do aran ngwarey bon.</t>
  </si>
  <si>
    <t xml:space="preserve">Jooni miɗo muuya lamndaade-ɗon lamndi tataɓi ko haɓɓodii neemagol, so mi addii leeraaji 24 keeŋaaji ɗi. </t>
  </si>
  <si>
    <t xml:space="preserve">Kwamidu nya koro kin yakkime 3rd kila kumbu faidatiyen, tun awa 24 biskayye. </t>
  </si>
  <si>
    <t>Arheɣ amaradəɣ akawan akfaɣ 3e asestanan fal tatate ən iməsiwan, as  orakaɣ ɣor 24 nasaɣat wan əndišel.</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</si>
  <si>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</si>
  <si>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</si>
  <si>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</si>
  <si>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</si>
  <si>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Taimaka ka kwatanta  irin abincin [abinci da kayan kolamce kolamce] wanda kai ko wani daga cikin mutanen gidanku ke ci dukan yini  jiya [a cikin awa 24 da suka fice: abincin karin kumallo, abincin rana, abincin dare da kuma en kolamce kolamce].</t>
  </si>
  <si>
    <t xml:space="preserve">Zanka bi zaro ga koye tchino ra ifo da ifo no aran da aran almiyalo ngwa? </t>
  </si>
  <si>
    <t xml:space="preserve"> Tinndin neemaaji ɗin (ñaamdu maa neema kuyƭuɗo)mo aan maa gooto e koreeji mooɗon ñaami maa njari nder ɓaade keeŋan (ley leeraaji 24 keeŋaaji ɗi : ittaari hoyre, pummaari, mbottaari e hiraande)</t>
  </si>
  <si>
    <t>Mart3ne wuro kumbu (chinchin)shidoni nyi au fatomanumye zasuyinma au sasenma fatolan biskaro ( awa 24 biskaye koz3na allan: karya suwai, kumbu kausuye, kumbu binee).</t>
  </si>
  <si>
    <t>Aknat alaɣi ən iməssiwan ( aməsi ad əollation)was kawaned meɣ awadəm ən alɣayal nawan təškam meɣ təswam ɣor ehan əndišel ( dǎɣ 24 ən asaɣaten ən əndišel : asijimjim,aminsi tarhut,aminsi wan ehad ad əollations).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</si>
  <si>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</si>
  <si>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</si>
  <si>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</si>
  <si>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</si>
  <si>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</si>
  <si>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 xml:space="preserve">[HUKUNCI: KA TUNA DA TABBATAR DA MAGANAR KAYAN kolamce kolamce, ABINCI NA MUSAMMAN DA AKE BAWA YARA KO MASU JUNA BIYU, KAYAN HAƊIN DA DA AKE HAƊAWA DA SU DON YIN ABINCI. A ƘARSHE, TABBATAR DA NA'U'IN RUKUNIN ABINCIN DA BA A AMBATA BA. </t>
  </si>
  <si>
    <t xml:space="preserve">[HANTUM KA: WO SI DIRGUANE GA HANYAN TE NGWAREY DOUMA KAN I GA NO ZANKEY DA WAYBOR GOUNDA KOYEY NO BON?
</t>
  </si>
  <si>
    <t>[TINNDINOOJE : TAA YEGGITIN HIISAADE NEEMAAJI KUYFUƊI E NEEMAAJI FEEREEJI KOKKETEEƊI SUKAAƁE MAA REWƁE DEBEREEDUƁE, MAAFE NEEMAAJI KAWRITINƊI. E KANTORƊE TON, FILA SIIJI NEEMAAJI ƊI INNDAAKA</t>
  </si>
  <si>
    <t xml:space="preserve">[Gargajiya: TANNEDIYA CHINCHIN IKKORO, KUNBU MUSAMANNE DURIRO OR KAMU SURAARO TINMA, AWO GADE K3LTASO. DARE DAJIN, IKKE KUMBU DONI TIK3IMA </t>
  </si>
  <si>
    <t xml:space="preserve">[EMASESTƏN : WAR HITATIWAM IKETAN ƏN ƏOLLATION, IMƏSIWAN IKNANEN ATIWAFANEN YE ARATAN MEƔ YE DEDEN ASƏMRAWNEN, IZƏDRAZ ƏN AMƏRTAYNEN. ƔOR SAMƏNDO, AMAƔAT GROUƊTAN ƏN IMƏSIWAN WAREN ATIWARƔA. </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</si>
  <si>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</si>
  <si>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</si>
  <si>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</si>
  <si>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</si>
  <si>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</si>
  <si>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</si>
  <si>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Ina so in tambaye ku game da abinci da abin sha da ake ci a gidanku a cikin *kwana 7* da suka wuce a rana da dare (karin kumallo, abincin rana, abincin dare, abincin ciye-ciye).</t>
  </si>
  <si>
    <t>Ayga ba Ayma aran han, guirbi iya wo kan bissa gnwari da harey douma kan aran han wala gnwa</t>
  </si>
  <si>
    <t>Imi yiɗi jooni mi ƴama'on dow nyamduuji  e njaram jareteeɗam   nder*balɗe 7 bittiiɗe*, nyalooma fuu e jemma fuu [pummaari, mbottaari , hiraande, eko nyaame toon wakkati yahde wakkati].</t>
  </si>
  <si>
    <t>loktu rakina karokoro na, kala kumbu in'gui la tcham ni aw jama yallam afani diyu kau 7 gao keyinan a tchi chouwa la kajiri  kari biri kaossu la buné</t>
  </si>
  <si>
    <t>imirda arey kawanissistina fil melkewan win titatum dartan win tissasim daghewan nawan ghour issadan windizranen ezal d ehad</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</si>
  <si>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</si>
  <si>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</si>
  <si>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</si>
  <si>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Sau nawa (a adadin kwanaki) a cikin *kwanaki 7 da suka gabata* 'yan gidan ku suka ci ** abinci mai sitaci, saiwoyi da tubers** kamar shinkafa, masara, taliya, burodi, dawa, gero, dankali, dawa, rogo, farin dankalin turawa?</t>
  </si>
  <si>
    <t>Girbi iya kan bissa wala bine zari ra, so margue no aranga doundoun, wala binde kalin yan gnwa?</t>
  </si>
  <si>
    <t>Faa se noye  (ɗuuɗal balɗe) nder*balɗe 7 bittiiɗe*,himɓe hoggo mooɗon nyaami  **ɗaɗi, ɗaɗi e fuu ko remete nder ndiyam** hano maaro, kamannaari, conndiiji, buroodi, mbayeeri, gawri, pompiter, dunndu, roogo, dankali ?</t>
  </si>
  <si>
    <t>Tchuro kawu 7 kozunan soro  ndawuro  ni la yallan am jam'a fandon  soro  kumbu  aw rogo aw  gari aw  coudacou la  kumbu  wuwuna saladezogale kumattum gadenzuwa</t>
  </si>
  <si>
    <t>minikete titite ghour issadan win ilkamnena atagan etedan nawan imelkewan chilan tafaghate,abora inmassar ,macrona ,abora ,enalaye ,combateur etccc</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</si>
  <si>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</si>
  <si>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</si>
  <si>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</si>
  <si>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</si>
  <si>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</si>
  <si>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</si>
  <si>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</si>
  <si>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Sau nawa (a adadin kwanaki) a cikin *kwanaki 7 da suka gabata* yan gidanku sukaci **kayan legumes da goro** irinsu wake, lentil, saniya, waken soya, wake tattabara, gyada ko sauran goro?</t>
  </si>
  <si>
    <t xml:space="preserve">Girbi iya kan bissa wala bine zari ra, so margue no aranga toure doumeizey yan, doungouri </t>
  </si>
  <si>
    <t>Faa se noye  (e ɗuuɗal balɗe) nder*balɗe 7 bittiiɗe*,himɓe hoggo mooɗon nyaami   ** li'orɗum e ɓiɓɓe leɗɗe ɓolteteeɗe** hano nyebbe, lamtiiri, sooja, nyebbe "ɗan waari" , ayaaje naa ɓiɓɓe leɗɗe ɓolteteeɗe?</t>
  </si>
  <si>
    <t xml:space="preserve">Soro ni la yallan fandon kumbu ir  churo kawu 7 ngawoyen koyina aw coudacou aw doya aw  nachaa  awk ankana mangoro aw chinkafa aw buro ayabas
gadezuw aw buyon ayi na ga ro nabu </t>
  </si>
  <si>
    <t>minikete titite ghour issadan win ilkamnena atagan etedan nawan imelkewan chilan tanzante ,ajir,gojia ,capto,akh,etc</t>
  </si>
  <si>
    <t>fcs_vegetables_days</t>
  </si>
  <si>
    <t>How many days over *the last 7 days*, did members of your household eat **vegetables or leaves** such as moringa, oseille, chou, tomate, laitue, concombre, courgette, aubergine, carotte and/or other leaves/vegetables?</t>
  </si>
  <si>
    <t>Combien de fois (en nombre de jours) au cours des *7 derniers jours*, les membres de votre foyer ont-ils mangé des **légumes ou des feuilles** tels que des moringa, oseille, chou, tomate, laitue, concombre, courgette, aubergine, carotte et/ou d'autres feuilles/légumes ?</t>
  </si>
  <si>
    <t>Sau nawa (a adadin kwanaki) a cikin *kwana 7 da suka gabata* yan gidan ku sun ci **kayan lambu ko ganye** kamar zogale, zobo, kabeji, tumatir, latas, cucumber, zucchini, eggplant, karas da/ ko wasu ganye/kayan lambu?</t>
  </si>
  <si>
    <t>Girbi iya kan bissa wala bine zari ra, so margue no aranga salati dan chou yan gnwa</t>
  </si>
  <si>
    <t>Faa se noye  (e ɗuuɗal balɗe) nder*balɗe 7 bittiiɗe*,himɓe hoggo mooɗon nyaami   **li'orɗum** hano joogala, polle chou, tamaati salaati konkonbur, laptannda, oberjin, karooti naa bo kaako leɗɗe gooɗom/li'orɗum ?</t>
  </si>
  <si>
    <t>Soro nawu churo kawu 7  sati ni aw yallan nim aw jama fandon kau ati soro  Ngawuro kumbu juro yé  tomati so  aw gourgi so aw  sallatii so  aw tchapata karassou aw kumbu bare sa samsou yé so karayi juro</t>
  </si>
  <si>
    <t>minikete titite ghour issadan win ilkamnena atagan etedan nawan imelkewan chilan intimatirte ,chou ,</t>
  </si>
  <si>
    <t>fcs_fruit_days</t>
  </si>
  <si>
    <t>How many days over *the last 7 days*, did members of your household eat **fruit** such as Mangue, pastèque, banane, ananas, dattes, orange, melon and/or other fruits?</t>
  </si>
  <si>
    <t>Combien de fois (en nombre de jours) au cours des *7 derniers jours*, les membres de votre foyer ont-ils mangé des **fruits** tels que des Mangue, pastèque, banane, ananas, dattes, orange, melon et/ou d'autres fruits ?</t>
  </si>
  <si>
    <t>Sau nawa (a adadin kwanaki) a cikin *kwanaki 7 da suka gabata* 'yan gidanku suka ci **'ya'yan itatuwa** kamar su mangwaro, kankana, ayaba, abarba, dabino, lemu, kankana da/ko wasu 'ya'yan itatuwa?</t>
  </si>
  <si>
    <t>Girbi iya kan bissa wala bine zari ra, so margue no aranga touri doumeyzey</t>
  </si>
  <si>
    <t>Faa se noye  (e ɗuuɗal balɗe) nder*balɗe 7 bittiiɗe*,himɓe hoggo mooɗon nyaami   **ɓiiɓe leɗɗe**hano mannguuje, dene belɗe, banan, anaana, tamarooje, leemuuje, malo naa ɓiɓɓe leɗɗe gooɗom?</t>
  </si>
  <si>
    <t>Soro nawu churo ka'u ati koyina ni aw yallan nim la am fandoyé allan ndawuro churo kawu 7 kindaw karrea juro allama   mangoro so   aw dabino aw abarba so aw lemou kankana so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</si>
  <si>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</si>
  <si>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</si>
  <si>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</si>
  <si>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Sau nawa (a adadin kwanaki) a cikin *kwanaki 7 da suka gabata* yan gidan ku suka ci nama, kwai ko kifi** [kowane nau'in nama ko kifi, gami da kwari, tsuntsaye, naman daji, abincin teku ko na dabba. ]?</t>
  </si>
  <si>
    <t>Girbi iya kan bissa wala bine zari ra so margue no aran koira borey na ham gnaw</t>
  </si>
  <si>
    <t>Faa se noye  (e ɗuuɗal balɗe) nder*balɗe 7 bittiiɗe*,himɓe hoggo mooɗon nyaami ** tewu, boppaaɗe/ɓocooɗe naa liƴƴi** [ iri tewu fuu naa liƴƴi,  faa kobbeeje, colli, tewu ladde, ɓiɓɓe leɗɗe ndiyam maayo ɓaleewo naa ko wara]?</t>
  </si>
  <si>
    <t>Soro nawu  churo kawu 7 kozuna kojina a ti  soro nawu  ni aw yalla nim soro nawu nama aw buni aw gulu aw  luman ye aw nama shuure ; kanni aw kaji aw tatawar)</t>
  </si>
  <si>
    <t>minikete titite ghour issadan win ilkamnena atagan etedan nawan imelkewan chilan issan , kifitan,ijwalan ,ikajan</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</si>
  <si>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</si>
  <si>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</si>
  <si>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</si>
  <si>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Sau nawa (a adadin kwanaki) a cikin *kwanaki 7 na ƙarshe* yan gidan ku sun sha madara, madara mai tsami, yoghurt, cuku ko sauran ** kayan kiwo** [sai margarine/man shanu ko ƙaramin madara don shayi/kafi]?</t>
  </si>
  <si>
    <t>Girbi iya kan bissa wala bine zari ra so margue no aran na wa wala tchoukou gnaw</t>
  </si>
  <si>
    <t>Faa se noye  (e ɗuuɗal balɗe) nder*balɗe 7 bittiiɗe*,himɓe hoggo mooɗon njari kosam keccam, kosam lammuɗam, wuluure, cukuuje naa goɗɗum  **ko tawaa nder kosam** [ wanaa e nebbam naa e kossam jarirteeɗam nder kafe/attaayi ] ?</t>
  </si>
  <si>
    <t xml:space="preserve">Soro nawu ni aw yallan aw jama fandon so  churo kawu 7  koyina ati soro nawu tcham kindirmu aw tcham chayi aw tchuku kri aw tchuku yé aw tcham brin'n  tcham boyina kirma </t>
  </si>
  <si>
    <t>minikete titite ghour issadan win ilkamnena atagan etedan nawan imelkewan chilan akh wakafen ,dakh wayslayan ,chikomaren ,widi wan eharey</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</si>
  <si>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</si>
  <si>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</si>
  <si>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</si>
  <si>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Sau nawa (a adadin kwanaki) a cikin *kwanaki 7 da suka gabata* yan gidan ku sun sha **sukari ko kayan zaki** kamar su sugar, zuma, jam, biredi, alewa, kukis, pastries da sauran kayan zaki da zaki. abin sha?</t>
  </si>
  <si>
    <t>Girbi iya kan bissa wala bine zari ra so margue no aran koira borey na hankan gonda sucre gnaw</t>
  </si>
  <si>
    <t>Faa se noye  (e ɗuuɗal balɗe) nder*balɗe 7 bittiiɗe*,himɓe hoggo mooɗon njari  ** sukkar naa fuu ko tawdaa sukkar** hano sukkar, njumri, konfitir, bureedi jaamanu, bonbooji, biskit, fuu ko waɗirtee alkamaari eko yaretee lamsuɗum?</t>
  </si>
  <si>
    <t>Soro nawu churo kawu 7 sati kozuna kojina ati soro nawa ni aw yalla nim  soro nawu chicra aw bonbon aw tchacola  aw gateau aw buscuts so aw zumwa aw kumbu sugar  so</t>
  </si>
  <si>
    <t>minikete titite ghour issadan win ilkamnena atagan etedan nawan imelkewan chilan nissoukar ,tourawate ,banbon , biscuit,gatotan ,jutan</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</si>
  <si>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</si>
  <si>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</si>
  <si>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</si>
  <si>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Sau nawa (a adadin kwanaki) a cikin *kwanaki 7 da suka gabata* yan gidanku sun sha **mai/mai/man shanu** kamar su man kayan lambu, dabino, man gyada, margarine, sauran kitse/mai?</t>
  </si>
  <si>
    <t xml:space="preserve">Girbi iya kan bissa wala bine zari ra so margue no na gna hanka gonda gui </t>
  </si>
  <si>
    <t>Faa se noye  (e ɗuuɗal balɗe) nder*balɗe 7 bittiiɗe*,himɓe hoggo mooɗon njari ** nebbam/ɓellere/nebbam na'i** hano nebbeele ittowaaɗe e leɗɗe, nebbam gelleeje, nebbam biriiji, margarin, ɓellere/nebbam?</t>
  </si>
  <si>
    <t>Soro nawu churo kawu 7 ati  Koroo ni diki rin soro nawu ni la yalla ni, aw jama fandon ye  soro nawu  fulan fayedu  soro nawa kchu churo kumbu ro yaku  soro nawu kawu ndawuro curo kawu  jictu kugunaye aw kumbuyé tuwondin curo fandoyen aw kam korinumben'</t>
  </si>
  <si>
    <t>minikete titite ghour issadan win ilkamnena atagan etedan nawan imelkewan chilan widi,tadinte ,widi wanechkan ,widi wangojia darate koul waykalan arate idanan</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</si>
  <si>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</si>
  <si>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</si>
  <si>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</si>
  <si>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Sau nawa (a adadin kwanaki) a cikin *kwanaki 7 da suka gabata* yan gidan ku sun sha **kayan yaji ko kayan abinci** kamar shayi, kofi, koko, gishiri, tafarnuwa, kayan kamshi, yeast, nama, kifi a matsayin condiment ko ƙananan adadin madara don shayi ko kofi?</t>
  </si>
  <si>
    <t xml:space="preserve">Girbi iya kan bissa wala bine zari ra so margue no aran koira borey na tourize danga chayi </t>
  </si>
  <si>
    <t>Faa se noye  (e ɗuuɗal balɗe) nder*balɗe 7 bittiiɗe*,himɓe hoggo mooɗon nyaami** nyeɗɗe e li'orɗe **hano attaayi, kafe, kakawo, lamɗam, tafarnuwa, nyeekuuje, yes, tewu, liƴƴi gaɗirteeɗi li'o naa e kosam seɗɗajam ɗam kafe naa attaayi?</t>
  </si>
  <si>
    <t>Soro nawu churo kau 7 ati  kozuna  ni la yalla nim soro fandon soro  nawa ati  tchida ,yazi kalu , tcham,kalumu, manda, borna,tawarnuwa, fulla aw alkama ,cafe so</t>
  </si>
  <si>
    <t>minikete titite ghour issadan win ilkamnena atagan etedan nawan imelkewan chilan ichahi,kafaye ,issaligh ,tafarnawa ,ilbissil</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</si>
  <si>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</si>
  <si>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</si>
  <si>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</si>
  <si>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</si>
  <si>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</si>
  <si>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Yanzu zan tambaye ku sau nawa (a adadin kwanaki), a cikin *kwanaki 7 na ƙarshe*, gidan ku ya ɗauki wasu matakai don shawo kan rashin abinci ko kuɗi don siyan abinci.</t>
  </si>
  <si>
    <t>Girbi iya kan bissa wala bine zari ra so margue no aran do sandey, mate na aran bonzan da</t>
  </si>
  <si>
    <t>Jooni mi ƴaman'on  faa se noye (ɗuuɗal balɗe), nder*balɗe 7 bittiiɗe*, hoggo mooɗon  naftorii laabi gooɗom ngam faddoo rafi nyaamndu naa ceede ngam soodugo nyaamndu.</t>
  </si>
  <si>
    <t>Rakina niro korokoro   soro nawu  ni la yalla nin aw am fando soro nawu chura 7 Kau kozuna ati  chuwa fiya bune fiya ayi nan gara galu kubuyé girnuw banbu aw wiri nabu ro kumbu sanasana ro denuwa churo kawu nangu ro   Kawu ndawuro curo fandon lenum are tchadin kla kumbu jawu aw budu maduyen don kumbu aw buni klakani kunguna bawo tchikuno</t>
  </si>
  <si>
    <t>imirda dawanaga issistanane ghour issadan win ilkamnena aghiwan nawan matagan igriwandou imelkewan win tetaye ,memoss imikanane wasgamayan iriyalan fil adigriwan atchan</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</si>
  <si>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</si>
  <si>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</si>
  <si>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</si>
  <si>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A cikin *kwana 7* da suka wuce, sau nawa (a adadin kwanaki) gidanku ** suka canza zuwa abincin da suke so kadan ko ba su da tsada** saboda rashin abinci/kudi?</t>
  </si>
  <si>
    <t>Girbi iya kan bissa wala bine zari ra so margue no aran do sandea maga gnawri kan kana wala kansi tchada</t>
  </si>
  <si>
    <t>Nder*balɗe 7 bittiiɗe*,  faa se noye hoggo mooɗon (e ɗuuɗul balɗe)  naftorii** dow nyaamduuji ɗi yiɗaa sanne naa ɗi ƴaadaaki sanne** ngam rafi nyaamndu/ceede?</t>
  </si>
  <si>
    <t xml:space="preserve">Soro nawu Kawu  churo kawu 7 ni la ama  fandoyen aw yallamun  kumbu walaa kiji bawa buwa  aw nambu Wiri kumbu jirnuwa fayidatayimba don kumbu awu kunguna tchikuno ayi nan garo </t>
  </si>
  <si>
    <t>minikete hirwan atigzamam fil atatchim madey tazazimtanine</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</si>
  <si>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</si>
  <si>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</si>
  <si>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</si>
  <si>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</si>
  <si>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</si>
  <si>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A cikin *kwana 7* da suka wuce sau nawa (a kwana nawa) *yan gidanku **aron abinci ko neman taimako daga wani abokina ko dangi** saboda rashin abinci ko kudin siyan abinci?</t>
  </si>
  <si>
    <t>sanda na aran da garaw sambou yan</t>
  </si>
  <si>
    <t>Nder*balɗe 7 bittiiɗe*, faa se noye (e ɗuuɗul balɗe) hoggo mooɗon ** nyalmii nyaamndu naa tefi mballaga higotiraawo naa banndiraawo gooɗom** ngam rafi nyaamndu naa ceede coodirɗe nyaamndu ndun ?</t>
  </si>
  <si>
    <t>ghour issadan win ilkamnena minikete abazan doutigam imelkewan ghour maharagan nawan ,madey minikete gamayan atigam itidhilte dagh midawan nawan filasse wirtilem atitcham madey wirtilem iriyalan daghtandoutigam</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</si>
  <si>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</si>
  <si>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</si>
  <si>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</si>
  <si>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A cikin *kwana 7* da suka wuce sau nawa (a adadin kwanaki) gidanku **ya rage yawan cin abinci a rana** saboda rashin abinci ko kudin siyan abinci?</t>
  </si>
  <si>
    <t>sanda na aran da gnawro zabou yan</t>
  </si>
  <si>
    <t>Nder*balɗe 7 bittiiɗe*, faa se noye (e ɗuuɗul balɗe) hoggo mooɗon ** ɓuyti nyaamɗe gaɗeteeɗe nder nyalooma fuu** ngam rafi nyaamndu naa ceede coodirɗe nyaamndu ndun ?</t>
  </si>
  <si>
    <t>ghour issadan win ilkamnena minikete fanazan atitagam itataye filasse wirtilem atitcham madey wirtilem iriyalan daghtandoutigam imelkewan</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</si>
  <si>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</si>
  <si>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</si>
  <si>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</si>
  <si>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Nder*balɗe 7 bittiiɗe*, faa se noye (e ɗuuɗul balɗe) hoggo mooɗon ** ɓuyti ko nyaamata  nder nyalooma fuu** ngam rafi nyaamndu naa ceede coodirɗe nyaamndu ndun ?</t>
  </si>
  <si>
    <t>Soro nawu churo kawu 7  ati  fandon kumbu do ra kirnuwa  wiri nambu ro koyina soro nawou kumbu ra girnouwou wirou nambu soro nawa kumbu ra girnuwa rabi rabi ir sa fiyayé</t>
  </si>
  <si>
    <t>ghour issadan win ilkamnena Madirogda arate wassiyam dagh timidrite ,filasse wirtilem imelkewan madey wirtilem dagh tan doutigam</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</si>
  <si>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</si>
  <si>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</si>
  <si>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</si>
  <si>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 cikin *kwanaki 7 da suka gabata* sau nawa (a adadin kwanaki) gidan ku **an takaita yawan kason da ake ci domin abinci** saboda rashin abinci ko kudin siyan abinci?</t>
  </si>
  <si>
    <t>alberey gnaouri zab yanwo zankay maga</t>
  </si>
  <si>
    <t>Nder*balɗe 7 bittiiɗe*, faa se noye (e ɗuuɗul balɗe) hoggo mooɗon ** ɓuyti ** ɗuuɗal ko maɓe nyaamata ngam sukaaɓe keɓa nyaama ngam rafi nyaamndu naa ceede coodirɗe nyaamndu ndun ?</t>
  </si>
  <si>
    <t>Soro nawu churo  Kawu  7 soro nawou kumbu soro tilo ro denuwa nabu wuri la kumbu ra girnouwou yellan awo boye tchuyando nagaro aw mara kumbo nara tcheri no soro yallan kimni boza ayi kumbu ye bawo soro wudu wa koro kumbu kamla taray" korua wa mara douwan tcheri ni ro</t>
  </si>
  <si>
    <t>ghour issadan win ilkamnena Madirogda afanaz watitagam adagar netedan win wacharnene fil adigriwan aratan win modrornen arate tanissiwanan</t>
  </si>
  <si>
    <t>Assisstance_group</t>
  </si>
  <si>
    <t>NEEDS ASSISTANCE</t>
  </si>
  <si>
    <t>BESOIN D'ASSISTANCE</t>
  </si>
  <si>
    <t>BUKATAR TAIMAKO</t>
  </si>
  <si>
    <t>faba tcetchi yan</t>
  </si>
  <si>
    <t>YIƊUDE MBALLAGA</t>
  </si>
  <si>
    <t>Goudoumouwa mazé</t>
  </si>
  <si>
    <t>aratan win timudourte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</si>
  <si>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</si>
  <si>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</si>
  <si>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</si>
  <si>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</si>
  <si>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Shin gidan ku na buƙatar taimako don ayyukan noma [noma, kiwo da kamun kifi/ a cikin watanni 3 zuwa 6 masu zuwa?</t>
  </si>
  <si>
    <t xml:space="preserve">Aran almiyalo ga ba gakassiney aran goyeye fondey ra ne ga koye handu hinza wala handu idu’u yakiné ? [Zanga dumarizé yan, almane kuru yan, hamissan di yan/hamissa kuru yan]
</t>
  </si>
  <si>
    <t>Ɓaade mon na yidi mballa dow golleji den  ndemri [ndemri, mardi, ittugol lijji/marugol lijji] ley lebbi 3 yaade 6 garooji ?</t>
  </si>
  <si>
    <t>Amazaɣ nawan yala erha tadhil fal ashiɣil ən sigyak [ dǎɣ ahan ashiɣilan wən asigyik, ən ajamar əd ukis ən manan/ asidwal ən manan ] ɣur dǎɣ karad uran [3] har [6]uran wi dimalanen?</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</si>
  <si>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</si>
  <si>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</si>
  <si>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</si>
  <si>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</si>
  <si>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Mene ne mahinmin bukatun gidanku na neman taimako ga ayyukan noma (noma, kiwo da kamun kifi/)a cikin watanni 3 zuwa 6 masu zuwa?</t>
  </si>
  <si>
    <t xml:space="preserve">Ifo gaskiney no iri ga hinni ga katé aran almiyalo sé ga dou ga aran nafa aran farmey goyeye ra ne ga koye handu hinza wala handou idu’u wakiné? [ Zanga farmi goyeye ra, almane kuru yaney, hamissa diyan wala hamissa kuru yaney] 
</t>
  </si>
  <si>
    <t xml:space="preserve">Muraduji dia burani on dow bangal mballa golleji mon ndemri [ley ton na wawi taweede golleji, n’demri mardi, ittugol na marugol lijji] ley lebbi 3 yaade 6 garooji? </t>
  </si>
  <si>
    <t>Nyiye fatomanum yeh bana kura jirifi k3la bareyen Maj in [har kusunyi, dabba fatoye au b3nyi/nad3mteye] k3ntauwa 3 zuwa 6 koz3na LAN?</t>
  </si>
  <si>
    <t>Əndekat tamaɣatert ta togarat dǎɣ amazaɣ nawan dǎɣ tabarat tan tadhil fal dǎɣ ashiɣilan ən asigyik,  [dǎɣ ahan sigyak, ajamar meə ashiɣilan wən ukis ən manan/ asidwal ən manan] dǎɣ ɣur 3 har 6 uran wi dimalanen ?</t>
  </si>
  <si>
    <t>[INSTRUCTIONS: MULTIPLE RESPONSE. DO NOT READ THE OPTIONS.]</t>
  </si>
  <si>
    <t>[INSTRUCTIONS :  PLUSIEURS RÉPONSES POSSILES. NE PAS LIRE LES OPTIONS.]</t>
  </si>
  <si>
    <t>[MAI AIKI: AMSA MAI YAWA.]</t>
  </si>
  <si>
    <t>[HANTUM KA: TOU YAN BOBO RA SUBANE YAN. DIR GA DU, ARAN MA SI TUYAN SOUBANANTEY TONANDI TU KA DO.]</t>
  </si>
  <si>
    <t>[GOLLOWO: NA WAAWI LAATAADE. TON NJANGE KO SUBATE.]</t>
  </si>
  <si>
    <t>[Gargajiya : JAWAU NGUWU. WONDE K3RANIMI AWOA SADINA ALLAN.]</t>
  </si>
  <si>
    <t>[tissousinte : ƏLIƔITAN AJOTNEN. WATAƔRED TABARATEN.]</t>
  </si>
  <si>
    <t>${need} = 1</t>
  </si>
  <si>
    <t>need_otherspecify</t>
  </si>
  <si>
    <t>Hawara kaladichu laaktu asmro tcho Lamba 888 banne kam yano nokini .Lamba 999 Wakina</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</si>
  <si>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</si>
  <si>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</si>
  <si>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</si>
  <si>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</si>
  <si>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</si>
  <si>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Shin dangin ku sun sami wani taimako a cikin watanni 3 da suka gabata, kuma idan haka ne, wane irin?</t>
  </si>
  <si>
    <t>Handou hinza wo kan bisa ra, aran woné almiyalo bey ga dou gakassineye? da ya di no, gakassineye fo douma no aran dou?</t>
  </si>
  <si>
    <t>Ɓaade mon hebi mballitare ley lebbi 3 bittide, mballitari oya kebdon si tawi on kebino?</t>
  </si>
  <si>
    <t>[INSTRUCTIONS: READ OUT ANSWER OPTIONS. MULTIPLE RESPONSES POSSIBLE.]</t>
  </si>
  <si>
    <t>[INSTRUCTIONS :  PLUSIEURS RÉPONSES POSSIBLES. LIRE A VOIX HAUTE LES OPTIONS.]</t>
  </si>
  <si>
    <t>[MAI AIKATAWA: AMSA MAI YAWA. KARANTA ZABI.]</t>
  </si>
  <si>
    <t>[HANTUM KA: TOU YAN BOBO RA SUBANE YAN. MA SOUBANEY TCHI BORA SÉ A MA MA, A MA DOU GA SOUBANE AFO I RA.]</t>
  </si>
  <si>
    <t>[TINNDINOOJE : NA WAAWI LAATAADE. NJANGE CUBAALI S.]</t>
  </si>
  <si>
    <t>[Gargajiya : JAWAU NGUWU. K3RANE AWO SUROID3.]</t>
  </si>
  <si>
    <t xml:space="preserve">[ƏMASESTƏN : ƏLIƔITAN AJOTNEN. WATAƔRED TABARATEN.]
</t>
  </si>
  <si>
    <t>if(selected(., 'dk') or selected(., 'ref') or selected(., 'none'), count-selected(.) = 1, count-selected(.) &gt;= 1)</t>
  </si>
  <si>
    <t>need_received_otherspecify</t>
  </si>
  <si>
    <t>[Gargajiya : JAWAU FAL. NUMG3LA BANAYE K3LA TANDOYE AU LADOYEN.]</t>
  </si>
  <si>
    <t>selected(${need_received}, 'other')</t>
  </si>
  <si>
    <t>select_one assist_quality</t>
  </si>
  <si>
    <t>assistance_quality</t>
  </si>
  <si>
    <t xml:space="preserve">Were you satisfied with the quality of the assistance provided? </t>
  </si>
  <si>
    <t>Avez-vous été satisfait de la qualité de l'assistance reçue?</t>
  </si>
  <si>
    <t>Shin kun gamsu da ingancin taimakon da kuka samu?</t>
  </si>
  <si>
    <t xml:space="preserve">Aran di nafa gakassina kan ir katé aran sé ra? 
</t>
  </si>
  <si>
    <t xml:space="preserve">Nyiy3 k3jinz3 fan3mawa k3la jiri bana sad3nai ad3lan? </t>
  </si>
  <si>
    <t xml:space="preserve"> Tasisagdaham dǎɣ əmik ən tadhil ta tatiwagrawat?</t>
  </si>
  <si>
    <t>[INSTRUCTIONS: QUALITY OF ASSISTANCE IN TERMS OF SUFFICIENT ASSISTANCE FOR PRODUCTION OR SALES DIFFICULTY TO BE OVERCOME.]</t>
  </si>
  <si>
    <t>[INSTRUCTIONS : QUALITÉ DE L'ASSISTANCE EN TERMES D'AIDE SUFFISANTE POUR SURMONTER LES DIFFICULTÉS DE PRODUCTION OU DE VENTE.]</t>
  </si>
  <si>
    <t>[MAI AIKI: KYAUTA TAIMAKO A SHARUDAN ISA SAMUN TAIMAKO DON KIRKI KO SAYA WAHALAR DA AKE CINWA.]</t>
  </si>
  <si>
    <t xml:space="preserve">[HANTUM KA : TU YAN FOLON. Gakasssina Nafa, farmi wala nérandi tontone yan bon fondo ra.]
</t>
  </si>
  <si>
    <t>[TINNDINOOJE : JAWAABU GOOTO. QUALITY OF ASSISTANCE IN TERMS OF SUFFICIENT ASSISTANCE FOR PRODUCTION OR SALES DIFFICULTY TO BE OVERCOME.]</t>
  </si>
  <si>
    <t>[ tissousinte : ALIƔI IYANdǎɣ.  ƏMIK WAN TADHIL dǎɣ ALMAƔNA ƏN TADHIL TIGDAHAT FAL  AFANAZ ƏN TƏSINAWEN ƏN IGITAN MEƔ ƏN ASHISH].</t>
  </si>
  <si>
    <t>${need_received} != 'dk' and ${need_received} != 'ref' and ${need_received} != 'none'</t>
  </si>
  <si>
    <t>select_multiple provider</t>
  </si>
  <si>
    <t>assistance</t>
  </si>
  <si>
    <t>Who provided your household with this assistance?</t>
  </si>
  <si>
    <t xml:space="preserve">Qui a fourni cette aide à votre ménage ? </t>
  </si>
  <si>
    <t>Wane ne ya ba wa gidanku wannan taimako?</t>
  </si>
  <si>
    <t>Mai no go ga aran  almiyalo gaskiney?</t>
  </si>
  <si>
    <t xml:space="preserve">HANNTORDE YEWTERE NDEN </t>
  </si>
  <si>
    <t>Wundu fatoman3mma banaz3?</t>
  </si>
  <si>
    <t>Mamos wa ifan tadhil amazaɣ nawan ?</t>
  </si>
  <si>
    <t>[INSTRUCTIONS: MULTIPLE RESPONSES.]</t>
  </si>
  <si>
    <t>[MAI AIKATAWA: AMSA MAI YAWA.]</t>
  </si>
  <si>
    <t xml:space="preserve">[HANTUM KA: TOU YAN BOBO RA SUBANE YAN.]
</t>
  </si>
  <si>
    <t>[TINNDINOOJE : NA WAAWI LAATAADE.]</t>
  </si>
  <si>
    <t>[tissousinte : ƏLIƔITAN AJOTNEN.]</t>
  </si>
  <si>
    <t>closing</t>
  </si>
  <si>
    <t>CLOSING</t>
  </si>
  <si>
    <t>FINALISATION DE L'ENTRETIEN</t>
  </si>
  <si>
    <t>KARSHEN GYARA</t>
  </si>
  <si>
    <t>Fakara Bananta</t>
  </si>
  <si>
    <t>Moy hokki ɓaade mon mballitare kaan?</t>
  </si>
  <si>
    <t>Kororo tche rina</t>
  </si>
  <si>
    <t>agharid in sistanane</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</si>
  <si>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</si>
  <si>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</si>
  <si>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</si>
  <si>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 xml:space="preserve">Amsoshinka/ki zasu taimaka mana wajen fahimtar da kuma duba buƙatun taimakawa na al'ummarku. Za mu iya sake kiranka a cikin watanni kaɗan masu zuwa?   </t>
  </si>
  <si>
    <t>Aran tuyaney gir ga ir ma faham aran koira muradey. Ir ga hinni ga yé aran tché né da handeye kan go ka?</t>
  </si>
  <si>
    <t>Jaabuuji mooɗon mballitan men faa men paama maa keɓa huumtude haaajuuji yimɓe woru mooɗon. Miɗen mbaawi nodditaade-ɗon ɗoo e lebbi garooji ?</t>
  </si>
  <si>
    <t>Jawau yimmad3 andeya banaz3 awoa jamandoye mazen mad3 diyen Ranyee nya booyenna k3ntauwa gadelan?</t>
  </si>
  <si>
    <t>Isidmoran nawan ahanaɣ ilalan salimad ad asudmar ye derhanen ən tamite nawan. Nadobat akawan nisaktu dǎɣ harat ən oran ?</t>
  </si>
  <si>
    <t>select_multiple week</t>
  </si>
  <si>
    <t>future_int_day</t>
  </si>
  <si>
    <t>For future interviews, in which day(s) can I call you?</t>
  </si>
  <si>
    <t>Pour les prochains entretiens, quel(s) jour(s) puis-je vous appeler ?</t>
  </si>
  <si>
    <t>Domin tattaunawa nan gaba, a waɗanne ranaku ya kamata na kiraka/ki?</t>
  </si>
  <si>
    <t xml:space="preserve">Hanyaney kan go ga ka ra, watifo no ir ga hinni ga aran tché?
</t>
  </si>
  <si>
    <t>E yeewtereeji garooji, ñalaande ndeye non mbaawu-mi noddude maa ?</t>
  </si>
  <si>
    <t>Koronafuwunnero, sambiyodo nya booyin?</t>
  </si>
  <si>
    <t>Ye batutan dimalanen, sašal adobeɣ teɣare nawan?</t>
  </si>
  <si>
    <t>[INSTRUCTIONS: MULTIPLE ANSWERS POSSIBLE.]</t>
  </si>
  <si>
    <t>[HANTUM KA: TOU YAN BOBO RA SUBANE YAN.]</t>
  </si>
  <si>
    <t>${callback} = '1'</t>
  </si>
  <si>
    <t>select_multiple time</t>
  </si>
  <si>
    <t>future_int_time</t>
  </si>
  <si>
    <t>For future interviews, at what time(s) can I call you?</t>
  </si>
  <si>
    <t>Pour les prochains entretiens, à quel(s) moment(s) de la journée puis-je vous appeler ?</t>
  </si>
  <si>
    <t>Domin tattaunawa nan gaba, a waɗanne lokuta ya kamata na kiraka/ki?</t>
  </si>
  <si>
    <t>Hanyaney kan go ga ka ra, lokatchi for a no aran ga ba ima aran tché?</t>
  </si>
  <si>
    <t>E yeewtereeji garooji, wakkati oye non mbaawu-mi noddude maa?</t>
  </si>
  <si>
    <t>Koronafuwunnero, woktuyilan nya booyin?</t>
  </si>
  <si>
    <t>Ye batutan dimalanen, indek salwaq adobeɣ teɣare nawan?</t>
  </si>
  <si>
    <t>select_one language</t>
  </si>
  <si>
    <t>language2</t>
  </si>
  <si>
    <t xml:space="preserve">Select the language that was mostly used to complete the interview. </t>
  </si>
  <si>
    <t>Sélectionner la langue qui a été principalement utilisée pour réaliser l'entretien.</t>
  </si>
  <si>
    <t>Zaɓi yaren da ya dace a yi amfani da shi a yayin tattaunawar.</t>
  </si>
  <si>
    <t>Wo soubane tchina kan ina hanwanwo wo té da</t>
  </si>
  <si>
    <t>Mbinndee haala ka ɓuru-ɗon ngollitori-ɗon e ley yeewtere nden.</t>
  </si>
  <si>
    <t>T3lam doni sha faidat3 koro adaa tomozanad3</t>
  </si>
  <si>
    <t>Sənəfrənat magrad wa iknan atwimigrad hulen ye imuɣ ahusken ən batu</t>
  </si>
  <si>
    <t>closeout</t>
  </si>
  <si>
    <t xml:space="preserve">Thank you for your time. The interview has come to an end. </t>
  </si>
  <si>
    <t xml:space="preserve">Merci de nous avoir accordé votre temps. L'entretien est terminé. </t>
  </si>
  <si>
    <t>Na gode da lokacin ku. Hirar ta zo karshe.</t>
  </si>
  <si>
    <t>Ir sabou da lokatcho kan kan aran sambou ga tou ir sé. Ir tcheyanwo bane.</t>
  </si>
  <si>
    <t>Foofo mon e wakkatu mon kokkudon dow o yewtare.</t>
  </si>
  <si>
    <t xml:space="preserve">Godenyena nyiye loktuwum yimmad3ro. Korod3 ba tomoturammo is3na. </t>
  </si>
  <si>
    <t>Alɣer ajen ye alwaq inak. Asostan amənda.</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</si>
  <si>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</si>
  <si>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</si>
  <si>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</si>
  <si>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</si>
  <si>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</si>
  <si>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</si>
  <si>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</si>
  <si>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Umarnin Shaydal Yanar guizo: Bu ku riké labarun Shaydal gurin ba. Ku zagaya guidan ko ku kusantchi babar hagna dan ku samu ku dasa ma wurin shayda</t>
  </si>
  <si>
    <t>Sisiro Labaray: Aran mane nongo labarey hantoum ga gayi. Aran ma toune ga windo windi ga dou sisiro labarey wal aran ma to fonda béro ga ga dou gui sambou</t>
  </si>
  <si>
    <t>TINNDINOORE DOW GPS : Faa jooni on mbinndaay ko GPS on hokki/darni. Ngoson nder hoggo ngon naa njahon do laawol mawngol ngam ɓeydon heɓugo ko GPS on wurtini naa darni .</t>
  </si>
  <si>
    <t>Gargajiya GPS : Tchi da Naou ra GPS: Nanum danumbari yakimi churo nawora rin tchin ne né kala jawal kouran na layi dama dama fandimin</t>
  </si>
  <si>
    <t>tissoussint tan adakal in raqam in tassidag: aswartassijalam raqaman win tassidik,timatikwiyat tagaladam idagan nawan ghour ghalay ghalay in aghiwan dada maday takim taret tazouwarat tassinam doutagriwam raqaman in tassidik</t>
  </si>
  <si>
    <t xml:space="preserve">false </t>
  </si>
  <si>
    <t>${resp_agree} = '1' and ${gps_1} = ''</t>
  </si>
  <si>
    <t>enum_notes</t>
  </si>
  <si>
    <t>Enter any notes or feedback from this survey:</t>
  </si>
  <si>
    <t>Saisissez toutes les notes ou commentaires de cet entretien :</t>
  </si>
  <si>
    <t xml:space="preserve"> Say ku rubuta dukan bayani ko amsochin waga tatamnawal</t>
  </si>
  <si>
    <t>Aran ma hantoum za sintiney kal bananta touyan wo</t>
  </si>
  <si>
    <t>Binndee nder masin fuu ko winndaa naa ko haala dow yewtere ndee :</t>
  </si>
  <si>
    <t>Sake tsara duk bayanan ko alamar da aka bada a wannan haɗarin</t>
  </si>
  <si>
    <t xml:space="preserve"> Astimal achiti tiktibamtou koul</t>
  </si>
  <si>
    <t xml:space="preserve">Leave empty if there are no comments. </t>
  </si>
  <si>
    <t xml:space="preserve">Laissez vide s'il n'y a pas de commentaires. </t>
  </si>
  <si>
    <t>Ka da ku rubuta komey idan babu abun gayi.</t>
  </si>
  <si>
    <t>wassi hantoum haykoul.</t>
  </si>
  <si>
    <t>Accee to on binndu baa fin senii ko haale walaa.</t>
  </si>
  <si>
    <t>i shirin tare idan babu wani ƙarin bayanai.</t>
  </si>
  <si>
    <t>astouwarila arat assimikan tidoutachitim dagh taket tatigam wadi ayat edag wa da wardaghastaktebam wala.</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</si>
  <si>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</si>
  <si>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</si>
  <si>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</si>
  <si>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</si>
  <si>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</si>
  <si>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</si>
  <si>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</si>
  <si>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</si>
  <si>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</si>
  <si>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</si>
  <si>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</si>
  <si>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</si>
  <si>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</si>
  <si>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</si>
  <si>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NER1</t>
  </si>
  <si>
    <t>ABDOULAYE WORGO Salissou</t>
  </si>
  <si>
    <t>NER2</t>
  </si>
  <si>
    <t xml:space="preserve">AMADOU GUIMBARI Rachidou </t>
  </si>
  <si>
    <t>NER3</t>
  </si>
  <si>
    <t>ADAMOU TASSAOU Djamilatou</t>
  </si>
  <si>
    <t>NER4</t>
  </si>
  <si>
    <t>DJIBO HAMIDOU Nafissatou</t>
  </si>
  <si>
    <t>NER5</t>
  </si>
  <si>
    <t>HAMED MOUSSA MANTALA Ahmoudou</t>
  </si>
  <si>
    <t>NER6</t>
  </si>
  <si>
    <t xml:space="preserve">IBRAHIM MALAM HAROUNA  Mabrouka </t>
  </si>
  <si>
    <t>NER7</t>
  </si>
  <si>
    <t>INOUSSA GALADIMA Lawaye</t>
  </si>
  <si>
    <t>NER8</t>
  </si>
  <si>
    <t>KIARI Attouman</t>
  </si>
  <si>
    <t>NER9</t>
  </si>
  <si>
    <t>MAIMOUNA MAIFADA</t>
  </si>
  <si>
    <t>NER10</t>
  </si>
  <si>
    <t>MOHAMAR YOUSSOUFOU MAIGA Bintou</t>
  </si>
  <si>
    <t>NER11</t>
  </si>
  <si>
    <t>NOUHOU Hassane</t>
  </si>
  <si>
    <t>NER12</t>
  </si>
  <si>
    <t>SALHA MAHAMADOU Djamila</t>
  </si>
  <si>
    <t>NER13</t>
  </si>
  <si>
    <t>SAMBOU SIDIBE Ali</t>
  </si>
  <si>
    <t>NER14</t>
  </si>
  <si>
    <t xml:space="preserve">SOULEY ADAMOU Fati </t>
  </si>
  <si>
    <t>NER15</t>
  </si>
  <si>
    <t>SOUMANA HAROUNA Hassana</t>
  </si>
  <si>
    <t>NER16</t>
  </si>
  <si>
    <t xml:space="preserve">SOUMANA SALEY Moussa </t>
  </si>
  <si>
    <t>yes_no</t>
  </si>
  <si>
    <t>Yes</t>
  </si>
  <si>
    <t>Oui</t>
  </si>
  <si>
    <t>EH</t>
  </si>
  <si>
    <t>AHO</t>
  </si>
  <si>
    <t>Ayyo</t>
  </si>
  <si>
    <t>Aa</t>
  </si>
  <si>
    <t>Iyo</t>
  </si>
  <si>
    <t>No</t>
  </si>
  <si>
    <t>Non</t>
  </si>
  <si>
    <t>Ah'Ah</t>
  </si>
  <si>
    <t>Ah ah</t>
  </si>
  <si>
    <t>AA’A</t>
  </si>
  <si>
    <t>A'ah</t>
  </si>
  <si>
    <t>Baybo</t>
  </si>
  <si>
    <t>DON'T KNOW</t>
  </si>
  <si>
    <t>NE SAIT PAS</t>
  </si>
  <si>
    <t>BAN SANI BA</t>
  </si>
  <si>
    <t>djan ga beyyan</t>
  </si>
  <si>
    <t>ANNDA</t>
  </si>
  <si>
    <t>NOZA NYI</t>
  </si>
  <si>
    <t>WARISENAƔ</t>
  </si>
  <si>
    <t>REFUSED</t>
  </si>
  <si>
    <t>REFUSÉ</t>
  </si>
  <si>
    <t>ƘIN amsawa</t>
  </si>
  <si>
    <t>Wanjii ga tuyyan</t>
  </si>
  <si>
    <t>SALAADE</t>
  </si>
  <si>
    <t>WAANO</t>
  </si>
  <si>
    <t>UGAY</t>
  </si>
  <si>
    <t>continue</t>
  </si>
  <si>
    <t>continuez</t>
  </si>
  <si>
    <t>yesno</t>
  </si>
  <si>
    <t>language</t>
  </si>
  <si>
    <t>en</t>
  </si>
  <si>
    <t>English</t>
  </si>
  <si>
    <t>fr</t>
  </si>
  <si>
    <t>French</t>
  </si>
  <si>
    <t>Français</t>
  </si>
  <si>
    <t>haoussa</t>
  </si>
  <si>
    <t>Haoussa</t>
  </si>
  <si>
    <t>zerma</t>
  </si>
  <si>
    <t>Zerma</t>
  </si>
  <si>
    <t>kanuri</t>
  </si>
  <si>
    <t>Kanuri</t>
  </si>
  <si>
    <t>tamachek</t>
  </si>
  <si>
    <t>Tamachek</t>
  </si>
  <si>
    <t>peulh</t>
  </si>
  <si>
    <t>Peulh</t>
  </si>
  <si>
    <t>autre</t>
  </si>
  <si>
    <t>Autre</t>
  </si>
  <si>
    <t>gender</t>
  </si>
  <si>
    <t>Male</t>
  </si>
  <si>
    <t>Homme</t>
  </si>
  <si>
    <t>Namiji</t>
  </si>
  <si>
    <t xml:space="preserve">Alboro </t>
  </si>
  <si>
    <t>Gorko</t>
  </si>
  <si>
    <t>Kongaa</t>
  </si>
  <si>
    <t>Ahalis</t>
  </si>
  <si>
    <t>Female</t>
  </si>
  <si>
    <t>Femme</t>
  </si>
  <si>
    <t>Mace</t>
  </si>
  <si>
    <t>Wayboro</t>
  </si>
  <si>
    <t>Debbo</t>
  </si>
  <si>
    <t>Kamu</t>
  </si>
  <si>
    <t>Tamaƭ</t>
  </si>
  <si>
    <t>contact_info</t>
  </si>
  <si>
    <t>YES - mine</t>
  </si>
  <si>
    <t>Oui - le mien</t>
  </si>
  <si>
    <t xml:space="preserve">EH - tawa </t>
  </si>
  <si>
    <t>AHO - Ay wane no</t>
  </si>
  <si>
    <t>Ayyo- guel’am</t>
  </si>
  <si>
    <t xml:space="preserve">ADAI-kakke </t>
  </si>
  <si>
    <t xml:space="preserve">YO -inaw. </t>
  </si>
  <si>
    <t>YES - other household member</t>
  </si>
  <si>
    <t>Oui - un autre membre du ménage</t>
  </si>
  <si>
    <t>EH - wani mutum a iyale</t>
  </si>
  <si>
    <t>Aho-iri kwara borfo</t>
  </si>
  <si>
    <t>Ayyo-guel’korédji am</t>
  </si>
  <si>
    <t>ADAI- Am fannimiye gadeso</t>
  </si>
  <si>
    <t>IYO – Adinat iyad ən amazaɣ</t>
  </si>
  <si>
    <t>YES - friend or relative [non household member]</t>
  </si>
  <si>
    <t>Oui - celui d'un ami ou d'un parent [non membre du ménage]</t>
  </si>
  <si>
    <t>EH-Wani aboki ko dan uwa [da bai cikin iyalin ku]</t>
  </si>
  <si>
    <t>aho -ay tshoro fo wala gneyze [kan manti iri koireyze]</t>
  </si>
  <si>
    <t>Ayyo-guel’hii’go am</t>
  </si>
  <si>
    <t>ADAI- bawo-yalla fatoye</t>
  </si>
  <si>
    <t>IYO – alɣayalan wi winan adoban</t>
  </si>
  <si>
    <t>NO</t>
  </si>
  <si>
    <t>agricactivity</t>
  </si>
  <si>
    <t xml:space="preserve">Yes - crop production </t>
  </si>
  <si>
    <t xml:space="preserve">Oui - production végétale </t>
  </si>
  <si>
    <t>eh – samar da kayan itace</t>
  </si>
  <si>
    <t>Aho- Farmi</t>
  </si>
  <si>
    <t xml:space="preserve">AYYO- gollal kulle cecce. </t>
  </si>
  <si>
    <t xml:space="preserve">Adai - kulo baret3 </t>
  </si>
  <si>
    <t xml:space="preserve">IYO – asisiriw ən hiškan. </t>
  </si>
  <si>
    <t>Yes - livestock production</t>
  </si>
  <si>
    <t>Oui - production animale</t>
  </si>
  <si>
    <t>eh – samar da dabobi</t>
  </si>
  <si>
    <t>aho -almane kourou yan</t>
  </si>
  <si>
    <t>AYYO- margal.</t>
  </si>
  <si>
    <t>Adai- dabba roota</t>
  </si>
  <si>
    <t xml:space="preserve">IYO – asisiriw ən narizej. </t>
  </si>
  <si>
    <t xml:space="preserve">Yes - both crop and livestock production </t>
  </si>
  <si>
    <t xml:space="preserve">Oui - production végétale et animale </t>
  </si>
  <si>
    <t xml:space="preserve">eh – samar da kayan itace da dabobi </t>
  </si>
  <si>
    <t>aho-farmin da almane kouruu yan</t>
  </si>
  <si>
    <t>AYYO- golle ko hecciɗi e margal.</t>
  </si>
  <si>
    <t>Adai- kulo wa dabba roota</t>
  </si>
  <si>
    <t xml:space="preserve">IYO- asisiriw ən hiškan əd narizej  </t>
  </si>
  <si>
    <t>ah ah</t>
  </si>
  <si>
    <t>BAYBO</t>
  </si>
  <si>
    <t>djan ga beyrey</t>
  </si>
  <si>
    <t>wandji ga tu yan</t>
  </si>
  <si>
    <t>edu</t>
  </si>
  <si>
    <t>None or did not complete primary school</t>
  </si>
  <si>
    <t>Aucun ou n'a pas terminé l'école primaire</t>
  </si>
  <si>
    <t>kodaya ko kuma bai kamala firamare ba</t>
  </si>
  <si>
    <t>a mane tchaw ba keyna wala a mane banandi</t>
  </si>
  <si>
    <t xml:space="preserve">Fay gootum maa yottinay cuuɗi aranndeeji. </t>
  </si>
  <si>
    <t>Bawu au maranta badiyaramme tomoz3yi</t>
  </si>
  <si>
    <t xml:space="preserve">Wala iyan warasmanda likoy ta tazarat. </t>
  </si>
  <si>
    <t>Completed primary school</t>
  </si>
  <si>
    <t>A terminé l'école primaire</t>
  </si>
  <si>
    <t>Ya/ta kammala firamare</t>
  </si>
  <si>
    <t>a  bane lakol keyna</t>
  </si>
  <si>
    <t xml:space="preserve">Yottinii cuuɗi arandeeji. </t>
  </si>
  <si>
    <t>Maranta badiyaramme tomoz3na</t>
  </si>
  <si>
    <t xml:space="preserve">Asmanda likoy ta tazarat. </t>
  </si>
  <si>
    <t>Completed secondary school</t>
  </si>
  <si>
    <t>A terminé l'école secondaire</t>
  </si>
  <si>
    <t xml:space="preserve">Ya/ta kammala sakandare </t>
  </si>
  <si>
    <t>a bane col su ray lakolo</t>
  </si>
  <si>
    <t xml:space="preserve">Yottinii jannde ɗiɗaɓeerde. </t>
  </si>
  <si>
    <t>Maranta fuwudiyaaramme daa tomozena</t>
  </si>
  <si>
    <t xml:space="preserve">Asmanda likoy ta sanatat. </t>
  </si>
  <si>
    <t>Completed higher education [University / College] degree</t>
  </si>
  <si>
    <t>Diplôme de l'enseignement supérieur [Université]</t>
  </si>
  <si>
    <t>difloma</t>
  </si>
  <si>
    <t>a na tchaw yan beri te a bane nibersite</t>
  </si>
  <si>
    <t xml:space="preserve">Heɓɓii talkuru jannginde janɗeeji mawɗi. </t>
  </si>
  <si>
    <t>Maranta fuuye [Jamiyay/zunduwa munduwaye] tomoz3na</t>
  </si>
  <si>
    <t xml:space="preserve">Igraw alkad ən teɣare ta tišamat [uniɣersité/Kollège]. </t>
  </si>
  <si>
    <t>Religious or informal education only</t>
  </si>
  <si>
    <t>Enseignement religieux ou informel uniquement</t>
  </si>
  <si>
    <t>islamiya ko kuma ilimin yaw da kulum</t>
  </si>
  <si>
    <t xml:space="preserve">Adini wala bonga baray </t>
  </si>
  <si>
    <t>Jannde diina maa jande ɗe saria anndaa tiiri</t>
  </si>
  <si>
    <t>K3ra adinne or adai kawai</t>
  </si>
  <si>
    <t>Alɣibzda meɣ teɣare ən salan idmanasan</t>
  </si>
  <si>
    <t>water</t>
  </si>
  <si>
    <t>Private tap from piped water</t>
  </si>
  <si>
    <t>Robinet privé avec eau courante</t>
  </si>
  <si>
    <t>ruwan famfo mai zaman kansa</t>
  </si>
  <si>
    <t>windora pompo hari</t>
  </si>
  <si>
    <t>Pompii</t>
  </si>
  <si>
    <t>Nji fomfom kamma yeh lan</t>
  </si>
  <si>
    <t xml:space="preserve">Robinet wanak ən aman okaynen. </t>
  </si>
  <si>
    <t>Public tap</t>
  </si>
  <si>
    <t>Robinet public</t>
  </si>
  <si>
    <t>Famfon jama a</t>
  </si>
  <si>
    <t>borakulu pompo haro</t>
  </si>
  <si>
    <t>Fomfom Jamailan</t>
  </si>
  <si>
    <t xml:space="preserve">Wi robinet wa atiwaharan. </t>
  </si>
  <si>
    <t>Protected well</t>
  </si>
  <si>
    <t>Puits protégé</t>
  </si>
  <si>
    <t xml:space="preserve">Tsararriyar rijiya </t>
  </si>
  <si>
    <t>Dayay kan yan goga daabuu</t>
  </si>
  <si>
    <t>Boum’dou</t>
  </si>
  <si>
    <t>Baram zakkata</t>
  </si>
  <si>
    <t xml:space="preserve">Anu atiwadgalan. </t>
  </si>
  <si>
    <t>Bottled water</t>
  </si>
  <si>
    <t>Eau en bouteille</t>
  </si>
  <si>
    <t xml:space="preserve">Ruwan kwalba </t>
  </si>
  <si>
    <t>butal ra hari</t>
  </si>
  <si>
    <t>Ndiyam  buten.</t>
  </si>
  <si>
    <t>Nji gwarai</t>
  </si>
  <si>
    <t xml:space="preserve">Aman wi butalan. </t>
  </si>
  <si>
    <t>Other safe source</t>
  </si>
  <si>
    <t>Autre source sûre</t>
  </si>
  <si>
    <t xml:space="preserve">Wasu tsaftattun hanyoyin  </t>
  </si>
  <si>
    <t>Wala nanguu fo yan</t>
  </si>
  <si>
    <t xml:space="preserve">Laabi ndiyam goɗɗi kolniiɗi. </t>
  </si>
  <si>
    <t>Lai gade nglalan</t>
  </si>
  <si>
    <t xml:space="preserve">Iyat tabarat toɣadat. </t>
  </si>
  <si>
    <t>River</t>
  </si>
  <si>
    <t>Rivière</t>
  </si>
  <si>
    <t>Kogi</t>
  </si>
  <si>
    <t>Banguu haari</t>
  </si>
  <si>
    <t>Fè’to</t>
  </si>
  <si>
    <t>Kumoduu</t>
  </si>
  <si>
    <t>Ejerer</t>
  </si>
  <si>
    <t>Unprotected well</t>
  </si>
  <si>
    <t>Puits non protégé</t>
  </si>
  <si>
    <t xml:space="preserve">Rijiyar da ba tsararriyar ba </t>
  </si>
  <si>
    <t>Dayay kan mayey goga feeri</t>
  </si>
  <si>
    <t>Baram battilan</t>
  </si>
  <si>
    <t xml:space="preserve">Anu winan atwadgal. </t>
  </si>
  <si>
    <t>Spring water</t>
  </si>
  <si>
    <t>Eau de source</t>
  </si>
  <si>
    <t>Ruwan bazara</t>
  </si>
  <si>
    <t>hari kiga fansi ganda</t>
  </si>
  <si>
    <t xml:space="preserve">Laabi goɗɗi. </t>
  </si>
  <si>
    <t>Nji kauye</t>
  </si>
  <si>
    <t xml:space="preserve">Aman wi naɣarus. </t>
  </si>
  <si>
    <t>Surface water [e.g. canal, ponds, dams]</t>
  </si>
  <si>
    <t>Eaux de surface (par ex. canaux, étangs, barrages)</t>
  </si>
  <si>
    <t>Katangaggen ruwa ko kuma ruwan da ke doron ƙasa</t>
  </si>
  <si>
    <t>Gootay wala haari me fooyan</t>
  </si>
  <si>
    <t xml:space="preserve">Ndiyam gaafol maa ngoɗɗam. </t>
  </si>
  <si>
    <t>Jololo aw lai njiye gadelan</t>
  </si>
  <si>
    <t xml:space="preserve">Ašasjil meɣ iyad aman wi nafala. </t>
  </si>
  <si>
    <t>Other unsafe source</t>
  </si>
  <si>
    <t>Autre source non sûre</t>
  </si>
  <si>
    <t>Wasu hanyoyin da ba tsararru ba</t>
  </si>
  <si>
    <t>Haari fuuma foyan duuma</t>
  </si>
  <si>
    <t>Ndiyam laabi goɗɗi bonndi.</t>
  </si>
  <si>
    <t>Lai batti gadelan</t>
  </si>
  <si>
    <t>Iyan aɣarus asuɣsadan.</t>
  </si>
  <si>
    <t>toilet</t>
  </si>
  <si>
    <t>Flush latrine/toilet with water</t>
  </si>
  <si>
    <t>Latrines à chasse d'eau [toilettes avec eau]</t>
  </si>
  <si>
    <t>Flush latrines [ toilets with water ]</t>
  </si>
  <si>
    <t>Annasara salanga</t>
  </si>
  <si>
    <t>Cillirɗe ɗe jaamanu [cillirɗe ɗe ndiyam]</t>
  </si>
  <si>
    <t>Gawo gimbey zamaniyé</t>
  </si>
  <si>
    <t>edag wan awass wanaman</t>
  </si>
  <si>
    <t>Traditional pit latrine [no water]</t>
  </si>
  <si>
    <t>Latrines traditionnelles à fosse [sans eau]</t>
  </si>
  <si>
    <t>Latrine na gargajiya [ba tare da ruwa ba]</t>
  </si>
  <si>
    <t>salanga goussou</t>
  </si>
  <si>
    <t>Cillirɗe ɗe gasɗe [ɗe ngalaa ndiyam]</t>
  </si>
  <si>
    <t>Gawo jimbé birni la dina Ngui  mbyi la bawa</t>
  </si>
  <si>
    <t>edag wanawass waziwaran</t>
  </si>
  <si>
    <t>Open pit [hole in the ground for excrement without water, roof or wall]</t>
  </si>
  <si>
    <t>Fosse ouverte [trou dans le sol pour les excréments, sans eau, toit ni mur]</t>
  </si>
  <si>
    <t>Bude rami [rami a cikin ƙasa don najasa, ba tare da ruwa, rufi ko bango ba]</t>
  </si>
  <si>
    <t>taray salanga goussou</t>
  </si>
  <si>
    <t>Bla'a lanou wi, gawo jimbé bla diwii churo filma na barewu ye</t>
  </si>
  <si>
    <t>anou ziwiran dagh titawanghal tijirgunte</t>
  </si>
  <si>
    <t>Communal latrine [with or without water]</t>
  </si>
  <si>
    <t>Latrines communautaires [avec ou sans eau]</t>
  </si>
  <si>
    <t>Latrine na al'umma [da ko babu ruwa]</t>
  </si>
  <si>
    <t>Koira sagui banda</t>
  </si>
  <si>
    <t>Gawo jimbé n'gui beyi la bawoo nan am boula sami leza ri gurodi mbyi l abawa katanga bawa</t>
  </si>
  <si>
    <t>edag wan awass nawedan koul</t>
  </si>
  <si>
    <t>None – bush</t>
  </si>
  <si>
    <t>Aucune – brousse</t>
  </si>
  <si>
    <t>Babu - daji</t>
  </si>
  <si>
    <t>ba afo - sagui</t>
  </si>
  <si>
    <t>Nambu  gawo   bla leyini</t>
  </si>
  <si>
    <t>irtila issouf wiliyan</t>
  </si>
  <si>
    <t>light</t>
  </si>
  <si>
    <t>Electricity [from generator or electrical grid]</t>
  </si>
  <si>
    <t>Électricité [à partir d'un générateur, du réseau électrique]</t>
  </si>
  <si>
    <t>Wutar lantarki [daga janareta, daga grid ɗin wutar lantarki]</t>
  </si>
  <si>
    <t>dangui</t>
  </si>
  <si>
    <t>Hiite [nde gurup, hiite gomnati]</t>
  </si>
  <si>
    <t xml:space="preserve">Kannu lantakiyé,Kannu Injin ye </t>
  </si>
  <si>
    <t>madaghtigarawam temsey tan courant, moteur atissarghim ,me réseau ghour tadou tirkabam</t>
  </si>
  <si>
    <t>Candle</t>
  </si>
  <si>
    <t>Bougie</t>
  </si>
  <si>
    <t>Kyandir</t>
  </si>
  <si>
    <t>Bousse-Bousse</t>
  </si>
  <si>
    <t>Buuji</t>
  </si>
  <si>
    <t>kannu jey</t>
  </si>
  <si>
    <t>abalagleg</t>
  </si>
  <si>
    <t>Petrol lamp</t>
  </si>
  <si>
    <t>Lampe à pétrole</t>
  </si>
  <si>
    <t>Fitilar mai</t>
  </si>
  <si>
    <t>klanzir fitilla</t>
  </si>
  <si>
    <t xml:space="preserve">Fitila mo peetorol </t>
  </si>
  <si>
    <t>atchiblabla</t>
  </si>
  <si>
    <t>fitila tan clinzir</t>
  </si>
  <si>
    <t>Lamp with batteries</t>
  </si>
  <si>
    <t>Lampe à piles</t>
  </si>
  <si>
    <t>Fitilar wutar lantarki</t>
  </si>
  <si>
    <t>anasa fitilla</t>
  </si>
  <si>
    <t xml:space="preserve">Fitila mo baatur </t>
  </si>
  <si>
    <t>Battre lampye</t>
  </si>
  <si>
    <t>fitila tan bataran</t>
  </si>
  <si>
    <t>Solar panel</t>
  </si>
  <si>
    <t>Panneaux solaires</t>
  </si>
  <si>
    <t>Solar panels</t>
  </si>
  <si>
    <t>wayna panay</t>
  </si>
  <si>
    <t>Paano kokkoowo hiite</t>
  </si>
  <si>
    <t xml:space="preserve">Kannu kaussu </t>
  </si>
  <si>
    <t>energitan</t>
  </si>
  <si>
    <t>Other [no electric supply to the house]</t>
  </si>
  <si>
    <t>Autre [pas d'alimentation électrique dans la maison]</t>
  </si>
  <si>
    <t>Sauran (babu wutar lantarki a gidan)</t>
  </si>
  <si>
    <t>Afoyan (dangui si windora)</t>
  </si>
  <si>
    <t>Goɗɗum [hoggo ngon walaa hiite]</t>
  </si>
  <si>
    <t>kannu Bawooo faro</t>
  </si>
  <si>
    <t>me wirtilem temsey amadal</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</si>
  <si>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</si>
  <si>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</si>
  <si>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</si>
  <si>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mai wurin - kuna zaune a ƙauyenku/ garinku hiye da shekara biyu kuma kun dawki hurin kamar wurin zaman ku na yaw da kulum</t>
  </si>
  <si>
    <t xml:space="preserve">nongoria  tabatantearan go ga bafuney aran wane kowya wala koira ra hankan bissa guiri hinka dedandi aran na nango samu moh danga aran nongoria tabatanta.
</t>
  </si>
  <si>
    <t>Jonnde tabitinnde - Na ɓuri ɗuuɓi ɗiɗi ko jooɗoriɗon nde hiɓeere/Saare faa nde laati jonnde mon tilayiire.</t>
  </si>
  <si>
    <t>Nanamtayi sambisoro- b3ladiyanimin namgam/b3la kamar saa indiro kuru nashimadaa nanum nabtayiro gowom</t>
  </si>
  <si>
    <t>Amudak ən harkuk - ad-daɣ tizaɣam ɣillage nawan/aɣrim daɣ ogaran əsin elan əd awendaɣ atigam sund taɣaymit nawan tan hadani.</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</si>
  <si>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</si>
  <si>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</si>
  <si>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Ɗan hijira da ya tashi da kansa ba tilastamishi akai ba - kuna zaune a inda kuke yanzu ƙasa da shekara biyu kuma ku ka koma wajen a ƙashin kanku domin aiki / iyali ko kuma wasu dalilay waɗanda basu da alaƙa da tashin hankali ko annoba</t>
  </si>
  <si>
    <t>ka, mane guey ga ka ki mane kande da gabi – aran go aran nongoria ra heykan manto guiri hinka dedandi aran mo no ka daran bon goy sanni maga ,almiyaley se wala afo yan se kan yan manti lakal tunney   wala hassaraw kulu.</t>
  </si>
  <si>
    <t>On egguɗo kesso mo doole dillinay wuro mum- on ngonii nokku mon joonii jo o ko hewtay duuɓi ɗiɗi. On ngadduɓe ko'e mon saabe golle sabaabuuji gure goɗɗi ɗi ngaldaa e wolde maa kasaara nduuniya.</t>
  </si>
  <si>
    <t>Nyima nadaa kollum nya ngei chakko- nashimadin saa indin chidaanno namgam kuru nashimaduro chida/yalla nankaro leyam amma sau majarawa nankaro ngei leyam.</t>
  </si>
  <si>
    <t>Amasakul aynayan winan imušwar šašahat- adaɣ tizaɣam edag wadaɣ namaradaɣ awinan iwed əsin elan əd ad- ditahonam daɣ erhet fal daɣ salan atiwasanen/ namazaɣ meɣ iyad winan eqel ayertayan ən akinas meɣ tarna nazaman.</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</si>
  <si>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</si>
  <si>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</si>
  <si>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Wanda ya dawo - Kun dawo wannan mazaunin ne cikin shekaru biyu da suga shige an tursasaku kun canza mazauni sakamakon gujewa tashin hankali ko annoba [idan dawowar ta haura shekara biyu to za a ɗauki mai bayar da amsar a matsayin mazaunin dindindin]</t>
  </si>
  <si>
    <t>kan i ye ga kande fuyan- aran yega ka aran koira ra guiri hinkey kan bissa ra aran na nonkan aran go tan aran du ga zourou lakal tununey wala hassaraw se di kayanwo bissa guiri hinka yadinga ate koieyze tabatante</t>
  </si>
  <si>
    <t>Himɓe wirfitaaɓe gure muɓɓen. Ley duuɓi ɗiɗi sakitiiɗi ɗi ngaruɗonɗo caggal on ndiiwiraama nokku goɗɗo faa daɗon warhoore kasaara nduuniya.</t>
  </si>
  <si>
    <t>Waltama- na adi ro saa indi kozina allan kedim ngau nya dunodunon na gadero kalakkada nadoni majarawa mbeyiro [waltudi saa 2 ya kozinamaa jawau madaa kam bulairo goza]</t>
  </si>
  <si>
    <t>Awadəm əd datiwašagan – taqalam adeqalan daɣ edag ən timuzuq tendaɣ daɣ alwaq wa əsin elan daraƭ awa nuɣil nasihašalan emešwar ibret nedag iyan fal ye azal ən akinas meɣ tarna nazaman [afal uɣil eqal aygan daɣ ogaran əsin elan/ wa ididmuran eqal atiwasanahagan ən sund amazaɣ ən harkuk].</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</si>
  <si>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</si>
  <si>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</si>
  <si>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wanda ya gudu ya canza gari a cikin kasar su - An tursasa ku ku bar ƙauyenku ko garinku saboda tashin hankali ko annoba sakamakon haka kuna a matsayin ƴan gudun hijira a wurin da kake zaune a halin yanzu</t>
  </si>
  <si>
    <t>borkan ninga koira nan ga koy koira fo a wane labo ra – aran zouru ga aran kawya wala koira nan lakal tunay wala hassaraw se nonka aran goga goro yadine aran ti borkan ninga koira nan ga koy koira fo ra aran bumba labo ra.</t>
  </si>
  <si>
    <t xml:space="preserve">On himɓe sottinɓe gure muɓɓen saabe wolde maa saabe kasaara. Hannden wo on himɓe sottinɓe ɗon ngonɗon jooni ɗo. </t>
  </si>
  <si>
    <t xml:space="preserve">Am majarawai duzunama [IDP]- nya sakk3 b3lai au nanum kollam sau majarawa yeh kuru nyi k3ma nadoni am majarawaye duzunamad3n karam </t>
  </si>
  <si>
    <t>Awadəm ahonan daɣ amas nakal [IDƊ] – ataqalam atiwahašalam ye azal ən ɣillage meɣ aɣrim fal salan ən akinas meɣ ən tarna nazaman əd taqalam amara awadim ahonan daɣ amas ən akal daɣ edag ən təmuzuq ta namaradaɣ.</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</si>
  <si>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</si>
  <si>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</si>
  <si>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Mai neman mafaka - an tursasa ku barin ƙasarku sakamakon tashin hankali ko annoba saboda haka kuna a matsayin masu neman mafaka yanzu a inda kuke zaune</t>
  </si>
  <si>
    <t>Bor wani kan ka aran labo ra – aran zuru garan labo nan lakal tuney wala hassaraw kan te tea ran koira se</t>
  </si>
  <si>
    <t>On weerɓe ndogguɓe leydi mon saabe wolde maa kasaaraji bonɗi. Joonin o wo on himɓe sottinɓe ley leydi njananndi.</t>
  </si>
  <si>
    <t>Soos3nama-nya sakk3 lardinim kollam sau majarawa yeh kuru nyi k3ma nadoni am majarawaye sukku soosanama lan karam</t>
  </si>
  <si>
    <t>Amasakul – taqalam aygraw azal daɣ akal nawan daɣ salan ən akinas meɣ tarna nazaman əd taqalam amara amasakul daɣ edag nawan ən timuzuq namaradaɣ.</t>
  </si>
  <si>
    <t>asset_prod</t>
  </si>
  <si>
    <t>process</t>
  </si>
  <si>
    <t>Processing assets (e.g. grinding/crushing machine, mill, oil press, fish tanks)</t>
  </si>
  <si>
    <t>Actifs de transformation [par ex. broyeur, moulin, presse à huile, aquarium]</t>
  </si>
  <si>
    <t>Gudanar da kadarorin [misali. crusher, niƙa, latsa mai, akwatin kifaye]</t>
  </si>
  <si>
    <t>barayan goy guiney {foufouyan, gui téyan wal darbayan}</t>
  </si>
  <si>
    <t>Naftorteeɗum faro waylugo [hano. Unirɗum , masin niisaago, masin gaɗoowo nebbam, ndiyam ngattanaaɗam liƴƴi desoteeɗam nder suudu]</t>
  </si>
  <si>
    <t>Machin tutu, yeh kau tutut, karwa tchiida tutu</t>
  </si>
  <si>
    <t>aratan win nibiriki ( michine tanchidite ,tendey)</t>
  </si>
  <si>
    <t>farmmach</t>
  </si>
  <si>
    <t>Farm or fishing machinery (e.g. tractor, plough, sickle, boats, engines)</t>
  </si>
  <si>
    <t>Machine agricole ou de pêche [par ex. tracteur, charrue, faucille, bateaux, moteurs]</t>
  </si>
  <si>
    <t>Injin noma ko kamun kifi [misali. tarakta, garma, sickle, jirgin ruwa, injuna]</t>
  </si>
  <si>
    <t>farmi goy guiney wal darbayan</t>
  </si>
  <si>
    <t>Masin demal naa liƴƴotooɗo [hano. ndemirga, Saaret mo jale, taƴirɗum huɗo, akale ndiyam, mooter</t>
  </si>
  <si>
    <t>injinin kolo kolo ye ,Tarko luname, injinin baré ye , kolo kolo galgajia  hé</t>
  </si>
  <si>
    <t>aratan win isstigayakam madey titabazam sirssan kifitan kalmitan ,malankaye wan zigran</t>
  </si>
  <si>
    <t>sewing</t>
  </si>
  <si>
    <t>Sewing machine or weaving tool</t>
  </si>
  <si>
    <t>Machine à coudre ou métier à tisser</t>
  </si>
  <si>
    <t>Injin dinki ko sabulu</t>
  </si>
  <si>
    <t>tella wal tchakay</t>
  </si>
  <si>
    <t xml:space="preserve">Masin nyootoowo naa canyoowo </t>
  </si>
  <si>
    <t>Tchida tela , keke</t>
  </si>
  <si>
    <t>tela tanizamaye</t>
  </si>
  <si>
    <t>taxi</t>
  </si>
  <si>
    <t>Taxi</t>
  </si>
  <si>
    <t>faba</t>
  </si>
  <si>
    <t>Taasi</t>
  </si>
  <si>
    <t>Mota aariyé aw machine</t>
  </si>
  <si>
    <t>tourifte tan arouzmatan</t>
  </si>
  <si>
    <t>truck</t>
  </si>
  <si>
    <t>Truck</t>
  </si>
  <si>
    <t>Camion</t>
  </si>
  <si>
    <t>Motoci</t>
  </si>
  <si>
    <t>moto</t>
  </si>
  <si>
    <t>Loore mawnga</t>
  </si>
  <si>
    <t>Mota kura</t>
  </si>
  <si>
    <t>elam</t>
  </si>
  <si>
    <t>other</t>
  </si>
  <si>
    <t>Other productive machines or assets</t>
  </si>
  <si>
    <t>Autres machines ou actifs productifs</t>
  </si>
  <si>
    <t>Sauran injuna ko kadarori masu albarka</t>
  </si>
  <si>
    <t>goy guineyfo yan  ki ga nafan da</t>
  </si>
  <si>
    <t xml:space="preserve">Masiniiji gom naa fuu ko wallata faro keptol </t>
  </si>
  <si>
    <t>Mota ko  ijinine awo  wiri maraye</t>
  </si>
  <si>
    <t>daratan wintilam wirtanimel</t>
  </si>
  <si>
    <t>none</t>
  </si>
  <si>
    <t>No productive machines or assets</t>
  </si>
  <si>
    <t>Aucune machine ou actif productif</t>
  </si>
  <si>
    <t>Babu inji ko kadarori masu amfani</t>
  </si>
  <si>
    <t>goy guiney ki ga nafan da</t>
  </si>
  <si>
    <t xml:space="preserve">Masin naa fuu ko wallata faro keptol walaa </t>
  </si>
  <si>
    <t>ko fal bawo bawo churo injine ri</t>
  </si>
  <si>
    <t>wælɑ́ ìy-æn Machine tan</t>
  </si>
  <si>
    <t>dk</t>
  </si>
  <si>
    <t>rishin sanni</t>
  </si>
  <si>
    <t>ref</t>
  </si>
  <si>
    <t>kin amsawa</t>
  </si>
  <si>
    <t>asset_transp</t>
  </si>
  <si>
    <t>bici</t>
  </si>
  <si>
    <t>Bicycle</t>
  </si>
  <si>
    <t>Bicyclette</t>
  </si>
  <si>
    <t>Keke</t>
  </si>
  <si>
    <t>guru bari</t>
  </si>
  <si>
    <t>Beelo</t>
  </si>
  <si>
    <t>Kéké</t>
  </si>
  <si>
    <t>kekaye</t>
  </si>
  <si>
    <t>cart</t>
  </si>
  <si>
    <t>Cart (animal drawn)</t>
  </si>
  <si>
    <t>Chariot [tiré par un animal]</t>
  </si>
  <si>
    <t>Cart [da dabba ya ja]</t>
  </si>
  <si>
    <t>farkay torko</t>
  </si>
  <si>
    <t>Saaret tuufeteeɗum [pootirteeɗum bisa]</t>
  </si>
  <si>
    <t>Torko Lunam</t>
  </si>
  <si>
    <t>malankaye tan izodan</t>
  </si>
  <si>
    <t>boatmotor</t>
  </si>
  <si>
    <t>Boat with an engine [inboard or outboard]</t>
  </si>
  <si>
    <t>Bateau avec moteur [in-bord ou hors-bord]</t>
  </si>
  <si>
    <t>Jirgin ruwa mai injin [ciki ko waje]</t>
  </si>
  <si>
    <t>annasara hi</t>
  </si>
  <si>
    <t>Akala ndiyam mo mooter [tawaaɗum nder naa yasi]</t>
  </si>
  <si>
    <t>Kololo injinin</t>
  </si>
  <si>
    <t>aghlal naman waylan moteur,</t>
  </si>
  <si>
    <t>boatnomotor</t>
  </si>
  <si>
    <t>Unmotorized boat [e.g. canoe]</t>
  </si>
  <si>
    <t>Bateau non motorisé [par ex. canoë]</t>
  </si>
  <si>
    <t>Jirgin ruwa mara motsi [misali. kwalekwale]</t>
  </si>
  <si>
    <t>hi</t>
  </si>
  <si>
    <t>Akala ndiyam mo walaa mooter [hano. canoë]</t>
  </si>
  <si>
    <t xml:space="preserve">Kololo </t>
  </si>
  <si>
    <t>aghlal naman wawirnila moteur</t>
  </si>
  <si>
    <t>motorbike</t>
  </si>
  <si>
    <t>Motorbike / scooter / auto rickshaw</t>
  </si>
  <si>
    <t>Moto/scooter/pousse-pousse</t>
  </si>
  <si>
    <t>Babur / babur / rickshaw</t>
  </si>
  <si>
    <t>porporo, koubourkou wal torko</t>
  </si>
  <si>
    <t>Mooto/mooto rewɓe/ko tuufetee</t>
  </si>
  <si>
    <t xml:space="preserve">Moto/injinin /torko  </t>
  </si>
  <si>
    <t>babir</t>
  </si>
  <si>
    <t>car</t>
  </si>
  <si>
    <t>Car</t>
  </si>
  <si>
    <t>Voiture</t>
  </si>
  <si>
    <t>Mota</t>
  </si>
  <si>
    <t>Loore</t>
  </si>
  <si>
    <t>tourifte</t>
  </si>
  <si>
    <t>van</t>
  </si>
  <si>
    <t>Van or small truck</t>
  </si>
  <si>
    <t>Fourgonnette ou petit camion</t>
  </si>
  <si>
    <t>Van ko ƙaramin mota</t>
  </si>
  <si>
    <t>dogon baro wal telem</t>
  </si>
  <si>
    <t xml:space="preserve">Loore adirteenga keccum naa loore pamara </t>
  </si>
  <si>
    <t>godon barou aw telm</t>
  </si>
  <si>
    <t>kourakoura</t>
  </si>
  <si>
    <t>Other motor vehicle</t>
  </si>
  <si>
    <t>Autre véhicule motorisé</t>
  </si>
  <si>
    <t>Sauran abin hawa</t>
  </si>
  <si>
    <t xml:space="preserve">poporo wal motoyan </t>
  </si>
  <si>
    <t>Loore gooɗo ngoodunga mooter</t>
  </si>
  <si>
    <t>Machin injinin thira rin</t>
  </si>
  <si>
    <t>dawatilam dagh torfen koul wirtounimel</t>
  </si>
  <si>
    <t>None of the above</t>
  </si>
  <si>
    <t>Aucun des véhicules proposés</t>
  </si>
  <si>
    <t>Babu motocin da aka bayar</t>
  </si>
  <si>
    <t>mota ba afo kin soubane</t>
  </si>
  <si>
    <t xml:space="preserve">Wanaa nder looreeji ɗii fuu limtaaɗi </t>
  </si>
  <si>
    <t>Ko tillo churo ayo wilyina rin</t>
  </si>
  <si>
    <t xml:space="preserve"> me wirtinitafam demossan tourifte</t>
  </si>
  <si>
    <t xml:space="preserve">  </t>
  </si>
  <si>
    <t>maritalstat</t>
  </si>
  <si>
    <t xml:space="preserve">Single / never married </t>
  </si>
  <si>
    <t xml:space="preserve">Célibataire / jamais marié </t>
  </si>
  <si>
    <t>ba shida aure / bai taba aure ba</t>
  </si>
  <si>
    <t>a mane bey ga hidji</t>
  </si>
  <si>
    <t xml:space="preserve">O gortaalo/ ndewlay ginan. </t>
  </si>
  <si>
    <t xml:space="preserve">Fal Ngulong/ ngaltima nyiyaa s3dinyi </t>
  </si>
  <si>
    <t xml:space="preserve">Amasro/kala wad izizlay. </t>
  </si>
  <si>
    <t>Married</t>
  </si>
  <si>
    <t>Marié(e)</t>
  </si>
  <si>
    <t>da auren shi</t>
  </si>
  <si>
    <t>a gonad hidjey</t>
  </si>
  <si>
    <t xml:space="preserve">O ndewlii. </t>
  </si>
  <si>
    <t>Nyiyaaa</t>
  </si>
  <si>
    <t>Azizlay</t>
  </si>
  <si>
    <t>Separated</t>
  </si>
  <si>
    <t>Séparé(e)</t>
  </si>
  <si>
    <t>ya rabu</t>
  </si>
  <si>
    <t>i si tchar bon</t>
  </si>
  <si>
    <t xml:space="preserve">O seedi. </t>
  </si>
  <si>
    <t>Yektanaa</t>
  </si>
  <si>
    <t>Abdan</t>
  </si>
  <si>
    <t>Divorced</t>
  </si>
  <si>
    <t>Divorcé(e)</t>
  </si>
  <si>
    <t>Bazauri/ bazaura</t>
  </si>
  <si>
    <t>a fey</t>
  </si>
  <si>
    <t xml:space="preserve">O seerii. </t>
  </si>
  <si>
    <t>Dubkata</t>
  </si>
  <si>
    <t>Amizay</t>
  </si>
  <si>
    <t>Widowed</t>
  </si>
  <si>
    <t>Veuf ou veuve</t>
  </si>
  <si>
    <t>miji ko mata ya rassu</t>
  </si>
  <si>
    <t>korkasina tekasi</t>
  </si>
  <si>
    <t>O mayraaɗo.</t>
  </si>
  <si>
    <t>kwanz3 baz3na</t>
  </si>
  <si>
    <t>Aziwar meɣ tasiwar</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</si>
  <si>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</si>
  <si>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</si>
  <si>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</si>
  <si>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</si>
  <si>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</si>
  <si>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</si>
  <si>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</si>
  <si>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</si>
  <si>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</si>
  <si>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</si>
  <si>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</si>
  <si>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</si>
  <si>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</si>
  <si>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</si>
  <si>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shuka  da kuma sayar da amfanin gona </t>
  </si>
  <si>
    <t xml:space="preserve">farmi da gnawrey ki fari  fawciyan
</t>
  </si>
  <si>
    <t xml:space="preserve">Keɓal e cogguuji keɓe hooreeje. </t>
  </si>
  <si>
    <t xml:space="preserve">Natoso kuru ladaso kare kuloi </t>
  </si>
  <si>
    <t xml:space="preserve">Adamu əd ašinš ən sigyak wi atiwasanen. </t>
  </si>
  <si>
    <t xml:space="preserve">Production and sale of vegetables or fruit </t>
  </si>
  <si>
    <t xml:space="preserve">Production et vente de légumes ou de fruits </t>
  </si>
  <si>
    <t xml:space="preserve">shuka da kuma sayar da kayan marmari ko ya en itatuwa  </t>
  </si>
  <si>
    <t>farmi da farmiize wala turizey fatawciyan</t>
  </si>
  <si>
    <t xml:space="preserve">Cogguuji keɓe leydi e ɓiɓɓe leɗɗe. </t>
  </si>
  <si>
    <t xml:space="preserve">Natoso kuru ladaso karek3riye au k3skai </t>
  </si>
  <si>
    <t>Adamu əd ašinš ən legumetan meɣ aratan ən hiškan</t>
  </si>
  <si>
    <t>Production and sale of cashcrops</t>
  </si>
  <si>
    <t>Production et vente de cultures de rente</t>
  </si>
  <si>
    <t>shuka da kuma sayar da amfanin gona na sayarwa</t>
  </si>
  <si>
    <t>farmin da farmi guiney ki ga ka tarey neran yan</t>
  </si>
  <si>
    <t xml:space="preserve">Keɓal leydi maa daabaaji e coggu ko ngaɗantee jaagu. </t>
  </si>
  <si>
    <t>Natoso au ladaso kare kuloi zamanne</t>
  </si>
  <si>
    <t xml:space="preserve">Adamu əd ašinš ən sigyak wi agaraw. </t>
  </si>
  <si>
    <t xml:space="preserve">Production and sale of livestock or livestock products </t>
  </si>
  <si>
    <t>Production et vente de bétail ou de produits animaux</t>
  </si>
  <si>
    <t>Haɓaka da sayar da dabbobi ko dabbobi</t>
  </si>
  <si>
    <t xml:space="preserve">almane kurun da nera yan hada guiney kan ga funu almane ga. </t>
  </si>
  <si>
    <t>Keɓal leydi maa jaagu daabaaji beydi coggu ɲaamee dammucce.</t>
  </si>
  <si>
    <t xml:space="preserve">Natuso au ladoso kumbu dabbaye </t>
  </si>
  <si>
    <t>Adamu əd ašinš ən arizeg əd lalan wi arizeg</t>
  </si>
  <si>
    <t>Production and sale of honey and bee products</t>
  </si>
  <si>
    <t>Production et vente de miel ou de produits apicoles</t>
  </si>
  <si>
    <t>yi da kuma sayar da zuma ko kayan zuma</t>
  </si>
  <si>
    <t>yuu kayan da neran yan</t>
  </si>
  <si>
    <t xml:space="preserve">Sottude liƴƴi. </t>
  </si>
  <si>
    <t xml:space="preserve">B3nyi rot3 ladowa </t>
  </si>
  <si>
    <t xml:space="preserve">Adamau əd ašinš ən manan. </t>
  </si>
  <si>
    <t>Production and sale of fish or aquatic products</t>
  </si>
  <si>
    <t>Production et vente de poisson ou de produits aquatiques</t>
  </si>
  <si>
    <t>Kerawa da sayar da kifi ko kayayyakin ruwa</t>
  </si>
  <si>
    <t>hamissa biri yan da nerando</t>
  </si>
  <si>
    <t>Ittude ɓiɓɓe leɗɗe ladde Sotta.</t>
  </si>
  <si>
    <t>Samarin da kuma samar da ɗanɗano ko kayan ruwa.</t>
  </si>
  <si>
    <t>Asiduw əd ašinš ən lalan ən hiškan meɣ ən finta</t>
  </si>
  <si>
    <t>Collection and sale of natural resources (including forestry or bush products)</t>
  </si>
  <si>
    <t>Collecte et vente de produits forestiers ou de brousse</t>
  </si>
  <si>
    <t>tari da sayar da gandun daji</t>
  </si>
  <si>
    <t>sadji ra guiney keki yan di nera yan</t>
  </si>
  <si>
    <t xml:space="preserve">Jaagu awtirdi ndi saria hokkay laawol/so remooɓe wattay baka. </t>
  </si>
  <si>
    <t xml:space="preserve">Yadum kude kare aarigaljaye tandoma BARO </t>
  </si>
  <si>
    <t xml:space="preserve">Inazan ən asigyik ən salan daɣ ukis ən magyakan. </t>
  </si>
  <si>
    <t>Agricultural trade EXCLUDING producers (formal or informal)</t>
  </si>
  <si>
    <t>Commerce agricole EXCLUANT les producteurs [formel ou informel]</t>
  </si>
  <si>
    <t>Kasuwancin kayan noma na zamani AMMA BANDA masu samarwa</t>
  </si>
  <si>
    <t>Zaamani faarmize jinay neeran yan kan raa cinda alfaray</t>
  </si>
  <si>
    <t xml:space="preserve">Jaagu ngu sariya jaɓi/ fay so remooɓe wattay baka. </t>
  </si>
  <si>
    <t xml:space="preserve">Yadum kude fatoi kare aarigaljaye tandoma BARO </t>
  </si>
  <si>
    <t xml:space="preserve">Daily wage on farms and other casual employment in agricultural sector </t>
  </si>
  <si>
    <t>Salaire journalier dans une exploitation et autres emplois occasionnels dans le secteur agricole</t>
  </si>
  <si>
    <t xml:space="preserve">Albashin rana a kan gonaki da wasu ƙananan ayyukan a sashin noma </t>
  </si>
  <si>
    <t xml:space="preserve">Zaari Farfara wala goy-goyaa ga duu nooruu faarmi fondaraa </t>
  </si>
  <si>
    <t xml:space="preserve">Njomri ɲannden wootere e gollal margal / e golle goɗɗe ley ndemri. </t>
  </si>
  <si>
    <t xml:space="preserve">Kullumro kare kuloiya ngaltaso kuru chidau kela aarigaljaye </t>
  </si>
  <si>
    <t xml:space="preserve">Alhak daɣ ašal daɣ qalan əd iyad ašiɣilan nalwaq daɣ tabarat tan asi. </t>
  </si>
  <si>
    <t xml:space="preserve">Stable employment in agricultural sector </t>
  </si>
  <si>
    <t xml:space="preserve">Emploi stable dans le secteur agricole </t>
  </si>
  <si>
    <t>Tabbataccen aiki a sahin noma</t>
  </si>
  <si>
    <t>goy tabatante farmi goyo ra</t>
  </si>
  <si>
    <t>Gollal gootal ley golle ndemri.</t>
  </si>
  <si>
    <t xml:space="preserve">Chidau kundot3ye k3la aarigaljaye </t>
  </si>
  <si>
    <t>Ašiɣil adiken daɣ tabarat tan asigyik.</t>
  </si>
  <si>
    <t>Non-agricultural self-employed or liberal profession, doctor, architect, lawyer, including restaurant</t>
  </si>
  <si>
    <t>Indépendant non-agricole ou profession libérale / médecin / architecte / avocat / y compris restaurant</t>
  </si>
  <si>
    <t>Aiki na ƙashi-kai da ba na sahin noma ba ko kuma aiki ƙwarewa na taimako / likita /mai zane-zane / lauya / har ma da aikin gidan saida abinci</t>
  </si>
  <si>
    <t xml:space="preserve">Hari kan manti faarmi goy sanga day  lokkotoro taray/ciinaari beeri goy/aboca 
Hada hawru nerandi
</t>
  </si>
  <si>
    <t xml:space="preserve">Gollal keƴu ngal hoore mum ngal haɓɓodaaki e ndemri maa gollal gongal. </t>
  </si>
  <si>
    <t>Chidama doni aarigaljayi nguyi k3lanz3ye au k3ra tomoz3nama/liita/fato</t>
  </si>
  <si>
    <t xml:space="preserve">Ašiɣil ən idmanes winan eqel agayak meɣ Ašiɣil ən erhet [ laətor/ amuɣan/ amilal/ daɣ ahan kal məsiwan]. </t>
  </si>
  <si>
    <t>Off-farm daily wages and other non-agricultural casual employment</t>
  </si>
  <si>
    <t>Salaire journalier hors exploitation et autres emplois occasionnels non agricoles</t>
  </si>
  <si>
    <t>Albashin rana-rana da ba na ɓangaren noma ba ko wasu ƙananan ayyukan</t>
  </si>
  <si>
    <t xml:space="preserve">Hekan mate farmi goi banadi nda goi kan mate farmi  goi  </t>
  </si>
  <si>
    <t>Njomri ɲannden wootere e ɗo Aa’a gollal nawtorangal e golle goɗɗe ɗe haɓɓo daaki e demal.</t>
  </si>
  <si>
    <t>Chida kullume kuru chida doni aarigaljaye guiyi</t>
  </si>
  <si>
    <t xml:space="preserve">Alhak daɣ ašal winan iha ašišiɣil əd iyad ašiɣilan nagudiyan winan eqel ən agayak </t>
  </si>
  <si>
    <t>Stable employment in non-agricultural sector</t>
  </si>
  <si>
    <t>Emploi stable dans le secteur non-agricole</t>
  </si>
  <si>
    <t>Tabbataccen aiki a sashin da ba na noma ba</t>
  </si>
  <si>
    <t>Goi kaiyante kan manti farimi goi.</t>
  </si>
  <si>
    <t xml:space="preserve">Gollal dartiingal ko Aa’a demal. </t>
  </si>
  <si>
    <t>Chida ngla doni aarigaljaye nguiy</t>
  </si>
  <si>
    <t xml:space="preserve">Ašiɣil adiken daɣ tabarat winan taqel agayak. </t>
  </si>
  <si>
    <t xml:space="preserve">Public employment </t>
  </si>
  <si>
    <t xml:space="preserve">Emploi public </t>
  </si>
  <si>
    <t xml:space="preserve">Aikin gwamnati </t>
  </si>
  <si>
    <t xml:space="preserve">Govermedo goi </t>
  </si>
  <si>
    <t xml:space="preserve">ollal forba. </t>
  </si>
  <si>
    <t xml:space="preserve">Chida wundusoi </t>
  </si>
  <si>
    <t xml:space="preserve">Ašiɣil ən adinat. </t>
  </si>
  <si>
    <t>Income not derived from work / Charity</t>
  </si>
  <si>
    <t>Revenu non tiré du travail / Charité</t>
  </si>
  <si>
    <t>Kuɗin shigar da aka samu ba ta hanyar aiki ba/ tallafi</t>
  </si>
  <si>
    <t xml:space="preserve">Keɓal ngal heɓaaka e gollal maa moƴƴere. </t>
  </si>
  <si>
    <t>Fandi doni chidai/banai ngui</t>
  </si>
  <si>
    <t xml:space="preserve">Agaraw winan diha əs ašiɣil/ən tahanint. </t>
  </si>
  <si>
    <t>Income not derived from work / Welfare transfer, pension, humanitarian aid</t>
  </si>
  <si>
    <t>Revenu non tiré du travail / Transferts sociaux, pension, aide humanitaire</t>
  </si>
  <si>
    <t>Kuɗin shigar da aka samu ba ta hanyar aiki ba / Tura kuɗin don daɗaɗawa / FanshoTaimakon jin ƙai</t>
  </si>
  <si>
    <t xml:space="preserve">Ribaa man te goyo ra  / gag siney/goi huney zamai baniri /bore kan borey gag siney </t>
  </si>
  <si>
    <t>Keɓal ngal ƴuuray e gollal/ma nildal/ma keɓal caggal yoppii golle/maa du mballa baale daraniiɗe nguure himɓe.</t>
  </si>
  <si>
    <t>Fandi doni chidai/wuri zutaaye/kung3na chida koltuye/karabka namtu k3lanzai</t>
  </si>
  <si>
    <t>Agaraw winan diha əs ašiɣil/ asisiwiy narhet/ aytwaran/ tadhil ən adinat</t>
  </si>
  <si>
    <t>Income not derived from work / Remittances</t>
  </si>
  <si>
    <t>Revenu non tiré du travail / Envois de fonds des migrants</t>
  </si>
  <si>
    <t>Kuɗin shigar da aka samu ba ta hanyar aiki ba / Cirarrun kuɗaɗe</t>
  </si>
  <si>
    <t xml:space="preserve"> Ribaa man te goyo ra </t>
  </si>
  <si>
    <t xml:space="preserve">Keɓal ngal haɓɓodaaki e gollal- ko egguɓe nildi. </t>
  </si>
  <si>
    <t>Fandi doni chidai/nyirozutaa</t>
  </si>
  <si>
    <t xml:space="preserve">Agaraw winan diha əs ašiɣil/ Asisiwi ən musukal. </t>
  </si>
  <si>
    <t xml:space="preserve">Income not derived from work / Income from other rents                                                                                                                                              </t>
  </si>
  <si>
    <t>Revenu non tiré du travail / Revenu d'autres loyers</t>
  </si>
  <si>
    <t>Kuɗin shigar da aka samu ba ta hanyar aiki ba / Kuɗin shiga ta wasu mahayan</t>
  </si>
  <si>
    <t>Ribaa man te goyo ra /nangu fo hara noru</t>
  </si>
  <si>
    <t xml:space="preserve">Keɓal ngal ƴuuray e gollal/ma keɓe goɗɗe. </t>
  </si>
  <si>
    <t xml:space="preserve">Fandi doni chida/fandi kusuye </t>
  </si>
  <si>
    <t xml:space="preserve">Agaraw winan diha əs ašiɣil/ Agaraw ən təmzal tiyad. </t>
  </si>
  <si>
    <t>No income source in the last 3 months and used exclusively savings / debts</t>
  </si>
  <si>
    <t>Aucune source de revenus au cours des trois derniers mois et recours exclusif à l'épargne / création de dettes</t>
  </si>
  <si>
    <t>Babu kuɗin shiga a cikin watanni uku da suka wuce da aka yi amfani da shi don kawai ajiya/ bashi</t>
  </si>
  <si>
    <t xml:space="preserve">goy sino kan ga noru kekihandu hinzey kan bissa ra da guisiri sambu yan/garaw keki yan
</t>
  </si>
  <si>
    <t xml:space="preserve">Ley lebbi 3 sakitiiɗi keɓal fuh naatay - ko resitanoo ɗum golliraa. </t>
  </si>
  <si>
    <t xml:space="preserve">Bawo fandi kintauwa 3 kozina dilan kuru ba zauro faidatina </t>
  </si>
  <si>
    <t xml:space="preserve">Wala iyat tabarat ən agaraw ɣur karad uran wi ilkamnen əd adakal ən atawar ebdan . </t>
  </si>
  <si>
    <t>wandji ga tuyan</t>
  </si>
  <si>
    <t>gender_inc_1</t>
  </si>
  <si>
    <t>Alboro</t>
  </si>
  <si>
    <t>Tamtoute</t>
  </si>
  <si>
    <t>Joint (both male &amp; female)</t>
  </si>
  <si>
    <t>Mixte [homme et femme]</t>
  </si>
  <si>
    <t>Mixed [namiji da mace]</t>
  </si>
  <si>
    <t>windo alborey da way borey</t>
  </si>
  <si>
    <t>Ko daarata [gorko e debbo]</t>
  </si>
  <si>
    <t xml:space="preserve">Kamou  teha konga </t>
  </si>
  <si>
    <t>aliss id tantoute</t>
  </si>
  <si>
    <t>INTADA</t>
  </si>
  <si>
    <t>gender_inc_2</t>
  </si>
  <si>
    <t>Male household member(s)</t>
  </si>
  <si>
    <t>Membre(s) masculin(s) du ménage</t>
  </si>
  <si>
    <t>Namiji memban gida</t>
  </si>
  <si>
    <t>windo alborey</t>
  </si>
  <si>
    <t xml:space="preserve">Ɓiɓɓe worɓe ɓe hoggo </t>
  </si>
  <si>
    <t>Kon'ga Nawu beyi fandon</t>
  </si>
  <si>
    <t>medan win aghiwan</t>
  </si>
  <si>
    <t>Female household member(s)</t>
  </si>
  <si>
    <t>Membre(s) feminin(s) du ménage</t>
  </si>
  <si>
    <t>'Yan gidan mata</t>
  </si>
  <si>
    <t>windo way borey</t>
  </si>
  <si>
    <t xml:space="preserve">Ɓiɓɓe rewɓe ɓe hoggo </t>
  </si>
  <si>
    <t>Kamou Nawu beyi fando</t>
  </si>
  <si>
    <t>chidoden chin aghiwan</t>
  </si>
  <si>
    <t>Joint household members (both female &amp; male)</t>
  </si>
  <si>
    <t>Membres du ménages conjointement (femme et homme)</t>
  </si>
  <si>
    <t>Yan gida na haɗin gwiwa (mace da namiji)</t>
  </si>
  <si>
    <t>windo borey</t>
  </si>
  <si>
    <t>Ɓiɓɓe hoggo rewɓe e worɓe</t>
  </si>
  <si>
    <t>Yallaanum faronin Kamu  konga sami nawu</t>
  </si>
  <si>
    <t>ikete netedan daghewan</t>
  </si>
  <si>
    <t>change</t>
  </si>
  <si>
    <t>A lot more [increased by more than 50%]</t>
  </si>
  <si>
    <t>Très supérieur [augmentation de plus de 50%]</t>
  </si>
  <si>
    <t>Mafi Guirman [Karin kachi hamsin]</t>
  </si>
  <si>
    <t>aydu ya heykan gak oy hal kanandi weygu zango bon]</t>
  </si>
  <si>
    <t>No mawni sanne [no ɓeydiroo faa yottoo 50 dow 100]</t>
  </si>
  <si>
    <t>Jawou ro glaaa  rabi ro samehyi na</t>
  </si>
  <si>
    <t>Assimossas tillay tachitit taguet dewadat samossat tamarwen dagh temeday</t>
  </si>
  <si>
    <t>Slightly more</t>
  </si>
  <si>
    <t>Supérieur</t>
  </si>
  <si>
    <t>Ya ƙaru</t>
  </si>
  <si>
    <t>Guine foune</t>
  </si>
  <si>
    <t>Mawɗo</t>
  </si>
  <si>
    <t>koura</t>
  </si>
  <si>
    <t>imouzar naghiwan</t>
  </si>
  <si>
    <t>Same</t>
  </si>
  <si>
    <t>Identique</t>
  </si>
  <si>
    <t>Kamar da</t>
  </si>
  <si>
    <t>Yadin cine</t>
  </si>
  <si>
    <t xml:space="preserve">Yo foodu. </t>
  </si>
  <si>
    <t>duktilo</t>
  </si>
  <si>
    <t>Olahnen</t>
  </si>
  <si>
    <t>Slightly less</t>
  </si>
  <si>
    <t>Inférieur</t>
  </si>
  <si>
    <t>Ya ragu</t>
  </si>
  <si>
    <t>A zabuu kaina</t>
  </si>
  <si>
    <t>Ñakii</t>
  </si>
  <si>
    <t>gana</t>
  </si>
  <si>
    <t>midriyan</t>
  </si>
  <si>
    <t xml:space="preserve">A lot less [less than half as much] </t>
  </si>
  <si>
    <t>Très inférieur [moins de la moitié]</t>
  </si>
  <si>
    <t>Ya ragu sosai [kasa da rabi sosai]</t>
  </si>
  <si>
    <t>a zumbu gumo heykan ga koy hal rabo  ]</t>
  </si>
  <si>
    <t>taidaz3 gana [ raitaman chidaan]</t>
  </si>
  <si>
    <t xml:space="preserve">Ajen madriyan [amidriyan ən tizune]. </t>
  </si>
  <si>
    <t xml:space="preserve">kin amsawa </t>
  </si>
  <si>
    <t>incomesource2</t>
  </si>
  <si>
    <t>farmi da gnawrey ki fari  fawciyan</t>
  </si>
  <si>
    <t>Production et vente de légumes ou de fruits</t>
  </si>
  <si>
    <t>Production et vente de bétail ou de produits du bétail</t>
  </si>
  <si>
    <t>almane biri yan da nerando</t>
  </si>
  <si>
    <t>Collecte et vente de ressources naturelles (y compris les produits forestiers ou de la brousse)</t>
  </si>
  <si>
    <t xml:space="preserve">Inazan ən asigyik ən salan/ daɣ ukis ən magyakan. </t>
  </si>
  <si>
    <t>Emploi stable dans le secteur agricole</t>
  </si>
  <si>
    <t xml:space="preserve">goy tabatante farmi goyo ra
</t>
  </si>
  <si>
    <t>Indépendant non-agricole ou profession libérale, médecin, architecte, avocat, y compris restaurant</t>
  </si>
  <si>
    <t>Chidama doni aarigaljayi nguyi k3lanz3ye au k3ra tomoz3nama/liita/fato kurtama/shara/na b3ri kumbuyen kunten</t>
  </si>
  <si>
    <t>Salaire journalier et autres emplois occasionnels non‑agricoles</t>
  </si>
  <si>
    <t>Emploi public</t>
  </si>
  <si>
    <t xml:space="preserve">Gollal forba. </t>
  </si>
  <si>
    <t>Ribaa man te goyo ra  / noo borikan si daa se</t>
  </si>
  <si>
    <t>Revenu non tiré du travail / Envoi de fonds des migrants</t>
  </si>
  <si>
    <t>Ribaa man te goyo ra</t>
  </si>
  <si>
    <t xml:space="preserve">Fandi doni chida/fandi kusuye 
</t>
  </si>
  <si>
    <t>Income not derived from work / Income from other rents</t>
  </si>
  <si>
    <t xml:space="preserve">Kuɗin shigar da aka samu ba ta hanyar aiki ba / Kuɗin shiga ta wasu mahayan </t>
  </si>
  <si>
    <t>Bawo fandi kintauwa 3 kozina dilan kuru ba zauro faida</t>
  </si>
  <si>
    <t>No second most important source of income</t>
  </si>
  <si>
    <t xml:space="preserve">Pas de seconde source de revenu </t>
  </si>
  <si>
    <t>babu wani hanyar samun kudi na uku</t>
  </si>
  <si>
    <t>goy hinkante sino kan ga noru keki</t>
  </si>
  <si>
    <t xml:space="preserve">Laawol keɓal ɗiɗaɓol ɓurngol walaa. </t>
  </si>
  <si>
    <t>Ba sauran ɗaukar karanci ba.</t>
  </si>
  <si>
    <t>djan ga berey</t>
  </si>
  <si>
    <t>incomesource3</t>
  </si>
  <si>
    <t xml:space="preserve">yuu kayan da neran yan
</t>
  </si>
  <si>
    <t xml:space="preserve">Mowom kuru lado kare kuloi au karaaye yah </t>
  </si>
  <si>
    <t>Yadum kude fatoi kare aarigaljaye tandoma BARO</t>
  </si>
  <si>
    <t>Alhak daɣ ašal daɣ qalan əd iyad ašiɣilan nalwaq daɣ tabarat tan asi.</t>
  </si>
  <si>
    <t>Hari kan manti faarmi goy sanga day  lokkotoro taray/ciinaari beeri goy/aboca 
Hada hawru nerandi</t>
  </si>
  <si>
    <t>Gollal dartiingal ko Aa’a demal.</t>
  </si>
  <si>
    <t xml:space="preserve">Ribaa man te goyo ra  </t>
  </si>
  <si>
    <t xml:space="preserve">Income not derived from work / Income from other rents                                </t>
  </si>
  <si>
    <t>No third most important source of income</t>
  </si>
  <si>
    <t xml:space="preserve">Pas de troisième source de revenu </t>
  </si>
  <si>
    <t>noshock</t>
  </si>
  <si>
    <t>No shock</t>
  </si>
  <si>
    <t>Aucun choc</t>
  </si>
  <si>
    <t>babu wata gilgiza</t>
  </si>
  <si>
    <t>hasaraw ba afo</t>
  </si>
  <si>
    <t>Warhoore fuh ngaɗay</t>
  </si>
  <si>
    <t>Karuukam baro</t>
  </si>
  <si>
    <t>Wala iyan aɣašad</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</si>
  <si>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</si>
  <si>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</si>
  <si>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</si>
  <si>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 xml:space="preserve">Rashin lafiya ko hatsari ko mtuwa na wani daga cikin mutanen gidan rashin lafiyar wanda gidan suka dogara da shi/ita/ biyan kuɗaɗen magani da ba saba fuskanta ba/ kashe kuɗaɗe a yayin al'adun mutuwa/ mutuwar wanda gida ya dogara da shi/ita.] </t>
  </si>
  <si>
    <t>djonte/fonda bon hasaraw wala almiyalo ra borfo wala boroyan buyan [windo gandjo djonta / safarey nonu bobo wii yon / bu yan ga noru wii yan /windo gandjo buyan]</t>
  </si>
  <si>
    <t>Ɲawu/masiiba maa mayde neɗɗo gooto maa himɓe ɓaade.</t>
  </si>
  <si>
    <t>Numdondi au majarawa au kurmu am fatomaye[so] [numdondi kurafatoi/ kunguna nguu numdondilan yezoso/ kurmoye kunguna yezoso/ kurmu kura fatoiye]</t>
  </si>
  <si>
    <t>Turhina/ anməɣgar meɣ iba ən adinat ajotnen ən alɣayal [turhina tan tadhil ən amazan/azruf ajen winan anihaga ye laətor/ azruf ye duawu/ ibz namadhal ən alɣayal].</t>
  </si>
  <si>
    <t>lostemplorwork</t>
  </si>
  <si>
    <t>Lost employment or working opportunities [not due to illness/accident]</t>
  </si>
  <si>
    <t>Perte d'emploi ou d'opportunités de travail [non due à la maladie ou à un accident]</t>
  </si>
  <si>
    <t xml:space="preserve">Rasa aiki ko damar aikin [wanda  ba shi da alaka da rishin lafia ko hatshari] </t>
  </si>
  <si>
    <t>goy djanney kan manti djonte wala fondo hasaraw se]</t>
  </si>
  <si>
    <t>Muursude gollal maa sabaabu golle lobbo.</t>
  </si>
  <si>
    <t>Chida doni fandoro teyerina au chida fandoyi [chida kau falle]</t>
  </si>
  <si>
    <t>Agamad ən ašiɣil meɣ ən morda nəšiɣil [astawaga atamosan əšiɣil wa hinan].</t>
  </si>
  <si>
    <t>otherintrahhshock</t>
  </si>
  <si>
    <t>Other intra-household shock</t>
  </si>
  <si>
    <t>Autre choc interne au ménage</t>
  </si>
  <si>
    <t xml:space="preserve">Wani gilgiza can daban na cikin gida </t>
  </si>
  <si>
    <t>hasaraw fo kan te windo rahasaraw fo kan te windo ra</t>
  </si>
  <si>
    <t xml:space="preserve">Naawalla goɗɗo ley wuro. </t>
  </si>
  <si>
    <t>Awogade faton g3natuso</t>
  </si>
  <si>
    <t xml:space="preserve">Iyad ənmigaran non gar alɣayal. </t>
  </si>
  <si>
    <t>higherfoodprices</t>
  </si>
  <si>
    <t>Unusually high food prices</t>
  </si>
  <si>
    <t>Prix des denrées alimentaires anormalement élevés</t>
  </si>
  <si>
    <t>hawan farashin kudin abinci hiye da yada a ke zato</t>
  </si>
  <si>
    <t>nwaro noro tchada gumo</t>
  </si>
  <si>
    <t xml:space="preserve">Tiiɗorma ko ɲaametee faa ɓuri no woorunoo. </t>
  </si>
  <si>
    <t>Kung3na kumbuye doni t3rana nangam buron not3na dilan</t>
  </si>
  <si>
    <t xml:space="preserve">Alhak wan šiška awid hulen ye awa ən hadani. </t>
  </si>
  <si>
    <t>higherfuelprices</t>
  </si>
  <si>
    <t>Unusually high fuel prices or transport prices</t>
  </si>
  <si>
    <t>Prix des carburants ou des transports anormalement élevés</t>
  </si>
  <si>
    <t>hawan farashin kuɗin mai ko kuma sufuri. Hiye da yanda a ke zato</t>
  </si>
  <si>
    <t>essensso da moto sabu yan noro tchada gumo</t>
  </si>
  <si>
    <t>Tiiɗugol coggu sensi e njahol faa ɓettii no tawraa no.</t>
  </si>
  <si>
    <t>Kung3na feturre au lenumk3nshee doni t3rana nangam buron not3na dilan</t>
  </si>
  <si>
    <t>Alhak ən əarburantan meɣ ən transɗortan awid ye awa ən hadani</t>
  </si>
  <si>
    <t>mvtrestrict</t>
  </si>
  <si>
    <t>Population movement restrictions [e.g. due to epidemic or infrastructure damage]</t>
  </si>
  <si>
    <t>Restrictions de mouvements de population [par exemple, en raison d'une épidémie ou de dommages causés aux infrastructures]</t>
  </si>
  <si>
    <t>rage kai da kawon al uma [kamar misali saboda anoba ko lalacewar ababen more rayuwa]</t>
  </si>
  <si>
    <t>goyey zabu [dori fo kan goga borey kar wala goy nangey sara yan]</t>
  </si>
  <si>
    <t>Ngollal boowaangal ngal wawtataa golleede ngasin saabe tooraaji yaasin ɗi</t>
  </si>
  <si>
    <t>Kasuu da goz3 kojin bau sau awolaa gade kateduro gaana duro [suronzan kwasa covid doi s3ka fomno baro s3dinadaa/lamar namt3 ng3lefai/ gar zamanne wurturo gade soo.]</t>
  </si>
  <si>
    <t>Imbas nadobat anəlkim ye ašiɣil wan hadani fal salan nəsibaban izganen  [atamosan ifanazan nataɣam/ ən tamograrzt ən təmuqunen/ darat awen]</t>
  </si>
  <si>
    <t>othereconomicshock</t>
  </si>
  <si>
    <t xml:space="preserve">Other economic shock </t>
  </si>
  <si>
    <t xml:space="preserve">Autre choc économique </t>
  </si>
  <si>
    <t>wata gilgiza ta daban na bangaren  tattalin arziki</t>
  </si>
  <si>
    <t xml:space="preserve">noru hasaraw fo </t>
  </si>
  <si>
    <t xml:space="preserve">Toora/tampiri faggudu. </t>
  </si>
  <si>
    <t>Awaa gad3 s3kk3 razuu bannat3na</t>
  </si>
  <si>
    <t xml:space="preserve">Iyan animgar ən azruf. </t>
  </si>
  <si>
    <t>pestoutbreak</t>
  </si>
  <si>
    <t>Pest outbreak</t>
  </si>
  <si>
    <t>Invasion d'organismes nuisibles</t>
  </si>
  <si>
    <t xml:space="preserve">Annobar ƙwari </t>
  </si>
  <si>
    <t xml:space="preserve">gangamizey </t>
  </si>
  <si>
    <t xml:space="preserve">Ɲaw tuundiiji. </t>
  </si>
  <si>
    <t>Kwasa kuriyaye</t>
  </si>
  <si>
    <t xml:space="preserve">Turhina tan tiwikawen. </t>
  </si>
  <si>
    <t>plantdisease</t>
  </si>
  <si>
    <t>Plant disease</t>
  </si>
  <si>
    <t>Maladie des plantes</t>
  </si>
  <si>
    <t>Cutar shuka</t>
  </si>
  <si>
    <t>Dumizey doro</t>
  </si>
  <si>
    <t>Ɲaw fuɗngooji.</t>
  </si>
  <si>
    <t>K3ska sowa namt3</t>
  </si>
  <si>
    <t>urhina ən hiškan.</t>
  </si>
  <si>
    <t>animaldisease</t>
  </si>
  <si>
    <t>Animal disease [affecting many animals] or death</t>
  </si>
  <si>
    <t>Maladie animale [touchant de nombreux animaux] ou mort d'animaux</t>
  </si>
  <si>
    <t>Rashin lafiyar dabbobi da suke shafar dabbobi da dama ko mutuwar dabbobi</t>
  </si>
  <si>
    <t>Almeney dori.kan na almane bobo di wala almane bobo buyan</t>
  </si>
  <si>
    <t>Ɲaw daabaaji raaɓoowu kulle kewɗe maa waatugol majji.</t>
  </si>
  <si>
    <t xml:space="preserve">Kwasa doni dabbaa zamz3na har s3kk3 kurmu dabbaa yeh so waano </t>
  </si>
  <si>
    <t xml:space="preserve">Turhina tan arizeg garawat arizeg ajen meɣ naqu arizeg </t>
  </si>
  <si>
    <t>napasture</t>
  </si>
  <si>
    <t>Lack of physical access to pasture</t>
  </si>
  <si>
    <t>Accès difficile aux pâturages</t>
  </si>
  <si>
    <t>tshananin samun wurin kiwo</t>
  </si>
  <si>
    <t>almane kuru yan nangu gabi</t>
  </si>
  <si>
    <t>Rafi kewtugol nokkuje duriirde</t>
  </si>
  <si>
    <t>Samuwar hanaɗa ga hanaɗa.</t>
  </si>
  <si>
    <t>Iba nagaraw nugiš itawanhayan ən asamodone</t>
  </si>
  <si>
    <t>othercropandlivests</t>
  </si>
  <si>
    <t>Other crop and livestock shock</t>
  </si>
  <si>
    <t>Autre choc touchant les cultures et le bétail</t>
  </si>
  <si>
    <t>gilgiza ta daban da ta shafi amfanin gona da dabbobi</t>
  </si>
  <si>
    <t>hasaraw fo kanyan lamba dumarey da almaney ga</t>
  </si>
  <si>
    <t>Tooraji golle e maa maardi .</t>
  </si>
  <si>
    <t>Lai lat3ye baa so [k3la luwalaison/majarawa/kwasa COVID-19 famnoo baaro sidina]</t>
  </si>
  <si>
    <t xml:space="preserve">Iyad inmigaran fal sigyak əd arizeg. </t>
  </si>
  <si>
    <t>coldtemporhail</t>
  </si>
  <si>
    <t>Cold temperatures or hail</t>
  </si>
  <si>
    <t>Températures froides / grêle</t>
  </si>
  <si>
    <t>Yanayin sanyi/ kankara</t>
  </si>
  <si>
    <t>yenni lalo</t>
  </si>
  <si>
    <t xml:space="preserve">Buuɓal nokku </t>
  </si>
  <si>
    <t>Amusu nguz3na</t>
  </si>
  <si>
    <t xml:space="preserve">Alwaq samidan meɣ agilasen. </t>
  </si>
  <si>
    <t>flood</t>
  </si>
  <si>
    <t>Flood / riverbank erosion</t>
  </si>
  <si>
    <t>Inondations / érosion des berges</t>
  </si>
  <si>
    <t>Ambaliyar ruwa / zaizayar banki</t>
  </si>
  <si>
    <t>Haari hasaraw/labo koguyan.</t>
  </si>
  <si>
    <t xml:space="preserve">Bonnonda ndiyam/ bonnugol duriirɗe. </t>
  </si>
  <si>
    <t>Wawaa.njiye/kumoduu furokt3so</t>
  </si>
  <si>
    <t xml:space="preserve">Teraze naman/ akarad nadu asekalan. </t>
  </si>
  <si>
    <t>hurricane</t>
  </si>
  <si>
    <t>Hurricane / cyclone / tornado</t>
  </si>
  <si>
    <t>Ouragan / cyclone / tornade</t>
  </si>
  <si>
    <t>Guguwa / iska mai jujjuyawa / Iska mai tsananin ƙarfi</t>
  </si>
  <si>
    <t>haw beri yan</t>
  </si>
  <si>
    <t xml:space="preserve">Keni mawɗi mbulɗi saawu ɗi ɲabbi. </t>
  </si>
  <si>
    <t>Karuwa/burbur/majirawa</t>
  </si>
  <si>
    <t>Kimbit / tamadalt/ esamal</t>
  </si>
  <si>
    <t>drought</t>
  </si>
  <si>
    <t>Drought / heat stress</t>
  </si>
  <si>
    <t>Sécheresse / stress dû à la chaleur</t>
  </si>
  <si>
    <t>Fari  ko kuma bushewa kassa/ damuwa saboda zafi</t>
  </si>
  <si>
    <t>dunguey lalo.</t>
  </si>
  <si>
    <t>Njooru waddoowu mettalla</t>
  </si>
  <si>
    <t>Sidi kamtaa/konnu citi</t>
  </si>
  <si>
    <t xml:space="preserve">Mana / atqir nalwaq </t>
  </si>
  <si>
    <t>earthquake</t>
  </si>
  <si>
    <t>Earthquake</t>
  </si>
  <si>
    <t>Tremblement de terre</t>
  </si>
  <si>
    <t>Girgizar ƙasa</t>
  </si>
  <si>
    <t>laboo zigii yan</t>
  </si>
  <si>
    <t>Dimɓagol leydi.</t>
  </si>
  <si>
    <t>Dina g3rgit3</t>
  </si>
  <si>
    <t xml:space="preserve">Aškidkid nakal. </t>
  </si>
  <si>
    <t>landslides</t>
  </si>
  <si>
    <t>Landslides</t>
  </si>
  <si>
    <t>Glissement de terrain</t>
  </si>
  <si>
    <t>Motsin ƙasa</t>
  </si>
  <si>
    <t>laboo mulay yan</t>
  </si>
  <si>
    <t>Soƴƴoni ɓoɗɗe leydi.</t>
  </si>
  <si>
    <t>Side kamtaa</t>
  </si>
  <si>
    <t xml:space="preserve">Amliliy nakal. </t>
  </si>
  <si>
    <t>firenatural</t>
  </si>
  <si>
    <t>Fire from natural disaster</t>
  </si>
  <si>
    <t>Incendie dû à une catastrophe naturelle</t>
  </si>
  <si>
    <t xml:space="preserve">gobara da takan faruwa wata saboda annoba </t>
  </si>
  <si>
    <t>gobara kan hasaraw kande</t>
  </si>
  <si>
    <t>Jiiteeli  kasaara.</t>
  </si>
  <si>
    <t>Konnu chit3 so</t>
  </si>
  <si>
    <t xml:space="preserve">Teraɣe tigat əs asuɣsid nazaman </t>
  </si>
  <si>
    <t>othernathazard</t>
  </si>
  <si>
    <t>Other natural hazard</t>
  </si>
  <si>
    <t>Autre risque naturel</t>
  </si>
  <si>
    <t>Wata annobar ta daban</t>
  </si>
  <si>
    <t>Hasaraw foyan</t>
  </si>
  <si>
    <t xml:space="preserve">Kasaaraji ngonɗi. </t>
  </si>
  <si>
    <t>Majirowa gade so</t>
  </si>
  <si>
    <t xml:space="preserve">Tiyad tirimaɣ nazaman. </t>
  </si>
  <si>
    <t>violenceinsecconf</t>
  </si>
  <si>
    <t>Violence and insecurity / conflict</t>
  </si>
  <si>
    <t>Violence et insécurité / conflit</t>
  </si>
  <si>
    <t>Tashin hankali da rashin tsaro / rikiici</t>
  </si>
  <si>
    <t>lakal tuney/yanje wala rikici.</t>
  </si>
  <si>
    <t xml:space="preserve">Ɲanŋere minɲoore baasi. </t>
  </si>
  <si>
    <t>Luwala kuru nzuroo baa/buturum</t>
  </si>
  <si>
    <t xml:space="preserve">Tadlim əd iba nalɣafiyat/akinas. </t>
  </si>
  <si>
    <t>theftofprodassets</t>
  </si>
  <si>
    <t>Theft of production assets [land / livestock / tools / etc]</t>
  </si>
  <si>
    <t>Vol d'actifs de production [terres/ bétail/ outils/ etc.]</t>
  </si>
  <si>
    <t>ace kayayyakin  [noma / dabbobin  / kayan sarrafawa / dss]</t>
  </si>
  <si>
    <t>farey da almaney zeytarey</t>
  </si>
  <si>
    <t xml:space="preserve">Nuyka gineeji gollitiirɗi. </t>
  </si>
  <si>
    <t>Baruu kareya razuuye [fili/dabbaa/karechidai/gadesoo]</t>
  </si>
  <si>
    <t xml:space="preserve">Ukur ən lalan mi numaɣ [akal/ arizeg/ isiknas/ darat awen]. </t>
  </si>
  <si>
    <t>firemanmade</t>
  </si>
  <si>
    <t>Fire from man-made disaster</t>
  </si>
  <si>
    <t>Incendie dû à une catastrophe d'origine humaine</t>
  </si>
  <si>
    <t>gobara da dan adam ne sular</t>
  </si>
  <si>
    <t xml:space="preserve">Kasaara mo yiite saabii. </t>
  </si>
  <si>
    <t xml:space="preserve">Konnu chit3 doi kam-meh sha s3kk3na </t>
  </si>
  <si>
    <t xml:space="preserve">Teraɣe en ditahat əs kal aduniyat. </t>
  </si>
  <si>
    <t>othermanmadehazard</t>
  </si>
  <si>
    <t>Other human-induced hazard</t>
  </si>
  <si>
    <t>Autre risque d'origine humaine</t>
  </si>
  <si>
    <t>wata kasada ta daban da dan adam ne sular</t>
  </si>
  <si>
    <t>hasaraw kan andamize no te a sabili</t>
  </si>
  <si>
    <t>Kasaaraaji ngonnndi.</t>
  </si>
  <si>
    <t>Majarawa gade soni kam-sha s3kk3na so</t>
  </si>
  <si>
    <t>Ƭiyad tarnaten əd dahanen əs kal aduniyat</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</si>
  <si>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</si>
  <si>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</si>
  <si>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</si>
  <si>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</si>
  <si>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</si>
  <si>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</si>
  <si>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</si>
  <si>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</si>
  <si>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</si>
  <si>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</si>
  <si>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</si>
  <si>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</si>
  <si>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</si>
  <si>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</si>
  <si>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</si>
  <si>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</si>
  <si>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</si>
  <si>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</si>
  <si>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</si>
  <si>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</si>
  <si>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</si>
  <si>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</si>
  <si>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</si>
  <si>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</si>
  <si>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</si>
  <si>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</si>
  <si>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</si>
  <si>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</si>
  <si>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</si>
  <si>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</si>
  <si>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</si>
  <si>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Eka</t>
  </si>
  <si>
    <t>Diima gantoo Eka foo</t>
  </si>
  <si>
    <t>Aru</t>
  </si>
  <si>
    <t>Laiye</t>
  </si>
  <si>
    <t>Arəetan</t>
  </si>
  <si>
    <t>Hectares</t>
  </si>
  <si>
    <t>Hekta</t>
  </si>
  <si>
    <t xml:space="preserve">Eka </t>
  </si>
  <si>
    <t>Ektaaru</t>
  </si>
  <si>
    <t>Kurachidiye</t>
  </si>
  <si>
    <t>Heətartan</t>
  </si>
  <si>
    <t>Square meters</t>
  </si>
  <si>
    <t>Mètres carrés</t>
  </si>
  <si>
    <t>Girman sukwaya mita</t>
  </si>
  <si>
    <t>Dinma kanga too metar bobo</t>
  </si>
  <si>
    <t>Meetere</t>
  </si>
  <si>
    <t>Numfarak chidiye</t>
  </si>
  <si>
    <t>Metretan ogsahnen</t>
  </si>
  <si>
    <t>Square feet</t>
  </si>
  <si>
    <t>Pieds carrés</t>
  </si>
  <si>
    <t>Girman sukwaya fit</t>
  </si>
  <si>
    <t>Dinmaa kan ga too Ganda beeri foo yan</t>
  </si>
  <si>
    <t>Meetere koyngal</t>
  </si>
  <si>
    <t>Numzuruu chidiye</t>
  </si>
  <si>
    <t>Idaran ogdahnen</t>
  </si>
  <si>
    <t>nan</t>
  </si>
  <si>
    <t>#local measurement units FR#</t>
  </si>
  <si>
    <t>#local measurement units ha#</t>
  </si>
  <si>
    <t>cropcheck</t>
  </si>
  <si>
    <t xml:space="preserve">Don’t usually produce during this season </t>
  </si>
  <si>
    <t>ba ma shuka a wanan lokacin</t>
  </si>
  <si>
    <t>ay si duma lokacio dini</t>
  </si>
  <si>
    <t xml:space="preserve">Mboowaaka golleede o wakkati </t>
  </si>
  <si>
    <t xml:space="preserve">Bare sidinbawo k3minde adin </t>
  </si>
  <si>
    <t xml:space="preserve">Awid tigid daɣ harkuk daɣ awatay wadaɣ. </t>
  </si>
  <si>
    <t>Wasn't able to produce (e.g. due to difficulties)</t>
  </si>
  <si>
    <t>Ba mu samun yin shuka ba [sabili da wassu en masaloli]</t>
  </si>
  <si>
    <t>ay mane du ka duma sandey fo yan se magar</t>
  </si>
  <si>
    <t>WAAWAka golleede [Sabo masiiba].</t>
  </si>
  <si>
    <t>Sowond3 bare s3dei [ kamar sau hal kuttayelan]</t>
  </si>
  <si>
    <t>Wadigrew asudmir [daɣ sokni daɣ tabarat tan aśahatan]</t>
  </si>
  <si>
    <t>irrigation</t>
  </si>
  <si>
    <t>Rainfed</t>
  </si>
  <si>
    <t>Pluie</t>
  </si>
  <si>
    <t>Ruwan sama</t>
  </si>
  <si>
    <t>Benne haro</t>
  </si>
  <si>
    <t>Ndunngu</t>
  </si>
  <si>
    <t>Njisamiye</t>
  </si>
  <si>
    <t>Iginawan</t>
  </si>
  <si>
    <t>Groundwater</t>
  </si>
  <si>
    <t>Eaux souterraines</t>
  </si>
  <si>
    <t>Ruwan karkashin kasa</t>
  </si>
  <si>
    <t>Ganda haari kan i ga fansi</t>
  </si>
  <si>
    <t>Yuwde e ndyam pete ndiyam ley leydi</t>
  </si>
  <si>
    <t>Njichidiye</t>
  </si>
  <si>
    <t xml:space="preserve">Aman wi nider nakal </t>
  </si>
  <si>
    <t>Natural surface water [river, lake, stream, pond, etc.]</t>
  </si>
  <si>
    <t>Eaux de surface naturelles [rivière / lac / ruisseau / étang / etc.]</t>
  </si>
  <si>
    <t>Ruwa day haka Kaman irin na[kogi / tafkin / rafi / kandami / da sauransu.]</t>
  </si>
  <si>
    <t>Nogorey kan te haari du yon do [goori / issa / goori ize  / bangu /nda jerey.]</t>
  </si>
  <si>
    <t>Yuwde e ndyam pete ama ndiyam ley leydi [weendu / baali / baali ngoɗɗam]</t>
  </si>
  <si>
    <t>Nji ishinmad3 [Kuluu / k3maduu / jololo/ baram / etc.]</t>
  </si>
  <si>
    <t>Aman wi ɣarɣaran ən nigina [ashashil/ eɣaq/ashashil/etang/ iyyad.]</t>
  </si>
  <si>
    <t>Constructed water point [canal, dam, etc.]</t>
  </si>
  <si>
    <t xml:space="preserve">Point d'eau artificiel [canal / barrage /etc.] </t>
  </si>
  <si>
    <t>Gina wurin ruwa [tasha ruwa / dam / da sauransu.]</t>
  </si>
  <si>
    <t>Haari gisirey do [haari dan yon do/ bangu bairi / nda jirey .]</t>
  </si>
  <si>
    <t>Ndiyam gaafol maa baraaji [Kanal / baraaji]</t>
  </si>
  <si>
    <t>Zawal njiye t3tand3nama [kotara/DA me/etc.]</t>
  </si>
  <si>
    <t>Edag naman wa atiwaɣashan [edang/ baraj/ iyyad.]</t>
  </si>
  <si>
    <t>Public water supply system [e.g. tap water]</t>
  </si>
  <si>
    <t>Système public d'approvisionnement en eau [par ex. eau du robinet]</t>
  </si>
  <si>
    <t>Tsarin samar da ruwa na jama'a [misali. ruwan famfo]</t>
  </si>
  <si>
    <t>djama kulu hari kayan do sanda pompi</t>
  </si>
  <si>
    <t>Ndiyam robine jamaare [diyam robine]</t>
  </si>
  <si>
    <t>Nji zawalle [e.g. nji fomfomme]</t>
  </si>
  <si>
    <t>Əmik wan adinat dak nihuk naman [ dǎɣ sund/ aman wi robinet]</t>
  </si>
  <si>
    <t>Sauran (bayani, jeri)</t>
  </si>
  <si>
    <t>Dalili fo [Hantum dalilo]</t>
  </si>
  <si>
    <t>Ngoɗɗam [Haala]</t>
  </si>
  <si>
    <t>Gadəyso [yikə]</t>
  </si>
  <si>
    <t>iyyad [laɣatatan].</t>
  </si>
  <si>
    <t>NON NG3YI</t>
  </si>
  <si>
    <t>irrigpump</t>
  </si>
  <si>
    <t>No, everything works on gravity</t>
  </si>
  <si>
    <t>Non, tout fonctionne par gravité</t>
  </si>
  <si>
    <t>A'a, komai yana aiki da nauyi</t>
  </si>
  <si>
    <t>labo no ga haya koulou goyandi</t>
  </si>
  <si>
    <t xml:space="preserve">A'a,fuu no yaha nder saɗorma </t>
  </si>
  <si>
    <t>Aha'a gunan gunan</t>
  </si>
  <si>
    <t>ghourna arate koul iziwate</t>
  </si>
  <si>
    <t>Yes, there is a communal diesel/gas pump</t>
  </si>
  <si>
    <t>Oui, une pompe commune diesel/gaz</t>
  </si>
  <si>
    <t>Ee, famfon dizal/gas gama gari</t>
  </si>
  <si>
    <t>oh, koira kalanzi pompo</t>
  </si>
  <si>
    <t xml:space="preserve">Eye, Pompi moye fuu gollidoojum gaajuwal </t>
  </si>
  <si>
    <t>ahan pompi injini jama sami yé</t>
  </si>
  <si>
    <t>fanfoy wan gazwal id gaz</t>
  </si>
  <si>
    <t>Yes, there is a communal manual pump</t>
  </si>
  <si>
    <t>Oui, une pompe manuelle commune</t>
  </si>
  <si>
    <t>Ee, famfon hannu gama gari</t>
  </si>
  <si>
    <t>oh, koira kamba pompo</t>
  </si>
  <si>
    <t xml:space="preserve">Eye, pompi moye fuu ɗum junngo </t>
  </si>
  <si>
    <t>ahan pompi forage  jama sami yé</t>
  </si>
  <si>
    <t>fanfoy wanifouss</t>
  </si>
  <si>
    <t>Yes, there is a manual pump in my field</t>
  </si>
  <si>
    <t xml:space="preserve"> Oui, une pompe manuelle située dans mon champ</t>
  </si>
  <si>
    <t>Ee, famfon hannun da ke cikin filina</t>
  </si>
  <si>
    <t>oh kamba pomi kango ay faro ra</t>
  </si>
  <si>
    <t>Eye, pompi junngo tawaaɗum nder ngesa am</t>
  </si>
  <si>
    <t>ahan pompi forage curo koulo yin</t>
  </si>
  <si>
    <t>ilefanfoy wa'ifou dagh tawagostine</t>
  </si>
  <si>
    <t>Yes, there is a diesel pump in my field</t>
  </si>
  <si>
    <t>Oui, une pompe diesel située dans mon champ</t>
  </si>
  <si>
    <t>Ee, famfon dizal dake cikin filin na</t>
  </si>
  <si>
    <t>oh, pompi kanga goy da kalanzi kango ay faro ra</t>
  </si>
  <si>
    <t xml:space="preserve">Eye, pompi mo gaajuwal tawaaɗum nder ngesa am </t>
  </si>
  <si>
    <t>ahan pompi injini curo koulo yin</t>
  </si>
  <si>
    <t>ilefanfoy wan moteur dagh tawagostine</t>
  </si>
  <si>
    <t>seedsupply</t>
  </si>
  <si>
    <t>ownprod</t>
  </si>
  <si>
    <t>Own production</t>
  </si>
  <si>
    <t>Propre production</t>
  </si>
  <si>
    <t>ni ke sarafashi da keyna</t>
  </si>
  <si>
    <t xml:space="preserve"> bonse hinse yan</t>
  </si>
  <si>
    <t xml:space="preserve">Demal amen </t>
  </si>
  <si>
    <t>Tando k3laye</t>
  </si>
  <si>
    <t>Asigyik iknan</t>
  </si>
  <si>
    <t>market</t>
  </si>
  <si>
    <t>Local market or agro-input shop / dealer</t>
  </si>
  <si>
    <t>Marché local ou magasin / négociant d'intrants agricoles</t>
  </si>
  <si>
    <t>Kasuwar gida ko kantin shigar da kayan noma/dila</t>
  </si>
  <si>
    <t>koira Habo</t>
  </si>
  <si>
    <t xml:space="preserve">Luumo wiuro naa mangaja /to ɗum sonnata gollitirɗi demal </t>
  </si>
  <si>
    <t>Kassou. Chagouwouso</t>
  </si>
  <si>
    <t>isouk</t>
  </si>
  <si>
    <t>company</t>
  </si>
  <si>
    <t>Private seed company</t>
  </si>
  <si>
    <t>Entreprises privées de semences</t>
  </si>
  <si>
    <t>Kamfanonin iri masu zaman kansu</t>
  </si>
  <si>
    <t>fatawtchi</t>
  </si>
  <si>
    <t>Enterepirij ngo'otaaku ɗum aawdiiri</t>
  </si>
  <si>
    <t>campanie Ba're</t>
  </si>
  <si>
    <t>icharikate chin ninitafnene damassa</t>
  </si>
  <si>
    <t>ngo</t>
  </si>
  <si>
    <t>NGOs</t>
  </si>
  <si>
    <t>ONG</t>
  </si>
  <si>
    <t>kungiya mai zaman kanta</t>
  </si>
  <si>
    <t>Goyteri kango ingay bon maga kango borey gakasiney</t>
  </si>
  <si>
    <t>Projet</t>
  </si>
  <si>
    <t>projetant</t>
  </si>
  <si>
    <t>organized_community</t>
  </si>
  <si>
    <t>Community seed banks / farmer networks / farmers' association / etc.</t>
  </si>
  <si>
    <t>Banques de semences communautaires / réseaux de cultivateurs / associations de cultivateurs / etc.</t>
  </si>
  <si>
    <t>Bankunan iri na al'umma / cibiyoyin sadarwar masu noma / ƙungiyoyin manoma / da sauransu.</t>
  </si>
  <si>
    <t>domize fowo</t>
  </si>
  <si>
    <t>Banki mo aawdiri ɗum himɓe gure/ kawritte remooɓe / kawritte pamare ɗe remooɓe / ekn.</t>
  </si>
  <si>
    <t>coperativeso . Koundjia bare'wou banki kumbu ye bla samiye</t>
  </si>
  <si>
    <t>mangazatan win initafnen damassa</t>
  </si>
  <si>
    <t>gov</t>
  </si>
  <si>
    <t>Government [e.g. MoA]</t>
  </si>
  <si>
    <t>Gouvernement [par ex., ministère de l'Agriculture]</t>
  </si>
  <si>
    <t>Gwamnati [misali ma'aikatar noma]</t>
  </si>
  <si>
    <t>gomnati</t>
  </si>
  <si>
    <t>Gomnati [Hano., miniter kawjiiɗo demal]</t>
  </si>
  <si>
    <t>Am gomnatiyé</t>
  </si>
  <si>
    <t>imouzaran nakal</t>
  </si>
  <si>
    <t>relatives_friends</t>
  </si>
  <si>
    <t>Relatives or friends</t>
  </si>
  <si>
    <t xml:space="preserve">Famille ou amis </t>
  </si>
  <si>
    <t>Iyali ko abokai</t>
  </si>
  <si>
    <t>almiyalo, tchoro</t>
  </si>
  <si>
    <t>Himɓe wuro naa higitiraaɓe</t>
  </si>
  <si>
    <t>Yalla ,Amanum</t>
  </si>
  <si>
    <t>imarwan id midawan</t>
  </si>
  <si>
    <t>Other</t>
  </si>
  <si>
    <t>Sauran</t>
  </si>
  <si>
    <t>afo yan</t>
  </si>
  <si>
    <t>Goɗɗum</t>
  </si>
  <si>
    <t>Lasso</t>
  </si>
  <si>
    <t>dawadinikiman</t>
  </si>
  <si>
    <t>harv_unit</t>
  </si>
  <si>
    <t>Kilograms [kgs]</t>
  </si>
  <si>
    <t>Kilogrammes [kg]</t>
  </si>
  <si>
    <t>kilogiram [kg]</t>
  </si>
  <si>
    <t>tassa fo</t>
  </si>
  <si>
    <t>Kilogaram [kg]</t>
  </si>
  <si>
    <t>Aou galouram</t>
  </si>
  <si>
    <t>takote</t>
  </si>
  <si>
    <t>Tonnes</t>
  </si>
  <si>
    <t>Ton</t>
  </si>
  <si>
    <t>ton</t>
  </si>
  <si>
    <t xml:space="preserve">tonne </t>
  </si>
  <si>
    <t>tanoten</t>
  </si>
  <si>
    <t>Ounces</t>
  </si>
  <si>
    <t>Onces</t>
  </si>
  <si>
    <t>kayna</t>
  </si>
  <si>
    <t xml:space="preserve">Etirɗum teddirka </t>
  </si>
  <si>
    <t>N'gou</t>
  </si>
  <si>
    <t>imassan</t>
  </si>
  <si>
    <t>Pounds</t>
  </si>
  <si>
    <t>Livres</t>
  </si>
  <si>
    <t>Littattafai</t>
  </si>
  <si>
    <t>Tira</t>
  </si>
  <si>
    <t>Defte</t>
  </si>
  <si>
    <t>Kakadou krayi</t>
  </si>
  <si>
    <t>ilkitaban</t>
  </si>
  <si>
    <t>Bags</t>
  </si>
  <si>
    <t>Sacs</t>
  </si>
  <si>
    <t>Jakunkuna</t>
  </si>
  <si>
    <t>Saakuuji</t>
  </si>
  <si>
    <t>bouhou</t>
  </si>
  <si>
    <t>chighargaten</t>
  </si>
  <si>
    <t>Boxes</t>
  </si>
  <si>
    <t>Boîtes</t>
  </si>
  <si>
    <t>Kwalaye</t>
  </si>
  <si>
    <t>Konko</t>
  </si>
  <si>
    <t>Comli</t>
  </si>
  <si>
    <t>gon'gon</t>
  </si>
  <si>
    <t>kankotan</t>
  </si>
  <si>
    <t>Bundles</t>
  </si>
  <si>
    <t>Fagots</t>
  </si>
  <si>
    <t>Kanun itche</t>
  </si>
  <si>
    <t>touri bon</t>
  </si>
  <si>
    <t>Kaɓɓe</t>
  </si>
  <si>
    <t>Tiya koro</t>
  </si>
  <si>
    <t>issigrass</t>
  </si>
  <si>
    <t>Packets</t>
  </si>
  <si>
    <t>Paquets</t>
  </si>
  <si>
    <t>Fakitin</t>
  </si>
  <si>
    <t>koussoumi</t>
  </si>
  <si>
    <t>Pakeeji</t>
  </si>
  <si>
    <t>Buwu</t>
  </si>
  <si>
    <t>bakotan</t>
  </si>
  <si>
    <t>Babu</t>
  </si>
  <si>
    <t>afoyan</t>
  </si>
  <si>
    <t>Goɗɗum [inndee]</t>
  </si>
  <si>
    <t>astilan artan iyan difirwine timilamtan</t>
  </si>
  <si>
    <t>cropproddiff</t>
  </si>
  <si>
    <t>plant_disease</t>
  </si>
  <si>
    <t xml:space="preserve">Plant disease </t>
  </si>
  <si>
    <t>Touri ize dooro</t>
  </si>
  <si>
    <t>Ɲaw fuɗngooji</t>
  </si>
  <si>
    <t xml:space="preserve">Kwasa natoye </t>
  </si>
  <si>
    <t>Turhinawen ən eškan</t>
  </si>
  <si>
    <t>pest_outbreak</t>
  </si>
  <si>
    <t>Pest outbreak [including birds]</t>
  </si>
  <si>
    <t>Invasion d'organismes nuisibles [dont oiseaux]</t>
  </si>
  <si>
    <t>Barkewar kwaro [ciki har da tsuntsaye]</t>
  </si>
  <si>
    <t>hayey kan ga turizey nwaa ara hada tchurezyzey</t>
  </si>
  <si>
    <t>Ɲaw tuundiiji  [e pooli]</t>
  </si>
  <si>
    <t xml:space="preserve">Kurun dabbaaye farakt3na [ngudowa sonkunten] </t>
  </si>
  <si>
    <t>Torhina tan parasite [dăɣ taha tan əgdan]</t>
  </si>
  <si>
    <t>animal_grazing</t>
  </si>
  <si>
    <t>Uncontrolled animal grazing</t>
  </si>
  <si>
    <t>Pâturage incontrôlé d'animaux</t>
  </si>
  <si>
    <t>Kiwon dabbobi marasa tsari</t>
  </si>
  <si>
    <t>djan ga hagoy da heykan almaney ga nwa</t>
  </si>
  <si>
    <t>Sottitingol na’i ɗin e durdudeeeji</t>
  </si>
  <si>
    <t xml:space="preserve">Dabbaa allamt3 baa'so </t>
  </si>
  <si>
    <t>Asamadon ən arizeg atiwadanan</t>
  </si>
  <si>
    <t>access_plot</t>
  </si>
  <si>
    <t>Access to plot</t>
  </si>
  <si>
    <t>Accès à la parcelle</t>
  </si>
  <si>
    <t>Samun hili</t>
  </si>
  <si>
    <t>Na kan i ga du fili</t>
  </si>
  <si>
    <t>Heɓugol ngesa</t>
  </si>
  <si>
    <t xml:space="preserve">Zawal filiye </t>
  </si>
  <si>
    <t xml:space="preserve">Agaraw ən edag </t>
  </si>
  <si>
    <t>access_fertilize</t>
  </si>
  <si>
    <t>Access to fertilizer [not available on markets or prices too high]</t>
  </si>
  <si>
    <t>Accès aux engrais [non disponibles sur les marchés ou prix trop élevés]</t>
  </si>
  <si>
    <t>Samun taki [ba samuwa a kasuwa ko farashin yayi yawa]</t>
  </si>
  <si>
    <t>Na kan ga du engrey a si no bumbo wala a tchada gumo</t>
  </si>
  <si>
    <t xml:space="preserve">Heɓugol birgiiji [ɗi ngalaa ley luumooji maa ceede majji na keewu]. </t>
  </si>
  <si>
    <t>Zawal takiye [kasulan bawo au tamanza chiz3na]</t>
  </si>
  <si>
    <t xml:space="preserve">Agaraw ən abarji [winan tila dăɣ hebutan meɣ asuk ənes ] </t>
  </si>
  <si>
    <t>seed_quality</t>
  </si>
  <si>
    <t>Access to quality seeds</t>
  </si>
  <si>
    <t>Accès à des semences de qualité</t>
  </si>
  <si>
    <t>Samun damar iri masu inganci</t>
  </si>
  <si>
    <t xml:space="preserve">Na kan i ga du dumi ize </t>
  </si>
  <si>
    <t>Heɓugol haawitirdiiji sanne</t>
  </si>
  <si>
    <t xml:space="preserve">Zawal kusinye nglasoyi </t>
  </si>
  <si>
    <t xml:space="preserve">Agaraw ən siduma ahuskatnen </t>
  </si>
  <si>
    <t>seed_quantity</t>
  </si>
  <si>
    <t>Access to enough seeds [not available on markets or prices too high]</t>
  </si>
  <si>
    <t>Accès à des semences en quantité suffisante [non disponibles sur les marchés ou prix trop élevés]</t>
  </si>
  <si>
    <t>Samun isassun tsaba [ba samuwa akan kasuwa ko farashin da ya yi yawa]</t>
  </si>
  <si>
    <t>Na kan i ga du dumi ize kan ga wasa [a sino bumbo no wala a tchada gumo ]</t>
  </si>
  <si>
    <t>Heɓugol haawitirdiiji faa heƴa[ɗi ngalaa ley luumooji maa ceede majji na keewu]</t>
  </si>
  <si>
    <t xml:space="preserve">Zawal kusinye nguu [kasulan bawo au tamanza chiz3na] </t>
  </si>
  <si>
    <t>Agaraw ən siduma ahuskatnen dăɣ agadah [winan tila dăɣ hebutan meɣ alhak asohen].</t>
  </si>
  <si>
    <t>access_pesticide</t>
  </si>
  <si>
    <t>Access to pesticides</t>
  </si>
  <si>
    <t>Accès aux pesticides</t>
  </si>
  <si>
    <t>Samun maganin kashe kwari</t>
  </si>
  <si>
    <t>safarey kiga dan turizey ga gangamey se</t>
  </si>
  <si>
    <t>Heɓugol cafaaje huɗo</t>
  </si>
  <si>
    <t xml:space="preserve">Zawal kurun kuriye </t>
  </si>
  <si>
    <t>Agaraw ən peptiəitan</t>
  </si>
  <si>
    <t>access_labour</t>
  </si>
  <si>
    <t>Access to manpower labour</t>
  </si>
  <si>
    <t>Accès à la main-d'œuvre</t>
  </si>
  <si>
    <t>Samun ma aikata</t>
  </si>
  <si>
    <t>goyterey duyan</t>
  </si>
  <si>
    <t>Heɓugol golle maa gollinteeɓe</t>
  </si>
  <si>
    <t xml:space="preserve">Zawal numguu chidauye </t>
  </si>
  <si>
    <t>Agaraw ən mašaɣalan</t>
  </si>
  <si>
    <t>access_machinery</t>
  </si>
  <si>
    <t>Access to machinery, tools or animals for ploughing</t>
  </si>
  <si>
    <t>Accès aux machines, outils ou animaux pour labourer</t>
  </si>
  <si>
    <t>Samun  injin / kayan aiki ko dabbobi don aikin gona</t>
  </si>
  <si>
    <t>Na kan i ga du goy jiney/ jiney wala almaney torka kanga far</t>
  </si>
  <si>
    <t>Heɓugol lasinaaaji maa daabaaji demirɗi</t>
  </si>
  <si>
    <t xml:space="preserve">Zawal enginchidai/karyaachidai au dabbaa faidat3ye </t>
  </si>
  <si>
    <t>Agaraw ən mašintan/ilalan meɣ arizeg fal asigyak</t>
  </si>
  <si>
    <t>access_fuel</t>
  </si>
  <si>
    <t>Access to fuel or electricity to power agricultural equipment</t>
  </si>
  <si>
    <t>Accès au carburant ou à l'électricité pour alimenter les équipements agricoles</t>
  </si>
  <si>
    <t>Samun man fetur ko wutar lantarki don tada kayan aikin noma</t>
  </si>
  <si>
    <t>essensso wala kuranwo kan ga machiney diyandi ga goy</t>
  </si>
  <si>
    <t>Heɓugol asansi maa kuuran faa gollitoroo gineeji demirɗi</t>
  </si>
  <si>
    <t xml:space="preserve">Zawal k3ndau au konnu doni karyaa aa'rigaljaye faidat3ye </t>
  </si>
  <si>
    <t xml:space="preserve">Agaraw ən əarburant meɣ qoran fal asišiɣil ən ilalan wən sigyak </t>
  </si>
  <si>
    <t>soil_erosion</t>
  </si>
  <si>
    <t>Soil erosion</t>
  </si>
  <si>
    <t>Érosion des sols</t>
  </si>
  <si>
    <t>Zazzagewar ƙasa</t>
  </si>
  <si>
    <t>Labu hasaro</t>
  </si>
  <si>
    <t>Heefagol leydi</t>
  </si>
  <si>
    <t xml:space="preserve">Bololo kamtaa  </t>
  </si>
  <si>
    <t>Aɣašad ən akal</t>
  </si>
  <si>
    <t>lack_irrigation</t>
  </si>
  <si>
    <t xml:space="preserve">Not enough irrigation or rainfall water </t>
  </si>
  <si>
    <t>Eau d'irrigation ou pluie insuffisante</t>
  </si>
  <si>
    <t>Rashin isasshen  ruwa / ruwan sama</t>
  </si>
  <si>
    <t>Haari kan borey ga dumi ize hangandi   / benna haro mane wassa</t>
  </si>
  <si>
    <t>Rafinndiyam mbiccirɗam / ƴuwoonde.</t>
  </si>
  <si>
    <t xml:space="preserve">Zawal kwataraye nguu baaso/nji samiye </t>
  </si>
  <si>
    <t>Iba naman ye asəssu/agina</t>
  </si>
  <si>
    <t>excess_water</t>
  </si>
  <si>
    <t>Too much irrigation or water</t>
  </si>
  <si>
    <t>Eau d'irrigation ou pluie trop abondante</t>
  </si>
  <si>
    <t>Yawan ban ruwa / ruwa sama</t>
  </si>
  <si>
    <t xml:space="preserve"> Haari kan borey ga dumi ize hangandi   / benna haro kan ba gumo</t>
  </si>
  <si>
    <t>Daliiliiji biccirɗi ndiyam sanne</t>
  </si>
  <si>
    <t xml:space="preserve">Zawal kwataraye nguu/nji </t>
  </si>
  <si>
    <t>Asəssu ajen/aman</t>
  </si>
  <si>
    <t>access_credit</t>
  </si>
  <si>
    <t>Access to credit</t>
  </si>
  <si>
    <t>Accès au crédit</t>
  </si>
  <si>
    <t>Samun bashi</t>
  </si>
  <si>
    <t>Na kan i ga du garaw</t>
  </si>
  <si>
    <t xml:space="preserve">Heɓugol Nyamaaɗe </t>
  </si>
  <si>
    <t>Zawal fandoye</t>
  </si>
  <si>
    <t>Agaraw ən amarwas.</t>
  </si>
  <si>
    <t>Wani cabu can na daban</t>
  </si>
  <si>
    <t>Afo yon</t>
  </si>
  <si>
    <t xml:space="preserve">Tiiɗormaaji goɗɗi. </t>
  </si>
  <si>
    <t>Awogadeso</t>
  </si>
  <si>
    <t>Iyan</t>
  </si>
  <si>
    <t>storage</t>
  </si>
  <si>
    <t>None</t>
  </si>
  <si>
    <t>Aucune</t>
  </si>
  <si>
    <t>Ba afo</t>
  </si>
  <si>
    <t xml:space="preserve">Baa go'otel </t>
  </si>
  <si>
    <t>Kwali</t>
  </si>
  <si>
    <t>wala</t>
  </si>
  <si>
    <t>A little</t>
  </si>
  <si>
    <t>Une petite part</t>
  </si>
  <si>
    <t>Ƙananan sashi</t>
  </si>
  <si>
    <t>Ikana fo</t>
  </si>
  <si>
    <t xml:space="preserve">Feccere famarde </t>
  </si>
  <si>
    <t>Fomfo jamala</t>
  </si>
  <si>
    <t>arate indiran</t>
  </si>
  <si>
    <t>An important part of it, but less than half</t>
  </si>
  <si>
    <t>Une part importante, mais moins de la moitié</t>
  </si>
  <si>
    <t>Babban rabo, amma ƙasa da rabi</t>
  </si>
  <si>
    <t>Issabante kansito guiara</t>
  </si>
  <si>
    <t>Feccere mawnde, nde hewtaay feccere hunnde ɗum</t>
  </si>
  <si>
    <t>Fomfo manuel kulonin kara</t>
  </si>
  <si>
    <t>arate aguen wirnewed agana</t>
  </si>
  <si>
    <t>Most of it [half or more]</t>
  </si>
  <si>
    <t>Une grande part [la moitié ou plus]</t>
  </si>
  <si>
    <t>Babban sashi [rabi ko fiye]</t>
  </si>
  <si>
    <t>Bayan wo( guiara)</t>
  </si>
  <si>
    <t>feccere mawnde [feccere naa ko ɓuri ɗoon]</t>
  </si>
  <si>
    <t>Rétta koyina nuwa kakké/Retta koyini kakkewu</t>
  </si>
  <si>
    <t>arate aguen ogaran agana</t>
  </si>
  <si>
    <t>Almost everything</t>
  </si>
  <si>
    <t>La presque totalité</t>
  </si>
  <si>
    <t>Kusan duka</t>
  </si>
  <si>
    <t>kan manti akoulou</t>
  </si>
  <si>
    <t>Fuu dimma hunnde</t>
  </si>
  <si>
    <t>Ngusso kakké</t>
  </si>
  <si>
    <t>chilanass koul azdanaditassou</t>
  </si>
  <si>
    <t>Everything</t>
  </si>
  <si>
    <t>La totalité</t>
  </si>
  <si>
    <t>Jimlar</t>
  </si>
  <si>
    <t>akoul gaba dey</t>
  </si>
  <si>
    <t>Dimma fuu</t>
  </si>
  <si>
    <t>Sammaso kakké</t>
  </si>
  <si>
    <t>koul azditassou</t>
  </si>
  <si>
    <t>cropsalesdiff</t>
  </si>
  <si>
    <t>marketing_cost</t>
  </si>
  <si>
    <t>High transportation or other marketing costs</t>
  </si>
  <si>
    <t>Coûts de transport ou autres coûts de commercialisation élevés</t>
  </si>
  <si>
    <t>kudin sufuri ko wasu farashin tallace-tallace mai tshada</t>
  </si>
  <si>
    <t>moto sambu yan wala nerandize djarey tchada</t>
  </si>
  <si>
    <t>Ceede transipoor maa ceede coogguuji ɓeydiiɗe.</t>
  </si>
  <si>
    <t>Kumg3na nguz3na k3la yadimkudee au kasuu gadehyi</t>
  </si>
  <si>
    <t>Asuhutan ən tagayt meɣ asuhutan iyaɗ ən tena šit tazwayat</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</si>
  <si>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</si>
  <si>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</si>
  <si>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</si>
  <si>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 xml:space="preserve"> Lalacewa da asara yayin sufuri ko wahalar shiga kasuwa</t>
  </si>
  <si>
    <t>Hassaraw da hassara kan guissiri/wala habu koyan kande.]</t>
  </si>
  <si>
    <t>Bonandaji e basal ko saddaji  ndesam /na saddaji hebugol lawol e  luumo [hono rafi jam/rafi laabi mbooda]</t>
  </si>
  <si>
    <t>Bannaa asarra k3la na g3nat3 Bayern kudu/ aw zawal kasuye baayen [e.g. namt3 ng3lefaye ba a/ gar zamane baasoye etc.]
3)Kasuwu yiye kare mazenbawo aw yiwomasoye</t>
  </si>
  <si>
    <t>Aɣashad əd iba igan fal assahatan ən asidiw əd/ meɣ ugish ən hebu [dǎɣ sund/ iba nalɣafiyat/ abror ən tabarat/ iyyad.]</t>
  </si>
  <si>
    <t>low_demand</t>
  </si>
  <si>
    <t xml:space="preserve">Lack of demand from usual traders or buyers </t>
  </si>
  <si>
    <t>Baisse de la demande des commerçants ou clients habituels</t>
  </si>
  <si>
    <t>Rashin buƙata daga ƴan kasuwa ko masu siye da suka saba</t>
  </si>
  <si>
    <t>Nairike hata ga dai  si nowala daike</t>
  </si>
  <si>
    <t>Rafi rokugol luumankobe na sodoobe be woowa</t>
  </si>
  <si>
    <t>Kasuwu yiye kare mazenbawo aw yiwomasoye</t>
  </si>
  <si>
    <t>Iba ən tabarat ən mashanshan meɣ wi shanshananen ən harkuk</t>
  </si>
  <si>
    <t>pay_delay</t>
  </si>
  <si>
    <t>Payment delays from traders / buyers</t>
  </si>
  <si>
    <t>Retards de paiement de la part des négociants/acheteurs</t>
  </si>
  <si>
    <t>Jinkirin biyan kuɗi daga yan kasuwa / masu siye</t>
  </si>
  <si>
    <t>fatawcizey wala borey kan yan doni ga guiney dey si ga dey koyne</t>
  </si>
  <si>
    <t>Boyol njobdi luumankobe na soodobe</t>
  </si>
  <si>
    <t>Duwan kawo biya baa so na kasuyen / yiwomaaoyen</t>
  </si>
  <si>
    <t>Tahagit ən təmzal ən sibret ən manshanshan / meɣ wi shanshanen</t>
  </si>
  <si>
    <t>low_price</t>
  </si>
  <si>
    <t>Low selling prices [e.g. compared to input prices / inflation]</t>
  </si>
  <si>
    <t xml:space="preserve">Faible prix de vente [par exemple, par rapport aux prix des intrants / inflation] </t>
  </si>
  <si>
    <t>Rarrashin farashin siyarwa [misali. idan aka kwatanta da farashin shigarwa / hauhawar farashin kaya]</t>
  </si>
  <si>
    <t>borsi nera ga fata zama djiney kiga farindey da engrey kulu tchada ]</t>
  </si>
  <si>
    <t xml:space="preserve">Ceede jaagu caamii [hono dow ceede nguuree/ɓeydii]. </t>
  </si>
  <si>
    <t>Kung3nadi gana [kamar kung3na gayinno/faltin]</t>
  </si>
  <si>
    <t xml:space="preserve">Enə ši iknan afanaz [ sund as mezlay ən asuhu ən imuga šan/ ɣor as asiwaɗ ]. </t>
  </si>
  <si>
    <t>processing</t>
  </si>
  <si>
    <t>Difficulty processing product [lack of processing inputs / equipment / etc]</t>
  </si>
  <si>
    <t>Difficulté de transformation de la production [manque d'intrants / d'équipements de transformation / etc.]</t>
  </si>
  <si>
    <t>Wahalolin sarrafa samfur banda rufe gidan yanka [rashin samun damar sarrafa kayan aiki / kayan aiki / da sauransu]</t>
  </si>
  <si>
    <t>bor si du ga farmey djiney bare ga hinse ga nera zama goy djiney cekayante si no]</t>
  </si>
  <si>
    <t>)Tiiɗomaaji dow waylitingol kulle [rafi kulle baylitirɗe / gineeji baylitirɗi / goɗɗum gatin.]</t>
  </si>
  <si>
    <t>Wahala mbeji tandolan [ikkomade wahala sen/kare/awogade]</t>
  </si>
  <si>
    <t>Asuhutan ən asəmutiy ən ajaraw [ iban imuga šan ən asəmutiy/ad asəsihaɣ/sikuy.]</t>
  </si>
  <si>
    <t>competition</t>
  </si>
  <si>
    <t>Market flooded with products</t>
  </si>
  <si>
    <t>Marchés saturés</t>
  </si>
  <si>
    <t>Kasuwa ambaliya da kayayyaki</t>
  </si>
  <si>
    <t>habey to da djiney</t>
  </si>
  <si>
    <t>uumo ko yoola jineji</t>
  </si>
  <si>
    <t>Kasuwu kare chikaz3na</t>
  </si>
  <si>
    <t xml:space="preserve">Ajit ən lalan dǎɣ hebu </t>
  </si>
  <si>
    <t>Wani can daban</t>
  </si>
  <si>
    <t>Goɗɗo</t>
  </si>
  <si>
    <t>rashin sanni</t>
  </si>
  <si>
    <t>OZA NYI</t>
  </si>
  <si>
    <t>Cattle [cow / beef / veal / yak / buffalo]</t>
  </si>
  <si>
    <t>Bovins [vache / bœuf / veau / yak / buffle]</t>
  </si>
  <si>
    <t>Shanu [saniya / naman saniya / maraƙi(a)/ geza / buffalo]</t>
  </si>
  <si>
    <t>Hawu yon [hawo/ hawo ham / hawo han nga ri / hawo ku rii / hawo ja yan ti]</t>
  </si>
  <si>
    <t xml:space="preserve">Jawdi [ɓireteenge / nagge / ɓii-nagge / na’i tuubaaku / eda]. </t>
  </si>
  <si>
    <t>Feh/tadafeye/agwagwa/tare/ghali/karm]</t>
  </si>
  <si>
    <t>Goat</t>
  </si>
  <si>
    <t>Chèvres</t>
  </si>
  <si>
    <t>Akuyoyi</t>
  </si>
  <si>
    <t>Han chini</t>
  </si>
  <si>
    <t>Be’i.</t>
  </si>
  <si>
    <t>Kanyi ya so</t>
  </si>
  <si>
    <t>Sheep</t>
  </si>
  <si>
    <t>Moutons</t>
  </si>
  <si>
    <t>Tumaki</t>
  </si>
  <si>
    <t>Fedji</t>
  </si>
  <si>
    <t xml:space="preserve">Baali. </t>
  </si>
  <si>
    <t>Pyaso</t>
  </si>
  <si>
    <t>Swine [swine / boar / hog / etc]</t>
  </si>
  <si>
    <t>Porcins [cochon / sanglier / porc / etc.]</t>
  </si>
  <si>
    <t>Alade [alade / ruri / alade / dss]</t>
  </si>
  <si>
    <t>birgna</t>
  </si>
  <si>
    <t xml:space="preserve">Girooji [ngirow wuro / ngirow ladde / kurukuruuru / goɗɗum ko nandi e muuɗum yaadi]. </t>
  </si>
  <si>
    <t>Swine [godu / boar / hog / etc]</t>
  </si>
  <si>
    <t>Equine [donkey / horse / etc]</t>
  </si>
  <si>
    <t>Équidés [âne / cheval / etc]</t>
  </si>
  <si>
    <t>Doki [jaki / doki / etc]</t>
  </si>
  <si>
    <t>barin da farkey</t>
  </si>
  <si>
    <t xml:space="preserve">Buudu araaji [araaji / pucci / goɗɗum ko nandi ɗum]. </t>
  </si>
  <si>
    <t>Equine[koro/fur/gadesoo]</t>
  </si>
  <si>
    <t>Small domesticated mammals [rabbits / minks / guinea pigs / etc]</t>
  </si>
  <si>
    <t>Petits mammifères domestiques [lapins / visons / cochons d'Inde / etc.]</t>
  </si>
  <si>
    <t>Ƙananan dabbobin gida masu shayarwa [zomaye / minks / aladu / dss]</t>
  </si>
  <si>
    <t>almane keyney [tobeye/kowro almeni kan egi biri che yon se/nda jerey]</t>
  </si>
  <si>
    <t xml:space="preserve">Kuukoy muyninoohoy [boje/wijon/ngirowu/foondu fir’awna/goɗɗum] </t>
  </si>
  <si>
    <t>Dabbaa fatoye sinana [tarmuna/minks/godusinana/gadesoa]</t>
  </si>
  <si>
    <t>Poultry [chicken / guineafowl / duck / quail / turkey / etc]</t>
  </si>
  <si>
    <t>Volaille [poulets / pintades / canards / cailles / dindes / etc.]</t>
  </si>
  <si>
    <t>Kaji [kaji / zabuwa / agwagwa / kwarto / talo-talo / dss]</t>
  </si>
  <si>
    <t>Chiroo biri yon  [ize/chi roo/bii/kuuti/chiroo]</t>
  </si>
  <si>
    <t xml:space="preserve">Ndiwri [cofal/jaawngal/tonkonoowal/gerrel/Foondu fir’awna/goɗɗum]. </t>
  </si>
  <si>
    <t>Dabbaa fatoye [kuyi/tamus/agwagwa njiye/quail/tolotolo/gadesoa]</t>
  </si>
  <si>
    <t>Camelids</t>
  </si>
  <si>
    <t>Camélidés</t>
  </si>
  <si>
    <t>Raƙuma</t>
  </si>
  <si>
    <t>Yoow yon</t>
  </si>
  <si>
    <t>Geelooɗi</t>
  </si>
  <si>
    <t>Karimosoa</t>
  </si>
  <si>
    <t>Wa ensu can daban</t>
  </si>
  <si>
    <t>lsnum</t>
  </si>
  <si>
    <t>no_change</t>
  </si>
  <si>
    <t>No significant change in livestock number</t>
  </si>
  <si>
    <t>Pas de changement significatif du nombre de têtes de bétail</t>
  </si>
  <si>
    <t xml:space="preserve">Babu wani canji babba ga adadin dabbobin </t>
  </si>
  <si>
    <t>barmey yan mane te gumo i bayanwo ra</t>
  </si>
  <si>
    <t xml:space="preserve">Heewaa ko wattitii e limoore daabaaji ɗi. </t>
  </si>
  <si>
    <t>Suro adudu dabbayed3 cenji bawa</t>
  </si>
  <si>
    <t>inc_less_sales</t>
  </si>
  <si>
    <t>Did not sell as many</t>
  </si>
  <si>
    <t>Diminution des ventes</t>
  </si>
  <si>
    <t xml:space="preserve">Ba a sayar da yawansu ba </t>
  </si>
  <si>
    <t>nerandey no keyna</t>
  </si>
  <si>
    <t>Men sonnay heewɗi</t>
  </si>
  <si>
    <t>Nguwuu t3ladiyi</t>
  </si>
  <si>
    <t>inc_more_birth</t>
  </si>
  <si>
    <t>Many more were born</t>
  </si>
  <si>
    <t>Davantage de naissances</t>
  </si>
  <si>
    <t>An haifi wasu da yawa</t>
  </si>
  <si>
    <t>I haye gumo no</t>
  </si>
  <si>
    <t xml:space="preserve">Ndimu ɓeydiingu. </t>
  </si>
  <si>
    <t>Tasambina nguuro</t>
  </si>
  <si>
    <t>inc_more_acquired</t>
  </si>
  <si>
    <t>Purchased or bartered more animals this year</t>
  </si>
  <si>
    <t>Davantage d'animaux achetés ou troqués cette année</t>
  </si>
  <si>
    <t xml:space="preserve">An sayar ko an yi musayar dabbobin a wannan shekarar  </t>
  </si>
  <si>
    <t>i na almane bobo nera afo yan mo I ni barmey haran guiro</t>
  </si>
  <si>
    <t xml:space="preserve">Soodii maa wattu daabaaji hewɗi hikka. </t>
  </si>
  <si>
    <t>Tuuna dabbaa nguwu saa allan</t>
  </si>
  <si>
    <t>inc_received_free</t>
  </si>
  <si>
    <t>Received animals for free [restocking, gift]</t>
  </si>
  <si>
    <t>Animaux reçus gratuitement [réapprovisionnement / cadeau]</t>
  </si>
  <si>
    <t>An karɓi dabbobi kyauta [kiwatawa / kyauta]</t>
  </si>
  <si>
    <t>a&amp;lmane yan no I na iri no ga tontone yamo]</t>
  </si>
  <si>
    <t>On keɓii daabaaji ɓolum [njomtaari dokkan]</t>
  </si>
  <si>
    <t>Desindillo dabbaa chowondo [chado/chuuda]</t>
  </si>
  <si>
    <t>dec_poor_health</t>
  </si>
  <si>
    <t>Animal death due to malnutrition, drought, lack of feed</t>
  </si>
  <si>
    <t xml:space="preserve">Mort d'animaux due à la malnutrition, à la sécheresse, au manque de nourriture </t>
  </si>
  <si>
    <t>Dabbobin sun mutu saboda ƙarancin lafiya/ rashin abinci ko jin ciwo</t>
  </si>
  <si>
    <t>Almeney buu zamaa nwari hanno si no/dunguey/nwari djanney</t>
  </si>
  <si>
    <t xml:space="preserve">Ɲawu wari daabaaji ɗi/rafi haaraande/maa </t>
  </si>
  <si>
    <t>Dabbaa nosununa k3la numdondi njistaa baayen/kunbu baa au zau fant3</t>
  </si>
  <si>
    <t>dec_death</t>
  </si>
  <si>
    <t>Animal death due to other factors [e.g. diseases, parasites, injury]</t>
  </si>
  <si>
    <t>Mort d'animaux due à d'autres facteurs [par ex. maladies, parasites, blessures]</t>
  </si>
  <si>
    <t>Mutuwar dabba saboda wasu dalilai [misali cututtuka  / rauni]</t>
  </si>
  <si>
    <t>Almaney buu hari fo yon se [danga doori/ almaney doori/ maarey yan]</t>
  </si>
  <si>
    <t>Bonandaji jawdi ko saddaji wonde [huno niawuji/ jildi redu/ barme.]</t>
  </si>
  <si>
    <t>Dabbaso.nosunin k3la [e.g. kwasa/kurun kuloi/zaufant3]</t>
  </si>
  <si>
    <t>dec_sales_good_price</t>
  </si>
  <si>
    <t>Sold more than usual because of good prices</t>
  </si>
  <si>
    <t>Davantage de ventes en raison de bons prix</t>
  </si>
  <si>
    <t xml:space="preserve">An sayar sama da yadda aka saba saboda daman kudade </t>
  </si>
  <si>
    <t>nerandi te gumo zama i noro karum</t>
  </si>
  <si>
    <t>Hewɗi sonnaama saabe coggu na wooɗi.</t>
  </si>
  <si>
    <t>Nguwuu t3lad3 sau tamandu ngla duro</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</si>
  <si>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</si>
  <si>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</si>
  <si>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</si>
  <si>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 xml:space="preserve">An sayar sama da yadda aka saba saboda sayarwar da ta kama [ba za a iya ciyar da dabbar ba / buƙatr kuɗi ta gaggawa domin buƙatun iyaleykoma sayarwar baza ta dore ba ] </t>
  </si>
  <si>
    <t>Nerimey te gumo zama i ni nera nwari djanney se ,noro muradu se windo muradey se ba nerando mane dumi]</t>
  </si>
  <si>
    <t xml:space="preserve">Sonnii hewɗi saabe ɓawɗe ko mariree ngala [Ronkii ko ɲamnira ndaaba/muuyi buuɗi humtira haajooji ɓaade mum fay so coggu wooɗa] </t>
  </si>
  <si>
    <t>Nguwuu t3lad3 sau [kumbu yooro katt3ro/kung3na matin duwanno fatomaro]</t>
  </si>
  <si>
    <t>dec_escape_stolen</t>
  </si>
  <si>
    <t>Animal escaped or was lost or stolen</t>
  </si>
  <si>
    <t>Animaux échappés, perdus ou volés</t>
  </si>
  <si>
    <t>Dabbar ta gudu ko ɓata ko an sace</t>
  </si>
  <si>
    <t>Almeney zuru wala i derey wala i ni zaye</t>
  </si>
  <si>
    <t xml:space="preserve">Ndaaba ngan teeti/maa lallina maa wujja. </t>
  </si>
  <si>
    <t>Dabbaa chowosha au ndallada</t>
  </si>
  <si>
    <t>dec_consumed</t>
  </si>
  <si>
    <t>Killed or gave away more animals than usual for household consumption or celebrations [marriage, funerals, etc]</t>
  </si>
  <si>
    <t>Davantage d'animaux abattus ou donnés pour la consommation du ménage ou pour des cérémonies [mariage / funérailles / etc.]</t>
  </si>
  <si>
    <t>An kashe ko an bayar da dabbobi fiye da yadda aka saba domin ci a gida ko bukukuwa [aure/al'adun mutuwa/etc]</t>
  </si>
  <si>
    <t>Ini wii wala noyandi windo ra nwarose wala hidjey wala buyan se]</t>
  </si>
  <si>
    <t>Hiirsii maa hokki dammuuje faa ɓuri arande faa ɓaade neemo/maa weltaare/maa mettella</t>
  </si>
  <si>
    <t>Cheja au kamro cheu shidoni faidat3 fatomai s3din maduro [lorsa/k3rmu/gadesoa]</t>
  </si>
  <si>
    <t>inc_dec_other</t>
  </si>
  <si>
    <t>Wani  abu can daban</t>
  </si>
  <si>
    <t>inc_dec_dk</t>
  </si>
  <si>
    <t xml:space="preserve">rishin sanni </t>
  </si>
  <si>
    <t>inc_dec_ref</t>
  </si>
  <si>
    <t>lsfood</t>
  </si>
  <si>
    <t>open_pasture</t>
  </si>
  <si>
    <t>Open pasture</t>
  </si>
  <si>
    <t>Pâturages ouverts</t>
  </si>
  <si>
    <t>wuraren kiwo</t>
  </si>
  <si>
    <t xml:space="preserve">Almeney kuru yon do ferantey </t>
  </si>
  <si>
    <t>Duurngol</t>
  </si>
  <si>
    <t>Na kaata</t>
  </si>
  <si>
    <t>common_pasture</t>
  </si>
  <si>
    <t>Community-managed pasture land</t>
  </si>
  <si>
    <t>Pâturages gérés par la communauté</t>
  </si>
  <si>
    <t>Wurin kiwo al'umma take kulawa da shi</t>
  </si>
  <si>
    <t>almaney kuru yando kan koira borey ga hagoy da</t>
  </si>
  <si>
    <t xml:space="preserve">Duurngol hawjaangol </t>
  </si>
  <si>
    <t>Nguroi-kinjo filiye</t>
  </si>
  <si>
    <t>self_produced</t>
  </si>
  <si>
    <t>Owned or rented field or self-produced fodder</t>
  </si>
  <si>
    <t>Champ possédé ou loué, ou fourrage auto-produit</t>
  </si>
  <si>
    <t>Malakakke gona ko wurin da ake hayarsa ko abincin dabbobi da kuke guiara da kanku</t>
  </si>
  <si>
    <t>bumbo wane faro wala hi yan wala nwarey hinse yan bonse</t>
  </si>
  <si>
    <t>Dgesa njeyyaaka ma ɗaɓɓaa ka/huɗo ɲamnirko ko wa'uɗon.</t>
  </si>
  <si>
    <t xml:space="preserve">Kaanum au fili sarre </t>
  </si>
  <si>
    <t>purchased</t>
  </si>
  <si>
    <t>Purchase feed or fodder at the market</t>
  </si>
  <si>
    <t>Achat d'aliments/fourrage sur les marchés</t>
  </si>
  <si>
    <t>Sayen abincin dabbobin a kasuwanni</t>
  </si>
  <si>
    <t>Nwaro deymey habey ra</t>
  </si>
  <si>
    <t>Doodaa comay maa huɗɗo ɲamnirko daabaaji luumooji</t>
  </si>
  <si>
    <t>Kumbu kasuulan yooso</t>
  </si>
  <si>
    <t>free_dist</t>
  </si>
  <si>
    <t>Free distribution</t>
  </si>
  <si>
    <t xml:space="preserve">Distributions gratuites </t>
  </si>
  <si>
    <t>kyauta</t>
  </si>
  <si>
    <t>fey yan yamo</t>
  </si>
  <si>
    <t>Ɓolum men kokke tee</t>
  </si>
  <si>
    <t>Dero samt3yen</t>
  </si>
  <si>
    <t xml:space="preserve">Other </t>
  </si>
  <si>
    <t>Wani can  daban</t>
  </si>
  <si>
    <t>lsproddiff</t>
  </si>
  <si>
    <t>feed_purchase</t>
  </si>
  <si>
    <t>Difficulty to purchase feed [prices or access to market]</t>
  </si>
  <si>
    <t>Difficulté à acheter des aliments pour animaux [prix ou accès au marché]</t>
  </si>
  <si>
    <t xml:space="preserve">Wahalar sayen abincin [farashiko samun isa ga kasuwa] </t>
  </si>
  <si>
    <t>sandey almaney nwari deymo se [noro tchadayan da habo ra koyan]</t>
  </si>
  <si>
    <t>Saɗɗa  coggu ɲaamee daabaaji [coggu. maa  luumaade].</t>
  </si>
  <si>
    <t>Wahala k3la kumbu yooyen [taman au zawal kasuuyeh]</t>
  </si>
  <si>
    <t>access_pasture</t>
  </si>
  <si>
    <t>Access to pasture</t>
  </si>
  <si>
    <t>Accès aux pâturages</t>
  </si>
  <si>
    <t>Samun wurin kiwo</t>
  </si>
  <si>
    <t>Almeney kuruu yan do</t>
  </si>
  <si>
    <t>Heɓugol durdude</t>
  </si>
  <si>
    <t>Lai tallaye</t>
  </si>
  <si>
    <t>access_water</t>
  </si>
  <si>
    <t>Access to water</t>
  </si>
  <si>
    <t>Accès à l'eau</t>
  </si>
  <si>
    <t>Samun ruwa</t>
  </si>
  <si>
    <t>Haari du yan</t>
  </si>
  <si>
    <t>Heɓugol ndiyam</t>
  </si>
  <si>
    <t>Lai njiye</t>
  </si>
  <si>
    <t>vet_serv</t>
  </si>
  <si>
    <t>Access to veterinary services [vaccinations, treatments, spraying, advisory etc]</t>
  </si>
  <si>
    <t>Accès aux services vétérinaires [vaccins / traitements / pulvérisations / conseils / etc.]</t>
  </si>
  <si>
    <t xml:space="preserve">Samun dama ga kula da lafiyar dabbobin </t>
  </si>
  <si>
    <t>Almeney loctoro kwarey du yan pikirey</t>
  </si>
  <si>
    <t>Heɓugol golle wuturneere</t>
  </si>
  <si>
    <t>Lai litari dabbaaye</t>
  </si>
  <si>
    <t>vet_input</t>
  </si>
  <si>
    <t>Access to veterinary inputs [medicine for animals / tools for animal health / etc]</t>
  </si>
  <si>
    <t>Accès aux intrants vétérinaires [médicaments pour animaux / outils pour la santé animale / etc.]</t>
  </si>
  <si>
    <t>Samun damar kulawar maganin dabbobin [maganin dabbobin / kayan aiki na lafiyar dabbobi / dss]</t>
  </si>
  <si>
    <t xml:space="preserve">Almeney safarey/safarey djiney I wane gaham bano se]
</t>
  </si>
  <si>
    <t>Heɓugol caffaaje wutuneere [cafaaje daabaaji/ kaɓitiirɗe dow cellal daabaaji].</t>
  </si>
  <si>
    <t>Lai kare litari dabbaaye [kurun dabbaaye/kare chidai dabbaaye/gadeso]</t>
  </si>
  <si>
    <t>diseases</t>
  </si>
  <si>
    <t>Livestock diseases or injury</t>
  </si>
  <si>
    <t>Maladies ou blessures du bétail</t>
  </si>
  <si>
    <t xml:space="preserve">Cututtukan dabbobi kiwo da mutuwa </t>
  </si>
  <si>
    <t>Almene doori wala marey yan</t>
  </si>
  <si>
    <t>Ɲabbi maa mbaatu daabaji</t>
  </si>
  <si>
    <t>Kwasa au kurma dabbaa fatoye</t>
  </si>
  <si>
    <t>theft</t>
  </si>
  <si>
    <t>Livestock theft</t>
  </si>
  <si>
    <t>Vol de bétail</t>
  </si>
  <si>
    <t xml:space="preserve">Sace sacen dabbobin </t>
  </si>
  <si>
    <t>almaney zeytarey</t>
  </si>
  <si>
    <t>Nguyka daabaaji.</t>
  </si>
  <si>
    <t>Numbaruu dabbaa fatoye</t>
  </si>
  <si>
    <t>access_market</t>
  </si>
  <si>
    <t>Access to livestock market to buy young animals</t>
  </si>
  <si>
    <t>Accès aux marchés de bétail pour acheter de jeunes animaux</t>
  </si>
  <si>
    <t>Samun kasuwar dabbobi kusa don sayen kanana daba</t>
  </si>
  <si>
    <t>Mate kan iga te ga to almaney habey do ga almane heytagui yan dey</t>
  </si>
  <si>
    <t xml:space="preserve">Ɲabbi maa mbaatu daabaji </t>
  </si>
  <si>
    <t>Lai kasu dabbaa fatoye yooyeh sau dabbaa sinana yooro</t>
  </si>
  <si>
    <t xml:space="preserve">Samun  bashi </t>
  </si>
  <si>
    <t>garaw du yan</t>
  </si>
  <si>
    <t>Lai fandiye</t>
  </si>
  <si>
    <t>samun ma aikata</t>
  </si>
  <si>
    <t>Goiterey djanney</t>
  </si>
  <si>
    <t>Gollooɓe tiiɗiraaɓe maa bawɗe ɲakuɗe adiroo gollooɓe maa rafi gollooɓe.</t>
  </si>
  <si>
    <t>Kung3na chidauyeh zauro nguwuu au fandi chidama got3yeh au chidama bawo</t>
  </si>
  <si>
    <t>lsmain2</t>
  </si>
  <si>
    <t>Daaba [nagge rewee/ngge/ɓii nagge/yak/nagge ladde]</t>
  </si>
  <si>
    <t xml:space="preserve">Be’i. </t>
  </si>
  <si>
    <t>Baali</t>
  </si>
  <si>
    <t>Swine [godu/harga/tchah/gadesoa]</t>
  </si>
  <si>
    <t>Ɓoccooɗe</t>
  </si>
  <si>
    <t>Nguwul so</t>
  </si>
  <si>
    <t>No other livestock</t>
  </si>
  <si>
    <t>Pas d'autre bétail</t>
  </si>
  <si>
    <t>Babu sauran dabbobi</t>
  </si>
  <si>
    <t>Kan manti almane foyan</t>
  </si>
  <si>
    <t xml:space="preserve">Wanaa bisaaji gooɗom </t>
  </si>
  <si>
    <t>Dabbaso ba</t>
  </si>
  <si>
    <t>salesmain</t>
  </si>
  <si>
    <t xml:space="preserve">Arəzeg [tast/tast/aloki/yak/tast narog]. </t>
  </si>
  <si>
    <t>Uliten</t>
  </si>
  <si>
    <t>Tihaten</t>
  </si>
  <si>
    <t>Aɣurɣuru [aɣurɣuru/akurkuru/aɣurɣuru/sikuy]</t>
  </si>
  <si>
    <t>Equine [donkey / horse / etc.]</t>
  </si>
  <si>
    <t xml:space="preserve">Imudaran win ifləšiwan [ešed/ebaje/dikuy]. </t>
  </si>
  <si>
    <t xml:space="preserve">Imudaran atəkətnen ən ihanan (timarwalen ɣisontan ikurkurutan win Inde sikuy.). </t>
  </si>
  <si>
    <t>Poultry [chicken / guineafowl / duck / quail / turkey / etc.]</t>
  </si>
  <si>
    <t xml:space="preserve">Igədaɗ [ekaz/taylalt/ekak/tabadəkat/dindon/sikuy] </t>
  </si>
  <si>
    <t>Imnasan</t>
  </si>
  <si>
    <t>Eggs</t>
  </si>
  <si>
    <t>Œufs</t>
  </si>
  <si>
    <t>Ƙwaiƙwaye</t>
  </si>
  <si>
    <t>Gurri</t>
  </si>
  <si>
    <t>Tisadalen</t>
  </si>
  <si>
    <t>Milk or dairy products</t>
  </si>
  <si>
    <t>Lait ou produits laitiers</t>
  </si>
  <si>
    <t>madara ko abuwa da ake iya yi da ita madara</t>
  </si>
  <si>
    <t>wa(a)</t>
  </si>
  <si>
    <t xml:space="preserve">Kosam maa fii kosam. </t>
  </si>
  <si>
    <t>Cham au madara</t>
  </si>
  <si>
    <t xml:space="preserve">Asilay meɣ harat ən asilayan. </t>
  </si>
  <si>
    <t>Skin or leather or wool</t>
  </si>
  <si>
    <t>Peau, cuir ou laine</t>
  </si>
  <si>
    <t>Fata ko gashi ko gashin dabbobi mai laushi</t>
  </si>
  <si>
    <t>kuuro, kuuru</t>
  </si>
  <si>
    <t>Nguru nguru maa leeɓi</t>
  </si>
  <si>
    <t>Karai/ au bari alai au wulu</t>
  </si>
  <si>
    <t xml:space="preserve">Elam/ eɣayt meɣ amzadan </t>
  </si>
  <si>
    <t>lssalesdif</t>
  </si>
  <si>
    <t>Moto noru wala habu nerandizey tchada yan</t>
  </si>
  <si>
    <t>Taman lenum'areyeh au kasuugadeye chit3hsoye</t>
  </si>
  <si>
    <t>Asuhu nalhak nəsikil meɣ asuhu iyan ən šənšətan oftanan</t>
  </si>
  <si>
    <t xml:space="preserve">Damage and losses during transportation or difficulty accessing the market </t>
  </si>
  <si>
    <t>Dommages et pertes pendant le transport ou difficulté d'accès au marché</t>
  </si>
  <si>
    <t>Lalacewa da asara yayin sufuri ko wahalar shiga kasuwa</t>
  </si>
  <si>
    <t>Hasaraw da hasara almaney sambu yan wate wala habo ra toyan sandey</t>
  </si>
  <si>
    <t xml:space="preserve">Banna so asarso wokt3 lenum areso'diolan au wahala k3la kasuudiyen </t>
  </si>
  <si>
    <t>Aɣašad əd ibatan ɣur ugud wan adajak meɣ asuhu ən ugiš ən hebu</t>
  </si>
  <si>
    <t>Lack of demand from usual traders or buyers</t>
  </si>
  <si>
    <t>fatawcizey da borey kan donu ga guiney dey siga deymi te</t>
  </si>
  <si>
    <t xml:space="preserve">Nummat3 baaso na kasuwu soyen au yeomasoyen </t>
  </si>
  <si>
    <t>Iba nasostan ən əbret ən manšanšan meɣ ən wi šanšanen atiwazaynen</t>
  </si>
  <si>
    <t>deykey wala dilan ney si tar aga noro bana</t>
  </si>
  <si>
    <t xml:space="preserve">Duwan biyat3 baaso na kasuwu/yeumasoyen </t>
  </si>
  <si>
    <t xml:space="preserve">Tahagit ən təmzal ən əbret  ən madalan/wi šanšanen </t>
  </si>
  <si>
    <t>Faibles prix de vente [par exemple, par rapport aux prix des intrants / inflation]</t>
  </si>
  <si>
    <t>nerando noro kan zama guiney tchada nerandi sino]</t>
  </si>
  <si>
    <t xml:space="preserve">Numgana ladomayesoye [e.g. sha'awo t3ladindaa killimiya/famnoyen] </t>
  </si>
  <si>
    <t>Afanaz ən alhak wan asuk [ dăɣ sund/  bret ən alhakan ən lalan/ ən təwat].</t>
  </si>
  <si>
    <t>slaughterhouse</t>
  </si>
  <si>
    <t>Closure of slaughterhouses or difficulties accessing slaughterhouses</t>
  </si>
  <si>
    <t>Fermeture des abattoirs ou difficultés d'accès aux abattoirs</t>
  </si>
  <si>
    <t>Rufe wuraren yanka ko matsalar shiga mahauta</t>
  </si>
  <si>
    <t>almaney winyando dau wala I si du ga to nodine</t>
  </si>
  <si>
    <t>Saaboke ommbeede nokkuje ngollitirɗe maa saɗɗa heɓa nokkuje ngollitirɗe</t>
  </si>
  <si>
    <t xml:space="preserve">Numzakt3  fatoduwaye au wahala na fatoduwaye </t>
  </si>
  <si>
    <t>Eher ən kal sanətan meɣ asuhu ən Agaraw ən edag ən sanəta.</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</si>
  <si>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</si>
  <si>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</si>
  <si>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Ji si du ga nerandizey bare ga hinse manti ba almaney wi yan wo do dabu yan  hada goy djiney djanney</t>
  </si>
  <si>
    <t xml:space="preserve">Wahala k3la kare fandoyen k3la fatoduwaye [wahala k3la zawal ikkoye/karyaasoye/etc] </t>
  </si>
  <si>
    <t>Asuhu ən asimutəy ən haratan iyad wənan amos eher ən kal sanətan [iba nagaraw ən lalan/ haratan wən asimutəy /iyad].</t>
  </si>
  <si>
    <t>Luumo ko yoola jineji</t>
  </si>
  <si>
    <t>Kasuwu kareye chikaz3na</t>
  </si>
  <si>
    <t>Hebu etqaran ilalan</t>
  </si>
  <si>
    <t>fishactivity</t>
  </si>
  <si>
    <t>coastal</t>
  </si>
  <si>
    <t>Near coastal, delta, lagoon fishing</t>
  </si>
  <si>
    <t>Pêche côtière, dans les deltas ou les lagunes</t>
  </si>
  <si>
    <t xml:space="preserve">Kamun kifin gaɓar teku </t>
  </si>
  <si>
    <t>Teyku mey hamisa di yan</t>
  </si>
  <si>
    <t>Awaade e maaya.</t>
  </si>
  <si>
    <t>B3nyi taa</t>
  </si>
  <si>
    <t xml:space="preserve">Afataw nigəm. </t>
  </si>
  <si>
    <t>offshore_sea</t>
  </si>
  <si>
    <t>Offshore sea fishing</t>
  </si>
  <si>
    <t>Pêche en haute mer</t>
  </si>
  <si>
    <t>Kamun kifin buɗaɗɗen teku</t>
  </si>
  <si>
    <t>Teyku gun de hamisa di yan</t>
  </si>
  <si>
    <t>Awaade maayooji mawɗi.</t>
  </si>
  <si>
    <t>B3nyi taa nji kuralan</t>
  </si>
  <si>
    <t>Afataw dǎɣ ebang.</t>
  </si>
  <si>
    <t>freshwater</t>
  </si>
  <si>
    <t>Freshwater fishing [in lakes, reservoirs, ponds, rivers, or wetlands]</t>
  </si>
  <si>
    <t>Pêche en eau douce [lacs, réservoirs, étangs, rivières ou zones humides]</t>
  </si>
  <si>
    <t>Kamun kifi na ruwa mai daɗi [kamar tafkuna/ gulbi/ rafuka]</t>
  </si>
  <si>
    <t>Hamissa diyan hari kanantey ra [Dan ga issa/nonkan i ga hari gay/gooro]</t>
  </si>
  <si>
    <t>Awagol ley ndiyam belɗi [baali/ pooli/ callugul]</t>
  </si>
  <si>
    <t>Benyi nyi shawalan taaso [kamar kumoduu/baram/jololo]</t>
  </si>
  <si>
    <t>Afataw dǎɣ aman adikatnen [sund/ ijareran/tigəndawen/isušal].</t>
  </si>
  <si>
    <t>aquaculture</t>
  </si>
  <si>
    <t>Aquaculture</t>
  </si>
  <si>
    <t>Kiwon halittun ruwa</t>
  </si>
  <si>
    <t>Hamissa kuruu yan</t>
  </si>
  <si>
    <t xml:space="preserve">Coggu ɓiɓɓe ndiyam. </t>
  </si>
  <si>
    <t>B3nyifatoye</t>
  </si>
  <si>
    <t>Agamarat. Indek alməɣna ən iji/aramas ən imanan ɣor 3 elan okaynen</t>
  </si>
  <si>
    <t>fishproddiff</t>
  </si>
  <si>
    <t>find_fish</t>
  </si>
  <si>
    <t>Fish is more difficult to find than in previous years in the same season [fishing]</t>
  </si>
  <si>
    <t>Le poisson est plus difficile à trouver que les années précédentes à la même saison [pêche]</t>
  </si>
  <si>
    <t>Kifi ya fi wahalar samu fiye da shekarun baya a lokaci guda [kamun kifi]</t>
  </si>
  <si>
    <t>hamissa diyan ga gabu ga ba mannan lokacio wo kina</t>
  </si>
  <si>
    <t>Liƴƴi ɓuri tiiɗude heɓude ley duuɓi welliiɗi oo wakkati [Golaal liƴƴi]</t>
  </si>
  <si>
    <t>B3nyi fandod3 zauro wahalaa k3la saa ngawoye koz3na allan loktu fall in [B3nyi taa]</t>
  </si>
  <si>
    <t>Eman eqal ogaran asuhu ye agaraw ənes dǎɣ elan wi hən okaynen dǎɣ awatay əydǎɣ [ukis ən manan]</t>
  </si>
  <si>
    <t>pests</t>
  </si>
  <si>
    <t>Fish pests and diseases [aquaculture]</t>
  </si>
  <si>
    <t>Parasites et maladies des poissons [aquaculture]</t>
  </si>
  <si>
    <t>Kwarin kifi da cututtuka kifaye</t>
  </si>
  <si>
    <t>hamissey doro da gangamizey kan gui guandji I ma za da</t>
  </si>
  <si>
    <t>Ɲabbi maa mbaatu liƴƴi [coggu ɓiɓɓe ndiyame]</t>
  </si>
  <si>
    <t>Kurun b3nyi yeh kuru kwasa [nad3mtu3]</t>
  </si>
  <si>
    <t>Parasitan əd turhinawen ən manan [asidwal ən manan].</t>
  </si>
  <si>
    <t>access_area</t>
  </si>
  <si>
    <t>Access to fishing or aquaculture area [e.g. due to weather conditions]</t>
  </si>
  <si>
    <t>Accès aux zones de pêche ou d'aquaculture [par exemple, en raison des conditions météorologiques ou sécuritaires].</t>
  </si>
  <si>
    <t>Samun wurin kamun kifi ko yankin kiwo [misali. saboda yanayi ko tsaro]</t>
  </si>
  <si>
    <t>bor si du ga to nonkan ga hamissey di bena alamey se wala lakal kaney djaney se</t>
  </si>
  <si>
    <t>Ndagu ni duubi bittidi lijji na balli hebeede dow  hikka [nangugol lijji]</t>
  </si>
  <si>
    <t>Zawal b3nyi taayeh au na nad3mtu3 [e.g. k3la ning3riye au nzarauye]</t>
  </si>
  <si>
    <t xml:space="preserve">Ugish ən edag wan ukis ən manan meɣ asidwal ən manan [dǎɣ sund/ fal salan ən alwaqan meɣ iba ən alɣafiyat]. </t>
  </si>
  <si>
    <t>fuel</t>
  </si>
  <si>
    <t>Access to fuel [prices higher or not available]</t>
  </si>
  <si>
    <t>Accès au carburant [trop cher ou non disponible]</t>
  </si>
  <si>
    <t>Samun mai (farashi mafi girma ko babu)</t>
  </si>
  <si>
    <t>essensso tchada wala a sino bumbo]</t>
  </si>
  <si>
    <t>Hebugol esansi [hebatake na coggum tiidi sanne].</t>
  </si>
  <si>
    <t>Zawal k3ndau motoye [kung3nanza chiz3na au bawu]</t>
  </si>
  <si>
    <t>Agaraw ən əarburan [alhak asohen meɣ winan tila].</t>
  </si>
  <si>
    <t>input_access</t>
  </si>
  <si>
    <t>Access to other fishing or culture inputs [prices higher or not available]</t>
  </si>
  <si>
    <t>Accès à d'autres intrants de pêche ou de culture [trop chers ou non disponibles]</t>
  </si>
  <si>
    <t>Samun  kayan kamun kifi [farashi mafi girma ko babu]</t>
  </si>
  <si>
    <t>hamissan di yan djiney kindey tchada wala a si no bumbo no  ]</t>
  </si>
  <si>
    <t>Hebugol gollitirde goddi  ko ittirte lijji na ko marirte lijji [hebatake na coggum tiidi sanne].</t>
  </si>
  <si>
    <t>Zawal doni gade b3nyi taaye [kung3nanza chiz3na au bawu]</t>
  </si>
  <si>
    <t>Agaraw niyyad haratan ən ukis ən manan meɣ ən sigyak [ alhak asohen meɣ winan tila].</t>
  </si>
  <si>
    <t>labour</t>
  </si>
  <si>
    <t>Access to labour or crew labour [prices higher or not available]</t>
  </si>
  <si>
    <t>Accès à la main-d'œuvre ou aux équipages [trop chers ou non disponibles]</t>
  </si>
  <si>
    <t>Samun damar aiki ko ma'aikatan jirgin (farashi mafi girma ko babu)</t>
  </si>
  <si>
    <t>goyterey tchada wala I si duwey sam</t>
  </si>
  <si>
    <t xml:space="preserve"> Hebugol gollobe jungo na gollidibe [hebatake na coggum na tiidi sanne].</t>
  </si>
  <si>
    <t>Zawal chidauye ah jimla chidauye [kung3nanza chiz3na au bawu]</t>
  </si>
  <si>
    <t>Agaraw ən milalan meɣ ən lalan [alhak asohen meɣ winan tila].</t>
  </si>
  <si>
    <t>infrastructure</t>
  </si>
  <si>
    <t>Damage or destruction of infrastructure [ponds, cages, ports, landing sites]</t>
  </si>
  <si>
    <t>Dommages ou destruction des infrastructures [étangs, cages, ports, sites de débarquement]</t>
  </si>
  <si>
    <t>Lalacewa ko lalata abubuwan more rayuwa [ tafkuna / cages / tashar jiragen ruwa / wuraren saukarwa]</t>
  </si>
  <si>
    <t>nonguey sara I si te</t>
  </si>
  <si>
    <t>Bone na bonandaji nokkuje [nokku n’diyam/ gorwol/ hunduko maayo/nokku to jippint])</t>
  </si>
  <si>
    <t>Banna au garso bannat3ye [nah/keji/chi njiye/fili zabturamme]</t>
  </si>
  <si>
    <t>Aɣashad meɣ teraze ən təmuqunen [etangtan/ tiɣishmen/ portant/ edag wan asimisidiw]</t>
  </si>
  <si>
    <t>damage_equip</t>
  </si>
  <si>
    <t>Damage or destruction of boats or gears</t>
  </si>
  <si>
    <t>Dommages ou destruction des bateaux ou du matériel de pêche</t>
  </si>
  <si>
    <t>Lalacewa ko lalata jiragen ruwa ko kayan aikin kamun kifi</t>
  </si>
  <si>
    <t>hi yeykan yang a koy hamissey di sara wala I si te koyne sam</t>
  </si>
  <si>
    <t>Bone na bonandaji lana [n’diyam na masinaji]</t>
  </si>
  <si>
    <t>Banna au kolekole Kura sowa bannatu soi</t>
  </si>
  <si>
    <t>Aɣashad meɣ teraze ən batotan meɣ haratan wi nukis ən manan</t>
  </si>
  <si>
    <t>Autre [spécifiez]</t>
  </si>
  <si>
    <t>Was una daban</t>
  </si>
  <si>
    <t>Afo dumi</t>
  </si>
  <si>
    <t>Awoula</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</si>
  <si>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</si>
  <si>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</si>
  <si>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</si>
  <si>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</si>
  <si>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</si>
  <si>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</si>
  <si>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</si>
  <si>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</si>
  <si>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</si>
  <si>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</si>
  <si>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</si>
  <si>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</si>
  <si>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</si>
  <si>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</si>
  <si>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</si>
  <si>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</si>
  <si>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</si>
  <si>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</si>
  <si>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</si>
  <si>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</si>
  <si>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</si>
  <si>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</si>
  <si>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</si>
  <si>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Fresh kayayyakin [kowane iri, ciki har da invertebrates]</t>
  </si>
  <si>
    <t>Guiney  tayo</t>
  </si>
  <si>
    <t>Keccum [iri ɗuɗme fuu, faa ɗi ngalaa becce]</t>
  </si>
  <si>
    <t>Kere kumbuye Kori kafiso</t>
  </si>
  <si>
    <t>artan win samodnen</t>
  </si>
  <si>
    <t>Preserved product [including dry, smoked, fermented, salted]</t>
  </si>
  <si>
    <t>Produit conservé [y compris poisson séché, fumé, fermenté, salé]</t>
  </si>
  <si>
    <t>Kayayyakin da aka adana [ciki har da busasshen, kyafaffen, ganyaye, kifi mai gishiri]</t>
  </si>
  <si>
    <t>Dahamissey yan , da anassara gorgno</t>
  </si>
  <si>
    <t>Nyaamndu resaandu [faa e liƴƴi jornaaɗi, juɗaaɗi, gulinaaɗi, jorninaaɗi lamɗam]</t>
  </si>
  <si>
    <t>Kere kumbuyé ngamdu( nachaa buni ngamdu ;banda; kaweyada mandaa</t>
  </si>
  <si>
    <t>artan win tawagaznen</t>
  </si>
  <si>
    <t>Frozen product</t>
  </si>
  <si>
    <t>Produit congelé</t>
  </si>
  <si>
    <t>Daskararre samfur</t>
  </si>
  <si>
    <t>giney kan aranga dan frigo ra</t>
  </si>
  <si>
    <t>Barke deseteeɗo nder firiigo</t>
  </si>
  <si>
    <t>Kere kumbuyé curo glacé</t>
  </si>
  <si>
    <t>artan winiganen adagraz</t>
  </si>
  <si>
    <t>Canned product</t>
  </si>
  <si>
    <t>Produit en conserve</t>
  </si>
  <si>
    <t>Kayan gwangwani</t>
  </si>
  <si>
    <t>guiney tayo</t>
  </si>
  <si>
    <t xml:space="preserve">Barke deseteeɗo </t>
  </si>
  <si>
    <t>Keréa sarrafaduna ( gongom layida aw kwali)</t>
  </si>
  <si>
    <t>artan win tataye win akbal nen etis</t>
  </si>
  <si>
    <t>Wani daban [bayyana]</t>
  </si>
  <si>
    <t>fishsalesdif</t>
  </si>
  <si>
    <t>tshada sufuri ko wasu farashin tallace-tallace masu tshada</t>
  </si>
  <si>
    <t>Moto nooru wala habu djiney tchada yan wo</t>
  </si>
  <si>
    <t>Coggu kumpitan ko waɗi/ maa coggu jaagu ɓeydii</t>
  </si>
  <si>
    <t>Deterioration and losses due to storage difficulties or delays or inability to physically access markets</t>
  </si>
  <si>
    <t>Dommages et pertes dues à des difficultés ou des retards de stockage ou à l'impossibilité d'accéder physiquement aux marchés</t>
  </si>
  <si>
    <t xml:space="preserve">Lalacewa da asara saboda matsalolin ajiya ko jinkiri ko rashin samun kasuwa </t>
  </si>
  <si>
    <t xml:space="preserve">Hassraw da hassara kan aran du hamissey  guissi yan fonda ra wala djan ga to hamissa nera yon habey do </t>
  </si>
  <si>
    <t xml:space="preserve">Bonandaji e basal ko saddaji ndesam /na saddaji hebugol lawol e luumo </t>
  </si>
  <si>
    <t>Bannaa asarra k3la na g3nat3 Bayern kudu/ aw zawal kasuye baayen [e.g. namt3 ng3lefaye ba a/ gar zamane baasoye etc.]</t>
  </si>
  <si>
    <t>Lack of demand from usual buyers/traders</t>
  </si>
  <si>
    <t>Baisse de la demande des commerçants/clients habituels</t>
  </si>
  <si>
    <t>Rashin buƙata daga masu saye/yan kasuwa na yau da kullun</t>
  </si>
  <si>
    <t xml:space="preserve">Borey kan ga donou ga hamissa dey zabou deymo ga </t>
  </si>
  <si>
    <t xml:space="preserve">Payment delays from traders/buyers </t>
  </si>
  <si>
    <t>Deykey si wassi ga bana</t>
  </si>
  <si>
    <t>low_prices</t>
  </si>
  <si>
    <t>karewa farashin siyarwa [misali. idan aka kwatanta da farashin shigarwa / hauhawar farashin kaya]</t>
  </si>
  <si>
    <t>Djiney noro kanyan [danga djiney deymo noro tontone yan wo]</t>
  </si>
  <si>
    <t xml:space="preserve">Ceede jaagu caamii [hono dow ceede nguuree / ɓeydii]. </t>
  </si>
  <si>
    <t>Difficulties processing product [lack of access to processing inputs / equipment / etc]</t>
  </si>
  <si>
    <t>Difficultés de transformation du produit [manque d'accès aux intrants de transformation / équipements / etc.]</t>
  </si>
  <si>
    <t>Wahalolin sarrafa samfur [rashin   kayan aiki / da sauransu]</t>
  </si>
  <si>
    <t>Djiney Barmey yan wo massaley [bor si taar ga du djiney farmi djiney / goy djiney / da djarey]</t>
  </si>
  <si>
    <t>Tiiɗomaaji dow waylitingol kulle [rafi kulle baylitirɗe / gineeji baylitirɗi / goɗɗum gatin.]</t>
  </si>
  <si>
    <t>Market flooded with product</t>
  </si>
  <si>
    <t>kasuwa ta cika</t>
  </si>
  <si>
    <t>Haabu kan nerandi folonka ba a ra</t>
  </si>
  <si>
    <t>Afo yan</t>
  </si>
  <si>
    <t>Ay si bay</t>
  </si>
  <si>
    <t>Wandji ga tu yan</t>
  </si>
  <si>
    <t>frequency</t>
  </si>
  <si>
    <t>Rarely (1-2 times in the past 30 days)</t>
  </si>
  <si>
    <t>Rarement [1 ou 2 fois au cours des 30 derniers jours]</t>
  </si>
  <si>
    <t>Ba da yawa ba [sau daya ko biyu a cikin kwana 30 da suka shige]</t>
  </si>
  <si>
    <t>Tché fo wala tché hinka  hando ra]</t>
  </si>
  <si>
    <t>Na tiiɗi [kilal 1 yaade 2 ley ñalaaɗe 30 cakitiiɗe ɗee]</t>
  </si>
  <si>
    <t>Kamar [1-2 loktuye deero kau 30 koz3naladin]</t>
  </si>
  <si>
    <t>Iban aɣalak [1 as 2 dagan ɣor 30 ən išilan okaynen].</t>
  </si>
  <si>
    <t>Sometimes (3-10 times in the past 30 days)</t>
  </si>
  <si>
    <t>Parfois [entre 3 et 10 fois au cours des 30 derniers jours]</t>
  </si>
  <si>
    <t>Wasu lokutan [sau uku ko goma a cikin kwana 30 da suka shige]</t>
  </si>
  <si>
    <t>Tché hinza wala tché way hando ra</t>
  </si>
  <si>
    <t>Wakkati-wakkati [kile 3 yaade 10 ley ñalaaɗe 30 cakitiiɗe ɗee]</t>
  </si>
  <si>
    <t>Woktulaan [3-10 loktuye deero kau 30 kozinaladin]</t>
  </si>
  <si>
    <t>Agud iyan [3 as 10 dagan ɣor 30 ən išilan okaynen].</t>
  </si>
  <si>
    <t>Often (more than 10 times in the last 30 days)</t>
  </si>
  <si>
    <t>Souvent [plus de 10 fois au cours des 30 derniers jours]</t>
  </si>
  <si>
    <t>Wasu lokuta [sama da sau goma a cikin kwana 30 da suka shige]</t>
  </si>
  <si>
    <t>kan ga bissa tché way hando ra</t>
  </si>
  <si>
    <t>Wakkati fuh [ko ɓuri kile 10 ley ñalaaɗe 30 cakitiiɗe ɗee]</t>
  </si>
  <si>
    <t>Walaan [sau 10 deero kojin kau 30 kozinaladin]</t>
  </si>
  <si>
    <t xml:space="preserve">Agud [okayan 10 dagan ɣor 30 ən išilan okaynen]. </t>
  </si>
  <si>
    <t xml:space="preserve">DON'T KNOW </t>
  </si>
  <si>
    <t>coping</t>
  </si>
  <si>
    <t>Eh</t>
  </si>
  <si>
    <t>Oho</t>
  </si>
  <si>
    <t>AYYO</t>
  </si>
  <si>
    <t>ADAI</t>
  </si>
  <si>
    <t>IYO</t>
  </si>
  <si>
    <t>No - because it wasn’t necessary</t>
  </si>
  <si>
    <t>Non - parce que ce n'était pas nécessaire</t>
  </si>
  <si>
    <t>Ah'ah - saboda bay kay yin hakan ba</t>
  </si>
  <si>
    <t>Ah Ah - zama se a mane towadine ga</t>
  </si>
  <si>
    <t xml:space="preserve">Aa’a – sabu tilsaay. </t>
  </si>
  <si>
    <t>AH'AHH- sau dolero walziyi duro</t>
  </si>
  <si>
    <t xml:space="preserve">Few – falas war eqel tahašilt </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</si>
  <si>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</si>
  <si>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</si>
  <si>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 xml:space="preserve">Ah'ah - saboda ka/kin riga kin/a sayar da waɗannan kadarorin ko kuma ka gabatar da wannan al'amarin tun watn 12 da suka gabata kuma ba zaka cigaba da aiwatar da shi ba </t>
  </si>
  <si>
    <t>Ah Ah - zama se aran bey ga aran djiney yan nera wala aran na goyo té handout wey tchindi hinkey kan bissa aran si hinni ga sobey ga goyo té</t>
  </si>
  <si>
    <t xml:space="preserve">Aa’a – sabu on coonnii ɗii ɗoo geniiji maa on ngaɗii hono ɗum ɗon ley lebbi 12 cakitiiɗi deh tawi on mbaawaa heddaade na waɗa non. </t>
  </si>
  <si>
    <t>AH'AH- sau ba buronum karyaa shimadaa laduma au awo adaa kintauwa 12 kozina allan dimma kuru mowonzu gonum konumba</t>
  </si>
  <si>
    <t>Few-falas tašinšamin aru haratan meɣ təgam ašəɣəl wen ɣor 12 ən oran izar war tadobem atitaləsam iji.</t>
  </si>
  <si>
    <t>Not applicable</t>
  </si>
  <si>
    <t>Non applicable</t>
  </si>
  <si>
    <t xml:space="preserve">Babu buƙata </t>
  </si>
  <si>
    <t>A mane himan da</t>
  </si>
  <si>
    <t>Aa’a ɗum  waawaa waɗude.</t>
  </si>
  <si>
    <t>Kwatamaro Ba</t>
  </si>
  <si>
    <t xml:space="preserve">War itətwəji. </t>
  </si>
  <si>
    <t>cereals</t>
  </si>
  <si>
    <t>Cereals [sorghum / millet / corn / wheat / rice / spaghetti / bread or insert any other locally available grain]</t>
  </si>
  <si>
    <t>Céréales [sorgho / millet / maïs / blé / riz / spaghettis / pain ou toute autre céréale disponible localement]</t>
  </si>
  <si>
    <t>Hatsi [dawa / gero / masara / alkama / shinkafa / taliya / biredi ko kuma duk wani nau'in abincin da ake sanya ƙawaya a cikinsa]</t>
  </si>
  <si>
    <t>Heyney [haamu/haini/kolkoti/alkaama /moo/maca/ buuru/da hamni koul kan I ga dou aran koira ra]</t>
  </si>
  <si>
    <t xml:space="preserve">Gafe [mbayeeri/ muutiri/mbammbaari / Alkama / maaro / makorooni / duppe maa gawri keɓeteendi e nder nden nokkuure fuh]. </t>
  </si>
  <si>
    <t>Kare flawaye [arkum/laama/masar/ngawuri/shingawa/taliya/burodi au ikke arum nyeyata t3lem gadee]</t>
  </si>
  <si>
    <t xml:space="preserve">Inalawan[ abora/enale/kamanari/blé/tafeɣat/sɗagheƭi/buru meɣ enale kul tilan dǎɣ akal]. </t>
  </si>
  <si>
    <t>rootstubers</t>
  </si>
  <si>
    <t>Roots and tubers [white sweet potato / potato / yam / cassava or other tubers]</t>
  </si>
  <si>
    <t>Racines et tubercules [patate douce blanche / pomme de terre / igname / manioc ou autres tubercules]</t>
  </si>
  <si>
    <t>en ɓawo [ dankali / danakalin Turawa / doya / rogo ko wani mai ɓawon]</t>
  </si>
  <si>
    <t>Doundey [kuu da kuu / kombitère/ dundu / roogo wala doundey koul douma kan go aran koira ra]</t>
  </si>
  <si>
    <t>Ɗaɗi ñaameteeɗi [mbelkoy / pom de teere / Dundu / Roogo maa Ɗaɗi ñaameteeɗi goɗɗi].</t>
  </si>
  <si>
    <t>Zarra awo sideya[dankali nasara/dankali/doya/garisa au awosidiye]</t>
  </si>
  <si>
    <t>Azaran ad tuberəulten [talatay malat tazedat/kombiter/kudako/manioə meɣ tuberəulten tiyad].</t>
  </si>
  <si>
    <t>vegetables</t>
  </si>
  <si>
    <t>Vegetables [all]</t>
  </si>
  <si>
    <t>Légumes [tous]</t>
  </si>
  <si>
    <t>Kayan lambu [duka]</t>
  </si>
  <si>
    <t>Farizey [akulu]</t>
  </si>
  <si>
    <t>Lu’ooji sardiŋe [fuh].</t>
  </si>
  <si>
    <t>Karekri lamboye [samma]</t>
  </si>
  <si>
    <t xml:space="preserve">Legumtan [ Kul]. </t>
  </si>
  <si>
    <t>fruits</t>
  </si>
  <si>
    <t>Fruit [all]</t>
  </si>
  <si>
    <t>Fruits [tous]</t>
  </si>
  <si>
    <t>Kayan marmari [duka]</t>
  </si>
  <si>
    <t>Lambou tourizey [akulu]</t>
  </si>
  <si>
    <t xml:space="preserve">Ɓiɓɓe leɗɗe [fuh]. </t>
  </si>
  <si>
    <t>Kumbu k3skayee [samma]</t>
  </si>
  <si>
    <t>Fruitan [ kul].</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</si>
  <si>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</si>
  <si>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</si>
  <si>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</si>
  <si>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Nama / kaji l [nama sa / naman alade / rago / akuya / zomo / naman daji / kaji / agwagwa / hanta / ƙwada / zuciya / ko wani daga cikin sassan nama]</t>
  </si>
  <si>
    <t xml:space="preserve">Hame/gorqwno da teley [haw ham/birgni ham/feji ham/hintchini ham/tobeye ham/ganji almeni/goron/kuuti/kufo/duma/biney/wala he jerey kan telli ham]
</t>
  </si>
  <si>
    <t xml:space="preserve">Teew / ndiwri e teew hoosaare [nagge / ngireewu / jawgel / mbeewa / wojere / daaba ladde / cofal / tonkonoowal / heyre / ɓooƴe / ɓeernde / maa tergal laatiingal fuh]. </t>
  </si>
  <si>
    <t>Nama/dabba kuloi[agwagwa/pork/lamb/kanyi/tarmuna/wild game/kuyi/agwagwa njiye/liver/kidney/karuu/ au nama suroi gade]</t>
  </si>
  <si>
    <t xml:space="preserve">Isan/igdaɗ ad timataten[tast/aɣurɣuru/akərwat/taɣat/temarwalt/amudar/ekaz/ekak/awisa/tagəzelt/ulh meɣ haratan iyad kul]. </t>
  </si>
  <si>
    <t>eggs</t>
  </si>
  <si>
    <t>Nguwul</t>
  </si>
  <si>
    <t>fish</t>
  </si>
  <si>
    <t>Fish or shellfish [fresh or dried fish / other seafood]</t>
  </si>
  <si>
    <t>Poissons ou crustacés [poissons frais ou séchés / crustacés]</t>
  </si>
  <si>
    <t>Kifi ko kin-kifi [sabo ko busasshen kifi / kifi]</t>
  </si>
  <si>
    <t>Hamissey [Hamissey wala hamissa kôgo]</t>
  </si>
  <si>
    <t>Liƴƴi maa kulle ndiyam [liƴƴi maa kulle ndiyam keccoy maa njoorkoy].</t>
  </si>
  <si>
    <t>B3nyi au b3nyikura [b3nyi birin au b3nyi harrata/b3nyikura]</t>
  </si>
  <si>
    <t>Imanan meɣ ərustastan [imanan meɣ ərustastan samednen meɣ aqornen].</t>
  </si>
  <si>
    <t>legumes</t>
  </si>
  <si>
    <t>Legumes, nuts and seeds [beans / peas / peanut / lentils / almond / and/or other nuts]</t>
  </si>
  <si>
    <t>Légumineuses, fruits à coque et graines [haricots / pois / arachides / lentilles / amandes et/ou autres fruits à coque]</t>
  </si>
  <si>
    <t>ƙwayoyin da masu kwanso [wake / wake / gyaɗa  / wani mai kwanson]</t>
  </si>
  <si>
    <t>Damsey [dunguri/anassara dunguri/damsi/ da damsize djarey]</t>
  </si>
  <si>
    <t>Fuɗngooji kokkooji lu’ooji e ɓiɓɓe leɗɗe joorɗe [ñebbe / giriije joorɗe / giriije / ñebbe tuubaaku / geeƴi / ɓiɓɓe leɗɗe joorɗe goɗɗe].</t>
  </si>
  <si>
    <t>Lai ngaloi so [ngalo/peas/k3nza kashitte/lentils/almon/ngalo kadesoa]</t>
  </si>
  <si>
    <t xml:space="preserve">Legumatan ad fruitan win tafrənket [tanzanen/anšanan/əaəahuèten/tadəlaq/karitetan/fruitan iyad ən tafərkit]. </t>
  </si>
  <si>
    <t>milkdairy</t>
  </si>
  <si>
    <t>Milk and other dairy products [fresh milk / sour / yogurt / cheese / other dairy products]</t>
  </si>
  <si>
    <t>Lait et autres produits laitiers [lait frais / lait caillé / yaourt / fromage / autres produits laitiers]</t>
  </si>
  <si>
    <t>Nono da wasu na'ukan madarar [madara / kwananen nono /kindirmu/ cuku/man shanu / wani nau'in na madara]</t>
  </si>
  <si>
    <t>Waa da hankan ga ti waa nqnwaari [waa gani / waa mooro/ tchuku / da waa nqwaari djarey]</t>
  </si>
  <si>
    <t>Kosam e ko ƴuwi e muuɗum [ɓiraaɗam / lammuɗam / yawuuru / nebam na’i / e goɗɗum ƴuwi e kosam].</t>
  </si>
  <si>
    <t>Madara sowa awo gadea[madara b3rin/cham/k3ndirmu/chamcham/gade gafsunaa]</t>
  </si>
  <si>
    <t>Asilay ad haratan iyad ən asilay [asilay samedan/asilay akiren/yaourt/fromage/ad haratan iyad ən asilay].</t>
  </si>
  <si>
    <t>oils</t>
  </si>
  <si>
    <t>Oil/fat / butter [cooking / butter / margarine / fat/oil / other oil]</t>
  </si>
  <si>
    <t>Huiles et graisses [cuisson / beurre / margarine / graisse / huile / autres huiles]</t>
  </si>
  <si>
    <t>Mai da kitse [girki / man shanu / man margarine / kitse / mai / wani kalar man]</t>
  </si>
  <si>
    <t>ji da mani [NA]</t>
  </si>
  <si>
    <t>Nebam e ɓelle [neema / nebam tekkuɗam / ɓellere / ɓellere / nebam / nebeele goɗɗe]</t>
  </si>
  <si>
    <t>K3ndauwa kaisuwa [detaye/kindau diyata/kindau kayaata/kindau/kindauwa gadesoa]</t>
  </si>
  <si>
    <t>Udiyawan ad tidhonen (Asiwis/beure/margarine/tadhont/udi/udiuawan iyad)</t>
  </si>
  <si>
    <t>sugar</t>
  </si>
  <si>
    <t>Sugar or sugary products [honey / jam / donuts / candy / biscuits / pastries / cakes and other sweet products]</t>
  </si>
  <si>
    <t>Sucre ou produits sucrés [miel / confiture / beignets / bonbons / chocolat / biscuits / pâtisseries / gâteaux et autres produits sucrés]</t>
  </si>
  <si>
    <t>Sikari da kayayyakin zaƙi [zuma / fanke /alewar kandi / alawar cakuleti / biskit / biskit / kek da sauran kayyaykin zaƙi]</t>
  </si>
  <si>
    <t>sukar wala sukar nwaarey [yuu / aléwa / NA/ da sukar nqwaari djarey]</t>
  </si>
  <si>
    <t>Sukkara e neemaaji gooduɗi sukkara [njuumndi / konfitiiri / samsa / bonbonrooje / sokola / biskuwi / gattooje / gattoo e neemaaji goɗɗi sukkaraaji].</t>
  </si>
  <si>
    <t>Shuwur au shuwur tandoyeh [njiye/k3llata/flawaye/alawaye/chakulet /biskil/pastries/cakes awo gadea]</t>
  </si>
  <si>
    <t>Asokar meɣ haratan iha asokar [torawt/konfiture/beiyetan/bonbontan/socolat/biskuitan/patiseritan/gâto ad haratən iyan iha asokar ].</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</si>
  <si>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</si>
  <si>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</si>
  <si>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</si>
  <si>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Kayan yaji [koko / gishiri / tafarnuwa / kayan yaji / yisti / yin biredin foda / tumatir ko miyar tumatir / nama ko kifi a matsayin kayan yaji] da kofi / shayi</t>
  </si>
  <si>
    <t>Foy Djiney [NA / tchiri / tafarnua/ yaazi / tomati / wala tomati haari / NA] da kafe / shayi</t>
  </si>
  <si>
    <t>Lu’ooji [kakawo / lamɗam / layi / coni gatteteeɗe e nder lu’o / dorobi / dorbi simikki / tamaati maa lu’o tamaati / teewu maa liƴƴi gattaaɗi nder lu’o ] e kafe / atte</t>
  </si>
  <si>
    <t>Kareamandaye[cocoa/manda/k3ngalmu/karekaluye/yeast/gariflawaye /tumatur au tumatur nyeyata/ nama au b3nyi] and franto / shayi</t>
  </si>
  <si>
    <t>Kondimatan [ Kakao/tesimt/ail/épicetan/levure/levure əhimique/tamati meɣ hoy ən tamati/isan meɣ imanan amosnen kondimatan] ad kafi/atay.</t>
  </si>
  <si>
    <t>needs</t>
  </si>
  <si>
    <t>food</t>
  </si>
  <si>
    <t>Food</t>
  </si>
  <si>
    <t>Nourriture</t>
  </si>
  <si>
    <t>Abinci</t>
  </si>
  <si>
    <t>Ngwari</t>
  </si>
  <si>
    <t>Niamdou</t>
  </si>
  <si>
    <t>K3nbu</t>
  </si>
  <si>
    <t>Aminsi</t>
  </si>
  <si>
    <t>cash</t>
  </si>
  <si>
    <t>Cash</t>
  </si>
  <si>
    <t>Argent liquide</t>
  </si>
  <si>
    <t>Kudi</t>
  </si>
  <si>
    <t>Nooru</t>
  </si>
  <si>
    <t>Ceede</t>
  </si>
  <si>
    <t>Wuri</t>
  </si>
  <si>
    <t>Azruf</t>
  </si>
  <si>
    <t>vouchers_fair</t>
  </si>
  <si>
    <t>Vouchers or input trade fairs</t>
  </si>
  <si>
    <t>Bons d'achat ou foire aux intrants</t>
  </si>
  <si>
    <t>Bauchi ko shigar da bajekolin ciniki</t>
  </si>
  <si>
    <t xml:space="preserve">Tira kan no fondo kan ga deyma té/Habou kan do ga I ga farmi djiney nera </t>
  </si>
  <si>
    <t>Talkuru coggu na luumo gollitirde</t>
  </si>
  <si>
    <t>kakadiya ikkoye k3la kasuye</t>
  </si>
  <si>
    <t>Alkadan wi nasuk meɣ tidawen dǎɣ dagan</t>
  </si>
  <si>
    <t>crop_inputs</t>
  </si>
  <si>
    <t>Inputs for crop and/or vegetable production [e.g. seeds, fertilizer, tools]</t>
  </si>
  <si>
    <t>Intrants pour la production végétale et/ou de légumes [par exemple, semences, engrais, outils]</t>
  </si>
  <si>
    <t>sinadarey don shuka don samun amfanin gona da/ko samar da kayan lambu [misali. tsaba / taki / kayan aiki]</t>
  </si>
  <si>
    <t>Farmi djiney kan ga dumarizey hansé [Zanga dumarize/ tourizey bitamney , farmi djiney]</t>
  </si>
  <si>
    <t xml:space="preserve">Gollitirde ko golloobe n’demri e/ na ko somayje [hono/ awdi/birgi/jineje ko gollirte]. </t>
  </si>
  <si>
    <t>Ikkoye k3la kare bar eye kuru/ au karek3riye [e.g. kusinyi/taki/kare chidai]</t>
  </si>
  <si>
    <t>Idagan fal igitan ən sigyak əd/meɣ əd legumetan [ dǎɣ sund/ isiduma/ abarji/haratan].</t>
  </si>
  <si>
    <t>crop_infrastructure</t>
  </si>
  <si>
    <t>Infrastructure for crop and/or vegetable production [e.g. irrigation, canal rehabilitation, pumps]</t>
  </si>
  <si>
    <t>Infrastructures pour la production végétale et/ou de légumes [par exemple, irrigation, réhabilitation de canaux, pompes]</t>
  </si>
  <si>
    <t>Kayan aiki don amfanin gona da/ko samar da kayan lambu [misali. ban ruwa/hanyoyin ruwa/ pompo]</t>
  </si>
  <si>
    <t>Nongey kan I singui ga farmey goya falandi [danga haari noyan/ haari nongorey hanse yan/Pompi]</t>
  </si>
  <si>
    <t xml:space="preserve">Nibugole labi golleji ko n’demri e /na somayiji [hono labi n’diyam ko wiccirte/mojjintineede laabi den/pompiji]. </t>
  </si>
  <si>
    <t>Gar k3la bareyen kuru/AI karek3riye [e.g. kwatara/jololo yasayi/baktaye]</t>
  </si>
  <si>
    <t>Təmuqunen fal igitan ən sigyak əd/ meɣ ən legumetan [ dǎɣ sund/ asisu/ikanan ən tabaraten/ pompitan].</t>
  </si>
  <si>
    <t>crop_knowledge</t>
  </si>
  <si>
    <t>Training &amp; technical knowledge/advice for crop production</t>
  </si>
  <si>
    <t>Formations et conseils techniques pour la production végétale</t>
  </si>
  <si>
    <t>Koyarwa da ilimin fasaha / shawarwari don samar da amfanin gona</t>
  </si>
  <si>
    <t>Dondon yan, da fahamandi yan farmi goyey bon</t>
  </si>
  <si>
    <t>Ekitaade e andugol/dabareeji sattudi dow golleji ladde.</t>
  </si>
  <si>
    <t>Nzunduwa munduwa ikkuroye/ galat3 k3la bareyen</t>
  </si>
  <si>
    <t>Asikin əd timusne/ asisiɣid ən əmikan fal igitan ən hiskan.</t>
  </si>
  <si>
    <t>Livestock feed [fodder or supplementary feed]</t>
  </si>
  <si>
    <t>Aliments pour le bétail [fourrage ou aliments complémentaires]</t>
  </si>
  <si>
    <t>Ciyarwar dabbobi [abinci ko karin abincin]</t>
  </si>
  <si>
    <t>Almaney nwgaro [subey wala ngwarey kan ga almaney nafa]</t>
  </si>
  <si>
    <t>Niamduji dabaaji [ko ittate jamde na niamdu beydari].</t>
  </si>
  <si>
    <t>Kumbu Dabbafatoye [Kumbu dare dajiye]</t>
  </si>
  <si>
    <t xml:space="preserve">Ashasko wan arizeg [alimoz meɣ ashasko ən asiwid]. </t>
  </si>
  <si>
    <t>ls_vet_service</t>
  </si>
  <si>
    <t>Veterinary services [e.g. vaccination, dips, deworming]</t>
  </si>
  <si>
    <t>Services vétérinaires [par exemple, vaccination, bain antiparasitaire, vermifuges]</t>
  </si>
  <si>
    <t>Hidimomin dabbobi [misali. alurar riga kafi / koyoyi na dabam]</t>
  </si>
  <si>
    <t>Almaney loktor koirey do [danga almaney pikirey/ noni gnoumey yan safarey, gounda ra noni safarey]</t>
  </si>
  <si>
    <t>Gollal ko cellal dabaaji [hono pikkugol/ na hokkugol cafaaje].</t>
  </si>
  <si>
    <t>Chida litari dabbaaye [e.g. riula ikko/ njiikko/surotulta]</t>
  </si>
  <si>
    <t>Təmuqunen fal arizeg [ edag naman/ tabarat tan asimutiy/ ehan/ edag ən asisifir/ iyad.]</t>
  </si>
  <si>
    <t>ls_infrastructure</t>
  </si>
  <si>
    <t>Infrastructure for livestock [e.g. water points, transhumance corridors, shelter, health points]</t>
  </si>
  <si>
    <t>Infrastructures pour le bétail [par exemple, points d'eau, couloirs de transhumance, abris, points santé]</t>
  </si>
  <si>
    <t>Kayan kayan aikin dabbobi [misali. wuraren ruwa / hanyoyin kiwo / tsari / wuraren kiwon lafiya]</t>
  </si>
  <si>
    <t>Nongey kan I singui almaney nafa sé [danga haari kurey/ sajey ra kan I ga kwonda almaney gi ngwayandi/ fuu/ loktorey koira]</t>
  </si>
  <si>
    <t>Nibugol labi dabaaji [nokku n’diyam/ cukkiri eggol e jawdi cuudi/ nokku cellal….]</t>
  </si>
  <si>
    <t>Gart3 dabba fatoye [e.g na njiye/ kammso k3ltaye/kazumu/num ngalwo]</t>
  </si>
  <si>
    <t xml:space="preserve">Asikin əd timusne ən amikan/ asisiɣid fal igitan ən arizeg </t>
  </si>
  <si>
    <t>ls_knowledge</t>
  </si>
  <si>
    <t>Training &amp; technical knowledge/advice for livestock production</t>
  </si>
  <si>
    <t>Formations et conseils techniques pour la production animale</t>
  </si>
  <si>
    <t>Koyarwa da ilimin fasaha / shawarwari don samar da dabbobi</t>
  </si>
  <si>
    <t>Dondon yan, da fahamandi almaney biriyan wo bon</t>
  </si>
  <si>
    <t>Ekitaade e andugol sattingol/dabarejiley mardi</t>
  </si>
  <si>
    <t>Nzunduwa munduwa ikkuroye/galat3 k3la dabba fatoye</t>
  </si>
  <si>
    <t xml:space="preserve">Haratan fal igitan ən ukis ən  manan meɣ asidwal ən manan </t>
  </si>
  <si>
    <t>fish_inputs</t>
  </si>
  <si>
    <t>Inputs for fishing or aquaculture production</t>
  </si>
  <si>
    <t>Intrants pour la production de poissons ou l'aquaculture</t>
  </si>
  <si>
    <t>Abubuwan da ake amfani da su na kamun kifi ko na kiwo</t>
  </si>
  <si>
    <t>Hamissa di yan wala hamissa kuru yan goye djiney</t>
  </si>
  <si>
    <t>Gollitirde gollal nangugol lijji na maruol lijji</t>
  </si>
  <si>
    <t>Nikko k3la B3nyi taayen</t>
  </si>
  <si>
    <t>Tadhil ən ukis ən manan əd/meɣ asidwal ən manan</t>
  </si>
  <si>
    <t>fish_infrastructure</t>
  </si>
  <si>
    <t>Infrastructure for fisheries or aquaculture production [e.g. rehabilitation of port; repair of ponds]</t>
  </si>
  <si>
    <t>Infrastructures pour la pêche ou l'aquaculture [par exemple, réhabilitation du port, réaménagement des étangs]</t>
  </si>
  <si>
    <t>Samar da kayayyakin kiwon kifi ko kiwo [misali; gyara tashar jiragen ruwa/gyaran tafkunan]</t>
  </si>
  <si>
    <t>Nongey kan I singui hamissa di yan wala hamissa kuru [NA/ banguey hansé yaney]</t>
  </si>
  <si>
    <t xml:space="preserve">Nibugol labi gollal nangugol lijji na marugol lijji [hono mojjintineede hunduko mayo/mojjugol nokkuje n’diyam] </t>
  </si>
  <si>
    <t>Gardeoso am b3nyi taamasoro au nad3mtu [e.g. wolt3m chu njiye/jololo sowa yasaiso]</t>
  </si>
  <si>
    <t>Təmuqunt fal igitan ən ukis ən manan meɣ asidwal ən manan [dǎɣ sund/ ikanan ən əmawan/ikanan ən etangstan</t>
  </si>
  <si>
    <t>fish_knowledge</t>
  </si>
  <si>
    <t>Training &amp; technical knowledge/advice for fisheries or aquaculture production</t>
  </si>
  <si>
    <t>Formations et conseils techniques pour la pêche ou l'aquaculture</t>
  </si>
  <si>
    <t>Koyarwa da ilimin fasaha / shawara don kamun kifi ko samar da ruwa</t>
  </si>
  <si>
    <t>Dondon yan, da fahamandi yan Hamissa di yan wala hamissa kuru yan goyey bon</t>
  </si>
  <si>
    <t xml:space="preserve">Ekitaade e andugol/tindinooje no lijji ittirte na marirte </t>
  </si>
  <si>
    <t>Nzunduwa munduwa ikkuroye/galat3 k3la am b3nyi yaamayeson AI nad3m t3h</t>
  </si>
  <si>
    <t xml:space="preserve">Asikin əd timusne/asinimihil ən amikan fal ukis ən manan meɣ asidwal ən manan </t>
  </si>
  <si>
    <t>env_infra_rehab</t>
  </si>
  <si>
    <t>Environmental or infrastructure rehabilitation [community-wide]</t>
  </si>
  <si>
    <t>Réhabilitation de l'environnement ou des infrastructures [à l'échelle de la communauté]</t>
  </si>
  <si>
    <t>Gyaran muhalli ko kayan more rayuwa [jama'a]</t>
  </si>
  <si>
    <t>Batamey da nonguey kan I singui goyey sé hansé yan  [kawyeye ra]</t>
  </si>
  <si>
    <t>Nibugol na  mojjintanagol nokkuje [faa hawrana himbe uro]</t>
  </si>
  <si>
    <t>Na awo deoye au gar yasaso [b3ladiya-kata]</t>
  </si>
  <si>
    <t>Ikanan ən akal meɣ ən təmuqunen [ən hadi ən təmite].</t>
  </si>
  <si>
    <t>cold_storage</t>
  </si>
  <si>
    <t>Cold storage</t>
  </si>
  <si>
    <t>Stockage réfrigéré</t>
  </si>
  <si>
    <t>Ajiyar sanyi</t>
  </si>
  <si>
    <t>Yeni gisirey do</t>
  </si>
  <si>
    <t>Ressugol ley nokku fewino</t>
  </si>
  <si>
    <t>amusuram awog3natiye</t>
  </si>
  <si>
    <t>Asidiw ən sismadan</t>
  </si>
  <si>
    <t>marketing_supp</t>
  </si>
  <si>
    <t>Marketing or sales support [e.g. public procurement]</t>
  </si>
  <si>
    <t>Soutien à la commercialisation ou aux ventes [par exemple, passation de marchés publics]</t>
  </si>
  <si>
    <t>a kama muna mu samu mu sayar [misali. sayen jama'a]</t>
  </si>
  <si>
    <t>Nerandi yan gakassina [Zanga gomnati marsey tchétchi yaney]</t>
  </si>
  <si>
    <t>Mballa yeeyugol na sonnugol [hono luumo himbe fu]</t>
  </si>
  <si>
    <t>kasuudeoso au ladoso [e.g. karekamma matasoye]</t>
  </si>
  <si>
    <t>Tadhil ən shishitan meɣ asuk [dǎɣ sund/ hebutan wi nədinat dak].</t>
  </si>
  <si>
    <t>Wasu na daban [bayyana]</t>
  </si>
  <si>
    <t>Goɗɗum [sifugol]</t>
  </si>
  <si>
    <t>Gadeso [yikə]</t>
  </si>
  <si>
    <t>Iyad [laɣatatan].</t>
  </si>
  <si>
    <t>Ayi si bey</t>
  </si>
  <si>
    <t>NON G3YI</t>
  </si>
  <si>
    <t>needreceived</t>
  </si>
  <si>
    <t>Niamdu</t>
  </si>
  <si>
    <t xml:space="preserve">Cash </t>
  </si>
  <si>
    <t xml:space="preserve">Argent liquide </t>
  </si>
  <si>
    <t>Vouchers/input trade fairs</t>
  </si>
  <si>
    <t>Bons d'achat/foires aux intrants</t>
  </si>
  <si>
    <t>Talkuru codirgal/na luumo gollitirde</t>
  </si>
  <si>
    <t>Alkadan wi nasuk/ ən tidawen dǎɣ dagan</t>
  </si>
  <si>
    <t>crop_assist</t>
  </si>
  <si>
    <t>Crop and/or vegetable production assistance</t>
  </si>
  <si>
    <t>Soutien à la production végétale et/ou de légumes</t>
  </si>
  <si>
    <t>Taimakon samar da amfanin gona da/ko kayan lambu</t>
  </si>
  <si>
    <t>Farmi goye gakassiney</t>
  </si>
  <si>
    <t>Mballa e golleji sardineji/ na somayiiji</t>
  </si>
  <si>
    <t>Karebareye kuru/ au karek3ri sarabt3 banat3ye</t>
  </si>
  <si>
    <t xml:space="preserve">Tadhil tan igi ən sigyak əd/meɣ ən legumetan </t>
  </si>
  <si>
    <t>ls_assist</t>
  </si>
  <si>
    <t>Livestock assistance</t>
  </si>
  <si>
    <t>Soutien à l'élevage</t>
  </si>
  <si>
    <t>Taimakon kiwo</t>
  </si>
  <si>
    <t>Almaney kuruyan gaskiney</t>
  </si>
  <si>
    <t>Mballa e mardi</t>
  </si>
  <si>
    <t>Dabbafatoye banat3</t>
  </si>
  <si>
    <t>Tadhil ən ajamar</t>
  </si>
  <si>
    <t>fish_assist</t>
  </si>
  <si>
    <t>Fisheries and/or aquaculture assistance</t>
  </si>
  <si>
    <t>Soutien à la pêche et/ou à l'aquaculture</t>
  </si>
  <si>
    <t>Taimakon kamun kifi da/ko kiwo</t>
  </si>
  <si>
    <t>Hamisa diyan/wala hamissa kuruyan gakassiney</t>
  </si>
  <si>
    <t>Mballa e ittugol/na marugol lijji</t>
  </si>
  <si>
    <t>B3nyi taa kuru/kuru nad3m banato</t>
  </si>
  <si>
    <t>rehabilitation</t>
  </si>
  <si>
    <t>Gyaran muhalli ko kayan more rayuwa [al'umma gabaɗaya]</t>
  </si>
  <si>
    <t>Farey hansseyaney [kwayeye ra]</t>
  </si>
  <si>
    <t>Nibugol na mojjintanagol nokkuje [faa hawrana himbe uro].</t>
  </si>
  <si>
    <t>Ikanan ən nakal meɣ təmuqunen [əd hadi ən təmite].</t>
  </si>
  <si>
    <t>sales_support</t>
  </si>
  <si>
    <t>Soutien à la commercialisation ou à la vente [par exemple, passation de marchés publics]</t>
  </si>
  <si>
    <t>kama muna don mun sayar [misali. sayen jama'a]</t>
  </si>
  <si>
    <t>Tala yan wala nera di yan gakassiney [Zanga gomnati marsey tchétchi yaney]</t>
  </si>
  <si>
    <t>Mballa yeeyugol na sonnugol [hono luumo himbe fu].</t>
  </si>
  <si>
    <t>Tadhil ən shishitan meɣ asuk [ dǎɣ sund/ hebutan wi nədinat dak].</t>
  </si>
  <si>
    <t>Wasu can daban [bayyana]</t>
  </si>
  <si>
    <t>Goddumo [Sifugol]</t>
  </si>
  <si>
    <t>iyyad [laɣatatan]</t>
  </si>
  <si>
    <t>No assistance received</t>
  </si>
  <si>
    <t>Aucune aide reçue</t>
  </si>
  <si>
    <t>Bamu samu taimako ba</t>
  </si>
  <si>
    <t>Ir man du gakassiney</t>
  </si>
  <si>
    <t>Mballa fu hebaaka</t>
  </si>
  <si>
    <t>Ndaman bana tuwond3yi</t>
  </si>
  <si>
    <t>Wala iyat tadhil tatiwagrawat</t>
  </si>
  <si>
    <t xml:space="preserve">Ayi si bey </t>
  </si>
  <si>
    <t xml:space="preserve">NON G3YI </t>
  </si>
  <si>
    <t>assist_quality</t>
  </si>
  <si>
    <t>No - not received on time</t>
  </si>
  <si>
    <t>Non - pas reçue à temps</t>
  </si>
  <si>
    <t>Ah'ah - ba a karɓa akan lokaci</t>
  </si>
  <si>
    <t>Ah Ah - Ir mane tar ga wa</t>
  </si>
  <si>
    <t>AA’A - Hebaka law</t>
  </si>
  <si>
    <t>Waano - k3la loktuyen mowok3nyi</t>
  </si>
  <si>
    <t>Baboo – wartigrawaɣ salwaq</t>
  </si>
  <si>
    <t>No - did not meet my needs</t>
  </si>
  <si>
    <t>Non - n'a pas répondu à mes besoins</t>
  </si>
  <si>
    <t>Ah'ah - ban biya bukatuna ba</t>
  </si>
  <si>
    <t>Ah Ah – A mane ay mouradey féri</t>
  </si>
  <si>
    <t>AA’A - Wana ko kaajaami</t>
  </si>
  <si>
    <t>Waano- muradiye fandik3nyi</t>
  </si>
  <si>
    <t xml:space="preserve">Baboo – warigde ye tamaɣatertin </t>
  </si>
  <si>
    <t>No - quantity was not sufficient</t>
  </si>
  <si>
    <t>Non - la quantité n'était pas suffisante</t>
  </si>
  <si>
    <t>Ah'ah - yawa bai isa ba</t>
  </si>
  <si>
    <t>Ah Ah – A mane wassa ay sé</t>
  </si>
  <si>
    <t>AA’A - Hejata</t>
  </si>
  <si>
    <t>Waano- nung3la deh na matinno saad3nyi</t>
  </si>
  <si>
    <t>Baboo – amikines wareqel aygdahan</t>
  </si>
  <si>
    <t>No - there was a problem with the provider</t>
  </si>
  <si>
    <t>Non - il y avait un problème avec le fournisseur</t>
  </si>
  <si>
    <t>Ah'ah- an sami matsala tare da mai bayarwa</t>
  </si>
  <si>
    <t xml:space="preserve">Ah Ah – Ir dou massala da bora kan do ir ga djiney dey </t>
  </si>
  <si>
    <t>AA’A - Sadda wadi e gaddoowo jineeji</t>
  </si>
  <si>
    <t>Waano- na yoomayendin mishkela mbeyi</t>
  </si>
  <si>
    <t>Baboo – ilay mushkila gari ən wa ihakan</t>
  </si>
  <si>
    <t>No - there was a malfunction of the in-kind assistance provided [e.g. poor quality tools]</t>
  </si>
  <si>
    <t>Non - il y a eu un dysfonctionnement de l'aide en nature fournie [par exemple, des outils de mauvaise qualité]</t>
  </si>
  <si>
    <t>Ah'ah - akwai rashin aiki na irin taimakon da aka bayar [misali. kayan aiki mara kyau]</t>
  </si>
  <si>
    <t>Ah Ah – Djiney kan I nir gakassiney da ka da masala [danga goy djiney kan si bori]</t>
  </si>
  <si>
    <t>AA’A - Woni ko hegitaaki ley habare mballa kokkaado [hono jineeji bondi].</t>
  </si>
  <si>
    <t>Waano-awo banaid3 kalkallo banachinbawo [e.g.kare chidai batt3]</t>
  </si>
  <si>
    <t>Baboo – imalti iba ən kanan ən tadhil dǎɣ əmik was tatiwafa [dǎɣ sund/ haratan wiwənan ikna].</t>
  </si>
  <si>
    <t>Ay si bey</t>
  </si>
  <si>
    <t>provider</t>
  </si>
  <si>
    <t>fao</t>
  </si>
  <si>
    <t>FAO</t>
  </si>
  <si>
    <t>wfp</t>
  </si>
  <si>
    <t>WFP</t>
  </si>
  <si>
    <t>PAM</t>
  </si>
  <si>
    <t>WFP / PAM</t>
  </si>
  <si>
    <t>WFP/ PAM</t>
  </si>
  <si>
    <t>WFP/PAM</t>
  </si>
  <si>
    <t>otherun</t>
  </si>
  <si>
    <t>Other UN agencies</t>
  </si>
  <si>
    <t>Autres agences des Nations Unies</t>
  </si>
  <si>
    <t>Sauran hukumomin Majalisar Dinkin Duniya</t>
  </si>
  <si>
    <t>Handougna koul Gakessineye foumey 4)Gomnati</t>
  </si>
  <si>
    <t>Sarwiisiji tubaku goddi (nation unies)</t>
  </si>
  <si>
    <t>Banama UN neh gade</t>
  </si>
  <si>
    <t>Iyyad ajanstan ən Nations Unies</t>
  </si>
  <si>
    <t>Government</t>
  </si>
  <si>
    <t>Gouvernment</t>
  </si>
  <si>
    <t>Gwamnati</t>
  </si>
  <si>
    <t>Gakassiney Foumey (ONG)</t>
  </si>
  <si>
    <t>Laamu</t>
  </si>
  <si>
    <t>Gamnati</t>
  </si>
  <si>
    <t>Guvernema</t>
  </si>
  <si>
    <t>Non-governmental/local organization</t>
  </si>
  <si>
    <t>Organisation non-gouvernmentale/locale</t>
  </si>
  <si>
    <t>Kungiya mai zaman kanta/kungiya</t>
  </si>
  <si>
    <t>Wal afo yan kwoyné [Wo ki wokan yan no]</t>
  </si>
  <si>
    <t>Waldeere nde habbodaki e lamu/ bibbe uro</t>
  </si>
  <si>
    <t>Banama-namt3 k3lanzaye/banama gana soye</t>
  </si>
  <si>
    <t>Tartit wəd ila guɣernema/ən akal</t>
  </si>
  <si>
    <t>Wandji ga tou yan</t>
  </si>
  <si>
    <t>week</t>
  </si>
  <si>
    <t>mon</t>
  </si>
  <si>
    <t>Monday</t>
  </si>
  <si>
    <t>Lundi</t>
  </si>
  <si>
    <t>Litinin</t>
  </si>
  <si>
    <t>Atinni</t>
  </si>
  <si>
    <t>Altineere</t>
  </si>
  <si>
    <t>Lit3rin</t>
  </si>
  <si>
    <t>Alitni</t>
  </si>
  <si>
    <t>tues</t>
  </si>
  <si>
    <t>Tuesday</t>
  </si>
  <si>
    <t>Mardi</t>
  </si>
  <si>
    <t>Talata</t>
  </si>
  <si>
    <t>Atalata</t>
  </si>
  <si>
    <t>Talaataare</t>
  </si>
  <si>
    <t>Talau</t>
  </si>
  <si>
    <t>wed</t>
  </si>
  <si>
    <t>Wednesday</t>
  </si>
  <si>
    <t>Mercredi</t>
  </si>
  <si>
    <t>Laraba</t>
  </si>
  <si>
    <t>Alarba</t>
  </si>
  <si>
    <t>Alarbaare</t>
  </si>
  <si>
    <t>Larawa</t>
  </si>
  <si>
    <t>Anarba</t>
  </si>
  <si>
    <t>thurs</t>
  </si>
  <si>
    <t>Thursday</t>
  </si>
  <si>
    <t>Jeudi</t>
  </si>
  <si>
    <t>Alhamis</t>
  </si>
  <si>
    <t>Alkamisa</t>
  </si>
  <si>
    <t>Alkamiisaare</t>
  </si>
  <si>
    <t>Lamissu</t>
  </si>
  <si>
    <t>Alxamis</t>
  </si>
  <si>
    <t>fri</t>
  </si>
  <si>
    <t>Friday</t>
  </si>
  <si>
    <t>Vendredi</t>
  </si>
  <si>
    <t>Juma'a</t>
  </si>
  <si>
    <t>Alzuma</t>
  </si>
  <si>
    <t>Aljumaare</t>
  </si>
  <si>
    <t>Zumah</t>
  </si>
  <si>
    <t>Alzumaxat</t>
  </si>
  <si>
    <t>sat</t>
  </si>
  <si>
    <t>Saturday</t>
  </si>
  <si>
    <t>Samedi</t>
  </si>
  <si>
    <t>Asabar</t>
  </si>
  <si>
    <t>Asibiti</t>
  </si>
  <si>
    <t>Asayre</t>
  </si>
  <si>
    <t>S3bd3</t>
  </si>
  <si>
    <t>Asibit</t>
  </si>
  <si>
    <t>sun</t>
  </si>
  <si>
    <t>Sunday</t>
  </si>
  <si>
    <t>Dimanche</t>
  </si>
  <si>
    <t>Lahadi</t>
  </si>
  <si>
    <t>Alhadi</t>
  </si>
  <si>
    <t>Alal</t>
  </si>
  <si>
    <t>Lad3</t>
  </si>
  <si>
    <t>Alhad</t>
  </si>
  <si>
    <t>morn</t>
  </si>
  <si>
    <t>Mornings</t>
  </si>
  <si>
    <t>Le matin</t>
  </si>
  <si>
    <t>Safe</t>
  </si>
  <si>
    <t>Susuba ra</t>
  </si>
  <si>
    <t>Subaka</t>
  </si>
  <si>
    <t>Suwa</t>
  </si>
  <si>
    <t>Tifawt</t>
  </si>
  <si>
    <t>aft</t>
  </si>
  <si>
    <t>Afternoons</t>
  </si>
  <si>
    <t>L'après-midi</t>
  </si>
  <si>
    <t>Rana</t>
  </si>
  <si>
    <t>Zaro ra</t>
  </si>
  <si>
    <t>Sallifana</t>
  </si>
  <si>
    <t>Kajiri</t>
  </si>
  <si>
    <t>Darat tarhut</t>
  </si>
  <si>
    <t>eve</t>
  </si>
  <si>
    <t>Evenings</t>
  </si>
  <si>
    <t>Le soir</t>
  </si>
  <si>
    <t>Yamma</t>
  </si>
  <si>
    <t>Tchino ra</t>
  </si>
  <si>
    <t>Kiikiiɗe</t>
  </si>
  <si>
    <t>Bine</t>
  </si>
  <si>
    <t>Ehad</t>
  </si>
  <si>
    <t>crop</t>
  </si>
  <si>
    <t>1.1</t>
  </si>
  <si>
    <t>Rice</t>
  </si>
  <si>
    <t>Riz</t>
  </si>
  <si>
    <t>Shinkafa</t>
  </si>
  <si>
    <t>Mo</t>
  </si>
  <si>
    <t>Maaro</t>
  </si>
  <si>
    <t>Shingawa</t>
  </si>
  <si>
    <t>Tafaɣat</t>
  </si>
  <si>
    <t>1.5</t>
  </si>
  <si>
    <t>Maize</t>
  </si>
  <si>
    <t>Maïs</t>
  </si>
  <si>
    <t>Masara</t>
  </si>
  <si>
    <t>Kolgoti</t>
  </si>
  <si>
    <t>Kamnaari</t>
  </si>
  <si>
    <t>Masar</t>
  </si>
  <si>
    <t>Kamanari</t>
  </si>
  <si>
    <t>2.1</t>
  </si>
  <si>
    <t>Cassava</t>
  </si>
  <si>
    <t>Manioc</t>
  </si>
  <si>
    <t>Rogo</t>
  </si>
  <si>
    <t>Roogo</t>
  </si>
  <si>
    <t>Bannda ku</t>
  </si>
  <si>
    <t>Garisa</t>
  </si>
  <si>
    <t>2.2</t>
  </si>
  <si>
    <t>Potatoe</t>
  </si>
  <si>
    <t>Pommes de terre</t>
  </si>
  <si>
    <t>Dankali turawa</t>
  </si>
  <si>
    <t>kombi ter</t>
  </si>
  <si>
    <t>Pompo teere</t>
  </si>
  <si>
    <t>Dangari</t>
  </si>
  <si>
    <t>Pom de terre</t>
  </si>
  <si>
    <t>2.5</t>
  </si>
  <si>
    <t>Carrots</t>
  </si>
  <si>
    <t>Carottes</t>
  </si>
  <si>
    <t>Karoti</t>
  </si>
  <si>
    <t>Karot</t>
  </si>
  <si>
    <t>karottis</t>
  </si>
  <si>
    <t>Karass</t>
  </si>
  <si>
    <t>4.1</t>
  </si>
  <si>
    <t>Cabbage</t>
  </si>
  <si>
    <t>Choux</t>
  </si>
  <si>
    <t>kabeji</t>
  </si>
  <si>
    <t>Shou</t>
  </si>
  <si>
    <t>Suu</t>
  </si>
  <si>
    <t>Kabeji</t>
  </si>
  <si>
    <t>4.2</t>
  </si>
  <si>
    <t>Lettuce</t>
  </si>
  <si>
    <t>Laitue</t>
  </si>
  <si>
    <t>Salati</t>
  </si>
  <si>
    <t>Salaate</t>
  </si>
  <si>
    <t>L3tus3</t>
  </si>
  <si>
    <t>4.6</t>
  </si>
  <si>
    <t>Moringa</t>
  </si>
  <si>
    <t>Zogale</t>
  </si>
  <si>
    <t>kopto</t>
  </si>
  <si>
    <t>Lekki Aljenna</t>
  </si>
  <si>
    <t>Kaajiwor</t>
  </si>
  <si>
    <t>5.1</t>
  </si>
  <si>
    <t>Tomatoes</t>
  </si>
  <si>
    <t>Tomates</t>
  </si>
  <si>
    <t>Tumatir</t>
  </si>
  <si>
    <t>Tomati</t>
  </si>
  <si>
    <t>Tamatiire</t>
  </si>
  <si>
    <t>Tumat3r</t>
  </si>
  <si>
    <t>5.9</t>
  </si>
  <si>
    <t>Haricot</t>
  </si>
  <si>
    <t xml:space="preserve">Haricot </t>
  </si>
  <si>
    <t>Wake</t>
  </si>
  <si>
    <t xml:space="preserve">Dunguri </t>
  </si>
  <si>
    <t>Ɲebbe</t>
  </si>
  <si>
    <t>Ngalo</t>
  </si>
  <si>
    <t>Tanzant</t>
  </si>
  <si>
    <t>1.2</t>
  </si>
  <si>
    <t>Wheat</t>
  </si>
  <si>
    <t>Blé</t>
  </si>
  <si>
    <t>Alkama</t>
  </si>
  <si>
    <t>alkama</t>
  </si>
  <si>
    <t>Ngawuri</t>
  </si>
  <si>
    <t>Ejel</t>
  </si>
  <si>
    <t>1.3</t>
  </si>
  <si>
    <t>Millet</t>
  </si>
  <si>
    <t>Mil</t>
  </si>
  <si>
    <t>Gero</t>
  </si>
  <si>
    <t>Hayni</t>
  </si>
  <si>
    <t>Ngawri</t>
  </si>
  <si>
    <t>Arum</t>
  </si>
  <si>
    <t>Tenalet</t>
  </si>
  <si>
    <t>1.4</t>
  </si>
  <si>
    <t>Sorghum</t>
  </si>
  <si>
    <t>Sorgho</t>
  </si>
  <si>
    <t>Dawa</t>
  </si>
  <si>
    <t>Ha ma</t>
  </si>
  <si>
    <t>Gawri</t>
  </si>
  <si>
    <t>Arum3n</t>
  </si>
  <si>
    <t>Aboraɣ</t>
  </si>
  <si>
    <t>1.6</t>
  </si>
  <si>
    <t>Barley</t>
  </si>
  <si>
    <t>Orge</t>
  </si>
  <si>
    <t>Sha'ir</t>
  </si>
  <si>
    <t>Gensi</t>
  </si>
  <si>
    <t>Orje</t>
  </si>
  <si>
    <t>Bhur3</t>
  </si>
  <si>
    <t>1.99</t>
  </si>
  <si>
    <t>Other Cereal</t>
  </si>
  <si>
    <t>Autres céréales</t>
  </si>
  <si>
    <t>wassu dabban</t>
  </si>
  <si>
    <t>Ngwari ize cin dey</t>
  </si>
  <si>
    <t>Ngabbe goɗɗe</t>
  </si>
  <si>
    <t>Awo kumbu gadeya</t>
  </si>
  <si>
    <t>Isiduma iyyad</t>
  </si>
  <si>
    <t>2.3</t>
  </si>
  <si>
    <t>Sweet Potatoes</t>
  </si>
  <si>
    <t>Patates douces</t>
  </si>
  <si>
    <t>Dankali</t>
  </si>
  <si>
    <t>Kudaku</t>
  </si>
  <si>
    <t>Pataat</t>
  </si>
  <si>
    <t>Kuwunduu</t>
  </si>
  <si>
    <t>Kidaku</t>
  </si>
  <si>
    <t>2.4</t>
  </si>
  <si>
    <t>Yams</t>
  </si>
  <si>
    <t>Ignames</t>
  </si>
  <si>
    <t>doya</t>
  </si>
  <si>
    <t>Dundu</t>
  </si>
  <si>
    <t>Ku</t>
  </si>
  <si>
    <t>Doya</t>
  </si>
  <si>
    <t>Takindit</t>
  </si>
  <si>
    <t>2.6</t>
  </si>
  <si>
    <t>Cocoyam</t>
  </si>
  <si>
    <t>Chou caraïbe</t>
  </si>
  <si>
    <t>shou</t>
  </si>
  <si>
    <t>Taaro</t>
  </si>
  <si>
    <t>Manja</t>
  </si>
  <si>
    <t>Taarotan</t>
  </si>
  <si>
    <t>2.99</t>
  </si>
  <si>
    <t>Other tubers</t>
  </si>
  <si>
    <t>Autres tubercules</t>
  </si>
  <si>
    <t>Wasu 'ya'yan itatuwa</t>
  </si>
  <si>
    <t>Dundu dumi</t>
  </si>
  <si>
    <t>fuɗngooji goɗɗe</t>
  </si>
  <si>
    <t>K3ska gadeso</t>
  </si>
  <si>
    <t>Iyyad tuberkultan</t>
  </si>
  <si>
    <t>3.1</t>
  </si>
  <si>
    <t>Beans</t>
  </si>
  <si>
    <t>Haricots</t>
  </si>
  <si>
    <t>3.2</t>
  </si>
  <si>
    <t>Lentils</t>
  </si>
  <si>
    <t>Lentilles</t>
  </si>
  <si>
    <t>Lenti</t>
  </si>
  <si>
    <t>NA</t>
  </si>
  <si>
    <t>Lantiiye</t>
  </si>
  <si>
    <t>Alabo</t>
  </si>
  <si>
    <t>Lantiiytan</t>
  </si>
  <si>
    <t>3.3</t>
  </si>
  <si>
    <t>Peas</t>
  </si>
  <si>
    <t>Pois</t>
  </si>
  <si>
    <t>wake</t>
  </si>
  <si>
    <t>Dunguri goway</t>
  </si>
  <si>
    <t>Mbelkoy ndanehoy</t>
  </si>
  <si>
    <t>P3ar</t>
  </si>
  <si>
    <t>Anshanan</t>
  </si>
  <si>
    <t>3.4</t>
  </si>
  <si>
    <t>Soybeans</t>
  </si>
  <si>
    <t>Soja</t>
  </si>
  <si>
    <t>Waken soya</t>
  </si>
  <si>
    <t>Lubbatu</t>
  </si>
  <si>
    <t>Sooja</t>
  </si>
  <si>
    <t>Ngalo gana</t>
  </si>
  <si>
    <t>Sojatan</t>
  </si>
  <si>
    <t>3.5</t>
  </si>
  <si>
    <t>Chickpeas</t>
  </si>
  <si>
    <t>Pois chiches</t>
  </si>
  <si>
    <t>waken kaji</t>
  </si>
  <si>
    <t>Dunguri ize</t>
  </si>
  <si>
    <t>Powaa ciis</t>
  </si>
  <si>
    <t>Laama</t>
  </si>
  <si>
    <t>Anshanan wən əhiəhes</t>
  </si>
  <si>
    <t>3.6</t>
  </si>
  <si>
    <t>Fava beans</t>
  </si>
  <si>
    <t>Fève</t>
  </si>
  <si>
    <t>Ɲebbe Fava</t>
  </si>
  <si>
    <t>Tada ngaloi</t>
  </si>
  <si>
    <t>Fèɣetan iyaad</t>
  </si>
  <si>
    <t>3.7</t>
  </si>
  <si>
    <t>Broad beans</t>
  </si>
  <si>
    <t>Fève large</t>
  </si>
  <si>
    <t>wake mai fadi</t>
  </si>
  <si>
    <t>Ɲebbe Mangal</t>
  </si>
  <si>
    <t>Kusui ngaloi</t>
  </si>
  <si>
    <t>Fèɣetan</t>
  </si>
  <si>
    <t>3.99</t>
  </si>
  <si>
    <t>Other pulses</t>
  </si>
  <si>
    <t>Autres légumineuses</t>
  </si>
  <si>
    <t>Da sauransu</t>
  </si>
  <si>
    <t>Dunguri dumi</t>
  </si>
  <si>
    <t>Ɲebbe goɗɗe</t>
  </si>
  <si>
    <t>Jimlanza gadesoa</t>
  </si>
  <si>
    <t>Iyan legumineztan</t>
  </si>
  <si>
    <t>4.101</t>
  </si>
  <si>
    <t>Cauliflower</t>
  </si>
  <si>
    <t>Choux-fleur</t>
  </si>
  <si>
    <t>Farin kabeji</t>
  </si>
  <si>
    <t>Shou kopto</t>
  </si>
  <si>
    <t>Koli</t>
  </si>
  <si>
    <t>Njiflowerye</t>
  </si>
  <si>
    <t>Suu fleer</t>
  </si>
  <si>
    <t>4.3</t>
  </si>
  <si>
    <t>Spinach-Amaranth</t>
  </si>
  <si>
    <t>Epinards-Amaranthe</t>
  </si>
  <si>
    <t>Alayyahu</t>
  </si>
  <si>
    <t>tchapata</t>
  </si>
  <si>
    <t>Amaarante Epinaare</t>
  </si>
  <si>
    <t>K3ngalmu</t>
  </si>
  <si>
    <t>Epinardtan-Amarantheran</t>
  </si>
  <si>
    <t>4.4</t>
  </si>
  <si>
    <t>Cassava leaves</t>
  </si>
  <si>
    <t>Feuilles de manioc</t>
  </si>
  <si>
    <t>Ganyen rogo</t>
  </si>
  <si>
    <t>Roogo kopto</t>
  </si>
  <si>
    <t>Haakoji bannda ku</t>
  </si>
  <si>
    <t>Lambo garisaye</t>
  </si>
  <si>
    <t>Iliktan ən rogo</t>
  </si>
  <si>
    <t>4.5</t>
  </si>
  <si>
    <t>Potatoe leaves</t>
  </si>
  <si>
    <t>Feuilles de pomme de terre</t>
  </si>
  <si>
    <t>Ganyen dankalin turawa</t>
  </si>
  <si>
    <t>Kuudaku kopto</t>
  </si>
  <si>
    <t>Haakoji Pomteere</t>
  </si>
  <si>
    <t>Lambo dankaliye</t>
  </si>
  <si>
    <t>Iliktan wən pom de terre</t>
  </si>
  <si>
    <t>4.7</t>
  </si>
  <si>
    <t>Sorrel Hibiscus / Rosselle</t>
  </si>
  <si>
    <t>Oseille Hibiscus / Rosselle</t>
  </si>
  <si>
    <t>zobo</t>
  </si>
  <si>
    <t>Warau</t>
  </si>
  <si>
    <t>Polle</t>
  </si>
  <si>
    <t>Kulkullo/Zobo</t>
  </si>
  <si>
    <t>Ozeitan Hibiskustan/Rossell</t>
  </si>
  <si>
    <t>4.9</t>
  </si>
  <si>
    <t>Green salad herbs (thyme, parsley, mint, rocca, other)</t>
  </si>
  <si>
    <t>Herbes aromatiques (thym, persil, menthe, rocca, autres)</t>
  </si>
  <si>
    <t>yazuzuka masu kamshi</t>
  </si>
  <si>
    <t>yazi kopto haw kaney</t>
  </si>
  <si>
    <t>Haakoo salaati [Haakoji tiim/ Haakoji persil/ Haakoji anana/Haakoji roko/ goɗɗe]</t>
  </si>
  <si>
    <t>Kurun salatte [t3hme/faski3y/chamcham/ghart3/gadeso]</t>
  </si>
  <si>
    <t>Alimoz wa dalen ən salade [ thym/persil/ anaɣnaɣi/</t>
  </si>
  <si>
    <t>4.99</t>
  </si>
  <si>
    <t>Other leafy vegetables</t>
  </si>
  <si>
    <t>Autres légumes à feuilles</t>
  </si>
  <si>
    <t>Sauran kayan lambu masu ganye</t>
  </si>
  <si>
    <t>Chin dey kan te kopto ize</t>
  </si>
  <si>
    <t>Haakoji Goɗɗe</t>
  </si>
  <si>
    <t>Karek3ri gad3 gafsenaso</t>
  </si>
  <si>
    <t>Iyyad légumetan ən liktan</t>
  </si>
  <si>
    <t>5.101</t>
  </si>
  <si>
    <t>Green peas</t>
  </si>
  <si>
    <t>Petit pois</t>
  </si>
  <si>
    <t>Koren wake</t>
  </si>
  <si>
    <t>Duguri teye</t>
  </si>
  <si>
    <t>Nyebbe ciise</t>
  </si>
  <si>
    <t>Ngalo k3ri</t>
  </si>
  <si>
    <t>Anshanan wi dalatnen</t>
  </si>
  <si>
    <t>5.11</t>
  </si>
  <si>
    <t>Fava beans green</t>
  </si>
  <si>
    <t>Pois fève</t>
  </si>
  <si>
    <t>Jan wake</t>
  </si>
  <si>
    <t>Dunguri yar gey</t>
  </si>
  <si>
    <t>Nyebbe Fava</t>
  </si>
  <si>
    <t>Ah3tti</t>
  </si>
  <si>
    <t>Fèɣetan wi dalatnen</t>
  </si>
  <si>
    <t>5.2</t>
  </si>
  <si>
    <t>Cucumber</t>
  </si>
  <si>
    <t>Concombre</t>
  </si>
  <si>
    <t>Kokwamba</t>
  </si>
  <si>
    <t>comcombre</t>
  </si>
  <si>
    <t>kookombru</t>
  </si>
  <si>
    <t>Ngurli</t>
  </si>
  <si>
    <t>Əonəombre</t>
  </si>
  <si>
    <t>5.3</t>
  </si>
  <si>
    <t>Pumpkin</t>
  </si>
  <si>
    <t>Citrouille</t>
  </si>
  <si>
    <t>Kabewa</t>
  </si>
  <si>
    <t>Labtanda</t>
  </si>
  <si>
    <t>Potiiron</t>
  </si>
  <si>
    <t>Alaiyeho</t>
  </si>
  <si>
    <t>Əitrouille</t>
  </si>
  <si>
    <t>5.4</t>
  </si>
  <si>
    <t>Eggplant/aubergine</t>
  </si>
  <si>
    <t>Aubergines/aubergines</t>
  </si>
  <si>
    <t>aubergine</t>
  </si>
  <si>
    <t>auberzine</t>
  </si>
  <si>
    <t>Kumbaaje tubakor/Oberjine</t>
  </si>
  <si>
    <t>Yalon bello/data</t>
  </si>
  <si>
    <t>Oberjintan</t>
  </si>
  <si>
    <t>5.5</t>
  </si>
  <si>
    <t>Zucchini</t>
  </si>
  <si>
    <t>Courgettes</t>
  </si>
  <si>
    <t>kabewa turawa/courgettes</t>
  </si>
  <si>
    <t>anasara labtanda</t>
  </si>
  <si>
    <t>Muricci</t>
  </si>
  <si>
    <t>Elagaz</t>
  </si>
  <si>
    <t>5.6</t>
  </si>
  <si>
    <t>Okra</t>
  </si>
  <si>
    <t>Kuɓewaa</t>
  </si>
  <si>
    <t>Laa</t>
  </si>
  <si>
    <t>Maanaaje</t>
  </si>
  <si>
    <t>Guwalto</t>
  </si>
  <si>
    <t>Gombotan</t>
  </si>
  <si>
    <t>5.7</t>
  </si>
  <si>
    <t>Bell pepper</t>
  </si>
  <si>
    <t>Poivron</t>
  </si>
  <si>
    <t>barkono</t>
  </si>
  <si>
    <t>pavron</t>
  </si>
  <si>
    <t>Kaade</t>
  </si>
  <si>
    <t>Njitta sinana</t>
  </si>
  <si>
    <t>Poivrontan</t>
  </si>
  <si>
    <t>5.8</t>
  </si>
  <si>
    <t>Onions</t>
  </si>
  <si>
    <t>Oignons</t>
  </si>
  <si>
    <t>Albasa</t>
  </si>
  <si>
    <t>Albasar</t>
  </si>
  <si>
    <t>Losar</t>
  </si>
  <si>
    <t>Albisiltan</t>
  </si>
  <si>
    <t>5.99</t>
  </si>
  <si>
    <t>Other non leafy vegs</t>
  </si>
  <si>
    <t>Autres légumes non feuillus</t>
  </si>
  <si>
    <t>Sauran kayan lambu marasa ganyaye</t>
  </si>
  <si>
    <t>Chin dey kan man te kopto ize</t>
  </si>
  <si>
    <t>Haakoji Nyebbe Goɗɗe</t>
  </si>
  <si>
    <t>Karak3ri lambo baa gafs3nasoa</t>
  </si>
  <si>
    <t>Iyyad légumetan winan ila iliktan</t>
  </si>
  <si>
    <t>6.1</t>
  </si>
  <si>
    <t>Orange</t>
  </si>
  <si>
    <t>Lemu</t>
  </si>
  <si>
    <t>Lemoo</t>
  </si>
  <si>
    <t>Lemburu Oranje</t>
  </si>
  <si>
    <t>Lemun nasara</t>
  </si>
  <si>
    <t>Orangetan</t>
  </si>
  <si>
    <t>6.2</t>
  </si>
  <si>
    <t>Lemon</t>
  </si>
  <si>
    <t>Citron</t>
  </si>
  <si>
    <t>Lemun tsami</t>
  </si>
  <si>
    <t>Lemoo kaina</t>
  </si>
  <si>
    <t>Lemburu lammuɗo</t>
  </si>
  <si>
    <t>Lemun chamcham</t>
  </si>
  <si>
    <t>Sitrontan</t>
  </si>
  <si>
    <t>6.3</t>
  </si>
  <si>
    <t>Grapefruit</t>
  </si>
  <si>
    <t>Pamplemousse</t>
  </si>
  <si>
    <t>jan lemou may guirma iri mai dan datshi da zaki</t>
  </si>
  <si>
    <t>Lemoo hota</t>
  </si>
  <si>
    <t>Lemburu mbelɗo</t>
  </si>
  <si>
    <t>Yalo</t>
  </si>
  <si>
    <t>Pamplemussetan</t>
  </si>
  <si>
    <t>6.4</t>
  </si>
  <si>
    <t>Mandarins/clementines</t>
  </si>
  <si>
    <t>Tangerine/clémentine</t>
  </si>
  <si>
    <t>Lemun mai tawshi mara dia</t>
  </si>
  <si>
    <t>Lemoo kaa na/lemoo mensa</t>
  </si>
  <si>
    <t>Tamsuu/Tamsuugana</t>
  </si>
  <si>
    <t>Mandarinetan/klementinetan</t>
  </si>
  <si>
    <t>6.99</t>
  </si>
  <si>
    <t>Other citrus fruit</t>
  </si>
  <si>
    <t>Autres agrumes</t>
  </si>
  <si>
    <t>Sauran iri lemu</t>
  </si>
  <si>
    <t>Chi dey kante lemoo ize</t>
  </si>
  <si>
    <t>K3ska chamcham gadesoa</t>
  </si>
  <si>
    <t>Iyyad argumetan</t>
  </si>
  <si>
    <t>7.1</t>
  </si>
  <si>
    <t>Sweet Banana</t>
  </si>
  <si>
    <t>Banane douce</t>
  </si>
  <si>
    <t>Ayaba mai zaki</t>
  </si>
  <si>
    <t>banana</t>
  </si>
  <si>
    <t>Barannda</t>
  </si>
  <si>
    <t>Ayaba k3ji</t>
  </si>
  <si>
    <t>Bananetan wi ahuskatnen</t>
  </si>
  <si>
    <t>7.101</t>
  </si>
  <si>
    <t>Figs</t>
  </si>
  <si>
    <t>Figues</t>
  </si>
  <si>
    <t>fig(NA in haussa)</t>
  </si>
  <si>
    <t>Yibbere</t>
  </si>
  <si>
    <t>Nushu</t>
  </si>
  <si>
    <t>Figuetan</t>
  </si>
  <si>
    <t>7.11</t>
  </si>
  <si>
    <t>Grapes</t>
  </si>
  <si>
    <t>Raisins</t>
  </si>
  <si>
    <t>Inabi</t>
  </si>
  <si>
    <t>Sibiije</t>
  </si>
  <si>
    <t>Turfa</t>
  </si>
  <si>
    <t>Raizentan</t>
  </si>
  <si>
    <t>7.12</t>
  </si>
  <si>
    <t>Olives</t>
  </si>
  <si>
    <t>Zaitun</t>
  </si>
  <si>
    <t>zeytun</t>
  </si>
  <si>
    <t>Oliive</t>
  </si>
  <si>
    <t>K3ndauzaitunne</t>
  </si>
  <si>
    <t>Olivetan</t>
  </si>
  <si>
    <t>7.13</t>
  </si>
  <si>
    <t>Apple</t>
  </si>
  <si>
    <t>Pomme</t>
  </si>
  <si>
    <t>apple(NA in haussa)</t>
  </si>
  <si>
    <t>Pom</t>
  </si>
  <si>
    <t>Garayya</t>
  </si>
  <si>
    <t>7.14</t>
  </si>
  <si>
    <t>Apricot</t>
  </si>
  <si>
    <t>Abricot</t>
  </si>
  <si>
    <t>(NA in haussa)</t>
  </si>
  <si>
    <t>Abriko</t>
  </si>
  <si>
    <t>Rhakka</t>
  </si>
  <si>
    <t>Abrikotstan</t>
  </si>
  <si>
    <t>7.15</t>
  </si>
  <si>
    <t>Cherries</t>
  </si>
  <si>
    <t>Cerises</t>
  </si>
  <si>
    <t>Seriiji</t>
  </si>
  <si>
    <t>Kolk3ji</t>
  </si>
  <si>
    <t>Serisetan</t>
  </si>
  <si>
    <t>7.16</t>
  </si>
  <si>
    <t>Peach/nectarine</t>
  </si>
  <si>
    <t>Pêche/nectarine</t>
  </si>
  <si>
    <t>Poaar (poire)</t>
  </si>
  <si>
    <t>Kolk3/ghalchemchem</t>
  </si>
  <si>
    <t>Ukis/nektarinetan</t>
  </si>
  <si>
    <t>7.17</t>
  </si>
  <si>
    <t>Strawberries</t>
  </si>
  <si>
    <t>Fraises</t>
  </si>
  <si>
    <t>Feraisey</t>
  </si>
  <si>
    <t>Freej</t>
  </si>
  <si>
    <t>Mant3ri</t>
  </si>
  <si>
    <t>Fraisetan</t>
  </si>
  <si>
    <t>7.18</t>
  </si>
  <si>
    <t>Melon (Cantaloupe)</t>
  </si>
  <si>
    <t>Melon</t>
  </si>
  <si>
    <t>Kankana [Kantaloupe]</t>
  </si>
  <si>
    <t>MALO</t>
  </si>
  <si>
    <t>Meelon [Kantalup]</t>
  </si>
  <si>
    <t>Kankanagana [gujji]</t>
  </si>
  <si>
    <t>Melon [kantalup]</t>
  </si>
  <si>
    <t>7.2</t>
  </si>
  <si>
    <t>Plantains</t>
  </si>
  <si>
    <t>Banane plantain</t>
  </si>
  <si>
    <t>plantain ayaba irin wace a ke dafawa ko kuma soyawa</t>
  </si>
  <si>
    <t>banana kan dima I ga hagu</t>
  </si>
  <si>
    <t>Barannda aloko</t>
  </si>
  <si>
    <t>Ayawakura</t>
  </si>
  <si>
    <t>Bananetan Plantenstan</t>
  </si>
  <si>
    <t>7.3</t>
  </si>
  <si>
    <t>Papaya</t>
  </si>
  <si>
    <t>Papaye</t>
  </si>
  <si>
    <t>Gonda</t>
  </si>
  <si>
    <t>Bogofire</t>
  </si>
  <si>
    <t>Daush3</t>
  </si>
  <si>
    <t>Papayatan</t>
  </si>
  <si>
    <t>7.4</t>
  </si>
  <si>
    <t>Mango</t>
  </si>
  <si>
    <t>Mangue</t>
  </si>
  <si>
    <t>Mangoro</t>
  </si>
  <si>
    <t>Mangu</t>
  </si>
  <si>
    <t>Manguro</t>
  </si>
  <si>
    <t>7.5</t>
  </si>
  <si>
    <t>Guava</t>
  </si>
  <si>
    <t>Goyave</t>
  </si>
  <si>
    <t>Goyba</t>
  </si>
  <si>
    <t>Goyav</t>
  </si>
  <si>
    <t>Guyakka</t>
  </si>
  <si>
    <t>Gofa</t>
  </si>
  <si>
    <t>Goyaɣetan</t>
  </si>
  <si>
    <t>7.6</t>
  </si>
  <si>
    <t>Pineapple</t>
  </si>
  <si>
    <t>Ananas</t>
  </si>
  <si>
    <t>Abarba</t>
  </si>
  <si>
    <t>Anana</t>
  </si>
  <si>
    <t>Anaana</t>
  </si>
  <si>
    <t>Aburawa</t>
  </si>
  <si>
    <t>Ananastan</t>
  </si>
  <si>
    <t>7.7</t>
  </si>
  <si>
    <t>Avocado</t>
  </si>
  <si>
    <t>Avocat</t>
  </si>
  <si>
    <t>Paya</t>
  </si>
  <si>
    <t>Avoka</t>
  </si>
  <si>
    <t>Kamb3j</t>
  </si>
  <si>
    <t>Avokatan</t>
  </si>
  <si>
    <t>7.8</t>
  </si>
  <si>
    <t>Water Melon</t>
  </si>
  <si>
    <t>Pastèques</t>
  </si>
  <si>
    <t>Kankana</t>
  </si>
  <si>
    <t>Paasteke</t>
  </si>
  <si>
    <t>Bastektan</t>
  </si>
  <si>
    <t>7.9</t>
  </si>
  <si>
    <t>Dates</t>
  </si>
  <si>
    <t>Dattes</t>
  </si>
  <si>
    <t>dabino</t>
  </si>
  <si>
    <t>Dabino</t>
  </si>
  <si>
    <t>Tamboroohi</t>
  </si>
  <si>
    <t>Difino</t>
  </si>
  <si>
    <t>Tehayne</t>
  </si>
  <si>
    <t>7.99</t>
  </si>
  <si>
    <t>Other fruit</t>
  </si>
  <si>
    <t>Autres fruits</t>
  </si>
  <si>
    <t>Sauran 'ya'yan itace</t>
  </si>
  <si>
    <t>Chi dey kan te ngwari dumi ize</t>
  </si>
  <si>
    <t>Ɓiɓɓe leɗɗe goɗɗe</t>
  </si>
  <si>
    <t>Karek3ji gadeso</t>
  </si>
  <si>
    <t>Iyyad aratan ən hishkan</t>
  </si>
  <si>
    <t>8.1</t>
  </si>
  <si>
    <t>Coconuts</t>
  </si>
  <si>
    <t>Noix de coco</t>
  </si>
  <si>
    <t>Kwakwa</t>
  </si>
  <si>
    <t>Kawka</t>
  </si>
  <si>
    <t>Kokko</t>
  </si>
  <si>
    <t>Kokotan</t>
  </si>
  <si>
    <t>8.2</t>
  </si>
  <si>
    <t>Groundnut/peanut</t>
  </si>
  <si>
    <t>Arachide / cacahuète</t>
  </si>
  <si>
    <t>Gyada/Gujiya</t>
  </si>
  <si>
    <t>Damsi/Damsi guri</t>
  </si>
  <si>
    <t>Sunkaaje</t>
  </si>
  <si>
    <t>Kolji/k3nzakoljiye</t>
  </si>
  <si>
    <t>Sunkam/ kaju</t>
  </si>
  <si>
    <t>8.3</t>
  </si>
  <si>
    <t>Cashew Nut</t>
  </si>
  <si>
    <t>Noix de cajou</t>
  </si>
  <si>
    <t>Kashi na goro</t>
  </si>
  <si>
    <t>Kashou</t>
  </si>
  <si>
    <t>Awaade/Pom kaju</t>
  </si>
  <si>
    <t>Tadakashett3</t>
  </si>
  <si>
    <t>Noix wan əajou</t>
  </si>
  <si>
    <t>8.4</t>
  </si>
  <si>
    <t>Kola Nut</t>
  </si>
  <si>
    <t>Noix de kola</t>
  </si>
  <si>
    <t>Goro</t>
  </si>
  <si>
    <t>Gooro</t>
  </si>
  <si>
    <t>8.5</t>
  </si>
  <si>
    <t>Sesame</t>
  </si>
  <si>
    <t>Sésame</t>
  </si>
  <si>
    <t>ridi</t>
  </si>
  <si>
    <t>Lamti</t>
  </si>
  <si>
    <t>Siiliire</t>
  </si>
  <si>
    <t>Kwagoroye</t>
  </si>
  <si>
    <t>8.6</t>
  </si>
  <si>
    <t>Bambara nut</t>
  </si>
  <si>
    <t>Noix de bambara</t>
  </si>
  <si>
    <t>ya kuraga</t>
  </si>
  <si>
    <t>Lubbatu guri</t>
  </si>
  <si>
    <t>Sumaaje/biriihi</t>
  </si>
  <si>
    <t>Ngangala</t>
  </si>
  <si>
    <t>Birihi/suuma</t>
  </si>
  <si>
    <t>8.7</t>
  </si>
  <si>
    <t>Almond</t>
  </si>
  <si>
    <t>Amande</t>
  </si>
  <si>
    <t>(NA in hausa)</t>
  </si>
  <si>
    <t>Anasara damsi</t>
  </si>
  <si>
    <t>Kuye</t>
  </si>
  <si>
    <t>Amor3h</t>
  </si>
  <si>
    <t>Amandtan</t>
  </si>
  <si>
    <t>8.8</t>
  </si>
  <si>
    <t>Walnut</t>
  </si>
  <si>
    <t>Noix</t>
  </si>
  <si>
    <t>kwaya</t>
  </si>
  <si>
    <t>Ngeeyu</t>
  </si>
  <si>
    <t>Kolj3karaaye</t>
  </si>
  <si>
    <t>Nowan</t>
  </si>
  <si>
    <t>8.99</t>
  </si>
  <si>
    <t>Other nuts</t>
  </si>
  <si>
    <t>Autres fruits à coque</t>
  </si>
  <si>
    <t>Sauran goro</t>
  </si>
  <si>
    <t>Damsi chi dey</t>
  </si>
  <si>
    <t>Geeƴi goɗɗi</t>
  </si>
  <si>
    <t>Koljiyaagadeso</t>
  </si>
  <si>
    <t>Iyyad nowantan</t>
  </si>
  <si>
    <t>9.1</t>
  </si>
  <si>
    <t>Cocoa</t>
  </si>
  <si>
    <t>Cacao</t>
  </si>
  <si>
    <t>Kakawu</t>
  </si>
  <si>
    <t>Koka</t>
  </si>
  <si>
    <t>9.2</t>
  </si>
  <si>
    <t>Coffee</t>
  </si>
  <si>
    <t>Café</t>
  </si>
  <si>
    <t>Kofi</t>
  </si>
  <si>
    <t>Kaafe</t>
  </si>
  <si>
    <t>F3ranto</t>
  </si>
  <si>
    <t>Kafi</t>
  </si>
  <si>
    <t>9.3</t>
  </si>
  <si>
    <t>Tea</t>
  </si>
  <si>
    <t>Thé</t>
  </si>
  <si>
    <t>Shayi</t>
  </si>
  <si>
    <t>Atayi</t>
  </si>
  <si>
    <t>Atay</t>
  </si>
  <si>
    <t>9.4</t>
  </si>
  <si>
    <t>Sugarcane</t>
  </si>
  <si>
    <t>Canne à sucre</t>
  </si>
  <si>
    <t>karan rake</t>
  </si>
  <si>
    <t>ARACE BUNDU</t>
  </si>
  <si>
    <t>Sikaaro</t>
  </si>
  <si>
    <t>R3kke</t>
  </si>
  <si>
    <t>Kana wan asukar</t>
  </si>
  <si>
    <t>9.5</t>
  </si>
  <si>
    <t>Sunflower</t>
  </si>
  <si>
    <t>Tournesol</t>
  </si>
  <si>
    <t>Fulawa mai hasken rana</t>
  </si>
  <si>
    <t>Turnesol</t>
  </si>
  <si>
    <t>Flawakausuye</t>
  </si>
  <si>
    <t>Tatola</t>
  </si>
  <si>
    <t>9.99</t>
  </si>
  <si>
    <t>Other food cash crop</t>
  </si>
  <si>
    <t>Autres cultures vivrières de rente</t>
  </si>
  <si>
    <t>Da sauran kayan abinci</t>
  </si>
  <si>
    <t>Goɗɗi ngaɗanaaɗi jaagu ɗi ɲaamataake</t>
  </si>
  <si>
    <t>Kumbu fatoye gadesoa</t>
  </si>
  <si>
    <t>Iyyad əsigyak ən tamudre infanen</t>
  </si>
  <si>
    <t>10.1</t>
  </si>
  <si>
    <t>Cotton</t>
  </si>
  <si>
    <t>Coton</t>
  </si>
  <si>
    <t>Auduga</t>
  </si>
  <si>
    <t>Haa bu</t>
  </si>
  <si>
    <t>Haabu</t>
  </si>
  <si>
    <t>Habu</t>
  </si>
  <si>
    <t>10.2</t>
  </si>
  <si>
    <t>Rubber</t>
  </si>
  <si>
    <t>Caoutchouc</t>
  </si>
  <si>
    <t>roba</t>
  </si>
  <si>
    <t>KAWSHOU</t>
  </si>
  <si>
    <t>Mana</t>
  </si>
  <si>
    <t>10.3</t>
  </si>
  <si>
    <t>Jute</t>
  </si>
  <si>
    <t>Suubu kukoy</t>
  </si>
  <si>
    <t>Botooro</t>
  </si>
  <si>
    <t>10.4</t>
  </si>
  <si>
    <t>Fodder</t>
  </si>
  <si>
    <t>Fourrage</t>
  </si>
  <si>
    <t>Ciyarwa dabobi</t>
  </si>
  <si>
    <t>Suubu kopto</t>
  </si>
  <si>
    <t>Hudo [niamdu dabaaji]</t>
  </si>
  <si>
    <t>Fourraaj</t>
  </si>
  <si>
    <t>10.5</t>
  </si>
  <si>
    <t>Tobacco</t>
  </si>
  <si>
    <t>Tabac</t>
  </si>
  <si>
    <t>Taba</t>
  </si>
  <si>
    <t>SIGARI</t>
  </si>
  <si>
    <t>10.6</t>
  </si>
  <si>
    <t>Qat</t>
  </si>
  <si>
    <t>Koat</t>
  </si>
  <si>
    <t>Kowat</t>
  </si>
  <si>
    <t>10.99</t>
  </si>
  <si>
    <t>Other non-food cash crop</t>
  </si>
  <si>
    <t>Autre culture de rente non alimentaire</t>
  </si>
  <si>
    <t>Sauran amfanin gona marasa abinci</t>
  </si>
  <si>
    <t>Chi dey kan mate ngwari neri yon dumsi ize</t>
  </si>
  <si>
    <t>Iya əsigyak ən tanfo winan eqel ishiska</t>
  </si>
  <si>
    <t>777</t>
  </si>
  <si>
    <t>No crop production</t>
  </si>
  <si>
    <t>Pas de production végétale</t>
  </si>
  <si>
    <t>Babu wata al'ada</t>
  </si>
  <si>
    <t>aran si farmi fo teh kan manti wane kan ra aran go</t>
  </si>
  <si>
    <t>Fuɗngo fuh ngaɗaka</t>
  </si>
  <si>
    <t>Kerea kuloye aw inji gade ba</t>
  </si>
  <si>
    <t>wirtilen</t>
  </si>
  <si>
    <t>888</t>
  </si>
  <si>
    <t>Don't know</t>
  </si>
  <si>
    <t>Je ne sais pas</t>
  </si>
  <si>
    <t>999</t>
  </si>
  <si>
    <t>Refused</t>
  </si>
  <si>
    <t>Refusé</t>
  </si>
  <si>
    <t>crop2</t>
  </si>
  <si>
    <t>666</t>
  </si>
  <si>
    <t>No other crop</t>
  </si>
  <si>
    <t>Aucune autre culture</t>
  </si>
  <si>
    <t>crop3</t>
  </si>
  <si>
    <t>Karotan</t>
  </si>
  <si>
    <t>Suutan</t>
  </si>
  <si>
    <t>Letutan</t>
  </si>
  <si>
    <t>Moringatan</t>
  </si>
  <si>
    <t>Lemburu pamaro</t>
  </si>
  <si>
    <t>Lemburu goɗɗi</t>
  </si>
  <si>
    <t>Poaar (poire</t>
  </si>
  <si>
    <t>bokado</t>
  </si>
  <si>
    <t>Kakao</t>
  </si>
  <si>
    <t>Kantal</t>
  </si>
  <si>
    <t>Roba</t>
  </si>
  <si>
    <t>Ledakonnuwa</t>
  </si>
  <si>
    <t>admin1</t>
  </si>
  <si>
    <t>NE001</t>
  </si>
  <si>
    <t>Agadez</t>
  </si>
  <si>
    <t>NE002</t>
  </si>
  <si>
    <t>Diffa</t>
  </si>
  <si>
    <t>NE003</t>
  </si>
  <si>
    <t>Dosso</t>
  </si>
  <si>
    <t>NE004</t>
  </si>
  <si>
    <t>Maradi</t>
  </si>
  <si>
    <t>NE005</t>
  </si>
  <si>
    <t>Tahoua</t>
  </si>
  <si>
    <t>NE006</t>
  </si>
  <si>
    <t>Tillabery</t>
  </si>
  <si>
    <t>NE007</t>
  </si>
  <si>
    <t>Zinder</t>
  </si>
  <si>
    <t>NE008</t>
  </si>
  <si>
    <t>Niamey</t>
  </si>
  <si>
    <t>admin2</t>
  </si>
  <si>
    <t>NE001001</t>
  </si>
  <si>
    <t>Aderbissinat</t>
  </si>
  <si>
    <t>NE001002</t>
  </si>
  <si>
    <t>Arlit</t>
  </si>
  <si>
    <t>NE001003</t>
  </si>
  <si>
    <t>Bilma</t>
  </si>
  <si>
    <t>NE001004</t>
  </si>
  <si>
    <t>Iferouane</t>
  </si>
  <si>
    <t>NE001005</t>
  </si>
  <si>
    <t>In-Gall</t>
  </si>
  <si>
    <t>NE001006</t>
  </si>
  <si>
    <t>Tchirozérine</t>
  </si>
  <si>
    <t>NE002001</t>
  </si>
  <si>
    <t>Bosso</t>
  </si>
  <si>
    <t>NE002002</t>
  </si>
  <si>
    <t>NE002003</t>
  </si>
  <si>
    <t>Goudoumaria</t>
  </si>
  <si>
    <t>NE002004</t>
  </si>
  <si>
    <t>Maïné Soroa</t>
  </si>
  <si>
    <t>NE002005</t>
  </si>
  <si>
    <t>Ngourti</t>
  </si>
  <si>
    <t>NE002006</t>
  </si>
  <si>
    <t>N'Guigmi</t>
  </si>
  <si>
    <t>NE003001</t>
  </si>
  <si>
    <t>Boboye</t>
  </si>
  <si>
    <t>NE003002</t>
  </si>
  <si>
    <t>Dioudiou</t>
  </si>
  <si>
    <t>NE003003</t>
  </si>
  <si>
    <t>Doutchi</t>
  </si>
  <si>
    <t>NE003004</t>
  </si>
  <si>
    <t>NE003005</t>
  </si>
  <si>
    <t>Falmey</t>
  </si>
  <si>
    <t>NE003006</t>
  </si>
  <si>
    <t>Gaya</t>
  </si>
  <si>
    <t>NE003007</t>
  </si>
  <si>
    <t>Loga</t>
  </si>
  <si>
    <t>NE003008</t>
  </si>
  <si>
    <t>Tibiri</t>
  </si>
  <si>
    <t>NE004001</t>
  </si>
  <si>
    <t>Aguié</t>
  </si>
  <si>
    <t>NE004002</t>
  </si>
  <si>
    <t>Bermo</t>
  </si>
  <si>
    <t>NE004003</t>
  </si>
  <si>
    <t>Dakoro</t>
  </si>
  <si>
    <t>NE004004</t>
  </si>
  <si>
    <t>Gazaoua</t>
  </si>
  <si>
    <t>NE004005</t>
  </si>
  <si>
    <t>Guidan Roumji</t>
  </si>
  <si>
    <t>NE004006</t>
  </si>
  <si>
    <t>Madarounfa</t>
  </si>
  <si>
    <t>NE004007</t>
  </si>
  <si>
    <t>Mayahi</t>
  </si>
  <si>
    <t>NE004008</t>
  </si>
  <si>
    <t>Tessaoua</t>
  </si>
  <si>
    <t>NE005001</t>
  </si>
  <si>
    <t>Abalak</t>
  </si>
  <si>
    <t>NE005002</t>
  </si>
  <si>
    <t>Bagaroua</t>
  </si>
  <si>
    <t>NE005003</t>
  </si>
  <si>
    <t>Konni</t>
  </si>
  <si>
    <t>NE005004</t>
  </si>
  <si>
    <t>Bouza</t>
  </si>
  <si>
    <t>NE005005</t>
  </si>
  <si>
    <t>Illela</t>
  </si>
  <si>
    <t>NE005006</t>
  </si>
  <si>
    <t>Keita</t>
  </si>
  <si>
    <t>NE005007</t>
  </si>
  <si>
    <t>Madaoua</t>
  </si>
  <si>
    <t>NE005008</t>
  </si>
  <si>
    <t>Malbaza</t>
  </si>
  <si>
    <t>NE005009</t>
  </si>
  <si>
    <t>NE005010</t>
  </si>
  <si>
    <t>Tassara</t>
  </si>
  <si>
    <t>NE005011</t>
  </si>
  <si>
    <t>Tchintabaraden</t>
  </si>
  <si>
    <t>NE005012</t>
  </si>
  <si>
    <t>Tillia</t>
  </si>
  <si>
    <t>NE006001</t>
  </si>
  <si>
    <t>Abala</t>
  </si>
  <si>
    <t>NE006002</t>
  </si>
  <si>
    <t>Ayerou</t>
  </si>
  <si>
    <t>NE006003</t>
  </si>
  <si>
    <t>Bani Bangou</t>
  </si>
  <si>
    <t>NE006004</t>
  </si>
  <si>
    <t>Bankillare</t>
  </si>
  <si>
    <t>NE006005</t>
  </si>
  <si>
    <t>Filingué</t>
  </si>
  <si>
    <t>NE006006</t>
  </si>
  <si>
    <t>Gotheye</t>
  </si>
  <si>
    <t>NE006007</t>
  </si>
  <si>
    <t>Kollo</t>
  </si>
  <si>
    <t>NE006008</t>
  </si>
  <si>
    <t>Ouallam</t>
  </si>
  <si>
    <t>NE006009</t>
  </si>
  <si>
    <t>Say</t>
  </si>
  <si>
    <t>NE006010</t>
  </si>
  <si>
    <t>Tagazar</t>
  </si>
  <si>
    <t>NE006011</t>
  </si>
  <si>
    <t>Téra</t>
  </si>
  <si>
    <t>NE006012</t>
  </si>
  <si>
    <t>Tillabéri</t>
  </si>
  <si>
    <t>NE006013</t>
  </si>
  <si>
    <t>Torodi</t>
  </si>
  <si>
    <t>NE007001</t>
  </si>
  <si>
    <t>Damagaram Takaya</t>
  </si>
  <si>
    <t>NE007002</t>
  </si>
  <si>
    <t>Dungass</t>
  </si>
  <si>
    <t>NE007003</t>
  </si>
  <si>
    <t>Gouré</t>
  </si>
  <si>
    <t>NE007004</t>
  </si>
  <si>
    <t>Magaria</t>
  </si>
  <si>
    <t>NE007005</t>
  </si>
  <si>
    <t>Matameye</t>
  </si>
  <si>
    <t>NE007006</t>
  </si>
  <si>
    <t>Mirriah</t>
  </si>
  <si>
    <t>NE007007</t>
  </si>
  <si>
    <t>Takiéta</t>
  </si>
  <si>
    <t>NE007008</t>
  </si>
  <si>
    <t>Tanout</t>
  </si>
  <si>
    <t>NE007009</t>
  </si>
  <si>
    <t>Tarka</t>
  </si>
  <si>
    <t>NE007010</t>
  </si>
  <si>
    <t>Tasker</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</si>
  <si>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</si>
  <si>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</si>
  <si>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</si>
  <si>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</si>
  <si>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</si>
  <si>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</si>
  <si>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</si>
  <si>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</si>
  <si>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</si>
  <si>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</si>
  <si>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</si>
  <si>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</si>
  <si>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</si>
  <si>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</si>
  <si>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</si>
  <si>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</si>
  <si>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</si>
  <si>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</si>
  <si>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</si>
  <si>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</si>
  <si>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</si>
  <si>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</si>
  <si>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</si>
  <si>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</si>
  <si>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</si>
  <si>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</si>
  <si>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</si>
  <si>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</si>
  <si>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Region</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</si>
  <si>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</si>
  <si>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</si>
  <si>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</si>
  <si>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</si>
  <si>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Department</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</si>
  <si>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</si>
  <si>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</si>
  <si>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</si>
  <si>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</si>
  <si>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</si>
  <si>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a normal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</si>
  <si>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</si>
  <si>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</si>
  <si>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</si>
  <si>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saison irrigue'</t>
  </si>
  <si>
    <t>irrigated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</si>
  <si>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</si>
  <si>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</si>
  <si>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</si>
  <si>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</si>
  <si>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</si>
  <si>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Post-récolte</t>
  </si>
  <si>
    <t>Recently finished</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</si>
  <si>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</si>
  <si>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</si>
  <si>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</si>
  <si>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</si>
  <si>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</si>
  <si>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</si>
  <si>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</si>
  <si>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</si>
  <si>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</si>
  <si>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</si>
  <si>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</si>
  <si>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</si>
  <si>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</si>
  <si>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Francs 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</si>
  <si>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</si>
  <si>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</si>
  <si>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</si>
  <si>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</si>
  <si>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</si>
  <si>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</si>
  <si>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</si>
  <si>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</si>
  <si>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</si>
  <si>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</si>
  <si>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moringa, oseille, chou, tomate, laitue, concombre, courgette, aubergine, carotte</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</si>
  <si>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</si>
  <si>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</si>
  <si>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</si>
  <si>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</si>
  <si>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</si>
  <si>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Mangue, pastèque, banane, ananas, dattes, orange, melon</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</si>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</sst>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rgb="FFA6A6A6"/>
      <name val="Calibri"/>
      <family val="2"/>
    </font>
  </fonts>
  <fills count="9">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tint="0.79998168889431442"/>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6" fillId="0" borderId="0"/>
    <xf numFmtId="0" fontId="9" fillId="0" borderId="0"/>
    <xf numFmtId="0" fontId="15" fillId="0" borderId="0"/>
    <xf numFmtId="0" fontId="6" fillId="0" borderId="0"/>
    <xf numFmtId="0" fontId="6" fillId="0" borderId="0"/>
    <xf numFmtId="0" fontId="20"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cellStyleXfs>
  <cellXfs count="325">
    <xf numFmtId="0" fontId="0" fillId="0" borderId="0" xfId="0"/>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21" fillId="2" borderId="7" xfId="6" applyFont="1" applyFill="1" applyBorder="1" applyAlignment="1" applyProtection="1">
      <alignment horizontal="center" vertical="center"/>
      <protection locked="0"/>
    </xf>
    <xf numFmtId="0" fontId="12" fillId="0" borderId="0" xfId="0" applyFont="1" applyProtection="1">
      <protection locked="0"/>
    </xf>
    <xf numFmtId="0" fontId="13" fillId="0" borderId="0" xfId="0" applyFont="1" applyProtection="1">
      <protection locked="0"/>
    </xf>
    <xf numFmtId="0" fontId="7" fillId="0" borderId="0" xfId="0" applyFont="1" applyProtection="1">
      <protection locked="0"/>
    </xf>
    <xf numFmtId="0" fontId="11" fillId="0" borderId="0" xfId="0" applyFont="1"/>
    <xf numFmtId="0" fontId="11" fillId="0" borderId="0" xfId="0" applyFont="1" applyProtection="1">
      <protection locked="0"/>
    </xf>
    <xf numFmtId="0" fontId="10" fillId="0" borderId="0" xfId="0" applyFont="1" applyProtection="1">
      <protection locked="0"/>
    </xf>
    <xf numFmtId="0" fontId="11" fillId="2" borderId="0" xfId="0" applyFont="1" applyFill="1" applyProtection="1">
      <protection locked="0"/>
    </xf>
    <xf numFmtId="0" fontId="10" fillId="0" borderId="0" xfId="0" applyFont="1"/>
    <xf numFmtId="0" fontId="12" fillId="0" borderId="0" xfId="0" applyFont="1"/>
    <xf numFmtId="0" fontId="4" fillId="0" borderId="2" xfId="10" applyFont="1" applyBorder="1"/>
    <xf numFmtId="0" fontId="4" fillId="0" borderId="13" xfId="10" applyFont="1" applyBorder="1"/>
    <xf numFmtId="0" fontId="4" fillId="0" borderId="6" xfId="10" applyFont="1" applyBorder="1"/>
    <xf numFmtId="0" fontId="4" fillId="0" borderId="23" xfId="10" applyFont="1" applyBorder="1"/>
    <xf numFmtId="0" fontId="18" fillId="0" borderId="28" xfId="10" applyFont="1" applyBorder="1" applyAlignment="1">
      <alignment horizontal="center" vertical="center" wrapText="1"/>
    </xf>
    <xf numFmtId="0" fontId="18" fillId="0" borderId="35" xfId="10" applyFont="1" applyBorder="1" applyAlignment="1">
      <alignment vertical="center" wrapText="1"/>
    </xf>
    <xf numFmtId="0" fontId="18" fillId="0" borderId="19" xfId="10" applyFont="1" applyBorder="1" applyAlignment="1">
      <alignment vertical="center" wrapText="1"/>
    </xf>
    <xf numFmtId="0" fontId="18" fillId="0" borderId="30" xfId="10" applyFont="1" applyBorder="1" applyAlignment="1">
      <alignment vertical="center" wrapText="1"/>
    </xf>
    <xf numFmtId="0" fontId="4" fillId="0" borderId="3" xfId="10" applyFont="1" applyBorder="1"/>
    <xf numFmtId="0" fontId="4" fillId="3" borderId="9" xfId="10" applyFont="1" applyFill="1" applyBorder="1" applyAlignment="1" applyProtection="1">
      <alignment horizontal="center" vertical="center"/>
      <protection locked="0"/>
    </xf>
    <xf numFmtId="0" fontId="4" fillId="3" borderId="7" xfId="10" applyFont="1" applyFill="1" applyBorder="1" applyAlignment="1" applyProtection="1">
      <alignment horizontal="center" vertical="center"/>
      <protection locked="0"/>
    </xf>
    <xf numFmtId="0" fontId="4" fillId="3" borderId="4" xfId="10" applyFont="1" applyFill="1" applyBorder="1" applyAlignment="1" applyProtection="1">
      <alignment horizontal="center" vertical="center"/>
      <protection locked="0"/>
    </xf>
    <xf numFmtId="0" fontId="17" fillId="0" borderId="10" xfId="5" applyFont="1" applyBorder="1" applyAlignment="1">
      <alignment horizontal="left" vertical="center"/>
    </xf>
    <xf numFmtId="0" fontId="17" fillId="0" borderId="38" xfId="10" applyFont="1" applyBorder="1" applyAlignment="1">
      <alignment horizontal="left" vertical="center"/>
    </xf>
    <xf numFmtId="0" fontId="17" fillId="0" borderId="37" xfId="10" applyFont="1" applyBorder="1" applyAlignment="1">
      <alignment horizontal="left" vertical="center"/>
    </xf>
    <xf numFmtId="0" fontId="17" fillId="0" borderId="10" xfId="10" applyFont="1" applyBorder="1" applyAlignment="1">
      <alignment horizontal="left" vertical="center"/>
    </xf>
    <xf numFmtId="0" fontId="24" fillId="0" borderId="8" xfId="10" applyFont="1" applyBorder="1" applyAlignment="1">
      <alignment horizontal="center" vertical="center" wrapText="1"/>
    </xf>
    <xf numFmtId="0" fontId="24" fillId="0" borderId="5" xfId="10" applyFont="1" applyBorder="1" applyAlignment="1">
      <alignment horizontal="center" vertical="center" wrapText="1"/>
    </xf>
    <xf numFmtId="0" fontId="22" fillId="0" borderId="39" xfId="0" applyFont="1" applyBorder="1" applyAlignment="1" applyProtection="1">
      <alignment horizontal="center" vertical="center" wrapText="1"/>
      <protection locked="0"/>
    </xf>
    <xf numFmtId="0" fontId="4" fillId="0" borderId="40" xfId="10" applyFont="1" applyBorder="1"/>
    <xf numFmtId="0" fontId="4" fillId="0" borderId="13" xfId="10" applyFont="1" applyBorder="1" applyAlignment="1">
      <alignment vertical="center"/>
    </xf>
    <xf numFmtId="0" fontId="19" fillId="0" borderId="26" xfId="10" applyFont="1" applyBorder="1" applyAlignment="1">
      <alignment horizontal="center" vertical="center"/>
    </xf>
    <xf numFmtId="0" fontId="17" fillId="0" borderId="31" xfId="10" applyFont="1" applyBorder="1" applyAlignment="1">
      <alignment vertical="center" wrapText="1"/>
    </xf>
    <xf numFmtId="0" fontId="4" fillId="0" borderId="3" xfId="10" applyFont="1" applyBorder="1" applyAlignment="1">
      <alignment vertical="center"/>
    </xf>
    <xf numFmtId="0" fontId="4"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17" fillId="0" borderId="15" xfId="5" applyFont="1" applyBorder="1" applyAlignment="1">
      <alignment horizontal="left" vertical="center" wrapText="1"/>
    </xf>
    <xf numFmtId="0" fontId="24" fillId="0" borderId="15" xfId="10" applyFont="1" applyBorder="1" applyAlignment="1">
      <alignment horizontal="center" vertical="center" wrapText="1"/>
    </xf>
    <xf numFmtId="0" fontId="28" fillId="0" borderId="16" xfId="10" applyFont="1" applyBorder="1" applyAlignment="1">
      <alignment vertical="center" wrapText="1"/>
    </xf>
    <xf numFmtId="0" fontId="28" fillId="0" borderId="7" xfId="10" applyFont="1" applyBorder="1" applyAlignment="1">
      <alignment vertical="center" wrapText="1"/>
    </xf>
    <xf numFmtId="0" fontId="28" fillId="0" borderId="4" xfId="10" applyFont="1" applyBorder="1" applyAlignment="1">
      <alignment vertical="center" wrapText="1"/>
    </xf>
    <xf numFmtId="0" fontId="4" fillId="5" borderId="6" xfId="10" applyFont="1" applyFill="1" applyBorder="1"/>
    <xf numFmtId="0" fontId="4" fillId="5" borderId="33" xfId="10" applyFont="1" applyFill="1" applyBorder="1" applyAlignment="1">
      <alignment wrapText="1"/>
    </xf>
    <xf numFmtId="0" fontId="17" fillId="5" borderId="34" xfId="10" applyFont="1" applyFill="1" applyBorder="1" applyAlignment="1">
      <alignment vertical="center"/>
    </xf>
    <xf numFmtId="0" fontId="18" fillId="5" borderId="35" xfId="10" applyFont="1" applyFill="1" applyBorder="1" applyAlignment="1">
      <alignment vertical="center" wrapText="1"/>
    </xf>
    <xf numFmtId="0" fontId="18" fillId="5" borderId="36" xfId="10" applyFont="1" applyFill="1" applyBorder="1" applyAlignment="1">
      <alignment horizontal="center" vertical="center" wrapText="1"/>
    </xf>
    <xf numFmtId="0" fontId="4" fillId="5" borderId="23" xfId="10" applyFont="1" applyFill="1" applyBorder="1"/>
    <xf numFmtId="0" fontId="4" fillId="5" borderId="2" xfId="10" applyFont="1" applyFill="1" applyBorder="1"/>
    <xf numFmtId="0" fontId="17" fillId="0" borderId="8" xfId="10" applyFont="1" applyBorder="1" applyAlignment="1">
      <alignment horizontal="left" vertical="center" wrapText="1"/>
    </xf>
    <xf numFmtId="0" fontId="4" fillId="0" borderId="6" xfId="10" applyFont="1" applyBorder="1" applyAlignment="1">
      <alignment vertical="center"/>
    </xf>
    <xf numFmtId="0" fontId="4" fillId="0" borderId="25" xfId="10" applyFont="1" applyBorder="1" applyAlignment="1">
      <alignment vertical="center"/>
    </xf>
    <xf numFmtId="0" fontId="19" fillId="0" borderId="12" xfId="10" applyFont="1" applyBorder="1" applyAlignment="1">
      <alignment horizontal="center" vertical="center" wrapText="1"/>
    </xf>
    <xf numFmtId="0" fontId="19" fillId="0" borderId="11" xfId="10" applyFont="1" applyBorder="1" applyAlignment="1">
      <alignment horizontal="center" vertical="center"/>
    </xf>
    <xf numFmtId="0" fontId="19" fillId="0" borderId="18" xfId="10" applyFont="1" applyBorder="1" applyAlignment="1">
      <alignment horizontal="center" vertical="center"/>
    </xf>
    <xf numFmtId="0" fontId="4" fillId="0" borderId="23" xfId="10" applyFont="1" applyBorder="1" applyAlignment="1">
      <alignment vertical="center"/>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2"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2" fillId="0" borderId="0" xfId="0" applyFont="1" applyAlignment="1">
      <alignment vertical="top"/>
    </xf>
    <xf numFmtId="0" fontId="11" fillId="2" borderId="0" xfId="0" applyFont="1"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8" fillId="0" borderId="0" xfId="0" applyFont="1" applyAlignment="1">
      <alignment vertical="top" wrapText="1"/>
    </xf>
    <xf numFmtId="0" fontId="8" fillId="0" borderId="0" xfId="0" applyFont="1" applyAlignment="1" applyProtection="1">
      <alignment vertical="top" wrapText="1"/>
      <protection locked="0"/>
    </xf>
    <xf numFmtId="0" fontId="26" fillId="0" borderId="0" xfId="0" applyFont="1" applyAlignment="1" applyProtection="1">
      <alignment vertical="top"/>
      <protection locked="0"/>
    </xf>
    <xf numFmtId="0" fontId="10" fillId="0" borderId="1" xfId="0" applyFont="1" applyBorder="1" applyAlignment="1">
      <alignment vertical="top"/>
    </xf>
    <xf numFmtId="0" fontId="10" fillId="0" borderId="1" xfId="0" applyFont="1" applyBorder="1" applyAlignment="1">
      <alignment vertical="top" wrapText="1"/>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2" fillId="0" borderId="0" xfId="0" applyFont="1" applyAlignment="1">
      <alignment vertical="top" wrapText="1"/>
    </xf>
    <xf numFmtId="0" fontId="14" fillId="2" borderId="0" xfId="0" applyFont="1" applyFill="1" applyAlignment="1" applyProtection="1">
      <alignment vertical="top"/>
      <protection locked="0"/>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0" fillId="0" borderId="0" xfId="0" applyAlignment="1">
      <alignment vertical="center"/>
    </xf>
    <xf numFmtId="0" fontId="11" fillId="0" borderId="0" xfId="0" applyFont="1" applyAlignment="1" applyProtection="1">
      <alignment vertical="center"/>
      <protection locked="0"/>
    </xf>
    <xf numFmtId="0" fontId="10" fillId="0" borderId="0" xfId="0" applyFont="1" applyAlignment="1">
      <alignment vertical="center"/>
    </xf>
    <xf numFmtId="0" fontId="11" fillId="0" borderId="1"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8" fillId="0" borderId="0" xfId="0" applyFont="1" applyAlignment="1">
      <alignment vertical="center"/>
    </xf>
    <xf numFmtId="0" fontId="8" fillId="0" borderId="0" xfId="0" applyFont="1" applyAlignment="1" applyProtection="1">
      <alignment vertical="center"/>
      <protection locked="0"/>
    </xf>
    <xf numFmtId="0" fontId="0" fillId="0" borderId="0" xfId="0" applyAlignment="1" applyProtection="1">
      <alignment vertical="center"/>
      <protection locked="0"/>
    </xf>
    <xf numFmtId="0" fontId="26" fillId="0" borderId="0" xfId="0" applyFont="1" applyAlignment="1" applyProtection="1">
      <alignment vertical="center"/>
      <protection locked="0"/>
    </xf>
    <xf numFmtId="0" fontId="26"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0" fillId="0" borderId="1" xfId="0" applyBorder="1" applyAlignment="1">
      <alignment vertical="center"/>
    </xf>
    <xf numFmtId="0" fontId="22" fillId="0" borderId="0" xfId="0" applyFont="1" applyAlignment="1">
      <alignment vertical="center"/>
    </xf>
    <xf numFmtId="0" fontId="14" fillId="0" borderId="0" xfId="0" applyFont="1" applyAlignment="1" applyProtection="1">
      <alignment vertical="center"/>
      <protection locked="0"/>
    </xf>
    <xf numFmtId="0" fontId="7" fillId="0" borderId="0" xfId="0" applyFont="1" applyAlignment="1">
      <alignment vertical="center"/>
    </xf>
    <xf numFmtId="0" fontId="17" fillId="0" borderId="5" xfId="10" applyFont="1" applyBorder="1" applyAlignment="1">
      <alignment horizontal="left" vertical="center" wrapText="1"/>
    </xf>
    <xf numFmtId="0" fontId="17" fillId="0" borderId="8" xfId="10" applyFont="1" applyBorder="1" applyAlignment="1">
      <alignment horizontal="left" vertical="center"/>
    </xf>
    <xf numFmtId="0" fontId="18" fillId="0" borderId="19" xfId="5" applyFont="1" applyBorder="1" applyAlignment="1">
      <alignment vertical="center" wrapText="1"/>
    </xf>
    <xf numFmtId="0" fontId="4" fillId="5" borderId="24" xfId="10" applyFont="1" applyFill="1" applyBorder="1" applyAlignment="1">
      <alignment horizontal="center" vertical="center"/>
    </xf>
    <xf numFmtId="0" fontId="18" fillId="0" borderId="22" xfId="10" applyFont="1" applyBorder="1" applyAlignment="1">
      <alignment horizontal="center" vertical="center" wrapText="1"/>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2" fillId="0" borderId="7" xfId="0" applyFont="1" applyBorder="1" applyAlignment="1">
      <alignment horizontal="center" vertical="center"/>
    </xf>
    <xf numFmtId="0" fontId="22"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2"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9" fillId="0" borderId="0" xfId="0" applyFont="1" applyAlignment="1">
      <alignment vertical="center"/>
    </xf>
    <xf numFmtId="0" fontId="29" fillId="0" borderId="0" xfId="0" applyFont="1" applyAlignment="1">
      <alignment vertical="top"/>
    </xf>
    <xf numFmtId="0" fontId="29" fillId="0" borderId="0" xfId="0" applyFont="1" applyAlignment="1">
      <alignment vertical="top" wrapText="1"/>
    </xf>
    <xf numFmtId="0" fontId="29" fillId="0" borderId="0" xfId="0" applyFont="1" applyAlignment="1" applyProtection="1">
      <alignment vertical="top"/>
      <protection locked="0"/>
    </xf>
    <xf numFmtId="0" fontId="29" fillId="2" borderId="0" xfId="0" applyFont="1" applyFill="1" applyAlignment="1" applyProtection="1">
      <alignment vertical="top" wrapText="1"/>
      <protection locked="0"/>
    </xf>
    <xf numFmtId="0" fontId="29" fillId="2" borderId="0" xfId="0" applyFont="1" applyFill="1" applyAlignment="1" applyProtection="1">
      <alignment vertical="top"/>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11" fillId="0" borderId="0" xfId="7" applyFont="1" applyAlignment="1" applyProtection="1">
      <alignment vertical="top"/>
      <protection locked="0"/>
    </xf>
    <xf numFmtId="9" fontId="22" fillId="0" borderId="17" xfId="7" applyFont="1" applyBorder="1" applyAlignment="1" applyProtection="1">
      <alignment vertical="top"/>
      <protection locked="0"/>
    </xf>
    <xf numFmtId="0" fontId="22" fillId="0" borderId="18" xfId="0" applyFont="1" applyBorder="1" applyAlignment="1" applyProtection="1">
      <alignment vertical="top"/>
      <protection locked="0"/>
    </xf>
    <xf numFmtId="0" fontId="22" fillId="2" borderId="0" xfId="0" applyFont="1" applyFill="1" applyAlignment="1" applyProtection="1">
      <alignment vertical="top" wrapText="1"/>
      <protection locked="0"/>
    </xf>
    <xf numFmtId="0" fontId="22" fillId="2" borderId="0" xfId="0" applyFont="1" applyFill="1" applyAlignment="1" applyProtection="1">
      <alignment vertical="top"/>
      <protection locked="0"/>
    </xf>
    <xf numFmtId="49" fontId="29" fillId="0" borderId="0" xfId="0" applyNumberFormat="1" applyFont="1" applyAlignment="1">
      <alignment horizontal="left" vertical="top" wrapText="1"/>
    </xf>
    <xf numFmtId="1" fontId="27" fillId="2" borderId="7" xfId="5" applyNumberFormat="1" applyFont="1" applyFill="1" applyBorder="1" applyAlignment="1" applyProtection="1">
      <alignment horizontal="center" vertical="center"/>
      <protection locked="0"/>
    </xf>
    <xf numFmtId="0" fontId="25" fillId="0" borderId="0" xfId="0" applyFont="1" applyProtection="1">
      <protection locked="0"/>
    </xf>
    <xf numFmtId="0" fontId="18" fillId="0" borderId="16" xfId="5" applyFont="1" applyBorder="1" applyAlignment="1">
      <alignment vertical="center" wrapText="1"/>
    </xf>
    <xf numFmtId="0" fontId="17" fillId="0" borderId="9" xfId="5" applyFont="1" applyBorder="1" applyAlignment="1">
      <alignment vertical="center" wrapText="1"/>
    </xf>
    <xf numFmtId="0" fontId="17" fillId="0" borderId="7" xfId="5" applyFont="1" applyBorder="1" applyAlignment="1">
      <alignment vertical="center" wrapText="1"/>
    </xf>
    <xf numFmtId="0" fontId="18"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1"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2"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0" fontId="8" fillId="0" borderId="33" xfId="0" applyFont="1" applyBorder="1" applyAlignment="1" applyProtection="1">
      <alignment horizontal="center" vertical="center" wrapText="1"/>
      <protection locked="0"/>
    </xf>
    <xf numFmtId="0" fontId="22" fillId="6" borderId="12" xfId="0" applyFont="1" applyFill="1" applyBorder="1" applyAlignment="1" applyProtection="1">
      <alignment horizontal="center" vertical="center" wrapText="1"/>
      <protection locked="0"/>
    </xf>
    <xf numFmtId="9" fontId="22" fillId="6" borderId="11" xfId="7" applyFont="1" applyFill="1" applyBorder="1" applyAlignment="1" applyProtection="1">
      <alignment horizontal="center" vertical="center" wrapText="1"/>
      <protection locked="0"/>
    </xf>
    <xf numFmtId="0" fontId="22" fillId="6" borderId="11" xfId="0" applyFont="1" applyFill="1" applyBorder="1" applyAlignment="1" applyProtection="1">
      <alignment horizontal="center" vertical="center" wrapText="1"/>
      <protection locked="0"/>
    </xf>
    <xf numFmtId="0" fontId="21" fillId="0" borderId="20" xfId="0" applyFont="1" applyBorder="1" applyProtection="1">
      <protection locked="0"/>
    </xf>
    <xf numFmtId="0" fontId="0" fillId="0" borderId="17" xfId="0" applyBorder="1" applyAlignment="1" applyProtection="1">
      <alignment vertical="top"/>
      <protection locked="0"/>
    </xf>
    <xf numFmtId="0" fontId="5" fillId="0" borderId="6" xfId="5" applyFont="1" applyBorder="1"/>
    <xf numFmtId="0" fontId="17" fillId="0" borderId="8" xfId="5" applyFont="1" applyBorder="1" applyAlignment="1">
      <alignment vertical="center"/>
    </xf>
    <xf numFmtId="0" fontId="17" fillId="0" borderId="19" xfId="5" applyFont="1" applyBorder="1" applyAlignment="1">
      <alignment horizontal="left" vertical="center" wrapText="1"/>
    </xf>
    <xf numFmtId="0" fontId="5" fillId="0" borderId="23" xfId="5" applyFont="1" applyBorder="1"/>
    <xf numFmtId="0" fontId="5" fillId="0" borderId="2" xfId="5" applyFont="1" applyBorder="1"/>
    <xf numFmtId="0" fontId="11" fillId="3" borderId="0" xfId="0" applyFont="1" applyFill="1" applyProtection="1">
      <protection locked="0"/>
    </xf>
    <xf numFmtId="0" fontId="23" fillId="0" borderId="0" xfId="0" applyFont="1" applyProtection="1">
      <protection locked="0"/>
    </xf>
    <xf numFmtId="0" fontId="0" fillId="3" borderId="0" xfId="0" applyFill="1" applyProtection="1">
      <protection locked="0"/>
    </xf>
    <xf numFmtId="0" fontId="18" fillId="0" borderId="28" xfId="5" applyFont="1" applyBorder="1" applyAlignment="1">
      <alignment horizontal="center" vertical="center" wrapText="1"/>
    </xf>
    <xf numFmtId="0" fontId="17" fillId="0" borderId="44" xfId="5" applyFont="1" applyBorder="1" applyAlignment="1">
      <alignment vertical="center"/>
    </xf>
    <xf numFmtId="0" fontId="17" fillId="0" borderId="34" xfId="5" applyFont="1" applyBorder="1" applyAlignment="1">
      <alignment vertical="center"/>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165" fontId="10" fillId="7" borderId="0" xfId="0" applyNumberFormat="1"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10" fillId="0" borderId="0" xfId="3" applyFont="1" applyAlignment="1">
      <alignment horizontal="left" vertical="top" wrapText="1"/>
    </xf>
    <xf numFmtId="0" fontId="10" fillId="0" borderId="0" xfId="0" applyFont="1" applyAlignment="1">
      <alignment horizontal="left" vertical="top" wrapText="1"/>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0" fillId="0" borderId="0" xfId="2" applyFont="1" applyAlignment="1">
      <alignment vertical="top" wrapText="1"/>
    </xf>
    <xf numFmtId="0" fontId="10" fillId="0" borderId="0" xfId="2" applyFont="1" applyAlignment="1" applyProtection="1">
      <alignment vertical="top" wrapText="1"/>
      <protection locked="0"/>
    </xf>
    <xf numFmtId="0" fontId="8" fillId="0" borderId="0" xfId="0" applyFont="1" applyAlignment="1">
      <alignment wrapText="1"/>
    </xf>
    <xf numFmtId="0" fontId="10" fillId="0" borderId="0" xfId="0" applyFont="1" applyAlignment="1">
      <alignment horizontal="left" vertical="top"/>
    </xf>
    <xf numFmtId="0" fontId="0" fillId="0" borderId="1" xfId="0" applyBorder="1" applyAlignment="1" applyProtection="1">
      <alignment vertical="top"/>
      <protection locked="0"/>
    </xf>
    <xf numFmtId="0" fontId="10"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0" fillId="0" borderId="0" xfId="2" applyFont="1" applyAlignment="1">
      <alignment horizontal="left" vertical="center" wrapText="1"/>
    </xf>
    <xf numFmtId="0" fontId="10" fillId="0" borderId="0" xfId="2" applyFont="1" applyAlignment="1">
      <alignment vertical="center" wrapText="1"/>
    </xf>
    <xf numFmtId="0" fontId="10"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9" fillId="0" borderId="45" xfId="10" applyFont="1" applyBorder="1" applyAlignment="1">
      <alignment horizontal="center" vertical="center"/>
    </xf>
    <xf numFmtId="0" fontId="4" fillId="5" borderId="47" xfId="10" applyFont="1" applyFill="1" applyBorder="1" applyAlignment="1">
      <alignment horizontal="center" vertical="center"/>
    </xf>
    <xf numFmtId="0" fontId="19" fillId="0" borderId="48" xfId="10" applyFont="1" applyBorder="1" applyAlignment="1">
      <alignment horizontal="center" vertical="center"/>
    </xf>
    <xf numFmtId="0" fontId="18" fillId="0" borderId="49" xfId="5" applyFont="1" applyBorder="1" applyAlignment="1">
      <alignment vertical="center" wrapText="1"/>
    </xf>
    <xf numFmtId="0" fontId="18" fillId="0" borderId="37" xfId="17" applyFont="1" applyBorder="1" applyAlignment="1">
      <alignment vertical="center" wrapText="1"/>
    </xf>
    <xf numFmtId="0" fontId="18" fillId="0" borderId="50" xfId="17" applyFont="1" applyBorder="1" applyAlignment="1">
      <alignment vertical="center" wrapText="1"/>
    </xf>
    <xf numFmtId="0" fontId="18" fillId="0" borderId="37" xfId="10" applyFont="1" applyBorder="1" applyAlignment="1">
      <alignment vertical="center" wrapText="1"/>
    </xf>
    <xf numFmtId="0" fontId="18" fillId="0" borderId="51" xfId="10" applyFont="1" applyBorder="1" applyAlignment="1">
      <alignment vertical="center" wrapText="1"/>
    </xf>
    <xf numFmtId="0" fontId="18" fillId="5" borderId="50" xfId="10" applyFont="1" applyFill="1" applyBorder="1" applyAlignment="1">
      <alignment vertical="center" wrapText="1"/>
    </xf>
    <xf numFmtId="0" fontId="28" fillId="0" borderId="52" xfId="10" applyFont="1" applyBorder="1" applyAlignment="1">
      <alignment vertical="center" wrapText="1"/>
    </xf>
    <xf numFmtId="0" fontId="28" fillId="0" borderId="53" xfId="10" applyFont="1" applyBorder="1" applyAlignment="1">
      <alignment vertical="center" wrapText="1"/>
    </xf>
    <xf numFmtId="0" fontId="28" fillId="0" borderId="51" xfId="10" applyFont="1" applyBorder="1" applyAlignment="1">
      <alignment vertical="center" wrapText="1"/>
    </xf>
    <xf numFmtId="0" fontId="3" fillId="0" borderId="13" xfId="17" applyFont="1" applyBorder="1"/>
    <xf numFmtId="0" fontId="3" fillId="0" borderId="3" xfId="17" applyFont="1" applyBorder="1"/>
    <xf numFmtId="0" fontId="3" fillId="0" borderId="2" xfId="17" applyFont="1" applyBorder="1"/>
    <xf numFmtId="0" fontId="19" fillId="0" borderId="48" xfId="17" applyFont="1" applyBorder="1" applyAlignment="1">
      <alignment horizontal="center" vertical="center"/>
    </xf>
    <xf numFmtId="0" fontId="9" fillId="0" borderId="54" xfId="17" applyFont="1" applyBorder="1" applyAlignment="1">
      <alignment horizontal="center" vertical="center"/>
    </xf>
    <xf numFmtId="0" fontId="9" fillId="0" borderId="55" xfId="17" applyFont="1" applyBorder="1" applyAlignment="1">
      <alignment horizontal="center" vertical="center"/>
    </xf>
    <xf numFmtId="0" fontId="17" fillId="0" borderId="38" xfId="17" applyFont="1" applyBorder="1" applyAlignment="1">
      <alignment horizontal="center" vertical="center" wrapText="1"/>
    </xf>
    <xf numFmtId="0" fontId="17" fillId="0" borderId="37" xfId="17" applyFont="1" applyBorder="1" applyAlignment="1">
      <alignment horizontal="center" vertical="center" wrapText="1"/>
    </xf>
    <xf numFmtId="0" fontId="18" fillId="0" borderId="37" xfId="17" applyFont="1" applyBorder="1" applyAlignment="1">
      <alignment horizontal="center" vertical="center" wrapText="1"/>
    </xf>
    <xf numFmtId="2" fontId="18" fillId="0" borderId="50" xfId="17" applyNumberFormat="1" applyFont="1" applyBorder="1" applyAlignment="1">
      <alignment horizontal="center" vertical="center" wrapText="1"/>
    </xf>
    <xf numFmtId="0" fontId="18" fillId="0" borderId="51" xfId="17" applyFont="1" applyBorder="1" applyAlignment="1">
      <alignment horizontal="center" vertical="center" wrapText="1"/>
    </xf>
    <xf numFmtId="0" fontId="18" fillId="5" borderId="50" xfId="17" applyFont="1" applyFill="1" applyBorder="1" applyAlignment="1">
      <alignment horizontal="center" vertical="center" wrapText="1"/>
    </xf>
    <xf numFmtId="0" fontId="17" fillId="0" borderId="56" xfId="5" applyFont="1" applyBorder="1" applyAlignment="1">
      <alignment vertical="center" wrapText="1"/>
    </xf>
    <xf numFmtId="0" fontId="18" fillId="0" borderId="57" xfId="5" applyFont="1" applyBorder="1" applyAlignment="1">
      <alignment vertical="center" wrapText="1"/>
    </xf>
    <xf numFmtId="0" fontId="3" fillId="5" borderId="58" xfId="17" applyFont="1" applyFill="1" applyBorder="1" applyAlignment="1">
      <alignment horizontal="center" vertical="center"/>
    </xf>
    <xf numFmtId="0" fontId="3" fillId="5" borderId="7" xfId="17" applyFont="1" applyFill="1" applyBorder="1" applyAlignment="1">
      <alignment horizontal="center" vertical="center"/>
    </xf>
    <xf numFmtId="0" fontId="3" fillId="0" borderId="7" xfId="17" applyFont="1" applyBorder="1" applyAlignment="1">
      <alignment horizontal="center" vertical="center"/>
    </xf>
    <xf numFmtId="0" fontId="3" fillId="3" borderId="7" xfId="17" applyFont="1" applyFill="1" applyBorder="1" applyAlignment="1" applyProtection="1">
      <alignment horizontal="center" vertical="center"/>
      <protection locked="0"/>
    </xf>
    <xf numFmtId="0" fontId="3" fillId="2" borderId="46" xfId="17" applyFont="1" applyFill="1" applyBorder="1" applyAlignment="1" applyProtection="1">
      <alignment horizontal="center" vertical="center"/>
      <protection locked="0"/>
    </xf>
    <xf numFmtId="4" fontId="3" fillId="5" borderId="4" xfId="17" applyNumberFormat="1" applyFont="1" applyFill="1" applyBorder="1" applyAlignment="1">
      <alignment horizontal="center" vertical="center"/>
    </xf>
    <xf numFmtId="164" fontId="18" fillId="0" borderId="52" xfId="7" applyNumberFormat="1" applyFont="1" applyBorder="1" applyAlignment="1">
      <alignment horizontal="center" vertical="center" wrapText="1"/>
    </xf>
    <xf numFmtId="164" fontId="18" fillId="0" borderId="41" xfId="7" applyNumberFormat="1" applyFont="1" applyBorder="1" applyAlignment="1">
      <alignment horizontal="center" vertical="center" wrapText="1"/>
    </xf>
    <xf numFmtId="164" fontId="18" fillId="0" borderId="53" xfId="7" applyNumberFormat="1" applyFont="1" applyBorder="1" applyAlignment="1">
      <alignment horizontal="center" vertical="center" wrapText="1"/>
    </xf>
    <xf numFmtId="164" fontId="18" fillId="0" borderId="21" xfId="7" applyNumberFormat="1" applyFont="1" applyBorder="1" applyAlignment="1">
      <alignment horizontal="center" vertical="center" wrapText="1"/>
    </xf>
    <xf numFmtId="164" fontId="18" fillId="0" borderId="51" xfId="7" applyNumberFormat="1" applyFont="1" applyBorder="1" applyAlignment="1">
      <alignment horizontal="center" vertical="center" wrapText="1"/>
    </xf>
    <xf numFmtId="164" fontId="18" fillId="0" borderId="22" xfId="7" applyNumberFormat="1" applyFont="1" applyBorder="1" applyAlignment="1">
      <alignment horizontal="center" vertical="center" wrapText="1"/>
    </xf>
    <xf numFmtId="0" fontId="30" fillId="0" borderId="32" xfId="10" applyFont="1" applyBorder="1" applyAlignment="1">
      <alignment horizontal="center" vertical="center" wrapText="1"/>
    </xf>
    <xf numFmtId="0" fontId="30" fillId="0" borderId="28" xfId="10" applyFont="1" applyBorder="1" applyAlignment="1">
      <alignment horizontal="center" vertical="center" wrapText="1"/>
    </xf>
    <xf numFmtId="0" fontId="31" fillId="0" borderId="36" xfId="5" applyFont="1" applyBorder="1" applyAlignment="1">
      <alignment horizontal="center" vertical="center" wrapText="1"/>
    </xf>
    <xf numFmtId="0" fontId="31" fillId="0" borderId="28" xfId="10" applyFont="1" applyBorder="1" applyAlignment="1">
      <alignment horizontal="center" vertical="center" wrapText="1"/>
    </xf>
    <xf numFmtId="0" fontId="31" fillId="0" borderId="28" xfId="5" applyFont="1" applyBorder="1" applyAlignment="1">
      <alignment horizontal="center" vertical="center" wrapText="1"/>
    </xf>
    <xf numFmtId="0" fontId="31" fillId="0" borderId="42" xfId="5" applyFont="1" applyBorder="1" applyAlignment="1">
      <alignment horizontal="center" vertical="center"/>
    </xf>
    <xf numFmtId="0" fontId="31" fillId="0" borderId="43" xfId="5" applyFont="1" applyBorder="1" applyAlignment="1">
      <alignment horizontal="center" vertical="center"/>
    </xf>
    <xf numFmtId="0" fontId="31" fillId="0" borderId="32" xfId="10" applyFont="1" applyBorder="1" applyAlignment="1">
      <alignment horizontal="center" vertical="center" wrapText="1"/>
    </xf>
    <xf numFmtId="0" fontId="12" fillId="0" borderId="0" xfId="0" applyFont="1" applyAlignment="1">
      <alignment vertical="center"/>
    </xf>
    <xf numFmtId="0" fontId="0" fillId="0" borderId="0" xfId="0" applyAlignment="1" applyProtection="1">
      <alignment wrapText="1"/>
      <protection locked="0"/>
    </xf>
    <xf numFmtId="49" fontId="2" fillId="3" borderId="16" xfId="5" applyNumberFormat="1" applyFont="1" applyFill="1" applyBorder="1" applyAlignment="1" applyProtection="1">
      <alignment horizontal="center" vertical="center"/>
      <protection locked="0"/>
    </xf>
    <xf numFmtId="0" fontId="2" fillId="0" borderId="2" xfId="10" applyFont="1" applyBorder="1"/>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4" fontId="2" fillId="5" borderId="7" xfId="7" applyNumberFormat="1" applyFont="1" applyFill="1" applyBorder="1" applyAlignment="1">
      <alignment horizontal="center" vertical="center"/>
    </xf>
    <xf numFmtId="164" fontId="4" fillId="2" borderId="16" xfId="10" applyNumberFormat="1" applyFont="1" applyFill="1" applyBorder="1" applyAlignment="1" applyProtection="1">
      <alignment horizontal="center" vertical="center"/>
      <protection locked="0"/>
    </xf>
    <xf numFmtId="164" fontId="4" fillId="2" borderId="7" xfId="10" applyNumberFormat="1" applyFont="1" applyFill="1" applyBorder="1" applyAlignment="1" applyProtection="1">
      <alignment horizontal="center" vertical="center"/>
      <protection locked="0"/>
    </xf>
    <xf numFmtId="164" fontId="4" fillId="2" borderId="4" xfId="10" applyNumberFormat="1" applyFont="1" applyFill="1" applyBorder="1" applyAlignment="1" applyProtection="1">
      <alignment horizontal="center" vertical="center"/>
      <protection locked="0"/>
    </xf>
    <xf numFmtId="0" fontId="22" fillId="0" borderId="0" xfId="0" applyFont="1" applyAlignment="1" applyProtection="1">
      <alignment vertical="center"/>
      <protection locked="0"/>
    </xf>
    <xf numFmtId="0" fontId="1" fillId="3" borderId="7" xfId="10" applyFont="1" applyFill="1" applyBorder="1" applyAlignment="1" applyProtection="1">
      <alignment horizontal="center" vertical="center"/>
      <protection locked="0"/>
    </xf>
    <xf numFmtId="0" fontId="11" fillId="8" borderId="0" xfId="0" applyFont="1" applyFill="1" applyAlignment="1" applyProtection="1">
      <alignment vertical="top"/>
      <protection locked="0"/>
    </xf>
    <xf numFmtId="0" fontId="11" fillId="8" borderId="0" xfId="0" applyFont="1" applyFill="1" applyAlignment="1" applyProtection="1">
      <alignment vertical="top" wrapText="1"/>
      <protection locked="0"/>
    </xf>
    <xf numFmtId="0" fontId="32" fillId="8" borderId="0" xfId="3" applyFont="1" applyFill="1" applyAlignment="1" applyProtection="1">
      <alignment horizontal="left" vertical="top" wrapText="1"/>
      <protection locked="0"/>
    </xf>
    <xf numFmtId="0" fontId="0" fillId="8" borderId="0" xfId="0" applyFill="1" applyAlignment="1" applyProtection="1">
      <alignment vertical="top" wrapText="1"/>
      <protection locked="0"/>
    </xf>
    <xf numFmtId="0" fontId="32" fillId="8" borderId="0" xfId="0" applyFont="1" applyFill="1" applyAlignment="1" applyProtection="1">
      <alignment vertical="top"/>
      <protection locked="0"/>
    </xf>
    <xf numFmtId="0" fontId="11" fillId="8" borderId="0" xfId="0" applyFont="1" applyFill="1" applyAlignment="1" applyProtection="1">
      <alignment vertical="center"/>
      <protection locked="0"/>
    </xf>
    <xf numFmtId="165" fontId="10" fillId="8" borderId="0" xfId="0" applyNumberFormat="1" applyFont="1" applyFill="1" applyAlignment="1" applyProtection="1">
      <alignment horizontal="right" vertical="top"/>
      <protection locked="0"/>
    </xf>
    <xf numFmtId="9" fontId="10" fillId="8" borderId="0" xfId="7" applyFont="1" applyFill="1" applyAlignment="1" applyProtection="1">
      <alignment vertical="top"/>
      <protection locked="0"/>
    </xf>
    <xf numFmtId="165" fontId="10" fillId="8" borderId="0" xfId="0" applyNumberFormat="1" applyFont="1" applyFill="1" applyAlignment="1" applyProtection="1">
      <alignment vertical="top"/>
      <protection locked="0"/>
    </xf>
    <xf numFmtId="165" fontId="10" fillId="8" borderId="0" xfId="0" applyNumberFormat="1" applyFont="1" applyFill="1" applyAlignment="1" applyProtection="1">
      <alignment vertical="top" wrapText="1"/>
      <protection locked="0"/>
    </xf>
    <xf numFmtId="0" fontId="10" fillId="8" borderId="0" xfId="0" applyFont="1" applyFill="1" applyAlignment="1" applyProtection="1">
      <alignment vertical="top" wrapText="1"/>
      <protection locked="0"/>
    </xf>
    <xf numFmtId="0" fontId="10" fillId="8" borderId="0" xfId="0" applyFont="1" applyFill="1" applyAlignment="1" applyProtection="1">
      <alignment vertical="top"/>
      <protection locked="0"/>
    </xf>
    <xf numFmtId="0" fontId="10" fillId="8" borderId="0" xfId="3" applyFont="1" applyFill="1" applyAlignment="1" applyProtection="1">
      <alignment horizontal="left" vertical="top" wrapText="1"/>
      <protection locked="0"/>
    </xf>
    <xf numFmtId="0" fontId="11" fillId="8" borderId="0" xfId="3" applyFont="1" applyFill="1" applyAlignment="1" applyProtection="1">
      <alignment horizontal="left" vertical="top"/>
      <protection locked="0"/>
    </xf>
    <xf numFmtId="0" fontId="0" fillId="8" borderId="0" xfId="0" applyFill="1" applyAlignment="1" applyProtection="1">
      <alignment vertical="center"/>
      <protection locked="0"/>
    </xf>
    <xf numFmtId="0" fontId="11" fillId="8" borderId="0" xfId="3" applyFont="1" applyFill="1" applyAlignment="1" applyProtection="1">
      <alignment horizontal="left" vertical="top" wrapText="1"/>
      <protection locked="0"/>
    </xf>
    <xf numFmtId="0" fontId="10" fillId="8" borderId="0" xfId="0" applyFont="1" applyFill="1" applyAlignment="1" applyProtection="1">
      <alignment horizontal="left" vertical="top" wrapText="1"/>
      <protection locked="0"/>
    </xf>
    <xf numFmtId="0" fontId="10" fillId="8" borderId="0" xfId="0" applyFont="1" applyFill="1" applyAlignment="1" applyProtection="1">
      <alignment vertical="center"/>
      <protection locked="0"/>
    </xf>
    <xf numFmtId="0" fontId="14" fillId="8" borderId="0" xfId="0" applyFont="1" applyFill="1" applyAlignment="1" applyProtection="1">
      <alignment vertical="center"/>
      <protection locked="0"/>
    </xf>
    <xf numFmtId="0" fontId="11" fillId="8" borderId="0" xfId="0" applyFont="1" applyFill="1" applyAlignment="1" applyProtection="1">
      <alignment horizontal="left" vertical="top" wrapText="1"/>
      <protection locked="0"/>
    </xf>
    <xf numFmtId="0" fontId="11" fillId="8" borderId="0" xfId="2" applyFont="1" applyFill="1" applyAlignment="1" applyProtection="1">
      <alignment vertical="top" wrapText="1"/>
      <protection locked="0"/>
    </xf>
    <xf numFmtId="0" fontId="11" fillId="8" borderId="0" xfId="2" applyFont="1" applyFill="1" applyAlignment="1" applyProtection="1">
      <alignment horizontal="left" vertical="top" wrapText="1"/>
      <protection locked="0"/>
    </xf>
    <xf numFmtId="0" fontId="0" fillId="8" borderId="0" xfId="0" applyFill="1" applyAlignment="1" applyProtection="1">
      <alignment vertical="top"/>
      <protection locked="0"/>
    </xf>
    <xf numFmtId="0" fontId="11" fillId="8" borderId="0" xfId="0" applyFont="1" applyFill="1" applyAlignment="1" applyProtection="1">
      <alignment horizontal="left" vertical="center" wrapText="1"/>
      <protection locked="0"/>
    </xf>
    <xf numFmtId="164" fontId="10" fillId="8" borderId="0" xfId="0" applyNumberFormat="1" applyFont="1" applyFill="1" applyAlignment="1" applyProtection="1">
      <alignment vertical="top"/>
      <protection locked="0"/>
    </xf>
    <xf numFmtId="0" fontId="23" fillId="8" borderId="0" xfId="0" applyFont="1" applyFill="1" applyAlignment="1" applyProtection="1">
      <alignment vertical="top" wrapText="1"/>
      <protection locked="0"/>
    </xf>
    <xf numFmtId="165" fontId="11" fillId="8" borderId="0" xfId="0" applyNumberFormat="1" applyFont="1" applyFill="1" applyAlignment="1" applyProtection="1">
      <alignment horizontal="right" vertical="top"/>
      <protection locked="0"/>
    </xf>
    <xf numFmtId="9" fontId="11" fillId="8" borderId="0" xfId="0" applyNumberFormat="1" applyFont="1" applyFill="1" applyAlignment="1" applyProtection="1">
      <alignment vertical="top"/>
      <protection locked="0"/>
    </xf>
    <xf numFmtId="165" fontId="11" fillId="8" borderId="0" xfId="0" applyNumberFormat="1" applyFont="1" applyFill="1" applyAlignment="1" applyProtection="1">
      <alignment vertical="top"/>
      <protection locked="0"/>
    </xf>
    <xf numFmtId="0" fontId="11" fillId="8" borderId="0" xfId="3" applyFont="1" applyFill="1" applyAlignment="1" applyProtection="1">
      <alignment horizontal="left" vertical="center" wrapText="1"/>
      <protection locked="0"/>
    </xf>
    <xf numFmtId="0" fontId="16" fillId="8" borderId="0" xfId="0" applyFont="1" applyFill="1" applyAlignment="1" applyProtection="1">
      <alignment vertical="top" wrapText="1"/>
      <protection locked="0"/>
    </xf>
    <xf numFmtId="0" fontId="16" fillId="8" borderId="0" xfId="0" applyFont="1" applyFill="1" applyAlignment="1" applyProtection="1">
      <alignment vertical="top"/>
      <protection locked="0"/>
    </xf>
    <xf numFmtId="0" fontId="16" fillId="8" borderId="0" xfId="0" applyFont="1" applyFill="1" applyAlignment="1" applyProtection="1">
      <alignment vertical="center"/>
      <protection locked="0"/>
    </xf>
    <xf numFmtId="9" fontId="10" fillId="8" borderId="0" xfId="0" applyNumberFormat="1" applyFont="1" applyFill="1" applyAlignment="1" applyProtection="1">
      <alignment vertical="top"/>
      <protection locked="0"/>
    </xf>
    <xf numFmtId="0" fontId="11" fillId="8" borderId="0" xfId="2" applyFont="1" applyFill="1" applyAlignment="1" applyProtection="1">
      <alignment vertical="center" wrapText="1"/>
      <protection locked="0"/>
    </xf>
    <xf numFmtId="0" fontId="11" fillId="8" borderId="0" xfId="0" applyFont="1" applyFill="1" applyAlignment="1" applyProtection="1">
      <alignment vertical="center" wrapText="1"/>
      <protection locked="0"/>
    </xf>
    <xf numFmtId="0" fontId="0" fillId="8" borderId="0" xfId="2" applyFont="1" applyFill="1" applyAlignment="1" applyProtection="1">
      <alignment vertical="center" wrapText="1"/>
      <protection locked="0"/>
    </xf>
    <xf numFmtId="0" fontId="11" fillId="8" borderId="0" xfId="2" applyFont="1" applyFill="1" applyAlignment="1" applyProtection="1">
      <alignment horizontal="left" vertical="center" wrapText="1"/>
      <protection locked="0"/>
    </xf>
    <xf numFmtId="0" fontId="8" fillId="2" borderId="0" xfId="0" applyFont="1" applyFill="1" applyAlignment="1" applyProtection="1">
      <alignment wrapText="1"/>
      <protection locked="0"/>
    </xf>
    <xf numFmtId="0" fontId="10" fillId="0" borderId="0" xfId="0" applyFont="1" applyAlignment="1" applyProtection="1">
      <alignment horizontal="left" vertical="top" wrapText="1"/>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01"/>
  <sheetViews>
    <sheetView zoomScale="70" zoomScaleNormal="70" workbookViewId="0">
      <pane ySplit="1" topLeftCell="A2" activePane="bottomLeft" state="frozen"/>
      <selection pane="bottomLeft" activeCell="D20" sqref="D20"/>
    </sheetView>
  </sheetViews>
  <sheetFormatPr baseColWidth="10" defaultColWidth="8.83203125" defaultRowHeight="15" x14ac:dyDescent="0.2"/>
  <cols>
    <col min="1" max="1" width="21.1640625" style="43" customWidth="1"/>
    <col min="2" max="2" width="25.83203125" style="43" customWidth="1"/>
    <col min="3" max="9" width="66" style="44" customWidth="1"/>
    <col min="10" max="10" width="16.83203125" style="44" customWidth="1"/>
    <col min="11" max="17" width="28" style="43" customWidth="1"/>
    <col min="18" max="18" width="15.5" style="43" customWidth="1"/>
    <col min="19" max="19" width="8.83203125" style="120" customWidth="1"/>
    <col min="20" max="20" width="13.83203125" style="120" customWidth="1"/>
    <col min="21" max="21" width="29.1640625" style="120" customWidth="1"/>
    <col min="22" max="22" width="31.1640625" style="120" customWidth="1"/>
    <col min="23" max="26" width="8.83203125" style="120" customWidth="1"/>
    <col min="27" max="30" width="8.83203125" style="43" customWidth="1"/>
    <col min="31" max="31" width="9.5" style="43" hidden="1" customWidth="1"/>
    <col min="32" max="32" width="8.83203125" style="43" hidden="1" customWidth="1"/>
    <col min="33" max="33" width="18.1640625" style="178" hidden="1" customWidth="1"/>
    <col min="34" max="34" width="18.5" style="158" hidden="1" customWidth="1"/>
    <col min="35" max="35" width="14.1640625" style="71" customWidth="1"/>
    <col min="36" max="36" width="19.5" style="71" customWidth="1"/>
    <col min="37" max="37" width="8.83203125" style="71" customWidth="1"/>
    <col min="38" max="39" width="8.83203125" style="43" customWidth="1"/>
    <col min="40" max="16384" width="8.83203125" style="43"/>
  </cols>
  <sheetData>
    <row r="1" spans="1:37" s="111" customFormat="1" ht="45.75" customHeight="1" thickBot="1" x14ac:dyDescent="0.25">
      <c r="A1" s="107" t="s">
        <v>0</v>
      </c>
      <c r="B1" s="107" t="s">
        <v>1</v>
      </c>
      <c r="C1" s="108" t="s">
        <v>2</v>
      </c>
      <c r="D1" s="108" t="s">
        <v>3</v>
      </c>
      <c r="E1" s="108" t="s">
        <v>4</v>
      </c>
      <c r="F1" s="108" t="s">
        <v>5</v>
      </c>
      <c r="G1" s="108" t="s">
        <v>6</v>
      </c>
      <c r="H1" s="108" t="s">
        <v>7</v>
      </c>
      <c r="I1" s="108" t="s">
        <v>8</v>
      </c>
      <c r="J1" s="109" t="s">
        <v>9</v>
      </c>
      <c r="K1" s="107" t="s">
        <v>10</v>
      </c>
      <c r="L1" s="107" t="s">
        <v>11</v>
      </c>
      <c r="M1" s="107" t="s">
        <v>12</v>
      </c>
      <c r="N1" s="107" t="s">
        <v>13</v>
      </c>
      <c r="O1" s="107" t="s">
        <v>14</v>
      </c>
      <c r="P1" s="107" t="s">
        <v>15</v>
      </c>
      <c r="Q1" s="107" t="s">
        <v>16</v>
      </c>
      <c r="R1" s="110" t="s">
        <v>17</v>
      </c>
      <c r="S1" s="107" t="s">
        <v>18</v>
      </c>
      <c r="T1" s="107" t="s">
        <v>19</v>
      </c>
      <c r="U1" s="107" t="s">
        <v>20</v>
      </c>
      <c r="V1" s="107" t="s">
        <v>21</v>
      </c>
      <c r="W1" s="107" t="s">
        <v>22</v>
      </c>
      <c r="X1" s="107" t="s">
        <v>23</v>
      </c>
      <c r="Y1" s="107" t="s">
        <v>24</v>
      </c>
      <c r="Z1" s="107" t="s">
        <v>25</v>
      </c>
      <c r="AE1" s="183" t="s">
        <v>26</v>
      </c>
      <c r="AG1" s="184" t="s">
        <v>27</v>
      </c>
      <c r="AH1" s="185" t="s">
        <v>28</v>
      </c>
      <c r="AI1" s="186" t="s">
        <v>29</v>
      </c>
      <c r="AJ1" s="34" t="s">
        <v>30</v>
      </c>
      <c r="AK1" s="112"/>
    </row>
    <row r="2" spans="1:37" x14ac:dyDescent="0.2">
      <c r="A2" s="70" t="s">
        <v>31</v>
      </c>
      <c r="B2" s="70" t="s">
        <v>31</v>
      </c>
      <c r="C2" s="42"/>
      <c r="D2" s="42"/>
      <c r="E2" s="42"/>
      <c r="F2" s="42"/>
      <c r="G2" s="42"/>
      <c r="H2" s="42"/>
      <c r="I2" s="42"/>
      <c r="J2" s="83"/>
      <c r="K2" s="70"/>
      <c r="L2" s="70"/>
      <c r="M2" s="70"/>
      <c r="N2" s="70"/>
      <c r="O2" s="70"/>
      <c r="P2" s="70"/>
      <c r="Q2" s="70"/>
      <c r="R2" s="84"/>
      <c r="S2" s="113"/>
      <c r="T2" s="113"/>
      <c r="U2" s="113"/>
      <c r="V2" s="113"/>
      <c r="W2" s="113"/>
      <c r="X2" s="113"/>
      <c r="Y2" s="113"/>
      <c r="Z2" s="113"/>
      <c r="AG2" s="179"/>
      <c r="AI2" s="159" t="str">
        <f>IF(AG2&lt;&gt;"",AG2*AH2,"")</f>
        <v/>
      </c>
      <c r="AJ2" s="159" t="str">
        <f>IF(AND(AG2&lt;&gt;"",AE2="yes"),AG2*AH2,"")</f>
        <v/>
      </c>
    </row>
    <row r="3" spans="1:37" x14ac:dyDescent="0.2">
      <c r="A3" s="70" t="s">
        <v>32</v>
      </c>
      <c r="B3" s="70" t="s">
        <v>32</v>
      </c>
      <c r="C3" s="42"/>
      <c r="D3" s="42"/>
      <c r="E3" s="42"/>
      <c r="F3" s="42"/>
      <c r="G3" s="42"/>
      <c r="H3" s="42"/>
      <c r="I3" s="42"/>
      <c r="J3" s="83"/>
      <c r="K3" s="70"/>
      <c r="L3" s="70"/>
      <c r="M3" s="70"/>
      <c r="N3" s="70"/>
      <c r="O3" s="70"/>
      <c r="P3" s="70"/>
      <c r="Q3" s="70"/>
      <c r="R3" s="84"/>
      <c r="S3" s="113"/>
      <c r="T3" s="113"/>
      <c r="U3" s="113"/>
      <c r="V3" s="113"/>
      <c r="W3" s="113"/>
      <c r="X3" s="113"/>
      <c r="Y3" s="113"/>
      <c r="Z3" s="113"/>
      <c r="AG3" s="179"/>
      <c r="AI3" s="159" t="str">
        <f>IF(AG3&lt;&gt;"",AG3*AH3,"")</f>
        <v/>
      </c>
      <c r="AJ3" s="159" t="str">
        <f>IF(AND(AG3&lt;&gt;"",AE3="yes"),AG3*AH3,"")</f>
        <v/>
      </c>
    </row>
    <row r="4" spans="1:37" x14ac:dyDescent="0.2">
      <c r="A4" s="70" t="s">
        <v>33</v>
      </c>
      <c r="B4" s="70" t="s">
        <v>33</v>
      </c>
      <c r="C4" s="42"/>
      <c r="D4" s="42"/>
      <c r="E4" s="42"/>
      <c r="F4" s="42"/>
      <c r="G4" s="42"/>
      <c r="H4" s="42"/>
      <c r="I4" s="42"/>
      <c r="J4" s="83"/>
      <c r="K4" s="70"/>
      <c r="L4" s="70"/>
      <c r="M4" s="70"/>
      <c r="N4" s="70"/>
      <c r="O4" s="70"/>
      <c r="P4" s="70"/>
      <c r="Q4" s="70"/>
      <c r="R4" s="84"/>
      <c r="S4" s="113"/>
      <c r="T4" s="113"/>
      <c r="U4" s="113"/>
      <c r="V4" s="113"/>
      <c r="W4" s="113"/>
      <c r="X4" s="113"/>
      <c r="Y4" s="113"/>
      <c r="Z4" s="113"/>
      <c r="AG4" s="179"/>
      <c r="AI4" s="159" t="str">
        <f>IF(AG4&lt;&gt;"",AG4*AH4,"")</f>
        <v/>
      </c>
      <c r="AJ4" s="159" t="str">
        <f>IF(AND(AG4&lt;&gt;"",AE4="yes"),AG4*AH4,"")</f>
        <v/>
      </c>
    </row>
    <row r="5" spans="1:37" x14ac:dyDescent="0.2">
      <c r="A5" s="70" t="s">
        <v>34</v>
      </c>
      <c r="B5" s="70" t="s">
        <v>34</v>
      </c>
      <c r="C5" s="42"/>
      <c r="D5" s="42"/>
      <c r="E5" s="42"/>
      <c r="F5" s="42"/>
      <c r="G5" s="42"/>
      <c r="H5" s="42"/>
      <c r="I5" s="42"/>
      <c r="J5" s="83"/>
      <c r="K5" s="70"/>
      <c r="L5" s="70"/>
      <c r="M5" s="70"/>
      <c r="N5" s="70"/>
      <c r="O5" s="70"/>
      <c r="P5" s="70"/>
      <c r="Q5" s="70"/>
      <c r="R5" s="84"/>
      <c r="S5" s="113"/>
      <c r="T5" s="113"/>
      <c r="U5" s="113"/>
      <c r="V5" s="113"/>
      <c r="W5" s="113"/>
      <c r="X5" s="113"/>
      <c r="Y5" s="113"/>
      <c r="Z5" s="113"/>
      <c r="AG5" s="179"/>
      <c r="AI5" s="159" t="str">
        <f>IF(AG5&lt;&gt;"",AG5*AH5,"")</f>
        <v/>
      </c>
      <c r="AJ5" s="159" t="str">
        <f>IF(AND(AG5&lt;&gt;"",AE5="yes"),AG5*AH5,"")</f>
        <v/>
      </c>
    </row>
    <row r="6" spans="1:37" x14ac:dyDescent="0.2">
      <c r="A6" s="70" t="s">
        <v>35</v>
      </c>
      <c r="B6" s="70" t="s">
        <v>35</v>
      </c>
      <c r="C6" s="42"/>
      <c r="D6" s="42"/>
      <c r="E6" s="42"/>
      <c r="F6" s="42"/>
      <c r="G6" s="42"/>
      <c r="H6" s="42"/>
      <c r="I6" s="42"/>
      <c r="J6" s="83"/>
      <c r="K6" s="70"/>
      <c r="L6" s="70"/>
      <c r="M6" s="70"/>
      <c r="N6" s="70"/>
      <c r="O6" s="70"/>
      <c r="P6" s="70"/>
      <c r="Q6" s="70"/>
      <c r="R6" s="84"/>
      <c r="S6" s="113"/>
      <c r="T6" s="113"/>
      <c r="U6" s="113"/>
      <c r="V6" s="113"/>
      <c r="W6" s="113"/>
      <c r="X6" s="113"/>
      <c r="Y6" s="113"/>
      <c r="Z6" s="113"/>
      <c r="AG6" s="179"/>
      <c r="AI6" s="159"/>
      <c r="AJ6" s="159"/>
    </row>
    <row r="7" spans="1:37" x14ac:dyDescent="0.2">
      <c r="A7" s="70" t="s">
        <v>36</v>
      </c>
      <c r="B7" s="70" t="s">
        <v>37</v>
      </c>
      <c r="C7" s="42"/>
      <c r="D7" s="42"/>
      <c r="E7" s="42"/>
      <c r="F7" s="42"/>
      <c r="G7" s="42"/>
      <c r="H7" s="42"/>
      <c r="I7" s="42"/>
      <c r="J7" s="83"/>
      <c r="K7" s="70"/>
      <c r="L7" s="70"/>
      <c r="M7" s="70"/>
      <c r="N7" s="70"/>
      <c r="O7" s="70"/>
      <c r="P7" s="70"/>
      <c r="Q7" s="70"/>
      <c r="R7" s="84"/>
      <c r="S7" s="113"/>
      <c r="T7" s="113"/>
      <c r="U7" s="113"/>
      <c r="V7" s="113"/>
      <c r="W7" s="43"/>
      <c r="X7" s="113"/>
      <c r="Y7" s="113"/>
      <c r="Z7" s="113" t="s">
        <v>38</v>
      </c>
      <c r="AG7" s="179"/>
      <c r="AI7" s="159"/>
      <c r="AJ7" s="159"/>
    </row>
    <row r="8" spans="1:37" x14ac:dyDescent="0.2">
      <c r="A8" s="70" t="s">
        <v>39</v>
      </c>
      <c r="B8" s="70" t="s">
        <v>39</v>
      </c>
      <c r="C8" s="42"/>
      <c r="D8" s="42"/>
      <c r="E8" s="42"/>
      <c r="F8" s="42"/>
      <c r="G8" s="42"/>
      <c r="H8" s="42"/>
      <c r="I8" s="42"/>
      <c r="J8" s="83"/>
      <c r="K8" s="70"/>
      <c r="L8" s="70"/>
      <c r="M8" s="70"/>
      <c r="N8" s="70"/>
      <c r="O8" s="70"/>
      <c r="P8" s="70"/>
      <c r="Q8" s="70"/>
      <c r="R8" s="84"/>
      <c r="S8" s="113"/>
      <c r="T8" s="113"/>
      <c r="U8" s="113"/>
      <c r="V8" s="113"/>
      <c r="W8" s="113" t="s">
        <v>40</v>
      </c>
      <c r="X8" s="113"/>
      <c r="Y8" s="113" t="s">
        <v>41</v>
      </c>
      <c r="Z8" s="113"/>
      <c r="AG8" s="179"/>
      <c r="AI8" s="159"/>
      <c r="AJ8" s="159"/>
    </row>
    <row r="9" spans="1:37" ht="16" customHeight="1" x14ac:dyDescent="0.2">
      <c r="A9" s="70" t="s">
        <v>42</v>
      </c>
      <c r="B9" s="70" t="s">
        <v>43</v>
      </c>
      <c r="C9" s="42" t="s">
        <v>44</v>
      </c>
      <c r="D9" s="42" t="s">
        <v>45</v>
      </c>
      <c r="E9" s="42" t="s">
        <v>46</v>
      </c>
      <c r="F9" s="42" t="s">
        <v>47</v>
      </c>
      <c r="G9" s="42" t="s">
        <v>48</v>
      </c>
      <c r="H9" s="42" t="s">
        <v>49</v>
      </c>
      <c r="I9" s="42" t="s">
        <v>50</v>
      </c>
      <c r="J9" s="83"/>
      <c r="K9" s="70"/>
      <c r="L9" s="70"/>
      <c r="M9" s="70"/>
      <c r="N9" s="70"/>
      <c r="O9" s="70"/>
      <c r="P9" s="70"/>
      <c r="Q9" s="70"/>
      <c r="R9" s="84"/>
      <c r="S9" s="113" t="s">
        <v>51</v>
      </c>
      <c r="T9" s="113" t="s">
        <v>52</v>
      </c>
      <c r="U9" s="113"/>
      <c r="V9" s="113"/>
      <c r="W9" s="113"/>
      <c r="X9" s="114"/>
      <c r="Y9" s="113"/>
      <c r="Z9" s="113"/>
      <c r="AE9" s="43" t="s">
        <v>53</v>
      </c>
      <c r="AG9" s="179"/>
      <c r="AI9" s="159" t="str">
        <f>IF(AG9&lt;&gt;"",AG9*AH9,"")</f>
        <v/>
      </c>
      <c r="AJ9" s="159" t="str">
        <f>IF(AND(AG9&lt;&gt;"",AE9="yes"),AG9*AH9,"")</f>
        <v/>
      </c>
    </row>
    <row r="10" spans="1:37" x14ac:dyDescent="0.2">
      <c r="A10" s="70" t="s">
        <v>36</v>
      </c>
      <c r="B10" s="70" t="s">
        <v>54</v>
      </c>
      <c r="C10" s="42"/>
      <c r="D10" s="42"/>
      <c r="E10" s="42"/>
      <c r="F10" s="42"/>
      <c r="G10" s="42"/>
      <c r="H10" s="42"/>
      <c r="I10" s="42"/>
      <c r="J10" s="83"/>
      <c r="K10" s="70"/>
      <c r="L10" s="70"/>
      <c r="M10" s="70"/>
      <c r="N10" s="70"/>
      <c r="O10" s="70"/>
      <c r="P10" s="70"/>
      <c r="Q10" s="70"/>
      <c r="R10" s="84"/>
      <c r="S10" s="113"/>
      <c r="T10" s="113"/>
      <c r="U10" s="113"/>
      <c r="V10" s="113"/>
      <c r="W10" s="113"/>
      <c r="X10" s="113"/>
      <c r="Y10" s="113"/>
      <c r="Z10" s="113" t="s">
        <v>55</v>
      </c>
      <c r="AE10" s="43" t="s">
        <v>53</v>
      </c>
      <c r="AG10" s="179"/>
      <c r="AI10" s="159" t="str">
        <f>IF(AG10&lt;&gt;"",AG10*AH10,"")</f>
        <v/>
      </c>
      <c r="AJ10" s="159" t="str">
        <f>IF(AND(AG10&lt;&gt;"",AE10="yes"),AG10*AH10,"")</f>
        <v/>
      </c>
    </row>
    <row r="11" spans="1:37" s="72" customFormat="1" ht="15.75" customHeight="1" thickBot="1" x14ac:dyDescent="0.25">
      <c r="A11" s="79"/>
      <c r="B11" s="79"/>
      <c r="C11" s="80"/>
      <c r="D11" s="80"/>
      <c r="E11" s="80"/>
      <c r="F11" s="80"/>
      <c r="G11" s="80"/>
      <c r="H11" s="80"/>
      <c r="I11" s="80"/>
      <c r="J11" s="81"/>
      <c r="K11" s="79"/>
      <c r="L11" s="79"/>
      <c r="M11" s="79"/>
      <c r="N11" s="79"/>
      <c r="O11" s="79"/>
      <c r="P11" s="79"/>
      <c r="Q11" s="79"/>
      <c r="R11" s="82"/>
      <c r="S11" s="116"/>
      <c r="T11" s="116"/>
      <c r="U11" s="116"/>
      <c r="V11" s="116"/>
      <c r="W11" s="116"/>
      <c r="X11" s="116"/>
      <c r="Y11" s="116"/>
      <c r="Z11" s="116"/>
      <c r="AG11" s="179"/>
      <c r="AH11" s="158"/>
      <c r="AI11" s="159"/>
      <c r="AJ11" s="159"/>
      <c r="AK11" s="71"/>
    </row>
    <row r="12" spans="1:37" ht="270.75" customHeight="1" thickTop="1" x14ac:dyDescent="0.2">
      <c r="A12" s="70" t="s">
        <v>56</v>
      </c>
      <c r="B12" s="70" t="s">
        <v>57</v>
      </c>
      <c r="C12" s="207" t="s">
        <v>58</v>
      </c>
      <c r="D12" s="207" t="s">
        <v>59</v>
      </c>
      <c r="E12" s="207" t="s">
        <v>60</v>
      </c>
      <c r="F12" s="207" t="s">
        <v>61</v>
      </c>
      <c r="G12" s="207" t="s">
        <v>62</v>
      </c>
      <c r="H12" s="207" t="s">
        <v>63</v>
      </c>
      <c r="I12" s="207" t="s">
        <v>64</v>
      </c>
      <c r="J12" s="83"/>
      <c r="K12" s="70" t="s">
        <v>65</v>
      </c>
      <c r="L12" s="70" t="s">
        <v>66</v>
      </c>
      <c r="M12" s="70" t="s">
        <v>67</v>
      </c>
      <c r="N12" s="70" t="s">
        <v>68</v>
      </c>
      <c r="O12" s="70" t="s">
        <v>69</v>
      </c>
      <c r="P12" s="70" t="s">
        <v>70</v>
      </c>
      <c r="Q12" s="70" t="s">
        <v>71</v>
      </c>
      <c r="R12" s="84"/>
      <c r="S12" s="113" t="s">
        <v>72</v>
      </c>
      <c r="T12" s="113"/>
      <c r="U12" s="113"/>
      <c r="V12" s="113"/>
      <c r="W12" s="113"/>
      <c r="X12" s="113"/>
      <c r="Y12" s="113"/>
      <c r="Z12" s="113"/>
      <c r="AE12" s="43" t="s">
        <v>73</v>
      </c>
      <c r="AG12" s="179">
        <v>50.822540283203118</v>
      </c>
      <c r="AI12" s="159">
        <f t="shared" ref="AI12:AI44" si="0">IF(AG12&lt;&gt;"",AG12*AH12,"")</f>
        <v>0</v>
      </c>
      <c r="AJ12" s="159" t="str">
        <f>IF(AND(AG12&lt;&gt;"",AE12="yes"),AG12*AH12,"")</f>
        <v/>
      </c>
    </row>
    <row r="13" spans="1:37" ht="16" customHeight="1" x14ac:dyDescent="0.2">
      <c r="A13" s="70" t="s">
        <v>74</v>
      </c>
      <c r="B13" s="70" t="s">
        <v>75</v>
      </c>
      <c r="C13" s="42" t="s">
        <v>76</v>
      </c>
      <c r="D13" s="42" t="s">
        <v>77</v>
      </c>
      <c r="E13" s="42" t="s">
        <v>78</v>
      </c>
      <c r="F13" s="42" t="s">
        <v>79</v>
      </c>
      <c r="G13" s="42" t="s">
        <v>80</v>
      </c>
      <c r="H13" s="42" t="s">
        <v>81</v>
      </c>
      <c r="I13" s="42" t="s">
        <v>82</v>
      </c>
      <c r="J13" s="83"/>
      <c r="K13" s="70"/>
      <c r="L13" s="70"/>
      <c r="M13" s="70"/>
      <c r="N13" s="70"/>
      <c r="O13" s="70"/>
      <c r="P13" s="70"/>
      <c r="Q13" s="70"/>
      <c r="R13" s="84"/>
      <c r="S13" s="113" t="s">
        <v>72</v>
      </c>
      <c r="T13" s="113"/>
      <c r="U13" s="113"/>
      <c r="V13" s="113"/>
      <c r="W13" s="113"/>
      <c r="X13" s="113"/>
      <c r="Y13" s="113"/>
      <c r="Z13" s="113"/>
      <c r="AE13" s="43" t="s">
        <v>53</v>
      </c>
      <c r="AG13" s="179">
        <v>3.5</v>
      </c>
      <c r="AH13" s="158">
        <f>1</f>
        <v>1</v>
      </c>
      <c r="AI13" s="159">
        <f t="shared" si="0"/>
        <v>3.5</v>
      </c>
      <c r="AJ13" s="159">
        <f>IF(AND(AG13&lt;&gt;"",AE13="yes"),AG13*AH13,"")</f>
        <v>3.5</v>
      </c>
    </row>
    <row r="14" spans="1:37" s="72" customFormat="1" ht="16" customHeight="1" x14ac:dyDescent="0.2">
      <c r="A14" s="71" t="s">
        <v>83</v>
      </c>
      <c r="B14" s="71" t="s">
        <v>84</v>
      </c>
      <c r="C14" s="45" t="s">
        <v>85</v>
      </c>
      <c r="D14" s="44" t="s">
        <v>86</v>
      </c>
      <c r="E14" s="44" t="s">
        <v>87</v>
      </c>
      <c r="F14" s="44" t="s">
        <v>88</v>
      </c>
      <c r="G14" s="44" t="s">
        <v>89</v>
      </c>
      <c r="H14" s="44"/>
      <c r="I14" s="44" t="s">
        <v>90</v>
      </c>
      <c r="J14" s="74"/>
      <c r="K14" s="71" t="s">
        <v>91</v>
      </c>
      <c r="L14" s="71" t="s">
        <v>92</v>
      </c>
      <c r="M14" s="71" t="s">
        <v>93</v>
      </c>
      <c r="N14" s="71" t="s">
        <v>94</v>
      </c>
      <c r="O14" s="71" t="s">
        <v>95</v>
      </c>
      <c r="P14" s="71" t="s">
        <v>96</v>
      </c>
      <c r="Q14" s="71" t="s">
        <v>97</v>
      </c>
      <c r="R14" s="78"/>
      <c r="S14" s="120" t="s">
        <v>72</v>
      </c>
      <c r="T14" s="114"/>
      <c r="U14" s="114"/>
      <c r="V14" s="114"/>
      <c r="W14" s="120" t="s">
        <v>98</v>
      </c>
      <c r="X14" s="114"/>
      <c r="Y14" s="114"/>
      <c r="Z14" s="114"/>
      <c r="AG14" s="179">
        <v>0</v>
      </c>
      <c r="AH14" s="158">
        <v>1</v>
      </c>
      <c r="AI14" s="159">
        <f t="shared" si="0"/>
        <v>0</v>
      </c>
      <c r="AJ14" s="159"/>
      <c r="AK14" s="71"/>
    </row>
    <row r="15" spans="1:37" s="71" customFormat="1" ht="16" customHeight="1" x14ac:dyDescent="0.2">
      <c r="A15" s="75" t="s">
        <v>56</v>
      </c>
      <c r="B15" s="75" t="s">
        <v>99</v>
      </c>
      <c r="C15" s="76" t="s">
        <v>100</v>
      </c>
      <c r="D15" s="76" t="s">
        <v>101</v>
      </c>
      <c r="E15" s="76" t="s">
        <v>102</v>
      </c>
      <c r="F15" s="76" t="s">
        <v>103</v>
      </c>
      <c r="G15" s="76" t="s">
        <v>104</v>
      </c>
      <c r="H15" s="76" t="s">
        <v>105</v>
      </c>
      <c r="I15" s="76" t="s">
        <v>106</v>
      </c>
      <c r="J15" s="94"/>
      <c r="K15" s="75"/>
      <c r="L15" s="75"/>
      <c r="M15" s="75"/>
      <c r="N15" s="75"/>
      <c r="O15" s="75"/>
      <c r="P15" s="75"/>
      <c r="Q15" s="75"/>
      <c r="R15" s="96"/>
      <c r="S15" s="115" t="s">
        <v>72</v>
      </c>
      <c r="T15" s="115"/>
      <c r="U15" s="115"/>
      <c r="V15" s="115"/>
      <c r="W15" s="115" t="s">
        <v>107</v>
      </c>
      <c r="X15" s="115"/>
      <c r="Y15" s="115"/>
      <c r="Z15" s="115"/>
      <c r="AE15" s="71" t="s">
        <v>73</v>
      </c>
      <c r="AG15" s="179">
        <v>0</v>
      </c>
      <c r="AH15" s="158">
        <v>1</v>
      </c>
      <c r="AI15" s="159">
        <f t="shared" si="0"/>
        <v>0</v>
      </c>
      <c r="AJ15" s="159" t="str">
        <f t="shared" ref="AJ15:AJ39" si="1">IF(AND(AG15&lt;&gt;"",AE15="yes"),AG15*AH15,"")</f>
        <v/>
      </c>
    </row>
    <row r="16" spans="1:37" s="71" customFormat="1" ht="15.75" customHeight="1" thickBot="1" x14ac:dyDescent="0.25">
      <c r="A16" s="85"/>
      <c r="B16" s="85"/>
      <c r="C16" s="86"/>
      <c r="D16" s="86"/>
      <c r="E16" s="86"/>
      <c r="F16" s="86"/>
      <c r="G16" s="86"/>
      <c r="H16" s="86"/>
      <c r="I16" s="86"/>
      <c r="J16" s="87"/>
      <c r="K16" s="85"/>
      <c r="L16" s="85"/>
      <c r="M16" s="85"/>
      <c r="N16" s="85"/>
      <c r="O16" s="85"/>
      <c r="P16" s="85"/>
      <c r="Q16" s="85"/>
      <c r="R16" s="88"/>
      <c r="S16" s="117"/>
      <c r="T16" s="117"/>
      <c r="U16" s="117"/>
      <c r="V16" s="117"/>
      <c r="W16" s="117"/>
      <c r="X16" s="117"/>
      <c r="Y16" s="117"/>
      <c r="Z16" s="117"/>
      <c r="AG16" s="179"/>
      <c r="AH16" s="158"/>
      <c r="AI16" s="159" t="str">
        <f t="shared" si="0"/>
        <v/>
      </c>
      <c r="AJ16" s="159" t="str">
        <f t="shared" si="1"/>
        <v/>
      </c>
    </row>
    <row r="17" spans="1:37" s="68" customFormat="1" ht="15.75" customHeight="1" thickTop="1" x14ac:dyDescent="0.2">
      <c r="A17" s="65" t="s">
        <v>108</v>
      </c>
      <c r="B17" s="65" t="s">
        <v>109</v>
      </c>
      <c r="C17" s="89" t="s">
        <v>110</v>
      </c>
      <c r="D17" s="89" t="s">
        <v>111</v>
      </c>
      <c r="E17" s="89" t="s">
        <v>112</v>
      </c>
      <c r="F17" s="89" t="s">
        <v>113</v>
      </c>
      <c r="G17" s="89" t="s">
        <v>114</v>
      </c>
      <c r="H17" s="89"/>
      <c r="I17" s="89" t="s">
        <v>115</v>
      </c>
      <c r="J17" s="66"/>
      <c r="K17" s="65"/>
      <c r="L17" s="65"/>
      <c r="M17" s="65"/>
      <c r="N17" s="65"/>
      <c r="O17" s="65"/>
      <c r="P17" s="65"/>
      <c r="Q17" s="65"/>
      <c r="R17" s="67"/>
      <c r="S17" s="118" t="s">
        <v>72</v>
      </c>
      <c r="T17" s="118"/>
      <c r="U17" s="118"/>
      <c r="V17" s="118"/>
      <c r="W17" s="119" t="s">
        <v>98</v>
      </c>
      <c r="X17" s="118"/>
      <c r="Y17" s="118"/>
      <c r="Z17" s="118"/>
      <c r="AE17" s="43" t="s">
        <v>53</v>
      </c>
      <c r="AG17" s="179"/>
      <c r="AH17" s="158"/>
      <c r="AI17" s="159" t="str">
        <f t="shared" si="0"/>
        <v/>
      </c>
      <c r="AJ17" s="159" t="str">
        <f t="shared" si="1"/>
        <v/>
      </c>
      <c r="AK17" s="69"/>
    </row>
    <row r="18" spans="1:37" s="72" customFormat="1" x14ac:dyDescent="0.2">
      <c r="C18" s="73"/>
      <c r="D18" s="73"/>
      <c r="E18" s="73"/>
      <c r="F18" s="73"/>
      <c r="G18" s="73"/>
      <c r="H18" s="73"/>
      <c r="I18" s="73"/>
      <c r="J18" s="74"/>
      <c r="R18" s="78"/>
      <c r="S18" s="114"/>
      <c r="T18" s="114"/>
      <c r="U18" s="114"/>
      <c r="V18" s="114"/>
      <c r="W18" s="114"/>
      <c r="X18" s="114"/>
      <c r="Y18" s="114"/>
      <c r="Z18" s="114"/>
      <c r="AG18" s="179"/>
      <c r="AH18" s="71"/>
      <c r="AI18" s="159" t="str">
        <f t="shared" si="0"/>
        <v/>
      </c>
      <c r="AJ18" s="159" t="str">
        <f t="shared" si="1"/>
        <v/>
      </c>
      <c r="AK18" s="71"/>
    </row>
    <row r="19" spans="1:37" s="72" customFormat="1" ht="16" customHeight="1" x14ac:dyDescent="0.2">
      <c r="A19" s="75" t="s">
        <v>116</v>
      </c>
      <c r="B19" s="75" t="s">
        <v>117</v>
      </c>
      <c r="C19" s="76" t="s">
        <v>118</v>
      </c>
      <c r="D19" s="76" t="s">
        <v>119</v>
      </c>
      <c r="E19" s="76" t="s">
        <v>120</v>
      </c>
      <c r="F19" s="76" t="s">
        <v>121</v>
      </c>
      <c r="G19" s="76" t="s">
        <v>122</v>
      </c>
      <c r="H19" s="76" t="s">
        <v>123</v>
      </c>
      <c r="I19" s="76" t="s">
        <v>124</v>
      </c>
      <c r="J19" s="74"/>
      <c r="K19" s="71" t="s">
        <v>125</v>
      </c>
      <c r="L19" s="71" t="s">
        <v>126</v>
      </c>
      <c r="M19" s="71" t="s">
        <v>127</v>
      </c>
      <c r="N19" s="71" t="s">
        <v>128</v>
      </c>
      <c r="O19" s="71" t="s">
        <v>129</v>
      </c>
      <c r="P19" s="71" t="s">
        <v>130</v>
      </c>
      <c r="Q19" s="71" t="s">
        <v>131</v>
      </c>
      <c r="R19" s="78"/>
      <c r="S19" s="115" t="s">
        <v>51</v>
      </c>
      <c r="T19" s="115"/>
      <c r="U19" s="115"/>
      <c r="V19" s="115"/>
      <c r="W19" s="115"/>
      <c r="X19" s="115"/>
      <c r="Y19" s="115"/>
      <c r="Z19" s="115"/>
      <c r="AE19" s="71" t="s">
        <v>53</v>
      </c>
      <c r="AG19" s="179">
        <v>10</v>
      </c>
      <c r="AH19" s="158">
        <f>1</f>
        <v>1</v>
      </c>
      <c r="AI19" s="159">
        <f t="shared" si="0"/>
        <v>10</v>
      </c>
      <c r="AJ19" s="159">
        <f t="shared" si="1"/>
        <v>10</v>
      </c>
      <c r="AK19" s="71"/>
    </row>
    <row r="20" spans="1:37" s="72" customFormat="1" ht="16" customHeight="1" x14ac:dyDescent="0.2">
      <c r="A20" s="75" t="s">
        <v>116</v>
      </c>
      <c r="B20" s="75" t="s">
        <v>132</v>
      </c>
      <c r="C20" s="76" t="s">
        <v>133</v>
      </c>
      <c r="D20" s="76" t="s">
        <v>134</v>
      </c>
      <c r="E20" s="76" t="s">
        <v>135</v>
      </c>
      <c r="F20" s="76" t="s">
        <v>136</v>
      </c>
      <c r="G20" s="76" t="s">
        <v>137</v>
      </c>
      <c r="H20" s="76" t="s">
        <v>138</v>
      </c>
      <c r="I20" s="76" t="s">
        <v>139</v>
      </c>
      <c r="J20" s="74"/>
      <c r="K20" s="71" t="s">
        <v>140</v>
      </c>
      <c r="L20" s="71" t="s">
        <v>126</v>
      </c>
      <c r="M20" s="71" t="s">
        <v>141</v>
      </c>
      <c r="N20" s="71" t="s">
        <v>142</v>
      </c>
      <c r="O20" s="71" t="s">
        <v>129</v>
      </c>
      <c r="P20" s="71" t="s">
        <v>143</v>
      </c>
      <c r="Q20" s="71" t="s">
        <v>131</v>
      </c>
      <c r="R20" s="78"/>
      <c r="S20" s="115" t="s">
        <v>51</v>
      </c>
      <c r="T20" s="115"/>
      <c r="U20" s="115"/>
      <c r="V20" s="115"/>
      <c r="W20" s="115"/>
      <c r="X20" s="115"/>
      <c r="Y20" s="115"/>
      <c r="Z20" s="115"/>
      <c r="AE20" s="71" t="s">
        <v>53</v>
      </c>
      <c r="AG20" s="179">
        <v>10</v>
      </c>
      <c r="AH20" s="158">
        <f>1</f>
        <v>1</v>
      </c>
      <c r="AI20" s="159">
        <f t="shared" si="0"/>
        <v>10</v>
      </c>
      <c r="AJ20" s="159">
        <f t="shared" si="1"/>
        <v>10</v>
      </c>
      <c r="AK20" s="71"/>
    </row>
    <row r="21" spans="1:37" s="72" customFormat="1" x14ac:dyDescent="0.2">
      <c r="C21" s="73"/>
      <c r="J21" s="74"/>
      <c r="R21" s="78"/>
      <c r="S21" s="114"/>
      <c r="T21" s="114"/>
      <c r="U21" s="114"/>
      <c r="V21" s="114"/>
      <c r="W21" s="114"/>
      <c r="X21" s="114"/>
      <c r="Y21" s="114"/>
      <c r="Z21" s="114"/>
      <c r="AG21" s="179"/>
      <c r="AH21" s="158">
        <f>1</f>
        <v>1</v>
      </c>
      <c r="AI21" s="159" t="str">
        <f t="shared" si="0"/>
        <v/>
      </c>
      <c r="AJ21" s="159" t="str">
        <f t="shared" si="1"/>
        <v/>
      </c>
      <c r="AK21" s="71"/>
    </row>
    <row r="22" spans="1:37" ht="16" customHeight="1" x14ac:dyDescent="0.2">
      <c r="A22" s="70" t="s">
        <v>144</v>
      </c>
      <c r="B22" s="70" t="s">
        <v>145</v>
      </c>
      <c r="C22" s="42" t="s">
        <v>146</v>
      </c>
      <c r="D22" s="76" t="s">
        <v>147</v>
      </c>
      <c r="E22" s="76" t="s">
        <v>148</v>
      </c>
      <c r="F22" s="76" t="s">
        <v>149</v>
      </c>
      <c r="G22" s="76" t="s">
        <v>150</v>
      </c>
      <c r="H22" s="76" t="s">
        <v>151</v>
      </c>
      <c r="I22" s="76" t="s">
        <v>152</v>
      </c>
      <c r="J22" s="94"/>
      <c r="K22" s="75" t="s">
        <v>153</v>
      </c>
      <c r="L22" s="70" t="s">
        <v>154</v>
      </c>
      <c r="M22" s="70"/>
      <c r="N22" s="70"/>
      <c r="O22" s="70"/>
      <c r="P22" s="70"/>
      <c r="Q22" s="70"/>
      <c r="R22" s="84"/>
      <c r="S22" s="113" t="s">
        <v>51</v>
      </c>
      <c r="T22" s="113"/>
      <c r="U22" s="113" t="s">
        <v>155</v>
      </c>
      <c r="V22" s="113"/>
      <c r="W22" s="113"/>
      <c r="X22" s="113"/>
      <c r="Y22" s="113"/>
      <c r="Z22" s="113"/>
      <c r="AE22" s="43" t="s">
        <v>53</v>
      </c>
      <c r="AG22" s="179">
        <v>13.753072738647459</v>
      </c>
      <c r="AH22" s="158">
        <f>1</f>
        <v>1</v>
      </c>
      <c r="AI22" s="159">
        <f t="shared" si="0"/>
        <v>13.753072738647459</v>
      </c>
      <c r="AJ22" s="159">
        <f t="shared" si="1"/>
        <v>13.753072738647459</v>
      </c>
    </row>
    <row r="23" spans="1:37" x14ac:dyDescent="0.2">
      <c r="J23" s="83"/>
      <c r="R23" s="84"/>
      <c r="AG23" s="179"/>
      <c r="AH23" s="158">
        <f>1</f>
        <v>1</v>
      </c>
      <c r="AI23" s="159" t="str">
        <f t="shared" si="0"/>
        <v/>
      </c>
      <c r="AJ23" s="159" t="str">
        <f t="shared" si="1"/>
        <v/>
      </c>
    </row>
    <row r="24" spans="1:37" s="71" customFormat="1" ht="16" customHeight="1" x14ac:dyDescent="0.2">
      <c r="A24" s="75" t="s">
        <v>156</v>
      </c>
      <c r="B24" s="75" t="s">
        <v>157</v>
      </c>
      <c r="C24" s="76" t="s">
        <v>158</v>
      </c>
      <c r="D24" s="76" t="s">
        <v>159</v>
      </c>
      <c r="E24" s="76" t="s">
        <v>160</v>
      </c>
      <c r="F24" s="76" t="s">
        <v>161</v>
      </c>
      <c r="G24" s="76" t="s">
        <v>162</v>
      </c>
      <c r="H24" s="76" t="s">
        <v>163</v>
      </c>
      <c r="I24" s="76" t="s">
        <v>164</v>
      </c>
      <c r="J24" s="94"/>
      <c r="K24" s="71" t="s">
        <v>165</v>
      </c>
      <c r="L24" s="71" t="s">
        <v>166</v>
      </c>
      <c r="M24" s="71" t="s">
        <v>167</v>
      </c>
      <c r="N24" s="71" t="s">
        <v>168</v>
      </c>
      <c r="O24" s="71" t="s">
        <v>169</v>
      </c>
      <c r="P24" s="71" t="s">
        <v>170</v>
      </c>
      <c r="Q24" s="71" t="s">
        <v>171</v>
      </c>
      <c r="R24" s="96"/>
      <c r="S24" s="125" t="s">
        <v>51</v>
      </c>
      <c r="T24" s="125"/>
      <c r="U24" s="125"/>
      <c r="V24" s="125"/>
      <c r="W24" s="125"/>
      <c r="X24" s="125"/>
      <c r="Y24" s="125"/>
      <c r="Z24" s="125"/>
      <c r="AE24" s="71" t="s">
        <v>53</v>
      </c>
      <c r="AG24" s="179">
        <v>2.1173560619354248</v>
      </c>
      <c r="AH24" s="158">
        <f>1</f>
        <v>1</v>
      </c>
      <c r="AI24" s="159">
        <f t="shared" si="0"/>
        <v>2.1173560619354248</v>
      </c>
      <c r="AJ24" s="159">
        <f t="shared" si="1"/>
        <v>2.1173560619354248</v>
      </c>
    </row>
    <row r="25" spans="1:37" s="72" customFormat="1" x14ac:dyDescent="0.2">
      <c r="C25" s="73"/>
      <c r="D25" s="73"/>
      <c r="E25" s="73"/>
      <c r="F25" s="73"/>
      <c r="G25" s="73"/>
      <c r="H25" s="73"/>
      <c r="I25" s="73"/>
      <c r="J25" s="74"/>
      <c r="R25" s="78"/>
      <c r="S25" s="114"/>
      <c r="T25" s="114"/>
      <c r="U25" s="114"/>
      <c r="V25" s="121"/>
      <c r="W25" s="114"/>
      <c r="X25" s="114"/>
      <c r="Y25" s="114"/>
      <c r="Z25" s="114"/>
      <c r="AG25" s="179"/>
      <c r="AH25" s="158">
        <f>1</f>
        <v>1</v>
      </c>
      <c r="AI25" s="159" t="str">
        <f t="shared" si="0"/>
        <v/>
      </c>
      <c r="AJ25" s="159" t="str">
        <f t="shared" si="1"/>
        <v/>
      </c>
      <c r="AK25" s="71"/>
    </row>
    <row r="26" spans="1:37" s="91" customFormat="1" ht="16" customHeight="1" x14ac:dyDescent="0.2">
      <c r="A26" s="153" t="s">
        <v>116</v>
      </c>
      <c r="B26" s="153" t="s">
        <v>172</v>
      </c>
      <c r="C26" s="154" t="s">
        <v>173</v>
      </c>
      <c r="D26" s="154" t="s">
        <v>174</v>
      </c>
      <c r="E26" s="154" t="s">
        <v>175</v>
      </c>
      <c r="F26" s="154" t="s">
        <v>176</v>
      </c>
      <c r="G26" s="154" t="s">
        <v>177</v>
      </c>
      <c r="H26" s="154" t="s">
        <v>178</v>
      </c>
      <c r="I26" s="154" t="s">
        <v>179</v>
      </c>
      <c r="J26" s="156"/>
      <c r="K26" s="155"/>
      <c r="L26" s="155"/>
      <c r="M26" s="155"/>
      <c r="N26" s="155"/>
      <c r="O26" s="155"/>
      <c r="P26" s="155"/>
      <c r="Q26" s="155"/>
      <c r="R26" s="157"/>
      <c r="S26" s="152" t="s">
        <v>51</v>
      </c>
      <c r="T26" s="152" t="s">
        <v>180</v>
      </c>
      <c r="U26" s="123" t="s">
        <v>181</v>
      </c>
      <c r="V26" s="152" t="s">
        <v>182</v>
      </c>
      <c r="W26" s="152"/>
      <c r="X26" s="152"/>
      <c r="Y26" s="152"/>
      <c r="Z26" s="122"/>
      <c r="AE26" s="155" t="s">
        <v>183</v>
      </c>
      <c r="AG26" s="179">
        <v>10</v>
      </c>
      <c r="AH26" s="158">
        <f>1</f>
        <v>1</v>
      </c>
      <c r="AI26" s="159">
        <f t="shared" si="0"/>
        <v>10</v>
      </c>
      <c r="AJ26" s="159" t="str">
        <f t="shared" si="1"/>
        <v/>
      </c>
    </row>
    <row r="27" spans="1:37" s="91" customFormat="1" ht="45" customHeight="1" x14ac:dyDescent="0.2">
      <c r="A27" s="153" t="s">
        <v>184</v>
      </c>
      <c r="B27" s="153" t="s">
        <v>185</v>
      </c>
      <c r="C27" s="154" t="s">
        <v>186</v>
      </c>
      <c r="D27" s="154" t="s">
        <v>187</v>
      </c>
      <c r="E27" s="154" t="s">
        <v>188</v>
      </c>
      <c r="F27" s="154" t="s">
        <v>189</v>
      </c>
      <c r="G27" s="154" t="s">
        <v>190</v>
      </c>
      <c r="H27" s="154" t="s">
        <v>191</v>
      </c>
      <c r="I27" s="154" t="s">
        <v>192</v>
      </c>
      <c r="J27" s="156"/>
      <c r="K27" s="155"/>
      <c r="L27" s="155"/>
      <c r="M27" s="155"/>
      <c r="N27" s="155"/>
      <c r="O27" s="155"/>
      <c r="P27" s="155"/>
      <c r="Q27" s="155"/>
      <c r="R27" s="157"/>
      <c r="S27" s="152" t="s">
        <v>51</v>
      </c>
      <c r="T27" s="152"/>
      <c r="U27" s="122"/>
      <c r="V27" s="152"/>
      <c r="W27" s="152"/>
      <c r="X27" s="152"/>
      <c r="Y27" s="152"/>
      <c r="Z27" s="122"/>
      <c r="AE27" s="155" t="s">
        <v>183</v>
      </c>
      <c r="AG27" s="179">
        <v>10</v>
      </c>
      <c r="AH27" s="158">
        <f>1</f>
        <v>1</v>
      </c>
      <c r="AI27" s="159">
        <f t="shared" si="0"/>
        <v>10</v>
      </c>
      <c r="AJ27" s="159" t="str">
        <f t="shared" si="1"/>
        <v/>
      </c>
    </row>
    <row r="28" spans="1:37" s="91" customFormat="1" ht="16" customHeight="1" x14ac:dyDescent="0.2">
      <c r="A28" s="153" t="s">
        <v>116</v>
      </c>
      <c r="B28" s="153" t="s">
        <v>193</v>
      </c>
      <c r="C28" s="154" t="s">
        <v>194</v>
      </c>
      <c r="D28" s="154" t="s">
        <v>195</v>
      </c>
      <c r="E28" s="154" t="s">
        <v>175</v>
      </c>
      <c r="F28" s="154" t="s">
        <v>196</v>
      </c>
      <c r="G28" s="154" t="s">
        <v>197</v>
      </c>
      <c r="H28" s="154" t="s">
        <v>198</v>
      </c>
      <c r="I28" s="154" t="s">
        <v>199</v>
      </c>
      <c r="J28" s="156"/>
      <c r="K28" s="155"/>
      <c r="L28" s="155"/>
      <c r="M28" s="155"/>
      <c r="N28" s="155"/>
      <c r="O28" s="155"/>
      <c r="P28" s="155"/>
      <c r="Q28" s="155"/>
      <c r="R28" s="157"/>
      <c r="S28" s="152" t="s">
        <v>51</v>
      </c>
      <c r="T28" s="152" t="s">
        <v>180</v>
      </c>
      <c r="U28" s="123" t="s">
        <v>181</v>
      </c>
      <c r="V28" s="152" t="s">
        <v>182</v>
      </c>
      <c r="W28" s="152" t="s">
        <v>200</v>
      </c>
      <c r="X28" s="152"/>
      <c r="Y28" s="152"/>
      <c r="Z28" s="122"/>
      <c r="AE28" s="155" t="s">
        <v>183</v>
      </c>
      <c r="AG28" s="179">
        <v>10</v>
      </c>
      <c r="AH28" s="158">
        <f>1</f>
        <v>1</v>
      </c>
      <c r="AI28" s="159">
        <f t="shared" si="0"/>
        <v>10</v>
      </c>
      <c r="AJ28" s="159" t="str">
        <f t="shared" si="1"/>
        <v/>
      </c>
    </row>
    <row r="29" spans="1:37" s="91" customFormat="1" ht="16" customHeight="1" x14ac:dyDescent="0.2">
      <c r="A29" s="153" t="s">
        <v>116</v>
      </c>
      <c r="B29" s="153" t="s">
        <v>201</v>
      </c>
      <c r="C29" s="154" t="s">
        <v>202</v>
      </c>
      <c r="D29" s="154" t="s">
        <v>203</v>
      </c>
      <c r="E29" s="154" t="s">
        <v>204</v>
      </c>
      <c r="F29" s="154" t="s">
        <v>205</v>
      </c>
      <c r="G29" s="154" t="s">
        <v>206</v>
      </c>
      <c r="H29" s="154" t="s">
        <v>207</v>
      </c>
      <c r="I29" s="154"/>
      <c r="J29" s="156"/>
      <c r="K29" s="155"/>
      <c r="L29" s="155"/>
      <c r="M29" s="155"/>
      <c r="N29" s="155"/>
      <c r="O29" s="155"/>
      <c r="P29" s="155"/>
      <c r="Q29" s="155"/>
      <c r="R29" s="157"/>
      <c r="S29" s="152" t="s">
        <v>51</v>
      </c>
      <c r="T29" s="152"/>
      <c r="U29" s="122"/>
      <c r="V29" s="152"/>
      <c r="W29" s="152" t="s">
        <v>208</v>
      </c>
      <c r="X29" s="152"/>
      <c r="Y29" s="152"/>
      <c r="Z29" s="122"/>
      <c r="AE29" s="155" t="s">
        <v>183</v>
      </c>
      <c r="AG29" s="179">
        <v>10</v>
      </c>
      <c r="AH29" s="158">
        <f>1</f>
        <v>1</v>
      </c>
      <c r="AI29" s="159">
        <f t="shared" si="0"/>
        <v>10</v>
      </c>
      <c r="AJ29" s="159" t="str">
        <f t="shared" si="1"/>
        <v/>
      </c>
    </row>
    <row r="30" spans="1:37" s="91" customFormat="1" ht="45" customHeight="1" x14ac:dyDescent="0.2">
      <c r="A30" s="153" t="s">
        <v>184</v>
      </c>
      <c r="B30" s="153" t="s">
        <v>209</v>
      </c>
      <c r="C30" s="154" t="s">
        <v>186</v>
      </c>
      <c r="D30" s="154" t="s">
        <v>187</v>
      </c>
      <c r="E30" s="154" t="s">
        <v>188</v>
      </c>
      <c r="F30" s="154" t="s">
        <v>189</v>
      </c>
      <c r="G30" s="154" t="s">
        <v>210</v>
      </c>
      <c r="H30" s="154" t="s">
        <v>191</v>
      </c>
      <c r="I30" s="154" t="s">
        <v>192</v>
      </c>
      <c r="J30" s="156"/>
      <c r="K30" s="70"/>
      <c r="L30" s="70"/>
      <c r="M30" s="70"/>
      <c r="N30" s="70"/>
      <c r="O30" s="70"/>
      <c r="P30" s="70"/>
      <c r="Q30" s="70"/>
      <c r="R30" s="157"/>
      <c r="S30" s="152" t="s">
        <v>51</v>
      </c>
      <c r="T30" s="152"/>
      <c r="U30" s="122"/>
      <c r="V30" s="152"/>
      <c r="W30" s="152" t="s">
        <v>200</v>
      </c>
      <c r="X30" s="152"/>
      <c r="Y30" s="152"/>
      <c r="Z30" s="122"/>
      <c r="AE30" s="155" t="s">
        <v>183</v>
      </c>
      <c r="AG30" s="179">
        <v>10</v>
      </c>
      <c r="AH30" s="158">
        <f>1</f>
        <v>1</v>
      </c>
      <c r="AI30" s="159">
        <f t="shared" si="0"/>
        <v>10</v>
      </c>
      <c r="AJ30" s="159" t="str">
        <f t="shared" si="1"/>
        <v/>
      </c>
    </row>
    <row r="31" spans="1:37" s="91" customFormat="1" ht="16" customHeight="1" x14ac:dyDescent="0.2">
      <c r="A31" s="153" t="s">
        <v>116</v>
      </c>
      <c r="B31" s="153" t="s">
        <v>211</v>
      </c>
      <c r="C31" s="154" t="s">
        <v>194</v>
      </c>
      <c r="D31" s="154" t="s">
        <v>195</v>
      </c>
      <c r="E31" s="154" t="s">
        <v>175</v>
      </c>
      <c r="F31" s="154" t="s">
        <v>196</v>
      </c>
      <c r="G31" s="154" t="s">
        <v>212</v>
      </c>
      <c r="H31" s="154" t="s">
        <v>198</v>
      </c>
      <c r="I31" s="154" t="s">
        <v>199</v>
      </c>
      <c r="J31" s="156"/>
      <c r="K31" s="155"/>
      <c r="L31" s="155"/>
      <c r="M31" s="155"/>
      <c r="N31" s="155"/>
      <c r="O31" s="155"/>
      <c r="P31" s="155"/>
      <c r="Q31" s="155"/>
      <c r="R31" s="157"/>
      <c r="S31" s="152" t="s">
        <v>51</v>
      </c>
      <c r="T31" s="152" t="s">
        <v>180</v>
      </c>
      <c r="U31" s="123" t="s">
        <v>181</v>
      </c>
      <c r="V31" s="152" t="s">
        <v>182</v>
      </c>
      <c r="W31" s="152" t="s">
        <v>213</v>
      </c>
      <c r="X31" s="152"/>
      <c r="Y31" s="152"/>
      <c r="Z31" s="122"/>
      <c r="AE31" s="155" t="s">
        <v>183</v>
      </c>
      <c r="AG31" s="179">
        <v>10</v>
      </c>
      <c r="AH31" s="158">
        <f>1</f>
        <v>1</v>
      </c>
      <c r="AI31" s="159">
        <f t="shared" si="0"/>
        <v>10</v>
      </c>
      <c r="AJ31" s="159" t="str">
        <f t="shared" si="1"/>
        <v/>
      </c>
    </row>
    <row r="32" spans="1:37" s="91" customFormat="1" ht="16" customHeight="1" x14ac:dyDescent="0.2">
      <c r="A32" s="153" t="s">
        <v>116</v>
      </c>
      <c r="B32" s="153" t="s">
        <v>214</v>
      </c>
      <c r="C32" s="154" t="s">
        <v>202</v>
      </c>
      <c r="D32" s="154" t="s">
        <v>203</v>
      </c>
      <c r="E32" s="154" t="s">
        <v>204</v>
      </c>
      <c r="F32" s="154" t="s">
        <v>205</v>
      </c>
      <c r="G32" s="154" t="s">
        <v>206</v>
      </c>
      <c r="H32" s="154" t="s">
        <v>207</v>
      </c>
      <c r="I32" s="154" t="s">
        <v>215</v>
      </c>
      <c r="J32" s="156"/>
      <c r="K32" s="155"/>
      <c r="L32" s="155"/>
      <c r="M32" s="155"/>
      <c r="N32" s="155"/>
      <c r="O32" s="155"/>
      <c r="P32" s="155"/>
      <c r="Q32" s="155"/>
      <c r="R32" s="157"/>
      <c r="S32" s="152" t="s">
        <v>51</v>
      </c>
      <c r="T32" s="152"/>
      <c r="U32" s="122"/>
      <c r="V32" s="152"/>
      <c r="W32" s="152" t="s">
        <v>216</v>
      </c>
      <c r="X32" s="152"/>
      <c r="Y32" s="152"/>
      <c r="Z32" s="122"/>
      <c r="AE32" s="155" t="s">
        <v>183</v>
      </c>
      <c r="AG32" s="179">
        <v>10</v>
      </c>
      <c r="AH32" s="158">
        <f>1</f>
        <v>1</v>
      </c>
      <c r="AI32" s="159">
        <f t="shared" si="0"/>
        <v>10</v>
      </c>
      <c r="AJ32" s="159" t="str">
        <f t="shared" si="1"/>
        <v/>
      </c>
    </row>
    <row r="33" spans="1:37" s="72" customFormat="1" x14ac:dyDescent="0.2">
      <c r="C33" s="73"/>
      <c r="D33" s="73"/>
      <c r="E33" s="73"/>
      <c r="F33" s="73"/>
      <c r="G33" s="73"/>
      <c r="H33" s="73"/>
      <c r="I33" s="73"/>
      <c r="J33" s="74"/>
      <c r="R33" s="78"/>
      <c r="S33" s="114"/>
      <c r="T33" s="114"/>
      <c r="U33" s="114"/>
      <c r="V33" s="121"/>
      <c r="W33" s="114"/>
      <c r="X33" s="114"/>
      <c r="Y33" s="114"/>
      <c r="Z33" s="114"/>
      <c r="AG33" s="179"/>
      <c r="AH33" s="158">
        <f>1</f>
        <v>1</v>
      </c>
      <c r="AI33" s="159" t="str">
        <f t="shared" si="0"/>
        <v/>
      </c>
      <c r="AJ33" s="159" t="str">
        <f t="shared" si="1"/>
        <v/>
      </c>
      <c r="AK33" s="71"/>
    </row>
    <row r="34" spans="1:37" ht="16" customHeight="1" x14ac:dyDescent="0.2">
      <c r="A34" s="70" t="s">
        <v>217</v>
      </c>
      <c r="B34" s="70" t="s">
        <v>218</v>
      </c>
      <c r="C34" s="42" t="s">
        <v>219</v>
      </c>
      <c r="D34" s="205" t="s">
        <v>220</v>
      </c>
      <c r="E34" s="205" t="s">
        <v>221</v>
      </c>
      <c r="F34" s="205" t="s">
        <v>222</v>
      </c>
      <c r="G34" s="205" t="s">
        <v>223</v>
      </c>
      <c r="H34" s="205" t="s">
        <v>224</v>
      </c>
      <c r="I34" s="205" t="s">
        <v>225</v>
      </c>
      <c r="J34" s="83"/>
      <c r="K34" s="70" t="s">
        <v>226</v>
      </c>
      <c r="L34" s="70" t="s">
        <v>227</v>
      </c>
      <c r="M34" s="70" t="s">
        <v>228</v>
      </c>
      <c r="N34" s="70" t="s">
        <v>229</v>
      </c>
      <c r="O34" s="70" t="s">
        <v>230</v>
      </c>
      <c r="P34" s="70" t="s">
        <v>231</v>
      </c>
      <c r="Q34" s="70" t="s">
        <v>232</v>
      </c>
      <c r="R34" s="84"/>
      <c r="S34" s="113" t="s">
        <v>51</v>
      </c>
      <c r="T34" s="113" t="s">
        <v>52</v>
      </c>
      <c r="U34" s="113"/>
      <c r="V34" s="122"/>
      <c r="W34" s="113"/>
      <c r="X34" s="113"/>
      <c r="Y34" s="113"/>
      <c r="Z34" s="113"/>
      <c r="AE34" s="43" t="s">
        <v>53</v>
      </c>
      <c r="AG34" s="179">
        <v>8.8000000000000007</v>
      </c>
      <c r="AH34" s="158">
        <f>1</f>
        <v>1</v>
      </c>
      <c r="AI34" s="159">
        <f t="shared" si="0"/>
        <v>8.8000000000000007</v>
      </c>
      <c r="AJ34" s="159">
        <f t="shared" si="1"/>
        <v>8.8000000000000007</v>
      </c>
    </row>
    <row r="35" spans="1:37" x14ac:dyDescent="0.2">
      <c r="A35" s="70" t="s">
        <v>36</v>
      </c>
      <c r="B35" s="70" t="s">
        <v>233</v>
      </c>
      <c r="C35" s="42"/>
      <c r="D35" s="70"/>
      <c r="E35" s="70"/>
      <c r="F35" s="70"/>
      <c r="G35" s="70"/>
      <c r="H35" s="70"/>
      <c r="I35" s="70"/>
      <c r="J35" s="83"/>
      <c r="K35" s="70"/>
      <c r="L35" s="70"/>
      <c r="M35" s="70"/>
      <c r="N35" s="70"/>
      <c r="O35" s="70"/>
      <c r="P35" s="70"/>
      <c r="Q35" s="70"/>
      <c r="R35" s="84"/>
      <c r="S35" s="113"/>
      <c r="T35" s="113"/>
      <c r="U35" s="113"/>
      <c r="V35" s="113"/>
      <c r="W35" s="113"/>
      <c r="X35" s="113"/>
      <c r="Y35" s="113"/>
      <c r="Z35" s="113" t="s">
        <v>234</v>
      </c>
      <c r="AE35" s="43" t="s">
        <v>53</v>
      </c>
      <c r="AG35" s="179"/>
      <c r="AH35" s="158">
        <f>1</f>
        <v>1</v>
      </c>
      <c r="AI35" s="159" t="str">
        <f t="shared" si="0"/>
        <v/>
      </c>
      <c r="AJ35" s="159" t="str">
        <f t="shared" si="1"/>
        <v/>
      </c>
    </row>
    <row r="36" spans="1:37" ht="16" customHeight="1" x14ac:dyDescent="0.2">
      <c r="A36" s="70" t="s">
        <v>235</v>
      </c>
      <c r="B36" s="70" t="s">
        <v>236</v>
      </c>
      <c r="C36" s="42" t="s">
        <v>237</v>
      </c>
      <c r="D36" s="206" t="s">
        <v>238</v>
      </c>
      <c r="E36" s="206" t="s">
        <v>239</v>
      </c>
      <c r="F36" s="206" t="s">
        <v>240</v>
      </c>
      <c r="G36" s="206" t="s">
        <v>241</v>
      </c>
      <c r="H36" s="206" t="s">
        <v>242</v>
      </c>
      <c r="I36" s="206" t="s">
        <v>243</v>
      </c>
      <c r="J36" s="83"/>
      <c r="K36" s="70"/>
      <c r="L36" s="42"/>
      <c r="M36" s="42"/>
      <c r="N36" s="42"/>
      <c r="O36" s="42"/>
      <c r="P36" s="42"/>
      <c r="Q36" s="42"/>
      <c r="R36" s="84"/>
      <c r="S36" s="113" t="s">
        <v>51</v>
      </c>
      <c r="T36" s="113" t="s">
        <v>52</v>
      </c>
      <c r="U36" s="113"/>
      <c r="V36" s="113"/>
      <c r="W36" s="113"/>
      <c r="X36" s="113" t="s">
        <v>244</v>
      </c>
      <c r="Y36" s="113"/>
      <c r="Z36" s="113"/>
      <c r="AE36" s="43" t="s">
        <v>53</v>
      </c>
      <c r="AG36" s="179">
        <v>10.4</v>
      </c>
      <c r="AH36" s="158">
        <f>1</f>
        <v>1</v>
      </c>
      <c r="AI36" s="159">
        <f t="shared" si="0"/>
        <v>10.4</v>
      </c>
      <c r="AJ36" s="159">
        <f t="shared" si="1"/>
        <v>10.4</v>
      </c>
    </row>
    <row r="37" spans="1:37" x14ac:dyDescent="0.2">
      <c r="A37" s="70" t="s">
        <v>36</v>
      </c>
      <c r="B37" s="70" t="s">
        <v>245</v>
      </c>
      <c r="C37" s="42"/>
      <c r="D37" s="42"/>
      <c r="E37" s="42"/>
      <c r="F37" s="42"/>
      <c r="G37" s="42"/>
      <c r="H37" s="42"/>
      <c r="I37" s="42"/>
      <c r="J37" s="83"/>
      <c r="K37" s="70"/>
      <c r="L37" s="70"/>
      <c r="M37" s="70"/>
      <c r="N37" s="70"/>
      <c r="O37" s="70"/>
      <c r="P37" s="70"/>
      <c r="Q37" s="70"/>
      <c r="R37" s="84"/>
      <c r="S37" s="113"/>
      <c r="T37" s="113"/>
      <c r="U37" s="113"/>
      <c r="V37" s="113"/>
      <c r="W37" s="113"/>
      <c r="X37" s="113"/>
      <c r="Y37" s="113"/>
      <c r="Z37" s="113" t="s">
        <v>246</v>
      </c>
      <c r="AE37" s="43" t="s">
        <v>53</v>
      </c>
      <c r="AG37" s="179"/>
      <c r="AH37" s="158">
        <f>1</f>
        <v>1</v>
      </c>
      <c r="AI37" s="159" t="str">
        <f t="shared" si="0"/>
        <v/>
      </c>
      <c r="AJ37" s="159" t="str">
        <f t="shared" si="1"/>
        <v/>
      </c>
    </row>
    <row r="38" spans="1:37" x14ac:dyDescent="0.2">
      <c r="J38" s="83"/>
      <c r="R38" s="84"/>
      <c r="AG38" s="179"/>
      <c r="AH38" s="158">
        <f>1</f>
        <v>1</v>
      </c>
      <c r="AI38" s="159" t="str">
        <f t="shared" si="0"/>
        <v/>
      </c>
      <c r="AJ38" s="159" t="str">
        <f t="shared" si="1"/>
        <v/>
      </c>
    </row>
    <row r="39" spans="1:37" s="44" customFormat="1" ht="60" customHeight="1" x14ac:dyDescent="0.2">
      <c r="A39" s="42" t="s">
        <v>247</v>
      </c>
      <c r="B39" s="42" t="s">
        <v>248</v>
      </c>
      <c r="C39" s="42" t="s">
        <v>249</v>
      </c>
      <c r="D39" s="205" t="s">
        <v>250</v>
      </c>
      <c r="E39" s="205" t="s">
        <v>251</v>
      </c>
      <c r="F39" s="205" t="s">
        <v>252</v>
      </c>
      <c r="G39" s="205" t="s">
        <v>253</v>
      </c>
      <c r="H39" s="205" t="s">
        <v>254</v>
      </c>
      <c r="I39" s="205" t="s">
        <v>255</v>
      </c>
      <c r="J39" s="83"/>
      <c r="K39" s="70" t="s">
        <v>256</v>
      </c>
      <c r="L39" s="70" t="s">
        <v>257</v>
      </c>
      <c r="M39" s="70" t="s">
        <v>258</v>
      </c>
      <c r="N39" s="70" t="s">
        <v>259</v>
      </c>
      <c r="O39" s="70" t="s">
        <v>260</v>
      </c>
      <c r="P39" s="70" t="s">
        <v>231</v>
      </c>
      <c r="Q39" s="70" t="s">
        <v>261</v>
      </c>
      <c r="R39" s="83"/>
      <c r="S39" s="41" t="s">
        <v>51</v>
      </c>
      <c r="T39" s="41"/>
      <c r="U39" s="41"/>
      <c r="V39" s="41"/>
      <c r="W39" s="41"/>
      <c r="X39" s="41"/>
      <c r="Y39" s="41"/>
      <c r="Z39" s="41"/>
      <c r="AE39" s="44" t="s">
        <v>53</v>
      </c>
      <c r="AG39" s="182">
        <v>31.372377395629879</v>
      </c>
      <c r="AH39" s="158">
        <f>1</f>
        <v>1</v>
      </c>
      <c r="AI39" s="160">
        <f t="shared" si="0"/>
        <v>31.372377395629879</v>
      </c>
      <c r="AJ39" s="160">
        <f t="shared" si="1"/>
        <v>31.372377395629879</v>
      </c>
      <c r="AK39" s="45"/>
    </row>
    <row r="40" spans="1:37" s="283" customFormat="1" ht="45" customHeight="1" x14ac:dyDescent="0.2">
      <c r="A40" s="280" t="s">
        <v>262</v>
      </c>
      <c r="B40" s="280" t="s">
        <v>263</v>
      </c>
      <c r="C40" s="281" t="s">
        <v>264</v>
      </c>
      <c r="D40" s="282" t="s">
        <v>265</v>
      </c>
      <c r="E40" s="282" t="s">
        <v>266</v>
      </c>
      <c r="F40" s="282" t="s">
        <v>267</v>
      </c>
      <c r="G40" s="282" t="s">
        <v>268</v>
      </c>
      <c r="H40" s="282" t="s">
        <v>269</v>
      </c>
      <c r="I40" s="282" t="s">
        <v>270</v>
      </c>
      <c r="K40" s="280" t="s">
        <v>271</v>
      </c>
      <c r="L40" s="284" t="s">
        <v>272</v>
      </c>
      <c r="M40" s="284" t="s">
        <v>273</v>
      </c>
      <c r="N40" s="284" t="s">
        <v>274</v>
      </c>
      <c r="O40" s="284" t="s">
        <v>275</v>
      </c>
      <c r="P40" s="284" t="s">
        <v>276</v>
      </c>
      <c r="Q40" s="284" t="s">
        <v>277</v>
      </c>
      <c r="S40" s="285" t="s">
        <v>51</v>
      </c>
      <c r="T40" s="285"/>
      <c r="U40" s="285"/>
      <c r="V40" s="285"/>
      <c r="W40" s="285"/>
      <c r="X40" s="285"/>
      <c r="Y40" s="285"/>
      <c r="Z40" s="285"/>
      <c r="AA40" s="280"/>
      <c r="AB40" s="280"/>
      <c r="AC40" s="280"/>
      <c r="AD40" s="280"/>
      <c r="AE40" s="280" t="s">
        <v>73</v>
      </c>
      <c r="AF40" s="280"/>
      <c r="AG40" s="286">
        <v>17</v>
      </c>
      <c r="AH40" s="287">
        <f>1</f>
        <v>1</v>
      </c>
      <c r="AI40" s="288">
        <f t="shared" si="0"/>
        <v>17</v>
      </c>
      <c r="AJ40" s="289"/>
      <c r="AK40" s="290"/>
    </row>
    <row r="41" spans="1:37" x14ac:dyDescent="0.2">
      <c r="J41" s="83"/>
      <c r="R41" s="84"/>
      <c r="AG41" s="179"/>
      <c r="AH41" s="158">
        <f>1</f>
        <v>1</v>
      </c>
      <c r="AI41" s="159" t="str">
        <f t="shared" si="0"/>
        <v/>
      </c>
      <c r="AJ41" s="159" t="str">
        <f>IF(AND(AG41&lt;&gt;"",AE41="yes"),AG41*AH41,"")</f>
        <v/>
      </c>
    </row>
    <row r="42" spans="1:37" s="71" customFormat="1" ht="15.75" customHeight="1" thickBot="1" x14ac:dyDescent="0.25">
      <c r="A42" s="92" t="s">
        <v>278</v>
      </c>
      <c r="B42" s="92"/>
      <c r="C42" s="93"/>
      <c r="D42" s="93"/>
      <c r="E42" s="93"/>
      <c r="F42" s="93"/>
      <c r="G42" s="93"/>
      <c r="H42" s="93"/>
      <c r="I42" s="93"/>
      <c r="J42" s="87"/>
      <c r="K42" s="92"/>
      <c r="L42" s="92"/>
      <c r="M42" s="92"/>
      <c r="N42" s="92"/>
      <c r="O42" s="92"/>
      <c r="P42" s="92"/>
      <c r="Q42" s="92"/>
      <c r="R42" s="88"/>
      <c r="S42" s="124"/>
      <c r="T42" s="124"/>
      <c r="U42" s="124"/>
      <c r="V42" s="124"/>
      <c r="W42" s="124"/>
      <c r="X42" s="124"/>
      <c r="Y42" s="124"/>
      <c r="Z42" s="124"/>
      <c r="AG42" s="179"/>
      <c r="AH42" s="158"/>
      <c r="AI42" s="159" t="str">
        <f t="shared" si="0"/>
        <v/>
      </c>
      <c r="AJ42" s="159" t="str">
        <f>IF(AND(AG42&lt;&gt;"",AE42="yes"),AG42*AH42,"")</f>
        <v/>
      </c>
    </row>
    <row r="43" spans="1:37" s="68" customFormat="1" ht="15.75" customHeight="1" thickTop="1" x14ac:dyDescent="0.2">
      <c r="A43" s="65" t="s">
        <v>108</v>
      </c>
      <c r="B43" s="65" t="s">
        <v>279</v>
      </c>
      <c r="C43" s="89" t="s">
        <v>280</v>
      </c>
      <c r="D43" s="89" t="s">
        <v>281</v>
      </c>
      <c r="E43" s="89" t="s">
        <v>282</v>
      </c>
      <c r="F43" s="89" t="s">
        <v>283</v>
      </c>
      <c r="G43" s="89" t="s">
        <v>284</v>
      </c>
      <c r="H43" s="89" t="s">
        <v>285</v>
      </c>
      <c r="I43" s="89" t="s">
        <v>286</v>
      </c>
      <c r="J43" s="66"/>
      <c r="K43" s="65"/>
      <c r="L43" s="65"/>
      <c r="M43" s="65"/>
      <c r="N43" s="65"/>
      <c r="O43" s="65"/>
      <c r="P43" s="65"/>
      <c r="Q43" s="65"/>
      <c r="R43" s="67"/>
      <c r="S43" s="118" t="s">
        <v>72</v>
      </c>
      <c r="T43" s="118"/>
      <c r="U43" s="118"/>
      <c r="V43" s="118"/>
      <c r="W43" s="119" t="s">
        <v>287</v>
      </c>
      <c r="X43" s="118"/>
      <c r="Y43" s="118"/>
      <c r="Z43" s="118"/>
      <c r="AE43" s="43" t="s">
        <v>53</v>
      </c>
      <c r="AG43" s="179"/>
      <c r="AH43" s="158"/>
      <c r="AI43" s="159" t="str">
        <f t="shared" si="0"/>
        <v/>
      </c>
      <c r="AJ43" s="159" t="str">
        <f>IF(AND(AG43&lt;&gt;"",AE43="yes"),AG43*AH43,"")</f>
        <v/>
      </c>
      <c r="AK43" s="69"/>
    </row>
    <row r="44" spans="1:37" x14ac:dyDescent="0.2">
      <c r="J44" s="83"/>
      <c r="R44" s="84"/>
      <c r="AG44" s="179"/>
      <c r="AH44" s="158">
        <f>1</f>
        <v>1</v>
      </c>
      <c r="AI44" s="159" t="str">
        <f t="shared" si="0"/>
        <v/>
      </c>
      <c r="AJ44" s="159" t="str">
        <f>IF(AND(AG44&lt;&gt;"",AE44="yes"),AG44*AH44,"")</f>
        <v/>
      </c>
    </row>
    <row r="45" spans="1:37" ht="16" customHeight="1" x14ac:dyDescent="0.2">
      <c r="A45" s="70" t="s">
        <v>262</v>
      </c>
      <c r="B45" s="70" t="s">
        <v>288</v>
      </c>
      <c r="C45" s="42" t="s">
        <v>289</v>
      </c>
      <c r="D45" s="42" t="s">
        <v>290</v>
      </c>
      <c r="E45" s="42" t="s">
        <v>291</v>
      </c>
      <c r="F45" s="42" t="s">
        <v>292</v>
      </c>
      <c r="G45" s="42" t="s">
        <v>293</v>
      </c>
      <c r="H45" s="42" t="s">
        <v>294</v>
      </c>
      <c r="I45" s="42" t="s">
        <v>295</v>
      </c>
      <c r="J45" s="83"/>
      <c r="K45" s="70"/>
      <c r="L45" s="70"/>
      <c r="M45" s="70"/>
      <c r="N45" s="70"/>
      <c r="O45" s="70"/>
      <c r="P45" s="70"/>
      <c r="Q45" s="70"/>
      <c r="R45" s="84"/>
      <c r="S45" s="113" t="s">
        <v>51</v>
      </c>
      <c r="T45" s="113"/>
      <c r="U45" s="113"/>
      <c r="V45" s="113"/>
      <c r="W45" s="113"/>
      <c r="X45" s="113"/>
      <c r="Y45" s="113"/>
      <c r="Z45" s="113"/>
      <c r="AE45" s="43" t="s">
        <v>53</v>
      </c>
      <c r="AG45" s="200"/>
      <c r="AH45" s="201"/>
      <c r="AI45" s="202"/>
      <c r="AJ45" s="159"/>
    </row>
    <row r="46" spans="1:37" ht="16" customHeight="1" x14ac:dyDescent="0.2">
      <c r="A46" s="70" t="s">
        <v>156</v>
      </c>
      <c r="B46" s="70" t="s">
        <v>296</v>
      </c>
      <c r="C46" s="42" t="s">
        <v>297</v>
      </c>
      <c r="D46" s="205" t="s">
        <v>298</v>
      </c>
      <c r="E46" s="205" t="s">
        <v>299</v>
      </c>
      <c r="F46" s="205" t="s">
        <v>300</v>
      </c>
      <c r="G46" s="205" t="s">
        <v>301</v>
      </c>
      <c r="H46" s="205" t="s">
        <v>302</v>
      </c>
      <c r="I46" s="205" t="s">
        <v>303</v>
      </c>
      <c r="J46" s="83"/>
      <c r="K46" s="70"/>
      <c r="L46" s="70"/>
      <c r="M46" s="70"/>
      <c r="N46" s="70"/>
      <c r="O46" s="70"/>
      <c r="P46" s="70"/>
      <c r="Q46" s="70"/>
      <c r="R46" s="84"/>
      <c r="S46" s="113" t="s">
        <v>51</v>
      </c>
      <c r="T46" s="113"/>
      <c r="U46" s="113"/>
      <c r="V46" s="113"/>
      <c r="W46" s="113" t="s">
        <v>304</v>
      </c>
      <c r="X46" s="113"/>
      <c r="Y46" s="113"/>
      <c r="Z46" s="113"/>
      <c r="AE46" s="43" t="s">
        <v>53</v>
      </c>
      <c r="AG46" s="179">
        <v>10.08573150634766</v>
      </c>
      <c r="AH46" s="158">
        <f>1</f>
        <v>1</v>
      </c>
      <c r="AI46" s="159">
        <f t="shared" ref="AI46:AI70" si="2">IF(AG46&lt;&gt;"",AG46*AH46,"")</f>
        <v>10.08573150634766</v>
      </c>
      <c r="AJ46" s="159">
        <f t="shared" ref="AJ46:AJ70" si="3">IF(AND(AG46&lt;&gt;"",AE46="yes"),AG46*AH46,"")</f>
        <v>10.08573150634766</v>
      </c>
    </row>
    <row r="47" spans="1:37" x14ac:dyDescent="0.2">
      <c r="D47" s="319"/>
      <c r="E47" s="319"/>
      <c r="F47" s="319"/>
      <c r="G47" s="319"/>
      <c r="H47" s="319"/>
      <c r="I47" s="319"/>
      <c r="J47" s="83"/>
      <c r="R47" s="84"/>
      <c r="AG47" s="179"/>
      <c r="AH47" s="158">
        <f>1</f>
        <v>1</v>
      </c>
      <c r="AI47" s="159" t="str">
        <f t="shared" si="2"/>
        <v/>
      </c>
      <c r="AJ47" s="159" t="str">
        <f t="shared" si="3"/>
        <v/>
      </c>
    </row>
    <row r="48" spans="1:37" ht="16" customHeight="1" x14ac:dyDescent="0.2">
      <c r="A48" s="70" t="s">
        <v>305</v>
      </c>
      <c r="B48" s="70" t="s">
        <v>306</v>
      </c>
      <c r="C48" s="42" t="s">
        <v>307</v>
      </c>
      <c r="D48" s="205" t="s">
        <v>308</v>
      </c>
      <c r="E48" s="205" t="s">
        <v>309</v>
      </c>
      <c r="F48" s="205" t="s">
        <v>310</v>
      </c>
      <c r="G48" s="205" t="s">
        <v>311</v>
      </c>
      <c r="H48" s="205" t="s">
        <v>312</v>
      </c>
      <c r="I48" s="205" t="s">
        <v>313</v>
      </c>
      <c r="J48" s="83"/>
      <c r="K48" s="70"/>
      <c r="L48" s="70"/>
      <c r="M48" s="70"/>
      <c r="N48" s="70"/>
      <c r="O48" s="70"/>
      <c r="P48" s="70"/>
      <c r="Q48" s="70"/>
      <c r="R48" s="84"/>
      <c r="S48" s="113" t="s">
        <v>51</v>
      </c>
      <c r="T48" s="113"/>
      <c r="U48" s="113"/>
      <c r="V48" s="113"/>
      <c r="W48" s="113"/>
      <c r="X48" s="113"/>
      <c r="Y48" s="113"/>
      <c r="Z48" s="113"/>
      <c r="AE48" s="43" t="s">
        <v>53</v>
      </c>
      <c r="AG48" s="179">
        <v>12.894034385681151</v>
      </c>
      <c r="AH48" s="158">
        <f>1</f>
        <v>1</v>
      </c>
      <c r="AI48" s="159">
        <f t="shared" si="2"/>
        <v>12.894034385681151</v>
      </c>
      <c r="AJ48" s="159">
        <f t="shared" si="3"/>
        <v>12.894034385681151</v>
      </c>
    </row>
    <row r="49" spans="1:37" x14ac:dyDescent="0.2">
      <c r="J49" s="83"/>
      <c r="R49" s="84"/>
      <c r="AG49" s="179"/>
      <c r="AH49" s="158">
        <f>1</f>
        <v>1</v>
      </c>
      <c r="AI49" s="159" t="str">
        <f t="shared" si="2"/>
        <v/>
      </c>
      <c r="AJ49" s="159" t="str">
        <f t="shared" si="3"/>
        <v/>
      </c>
    </row>
    <row r="50" spans="1:37" s="71" customFormat="1" ht="30" customHeight="1" x14ac:dyDescent="0.2">
      <c r="A50" s="71" t="s">
        <v>314</v>
      </c>
      <c r="B50" s="71" t="s">
        <v>315</v>
      </c>
      <c r="C50" s="45" t="s">
        <v>316</v>
      </c>
      <c r="D50" s="45" t="s">
        <v>317</v>
      </c>
      <c r="E50" s="45" t="s">
        <v>318</v>
      </c>
      <c r="F50" s="45" t="s">
        <v>319</v>
      </c>
      <c r="G50" s="45" t="s">
        <v>320</v>
      </c>
      <c r="H50" s="45" t="s">
        <v>321</v>
      </c>
      <c r="I50" s="45" t="s">
        <v>322</v>
      </c>
      <c r="J50" s="94"/>
      <c r="K50" s="95"/>
      <c r="L50" s="95"/>
      <c r="M50" s="95"/>
      <c r="N50" s="95"/>
      <c r="O50" s="95"/>
      <c r="P50" s="95"/>
      <c r="Q50" s="95"/>
      <c r="R50" s="96"/>
      <c r="S50" s="120" t="s">
        <v>51</v>
      </c>
      <c r="T50" s="125"/>
      <c r="U50" s="125"/>
      <c r="V50" s="125"/>
      <c r="W50" s="125"/>
      <c r="X50" s="125"/>
      <c r="Y50" s="125"/>
      <c r="Z50" s="125"/>
      <c r="AE50" s="71" t="s">
        <v>53</v>
      </c>
      <c r="AG50" s="179">
        <v>15.265829086303709</v>
      </c>
      <c r="AH50" s="158">
        <f>1</f>
        <v>1</v>
      </c>
      <c r="AI50" s="159">
        <f t="shared" si="2"/>
        <v>15.265829086303709</v>
      </c>
      <c r="AJ50" s="159">
        <f t="shared" si="3"/>
        <v>15.265829086303709</v>
      </c>
    </row>
    <row r="51" spans="1:37" s="71" customFormat="1" ht="32" customHeight="1" x14ac:dyDescent="0.2">
      <c r="A51" s="71" t="s">
        <v>323</v>
      </c>
      <c r="B51" s="71" t="s">
        <v>324</v>
      </c>
      <c r="C51" s="45" t="s">
        <v>325</v>
      </c>
      <c r="D51" s="45" t="s">
        <v>326</v>
      </c>
      <c r="E51" s="45" t="s">
        <v>327</v>
      </c>
      <c r="F51" s="45" t="s">
        <v>328</v>
      </c>
      <c r="G51" s="45" t="s">
        <v>329</v>
      </c>
      <c r="H51" s="45" t="s">
        <v>330</v>
      </c>
      <c r="I51" s="45" t="s">
        <v>331</v>
      </c>
      <c r="J51" s="94"/>
      <c r="K51" s="95"/>
      <c r="L51" s="95"/>
      <c r="M51" s="95"/>
      <c r="N51" s="95"/>
      <c r="O51" s="95"/>
      <c r="P51" s="95"/>
      <c r="Q51" s="95"/>
      <c r="R51" s="96"/>
      <c r="S51" s="120" t="s">
        <v>51</v>
      </c>
      <c r="T51" s="125"/>
      <c r="U51" s="125"/>
      <c r="V51" s="125"/>
      <c r="W51" s="125"/>
      <c r="X51" s="125"/>
      <c r="Y51" s="125"/>
      <c r="Z51" s="125"/>
      <c r="AE51" s="71" t="s">
        <v>53</v>
      </c>
      <c r="AG51" s="179">
        <v>15.12371826171875</v>
      </c>
      <c r="AH51" s="158">
        <f>1</f>
        <v>1</v>
      </c>
      <c r="AI51" s="159">
        <f t="shared" si="2"/>
        <v>15.12371826171875</v>
      </c>
      <c r="AJ51" s="159">
        <f t="shared" si="3"/>
        <v>15.12371826171875</v>
      </c>
    </row>
    <row r="52" spans="1:37" s="71" customFormat="1" ht="32" customHeight="1" x14ac:dyDescent="0.2">
      <c r="A52" s="71" t="s">
        <v>332</v>
      </c>
      <c r="B52" s="71" t="s">
        <v>333</v>
      </c>
      <c r="C52" s="45" t="s">
        <v>334</v>
      </c>
      <c r="D52" s="45" t="s">
        <v>335</v>
      </c>
      <c r="E52" s="45" t="s">
        <v>336</v>
      </c>
      <c r="F52" s="45" t="s">
        <v>337</v>
      </c>
      <c r="G52" s="45" t="s">
        <v>338</v>
      </c>
      <c r="H52" s="45" t="s">
        <v>339</v>
      </c>
      <c r="I52" s="45" t="s">
        <v>340</v>
      </c>
      <c r="J52" s="94"/>
      <c r="K52" s="95"/>
      <c r="L52" s="95"/>
      <c r="M52" s="95"/>
      <c r="N52" s="95"/>
      <c r="O52" s="95"/>
      <c r="P52" s="95"/>
      <c r="Q52" s="95"/>
      <c r="R52" s="96"/>
      <c r="S52" s="120" t="s">
        <v>51</v>
      </c>
      <c r="T52" s="125"/>
      <c r="U52" s="125"/>
      <c r="V52" s="125"/>
      <c r="W52" s="125"/>
      <c r="X52" s="125"/>
      <c r="Y52" s="125"/>
      <c r="Z52" s="125"/>
      <c r="AE52" s="71" t="s">
        <v>53</v>
      </c>
      <c r="AG52" s="179">
        <v>13.76013851165771</v>
      </c>
      <c r="AH52" s="158">
        <f>1</f>
        <v>1</v>
      </c>
      <c r="AI52" s="159">
        <f t="shared" si="2"/>
        <v>13.76013851165771</v>
      </c>
      <c r="AJ52" s="159">
        <f t="shared" si="3"/>
        <v>13.76013851165771</v>
      </c>
    </row>
    <row r="53" spans="1:37" s="71" customFormat="1" x14ac:dyDescent="0.2">
      <c r="C53" s="45"/>
      <c r="D53" s="45"/>
      <c r="E53" s="45"/>
      <c r="F53" s="45"/>
      <c r="G53" s="45"/>
      <c r="H53" s="45"/>
      <c r="I53" s="45"/>
      <c r="J53" s="94"/>
      <c r="K53" s="95"/>
      <c r="L53" s="95"/>
      <c r="M53" s="95"/>
      <c r="N53" s="95"/>
      <c r="O53" s="95"/>
      <c r="P53" s="95"/>
      <c r="Q53" s="95"/>
      <c r="R53" s="96"/>
      <c r="S53" s="125"/>
      <c r="T53" s="125"/>
      <c r="U53" s="125"/>
      <c r="V53" s="125"/>
      <c r="W53" s="125"/>
      <c r="X53" s="125"/>
      <c r="Y53" s="125"/>
      <c r="Z53" s="125"/>
      <c r="AG53" s="179"/>
      <c r="AH53" s="158">
        <f>1</f>
        <v>1</v>
      </c>
      <c r="AI53" s="159" t="str">
        <f t="shared" si="2"/>
        <v/>
      </c>
      <c r="AJ53" s="159" t="str">
        <f t="shared" si="3"/>
        <v/>
      </c>
    </row>
    <row r="54" spans="1:37" s="280" customFormat="1" ht="30" customHeight="1" x14ac:dyDescent="0.2">
      <c r="A54" s="280" t="s">
        <v>341</v>
      </c>
      <c r="B54" s="280" t="s">
        <v>342</v>
      </c>
      <c r="C54" s="281" t="s">
        <v>343</v>
      </c>
      <c r="D54" s="280" t="s">
        <v>344</v>
      </c>
      <c r="E54" s="280" t="s">
        <v>345</v>
      </c>
      <c r="F54" s="280" t="s">
        <v>346</v>
      </c>
      <c r="G54" s="280" t="s">
        <v>347</v>
      </c>
      <c r="H54" s="280" t="s">
        <v>348</v>
      </c>
      <c r="I54" s="280" t="s">
        <v>349</v>
      </c>
      <c r="J54" s="281"/>
      <c r="K54" s="280" t="s">
        <v>350</v>
      </c>
      <c r="L54" s="280" t="s">
        <v>351</v>
      </c>
      <c r="M54" s="280" t="s">
        <v>352</v>
      </c>
      <c r="N54" s="280" t="s">
        <v>353</v>
      </c>
      <c r="O54" s="280" t="s">
        <v>354</v>
      </c>
      <c r="P54" s="280" t="s">
        <v>355</v>
      </c>
      <c r="Q54" s="280" t="s">
        <v>356</v>
      </c>
      <c r="S54" s="285" t="s">
        <v>51</v>
      </c>
      <c r="T54" s="285"/>
      <c r="U54" s="285"/>
      <c r="V54" s="285"/>
      <c r="W54" s="285"/>
      <c r="X54" s="285"/>
      <c r="Y54" s="285"/>
      <c r="Z54" s="285"/>
      <c r="AE54" s="280" t="s">
        <v>73</v>
      </c>
      <c r="AG54" s="286">
        <v>30.646188735961911</v>
      </c>
      <c r="AH54" s="287">
        <f>1</f>
        <v>1</v>
      </c>
      <c r="AI54" s="288">
        <f t="shared" si="2"/>
        <v>30.646188735961911</v>
      </c>
      <c r="AJ54" s="288" t="str">
        <f t="shared" si="3"/>
        <v/>
      </c>
      <c r="AK54" s="291"/>
    </row>
    <row r="55" spans="1:37" s="280" customFormat="1" ht="16" customHeight="1" x14ac:dyDescent="0.2">
      <c r="A55" s="280" t="s">
        <v>144</v>
      </c>
      <c r="B55" s="280" t="s">
        <v>357</v>
      </c>
      <c r="C55" s="281" t="s">
        <v>358</v>
      </c>
      <c r="D55" s="281" t="s">
        <v>359</v>
      </c>
      <c r="E55" s="281" t="s">
        <v>360</v>
      </c>
      <c r="F55" s="281" t="s">
        <v>361</v>
      </c>
      <c r="G55" s="281" t="s">
        <v>362</v>
      </c>
      <c r="H55" s="281" t="s">
        <v>363</v>
      </c>
      <c r="I55" s="281" t="s">
        <v>364</v>
      </c>
      <c r="J55" s="281"/>
      <c r="K55" s="280" t="s">
        <v>365</v>
      </c>
      <c r="L55" s="280" t="s">
        <v>366</v>
      </c>
      <c r="M55" s="280" t="s">
        <v>367</v>
      </c>
      <c r="N55" s="280" t="s">
        <v>368</v>
      </c>
      <c r="O55" s="280" t="s">
        <v>369</v>
      </c>
      <c r="P55" s="280" t="s">
        <v>370</v>
      </c>
      <c r="Q55" s="280" t="s">
        <v>371</v>
      </c>
      <c r="S55" s="285" t="s">
        <v>51</v>
      </c>
      <c r="T55" s="285"/>
      <c r="U55" s="285" t="s">
        <v>372</v>
      </c>
      <c r="V55" s="285"/>
      <c r="W55" s="285"/>
      <c r="X55" s="285"/>
      <c r="Y55" s="285"/>
      <c r="Z55" s="285"/>
      <c r="AE55" s="280" t="s">
        <v>73</v>
      </c>
      <c r="AG55" s="286">
        <v>15.21184825897217</v>
      </c>
      <c r="AH55" s="287">
        <f>1</f>
        <v>1</v>
      </c>
      <c r="AI55" s="288">
        <f t="shared" si="2"/>
        <v>15.21184825897217</v>
      </c>
      <c r="AJ55" s="288" t="str">
        <f t="shared" si="3"/>
        <v/>
      </c>
      <c r="AK55" s="291"/>
    </row>
    <row r="56" spans="1:37" s="280" customFormat="1" ht="32" customHeight="1" x14ac:dyDescent="0.2">
      <c r="A56" s="280" t="s">
        <v>373</v>
      </c>
      <c r="B56" s="280" t="s">
        <v>374</v>
      </c>
      <c r="C56" s="281" t="s">
        <v>375</v>
      </c>
      <c r="D56" s="281" t="s">
        <v>376</v>
      </c>
      <c r="E56" s="281" t="s">
        <v>377</v>
      </c>
      <c r="F56" s="281" t="s">
        <v>378</v>
      </c>
      <c r="G56" s="281" t="s">
        <v>379</v>
      </c>
      <c r="H56" s="281" t="s">
        <v>380</v>
      </c>
      <c r="I56" s="281" t="s">
        <v>381</v>
      </c>
      <c r="J56" s="281"/>
      <c r="K56" s="280" t="s">
        <v>382</v>
      </c>
      <c r="L56" s="280" t="s">
        <v>383</v>
      </c>
      <c r="M56" s="280" t="s">
        <v>384</v>
      </c>
      <c r="N56" s="280" t="s">
        <v>385</v>
      </c>
      <c r="O56" s="280" t="s">
        <v>386</v>
      </c>
      <c r="P56" s="280" t="s">
        <v>387</v>
      </c>
      <c r="Q56" s="280" t="s">
        <v>388</v>
      </c>
      <c r="S56" s="285" t="s">
        <v>51</v>
      </c>
      <c r="T56" s="285"/>
      <c r="U56" s="285" t="s">
        <v>389</v>
      </c>
      <c r="V56" s="285"/>
      <c r="W56" s="285"/>
      <c r="X56" s="285"/>
      <c r="Y56" s="285"/>
      <c r="Z56" s="285"/>
      <c r="AE56" s="280" t="s">
        <v>73</v>
      </c>
      <c r="AG56" s="286">
        <v>17</v>
      </c>
      <c r="AH56" s="287">
        <f>1</f>
        <v>1</v>
      </c>
      <c r="AI56" s="288">
        <f t="shared" si="2"/>
        <v>17</v>
      </c>
      <c r="AJ56" s="288" t="str">
        <f t="shared" si="3"/>
        <v/>
      </c>
      <c r="AK56" s="291"/>
    </row>
    <row r="57" spans="1:37" s="280" customFormat="1" ht="30" customHeight="1" x14ac:dyDescent="0.2">
      <c r="A57" s="280" t="s">
        <v>390</v>
      </c>
      <c r="B57" s="280" t="s">
        <v>391</v>
      </c>
      <c r="C57" s="281" t="s">
        <v>392</v>
      </c>
      <c r="D57" s="281" t="s">
        <v>393</v>
      </c>
      <c r="E57" s="281" t="s">
        <v>394</v>
      </c>
      <c r="F57" s="281" t="s">
        <v>395</v>
      </c>
      <c r="G57" s="281" t="s">
        <v>396</v>
      </c>
      <c r="H57" s="281" t="s">
        <v>397</v>
      </c>
      <c r="I57" s="281" t="s">
        <v>398</v>
      </c>
      <c r="J57" s="281"/>
      <c r="K57" s="280" t="s">
        <v>382</v>
      </c>
      <c r="L57" s="280" t="s">
        <v>383</v>
      </c>
      <c r="M57" s="280" t="s">
        <v>384</v>
      </c>
      <c r="N57" s="280" t="s">
        <v>385</v>
      </c>
      <c r="O57" s="280" t="s">
        <v>386</v>
      </c>
      <c r="P57" s="280" t="s">
        <v>387</v>
      </c>
      <c r="Q57" s="280" t="s">
        <v>388</v>
      </c>
      <c r="S57" s="285" t="s">
        <v>51</v>
      </c>
      <c r="T57" s="285"/>
      <c r="U57" s="285" t="s">
        <v>389</v>
      </c>
      <c r="V57" s="285"/>
      <c r="W57" s="285"/>
      <c r="X57" s="285"/>
      <c r="Y57" s="285"/>
      <c r="Z57" s="285"/>
      <c r="AE57" s="280" t="s">
        <v>73</v>
      </c>
      <c r="AG57" s="286">
        <v>17</v>
      </c>
      <c r="AH57" s="287">
        <f>1</f>
        <v>1</v>
      </c>
      <c r="AI57" s="288">
        <f t="shared" si="2"/>
        <v>17</v>
      </c>
      <c r="AJ57" s="288" t="str">
        <f t="shared" si="3"/>
        <v/>
      </c>
      <c r="AK57" s="291"/>
    </row>
    <row r="58" spans="1:37" s="280" customFormat="1" ht="16" customHeight="1" x14ac:dyDescent="0.2">
      <c r="A58" s="280" t="s">
        <v>399</v>
      </c>
      <c r="B58" s="280" t="s">
        <v>400</v>
      </c>
      <c r="C58" s="281" t="s">
        <v>401</v>
      </c>
      <c r="D58" s="281" t="s">
        <v>402</v>
      </c>
      <c r="E58" s="281" t="s">
        <v>403</v>
      </c>
      <c r="F58" s="281" t="s">
        <v>404</v>
      </c>
      <c r="G58" s="281" t="s">
        <v>405</v>
      </c>
      <c r="H58" s="281" t="s">
        <v>406</v>
      </c>
      <c r="I58" s="281" t="s">
        <v>407</v>
      </c>
      <c r="J58" s="281"/>
      <c r="S58" s="285" t="s">
        <v>51</v>
      </c>
      <c r="T58" s="285"/>
      <c r="U58" s="285"/>
      <c r="V58" s="285"/>
      <c r="W58" s="285"/>
      <c r="X58" s="285"/>
      <c r="Y58" s="285"/>
      <c r="Z58" s="285"/>
      <c r="AE58" s="280" t="s">
        <v>73</v>
      </c>
      <c r="AG58" s="286">
        <v>17</v>
      </c>
      <c r="AH58" s="287">
        <f>1</f>
        <v>1</v>
      </c>
      <c r="AI58" s="288">
        <f t="shared" si="2"/>
        <v>17</v>
      </c>
      <c r="AJ58" s="288" t="str">
        <f t="shared" si="3"/>
        <v/>
      </c>
      <c r="AK58" s="291"/>
    </row>
    <row r="59" spans="1:37" s="72" customFormat="1" x14ac:dyDescent="0.2">
      <c r="C59" s="73"/>
      <c r="D59" s="73"/>
      <c r="E59" s="73"/>
      <c r="F59" s="73"/>
      <c r="G59" s="73"/>
      <c r="H59" s="73"/>
      <c r="I59" s="73"/>
      <c r="J59" s="74"/>
      <c r="R59" s="78"/>
      <c r="S59" s="114"/>
      <c r="T59" s="114"/>
      <c r="U59" s="114"/>
      <c r="V59" s="114"/>
      <c r="W59" s="114"/>
      <c r="X59" s="114"/>
      <c r="Y59" s="114"/>
      <c r="Z59" s="114"/>
      <c r="AG59" s="179"/>
      <c r="AH59" s="158">
        <f>1</f>
        <v>1</v>
      </c>
      <c r="AI59" s="159" t="str">
        <f t="shared" si="2"/>
        <v/>
      </c>
      <c r="AJ59" s="159" t="str">
        <f t="shared" si="3"/>
        <v/>
      </c>
      <c r="AK59" s="71"/>
    </row>
    <row r="60" spans="1:37" ht="15.75" customHeight="1" thickBot="1" x14ac:dyDescent="0.25">
      <c r="A60" s="97" t="s">
        <v>278</v>
      </c>
      <c r="B60" s="97"/>
      <c r="C60" s="98"/>
      <c r="D60" s="98"/>
      <c r="E60" s="98"/>
      <c r="F60" s="98"/>
      <c r="G60" s="98"/>
      <c r="H60" s="98"/>
      <c r="I60" s="98"/>
      <c r="J60" s="105"/>
      <c r="K60" s="97"/>
      <c r="L60" s="97"/>
      <c r="M60" s="97"/>
      <c r="N60" s="97"/>
      <c r="O60" s="97"/>
      <c r="P60" s="97"/>
      <c r="Q60" s="97"/>
      <c r="R60" s="106"/>
      <c r="S60" s="126"/>
      <c r="T60" s="126"/>
      <c r="U60" s="126"/>
      <c r="V60" s="126"/>
      <c r="W60" s="126"/>
      <c r="X60" s="126"/>
      <c r="Y60" s="126"/>
      <c r="Z60" s="126"/>
      <c r="AG60" s="179"/>
      <c r="AH60" s="158">
        <f>1</f>
        <v>1</v>
      </c>
      <c r="AI60" s="159" t="str">
        <f t="shared" si="2"/>
        <v/>
      </c>
      <c r="AJ60" s="159" t="str">
        <f t="shared" si="3"/>
        <v/>
      </c>
    </row>
    <row r="61" spans="1:37" s="68" customFormat="1" ht="15.75" customHeight="1" thickTop="1" x14ac:dyDescent="0.2">
      <c r="A61" s="77" t="s">
        <v>108</v>
      </c>
      <c r="B61" s="77" t="s">
        <v>408</v>
      </c>
      <c r="C61" s="99" t="s">
        <v>409</v>
      </c>
      <c r="D61" s="99" t="s">
        <v>410</v>
      </c>
      <c r="E61" s="99" t="s">
        <v>411</v>
      </c>
      <c r="F61" s="99" t="s">
        <v>412</v>
      </c>
      <c r="G61" s="99" t="s">
        <v>413</v>
      </c>
      <c r="H61" s="99" t="s">
        <v>414</v>
      </c>
      <c r="I61" s="99" t="s">
        <v>410</v>
      </c>
      <c r="J61" s="166"/>
      <c r="K61" s="77"/>
      <c r="L61" s="77"/>
      <c r="M61" s="77"/>
      <c r="N61" s="77"/>
      <c r="O61" s="77"/>
      <c r="P61" s="77"/>
      <c r="Q61" s="77"/>
      <c r="R61" s="167"/>
      <c r="S61" s="127" t="s">
        <v>72</v>
      </c>
      <c r="T61" s="127"/>
      <c r="U61" s="127"/>
      <c r="V61" s="127"/>
      <c r="W61" s="278" t="s">
        <v>287</v>
      </c>
      <c r="X61" s="127"/>
      <c r="Y61" s="127"/>
      <c r="Z61" s="127"/>
      <c r="AE61" s="43" t="s">
        <v>53</v>
      </c>
      <c r="AG61" s="179"/>
      <c r="AH61" s="158">
        <f>1</f>
        <v>1</v>
      </c>
      <c r="AI61" s="159" t="str">
        <f t="shared" si="2"/>
        <v/>
      </c>
      <c r="AJ61" s="159" t="str">
        <f t="shared" si="3"/>
        <v/>
      </c>
      <c r="AK61" s="69"/>
    </row>
    <row r="62" spans="1:37" x14ac:dyDescent="0.2">
      <c r="J62" s="83"/>
      <c r="R62" s="84"/>
      <c r="AG62" s="179"/>
      <c r="AH62" s="158">
        <f>1</f>
        <v>1</v>
      </c>
      <c r="AI62" s="159" t="str">
        <f t="shared" si="2"/>
        <v/>
      </c>
      <c r="AJ62" s="159" t="str">
        <f t="shared" si="3"/>
        <v/>
      </c>
    </row>
    <row r="63" spans="1:37" ht="30" customHeight="1" x14ac:dyDescent="0.2">
      <c r="A63" s="75" t="s">
        <v>415</v>
      </c>
      <c r="B63" s="75" t="s">
        <v>416</v>
      </c>
      <c r="C63" s="76" t="s">
        <v>417</v>
      </c>
      <c r="D63" s="208" t="s">
        <v>418</v>
      </c>
      <c r="E63" s="208" t="s">
        <v>419</v>
      </c>
      <c r="F63" s="208" t="s">
        <v>420</v>
      </c>
      <c r="G63" s="208" t="s">
        <v>421</v>
      </c>
      <c r="H63" s="208" t="s">
        <v>422</v>
      </c>
      <c r="I63" s="208" t="s">
        <v>423</v>
      </c>
      <c r="J63" s="94"/>
      <c r="K63" s="71" t="s">
        <v>424</v>
      </c>
      <c r="L63" s="43" t="s">
        <v>425</v>
      </c>
      <c r="M63" s="43" t="s">
        <v>426</v>
      </c>
      <c r="N63" s="43" t="s">
        <v>427</v>
      </c>
      <c r="O63" s="43" t="s">
        <v>428</v>
      </c>
      <c r="P63" s="43" t="s">
        <v>429</v>
      </c>
      <c r="Q63" s="43" t="s">
        <v>430</v>
      </c>
      <c r="R63" s="96"/>
      <c r="S63" s="115" t="s">
        <v>51</v>
      </c>
      <c r="T63" s="115" t="s">
        <v>431</v>
      </c>
      <c r="U63" s="115"/>
      <c r="V63" s="115"/>
      <c r="W63" s="115"/>
      <c r="X63" s="115"/>
      <c r="Y63" s="115"/>
      <c r="Z63" s="115"/>
      <c r="AE63" s="43" t="s">
        <v>53</v>
      </c>
      <c r="AG63" s="179">
        <v>36.928733825683587</v>
      </c>
      <c r="AH63" s="158">
        <f>1</f>
        <v>1</v>
      </c>
      <c r="AI63" s="159">
        <f t="shared" si="2"/>
        <v>36.928733825683587</v>
      </c>
      <c r="AJ63" s="159">
        <f t="shared" si="3"/>
        <v>36.928733825683587</v>
      </c>
    </row>
    <row r="64" spans="1:37" x14ac:dyDescent="0.2">
      <c r="A64" s="75" t="s">
        <v>36</v>
      </c>
      <c r="B64" s="75" t="s">
        <v>432</v>
      </c>
      <c r="C64" s="76"/>
      <c r="D64" s="70"/>
      <c r="E64" s="70"/>
      <c r="F64" s="70"/>
      <c r="G64" s="70"/>
      <c r="H64" s="70"/>
      <c r="I64" s="70"/>
      <c r="J64" s="94"/>
      <c r="K64" s="71"/>
      <c r="L64" s="71"/>
      <c r="M64" s="71"/>
      <c r="N64" s="71"/>
      <c r="O64" s="71"/>
      <c r="P64" s="71"/>
      <c r="Q64" s="71"/>
      <c r="R64" s="96"/>
      <c r="S64" s="115"/>
      <c r="T64" s="115"/>
      <c r="U64" s="115"/>
      <c r="V64" s="115"/>
      <c r="W64" s="115"/>
      <c r="X64" s="115"/>
      <c r="Y64" s="115"/>
      <c r="Z64" s="115" t="s">
        <v>433</v>
      </c>
      <c r="AE64" s="43" t="s">
        <v>53</v>
      </c>
      <c r="AG64" s="179"/>
      <c r="AH64" s="158">
        <f>1</f>
        <v>1</v>
      </c>
      <c r="AI64" s="159" t="str">
        <f t="shared" si="2"/>
        <v/>
      </c>
      <c r="AJ64" s="159" t="str">
        <f t="shared" si="3"/>
        <v/>
      </c>
    </row>
    <row r="65" spans="1:37" ht="30" customHeight="1" x14ac:dyDescent="0.2">
      <c r="A65" s="75" t="s">
        <v>262</v>
      </c>
      <c r="B65" s="75" t="s">
        <v>434</v>
      </c>
      <c r="C65" s="76" t="s">
        <v>435</v>
      </c>
      <c r="D65" s="209" t="s">
        <v>436</v>
      </c>
      <c r="E65" s="209" t="s">
        <v>437</v>
      </c>
      <c r="F65" s="209" t="s">
        <v>438</v>
      </c>
      <c r="G65" s="209" t="s">
        <v>439</v>
      </c>
      <c r="H65" s="209" t="s">
        <v>440</v>
      </c>
      <c r="I65" s="209" t="s">
        <v>441</v>
      </c>
      <c r="J65" s="94"/>
      <c r="K65" s="71"/>
      <c r="L65" s="71"/>
      <c r="M65" s="71"/>
      <c r="N65" s="71"/>
      <c r="O65" s="71"/>
      <c r="P65" s="71"/>
      <c r="Q65" s="71"/>
      <c r="R65" s="96"/>
      <c r="S65" s="115" t="s">
        <v>51</v>
      </c>
      <c r="T65" s="115"/>
      <c r="U65" s="115"/>
      <c r="V65" s="115"/>
      <c r="W65" s="115" t="s">
        <v>442</v>
      </c>
      <c r="X65" s="115"/>
      <c r="Y65" s="115"/>
      <c r="Z65" s="115"/>
      <c r="AE65" s="43" t="s">
        <v>53</v>
      </c>
      <c r="AG65" s="179">
        <v>0</v>
      </c>
      <c r="AH65" s="158">
        <f>1</f>
        <v>1</v>
      </c>
      <c r="AI65" s="159">
        <f t="shared" si="2"/>
        <v>0</v>
      </c>
      <c r="AJ65" s="159">
        <f t="shared" si="3"/>
        <v>0</v>
      </c>
    </row>
    <row r="66" spans="1:37" ht="30" customHeight="1" x14ac:dyDescent="0.2">
      <c r="A66" s="75" t="s">
        <v>262</v>
      </c>
      <c r="B66" s="75" t="s">
        <v>443</v>
      </c>
      <c r="C66" s="76" t="s">
        <v>444</v>
      </c>
      <c r="D66" s="209" t="s">
        <v>445</v>
      </c>
      <c r="E66" s="209" t="s">
        <v>446</v>
      </c>
      <c r="F66" s="209" t="s">
        <v>447</v>
      </c>
      <c r="G66" s="209" t="s">
        <v>448</v>
      </c>
      <c r="H66" s="209" t="s">
        <v>449</v>
      </c>
      <c r="I66" s="209" t="s">
        <v>450</v>
      </c>
      <c r="J66" s="94"/>
      <c r="K66" s="71"/>
      <c r="L66" s="71"/>
      <c r="M66" s="71"/>
      <c r="N66" s="71"/>
      <c r="O66" s="71"/>
      <c r="P66" s="71"/>
      <c r="Q66" s="71"/>
      <c r="R66" s="96"/>
      <c r="S66" s="115" t="s">
        <v>51</v>
      </c>
      <c r="T66" s="115"/>
      <c r="U66" s="115"/>
      <c r="V66" s="115"/>
      <c r="W66" s="115" t="s">
        <v>451</v>
      </c>
      <c r="X66" s="115"/>
      <c r="Y66" s="115"/>
      <c r="Z66" s="115"/>
      <c r="AE66" s="43" t="s">
        <v>53</v>
      </c>
      <c r="AG66" s="179">
        <v>0</v>
      </c>
      <c r="AH66" s="158">
        <f>1</f>
        <v>1</v>
      </c>
      <c r="AI66" s="159">
        <f t="shared" si="2"/>
        <v>0</v>
      </c>
      <c r="AJ66" s="159">
        <f t="shared" si="3"/>
        <v>0</v>
      </c>
    </row>
    <row r="67" spans="1:37" ht="30" customHeight="1" x14ac:dyDescent="0.2">
      <c r="A67" s="75" t="s">
        <v>262</v>
      </c>
      <c r="B67" s="75" t="s">
        <v>452</v>
      </c>
      <c r="C67" s="76" t="s">
        <v>453</v>
      </c>
      <c r="D67" s="209" t="s">
        <v>454</v>
      </c>
      <c r="E67" s="209" t="s">
        <v>455</v>
      </c>
      <c r="F67" s="209" t="s">
        <v>456</v>
      </c>
      <c r="G67" s="209" t="s">
        <v>457</v>
      </c>
      <c r="H67" s="209" t="s">
        <v>458</v>
      </c>
      <c r="I67" s="209" t="s">
        <v>459</v>
      </c>
      <c r="J67" s="94"/>
      <c r="K67" s="71"/>
      <c r="L67" s="71"/>
      <c r="M67" s="71"/>
      <c r="N67" s="71"/>
      <c r="O67" s="71"/>
      <c r="P67" s="71"/>
      <c r="Q67" s="71"/>
      <c r="R67" s="96"/>
      <c r="S67" s="115" t="s">
        <v>51</v>
      </c>
      <c r="T67" s="115"/>
      <c r="U67" s="115"/>
      <c r="V67" s="115"/>
      <c r="W67" s="115" t="s">
        <v>460</v>
      </c>
      <c r="X67" s="115"/>
      <c r="Y67" s="115"/>
      <c r="Z67" s="115"/>
      <c r="AE67" s="43" t="s">
        <v>53</v>
      </c>
      <c r="AG67" s="179">
        <v>0</v>
      </c>
      <c r="AH67" s="158">
        <f>1</f>
        <v>1</v>
      </c>
      <c r="AI67" s="159">
        <f t="shared" si="2"/>
        <v>0</v>
      </c>
      <c r="AJ67" s="159">
        <f t="shared" si="3"/>
        <v>0</v>
      </c>
    </row>
    <row r="68" spans="1:37" x14ac:dyDescent="0.2">
      <c r="D68" s="43"/>
      <c r="E68" s="43"/>
      <c r="F68" s="43"/>
      <c r="G68" s="43"/>
      <c r="H68" s="43"/>
      <c r="I68" s="43"/>
      <c r="J68" s="83"/>
      <c r="R68" s="84"/>
      <c r="AG68" s="179"/>
      <c r="AH68" s="158">
        <f>1</f>
        <v>1</v>
      </c>
      <c r="AI68" s="159" t="str">
        <f t="shared" si="2"/>
        <v/>
      </c>
      <c r="AJ68" s="159" t="str">
        <f t="shared" si="3"/>
        <v/>
      </c>
    </row>
    <row r="69" spans="1:37" s="280" customFormat="1" ht="30" customHeight="1" x14ac:dyDescent="0.2">
      <c r="A69" s="280" t="s">
        <v>461</v>
      </c>
      <c r="B69" s="280" t="s">
        <v>462</v>
      </c>
      <c r="C69" s="281" t="s">
        <v>463</v>
      </c>
      <c r="D69" s="292" t="s">
        <v>464</v>
      </c>
      <c r="E69" s="292" t="s">
        <v>465</v>
      </c>
      <c r="F69" s="292" t="s">
        <v>466</v>
      </c>
      <c r="G69" s="292" t="s">
        <v>467</v>
      </c>
      <c r="H69" s="292" t="s">
        <v>468</v>
      </c>
      <c r="I69" s="292" t="s">
        <v>469</v>
      </c>
      <c r="J69" s="281"/>
      <c r="K69" s="280" t="s">
        <v>470</v>
      </c>
      <c r="L69" s="280" t="s">
        <v>471</v>
      </c>
      <c r="M69" s="280" t="s">
        <v>472</v>
      </c>
      <c r="N69" s="280" t="s">
        <v>473</v>
      </c>
      <c r="O69" s="280" t="s">
        <v>474</v>
      </c>
      <c r="P69" s="280" t="s">
        <v>475</v>
      </c>
      <c r="Q69" s="280" t="s">
        <v>476</v>
      </c>
      <c r="S69" s="285" t="s">
        <v>51</v>
      </c>
      <c r="T69" s="285"/>
      <c r="U69" s="285" t="s">
        <v>477</v>
      </c>
      <c r="V69" s="285"/>
      <c r="W69" s="285" t="s">
        <v>478</v>
      </c>
      <c r="X69" s="285"/>
      <c r="Y69" s="285"/>
      <c r="Z69" s="285"/>
      <c r="AE69" s="280" t="s">
        <v>73</v>
      </c>
      <c r="AG69" s="286">
        <v>40.047317504882812</v>
      </c>
      <c r="AH69" s="287">
        <f>1</f>
        <v>1</v>
      </c>
      <c r="AI69" s="288">
        <f t="shared" si="2"/>
        <v>40.047317504882812</v>
      </c>
      <c r="AJ69" s="288" t="str">
        <f t="shared" si="3"/>
        <v/>
      </c>
      <c r="AK69" s="291"/>
    </row>
    <row r="70" spans="1:37" s="280" customFormat="1" x14ac:dyDescent="0.2">
      <c r="A70" s="280" t="s">
        <v>479</v>
      </c>
      <c r="B70" s="280" t="s">
        <v>480</v>
      </c>
      <c r="C70" s="280" t="s">
        <v>481</v>
      </c>
      <c r="D70" s="293" t="s">
        <v>482</v>
      </c>
      <c r="E70" s="293" t="s">
        <v>483</v>
      </c>
      <c r="F70" s="293" t="s">
        <v>484</v>
      </c>
      <c r="G70" s="293" t="s">
        <v>485</v>
      </c>
      <c r="H70" s="293" t="s">
        <v>486</v>
      </c>
      <c r="I70" s="293" t="s">
        <v>487</v>
      </c>
      <c r="K70" s="280" t="s">
        <v>488</v>
      </c>
      <c r="L70" s="280" t="s">
        <v>489</v>
      </c>
      <c r="M70" s="280" t="s">
        <v>490</v>
      </c>
      <c r="N70" s="280" t="s">
        <v>491</v>
      </c>
      <c r="O70" s="280" t="s">
        <v>492</v>
      </c>
      <c r="P70" s="280" t="s">
        <v>493</v>
      </c>
      <c r="Q70" s="280" t="s">
        <v>494</v>
      </c>
      <c r="S70" s="285" t="s">
        <v>72</v>
      </c>
      <c r="T70" s="285"/>
      <c r="U70" s="285"/>
      <c r="V70" s="285"/>
      <c r="W70" s="285" t="s">
        <v>495</v>
      </c>
      <c r="X70" s="285"/>
      <c r="Y70" s="285"/>
      <c r="Z70" s="285"/>
      <c r="AE70" s="280" t="s">
        <v>73</v>
      </c>
      <c r="AG70" s="286">
        <v>3.6870110034942631</v>
      </c>
      <c r="AH70" s="287">
        <f>1</f>
        <v>1</v>
      </c>
      <c r="AI70" s="288">
        <f t="shared" si="2"/>
        <v>3.6870110034942631</v>
      </c>
      <c r="AJ70" s="288" t="str">
        <f t="shared" si="3"/>
        <v/>
      </c>
      <c r="AK70" s="291"/>
    </row>
    <row r="71" spans="1:37" x14ac:dyDescent="0.2">
      <c r="D71" s="71"/>
      <c r="E71" s="71"/>
      <c r="F71" s="71"/>
      <c r="G71" s="71"/>
      <c r="H71" s="71"/>
      <c r="I71" s="71"/>
      <c r="J71" s="78"/>
      <c r="L71" s="72"/>
      <c r="M71" s="72"/>
      <c r="N71" s="72"/>
      <c r="O71" s="72"/>
      <c r="P71" s="72"/>
      <c r="Q71" s="72"/>
      <c r="R71" s="78"/>
    </row>
    <row r="72" spans="1:37" s="75" customFormat="1" x14ac:dyDescent="0.2">
      <c r="A72" s="75" t="s">
        <v>496</v>
      </c>
      <c r="B72" s="75" t="s">
        <v>497</v>
      </c>
      <c r="C72" s="75" t="s">
        <v>498</v>
      </c>
      <c r="D72" s="75" t="s">
        <v>499</v>
      </c>
      <c r="E72" s="75" t="s">
        <v>500</v>
      </c>
      <c r="F72" s="75" t="s">
        <v>501</v>
      </c>
      <c r="G72" s="75" t="s">
        <v>502</v>
      </c>
      <c r="H72" s="75" t="s">
        <v>503</v>
      </c>
      <c r="I72" s="75" t="s">
        <v>504</v>
      </c>
      <c r="J72" s="96"/>
      <c r="R72" s="96"/>
      <c r="S72" s="115" t="s">
        <v>51</v>
      </c>
      <c r="T72" s="115"/>
      <c r="U72" s="115"/>
      <c r="V72" s="115"/>
      <c r="W72" s="115" t="s">
        <v>478</v>
      </c>
      <c r="X72" s="115"/>
      <c r="Y72" s="115"/>
      <c r="Z72" s="115"/>
      <c r="AE72" s="75" t="s">
        <v>53</v>
      </c>
      <c r="AG72" s="180"/>
      <c r="AH72" s="203"/>
      <c r="AI72" s="204"/>
      <c r="AJ72" s="204"/>
    </row>
    <row r="73" spans="1:37" s="75" customFormat="1" x14ac:dyDescent="0.2">
      <c r="A73" s="75" t="s">
        <v>505</v>
      </c>
      <c r="B73" s="75" t="s">
        <v>506</v>
      </c>
      <c r="C73" s="75" t="s">
        <v>507</v>
      </c>
      <c r="D73" s="75" t="s">
        <v>508</v>
      </c>
      <c r="E73" s="75" t="s">
        <v>509</v>
      </c>
      <c r="F73" s="75" t="s">
        <v>510</v>
      </c>
      <c r="G73" s="75" t="s">
        <v>511</v>
      </c>
      <c r="H73" s="75" t="s">
        <v>512</v>
      </c>
      <c r="I73" s="75" t="s">
        <v>513</v>
      </c>
      <c r="J73" s="96"/>
      <c r="R73" s="96"/>
      <c r="S73" s="115" t="s">
        <v>51</v>
      </c>
      <c r="T73" s="115"/>
      <c r="U73" s="115"/>
      <c r="V73" s="115"/>
      <c r="W73" s="115" t="s">
        <v>478</v>
      </c>
      <c r="X73" s="115"/>
      <c r="Y73" s="115"/>
      <c r="Z73" s="115"/>
      <c r="AE73" s="75" t="s">
        <v>53</v>
      </c>
      <c r="AG73" s="180"/>
      <c r="AH73" s="203"/>
      <c r="AI73" s="204"/>
      <c r="AJ73" s="204"/>
    </row>
    <row r="74" spans="1:37" x14ac:dyDescent="0.2">
      <c r="J74" s="83"/>
      <c r="R74" s="84"/>
      <c r="AG74" s="179"/>
      <c r="AH74" s="158">
        <f>1</f>
        <v>1</v>
      </c>
      <c r="AI74" s="159" t="str">
        <f t="shared" ref="AI74:AI113" si="4">IF(AG74&lt;&gt;"",AG74*AH74,"")</f>
        <v/>
      </c>
      <c r="AJ74" s="159" t="str">
        <f t="shared" ref="AJ74:AJ113" si="5">IF(AND(AG74&lt;&gt;"",AE74="yes"),AG74*AH74,"")</f>
        <v/>
      </c>
    </row>
    <row r="75" spans="1:37" ht="45" customHeight="1" x14ac:dyDescent="0.2">
      <c r="A75" s="75" t="s">
        <v>514</v>
      </c>
      <c r="B75" s="75" t="s">
        <v>515</v>
      </c>
      <c r="C75" s="76" t="s">
        <v>516</v>
      </c>
      <c r="D75" s="209" t="s">
        <v>517</v>
      </c>
      <c r="E75" s="209" t="s">
        <v>518</v>
      </c>
      <c r="F75" s="209" t="s">
        <v>519</v>
      </c>
      <c r="G75" s="209" t="s">
        <v>520</v>
      </c>
      <c r="H75" s="209" t="s">
        <v>521</v>
      </c>
      <c r="I75" s="209" t="s">
        <v>522</v>
      </c>
      <c r="J75" s="94"/>
      <c r="K75" s="75"/>
      <c r="L75" s="75"/>
      <c r="M75" s="75"/>
      <c r="N75" s="75"/>
      <c r="O75" s="75"/>
      <c r="P75" s="75"/>
      <c r="Q75" s="75"/>
      <c r="R75" s="96"/>
      <c r="S75" s="115" t="s">
        <v>51</v>
      </c>
      <c r="T75" s="115"/>
      <c r="U75" s="115"/>
      <c r="V75" s="115"/>
      <c r="W75" s="115" t="s">
        <v>478</v>
      </c>
      <c r="X75" s="115"/>
      <c r="Y75" s="115"/>
      <c r="Z75" s="115"/>
      <c r="AE75" s="43" t="s">
        <v>53</v>
      </c>
      <c r="AG75" s="179">
        <v>27.242166519165039</v>
      </c>
      <c r="AH75" s="158">
        <f>1</f>
        <v>1</v>
      </c>
      <c r="AI75" s="159">
        <f t="shared" si="4"/>
        <v>27.242166519165039</v>
      </c>
      <c r="AJ75" s="159">
        <f t="shared" si="5"/>
        <v>27.242166519165039</v>
      </c>
    </row>
    <row r="76" spans="1:37" x14ac:dyDescent="0.2">
      <c r="D76" s="210"/>
      <c r="E76" s="210"/>
      <c r="F76" s="210"/>
      <c r="G76" s="210"/>
      <c r="H76" s="210"/>
      <c r="I76" s="210"/>
      <c r="J76" s="83"/>
      <c r="R76" s="84"/>
      <c r="AG76" s="179"/>
      <c r="AH76" s="158">
        <f>1</f>
        <v>1</v>
      </c>
      <c r="AI76" s="159" t="str">
        <f t="shared" si="4"/>
        <v/>
      </c>
      <c r="AJ76" s="159" t="str">
        <f t="shared" si="5"/>
        <v/>
      </c>
    </row>
    <row r="77" spans="1:37" ht="30" customHeight="1" x14ac:dyDescent="0.2">
      <c r="A77" s="75" t="s">
        <v>523</v>
      </c>
      <c r="B77" s="75" t="s">
        <v>524</v>
      </c>
      <c r="C77" s="76" t="s">
        <v>525</v>
      </c>
      <c r="D77" s="205" t="s">
        <v>526</v>
      </c>
      <c r="E77" s="205" t="s">
        <v>419</v>
      </c>
      <c r="F77" s="205" t="s">
        <v>420</v>
      </c>
      <c r="G77" s="205" t="s">
        <v>527</v>
      </c>
      <c r="H77" s="205" t="s">
        <v>528</v>
      </c>
      <c r="I77" s="205" t="s">
        <v>529</v>
      </c>
      <c r="J77" s="94"/>
      <c r="K77" s="71" t="s">
        <v>530</v>
      </c>
      <c r="L77" s="71" t="s">
        <v>531</v>
      </c>
      <c r="M77" s="71" t="s">
        <v>426</v>
      </c>
      <c r="N77" s="71" t="s">
        <v>427</v>
      </c>
      <c r="O77" s="71" t="s">
        <v>428</v>
      </c>
      <c r="P77" s="71" t="s">
        <v>532</v>
      </c>
      <c r="Q77" s="71" t="s">
        <v>430</v>
      </c>
      <c r="R77" s="96"/>
      <c r="S77" s="115" t="s">
        <v>51</v>
      </c>
      <c r="T77" s="115" t="s">
        <v>431</v>
      </c>
      <c r="U77" s="115"/>
      <c r="V77" s="115"/>
      <c r="W77" s="115" t="s">
        <v>478</v>
      </c>
      <c r="X77" s="115" t="s">
        <v>533</v>
      </c>
      <c r="Y77" s="115"/>
      <c r="Z77" s="115"/>
      <c r="AE77" s="43" t="s">
        <v>53</v>
      </c>
      <c r="AG77" s="179">
        <v>25.308004379272461</v>
      </c>
      <c r="AH77" s="158">
        <f>1</f>
        <v>1</v>
      </c>
      <c r="AI77" s="159">
        <f t="shared" si="4"/>
        <v>25.308004379272461</v>
      </c>
      <c r="AJ77" s="159">
        <f t="shared" si="5"/>
        <v>25.308004379272461</v>
      </c>
    </row>
    <row r="78" spans="1:37" x14ac:dyDescent="0.2">
      <c r="A78" s="75" t="s">
        <v>36</v>
      </c>
      <c r="B78" s="75" t="s">
        <v>534</v>
      </c>
      <c r="C78" s="76"/>
      <c r="D78" s="70"/>
      <c r="E78" s="70"/>
      <c r="F78" s="70"/>
      <c r="G78" s="70"/>
      <c r="H78" s="70"/>
      <c r="I78" s="70"/>
      <c r="J78" s="94"/>
      <c r="K78" s="71"/>
      <c r="L78" s="71"/>
      <c r="M78" s="71"/>
      <c r="N78" s="71"/>
      <c r="O78" s="71"/>
      <c r="P78" s="71"/>
      <c r="Q78" s="71"/>
      <c r="R78" s="96"/>
      <c r="S78" s="115"/>
      <c r="T78" s="115"/>
      <c r="U78" s="115"/>
      <c r="V78" s="115"/>
      <c r="W78" s="115"/>
      <c r="X78" s="115"/>
      <c r="Y78" s="115"/>
      <c r="Z78" s="115" t="s">
        <v>535</v>
      </c>
      <c r="AE78" s="43" t="s">
        <v>53</v>
      </c>
      <c r="AG78" s="179"/>
      <c r="AH78" s="158">
        <f>1</f>
        <v>1</v>
      </c>
      <c r="AI78" s="159" t="str">
        <f t="shared" si="4"/>
        <v/>
      </c>
      <c r="AJ78" s="159" t="str">
        <f t="shared" si="5"/>
        <v/>
      </c>
    </row>
    <row r="79" spans="1:37" ht="30" customHeight="1" x14ac:dyDescent="0.2">
      <c r="A79" s="75" t="s">
        <v>262</v>
      </c>
      <c r="B79" s="75" t="s">
        <v>536</v>
      </c>
      <c r="C79" s="76" t="s">
        <v>435</v>
      </c>
      <c r="D79" s="209" t="s">
        <v>436</v>
      </c>
      <c r="E79" s="209" t="s">
        <v>437</v>
      </c>
      <c r="F79" s="209" t="s">
        <v>537</v>
      </c>
      <c r="G79" s="209" t="s">
        <v>439</v>
      </c>
      <c r="H79" s="209" t="s">
        <v>440</v>
      </c>
      <c r="I79" s="209" t="s">
        <v>538</v>
      </c>
      <c r="J79" s="94"/>
      <c r="K79" s="71"/>
      <c r="L79" s="71"/>
      <c r="M79" s="71"/>
      <c r="N79" s="71"/>
      <c r="O79" s="71"/>
      <c r="P79" s="71"/>
      <c r="Q79" s="71"/>
      <c r="R79" s="96"/>
      <c r="S79" s="115" t="s">
        <v>51</v>
      </c>
      <c r="T79" s="115"/>
      <c r="U79" s="115"/>
      <c r="V79" s="115"/>
      <c r="W79" s="115" t="s">
        <v>539</v>
      </c>
      <c r="X79" s="115"/>
      <c r="Y79" s="115"/>
      <c r="Z79" s="115"/>
      <c r="AE79" s="43" t="s">
        <v>53</v>
      </c>
      <c r="AG79" s="179">
        <v>0</v>
      </c>
      <c r="AH79" s="158">
        <f>1</f>
        <v>1</v>
      </c>
      <c r="AI79" s="159">
        <f t="shared" si="4"/>
        <v>0</v>
      </c>
      <c r="AJ79" s="159">
        <f t="shared" si="5"/>
        <v>0</v>
      </c>
    </row>
    <row r="80" spans="1:37" ht="30" customHeight="1" x14ac:dyDescent="0.2">
      <c r="A80" s="75" t="s">
        <v>262</v>
      </c>
      <c r="B80" s="75" t="s">
        <v>540</v>
      </c>
      <c r="C80" s="76" t="s">
        <v>444</v>
      </c>
      <c r="D80" s="209" t="s">
        <v>445</v>
      </c>
      <c r="E80" s="209" t="s">
        <v>446</v>
      </c>
      <c r="F80" s="209" t="s">
        <v>541</v>
      </c>
      <c r="G80" s="209" t="s">
        <v>448</v>
      </c>
      <c r="H80" s="209" t="s">
        <v>449</v>
      </c>
      <c r="I80" s="209" t="s">
        <v>542</v>
      </c>
      <c r="J80" s="94"/>
      <c r="K80" s="71"/>
      <c r="L80" s="71"/>
      <c r="M80" s="71"/>
      <c r="N80" s="71"/>
      <c r="O80" s="71"/>
      <c r="P80" s="71"/>
      <c r="Q80" s="71"/>
      <c r="R80" s="96"/>
      <c r="S80" s="115" t="s">
        <v>51</v>
      </c>
      <c r="T80" s="115"/>
      <c r="U80" s="115"/>
      <c r="V80" s="115"/>
      <c r="W80" s="115" t="s">
        <v>543</v>
      </c>
      <c r="X80" s="115"/>
      <c r="Y80" s="115"/>
      <c r="Z80" s="115"/>
      <c r="AE80" s="43" t="s">
        <v>53</v>
      </c>
      <c r="AG80" s="179">
        <v>0</v>
      </c>
      <c r="AH80" s="158">
        <f>1</f>
        <v>1</v>
      </c>
      <c r="AI80" s="159">
        <f t="shared" si="4"/>
        <v>0</v>
      </c>
      <c r="AJ80" s="159">
        <f t="shared" si="5"/>
        <v>0</v>
      </c>
    </row>
    <row r="81" spans="1:37" ht="30" customHeight="1" x14ac:dyDescent="0.2">
      <c r="A81" s="75" t="s">
        <v>262</v>
      </c>
      <c r="B81" s="75" t="s">
        <v>544</v>
      </c>
      <c r="C81" s="76" t="s">
        <v>453</v>
      </c>
      <c r="D81" s="209" t="s">
        <v>454</v>
      </c>
      <c r="E81" s="209" t="s">
        <v>455</v>
      </c>
      <c r="F81" s="209" t="s">
        <v>456</v>
      </c>
      <c r="G81" s="209" t="s">
        <v>457</v>
      </c>
      <c r="H81" s="209" t="s">
        <v>458</v>
      </c>
      <c r="I81" s="209" t="s">
        <v>545</v>
      </c>
      <c r="J81" s="94"/>
      <c r="K81" s="71"/>
      <c r="L81" s="71"/>
      <c r="M81" s="71"/>
      <c r="N81" s="71"/>
      <c r="O81" s="71"/>
      <c r="P81" s="71"/>
      <c r="Q81" s="71"/>
      <c r="R81" s="96"/>
      <c r="S81" s="115" t="s">
        <v>51</v>
      </c>
      <c r="T81" s="115"/>
      <c r="U81" s="115"/>
      <c r="V81" s="115"/>
      <c r="W81" s="115" t="s">
        <v>546</v>
      </c>
      <c r="X81" s="115"/>
      <c r="Y81" s="115"/>
      <c r="Z81" s="115"/>
      <c r="AE81" s="43" t="s">
        <v>53</v>
      </c>
      <c r="AG81" s="179">
        <v>0</v>
      </c>
      <c r="AH81" s="158">
        <f>1</f>
        <v>1</v>
      </c>
      <c r="AI81" s="159">
        <f t="shared" si="4"/>
        <v>0</v>
      </c>
      <c r="AJ81" s="159">
        <f t="shared" si="5"/>
        <v>0</v>
      </c>
    </row>
    <row r="82" spans="1:37" x14ac:dyDescent="0.2">
      <c r="J82" s="83"/>
      <c r="R82" s="84"/>
      <c r="AG82" s="179"/>
      <c r="AH82" s="158">
        <f>1</f>
        <v>1</v>
      </c>
      <c r="AI82" s="159" t="str">
        <f t="shared" si="4"/>
        <v/>
      </c>
      <c r="AJ82" s="159" t="str">
        <f t="shared" si="5"/>
        <v/>
      </c>
    </row>
    <row r="83" spans="1:37" s="72" customFormat="1" x14ac:dyDescent="0.2">
      <c r="C83" s="73"/>
      <c r="D83" s="73"/>
      <c r="E83" s="73"/>
      <c r="F83" s="73"/>
      <c r="G83" s="73"/>
      <c r="H83" s="73"/>
      <c r="I83" s="73"/>
      <c r="J83" s="74"/>
      <c r="R83" s="78"/>
      <c r="S83" s="114"/>
      <c r="T83" s="114"/>
      <c r="U83" s="114"/>
      <c r="V83" s="114"/>
      <c r="W83" s="114"/>
      <c r="X83" s="114"/>
      <c r="Y83" s="114"/>
      <c r="Z83" s="114"/>
      <c r="AG83" s="179"/>
      <c r="AH83" s="158">
        <f>1</f>
        <v>1</v>
      </c>
      <c r="AI83" s="159" t="str">
        <f t="shared" si="4"/>
        <v/>
      </c>
      <c r="AJ83" s="159" t="str">
        <f t="shared" si="5"/>
        <v/>
      </c>
      <c r="AK83" s="71"/>
    </row>
    <row r="84" spans="1:37" ht="45" customHeight="1" x14ac:dyDescent="0.2">
      <c r="A84" s="75" t="s">
        <v>514</v>
      </c>
      <c r="B84" s="75" t="s">
        <v>547</v>
      </c>
      <c r="C84" s="76" t="s">
        <v>548</v>
      </c>
      <c r="D84" s="209" t="s">
        <v>549</v>
      </c>
      <c r="E84" s="209" t="s">
        <v>550</v>
      </c>
      <c r="F84" s="209" t="s">
        <v>551</v>
      </c>
      <c r="G84" s="209" t="s">
        <v>552</v>
      </c>
      <c r="H84" s="209" t="s">
        <v>553</v>
      </c>
      <c r="I84" s="209" t="s">
        <v>554</v>
      </c>
      <c r="J84" s="94"/>
      <c r="K84" s="75"/>
      <c r="L84" s="75"/>
      <c r="M84" s="75"/>
      <c r="N84" s="75"/>
      <c r="O84" s="75"/>
      <c r="P84" s="75"/>
      <c r="Q84" s="75"/>
      <c r="R84" s="96"/>
      <c r="S84" s="115" t="s">
        <v>51</v>
      </c>
      <c r="T84" s="115"/>
      <c r="U84" s="115"/>
      <c r="V84" s="115"/>
      <c r="W84" s="115" t="s">
        <v>555</v>
      </c>
      <c r="X84" s="115"/>
      <c r="Y84" s="115"/>
      <c r="Z84" s="115"/>
      <c r="AE84" s="43" t="s">
        <v>53</v>
      </c>
      <c r="AG84" s="179">
        <v>21.193256378173832</v>
      </c>
      <c r="AH84" s="158">
        <f>1</f>
        <v>1</v>
      </c>
      <c r="AI84" s="159">
        <f t="shared" si="4"/>
        <v>21.193256378173832</v>
      </c>
      <c r="AJ84" s="159">
        <f t="shared" si="5"/>
        <v>21.193256378173832</v>
      </c>
    </row>
    <row r="85" spans="1:37" x14ac:dyDescent="0.2">
      <c r="D85" s="210"/>
      <c r="E85" s="210"/>
      <c r="F85" s="210"/>
      <c r="G85" s="210"/>
      <c r="H85" s="210"/>
      <c r="I85" s="210"/>
      <c r="J85" s="83"/>
      <c r="R85" s="84"/>
      <c r="W85" s="125"/>
      <c r="AG85" s="179"/>
      <c r="AH85" s="158">
        <f>1</f>
        <v>1</v>
      </c>
      <c r="AI85" s="159" t="str">
        <f t="shared" si="4"/>
        <v/>
      </c>
      <c r="AJ85" s="159" t="str">
        <f t="shared" si="5"/>
        <v/>
      </c>
    </row>
    <row r="86" spans="1:37" ht="30" customHeight="1" x14ac:dyDescent="0.2">
      <c r="A86" s="75" t="s">
        <v>556</v>
      </c>
      <c r="B86" s="75" t="s">
        <v>557</v>
      </c>
      <c r="C86" s="75" t="s">
        <v>558</v>
      </c>
      <c r="D86" s="205" t="s">
        <v>559</v>
      </c>
      <c r="E86" s="205" t="s">
        <v>560</v>
      </c>
      <c r="F86" s="205" t="s">
        <v>420</v>
      </c>
      <c r="G86" s="205" t="s">
        <v>527</v>
      </c>
      <c r="H86" s="205" t="s">
        <v>561</v>
      </c>
      <c r="I86" s="205" t="s">
        <v>562</v>
      </c>
      <c r="J86" s="96"/>
      <c r="K86" s="71" t="s">
        <v>530</v>
      </c>
      <c r="L86" s="71" t="s">
        <v>531</v>
      </c>
      <c r="M86" s="71" t="s">
        <v>426</v>
      </c>
      <c r="N86" s="71" t="s">
        <v>427</v>
      </c>
      <c r="O86" s="71" t="s">
        <v>428</v>
      </c>
      <c r="P86" s="71" t="s">
        <v>532</v>
      </c>
      <c r="Q86" s="71" t="s">
        <v>563</v>
      </c>
      <c r="R86" s="96"/>
      <c r="S86" s="115" t="s">
        <v>51</v>
      </c>
      <c r="T86" s="115" t="s">
        <v>431</v>
      </c>
      <c r="U86" s="115"/>
      <c r="V86" s="115"/>
      <c r="W86" s="115" t="s">
        <v>555</v>
      </c>
      <c r="X86" s="115" t="s">
        <v>564</v>
      </c>
      <c r="Y86" s="115"/>
      <c r="Z86" s="115"/>
      <c r="AE86" s="43" t="s">
        <v>53</v>
      </c>
      <c r="AG86" s="179">
        <v>20.229927062988281</v>
      </c>
      <c r="AH86" s="158">
        <f>1</f>
        <v>1</v>
      </c>
      <c r="AI86" s="159">
        <f t="shared" si="4"/>
        <v>20.229927062988281</v>
      </c>
      <c r="AJ86" s="159">
        <f t="shared" si="5"/>
        <v>20.229927062988281</v>
      </c>
    </row>
    <row r="87" spans="1:37" x14ac:dyDescent="0.2">
      <c r="A87" s="75" t="s">
        <v>36</v>
      </c>
      <c r="B87" s="75" t="s">
        <v>565</v>
      </c>
      <c r="C87" s="76"/>
      <c r="D87" s="70"/>
      <c r="E87" s="70"/>
      <c r="F87" s="70"/>
      <c r="G87" s="70"/>
      <c r="H87" s="70"/>
      <c r="I87" s="70"/>
      <c r="J87" s="94"/>
      <c r="K87" s="71"/>
      <c r="L87" s="71"/>
      <c r="M87" s="71"/>
      <c r="N87" s="71"/>
      <c r="O87" s="71"/>
      <c r="P87" s="71"/>
      <c r="Q87" s="71"/>
      <c r="R87" s="96"/>
      <c r="S87" s="115"/>
      <c r="T87" s="115"/>
      <c r="U87" s="115"/>
      <c r="V87" s="115"/>
      <c r="W87" s="115"/>
      <c r="X87" s="115"/>
      <c r="Y87" s="115"/>
      <c r="Z87" s="115" t="s">
        <v>566</v>
      </c>
      <c r="AE87" s="43" t="s">
        <v>53</v>
      </c>
      <c r="AG87" s="179"/>
      <c r="AH87" s="158">
        <f>1</f>
        <v>1</v>
      </c>
      <c r="AI87" s="159" t="str">
        <f t="shared" si="4"/>
        <v/>
      </c>
      <c r="AJ87" s="159" t="str">
        <f t="shared" si="5"/>
        <v/>
      </c>
    </row>
    <row r="88" spans="1:37" ht="30" customHeight="1" x14ac:dyDescent="0.2">
      <c r="A88" s="75" t="s">
        <v>262</v>
      </c>
      <c r="B88" s="75" t="s">
        <v>567</v>
      </c>
      <c r="C88" s="76" t="s">
        <v>435</v>
      </c>
      <c r="D88" s="209" t="s">
        <v>436</v>
      </c>
      <c r="E88" s="209" t="s">
        <v>437</v>
      </c>
      <c r="F88" s="209" t="s">
        <v>568</v>
      </c>
      <c r="G88" s="209" t="s">
        <v>439</v>
      </c>
      <c r="H88" s="209" t="s">
        <v>440</v>
      </c>
      <c r="I88" s="209" t="s">
        <v>538</v>
      </c>
      <c r="J88" s="94"/>
      <c r="K88" s="71"/>
      <c r="L88" s="71"/>
      <c r="M88" s="71"/>
      <c r="N88" s="71"/>
      <c r="O88" s="71"/>
      <c r="P88" s="71"/>
      <c r="Q88" s="71"/>
      <c r="R88" s="96"/>
      <c r="S88" s="115" t="s">
        <v>51</v>
      </c>
      <c r="T88" s="115"/>
      <c r="U88" s="115"/>
      <c r="V88" s="115"/>
      <c r="W88" s="115" t="s">
        <v>569</v>
      </c>
      <c r="X88" s="115"/>
      <c r="Y88" s="115"/>
      <c r="Z88" s="115"/>
      <c r="AE88" s="43" t="s">
        <v>53</v>
      </c>
      <c r="AG88" s="179">
        <v>0</v>
      </c>
      <c r="AH88" s="158">
        <f>1</f>
        <v>1</v>
      </c>
      <c r="AI88" s="159">
        <f t="shared" si="4"/>
        <v>0</v>
      </c>
      <c r="AJ88" s="159">
        <f t="shared" si="5"/>
        <v>0</v>
      </c>
    </row>
    <row r="89" spans="1:37" ht="30" customHeight="1" x14ac:dyDescent="0.2">
      <c r="A89" s="75" t="s">
        <v>262</v>
      </c>
      <c r="B89" s="75" t="s">
        <v>570</v>
      </c>
      <c r="C89" s="76" t="s">
        <v>444</v>
      </c>
      <c r="D89" s="209" t="s">
        <v>445</v>
      </c>
      <c r="E89" s="209" t="s">
        <v>446</v>
      </c>
      <c r="F89" s="209" t="s">
        <v>541</v>
      </c>
      <c r="G89" s="209" t="s">
        <v>448</v>
      </c>
      <c r="H89" s="209" t="s">
        <v>449</v>
      </c>
      <c r="I89" s="209" t="s">
        <v>571</v>
      </c>
      <c r="J89" s="94"/>
      <c r="K89" s="71"/>
      <c r="L89" s="71"/>
      <c r="M89" s="71"/>
      <c r="N89" s="71"/>
      <c r="O89" s="71"/>
      <c r="P89" s="71"/>
      <c r="Q89" s="71"/>
      <c r="R89" s="96"/>
      <c r="S89" s="115" t="s">
        <v>51</v>
      </c>
      <c r="T89" s="115"/>
      <c r="U89" s="115"/>
      <c r="V89" s="115"/>
      <c r="W89" s="115" t="s">
        <v>572</v>
      </c>
      <c r="X89" s="115"/>
      <c r="Y89" s="115"/>
      <c r="Z89" s="115"/>
      <c r="AE89" s="43" t="s">
        <v>53</v>
      </c>
      <c r="AG89" s="179">
        <v>0</v>
      </c>
      <c r="AH89" s="158">
        <f>1</f>
        <v>1</v>
      </c>
      <c r="AI89" s="159">
        <f t="shared" si="4"/>
        <v>0</v>
      </c>
      <c r="AJ89" s="159">
        <f t="shared" si="5"/>
        <v>0</v>
      </c>
    </row>
    <row r="90" spans="1:37" ht="30" customHeight="1" x14ac:dyDescent="0.2">
      <c r="A90" s="75" t="s">
        <v>262</v>
      </c>
      <c r="B90" s="75" t="s">
        <v>573</v>
      </c>
      <c r="C90" s="76" t="s">
        <v>453</v>
      </c>
      <c r="D90" s="209" t="s">
        <v>454</v>
      </c>
      <c r="E90" s="209" t="s">
        <v>455</v>
      </c>
      <c r="F90" s="209" t="s">
        <v>456</v>
      </c>
      <c r="G90" s="209" t="s">
        <v>457</v>
      </c>
      <c r="H90" s="209" t="s">
        <v>458</v>
      </c>
      <c r="I90" s="209" t="s">
        <v>545</v>
      </c>
      <c r="J90" s="94"/>
      <c r="K90" s="71"/>
      <c r="L90" s="71"/>
      <c r="M90" s="71"/>
      <c r="N90" s="71"/>
      <c r="O90" s="71"/>
      <c r="P90" s="71"/>
      <c r="Q90" s="71"/>
      <c r="R90" s="96"/>
      <c r="S90" s="115" t="s">
        <v>51</v>
      </c>
      <c r="T90" s="115"/>
      <c r="U90" s="115"/>
      <c r="V90" s="115"/>
      <c r="W90" s="115" t="s">
        <v>574</v>
      </c>
      <c r="X90" s="115"/>
      <c r="Y90" s="115"/>
      <c r="Z90" s="115"/>
      <c r="AE90" s="43" t="s">
        <v>53</v>
      </c>
      <c r="AG90" s="179">
        <v>0</v>
      </c>
      <c r="AH90" s="158">
        <f>1</f>
        <v>1</v>
      </c>
      <c r="AI90" s="159">
        <f t="shared" si="4"/>
        <v>0</v>
      </c>
      <c r="AJ90" s="159">
        <f t="shared" si="5"/>
        <v>0</v>
      </c>
    </row>
    <row r="91" spans="1:37" x14ac:dyDescent="0.2">
      <c r="J91" s="83"/>
      <c r="R91" s="84"/>
      <c r="AG91" s="179"/>
      <c r="AH91" s="158">
        <f>1</f>
        <v>1</v>
      </c>
      <c r="AI91" s="159" t="str">
        <f t="shared" si="4"/>
        <v/>
      </c>
      <c r="AJ91" s="159" t="str">
        <f t="shared" si="5"/>
        <v/>
      </c>
    </row>
    <row r="92" spans="1:37" s="72" customFormat="1" x14ac:dyDescent="0.2">
      <c r="C92" s="73"/>
      <c r="D92" s="73"/>
      <c r="E92" s="73"/>
      <c r="F92" s="73"/>
      <c r="G92" s="73"/>
      <c r="H92" s="73"/>
      <c r="I92" s="73"/>
      <c r="J92" s="74"/>
      <c r="R92" s="100"/>
      <c r="S92" s="114"/>
      <c r="T92" s="114"/>
      <c r="U92" s="114"/>
      <c r="V92" s="114"/>
      <c r="W92" s="128"/>
      <c r="X92" s="114"/>
      <c r="Y92" s="114"/>
      <c r="Z92" s="114"/>
      <c r="AG92" s="179"/>
      <c r="AH92" s="158">
        <f>1</f>
        <v>1</v>
      </c>
      <c r="AI92" s="159" t="str">
        <f t="shared" si="4"/>
        <v/>
      </c>
      <c r="AJ92" s="159" t="str">
        <f t="shared" si="5"/>
        <v/>
      </c>
      <c r="AK92" s="71"/>
    </row>
    <row r="93" spans="1:37" ht="45" customHeight="1" x14ac:dyDescent="0.2">
      <c r="A93" s="75" t="s">
        <v>514</v>
      </c>
      <c r="B93" s="75" t="s">
        <v>575</v>
      </c>
      <c r="C93" s="76" t="s">
        <v>576</v>
      </c>
      <c r="D93" s="209" t="s">
        <v>577</v>
      </c>
      <c r="E93" s="209" t="s">
        <v>578</v>
      </c>
      <c r="F93" s="209" t="s">
        <v>579</v>
      </c>
      <c r="G93" s="209" t="s">
        <v>580</v>
      </c>
      <c r="H93" s="209" t="s">
        <v>581</v>
      </c>
      <c r="I93" s="209" t="s">
        <v>582</v>
      </c>
      <c r="J93" s="94"/>
      <c r="K93" s="75"/>
      <c r="L93" s="75"/>
      <c r="M93" s="75"/>
      <c r="N93" s="75"/>
      <c r="O93" s="75"/>
      <c r="P93" s="75"/>
      <c r="Q93" s="75"/>
      <c r="R93" s="96"/>
      <c r="S93" s="115" t="s">
        <v>51</v>
      </c>
      <c r="T93" s="115"/>
      <c r="U93" s="115"/>
      <c r="V93" s="115"/>
      <c r="W93" s="115" t="s">
        <v>583</v>
      </c>
      <c r="X93" s="115"/>
      <c r="Y93" s="115"/>
      <c r="Z93" s="115"/>
      <c r="AE93" s="43" t="s">
        <v>53</v>
      </c>
      <c r="AG93" s="179">
        <v>16.348396301269531</v>
      </c>
      <c r="AH93" s="158">
        <f>1</f>
        <v>1</v>
      </c>
      <c r="AI93" s="159">
        <f t="shared" si="4"/>
        <v>16.348396301269531</v>
      </c>
      <c r="AJ93" s="159">
        <f t="shared" si="5"/>
        <v>16.348396301269531</v>
      </c>
    </row>
    <row r="94" spans="1:37" s="72" customFormat="1" x14ac:dyDescent="0.2">
      <c r="C94" s="73"/>
      <c r="D94" s="73"/>
      <c r="E94" s="73"/>
      <c r="F94" s="73"/>
      <c r="G94" s="73"/>
      <c r="H94" s="73"/>
      <c r="I94" s="73"/>
      <c r="J94" s="74"/>
      <c r="R94" s="78"/>
      <c r="S94" s="114"/>
      <c r="T94" s="114"/>
      <c r="U94" s="114"/>
      <c r="V94" s="114"/>
      <c r="W94" s="114"/>
      <c r="X94" s="114"/>
      <c r="Y94" s="114"/>
      <c r="Z94" s="114"/>
      <c r="AG94" s="179"/>
      <c r="AH94" s="158">
        <f>1</f>
        <v>1</v>
      </c>
      <c r="AI94" s="159" t="str">
        <f t="shared" si="4"/>
        <v/>
      </c>
      <c r="AJ94" s="159" t="str">
        <f t="shared" si="5"/>
        <v/>
      </c>
      <c r="AK94" s="71"/>
    </row>
    <row r="95" spans="1:37" ht="75" customHeight="1" x14ac:dyDescent="0.2">
      <c r="A95" s="75" t="s">
        <v>584</v>
      </c>
      <c r="B95" s="75" t="s">
        <v>585</v>
      </c>
      <c r="C95" s="76" t="s">
        <v>586</v>
      </c>
      <c r="D95" s="209" t="s">
        <v>587</v>
      </c>
      <c r="E95" s="209" t="s">
        <v>588</v>
      </c>
      <c r="F95" s="209" t="s">
        <v>589</v>
      </c>
      <c r="G95" s="209" t="s">
        <v>590</v>
      </c>
      <c r="H95" s="209" t="s">
        <v>591</v>
      </c>
      <c r="I95" s="209" t="s">
        <v>592</v>
      </c>
      <c r="J95" s="94"/>
      <c r="K95" s="75" t="s">
        <v>593</v>
      </c>
      <c r="L95" s="75" t="s">
        <v>594</v>
      </c>
      <c r="M95" s="75" t="s">
        <v>595</v>
      </c>
      <c r="N95" s="75" t="s">
        <v>596</v>
      </c>
      <c r="O95" s="75" t="s">
        <v>597</v>
      </c>
      <c r="P95" s="75" t="s">
        <v>598</v>
      </c>
      <c r="Q95" s="75" t="s">
        <v>599</v>
      </c>
      <c r="R95" s="96"/>
      <c r="S95" s="115" t="s">
        <v>51</v>
      </c>
      <c r="T95" s="115"/>
      <c r="U95" s="115" t="s">
        <v>600</v>
      </c>
      <c r="V95" s="115"/>
      <c r="W95" s="115"/>
      <c r="X95" s="115"/>
      <c r="Y95" s="115"/>
      <c r="Z95" s="115"/>
      <c r="AE95" s="43" t="s">
        <v>53</v>
      </c>
      <c r="AG95" s="179">
        <v>46.247528076171882</v>
      </c>
      <c r="AH95" s="158">
        <f>1</f>
        <v>1</v>
      </c>
      <c r="AI95" s="159">
        <f t="shared" si="4"/>
        <v>46.247528076171882</v>
      </c>
      <c r="AJ95" s="159">
        <f t="shared" si="5"/>
        <v>46.247528076171882</v>
      </c>
    </row>
    <row r="96" spans="1:37" x14ac:dyDescent="0.2">
      <c r="D96" s="43"/>
      <c r="E96" s="43"/>
      <c r="F96" s="43"/>
      <c r="G96" s="43"/>
      <c r="H96" s="43"/>
      <c r="I96" s="43"/>
      <c r="J96" s="83"/>
      <c r="R96" s="84"/>
      <c r="AG96" s="179"/>
      <c r="AH96" s="158">
        <f>1</f>
        <v>1</v>
      </c>
      <c r="AI96" s="159" t="str">
        <f t="shared" si="4"/>
        <v/>
      </c>
      <c r="AJ96" s="159" t="str">
        <f t="shared" si="5"/>
        <v/>
      </c>
    </row>
    <row r="97" spans="1:37" s="280" customFormat="1" ht="60" customHeight="1" x14ac:dyDescent="0.2">
      <c r="A97" s="280" t="s">
        <v>116</v>
      </c>
      <c r="B97" s="280" t="s">
        <v>601</v>
      </c>
      <c r="C97" s="281" t="s">
        <v>602</v>
      </c>
      <c r="D97" s="281" t="s">
        <v>603</v>
      </c>
      <c r="E97" s="281" t="s">
        <v>604</v>
      </c>
      <c r="F97" s="281" t="s">
        <v>605</v>
      </c>
      <c r="G97" s="281" t="s">
        <v>606</v>
      </c>
      <c r="H97" s="281" t="s">
        <v>607</v>
      </c>
      <c r="I97" s="281" t="s">
        <v>608</v>
      </c>
      <c r="J97" s="281"/>
      <c r="K97" s="280" t="s">
        <v>609</v>
      </c>
      <c r="L97" s="280" t="s">
        <v>610</v>
      </c>
      <c r="M97" s="280" t="s">
        <v>490</v>
      </c>
      <c r="N97" s="280" t="s">
        <v>611</v>
      </c>
      <c r="O97" s="280" t="s">
        <v>612</v>
      </c>
      <c r="P97" s="280" t="s">
        <v>613</v>
      </c>
      <c r="Q97" s="280" t="s">
        <v>614</v>
      </c>
      <c r="S97" s="285" t="s">
        <v>72</v>
      </c>
      <c r="T97" s="285"/>
      <c r="U97" s="294"/>
      <c r="V97" s="285"/>
      <c r="W97" s="285" t="s">
        <v>615</v>
      </c>
      <c r="X97" s="285"/>
      <c r="Y97" s="285"/>
      <c r="Z97" s="285"/>
      <c r="AE97" s="280" t="s">
        <v>73</v>
      </c>
      <c r="AG97" s="286">
        <v>26.118782043457031</v>
      </c>
      <c r="AH97" s="287">
        <f>1</f>
        <v>1</v>
      </c>
      <c r="AI97" s="288">
        <f t="shared" si="4"/>
        <v>26.118782043457031</v>
      </c>
      <c r="AJ97" s="288" t="str">
        <f t="shared" si="5"/>
        <v/>
      </c>
      <c r="AK97" s="291"/>
    </row>
    <row r="98" spans="1:37" x14ac:dyDescent="0.2">
      <c r="D98" s="43"/>
      <c r="E98" s="43"/>
      <c r="F98" s="43"/>
      <c r="G98" s="43"/>
      <c r="H98" s="43"/>
      <c r="I98" s="43"/>
      <c r="J98" s="83"/>
      <c r="R98" s="84"/>
      <c r="W98" s="125"/>
      <c r="AG98" s="179"/>
      <c r="AH98" s="158">
        <f>1</f>
        <v>1</v>
      </c>
      <c r="AI98" s="159" t="str">
        <f t="shared" si="4"/>
        <v/>
      </c>
      <c r="AJ98" s="159" t="str">
        <f t="shared" si="5"/>
        <v/>
      </c>
    </row>
    <row r="99" spans="1:37" s="72" customFormat="1" x14ac:dyDescent="0.2">
      <c r="C99" s="73"/>
      <c r="D99" s="73"/>
      <c r="E99" s="73"/>
      <c r="F99" s="73"/>
      <c r="G99" s="73"/>
      <c r="H99" s="73"/>
      <c r="I99" s="73"/>
      <c r="J99" s="74"/>
      <c r="R99" s="78"/>
      <c r="S99" s="114"/>
      <c r="T99" s="114"/>
      <c r="U99" s="120"/>
      <c r="V99" s="114"/>
      <c r="W99" s="114"/>
      <c r="X99" s="114"/>
      <c r="Y99" s="114"/>
      <c r="Z99" s="114"/>
      <c r="AG99" s="179"/>
      <c r="AH99" s="158">
        <f>1</f>
        <v>1</v>
      </c>
      <c r="AI99" s="159" t="str">
        <f t="shared" si="4"/>
        <v/>
      </c>
      <c r="AJ99" s="159" t="str">
        <f t="shared" si="5"/>
        <v/>
      </c>
      <c r="AK99" s="71"/>
    </row>
    <row r="100" spans="1:37" ht="15.75" customHeight="1" thickBot="1" x14ac:dyDescent="0.25">
      <c r="A100" s="92" t="s">
        <v>278</v>
      </c>
      <c r="B100" s="92"/>
      <c r="C100" s="93"/>
      <c r="D100" s="93"/>
      <c r="E100" s="93"/>
      <c r="F100" s="93"/>
      <c r="G100" s="93"/>
      <c r="H100" s="93"/>
      <c r="I100" s="93"/>
      <c r="J100" s="87"/>
      <c r="K100" s="92"/>
      <c r="L100" s="92"/>
      <c r="M100" s="92"/>
      <c r="N100" s="92"/>
      <c r="O100" s="92"/>
      <c r="P100" s="92"/>
      <c r="Q100" s="92"/>
      <c r="R100" s="88"/>
      <c r="S100" s="124"/>
      <c r="T100" s="124"/>
      <c r="U100" s="124"/>
      <c r="V100" s="124"/>
      <c r="W100" s="124"/>
      <c r="X100" s="124"/>
      <c r="Y100" s="124"/>
      <c r="Z100" s="124"/>
      <c r="AG100" s="179"/>
      <c r="AH100" s="71"/>
      <c r="AI100" s="159" t="str">
        <f t="shared" si="4"/>
        <v/>
      </c>
      <c r="AJ100" s="159" t="str">
        <f t="shared" si="5"/>
        <v/>
      </c>
    </row>
    <row r="101" spans="1:37" s="68" customFormat="1" ht="15.75" customHeight="1" thickTop="1" x14ac:dyDescent="0.2">
      <c r="A101" s="65" t="s">
        <v>108</v>
      </c>
      <c r="B101" s="65" t="s">
        <v>616</v>
      </c>
      <c r="C101" s="89" t="s">
        <v>617</v>
      </c>
      <c r="D101" s="211" t="s">
        <v>618</v>
      </c>
      <c r="E101" s="211" t="s">
        <v>619</v>
      </c>
      <c r="F101" s="211" t="s">
        <v>620</v>
      </c>
      <c r="G101" s="211" t="s">
        <v>621</v>
      </c>
      <c r="H101" s="211" t="s">
        <v>622</v>
      </c>
      <c r="I101" s="211" t="s">
        <v>623</v>
      </c>
      <c r="J101" s="66"/>
      <c r="K101" s="65"/>
      <c r="L101" s="65"/>
      <c r="M101" s="65"/>
      <c r="N101" s="65"/>
      <c r="O101" s="65"/>
      <c r="P101" s="65"/>
      <c r="Q101" s="65"/>
      <c r="R101" s="67"/>
      <c r="S101" s="118" t="s">
        <v>72</v>
      </c>
      <c r="T101" s="118"/>
      <c r="U101" s="118"/>
      <c r="V101" s="118"/>
      <c r="W101" s="119" t="s">
        <v>624</v>
      </c>
      <c r="X101" s="118"/>
      <c r="Y101" s="118"/>
      <c r="Z101" s="118"/>
      <c r="AE101" s="43" t="s">
        <v>53</v>
      </c>
      <c r="AG101" s="179"/>
      <c r="AH101" s="69"/>
      <c r="AI101" s="159" t="str">
        <f t="shared" si="4"/>
        <v/>
      </c>
      <c r="AJ101" s="159" t="str">
        <f t="shared" si="5"/>
        <v/>
      </c>
      <c r="AK101" s="69"/>
    </row>
    <row r="102" spans="1:37" s="44" customFormat="1" ht="64" customHeight="1" x14ac:dyDescent="0.2">
      <c r="A102" s="42" t="s">
        <v>56</v>
      </c>
      <c r="B102" s="42" t="s">
        <v>625</v>
      </c>
      <c r="C102" s="42" t="s">
        <v>626</v>
      </c>
      <c r="D102" s="209" t="s">
        <v>627</v>
      </c>
      <c r="E102" s="209" t="s">
        <v>628</v>
      </c>
      <c r="F102" s="209" t="s">
        <v>629</v>
      </c>
      <c r="G102" s="209" t="s">
        <v>630</v>
      </c>
      <c r="H102" s="209" t="s">
        <v>631</v>
      </c>
      <c r="I102" s="209" t="s">
        <v>632</v>
      </c>
      <c r="J102" s="83"/>
      <c r="K102" s="42"/>
      <c r="L102" s="42"/>
      <c r="M102" s="42"/>
      <c r="N102" s="42"/>
      <c r="O102" s="42"/>
      <c r="P102" s="42"/>
      <c r="Q102" s="42"/>
      <c r="R102" s="83"/>
      <c r="S102" s="41"/>
      <c r="T102" s="41"/>
      <c r="U102" s="41"/>
      <c r="V102" s="41"/>
      <c r="W102" s="41"/>
      <c r="X102" s="41"/>
      <c r="Y102" s="41"/>
      <c r="Z102" s="41"/>
      <c r="AE102" s="44" t="s">
        <v>53</v>
      </c>
      <c r="AG102" s="182">
        <v>7.5</v>
      </c>
      <c r="AH102" s="161">
        <f>'Additional information'!$D$18</f>
        <v>0.91</v>
      </c>
      <c r="AI102" s="160">
        <f t="shared" si="4"/>
        <v>6.8250000000000002</v>
      </c>
      <c r="AJ102" s="160">
        <f t="shared" si="5"/>
        <v>6.8250000000000002</v>
      </c>
      <c r="AK102" s="45"/>
    </row>
    <row r="103" spans="1:37" x14ac:dyDescent="0.2">
      <c r="D103" s="210"/>
      <c r="E103" s="210"/>
      <c r="F103" s="210"/>
      <c r="G103" s="210"/>
      <c r="H103" s="210"/>
      <c r="I103" s="210"/>
      <c r="J103" s="83"/>
      <c r="R103" s="84"/>
      <c r="AG103" s="179"/>
      <c r="AH103" s="158">
        <f>'Additional information'!$D$18</f>
        <v>0.91</v>
      </c>
      <c r="AI103" s="159" t="str">
        <f t="shared" si="4"/>
        <v/>
      </c>
      <c r="AJ103" s="159" t="str">
        <f t="shared" si="5"/>
        <v/>
      </c>
    </row>
    <row r="104" spans="1:37" s="71" customFormat="1" ht="16" customHeight="1" x14ac:dyDescent="0.2">
      <c r="A104" s="75" t="s">
        <v>461</v>
      </c>
      <c r="B104" s="75" t="s">
        <v>633</v>
      </c>
      <c r="C104" s="76" t="s">
        <v>634</v>
      </c>
      <c r="D104" s="205" t="s">
        <v>635</v>
      </c>
      <c r="E104" s="205" t="s">
        <v>636</v>
      </c>
      <c r="F104" s="205" t="s">
        <v>637</v>
      </c>
      <c r="G104" s="205" t="s">
        <v>638</v>
      </c>
      <c r="H104" s="205" t="s">
        <v>639</v>
      </c>
      <c r="I104" s="205" t="s">
        <v>640</v>
      </c>
      <c r="J104" s="94"/>
      <c r="K104" s="75" t="s">
        <v>641</v>
      </c>
      <c r="L104" s="75" t="s">
        <v>642</v>
      </c>
      <c r="M104" s="75" t="s">
        <v>643</v>
      </c>
      <c r="N104" s="75" t="s">
        <v>644</v>
      </c>
      <c r="O104" s="75" t="s">
        <v>645</v>
      </c>
      <c r="P104" s="75" t="s">
        <v>646</v>
      </c>
      <c r="Q104" s="75" t="s">
        <v>647</v>
      </c>
      <c r="R104" s="96"/>
      <c r="S104" s="115" t="s">
        <v>51</v>
      </c>
      <c r="T104" s="115"/>
      <c r="U104" s="115" t="s">
        <v>648</v>
      </c>
      <c r="V104" s="115"/>
      <c r="W104" s="115"/>
      <c r="X104" s="115"/>
      <c r="Y104" s="115"/>
      <c r="Z104" s="115"/>
      <c r="AE104" s="71" t="s">
        <v>53</v>
      </c>
      <c r="AG104" s="179">
        <v>17</v>
      </c>
      <c r="AH104" s="158">
        <f>'Additional information'!$D$18</f>
        <v>0.91</v>
      </c>
      <c r="AI104" s="159">
        <f t="shared" si="4"/>
        <v>15.47</v>
      </c>
      <c r="AJ104" s="159">
        <f t="shared" si="5"/>
        <v>15.47</v>
      </c>
    </row>
    <row r="105" spans="1:37" s="71" customFormat="1" ht="16" customHeight="1" x14ac:dyDescent="0.2">
      <c r="A105" s="75" t="s">
        <v>649</v>
      </c>
      <c r="B105" s="75" t="s">
        <v>650</v>
      </c>
      <c r="C105" s="76" t="s">
        <v>651</v>
      </c>
      <c r="D105" s="209" t="s">
        <v>652</v>
      </c>
      <c r="E105" s="209" t="s">
        <v>652</v>
      </c>
      <c r="F105" s="209" t="s">
        <v>653</v>
      </c>
      <c r="G105" s="209" t="s">
        <v>654</v>
      </c>
      <c r="H105" s="209" t="s">
        <v>655</v>
      </c>
      <c r="I105" s="209" t="s">
        <v>656</v>
      </c>
      <c r="J105" s="94"/>
      <c r="K105" s="75" t="s">
        <v>657</v>
      </c>
      <c r="L105" s="212" t="s">
        <v>658</v>
      </c>
      <c r="M105" s="212" t="s">
        <v>659</v>
      </c>
      <c r="N105" s="212" t="s">
        <v>660</v>
      </c>
      <c r="O105" s="212" t="s">
        <v>661</v>
      </c>
      <c r="P105" s="212" t="s">
        <v>662</v>
      </c>
      <c r="Q105" s="212" t="s">
        <v>663</v>
      </c>
      <c r="R105" s="96"/>
      <c r="S105" s="115" t="s">
        <v>51</v>
      </c>
      <c r="T105" s="115"/>
      <c r="U105" s="115"/>
      <c r="V105" s="115"/>
      <c r="W105" s="115" t="s">
        <v>664</v>
      </c>
      <c r="X105" s="115"/>
      <c r="Y105" s="115"/>
      <c r="Z105" s="115"/>
      <c r="AE105" s="71" t="s">
        <v>53</v>
      </c>
      <c r="AG105" s="179">
        <v>0</v>
      </c>
      <c r="AH105" s="158">
        <f>'Additional information'!$D$18</f>
        <v>0.91</v>
      </c>
      <c r="AI105" s="159">
        <f t="shared" si="4"/>
        <v>0</v>
      </c>
      <c r="AJ105" s="159">
        <f t="shared" si="5"/>
        <v>0</v>
      </c>
    </row>
    <row r="106" spans="1:37" s="68" customFormat="1" x14ac:dyDescent="0.2">
      <c r="C106" s="90"/>
      <c r="J106" s="66"/>
      <c r="R106" s="67"/>
      <c r="S106" s="119"/>
      <c r="T106" s="119"/>
      <c r="U106" s="119"/>
      <c r="V106" s="119"/>
      <c r="W106" s="119"/>
      <c r="X106" s="119"/>
      <c r="Y106" s="119"/>
      <c r="Z106" s="119"/>
      <c r="AE106" s="43"/>
      <c r="AG106" s="179"/>
      <c r="AH106" s="158">
        <f>'Additional information'!$D$18</f>
        <v>0.91</v>
      </c>
      <c r="AI106" s="159" t="str">
        <f t="shared" si="4"/>
        <v/>
      </c>
      <c r="AJ106" s="159" t="str">
        <f t="shared" si="5"/>
        <v/>
      </c>
      <c r="AK106" s="69"/>
    </row>
    <row r="107" spans="1:37" ht="30" customHeight="1" x14ac:dyDescent="0.2">
      <c r="A107" s="70" t="s">
        <v>665</v>
      </c>
      <c r="B107" s="70" t="s">
        <v>666</v>
      </c>
      <c r="C107" s="42" t="s">
        <v>667</v>
      </c>
      <c r="D107" s="205" t="s">
        <v>668</v>
      </c>
      <c r="E107" s="205" t="s">
        <v>669</v>
      </c>
      <c r="F107" s="205" t="s">
        <v>670</v>
      </c>
      <c r="G107" s="205" t="s">
        <v>671</v>
      </c>
      <c r="H107" s="205" t="s">
        <v>672</v>
      </c>
      <c r="I107" s="205" t="s">
        <v>673</v>
      </c>
      <c r="J107" s="83"/>
      <c r="K107" s="70" t="s">
        <v>674</v>
      </c>
      <c r="L107" s="70" t="s">
        <v>675</v>
      </c>
      <c r="M107" s="70"/>
      <c r="N107" s="70" t="s">
        <v>676</v>
      </c>
      <c r="O107" s="70" t="s">
        <v>677</v>
      </c>
      <c r="P107" s="70" t="s">
        <v>678</v>
      </c>
      <c r="Q107" s="70" t="s">
        <v>679</v>
      </c>
      <c r="R107" s="84"/>
      <c r="S107" s="113" t="s">
        <v>51</v>
      </c>
      <c r="T107" s="113" t="s">
        <v>52</v>
      </c>
      <c r="U107" s="113"/>
      <c r="V107" s="113"/>
      <c r="W107" s="113"/>
      <c r="X107" s="113"/>
      <c r="Y107" s="113"/>
      <c r="Z107" s="113"/>
      <c r="AE107" s="43" t="s">
        <v>53</v>
      </c>
      <c r="AG107" s="179">
        <v>27.057552337646481</v>
      </c>
      <c r="AH107" s="158">
        <f>'Additional information'!$D$18</f>
        <v>0.91</v>
      </c>
      <c r="AI107" s="159">
        <f t="shared" si="4"/>
        <v>24.622372627258297</v>
      </c>
      <c r="AJ107" s="159">
        <f t="shared" si="5"/>
        <v>24.622372627258297</v>
      </c>
    </row>
    <row r="108" spans="1:37" x14ac:dyDescent="0.2">
      <c r="A108" s="70" t="s">
        <v>36</v>
      </c>
      <c r="B108" s="70" t="s">
        <v>680</v>
      </c>
      <c r="C108" s="42"/>
      <c r="D108" s="70"/>
      <c r="E108" s="70"/>
      <c r="F108" s="70"/>
      <c r="G108" s="70"/>
      <c r="H108" s="70"/>
      <c r="I108" s="70"/>
      <c r="J108" s="83"/>
      <c r="R108" s="84"/>
      <c r="S108" s="113"/>
      <c r="T108" s="113"/>
      <c r="U108" s="113"/>
      <c r="V108" s="113"/>
      <c r="W108" s="113"/>
      <c r="X108" s="113"/>
      <c r="Y108" s="113"/>
      <c r="Z108" s="113" t="s">
        <v>681</v>
      </c>
      <c r="AE108" s="43" t="s">
        <v>53</v>
      </c>
      <c r="AG108" s="179"/>
      <c r="AH108" s="158">
        <f>'Additional information'!$D$18</f>
        <v>0.91</v>
      </c>
      <c r="AI108" s="159" t="str">
        <f t="shared" si="4"/>
        <v/>
      </c>
      <c r="AJ108" s="159" t="str">
        <f t="shared" si="5"/>
        <v/>
      </c>
    </row>
    <row r="109" spans="1:37" ht="32" customHeight="1" x14ac:dyDescent="0.2">
      <c r="A109" s="70" t="s">
        <v>682</v>
      </c>
      <c r="B109" s="70" t="s">
        <v>683</v>
      </c>
      <c r="C109" s="42" t="s">
        <v>684</v>
      </c>
      <c r="D109" s="209" t="s">
        <v>685</v>
      </c>
      <c r="E109" s="209" t="s">
        <v>686</v>
      </c>
      <c r="F109" s="209" t="s">
        <v>687</v>
      </c>
      <c r="G109" s="209" t="s">
        <v>688</v>
      </c>
      <c r="H109" s="209" t="s">
        <v>689</v>
      </c>
      <c r="I109" s="209" t="s">
        <v>690</v>
      </c>
      <c r="J109" s="83"/>
      <c r="R109" s="84"/>
      <c r="S109" s="113" t="s">
        <v>51</v>
      </c>
      <c r="T109" s="113"/>
      <c r="U109" s="113"/>
      <c r="V109" s="113"/>
      <c r="W109" s="113" t="s">
        <v>691</v>
      </c>
      <c r="X109" s="113"/>
      <c r="Y109" s="113"/>
      <c r="Z109" s="113"/>
      <c r="AE109" s="43" t="s">
        <v>53</v>
      </c>
      <c r="AG109" s="179">
        <v>0</v>
      </c>
      <c r="AH109" s="158">
        <f>'Additional information'!$D$18</f>
        <v>0.91</v>
      </c>
      <c r="AI109" s="159">
        <f t="shared" si="4"/>
        <v>0</v>
      </c>
      <c r="AJ109" s="159">
        <f t="shared" si="5"/>
        <v>0</v>
      </c>
    </row>
    <row r="110" spans="1:37" s="71" customFormat="1" x14ac:dyDescent="0.2">
      <c r="C110" s="45"/>
      <c r="D110" s="210"/>
      <c r="E110" s="210"/>
      <c r="F110" s="210"/>
      <c r="G110" s="210"/>
      <c r="H110" s="210"/>
      <c r="I110" s="210"/>
      <c r="J110" s="94"/>
      <c r="R110" s="96"/>
      <c r="S110" s="125"/>
      <c r="T110" s="125"/>
      <c r="U110" s="125"/>
      <c r="V110" s="125"/>
      <c r="W110" s="125"/>
      <c r="X110" s="125"/>
      <c r="Y110" s="125"/>
      <c r="Z110" s="125"/>
      <c r="AG110" s="179"/>
      <c r="AH110" s="158">
        <f>'Additional information'!$D$18</f>
        <v>0.91</v>
      </c>
      <c r="AI110" s="159" t="str">
        <f t="shared" si="4"/>
        <v/>
      </c>
      <c r="AJ110" s="159" t="str">
        <f t="shared" si="5"/>
        <v/>
      </c>
    </row>
    <row r="111" spans="1:37" ht="31.75" customHeight="1" x14ac:dyDescent="0.2">
      <c r="A111" s="70" t="s">
        <v>692</v>
      </c>
      <c r="B111" s="70" t="s">
        <v>693</v>
      </c>
      <c r="C111" s="70" t="s">
        <v>694</v>
      </c>
      <c r="D111" s="205" t="s">
        <v>695</v>
      </c>
      <c r="E111" s="205" t="s">
        <v>696</v>
      </c>
      <c r="F111" s="205" t="s">
        <v>697</v>
      </c>
      <c r="G111" s="205" t="s">
        <v>698</v>
      </c>
      <c r="H111" s="205" t="s">
        <v>699</v>
      </c>
      <c r="I111" s="205" t="s">
        <v>700</v>
      </c>
      <c r="J111" s="84"/>
      <c r="R111" s="84"/>
      <c r="S111" s="113" t="s">
        <v>51</v>
      </c>
      <c r="T111" s="113"/>
      <c r="U111" s="113"/>
      <c r="V111" s="113"/>
      <c r="W111" s="113" t="s">
        <v>701</v>
      </c>
      <c r="X111" s="113"/>
      <c r="Y111" s="113"/>
      <c r="Z111" s="113"/>
      <c r="AE111" s="43" t="s">
        <v>53</v>
      </c>
      <c r="AG111" s="179">
        <v>15.95429515838623</v>
      </c>
      <c r="AH111" s="158">
        <f>'Additional information'!$D$18</f>
        <v>0.91</v>
      </c>
      <c r="AI111" s="159">
        <f t="shared" si="4"/>
        <v>14.51840859413147</v>
      </c>
      <c r="AJ111" s="159">
        <f t="shared" si="5"/>
        <v>14.51840859413147</v>
      </c>
    </row>
    <row r="112" spans="1:37" ht="15.75" customHeight="1" x14ac:dyDescent="0.2">
      <c r="A112" s="70" t="s">
        <v>116</v>
      </c>
      <c r="B112" s="70" t="s">
        <v>702</v>
      </c>
      <c r="C112" s="76" t="s">
        <v>703</v>
      </c>
      <c r="D112" s="42" t="s">
        <v>704</v>
      </c>
      <c r="E112" s="42" t="s">
        <v>705</v>
      </c>
      <c r="F112" s="42" t="s">
        <v>706</v>
      </c>
      <c r="G112" s="42" t="s">
        <v>707</v>
      </c>
      <c r="H112" s="42" t="s">
        <v>708</v>
      </c>
      <c r="I112" s="42" t="s">
        <v>709</v>
      </c>
      <c r="J112" s="94"/>
      <c r="K112" s="71" t="s">
        <v>710</v>
      </c>
      <c r="L112" s="71" t="s">
        <v>711</v>
      </c>
      <c r="M112" s="71" t="s">
        <v>712</v>
      </c>
      <c r="N112" s="71" t="s">
        <v>713</v>
      </c>
      <c r="O112" s="71" t="s">
        <v>714</v>
      </c>
      <c r="P112" s="71" t="s">
        <v>715</v>
      </c>
      <c r="Q112" s="71" t="s">
        <v>716</v>
      </c>
      <c r="R112" s="84"/>
      <c r="S112" s="113" t="s">
        <v>51</v>
      </c>
      <c r="T112" s="113"/>
      <c r="U112" s="113"/>
      <c r="V112" s="113"/>
      <c r="W112" s="113" t="s">
        <v>717</v>
      </c>
      <c r="X112" s="113"/>
      <c r="Y112" s="113"/>
      <c r="Z112" s="113"/>
      <c r="AE112" s="43" t="s">
        <v>53</v>
      </c>
      <c r="AG112" s="179"/>
      <c r="AH112" s="158">
        <f>'Additional information'!$D$18</f>
        <v>0.91</v>
      </c>
      <c r="AI112" s="159" t="str">
        <f t="shared" si="4"/>
        <v/>
      </c>
      <c r="AJ112" s="159" t="str">
        <f t="shared" si="5"/>
        <v/>
      </c>
    </row>
    <row r="113" spans="1:37" s="72" customFormat="1" ht="15.75" customHeight="1" x14ac:dyDescent="0.2">
      <c r="C113" s="73"/>
      <c r="J113" s="74"/>
      <c r="R113" s="78"/>
      <c r="S113" s="114"/>
      <c r="T113" s="114"/>
      <c r="U113" s="114"/>
      <c r="V113" s="114"/>
      <c r="W113" s="114"/>
      <c r="X113" s="114"/>
      <c r="Y113" s="114"/>
      <c r="Z113" s="114"/>
      <c r="AG113" s="179"/>
      <c r="AH113" s="158">
        <f>'Additional information'!$D$18</f>
        <v>0.91</v>
      </c>
      <c r="AI113" s="159" t="str">
        <f t="shared" si="4"/>
        <v/>
      </c>
      <c r="AJ113" s="159" t="str">
        <f t="shared" si="5"/>
        <v/>
      </c>
      <c r="AK113" s="71"/>
    </row>
    <row r="114" spans="1:37" s="280" customFormat="1" ht="15.75" customHeight="1" x14ac:dyDescent="0.2">
      <c r="A114" s="280" t="s">
        <v>718</v>
      </c>
      <c r="B114" s="280" t="s">
        <v>719</v>
      </c>
      <c r="C114" s="281" t="s">
        <v>720</v>
      </c>
      <c r="D114" s="280" t="s">
        <v>721</v>
      </c>
      <c r="E114" s="280" t="s">
        <v>722</v>
      </c>
      <c r="F114" s="280" t="s">
        <v>723</v>
      </c>
      <c r="G114" s="280" t="s">
        <v>724</v>
      </c>
      <c r="H114" s="280" t="s">
        <v>725</v>
      </c>
      <c r="I114" s="280" t="s">
        <v>726</v>
      </c>
      <c r="J114" s="281"/>
      <c r="S114" s="285"/>
      <c r="T114" s="285"/>
      <c r="U114" s="285"/>
      <c r="V114" s="285"/>
      <c r="W114" s="285" t="s">
        <v>727</v>
      </c>
      <c r="X114" s="285"/>
      <c r="Y114" s="285"/>
      <c r="Z114" s="285"/>
      <c r="AE114" s="280" t="s">
        <v>73</v>
      </c>
      <c r="AG114" s="286"/>
      <c r="AH114" s="287"/>
      <c r="AI114" s="288"/>
      <c r="AJ114" s="288"/>
      <c r="AK114" s="291"/>
    </row>
    <row r="115" spans="1:37" s="280" customFormat="1" ht="15.75" customHeight="1" x14ac:dyDescent="0.2">
      <c r="A115" s="280" t="s">
        <v>262</v>
      </c>
      <c r="B115" s="280" t="s">
        <v>728</v>
      </c>
      <c r="C115" s="281" t="s">
        <v>729</v>
      </c>
      <c r="D115" s="280" t="s">
        <v>730</v>
      </c>
      <c r="E115" s="280" t="s">
        <v>731</v>
      </c>
      <c r="F115" s="280" t="s">
        <v>732</v>
      </c>
      <c r="G115" s="280" t="s">
        <v>733</v>
      </c>
      <c r="H115" s="280" t="s">
        <v>734</v>
      </c>
      <c r="I115" s="280" t="s">
        <v>735</v>
      </c>
      <c r="J115" s="281"/>
      <c r="S115" s="285"/>
      <c r="T115" s="285"/>
      <c r="U115" s="285"/>
      <c r="V115" s="285"/>
      <c r="W115" s="285" t="s">
        <v>727</v>
      </c>
      <c r="X115" s="285"/>
      <c r="Y115" s="285"/>
      <c r="Z115" s="285"/>
      <c r="AE115" s="280" t="s">
        <v>73</v>
      </c>
      <c r="AG115" s="286"/>
      <c r="AH115" s="287"/>
      <c r="AI115" s="288"/>
      <c r="AJ115" s="288"/>
      <c r="AK115" s="291"/>
    </row>
    <row r="116" spans="1:37" s="280" customFormat="1" ht="16" customHeight="1" x14ac:dyDescent="0.2">
      <c r="A116" s="280" t="s">
        <v>736</v>
      </c>
      <c r="B116" s="280" t="s">
        <v>737</v>
      </c>
      <c r="C116" s="281" t="s">
        <v>738</v>
      </c>
      <c r="D116" s="295" t="s">
        <v>739</v>
      </c>
      <c r="E116" s="295" t="s">
        <v>740</v>
      </c>
      <c r="F116" s="295" t="s">
        <v>741</v>
      </c>
      <c r="G116" s="295" t="s">
        <v>742</v>
      </c>
      <c r="H116" s="295" t="s">
        <v>743</v>
      </c>
      <c r="I116" s="295" t="s">
        <v>744</v>
      </c>
      <c r="J116" s="281"/>
      <c r="K116" s="280" t="s">
        <v>745</v>
      </c>
      <c r="L116" s="280" t="s">
        <v>746</v>
      </c>
      <c r="M116" s="280" t="s">
        <v>747</v>
      </c>
      <c r="N116" s="280" t="s">
        <v>748</v>
      </c>
      <c r="O116" s="280" t="s">
        <v>749</v>
      </c>
      <c r="P116" s="280" t="s">
        <v>750</v>
      </c>
      <c r="Q116" s="280" t="s">
        <v>751</v>
      </c>
      <c r="S116" s="285" t="s">
        <v>51</v>
      </c>
      <c r="T116" s="285"/>
      <c r="U116" s="285" t="s">
        <v>752</v>
      </c>
      <c r="V116" s="285"/>
      <c r="W116" s="285" t="s">
        <v>701</v>
      </c>
      <c r="X116" s="285"/>
      <c r="Y116" s="285"/>
      <c r="Z116" s="285"/>
      <c r="AE116" s="280" t="s">
        <v>73</v>
      </c>
      <c r="AG116" s="286">
        <v>17.928909301757809</v>
      </c>
      <c r="AH116" s="287">
        <f>'Additional information'!$D$18</f>
        <v>0.91</v>
      </c>
      <c r="AI116" s="288">
        <f t="shared" ref="AI116:AI134" si="6">IF(AG116&lt;&gt;"",AG116*AH116,"")</f>
        <v>16.315307464599606</v>
      </c>
      <c r="AJ116" s="288" t="str">
        <f t="shared" ref="AJ116:AJ134" si="7">IF(AND(AG116&lt;&gt;"",AE116="yes"),AG116*AH116,"")</f>
        <v/>
      </c>
      <c r="AK116" s="291"/>
    </row>
    <row r="117" spans="1:37" s="72" customFormat="1" x14ac:dyDescent="0.2">
      <c r="C117" s="73"/>
      <c r="J117" s="74"/>
      <c r="L117" s="43"/>
      <c r="M117" s="43"/>
      <c r="N117" s="43"/>
      <c r="O117" s="43"/>
      <c r="P117" s="43"/>
      <c r="Q117" s="43"/>
      <c r="R117" s="78"/>
      <c r="S117" s="114"/>
      <c r="T117" s="114"/>
      <c r="U117" s="114"/>
      <c r="V117" s="114"/>
      <c r="W117" s="114"/>
      <c r="X117" s="114"/>
      <c r="Y117" s="114"/>
      <c r="Z117" s="114"/>
      <c r="AG117" s="179"/>
      <c r="AH117" s="158">
        <f>'Additional information'!$D$18</f>
        <v>0.91</v>
      </c>
      <c r="AI117" s="159" t="str">
        <f t="shared" si="6"/>
        <v/>
      </c>
      <c r="AJ117" s="159" t="str">
        <f t="shared" si="7"/>
        <v/>
      </c>
      <c r="AK117" s="71"/>
    </row>
    <row r="118" spans="1:37" ht="30" customHeight="1" x14ac:dyDescent="0.2">
      <c r="A118" s="70" t="s">
        <v>514</v>
      </c>
      <c r="B118" s="70" t="s">
        <v>753</v>
      </c>
      <c r="C118" s="42" t="s">
        <v>754</v>
      </c>
      <c r="D118" s="205" t="s">
        <v>755</v>
      </c>
      <c r="E118" s="205" t="s">
        <v>756</v>
      </c>
      <c r="F118" s="205" t="s">
        <v>757</v>
      </c>
      <c r="G118" s="205" t="s">
        <v>758</v>
      </c>
      <c r="H118" s="205" t="s">
        <v>759</v>
      </c>
      <c r="I118" s="205" t="s">
        <v>760</v>
      </c>
      <c r="J118" s="83"/>
      <c r="K118" s="70"/>
      <c r="L118" s="70"/>
      <c r="M118" s="70"/>
      <c r="N118" s="70"/>
      <c r="O118" s="70"/>
      <c r="P118" s="70"/>
      <c r="Q118" s="70"/>
      <c r="R118" s="84"/>
      <c r="S118" s="113" t="s">
        <v>51</v>
      </c>
      <c r="T118" s="113"/>
      <c r="U118" s="113"/>
      <c r="V118" s="113"/>
      <c r="W118" s="115" t="s">
        <v>701</v>
      </c>
      <c r="X118" s="113"/>
      <c r="Y118" s="113"/>
      <c r="Z118" s="113"/>
      <c r="AE118" s="43" t="s">
        <v>53</v>
      </c>
      <c r="AG118" s="179">
        <v>25.436874389648441</v>
      </c>
      <c r="AH118" s="158">
        <f>'Additional information'!$D$18</f>
        <v>0.91</v>
      </c>
      <c r="AI118" s="159">
        <f t="shared" si="6"/>
        <v>23.147555694580081</v>
      </c>
      <c r="AJ118" s="159">
        <f t="shared" si="7"/>
        <v>23.147555694580081</v>
      </c>
    </row>
    <row r="119" spans="1:37" x14ac:dyDescent="0.2">
      <c r="D119" s="210"/>
      <c r="E119" s="210"/>
      <c r="F119" s="210"/>
      <c r="G119" s="210"/>
      <c r="H119" s="210"/>
      <c r="I119" s="210"/>
      <c r="J119" s="83"/>
      <c r="R119" s="84"/>
      <c r="W119" s="125"/>
      <c r="AG119" s="179"/>
      <c r="AH119" s="158">
        <f>'Additional information'!$D$18</f>
        <v>0.91</v>
      </c>
      <c r="AI119" s="159" t="str">
        <f t="shared" si="6"/>
        <v/>
      </c>
      <c r="AJ119" s="159" t="str">
        <f t="shared" si="7"/>
        <v/>
      </c>
    </row>
    <row r="120" spans="1:37" ht="30" customHeight="1" x14ac:dyDescent="0.2">
      <c r="A120" s="70" t="s">
        <v>514</v>
      </c>
      <c r="B120" s="70" t="s">
        <v>761</v>
      </c>
      <c r="C120" s="42" t="s">
        <v>762</v>
      </c>
      <c r="D120" s="205" t="s">
        <v>763</v>
      </c>
      <c r="E120" s="205" t="s">
        <v>764</v>
      </c>
      <c r="F120" s="205" t="s">
        <v>765</v>
      </c>
      <c r="G120" s="205" t="s">
        <v>766</v>
      </c>
      <c r="H120" s="205" t="s">
        <v>767</v>
      </c>
      <c r="I120" s="205" t="s">
        <v>768</v>
      </c>
      <c r="J120" s="83"/>
      <c r="L120" s="72"/>
      <c r="M120" s="72"/>
      <c r="N120" s="72"/>
      <c r="O120" s="72"/>
      <c r="P120" s="72"/>
      <c r="Q120" s="72"/>
      <c r="R120" s="84"/>
      <c r="S120" s="113" t="s">
        <v>51</v>
      </c>
      <c r="T120" s="113"/>
      <c r="U120" s="113"/>
      <c r="V120" s="113"/>
      <c r="W120" s="115" t="s">
        <v>701</v>
      </c>
      <c r="X120" s="113"/>
      <c r="Y120" s="113"/>
      <c r="Z120" s="113"/>
      <c r="AE120" s="43" t="s">
        <v>53</v>
      </c>
      <c r="AG120" s="179">
        <v>19.364946365356449</v>
      </c>
      <c r="AH120" s="158">
        <f>'Additional information'!$D$18</f>
        <v>0.91</v>
      </c>
      <c r="AI120" s="159">
        <f t="shared" si="6"/>
        <v>17.622101192474368</v>
      </c>
      <c r="AJ120" s="159">
        <f t="shared" si="7"/>
        <v>17.622101192474368</v>
      </c>
    </row>
    <row r="121" spans="1:37" s="280" customFormat="1" ht="30" customHeight="1" x14ac:dyDescent="0.2">
      <c r="A121" s="280" t="s">
        <v>461</v>
      </c>
      <c r="B121" s="280" t="s">
        <v>769</v>
      </c>
      <c r="C121" s="281" t="s">
        <v>770</v>
      </c>
      <c r="D121" s="296" t="s">
        <v>771</v>
      </c>
      <c r="E121" s="296" t="s">
        <v>772</v>
      </c>
      <c r="F121" s="296" t="s">
        <v>773</v>
      </c>
      <c r="G121" s="296" t="s">
        <v>774</v>
      </c>
      <c r="H121" s="296" t="s">
        <v>775</v>
      </c>
      <c r="I121" s="296" t="s">
        <v>776</v>
      </c>
      <c r="J121" s="281"/>
      <c r="K121" s="280" t="s">
        <v>777</v>
      </c>
      <c r="L121" s="280" t="s">
        <v>778</v>
      </c>
      <c r="M121" s="280" t="s">
        <v>779</v>
      </c>
      <c r="N121" s="280" t="s">
        <v>780</v>
      </c>
      <c r="O121" s="280" t="s">
        <v>781</v>
      </c>
      <c r="P121" s="280" t="s">
        <v>782</v>
      </c>
      <c r="Q121" s="280" t="s">
        <v>783</v>
      </c>
      <c r="S121" s="285" t="s">
        <v>51</v>
      </c>
      <c r="T121" s="297"/>
      <c r="U121" s="298" t="s">
        <v>648</v>
      </c>
      <c r="V121" s="285"/>
      <c r="W121" s="285" t="s">
        <v>701</v>
      </c>
      <c r="X121" s="285"/>
      <c r="Y121" s="285"/>
      <c r="Z121" s="285"/>
      <c r="AE121" s="280" t="s">
        <v>73</v>
      </c>
      <c r="AG121" s="286">
        <v>17</v>
      </c>
      <c r="AH121" s="287">
        <f>'Additional information'!$D$18</f>
        <v>0.91</v>
      </c>
      <c r="AI121" s="288">
        <f t="shared" si="6"/>
        <v>15.47</v>
      </c>
      <c r="AJ121" s="288" t="str">
        <f t="shared" si="7"/>
        <v/>
      </c>
      <c r="AK121" s="291"/>
    </row>
    <row r="122" spans="1:37" s="280" customFormat="1" ht="16" customHeight="1" x14ac:dyDescent="0.2">
      <c r="A122" s="280" t="s">
        <v>784</v>
      </c>
      <c r="B122" s="280" t="s">
        <v>785</v>
      </c>
      <c r="C122" s="281" t="s">
        <v>786</v>
      </c>
      <c r="D122" s="299" t="s">
        <v>787</v>
      </c>
      <c r="E122" s="299" t="s">
        <v>788</v>
      </c>
      <c r="F122" s="299" t="s">
        <v>789</v>
      </c>
      <c r="G122" s="299" t="s">
        <v>790</v>
      </c>
      <c r="H122" s="299" t="s">
        <v>791</v>
      </c>
      <c r="I122" s="299" t="s">
        <v>792</v>
      </c>
      <c r="J122" s="281"/>
      <c r="S122" s="285" t="s">
        <v>51</v>
      </c>
      <c r="T122" s="297"/>
      <c r="U122" s="285"/>
      <c r="V122" s="285"/>
      <c r="W122" s="285" t="s">
        <v>793</v>
      </c>
      <c r="X122" s="285"/>
      <c r="Y122" s="285"/>
      <c r="Z122" s="285"/>
      <c r="AE122" s="280" t="s">
        <v>73</v>
      </c>
      <c r="AG122" s="286">
        <v>17</v>
      </c>
      <c r="AH122" s="287">
        <f>'Additional information'!$D$18</f>
        <v>0.91</v>
      </c>
      <c r="AI122" s="288">
        <f t="shared" si="6"/>
        <v>15.47</v>
      </c>
      <c r="AJ122" s="288" t="str">
        <f t="shared" si="7"/>
        <v/>
      </c>
      <c r="AK122" s="291"/>
    </row>
    <row r="123" spans="1:37" s="280" customFormat="1" x14ac:dyDescent="0.2">
      <c r="A123" s="280" t="s">
        <v>36</v>
      </c>
      <c r="B123" s="280" t="s">
        <v>794</v>
      </c>
      <c r="C123" s="281"/>
      <c r="J123" s="281"/>
      <c r="S123" s="285"/>
      <c r="T123" s="285"/>
      <c r="U123" s="285"/>
      <c r="V123" s="285"/>
      <c r="W123" s="285"/>
      <c r="X123" s="285"/>
      <c r="Y123" s="285"/>
      <c r="Z123" s="285" t="s">
        <v>795</v>
      </c>
      <c r="AE123" s="280" t="s">
        <v>73</v>
      </c>
      <c r="AG123" s="286"/>
      <c r="AH123" s="287">
        <f>'Additional information'!$D$18</f>
        <v>0.91</v>
      </c>
      <c r="AI123" s="288" t="str">
        <f t="shared" si="6"/>
        <v/>
      </c>
      <c r="AJ123" s="288" t="str">
        <f t="shared" si="7"/>
        <v/>
      </c>
      <c r="AK123" s="291"/>
    </row>
    <row r="124" spans="1:37" s="280" customFormat="1" ht="16" customHeight="1" x14ac:dyDescent="0.2">
      <c r="A124" s="280" t="s">
        <v>461</v>
      </c>
      <c r="B124" s="280" t="s">
        <v>796</v>
      </c>
      <c r="C124" s="281" t="s">
        <v>797</v>
      </c>
      <c r="D124" s="299" t="s">
        <v>798</v>
      </c>
      <c r="E124" s="299" t="s">
        <v>799</v>
      </c>
      <c r="F124" s="299" t="s">
        <v>800</v>
      </c>
      <c r="G124" s="299" t="s">
        <v>801</v>
      </c>
      <c r="H124" s="299" t="s">
        <v>802</v>
      </c>
      <c r="I124" s="299" t="s">
        <v>803</v>
      </c>
      <c r="J124" s="281"/>
      <c r="K124" s="280" t="s">
        <v>804</v>
      </c>
      <c r="L124" s="280" t="s">
        <v>805</v>
      </c>
      <c r="M124" s="280" t="s">
        <v>806</v>
      </c>
      <c r="N124" s="280" t="s">
        <v>780</v>
      </c>
      <c r="O124" s="280" t="s">
        <v>807</v>
      </c>
      <c r="P124" s="280" t="s">
        <v>808</v>
      </c>
      <c r="Q124" s="280" t="s">
        <v>809</v>
      </c>
      <c r="S124" s="285" t="s">
        <v>51</v>
      </c>
      <c r="T124" s="297"/>
      <c r="U124" s="285"/>
      <c r="V124" s="285"/>
      <c r="W124" s="285" t="s">
        <v>810</v>
      </c>
      <c r="X124" s="285"/>
      <c r="Y124" s="285"/>
      <c r="Z124" s="285"/>
      <c r="AE124" s="280" t="s">
        <v>73</v>
      </c>
      <c r="AG124" s="286">
        <v>17</v>
      </c>
      <c r="AH124" s="287">
        <f>'Additional information'!$D$18</f>
        <v>0.91</v>
      </c>
      <c r="AI124" s="288">
        <f t="shared" si="6"/>
        <v>15.47</v>
      </c>
      <c r="AJ124" s="288" t="str">
        <f t="shared" si="7"/>
        <v/>
      </c>
      <c r="AK124" s="291"/>
    </row>
    <row r="125" spans="1:37" s="280" customFormat="1" ht="30" customHeight="1" x14ac:dyDescent="0.2">
      <c r="A125" s="280" t="s">
        <v>144</v>
      </c>
      <c r="B125" s="280" t="s">
        <v>811</v>
      </c>
      <c r="C125" s="281" t="s">
        <v>812</v>
      </c>
      <c r="D125" s="300" t="s">
        <v>813</v>
      </c>
      <c r="E125" s="300" t="s">
        <v>814</v>
      </c>
      <c r="F125" s="300" t="s">
        <v>815</v>
      </c>
      <c r="G125" s="300" t="s">
        <v>816</v>
      </c>
      <c r="H125" s="300" t="s">
        <v>817</v>
      </c>
      <c r="I125" s="300" t="s">
        <v>818</v>
      </c>
      <c r="J125" s="281"/>
      <c r="K125" s="280" t="s">
        <v>804</v>
      </c>
      <c r="L125" s="280" t="s">
        <v>819</v>
      </c>
      <c r="M125" s="280" t="s">
        <v>779</v>
      </c>
      <c r="N125" s="280" t="s">
        <v>780</v>
      </c>
      <c r="O125" s="280" t="s">
        <v>781</v>
      </c>
      <c r="P125" s="280" t="s">
        <v>715</v>
      </c>
      <c r="S125" s="285" t="s">
        <v>51</v>
      </c>
      <c r="T125" s="297"/>
      <c r="U125" s="298" t="s">
        <v>648</v>
      </c>
      <c r="V125" s="285"/>
      <c r="W125" s="285" t="s">
        <v>820</v>
      </c>
      <c r="X125" s="285"/>
      <c r="Y125" s="285"/>
      <c r="Z125" s="285"/>
      <c r="AE125" s="280" t="s">
        <v>73</v>
      </c>
      <c r="AG125" s="286">
        <v>17</v>
      </c>
      <c r="AH125" s="287">
        <f>'Additional information'!$D$18</f>
        <v>0.91</v>
      </c>
      <c r="AI125" s="288">
        <f t="shared" si="6"/>
        <v>15.47</v>
      </c>
      <c r="AJ125" s="288" t="str">
        <f t="shared" si="7"/>
        <v/>
      </c>
      <c r="AK125" s="291"/>
    </row>
    <row r="126" spans="1:37" s="72" customFormat="1" x14ac:dyDescent="0.2">
      <c r="C126" s="73"/>
      <c r="J126" s="74"/>
      <c r="L126" s="43"/>
      <c r="M126" s="43"/>
      <c r="N126" s="43"/>
      <c r="O126" s="43"/>
      <c r="P126" s="43"/>
      <c r="Q126" s="43"/>
      <c r="R126" s="78"/>
      <c r="S126" s="114"/>
      <c r="T126" s="114"/>
      <c r="U126" s="114"/>
      <c r="V126" s="114"/>
      <c r="W126" s="114"/>
      <c r="X126" s="114"/>
      <c r="Y126" s="114"/>
      <c r="Z126" s="114"/>
      <c r="AG126" s="179"/>
      <c r="AH126" s="158">
        <f>'Additional information'!$D$18</f>
        <v>0.91</v>
      </c>
      <c r="AI126" s="159" t="str">
        <f t="shared" si="6"/>
        <v/>
      </c>
      <c r="AJ126" s="159" t="str">
        <f t="shared" si="7"/>
        <v/>
      </c>
      <c r="AK126" s="71"/>
    </row>
    <row r="127" spans="1:37" ht="30" customHeight="1" x14ac:dyDescent="0.2">
      <c r="A127" s="70" t="s">
        <v>262</v>
      </c>
      <c r="B127" s="70" t="s">
        <v>821</v>
      </c>
      <c r="C127" s="42" t="s">
        <v>822</v>
      </c>
      <c r="D127" s="205" t="s">
        <v>823</v>
      </c>
      <c r="E127" s="205" t="s">
        <v>824</v>
      </c>
      <c r="F127" s="205" t="s">
        <v>825</v>
      </c>
      <c r="G127" s="205" t="s">
        <v>826</v>
      </c>
      <c r="H127" s="205" t="s">
        <v>827</v>
      </c>
      <c r="I127" s="205" t="s">
        <v>828</v>
      </c>
      <c r="J127" s="83"/>
      <c r="R127" s="84"/>
      <c r="S127" s="113" t="s">
        <v>51</v>
      </c>
      <c r="T127" s="113"/>
      <c r="U127" s="113"/>
      <c r="V127" s="113"/>
      <c r="W127" s="115" t="s">
        <v>829</v>
      </c>
      <c r="X127" s="113"/>
      <c r="Y127" s="113"/>
      <c r="Z127" s="113"/>
      <c r="AE127" s="43" t="s">
        <v>53</v>
      </c>
      <c r="AG127" s="179">
        <v>13.458864212036129</v>
      </c>
      <c r="AH127" s="158">
        <f>'Additional information'!$D$18</f>
        <v>0.91</v>
      </c>
      <c r="AI127" s="159">
        <f t="shared" si="6"/>
        <v>12.247566432952878</v>
      </c>
      <c r="AJ127" s="159">
        <f t="shared" si="7"/>
        <v>12.247566432952878</v>
      </c>
    </row>
    <row r="128" spans="1:37" ht="30" customHeight="1" x14ac:dyDescent="0.2">
      <c r="A128" s="70" t="s">
        <v>830</v>
      </c>
      <c r="B128" s="70" t="s">
        <v>831</v>
      </c>
      <c r="C128" s="42" t="s">
        <v>832</v>
      </c>
      <c r="D128" s="205" t="s">
        <v>833</v>
      </c>
      <c r="E128" s="205" t="s">
        <v>834</v>
      </c>
      <c r="F128" s="205" t="s">
        <v>835</v>
      </c>
      <c r="G128" s="205" t="s">
        <v>836</v>
      </c>
      <c r="H128" s="205" t="s">
        <v>837</v>
      </c>
      <c r="I128" s="205" t="s">
        <v>838</v>
      </c>
      <c r="J128" s="83"/>
      <c r="K128" s="43" t="s">
        <v>839</v>
      </c>
      <c r="L128" s="43" t="s">
        <v>840</v>
      </c>
      <c r="M128" s="43" t="s">
        <v>841</v>
      </c>
      <c r="N128" s="43" t="s">
        <v>842</v>
      </c>
      <c r="O128" s="43" t="s">
        <v>843</v>
      </c>
      <c r="P128" s="43" t="s">
        <v>844</v>
      </c>
      <c r="Q128" s="43" t="s">
        <v>845</v>
      </c>
      <c r="R128" s="84"/>
      <c r="S128" s="113" t="s">
        <v>51</v>
      </c>
      <c r="T128" s="113"/>
      <c r="U128" s="115" t="s">
        <v>752</v>
      </c>
      <c r="V128" s="113"/>
      <c r="W128" s="115" t="s">
        <v>846</v>
      </c>
      <c r="X128" s="113"/>
      <c r="Y128" s="113"/>
      <c r="Z128" s="113"/>
      <c r="AE128" s="43" t="s">
        <v>53</v>
      </c>
      <c r="AG128" s="179">
        <v>37.523288726806641</v>
      </c>
      <c r="AH128" s="158">
        <f>'Additional information'!$D$18</f>
        <v>0.91</v>
      </c>
      <c r="AI128" s="159">
        <f t="shared" si="6"/>
        <v>34.146192741394046</v>
      </c>
      <c r="AJ128" s="159">
        <f t="shared" si="7"/>
        <v>34.146192741394046</v>
      </c>
    </row>
    <row r="129" spans="1:37" x14ac:dyDescent="0.2">
      <c r="D129" s="43"/>
      <c r="E129" s="43"/>
      <c r="F129" s="43"/>
      <c r="G129" s="43"/>
      <c r="H129" s="43"/>
      <c r="I129" s="43"/>
      <c r="J129" s="83"/>
      <c r="L129" s="72"/>
      <c r="M129" s="72"/>
      <c r="N129" s="72"/>
      <c r="O129" s="72"/>
      <c r="P129" s="72"/>
      <c r="Q129" s="72"/>
      <c r="R129" s="84"/>
      <c r="W129" s="125"/>
      <c r="AG129" s="179"/>
      <c r="AH129" s="158">
        <f>'Additional information'!$D$18</f>
        <v>0.91</v>
      </c>
      <c r="AI129" s="159" t="str">
        <f t="shared" si="6"/>
        <v/>
      </c>
      <c r="AJ129" s="159" t="str">
        <f t="shared" si="7"/>
        <v/>
      </c>
    </row>
    <row r="130" spans="1:37" s="280" customFormat="1" ht="45" customHeight="1" x14ac:dyDescent="0.2">
      <c r="A130" s="280" t="s">
        <v>847</v>
      </c>
      <c r="B130" s="280" t="s">
        <v>848</v>
      </c>
      <c r="C130" s="281" t="s">
        <v>849</v>
      </c>
      <c r="D130" s="301" t="s">
        <v>850</v>
      </c>
      <c r="E130" s="301" t="s">
        <v>851</v>
      </c>
      <c r="F130" s="301" t="s">
        <v>852</v>
      </c>
      <c r="G130" s="301" t="s">
        <v>853</v>
      </c>
      <c r="H130" s="301" t="s">
        <v>854</v>
      </c>
      <c r="I130" s="301" t="s">
        <v>855</v>
      </c>
      <c r="J130" s="281"/>
      <c r="S130" s="285" t="s">
        <v>51</v>
      </c>
      <c r="T130" s="285"/>
      <c r="U130" s="285"/>
      <c r="V130" s="285"/>
      <c r="W130" s="285" t="s">
        <v>856</v>
      </c>
      <c r="X130" s="285"/>
      <c r="Y130" s="285"/>
      <c r="Z130" s="285"/>
      <c r="AE130" s="280" t="s">
        <v>73</v>
      </c>
      <c r="AG130" s="286">
        <v>17</v>
      </c>
      <c r="AH130" s="287">
        <f>'Additional information'!$D$18</f>
        <v>0.91</v>
      </c>
      <c r="AI130" s="288">
        <f t="shared" si="6"/>
        <v>15.47</v>
      </c>
      <c r="AJ130" s="288" t="str">
        <f t="shared" si="7"/>
        <v/>
      </c>
      <c r="AK130" s="291"/>
    </row>
    <row r="131" spans="1:37" s="280" customFormat="1" ht="30" customHeight="1" x14ac:dyDescent="0.2">
      <c r="A131" s="280" t="s">
        <v>857</v>
      </c>
      <c r="B131" s="280" t="s">
        <v>858</v>
      </c>
      <c r="C131" s="281" t="s">
        <v>859</v>
      </c>
      <c r="D131" s="299" t="s">
        <v>860</v>
      </c>
      <c r="E131" s="299" t="s">
        <v>861</v>
      </c>
      <c r="F131" s="299" t="s">
        <v>862</v>
      </c>
      <c r="G131" s="299" t="s">
        <v>863</v>
      </c>
      <c r="H131" s="299" t="s">
        <v>864</v>
      </c>
      <c r="I131" s="299" t="s">
        <v>865</v>
      </c>
      <c r="J131" s="281"/>
      <c r="K131" s="280" t="s">
        <v>866</v>
      </c>
      <c r="L131" s="280" t="s">
        <v>867</v>
      </c>
      <c r="M131" s="280" t="s">
        <v>868</v>
      </c>
      <c r="N131" s="280" t="s">
        <v>869</v>
      </c>
      <c r="O131" s="280" t="s">
        <v>870</v>
      </c>
      <c r="P131" s="280" t="s">
        <v>871</v>
      </c>
      <c r="Q131" s="280" t="s">
        <v>872</v>
      </c>
      <c r="S131" s="285" t="s">
        <v>51</v>
      </c>
      <c r="T131" s="285" t="s">
        <v>52</v>
      </c>
      <c r="U131" s="285" t="s">
        <v>873</v>
      </c>
      <c r="V131" s="285"/>
      <c r="W131" s="285" t="s">
        <v>856</v>
      </c>
      <c r="X131" s="285" t="s">
        <v>874</v>
      </c>
      <c r="Y131" s="294"/>
      <c r="Z131" s="294"/>
      <c r="AA131" s="302"/>
      <c r="AE131" s="280" t="s">
        <v>73</v>
      </c>
      <c r="AG131" s="286">
        <v>17</v>
      </c>
      <c r="AH131" s="287">
        <f>'Additional information'!$D$18</f>
        <v>0.91</v>
      </c>
      <c r="AI131" s="288">
        <f t="shared" si="6"/>
        <v>15.47</v>
      </c>
      <c r="AJ131" s="288" t="str">
        <f t="shared" si="7"/>
        <v/>
      </c>
      <c r="AK131" s="291"/>
    </row>
    <row r="132" spans="1:37" x14ac:dyDescent="0.2">
      <c r="J132" s="83"/>
      <c r="R132" s="84"/>
      <c r="W132" s="125"/>
      <c r="AG132" s="179"/>
      <c r="AH132" s="158">
        <f>'Additional information'!$D$18</f>
        <v>0.91</v>
      </c>
      <c r="AI132" s="159" t="str">
        <f t="shared" si="6"/>
        <v/>
      </c>
      <c r="AJ132" s="159" t="str">
        <f t="shared" si="7"/>
        <v/>
      </c>
    </row>
    <row r="133" spans="1:37" ht="15.75" customHeight="1" thickBot="1" x14ac:dyDescent="0.25">
      <c r="A133" s="97" t="s">
        <v>278</v>
      </c>
      <c r="B133" s="97"/>
      <c r="C133" s="98"/>
      <c r="D133" s="98"/>
      <c r="E133" s="98"/>
      <c r="F133" s="98"/>
      <c r="G133" s="98"/>
      <c r="H133" s="98"/>
      <c r="I133" s="98"/>
      <c r="J133" s="105"/>
      <c r="K133" s="213"/>
      <c r="L133" s="213"/>
      <c r="M133" s="213"/>
      <c r="N133" s="213"/>
      <c r="O133" s="213"/>
      <c r="P133" s="213"/>
      <c r="Q133" s="213"/>
      <c r="R133" s="106"/>
      <c r="S133" s="126"/>
      <c r="T133" s="126"/>
      <c r="U133" s="126"/>
      <c r="V133" s="126"/>
      <c r="W133" s="126"/>
      <c r="X133" s="126"/>
      <c r="Y133" s="126"/>
      <c r="Z133" s="126"/>
      <c r="AG133" s="179"/>
      <c r="AI133" s="159" t="str">
        <f t="shared" si="6"/>
        <v/>
      </c>
      <c r="AJ133" s="159" t="str">
        <f t="shared" si="7"/>
        <v/>
      </c>
    </row>
    <row r="134" spans="1:37" s="68" customFormat="1" ht="15.75" customHeight="1" thickTop="1" x14ac:dyDescent="0.2">
      <c r="A134" s="65" t="s">
        <v>108</v>
      </c>
      <c r="B134" s="65" t="s">
        <v>875</v>
      </c>
      <c r="C134" s="89" t="s">
        <v>876</v>
      </c>
      <c r="D134" s="211" t="s">
        <v>877</v>
      </c>
      <c r="E134" s="211" t="s">
        <v>878</v>
      </c>
      <c r="F134" s="211" t="s">
        <v>879</v>
      </c>
      <c r="G134" s="211" t="s">
        <v>880</v>
      </c>
      <c r="H134" s="211" t="s">
        <v>881</v>
      </c>
      <c r="I134" s="211" t="s">
        <v>882</v>
      </c>
      <c r="J134" s="66"/>
      <c r="K134" s="65"/>
      <c r="L134" s="65"/>
      <c r="M134" s="65"/>
      <c r="N134" s="65"/>
      <c r="O134" s="65"/>
      <c r="P134" s="65"/>
      <c r="Q134" s="65"/>
      <c r="R134" s="67"/>
      <c r="S134" s="118" t="s">
        <v>72</v>
      </c>
      <c r="T134" s="118"/>
      <c r="U134" s="118"/>
      <c r="V134" s="118"/>
      <c r="W134" s="119" t="s">
        <v>883</v>
      </c>
      <c r="X134" s="118"/>
      <c r="Y134" s="118"/>
      <c r="Z134" s="118"/>
      <c r="AE134" s="43" t="s">
        <v>53</v>
      </c>
      <c r="AG134" s="179"/>
      <c r="AH134" s="158"/>
      <c r="AI134" s="159" t="str">
        <f t="shared" si="6"/>
        <v/>
      </c>
      <c r="AJ134" s="159" t="str">
        <f t="shared" si="7"/>
        <v/>
      </c>
      <c r="AK134" s="69"/>
    </row>
    <row r="135" spans="1:37" x14ac:dyDescent="0.2">
      <c r="J135" s="83"/>
      <c r="R135" s="84"/>
      <c r="AG135" s="179"/>
      <c r="AH135" s="158">
        <f>'Additional information'!$D$18</f>
        <v>0.91</v>
      </c>
      <c r="AI135" s="159"/>
      <c r="AJ135" s="159"/>
    </row>
    <row r="136" spans="1:37" ht="30" customHeight="1" x14ac:dyDescent="0.2">
      <c r="A136" s="70" t="s">
        <v>262</v>
      </c>
      <c r="B136" s="70" t="s">
        <v>884</v>
      </c>
      <c r="C136" s="76" t="s">
        <v>885</v>
      </c>
      <c r="D136" s="42" t="s">
        <v>886</v>
      </c>
      <c r="E136" s="42" t="s">
        <v>887</v>
      </c>
      <c r="F136" s="42" t="s">
        <v>888</v>
      </c>
      <c r="G136" s="42" t="s">
        <v>889</v>
      </c>
      <c r="H136" s="42" t="s">
        <v>890</v>
      </c>
      <c r="I136" s="42" t="s">
        <v>891</v>
      </c>
      <c r="J136" s="83"/>
      <c r="R136" s="84"/>
      <c r="S136" s="115" t="s">
        <v>51</v>
      </c>
      <c r="U136" s="115"/>
      <c r="V136" s="115"/>
      <c r="W136" s="115" t="s">
        <v>892</v>
      </c>
      <c r="X136" s="75"/>
      <c r="Y136" s="115"/>
      <c r="Z136" s="115"/>
      <c r="AE136" s="43" t="s">
        <v>53</v>
      </c>
      <c r="AG136" s="179">
        <v>13.55</v>
      </c>
      <c r="AH136" s="158">
        <f>'Additional information'!$D$18</f>
        <v>0.91</v>
      </c>
      <c r="AI136" s="159">
        <f>IF(AG136&lt;&gt;"",AG136*AH136,"")</f>
        <v>12.330500000000001</v>
      </c>
      <c r="AJ136" s="159"/>
    </row>
    <row r="137" spans="1:37" ht="30" customHeight="1" x14ac:dyDescent="0.2">
      <c r="A137" s="70" t="s">
        <v>893</v>
      </c>
      <c r="B137" s="70" t="s">
        <v>894</v>
      </c>
      <c r="C137" s="42" t="s">
        <v>895</v>
      </c>
      <c r="D137" s="42" t="s">
        <v>896</v>
      </c>
      <c r="E137" s="42" t="s">
        <v>897</v>
      </c>
      <c r="F137" s="42" t="s">
        <v>670</v>
      </c>
      <c r="G137" s="42" t="s">
        <v>898</v>
      </c>
      <c r="H137" s="42" t="s">
        <v>890</v>
      </c>
      <c r="I137" s="42" t="s">
        <v>899</v>
      </c>
      <c r="J137" s="83"/>
      <c r="R137" s="84"/>
      <c r="S137" s="115" t="s">
        <v>51</v>
      </c>
      <c r="T137" s="267" t="s">
        <v>52</v>
      </c>
      <c r="U137" s="115"/>
      <c r="V137" s="115"/>
      <c r="W137" s="115" t="s">
        <v>900</v>
      </c>
      <c r="X137" s="115" t="s">
        <v>874</v>
      </c>
      <c r="Y137" s="115"/>
      <c r="Z137" s="115"/>
      <c r="AE137" s="43" t="s">
        <v>53</v>
      </c>
      <c r="AG137" s="179">
        <v>13.55</v>
      </c>
      <c r="AH137" s="158">
        <f>'Additional information'!$D$18</f>
        <v>0.91</v>
      </c>
      <c r="AI137" s="159">
        <f>IF(AG137&lt;&gt;"",AG137*AH137,"")</f>
        <v>12.330500000000001</v>
      </c>
      <c r="AJ137" s="159"/>
    </row>
    <row r="138" spans="1:37" x14ac:dyDescent="0.2">
      <c r="A138" s="70" t="s">
        <v>36</v>
      </c>
      <c r="B138" s="70" t="s">
        <v>901</v>
      </c>
      <c r="C138" s="42"/>
      <c r="D138" s="42"/>
      <c r="E138" s="42"/>
      <c r="F138" s="42"/>
      <c r="G138" s="42"/>
      <c r="H138" s="42"/>
      <c r="I138" s="42"/>
      <c r="J138" s="83"/>
      <c r="R138" s="84"/>
      <c r="S138" s="115"/>
      <c r="T138" s="115"/>
      <c r="U138" s="115"/>
      <c r="V138" s="115"/>
      <c r="W138" s="115"/>
      <c r="X138" s="115"/>
      <c r="Y138" s="115"/>
      <c r="Z138" s="115" t="s">
        <v>902</v>
      </c>
      <c r="AE138" s="43" t="s">
        <v>53</v>
      </c>
      <c r="AG138" s="179"/>
      <c r="AH138" s="158">
        <f>'Additional information'!$D$18</f>
        <v>0.91</v>
      </c>
      <c r="AI138" s="159"/>
      <c r="AJ138" s="159"/>
    </row>
    <row r="139" spans="1:37" x14ac:dyDescent="0.2">
      <c r="A139" s="70" t="s">
        <v>36</v>
      </c>
      <c r="B139" s="70" t="s">
        <v>903</v>
      </c>
      <c r="C139" s="42"/>
      <c r="D139" s="42"/>
      <c r="E139" s="42"/>
      <c r="F139" s="42"/>
      <c r="G139" s="42"/>
      <c r="H139" s="42"/>
      <c r="I139" s="42"/>
      <c r="J139" s="83"/>
      <c r="R139" s="84"/>
      <c r="S139" s="115"/>
      <c r="T139" s="115"/>
      <c r="U139" s="115"/>
      <c r="V139" s="115"/>
      <c r="W139" s="115"/>
      <c r="X139" s="115"/>
      <c r="Y139" s="115"/>
      <c r="Z139" s="115" t="s">
        <v>904</v>
      </c>
      <c r="AE139" s="43" t="s">
        <v>53</v>
      </c>
      <c r="AG139" s="179"/>
      <c r="AH139" s="158">
        <f>'Additional information'!$D$18</f>
        <v>0.91</v>
      </c>
      <c r="AI139" s="159"/>
      <c r="AJ139" s="159"/>
    </row>
    <row r="140" spans="1:37" x14ac:dyDescent="0.2">
      <c r="J140" s="83"/>
      <c r="R140" s="84"/>
      <c r="AG140" s="179"/>
      <c r="AH140" s="158">
        <f>'Additional information'!$D$18</f>
        <v>0.91</v>
      </c>
      <c r="AI140" s="159"/>
      <c r="AJ140" s="159"/>
    </row>
    <row r="141" spans="1:37" ht="45" customHeight="1" x14ac:dyDescent="0.2">
      <c r="A141" s="70" t="s">
        <v>262</v>
      </c>
      <c r="B141" s="70" t="s">
        <v>905</v>
      </c>
      <c r="C141" s="42" t="s">
        <v>906</v>
      </c>
      <c r="D141" s="214" t="s">
        <v>907</v>
      </c>
      <c r="E141" s="214" t="s">
        <v>908</v>
      </c>
      <c r="F141" s="214" t="s">
        <v>909</v>
      </c>
      <c r="G141" s="214" t="s">
        <v>910</v>
      </c>
      <c r="H141" s="214" t="s">
        <v>911</v>
      </c>
      <c r="I141" s="214" t="s">
        <v>912</v>
      </c>
      <c r="J141" s="83"/>
      <c r="K141" s="95"/>
      <c r="L141" s="95"/>
      <c r="M141" s="95"/>
      <c r="N141" s="95"/>
      <c r="O141" s="95"/>
      <c r="P141" s="95"/>
      <c r="Q141" s="95"/>
      <c r="R141" s="101"/>
      <c r="S141" s="113" t="s">
        <v>51</v>
      </c>
      <c r="T141" s="113"/>
      <c r="U141" s="113"/>
      <c r="V141" s="113"/>
      <c r="W141" s="115" t="s">
        <v>913</v>
      </c>
      <c r="X141" s="113"/>
      <c r="Y141" s="113"/>
      <c r="Z141" s="113"/>
      <c r="AE141" s="43" t="s">
        <v>53</v>
      </c>
      <c r="AG141" s="179">
        <v>12.68148708343506</v>
      </c>
      <c r="AH141" s="158">
        <f>'Additional information'!$D$18</f>
        <v>0.91</v>
      </c>
      <c r="AI141" s="159">
        <f t="shared" ref="AI141:AI172" si="8">IF(AG141&lt;&gt;"",AG141*AH141,"")</f>
        <v>11.540153245925906</v>
      </c>
      <c r="AJ141" s="159">
        <f t="shared" ref="AJ141:AJ172" si="9">IF(AND(AG141&lt;&gt;"",AE141="yes"),AG141*AH141,"")</f>
        <v>11.540153245925906</v>
      </c>
    </row>
    <row r="142" spans="1:37" ht="30" customHeight="1" x14ac:dyDescent="0.2">
      <c r="A142" s="70" t="s">
        <v>914</v>
      </c>
      <c r="B142" s="70" t="s">
        <v>915</v>
      </c>
      <c r="C142" s="76" t="s">
        <v>916</v>
      </c>
      <c r="D142" s="214" t="s">
        <v>917</v>
      </c>
      <c r="E142" s="214" t="s">
        <v>918</v>
      </c>
      <c r="F142" s="214" t="s">
        <v>919</v>
      </c>
      <c r="G142" s="214" t="s">
        <v>920</v>
      </c>
      <c r="H142" s="214" t="s">
        <v>921</v>
      </c>
      <c r="I142" s="214" t="s">
        <v>922</v>
      </c>
      <c r="J142" s="94"/>
      <c r="K142" s="43" t="s">
        <v>839</v>
      </c>
      <c r="L142" s="43" t="s">
        <v>923</v>
      </c>
      <c r="M142" s="43" t="s">
        <v>924</v>
      </c>
      <c r="N142" s="43" t="s">
        <v>925</v>
      </c>
      <c r="O142" s="43" t="s">
        <v>926</v>
      </c>
      <c r="P142" s="43" t="s">
        <v>844</v>
      </c>
      <c r="Q142" s="43" t="s">
        <v>927</v>
      </c>
      <c r="R142" s="84"/>
      <c r="S142" s="113" t="s">
        <v>51</v>
      </c>
      <c r="T142" s="113"/>
      <c r="U142" s="115" t="s">
        <v>928</v>
      </c>
      <c r="V142" s="113"/>
      <c r="W142" s="115" t="s">
        <v>929</v>
      </c>
      <c r="X142" s="113"/>
      <c r="Y142" s="113"/>
      <c r="Z142" s="113"/>
      <c r="AE142" s="43" t="s">
        <v>53</v>
      </c>
      <c r="AG142" s="179">
        <v>22.61360931396484</v>
      </c>
      <c r="AH142" s="158">
        <f>'Additional information'!$D$18</f>
        <v>0.91</v>
      </c>
      <c r="AI142" s="159">
        <f t="shared" si="8"/>
        <v>20.578384475708006</v>
      </c>
      <c r="AJ142" s="159">
        <f t="shared" si="9"/>
        <v>20.578384475708006</v>
      </c>
    </row>
    <row r="143" spans="1:37" x14ac:dyDescent="0.2">
      <c r="D143" s="215"/>
      <c r="E143" s="215"/>
      <c r="F143" s="215"/>
      <c r="G143" s="215"/>
      <c r="H143" s="215"/>
      <c r="I143" s="215"/>
      <c r="J143" s="83"/>
      <c r="R143" s="84"/>
      <c r="W143" s="125"/>
      <c r="AG143" s="179"/>
      <c r="AH143" s="158">
        <f>'Additional information'!$D$18</f>
        <v>0.91</v>
      </c>
      <c r="AI143" s="159" t="str">
        <f t="shared" si="8"/>
        <v/>
      </c>
      <c r="AJ143" s="159" t="str">
        <f t="shared" si="9"/>
        <v/>
      </c>
    </row>
    <row r="144" spans="1:37" ht="45" customHeight="1" x14ac:dyDescent="0.2">
      <c r="A144" s="70" t="s">
        <v>514</v>
      </c>
      <c r="B144" s="70" t="s">
        <v>930</v>
      </c>
      <c r="C144" s="76" t="s">
        <v>931</v>
      </c>
      <c r="D144" s="214" t="s">
        <v>932</v>
      </c>
      <c r="E144" s="214" t="s">
        <v>933</v>
      </c>
      <c r="F144" s="214" t="s">
        <v>934</v>
      </c>
      <c r="G144" s="214" t="s">
        <v>935</v>
      </c>
      <c r="H144" s="214" t="s">
        <v>936</v>
      </c>
      <c r="I144" s="214" t="s">
        <v>937</v>
      </c>
      <c r="J144" s="94"/>
      <c r="K144" s="102" t="s">
        <v>938</v>
      </c>
      <c r="L144" s="102" t="s">
        <v>939</v>
      </c>
      <c r="M144" s="102" t="s">
        <v>940</v>
      </c>
      <c r="N144" s="102" t="s">
        <v>941</v>
      </c>
      <c r="O144" s="102" t="s">
        <v>942</v>
      </c>
      <c r="P144" s="102" t="s">
        <v>943</v>
      </c>
      <c r="Q144" s="102" t="s">
        <v>944</v>
      </c>
      <c r="R144" s="101"/>
      <c r="S144" s="113" t="s">
        <v>51</v>
      </c>
      <c r="T144" s="113"/>
      <c r="U144" s="113"/>
      <c r="V144" s="113"/>
      <c r="W144" s="115" t="s">
        <v>913</v>
      </c>
      <c r="X144" s="113"/>
      <c r="Y144" s="113"/>
      <c r="Z144" s="113"/>
      <c r="AE144" s="43" t="s">
        <v>53</v>
      </c>
      <c r="AG144" s="179">
        <v>21.701908111572269</v>
      </c>
      <c r="AH144" s="158">
        <f>'Additional information'!$D$18</f>
        <v>0.91</v>
      </c>
      <c r="AI144" s="159">
        <f t="shared" si="8"/>
        <v>19.748736381530765</v>
      </c>
      <c r="AJ144" s="159">
        <f t="shared" si="9"/>
        <v>19.748736381530765</v>
      </c>
    </row>
    <row r="145" spans="1:37" x14ac:dyDescent="0.2">
      <c r="C145" s="45"/>
      <c r="D145" s="45"/>
      <c r="E145" s="45"/>
      <c r="F145" s="45"/>
      <c r="G145" s="45"/>
      <c r="H145" s="45"/>
      <c r="I145" s="45"/>
      <c r="J145" s="94"/>
      <c r="K145" s="95"/>
      <c r="L145" s="95"/>
      <c r="M145" s="95"/>
      <c r="N145" s="95"/>
      <c r="O145" s="95"/>
      <c r="P145" s="95"/>
      <c r="Q145" s="95"/>
      <c r="R145" s="101"/>
      <c r="W145" s="125"/>
      <c r="AG145" s="179"/>
      <c r="AH145" s="158">
        <f>'Additional information'!$D$18</f>
        <v>0.91</v>
      </c>
      <c r="AI145" s="159" t="str">
        <f t="shared" si="8"/>
        <v/>
      </c>
      <c r="AJ145" s="159" t="str">
        <f t="shared" si="9"/>
        <v/>
      </c>
    </row>
    <row r="146" spans="1:37" ht="15.75" customHeight="1" thickBot="1" x14ac:dyDescent="0.25">
      <c r="A146" s="97" t="s">
        <v>278</v>
      </c>
      <c r="B146" s="97"/>
      <c r="C146" s="98"/>
      <c r="D146" s="98"/>
      <c r="E146" s="98"/>
      <c r="F146" s="98"/>
      <c r="G146" s="98"/>
      <c r="H146" s="98"/>
      <c r="I146" s="98"/>
      <c r="J146" s="105"/>
      <c r="K146" s="97"/>
      <c r="L146" s="97"/>
      <c r="M146" s="97"/>
      <c r="N146" s="97"/>
      <c r="O146" s="97"/>
      <c r="P146" s="97"/>
      <c r="Q146" s="97"/>
      <c r="R146" s="106"/>
      <c r="S146" s="126"/>
      <c r="T146" s="126"/>
      <c r="U146" s="126"/>
      <c r="V146" s="126"/>
      <c r="W146" s="126"/>
      <c r="X146" s="126"/>
      <c r="Y146" s="126"/>
      <c r="Z146" s="126"/>
      <c r="AG146" s="179"/>
      <c r="AI146" s="159" t="str">
        <f t="shared" si="8"/>
        <v/>
      </c>
      <c r="AJ146" s="159" t="str">
        <f t="shared" si="9"/>
        <v/>
      </c>
    </row>
    <row r="147" spans="1:37" s="68" customFormat="1" ht="15.75" customHeight="1" thickTop="1" x14ac:dyDescent="0.2">
      <c r="A147" s="65" t="s">
        <v>108</v>
      </c>
      <c r="B147" s="65" t="s">
        <v>945</v>
      </c>
      <c r="C147" s="89" t="s">
        <v>946</v>
      </c>
      <c r="D147" s="211" t="s">
        <v>947</v>
      </c>
      <c r="E147" s="211" t="s">
        <v>948</v>
      </c>
      <c r="F147" s="211" t="s">
        <v>949</v>
      </c>
      <c r="G147" s="211" t="s">
        <v>950</v>
      </c>
      <c r="H147" s="211" t="s">
        <v>951</v>
      </c>
      <c r="I147" s="211" t="s">
        <v>952</v>
      </c>
      <c r="J147" s="66"/>
      <c r="K147" s="65"/>
      <c r="L147" s="65"/>
      <c r="M147" s="65"/>
      <c r="N147" s="65"/>
      <c r="O147" s="65"/>
      <c r="P147" s="65"/>
      <c r="Q147" s="65"/>
      <c r="R147" s="67"/>
      <c r="S147" s="118" t="s">
        <v>72</v>
      </c>
      <c r="T147" s="118"/>
      <c r="U147" s="118"/>
      <c r="V147" s="118"/>
      <c r="W147" s="119" t="s">
        <v>953</v>
      </c>
      <c r="X147" s="118"/>
      <c r="Y147" s="118"/>
      <c r="Z147" s="118"/>
      <c r="AE147" s="43" t="s">
        <v>53</v>
      </c>
      <c r="AG147" s="179"/>
      <c r="AH147" s="69"/>
      <c r="AI147" s="159" t="str">
        <f t="shared" si="8"/>
        <v/>
      </c>
      <c r="AJ147" s="159" t="str">
        <f t="shared" si="9"/>
        <v/>
      </c>
      <c r="AK147" s="69"/>
    </row>
    <row r="148" spans="1:37" ht="60" customHeight="1" x14ac:dyDescent="0.2">
      <c r="A148" s="70" t="s">
        <v>56</v>
      </c>
      <c r="B148" s="70" t="s">
        <v>954</v>
      </c>
      <c r="C148" s="42" t="s">
        <v>955</v>
      </c>
      <c r="D148" s="41" t="s">
        <v>956</v>
      </c>
      <c r="E148" s="41" t="s">
        <v>957</v>
      </c>
      <c r="F148" s="41" t="s">
        <v>958</v>
      </c>
      <c r="G148" s="41" t="s">
        <v>630</v>
      </c>
      <c r="H148" s="41" t="s">
        <v>959</v>
      </c>
      <c r="I148" s="41" t="s">
        <v>960</v>
      </c>
      <c r="J148" s="83"/>
      <c r="K148" s="70"/>
      <c r="L148" s="70"/>
      <c r="M148" s="70"/>
      <c r="N148" s="70"/>
      <c r="O148" s="70"/>
      <c r="P148" s="70"/>
      <c r="Q148" s="70"/>
      <c r="R148" s="84"/>
      <c r="S148" s="113"/>
      <c r="T148" s="113"/>
      <c r="U148" s="113"/>
      <c r="V148" s="113"/>
      <c r="W148" s="113"/>
      <c r="X148" s="113"/>
      <c r="Y148" s="113"/>
      <c r="Z148" s="113"/>
      <c r="AE148" s="43" t="s">
        <v>53</v>
      </c>
      <c r="AG148" s="179">
        <v>7.5</v>
      </c>
      <c r="AH148" s="103">
        <f>'Additional information'!$D$19</f>
        <v>0.91</v>
      </c>
      <c r="AI148" s="159">
        <f t="shared" si="8"/>
        <v>6.8250000000000002</v>
      </c>
      <c r="AJ148" s="159">
        <f t="shared" si="9"/>
        <v>6.8250000000000002</v>
      </c>
    </row>
    <row r="149" spans="1:37" s="68" customFormat="1" x14ac:dyDescent="0.2">
      <c r="C149" s="90"/>
      <c r="D149" s="215"/>
      <c r="E149" s="215"/>
      <c r="F149" s="215"/>
      <c r="G149" s="215"/>
      <c r="H149" s="215"/>
      <c r="I149" s="215"/>
      <c r="J149" s="66"/>
      <c r="R149" s="67"/>
      <c r="S149" s="119"/>
      <c r="T149" s="119"/>
      <c r="U149" s="119"/>
      <c r="V149" s="119"/>
      <c r="W149" s="119"/>
      <c r="X149" s="119"/>
      <c r="Y149" s="119"/>
      <c r="Z149" s="119"/>
      <c r="AE149" s="43"/>
      <c r="AG149" s="179"/>
      <c r="AH149" s="103">
        <f>'Additional information'!$D$19</f>
        <v>0.91</v>
      </c>
      <c r="AI149" s="159" t="str">
        <f t="shared" si="8"/>
        <v/>
      </c>
      <c r="AJ149" s="159" t="str">
        <f t="shared" si="9"/>
        <v/>
      </c>
      <c r="AK149" s="69"/>
    </row>
    <row r="150" spans="1:37" ht="30" customHeight="1" x14ac:dyDescent="0.2">
      <c r="A150" s="70" t="s">
        <v>961</v>
      </c>
      <c r="B150" s="70" t="s">
        <v>962</v>
      </c>
      <c r="C150" s="42" t="s">
        <v>963</v>
      </c>
      <c r="D150" s="214" t="s">
        <v>964</v>
      </c>
      <c r="E150" s="214" t="s">
        <v>965</v>
      </c>
      <c r="F150" s="214" t="s">
        <v>966</v>
      </c>
      <c r="G150" s="214" t="s">
        <v>967</v>
      </c>
      <c r="H150" s="214" t="s">
        <v>968</v>
      </c>
      <c r="I150" s="214" t="s">
        <v>969</v>
      </c>
      <c r="J150" s="83"/>
      <c r="K150" s="43" t="s">
        <v>970</v>
      </c>
      <c r="L150" s="43" t="s">
        <v>971</v>
      </c>
      <c r="M150" s="43" t="s">
        <v>972</v>
      </c>
      <c r="N150" s="43" t="s">
        <v>973</v>
      </c>
      <c r="O150" s="43" t="s">
        <v>645</v>
      </c>
      <c r="P150" s="43" t="s">
        <v>974</v>
      </c>
      <c r="Q150" s="43" t="s">
        <v>975</v>
      </c>
      <c r="R150" s="84"/>
      <c r="S150" s="113" t="s">
        <v>51</v>
      </c>
      <c r="T150" s="113" t="s">
        <v>431</v>
      </c>
      <c r="U150" s="113"/>
      <c r="V150" s="113"/>
      <c r="W150" s="113"/>
      <c r="X150" s="113"/>
      <c r="Y150" s="113"/>
      <c r="Z150" s="113"/>
      <c r="AE150" s="43" t="s">
        <v>53</v>
      </c>
      <c r="AG150" s="179">
        <v>20.2944221496582</v>
      </c>
      <c r="AH150" s="103">
        <f>'Additional information'!$D$19</f>
        <v>0.91</v>
      </c>
      <c r="AI150" s="159">
        <f t="shared" si="8"/>
        <v>18.467924156188964</v>
      </c>
      <c r="AJ150" s="159">
        <f t="shared" si="9"/>
        <v>18.467924156188964</v>
      </c>
    </row>
    <row r="151" spans="1:37" x14ac:dyDescent="0.2">
      <c r="A151" s="70" t="s">
        <v>36</v>
      </c>
      <c r="B151" s="70" t="s">
        <v>976</v>
      </c>
      <c r="C151" s="42"/>
      <c r="D151" s="216"/>
      <c r="E151" s="216"/>
      <c r="F151" s="216"/>
      <c r="G151" s="216"/>
      <c r="H151" s="216"/>
      <c r="I151" s="216"/>
      <c r="J151" s="83"/>
      <c r="R151" s="84"/>
      <c r="S151" s="113"/>
      <c r="T151" s="113"/>
      <c r="U151" s="113"/>
      <c r="V151" s="113"/>
      <c r="W151" s="113"/>
      <c r="X151" s="113"/>
      <c r="Y151" s="113"/>
      <c r="Z151" s="113" t="s">
        <v>977</v>
      </c>
      <c r="AE151" s="43" t="s">
        <v>53</v>
      </c>
      <c r="AG151" s="179"/>
      <c r="AH151" s="103">
        <f>'Additional information'!$D$19</f>
        <v>0.91</v>
      </c>
      <c r="AI151" s="159" t="str">
        <f t="shared" si="8"/>
        <v/>
      </c>
      <c r="AJ151" s="159" t="str">
        <f t="shared" si="9"/>
        <v/>
      </c>
    </row>
    <row r="152" spans="1:37" x14ac:dyDescent="0.2">
      <c r="D152" s="43"/>
      <c r="E152" s="43"/>
      <c r="F152" s="43"/>
      <c r="G152" s="43"/>
      <c r="H152" s="43"/>
      <c r="I152" s="43"/>
      <c r="J152" s="83"/>
      <c r="R152" s="84"/>
      <c r="W152" s="125"/>
      <c r="AG152" s="179"/>
      <c r="AH152" s="103">
        <f>'Additional information'!$D$19</f>
        <v>0.91</v>
      </c>
      <c r="AI152" s="159" t="str">
        <f t="shared" si="8"/>
        <v/>
      </c>
      <c r="AJ152" s="159" t="str">
        <f t="shared" si="9"/>
        <v/>
      </c>
    </row>
    <row r="153" spans="1:37" ht="16" customHeight="1" x14ac:dyDescent="0.2">
      <c r="A153" s="70" t="s">
        <v>144</v>
      </c>
      <c r="B153" s="70" t="s">
        <v>978</v>
      </c>
      <c r="C153" s="42" t="s">
        <v>979</v>
      </c>
      <c r="D153" s="214" t="s">
        <v>980</v>
      </c>
      <c r="E153" s="214" t="s">
        <v>981</v>
      </c>
      <c r="F153" s="214" t="s">
        <v>982</v>
      </c>
      <c r="G153" s="214" t="s">
        <v>983</v>
      </c>
      <c r="H153" s="214" t="s">
        <v>984</v>
      </c>
      <c r="I153" s="214" t="s">
        <v>985</v>
      </c>
      <c r="J153" s="83"/>
      <c r="K153" s="70" t="s">
        <v>986</v>
      </c>
      <c r="L153" s="70" t="s">
        <v>987</v>
      </c>
      <c r="M153" s="70" t="s">
        <v>988</v>
      </c>
      <c r="N153" s="70" t="s">
        <v>989</v>
      </c>
      <c r="O153" s="70" t="s">
        <v>990</v>
      </c>
      <c r="P153" s="70" t="s">
        <v>991</v>
      </c>
      <c r="Q153" s="70" t="s">
        <v>992</v>
      </c>
      <c r="R153" s="84"/>
      <c r="S153" s="113" t="s">
        <v>51</v>
      </c>
      <c r="T153" s="113"/>
      <c r="U153" s="113" t="s">
        <v>993</v>
      </c>
      <c r="V153" s="113"/>
      <c r="W153" s="113" t="s">
        <v>994</v>
      </c>
      <c r="X153" s="113"/>
      <c r="Y153" s="113"/>
      <c r="Z153" s="113"/>
      <c r="AE153" s="43" t="s">
        <v>53</v>
      </c>
      <c r="AG153" s="179">
        <v>18.539077758789059</v>
      </c>
      <c r="AH153" s="103">
        <f>'Additional information'!$D$19</f>
        <v>0.91</v>
      </c>
      <c r="AI153" s="159">
        <f t="shared" si="8"/>
        <v>16.870560760498044</v>
      </c>
      <c r="AJ153" s="159">
        <f t="shared" si="9"/>
        <v>16.870560760498044</v>
      </c>
    </row>
    <row r="154" spans="1:37" ht="16" customHeight="1" x14ac:dyDescent="0.2">
      <c r="A154" s="70" t="s">
        <v>144</v>
      </c>
      <c r="B154" s="70" t="s">
        <v>995</v>
      </c>
      <c r="C154" s="42" t="s">
        <v>996</v>
      </c>
      <c r="D154" s="214" t="s">
        <v>997</v>
      </c>
      <c r="E154" s="214" t="s">
        <v>998</v>
      </c>
      <c r="F154" s="214" t="s">
        <v>982</v>
      </c>
      <c r="G154" s="214" t="s">
        <v>999</v>
      </c>
      <c r="H154" s="214" t="s">
        <v>984</v>
      </c>
      <c r="I154" s="214" t="s">
        <v>1000</v>
      </c>
      <c r="J154" s="83"/>
      <c r="K154" s="70" t="s">
        <v>986</v>
      </c>
      <c r="L154" s="70" t="s">
        <v>987</v>
      </c>
      <c r="M154" s="70" t="s">
        <v>1001</v>
      </c>
      <c r="N154" s="70" t="s">
        <v>1002</v>
      </c>
      <c r="O154" s="70" t="s">
        <v>990</v>
      </c>
      <c r="P154" s="70" t="s">
        <v>1003</v>
      </c>
      <c r="Q154" s="70" t="s">
        <v>1004</v>
      </c>
      <c r="R154" s="84"/>
      <c r="S154" s="113" t="s">
        <v>51</v>
      </c>
      <c r="T154" s="113"/>
      <c r="U154" s="113" t="s">
        <v>993</v>
      </c>
      <c r="V154" s="113"/>
      <c r="W154" s="113" t="s">
        <v>994</v>
      </c>
      <c r="X154" s="113"/>
      <c r="Y154" s="113"/>
      <c r="Z154" s="113"/>
      <c r="AE154" s="43" t="s">
        <v>53</v>
      </c>
      <c r="AG154" s="179">
        <v>8.9158916473388672</v>
      </c>
      <c r="AH154" s="103">
        <f>'Additional information'!$D$19</f>
        <v>0.91</v>
      </c>
      <c r="AI154" s="159">
        <f t="shared" si="8"/>
        <v>8.1134613990783695</v>
      </c>
      <c r="AJ154" s="159">
        <f t="shared" si="9"/>
        <v>8.1134613990783695</v>
      </c>
    </row>
    <row r="155" spans="1:37" ht="16" customHeight="1" x14ac:dyDescent="0.2">
      <c r="A155" s="70" t="s">
        <v>36</v>
      </c>
      <c r="B155" s="70" t="s">
        <v>1005</v>
      </c>
      <c r="C155" s="42" t="s">
        <v>1006</v>
      </c>
      <c r="D155" s="70" t="s">
        <v>1007</v>
      </c>
      <c r="E155" s="70"/>
      <c r="F155" s="70"/>
      <c r="G155" s="70"/>
      <c r="H155" s="70"/>
      <c r="I155" s="70"/>
      <c r="J155" s="83"/>
      <c r="K155" s="70"/>
      <c r="L155" s="70"/>
      <c r="M155" s="70"/>
      <c r="N155" s="70"/>
      <c r="O155" s="70"/>
      <c r="P155" s="70"/>
      <c r="Q155" s="70"/>
      <c r="R155" s="84"/>
      <c r="S155" s="113" t="s">
        <v>51</v>
      </c>
      <c r="T155" s="113"/>
      <c r="U155" s="113"/>
      <c r="V155" s="113"/>
      <c r="W155" s="113" t="s">
        <v>1008</v>
      </c>
      <c r="X155" s="113"/>
      <c r="Y155" s="113"/>
      <c r="Z155" s="113" t="s">
        <v>1009</v>
      </c>
      <c r="AE155" s="43" t="s">
        <v>53</v>
      </c>
      <c r="AG155" s="179"/>
      <c r="AH155" s="103">
        <f>'Additional information'!$D$19</f>
        <v>0.91</v>
      </c>
      <c r="AI155" s="159" t="str">
        <f t="shared" si="8"/>
        <v/>
      </c>
      <c r="AJ155" s="159" t="str">
        <f t="shared" si="9"/>
        <v/>
      </c>
    </row>
    <row r="156" spans="1:37" x14ac:dyDescent="0.2">
      <c r="D156" s="43"/>
      <c r="E156" s="43"/>
      <c r="F156" s="43"/>
      <c r="G156" s="43"/>
      <c r="H156" s="43"/>
      <c r="I156" s="43"/>
      <c r="J156" s="83"/>
      <c r="R156" s="84"/>
      <c r="AG156" s="179"/>
      <c r="AH156" s="103">
        <f>'Additional information'!$D$19</f>
        <v>0.91</v>
      </c>
      <c r="AI156" s="159" t="str">
        <f t="shared" si="8"/>
        <v/>
      </c>
      <c r="AJ156" s="159" t="str">
        <f t="shared" si="9"/>
        <v/>
      </c>
    </row>
    <row r="157" spans="1:37" ht="16" customHeight="1" x14ac:dyDescent="0.2">
      <c r="A157" s="70" t="s">
        <v>1010</v>
      </c>
      <c r="B157" s="70" t="s">
        <v>1011</v>
      </c>
      <c r="C157" s="42" t="s">
        <v>1012</v>
      </c>
      <c r="D157" s="214" t="s">
        <v>1013</v>
      </c>
      <c r="E157" s="214" t="s">
        <v>1014</v>
      </c>
      <c r="F157" s="214" t="s">
        <v>1015</v>
      </c>
      <c r="G157" s="214" t="s">
        <v>1016</v>
      </c>
      <c r="H157" s="214" t="s">
        <v>1017</v>
      </c>
      <c r="I157" s="214" t="s">
        <v>1018</v>
      </c>
      <c r="J157" s="83"/>
      <c r="K157" s="43" t="s">
        <v>745</v>
      </c>
      <c r="L157" s="43" t="s">
        <v>1019</v>
      </c>
      <c r="M157" s="43" t="s">
        <v>1020</v>
      </c>
      <c r="N157" s="43" t="s">
        <v>1021</v>
      </c>
      <c r="O157" s="43" t="s">
        <v>749</v>
      </c>
      <c r="P157" s="43" t="s">
        <v>1022</v>
      </c>
      <c r="Q157" s="43" t="s">
        <v>751</v>
      </c>
      <c r="R157" s="84"/>
      <c r="S157" s="113" t="s">
        <v>51</v>
      </c>
      <c r="T157" s="113"/>
      <c r="U157" s="113" t="s">
        <v>1023</v>
      </c>
      <c r="V157" s="113"/>
      <c r="W157" s="113" t="s">
        <v>994</v>
      </c>
      <c r="X157" s="113"/>
      <c r="Y157" s="113"/>
      <c r="Z157" s="113"/>
      <c r="AE157" s="43" t="s">
        <v>53</v>
      </c>
      <c r="AG157" s="179">
        <v>25.81001091003418</v>
      </c>
      <c r="AH157" s="103">
        <f>'Additional information'!$D$19</f>
        <v>0.91</v>
      </c>
      <c r="AI157" s="159">
        <f t="shared" si="8"/>
        <v>23.487109928131105</v>
      </c>
      <c r="AJ157" s="159">
        <f t="shared" si="9"/>
        <v>23.487109928131105</v>
      </c>
    </row>
    <row r="158" spans="1:37" x14ac:dyDescent="0.2">
      <c r="D158" s="43"/>
      <c r="E158" s="43"/>
      <c r="F158" s="43"/>
      <c r="G158" s="43"/>
      <c r="H158" s="43"/>
      <c r="I158" s="43"/>
      <c r="J158" s="83"/>
      <c r="R158" s="84"/>
      <c r="W158" s="125"/>
      <c r="AG158" s="179"/>
      <c r="AH158" s="103">
        <f>'Additional information'!$D$19</f>
        <v>0.91</v>
      </c>
      <c r="AI158" s="159" t="str">
        <f t="shared" si="8"/>
        <v/>
      </c>
      <c r="AJ158" s="159" t="str">
        <f t="shared" si="9"/>
        <v/>
      </c>
    </row>
    <row r="159" spans="1:37" s="280" customFormat="1" ht="30" customHeight="1" x14ac:dyDescent="0.2">
      <c r="A159" s="280" t="s">
        <v>1024</v>
      </c>
      <c r="B159" s="280" t="s">
        <v>1025</v>
      </c>
      <c r="C159" s="281" t="s">
        <v>1026</v>
      </c>
      <c r="D159" s="303" t="s">
        <v>1027</v>
      </c>
      <c r="E159" s="303" t="s">
        <v>1028</v>
      </c>
      <c r="F159" s="303" t="s">
        <v>1029</v>
      </c>
      <c r="G159" s="303" t="s">
        <v>1030</v>
      </c>
      <c r="H159" s="303" t="s">
        <v>1031</v>
      </c>
      <c r="I159" s="303" t="s">
        <v>1032</v>
      </c>
      <c r="J159" s="281"/>
      <c r="K159" s="280" t="s">
        <v>745</v>
      </c>
      <c r="L159" s="280" t="s">
        <v>1019</v>
      </c>
      <c r="M159" s="280" t="s">
        <v>1020</v>
      </c>
      <c r="N159" s="280" t="s">
        <v>1021</v>
      </c>
      <c r="O159" s="280" t="s">
        <v>749</v>
      </c>
      <c r="P159" s="280" t="s">
        <v>1022</v>
      </c>
      <c r="Q159" s="280" t="s">
        <v>751</v>
      </c>
      <c r="S159" s="285" t="s">
        <v>51</v>
      </c>
      <c r="T159" s="285"/>
      <c r="U159" s="285" t="s">
        <v>928</v>
      </c>
      <c r="V159" s="285"/>
      <c r="W159" s="285" t="s">
        <v>994</v>
      </c>
      <c r="X159" s="285"/>
      <c r="Y159" s="285"/>
      <c r="Z159" s="285"/>
      <c r="AE159" s="280" t="s">
        <v>73</v>
      </c>
      <c r="AG159" s="286">
        <v>19.55319786071777</v>
      </c>
      <c r="AH159" s="304">
        <f>'Additional information'!$D$19</f>
        <v>0.91</v>
      </c>
      <c r="AI159" s="288">
        <f t="shared" si="8"/>
        <v>17.793410053253172</v>
      </c>
      <c r="AJ159" s="288" t="str">
        <f t="shared" si="9"/>
        <v/>
      </c>
      <c r="AK159" s="291"/>
    </row>
    <row r="160" spans="1:37" s="72" customFormat="1" x14ac:dyDescent="0.2">
      <c r="C160" s="73"/>
      <c r="J160" s="74"/>
      <c r="R160" s="78"/>
      <c r="S160" s="114"/>
      <c r="T160" s="114"/>
      <c r="U160" s="114"/>
      <c r="V160" s="114"/>
      <c r="W160" s="114"/>
      <c r="X160" s="114"/>
      <c r="Y160" s="114"/>
      <c r="Z160" s="114"/>
      <c r="AG160" s="179"/>
      <c r="AH160" s="103">
        <f>'Additional information'!$D$19</f>
        <v>0.91</v>
      </c>
      <c r="AI160" s="159" t="str">
        <f t="shared" si="8"/>
        <v/>
      </c>
      <c r="AJ160" s="159" t="str">
        <f t="shared" si="9"/>
        <v/>
      </c>
      <c r="AK160" s="71"/>
    </row>
    <row r="161" spans="1:37" ht="30" customHeight="1" x14ac:dyDescent="0.2">
      <c r="A161" s="70" t="s">
        <v>262</v>
      </c>
      <c r="B161" s="70" t="s">
        <v>1033</v>
      </c>
      <c r="C161" s="42" t="s">
        <v>1034</v>
      </c>
      <c r="D161" s="214" t="s">
        <v>1035</v>
      </c>
      <c r="E161" s="214" t="s">
        <v>1036</v>
      </c>
      <c r="F161" s="214" t="s">
        <v>1037</v>
      </c>
      <c r="G161" s="214" t="s">
        <v>1038</v>
      </c>
      <c r="H161" s="214" t="s">
        <v>1039</v>
      </c>
      <c r="I161" s="214" t="s">
        <v>1040</v>
      </c>
      <c r="J161" s="83"/>
      <c r="R161" s="84"/>
      <c r="S161" s="113" t="s">
        <v>51</v>
      </c>
      <c r="T161" s="113"/>
      <c r="U161" s="113"/>
      <c r="V161" s="113"/>
      <c r="W161" s="115" t="s">
        <v>994</v>
      </c>
      <c r="X161" s="113"/>
      <c r="Y161" s="113"/>
      <c r="Z161" s="113"/>
      <c r="AE161" s="43" t="s">
        <v>53</v>
      </c>
      <c r="AG161" s="179">
        <v>13.613316535949711</v>
      </c>
      <c r="AH161" s="103">
        <f>'Additional information'!$D$19</f>
        <v>0.91</v>
      </c>
      <c r="AI161" s="159">
        <f t="shared" si="8"/>
        <v>12.388118047714237</v>
      </c>
      <c r="AJ161" s="159">
        <f t="shared" si="9"/>
        <v>12.388118047714237</v>
      </c>
    </row>
    <row r="162" spans="1:37" ht="30" customHeight="1" x14ac:dyDescent="0.2">
      <c r="A162" s="70" t="s">
        <v>1041</v>
      </c>
      <c r="B162" s="70" t="s">
        <v>1042</v>
      </c>
      <c r="C162" s="42" t="s">
        <v>1043</v>
      </c>
      <c r="D162" s="214" t="s">
        <v>1044</v>
      </c>
      <c r="E162" s="214" t="s">
        <v>1045</v>
      </c>
      <c r="F162" s="214" t="s">
        <v>1046</v>
      </c>
      <c r="G162" s="214" t="s">
        <v>920</v>
      </c>
      <c r="H162" s="214" t="s">
        <v>1047</v>
      </c>
      <c r="I162" s="214" t="s">
        <v>1048</v>
      </c>
      <c r="J162" s="83"/>
      <c r="K162" s="43" t="s">
        <v>839</v>
      </c>
      <c r="L162" s="43" t="s">
        <v>1049</v>
      </c>
      <c r="M162" s="43" t="s">
        <v>1050</v>
      </c>
      <c r="N162" s="43" t="s">
        <v>842</v>
      </c>
      <c r="O162" s="43" t="s">
        <v>926</v>
      </c>
      <c r="P162" s="43" t="s">
        <v>1051</v>
      </c>
      <c r="Q162" s="43" t="s">
        <v>1052</v>
      </c>
      <c r="R162" s="84"/>
      <c r="S162" s="113" t="s">
        <v>51</v>
      </c>
      <c r="T162" s="113"/>
      <c r="U162" s="115" t="s">
        <v>928</v>
      </c>
      <c r="V162" s="113"/>
      <c r="W162" s="115" t="s">
        <v>1053</v>
      </c>
      <c r="X162" s="113"/>
      <c r="Y162" s="113"/>
      <c r="Z162" s="113"/>
      <c r="AE162" s="43" t="s">
        <v>53</v>
      </c>
      <c r="AG162" s="179">
        <v>27.754648208618161</v>
      </c>
      <c r="AH162" s="103">
        <f>'Additional information'!$D$19</f>
        <v>0.91</v>
      </c>
      <c r="AI162" s="159">
        <f t="shared" si="8"/>
        <v>25.256729869842527</v>
      </c>
      <c r="AJ162" s="159">
        <f t="shared" si="9"/>
        <v>25.256729869842527</v>
      </c>
    </row>
    <row r="163" spans="1:37" x14ac:dyDescent="0.2">
      <c r="D163" s="43"/>
      <c r="E163" s="43"/>
      <c r="F163" s="43"/>
      <c r="G163" s="43"/>
      <c r="H163" s="43"/>
      <c r="I163" s="43"/>
      <c r="J163" s="83"/>
      <c r="R163" s="84"/>
      <c r="W163" s="125"/>
      <c r="AG163" s="179"/>
      <c r="AH163" s="103">
        <f>'Additional information'!$D$19</f>
        <v>0.91</v>
      </c>
      <c r="AI163" s="159" t="str">
        <f t="shared" si="8"/>
        <v/>
      </c>
      <c r="AJ163" s="159" t="str">
        <f t="shared" si="9"/>
        <v/>
      </c>
    </row>
    <row r="164" spans="1:37" s="280" customFormat="1" ht="30" customHeight="1" x14ac:dyDescent="0.2">
      <c r="A164" s="280" t="s">
        <v>1054</v>
      </c>
      <c r="B164" s="280" t="s">
        <v>1055</v>
      </c>
      <c r="C164" s="281" t="s">
        <v>1056</v>
      </c>
      <c r="D164" s="303" t="s">
        <v>1057</v>
      </c>
      <c r="E164" s="303" t="s">
        <v>1058</v>
      </c>
      <c r="F164" s="303" t="s">
        <v>1059</v>
      </c>
      <c r="G164" s="303" t="s">
        <v>1060</v>
      </c>
      <c r="H164" s="303" t="s">
        <v>1061</v>
      </c>
      <c r="I164" s="303" t="s">
        <v>1062</v>
      </c>
      <c r="J164" s="281"/>
      <c r="K164" s="280" t="s">
        <v>1063</v>
      </c>
      <c r="L164" s="280" t="s">
        <v>1064</v>
      </c>
      <c r="M164" s="280" t="s">
        <v>1065</v>
      </c>
      <c r="N164" s="280" t="s">
        <v>1066</v>
      </c>
      <c r="O164" s="280" t="s">
        <v>1067</v>
      </c>
      <c r="P164" s="280" t="s">
        <v>1068</v>
      </c>
      <c r="Q164" s="280" t="s">
        <v>1069</v>
      </c>
      <c r="S164" s="285" t="s">
        <v>51</v>
      </c>
      <c r="T164" s="285" t="s">
        <v>431</v>
      </c>
      <c r="U164" s="285" t="s">
        <v>1070</v>
      </c>
      <c r="V164" s="285"/>
      <c r="W164" s="285" t="s">
        <v>994</v>
      </c>
      <c r="X164" s="285" t="s">
        <v>1071</v>
      </c>
      <c r="Y164" s="294"/>
      <c r="Z164" s="294"/>
      <c r="AA164" s="302"/>
      <c r="AE164" s="280" t="s">
        <v>73</v>
      </c>
      <c r="AG164" s="286">
        <v>17</v>
      </c>
      <c r="AH164" s="304">
        <f>'Additional information'!$D$19</f>
        <v>0.91</v>
      </c>
      <c r="AI164" s="288">
        <f t="shared" si="8"/>
        <v>15.47</v>
      </c>
      <c r="AJ164" s="288" t="str">
        <f t="shared" si="9"/>
        <v/>
      </c>
      <c r="AK164" s="291"/>
    </row>
    <row r="165" spans="1:37" x14ac:dyDescent="0.2">
      <c r="J165" s="83"/>
      <c r="R165" s="84"/>
      <c r="W165" s="125"/>
      <c r="AG165" s="179"/>
      <c r="AH165" s="103">
        <f>'Additional information'!$D$19</f>
        <v>0.91</v>
      </c>
      <c r="AI165" s="159" t="str">
        <f t="shared" si="8"/>
        <v/>
      </c>
      <c r="AJ165" s="159" t="str">
        <f t="shared" si="9"/>
        <v/>
      </c>
    </row>
    <row r="166" spans="1:37" ht="15.75" customHeight="1" thickBot="1" x14ac:dyDescent="0.25">
      <c r="A166" s="97" t="s">
        <v>278</v>
      </c>
      <c r="B166" s="97"/>
      <c r="C166" s="98"/>
      <c r="D166" s="98"/>
      <c r="E166" s="98"/>
      <c r="F166" s="98"/>
      <c r="G166" s="98"/>
      <c r="H166" s="98"/>
      <c r="I166" s="98"/>
      <c r="J166" s="105"/>
      <c r="K166" s="97"/>
      <c r="L166" s="97"/>
      <c r="M166" s="97"/>
      <c r="N166" s="97"/>
      <c r="O166" s="97"/>
      <c r="P166" s="97"/>
      <c r="Q166" s="97"/>
      <c r="R166" s="106"/>
      <c r="S166" s="126"/>
      <c r="T166" s="126"/>
      <c r="U166" s="126"/>
      <c r="V166" s="126"/>
      <c r="W166" s="126"/>
      <c r="X166" s="126"/>
      <c r="Y166" s="126"/>
      <c r="Z166" s="126"/>
      <c r="AG166" s="179"/>
      <c r="AI166" s="159" t="str">
        <f t="shared" si="8"/>
        <v/>
      </c>
      <c r="AJ166" s="159" t="str">
        <f t="shared" si="9"/>
        <v/>
      </c>
    </row>
    <row r="167" spans="1:37" s="68" customFormat="1" ht="15.75" customHeight="1" thickTop="1" x14ac:dyDescent="0.2">
      <c r="A167" s="65" t="s">
        <v>108</v>
      </c>
      <c r="B167" s="65" t="s">
        <v>1072</v>
      </c>
      <c r="C167" s="89" t="s">
        <v>1073</v>
      </c>
      <c r="D167" s="211" t="s">
        <v>1074</v>
      </c>
      <c r="E167" s="211" t="s">
        <v>1075</v>
      </c>
      <c r="F167" s="211" t="s">
        <v>1076</v>
      </c>
      <c r="G167" s="211" t="s">
        <v>1077</v>
      </c>
      <c r="H167" s="211" t="s">
        <v>1078</v>
      </c>
      <c r="I167" s="211" t="s">
        <v>1079</v>
      </c>
      <c r="J167" s="66"/>
      <c r="K167" s="65"/>
      <c r="L167" s="65"/>
      <c r="M167" s="65"/>
      <c r="N167" s="65"/>
      <c r="O167" s="65"/>
      <c r="P167" s="65"/>
      <c r="Q167" s="65"/>
      <c r="R167" s="67"/>
      <c r="S167" s="118" t="s">
        <v>72</v>
      </c>
      <c r="T167" s="118"/>
      <c r="U167" s="118"/>
      <c r="V167" s="118"/>
      <c r="W167" s="119" t="s">
        <v>1080</v>
      </c>
      <c r="X167" s="118"/>
      <c r="Y167" s="118"/>
      <c r="Z167" s="118"/>
      <c r="AE167" s="43" t="s">
        <v>53</v>
      </c>
      <c r="AG167" s="179"/>
      <c r="AH167" s="158"/>
      <c r="AI167" s="159" t="str">
        <f t="shared" si="8"/>
        <v/>
      </c>
      <c r="AJ167" s="159" t="str">
        <f t="shared" si="9"/>
        <v/>
      </c>
      <c r="AK167" s="69"/>
    </row>
    <row r="168" spans="1:37" s="68" customFormat="1" x14ac:dyDescent="0.2">
      <c r="C168" s="90"/>
      <c r="D168" s="90"/>
      <c r="E168" s="90"/>
      <c r="F168" s="90"/>
      <c r="G168" s="90"/>
      <c r="H168" s="90"/>
      <c r="I168" s="90"/>
      <c r="J168" s="66"/>
      <c r="R168" s="67"/>
      <c r="S168" s="119"/>
      <c r="T168" s="119"/>
      <c r="U168" s="119"/>
      <c r="V168" s="119"/>
      <c r="W168" s="119"/>
      <c r="X168" s="119"/>
      <c r="Y168" s="119"/>
      <c r="Z168" s="119"/>
      <c r="AE168" s="43"/>
      <c r="AG168" s="179"/>
      <c r="AH168" s="103">
        <f>'Additional information'!$D$19</f>
        <v>0.91</v>
      </c>
      <c r="AI168" s="159" t="str">
        <f t="shared" si="8"/>
        <v/>
      </c>
      <c r="AJ168" s="159" t="str">
        <f t="shared" si="9"/>
        <v/>
      </c>
      <c r="AK168" s="69"/>
    </row>
    <row r="169" spans="1:37" s="68" customFormat="1" ht="30" customHeight="1" x14ac:dyDescent="0.2">
      <c r="A169" s="70" t="s">
        <v>1081</v>
      </c>
      <c r="B169" s="70" t="s">
        <v>1082</v>
      </c>
      <c r="C169" s="42" t="s">
        <v>1083</v>
      </c>
      <c r="D169" s="214" t="s">
        <v>1084</v>
      </c>
      <c r="E169" s="214" t="s">
        <v>1085</v>
      </c>
      <c r="F169" s="214" t="s">
        <v>1086</v>
      </c>
      <c r="G169" s="214" t="s">
        <v>1087</v>
      </c>
      <c r="H169" s="214" t="s">
        <v>1088</v>
      </c>
      <c r="I169" s="214" t="s">
        <v>1089</v>
      </c>
      <c r="J169" s="83"/>
      <c r="K169" s="102"/>
      <c r="L169" s="102"/>
      <c r="M169" s="102"/>
      <c r="N169" s="102"/>
      <c r="O169" s="102"/>
      <c r="P169" s="102"/>
      <c r="Q169" s="102"/>
      <c r="R169" s="84"/>
      <c r="S169" s="113" t="s">
        <v>51</v>
      </c>
      <c r="T169" s="113" t="s">
        <v>431</v>
      </c>
      <c r="U169" s="118"/>
      <c r="V169" s="118"/>
      <c r="W169" s="118"/>
      <c r="X169" s="118"/>
      <c r="Y169" s="118"/>
      <c r="Z169" s="118"/>
      <c r="AE169" s="43" t="s">
        <v>53</v>
      </c>
      <c r="AG169" s="179">
        <v>13.99939060211182</v>
      </c>
      <c r="AH169" s="103">
        <f>'Additional information'!$D$19</f>
        <v>0.91</v>
      </c>
      <c r="AI169" s="159">
        <f t="shared" si="8"/>
        <v>12.739445447921756</v>
      </c>
      <c r="AJ169" s="159">
        <f t="shared" si="9"/>
        <v>12.739445447921756</v>
      </c>
      <c r="AK169" s="69"/>
    </row>
    <row r="170" spans="1:37" x14ac:dyDescent="0.2">
      <c r="A170" s="70" t="s">
        <v>36</v>
      </c>
      <c r="B170" s="70" t="s">
        <v>1090</v>
      </c>
      <c r="C170" s="42"/>
      <c r="D170" s="217"/>
      <c r="E170" s="217"/>
      <c r="F170" s="217"/>
      <c r="G170" s="217"/>
      <c r="H170" s="217"/>
      <c r="I170" s="217"/>
      <c r="J170" s="83"/>
      <c r="R170" s="84"/>
      <c r="S170" s="113"/>
      <c r="T170" s="113"/>
      <c r="U170" s="113"/>
      <c r="V170" s="113"/>
      <c r="W170" s="113"/>
      <c r="X170" s="113"/>
      <c r="Y170" s="113"/>
      <c r="Z170" s="113" t="s">
        <v>1091</v>
      </c>
      <c r="AE170" s="43" t="s">
        <v>53</v>
      </c>
      <c r="AG170" s="179"/>
      <c r="AH170" s="103">
        <f>'Additional information'!$D$19</f>
        <v>0.91</v>
      </c>
      <c r="AI170" s="159" t="str">
        <f t="shared" si="8"/>
        <v/>
      </c>
      <c r="AJ170" s="159" t="str">
        <f t="shared" si="9"/>
        <v/>
      </c>
    </row>
    <row r="171" spans="1:37" x14ac:dyDescent="0.2">
      <c r="D171" s="43"/>
      <c r="E171" s="43"/>
      <c r="F171" s="43"/>
      <c r="G171" s="43"/>
      <c r="H171" s="43"/>
      <c r="I171" s="43"/>
      <c r="J171" s="83"/>
      <c r="R171" s="84"/>
      <c r="AG171" s="179"/>
      <c r="AH171" s="103">
        <f>'Additional information'!$D$19</f>
        <v>0.91</v>
      </c>
      <c r="AI171" s="159" t="str">
        <f t="shared" si="8"/>
        <v/>
      </c>
      <c r="AJ171" s="159" t="str">
        <f t="shared" si="9"/>
        <v/>
      </c>
    </row>
    <row r="172" spans="1:37" ht="30" customHeight="1" x14ac:dyDescent="0.2">
      <c r="A172" s="70" t="s">
        <v>262</v>
      </c>
      <c r="B172" s="70" t="s">
        <v>1092</v>
      </c>
      <c r="C172" s="42" t="s">
        <v>1093</v>
      </c>
      <c r="D172" s="214" t="s">
        <v>1094</v>
      </c>
      <c r="E172" s="214" t="s">
        <v>1095</v>
      </c>
      <c r="F172" s="214" t="s">
        <v>1096</v>
      </c>
      <c r="G172" s="214" t="s">
        <v>1097</v>
      </c>
      <c r="H172" s="214" t="s">
        <v>1098</v>
      </c>
      <c r="I172" s="214" t="s">
        <v>1099</v>
      </c>
      <c r="J172" s="83"/>
      <c r="R172" s="84"/>
      <c r="S172" s="113" t="s">
        <v>51</v>
      </c>
      <c r="T172" s="113"/>
      <c r="U172" s="113"/>
      <c r="V172" s="113"/>
      <c r="W172" s="113" t="s">
        <v>1100</v>
      </c>
      <c r="X172" s="113"/>
      <c r="Y172" s="113"/>
      <c r="Z172" s="113"/>
      <c r="AE172" s="43" t="s">
        <v>53</v>
      </c>
      <c r="AG172" s="179">
        <v>10.25279426574707</v>
      </c>
      <c r="AH172" s="103">
        <f>'Additional information'!$D$19</f>
        <v>0.91</v>
      </c>
      <c r="AI172" s="159">
        <f t="shared" si="8"/>
        <v>9.3300427818298335</v>
      </c>
      <c r="AJ172" s="159">
        <f t="shared" si="9"/>
        <v>9.3300427818298335</v>
      </c>
    </row>
    <row r="173" spans="1:37" ht="30" customHeight="1" x14ac:dyDescent="0.2">
      <c r="A173" s="70" t="s">
        <v>1101</v>
      </c>
      <c r="B173" s="70" t="s">
        <v>1102</v>
      </c>
      <c r="C173" s="42" t="s">
        <v>1103</v>
      </c>
      <c r="D173" s="214" t="s">
        <v>1104</v>
      </c>
      <c r="E173" s="214" t="s">
        <v>1105</v>
      </c>
      <c r="F173" s="214" t="s">
        <v>1106</v>
      </c>
      <c r="G173" s="214" t="s">
        <v>1107</v>
      </c>
      <c r="H173" s="214" t="s">
        <v>1108</v>
      </c>
      <c r="I173" s="214" t="s">
        <v>1109</v>
      </c>
      <c r="J173" s="83"/>
      <c r="K173" s="43" t="s">
        <v>839</v>
      </c>
      <c r="L173" s="43" t="s">
        <v>1110</v>
      </c>
      <c r="M173" s="43" t="s">
        <v>924</v>
      </c>
      <c r="N173" s="43" t="s">
        <v>1111</v>
      </c>
      <c r="O173" s="43" t="s">
        <v>1112</v>
      </c>
      <c r="P173" s="43" t="s">
        <v>1051</v>
      </c>
      <c r="Q173" s="43" t="s">
        <v>1113</v>
      </c>
      <c r="R173" s="84"/>
      <c r="S173" s="113" t="s">
        <v>51</v>
      </c>
      <c r="T173" s="113"/>
      <c r="U173" s="115" t="s">
        <v>928</v>
      </c>
      <c r="V173" s="115"/>
      <c r="W173" s="115" t="s">
        <v>1114</v>
      </c>
      <c r="X173" s="113"/>
      <c r="Y173" s="113"/>
      <c r="Z173" s="113"/>
      <c r="AE173" s="43" t="s">
        <v>53</v>
      </c>
      <c r="AG173" s="179">
        <v>24.194343566894531</v>
      </c>
      <c r="AH173" s="103">
        <f>'Additional information'!$D$19</f>
        <v>0.91</v>
      </c>
      <c r="AI173" s="159">
        <f t="shared" ref="AI173:AI204" si="10">IF(AG173&lt;&gt;"",AG173*AH173,"")</f>
        <v>22.016852645874025</v>
      </c>
      <c r="AJ173" s="159">
        <f t="shared" ref="AJ173:AJ204" si="11">IF(AND(AG173&lt;&gt;"",AE173="yes"),AG173*AH173,"")</f>
        <v>22.016852645874025</v>
      </c>
    </row>
    <row r="174" spans="1:37" x14ac:dyDescent="0.2">
      <c r="D174" s="218"/>
      <c r="E174" s="218"/>
      <c r="F174" s="218"/>
      <c r="G174" s="218"/>
      <c r="H174" s="218"/>
      <c r="I174" s="218"/>
      <c r="J174" s="83"/>
      <c r="R174" s="84"/>
      <c r="W174" s="125"/>
      <c r="AG174" s="179"/>
      <c r="AH174" s="103">
        <f>'Additional information'!$D$19</f>
        <v>0.91</v>
      </c>
      <c r="AI174" s="159" t="str">
        <f t="shared" si="10"/>
        <v/>
      </c>
      <c r="AJ174" s="159" t="str">
        <f t="shared" si="11"/>
        <v/>
      </c>
    </row>
    <row r="175" spans="1:37" ht="45" customHeight="1" x14ac:dyDescent="0.2">
      <c r="A175" s="70" t="s">
        <v>514</v>
      </c>
      <c r="B175" s="70" t="s">
        <v>1115</v>
      </c>
      <c r="C175" s="76" t="s">
        <v>1116</v>
      </c>
      <c r="D175" s="214" t="s">
        <v>1117</v>
      </c>
      <c r="E175" s="214" t="s">
        <v>1118</v>
      </c>
      <c r="F175" s="214" t="s">
        <v>1119</v>
      </c>
      <c r="G175" s="214" t="s">
        <v>1120</v>
      </c>
      <c r="H175" s="214" t="s">
        <v>1121</v>
      </c>
      <c r="I175" s="214" t="s">
        <v>1122</v>
      </c>
      <c r="J175" s="83"/>
      <c r="K175" s="70" t="s">
        <v>938</v>
      </c>
      <c r="L175" s="102" t="s">
        <v>1123</v>
      </c>
      <c r="M175" s="102" t="s">
        <v>940</v>
      </c>
      <c r="N175" s="102" t="s">
        <v>941</v>
      </c>
      <c r="O175" s="102" t="s">
        <v>942</v>
      </c>
      <c r="P175" s="102" t="s">
        <v>1124</v>
      </c>
      <c r="Q175" s="102" t="s">
        <v>1125</v>
      </c>
      <c r="R175" s="84"/>
      <c r="S175" s="113" t="s">
        <v>51</v>
      </c>
      <c r="T175" s="113"/>
      <c r="U175" s="113"/>
      <c r="V175" s="113"/>
      <c r="W175" s="113" t="s">
        <v>1100</v>
      </c>
      <c r="X175" s="113"/>
      <c r="Y175" s="113"/>
      <c r="Z175" s="113"/>
      <c r="AE175" s="43" t="s">
        <v>53</v>
      </c>
      <c r="AG175" s="179">
        <v>19.321737289428711</v>
      </c>
      <c r="AH175" s="103">
        <f>'Additional information'!$D$19</f>
        <v>0.91</v>
      </c>
      <c r="AI175" s="159">
        <f t="shared" si="10"/>
        <v>17.582780933380128</v>
      </c>
      <c r="AJ175" s="159">
        <f t="shared" si="11"/>
        <v>17.582780933380128</v>
      </c>
    </row>
    <row r="176" spans="1:37" x14ac:dyDescent="0.2">
      <c r="C176" s="45"/>
      <c r="D176" s="45"/>
      <c r="E176" s="45"/>
      <c r="F176" s="45"/>
      <c r="G176" s="45"/>
      <c r="H176" s="45"/>
      <c r="I176" s="45"/>
      <c r="J176" s="83"/>
      <c r="R176" s="84"/>
      <c r="W176" s="125"/>
      <c r="AG176" s="179"/>
      <c r="AH176" s="103">
        <f>'Additional information'!$D$19</f>
        <v>0.91</v>
      </c>
      <c r="AI176" s="159" t="str">
        <f t="shared" si="10"/>
        <v/>
      </c>
      <c r="AJ176" s="159" t="str">
        <f t="shared" si="11"/>
        <v/>
      </c>
    </row>
    <row r="177" spans="1:37" ht="15.75" customHeight="1" thickBot="1" x14ac:dyDescent="0.25">
      <c r="A177" s="97" t="s">
        <v>278</v>
      </c>
      <c r="B177" s="97"/>
      <c r="C177" s="98"/>
      <c r="D177" s="98"/>
      <c r="E177" s="98"/>
      <c r="F177" s="98"/>
      <c r="G177" s="98"/>
      <c r="H177" s="98"/>
      <c r="I177" s="98"/>
      <c r="J177" s="105"/>
      <c r="K177" s="97"/>
      <c r="L177" s="97"/>
      <c r="M177" s="97"/>
      <c r="N177" s="97"/>
      <c r="O177" s="97"/>
      <c r="P177" s="97"/>
      <c r="Q177" s="97"/>
      <c r="R177" s="106"/>
      <c r="S177" s="126"/>
      <c r="T177" s="126"/>
      <c r="U177" s="126"/>
      <c r="V177" s="126"/>
      <c r="W177" s="126"/>
      <c r="X177" s="126"/>
      <c r="Y177" s="126"/>
      <c r="Z177" s="126"/>
      <c r="AG177" s="179"/>
      <c r="AI177" s="159" t="str">
        <f t="shared" si="10"/>
        <v/>
      </c>
      <c r="AJ177" s="159" t="str">
        <f t="shared" si="11"/>
        <v/>
      </c>
    </row>
    <row r="178" spans="1:37" s="68" customFormat="1" ht="17" customHeight="1" thickTop="1" x14ac:dyDescent="0.2">
      <c r="A178" s="65" t="s">
        <v>108</v>
      </c>
      <c r="B178" s="65" t="s">
        <v>1126</v>
      </c>
      <c r="C178" s="89" t="s">
        <v>1127</v>
      </c>
      <c r="D178" s="211" t="s">
        <v>1128</v>
      </c>
      <c r="E178" s="211" t="s">
        <v>1129</v>
      </c>
      <c r="F178" s="211" t="s">
        <v>1130</v>
      </c>
      <c r="G178" s="211" t="s">
        <v>1131</v>
      </c>
      <c r="H178" s="211" t="s">
        <v>1132</v>
      </c>
      <c r="I178" s="211" t="s">
        <v>1133</v>
      </c>
      <c r="J178" s="66"/>
      <c r="K178" s="65"/>
      <c r="L178" s="65"/>
      <c r="M178" s="65"/>
      <c r="N178" s="65"/>
      <c r="O178" s="65"/>
      <c r="P178" s="65"/>
      <c r="Q178" s="65"/>
      <c r="R178" s="67"/>
      <c r="S178" s="118" t="s">
        <v>72</v>
      </c>
      <c r="T178" s="118"/>
      <c r="U178" s="118"/>
      <c r="V178" s="118"/>
      <c r="W178" s="119" t="s">
        <v>1134</v>
      </c>
      <c r="X178" s="118"/>
      <c r="Y178" s="118"/>
      <c r="Z178" s="118"/>
      <c r="AE178" s="43" t="s">
        <v>53</v>
      </c>
      <c r="AG178" s="179"/>
      <c r="AH178" s="69"/>
      <c r="AI178" s="159" t="str">
        <f t="shared" si="10"/>
        <v/>
      </c>
      <c r="AJ178" s="159" t="str">
        <f t="shared" si="11"/>
        <v/>
      </c>
      <c r="AK178" s="69"/>
    </row>
    <row r="179" spans="1:37" s="71" customFormat="1" ht="60" customHeight="1" x14ac:dyDescent="0.2">
      <c r="A179" s="75" t="s">
        <v>56</v>
      </c>
      <c r="B179" s="75" t="s">
        <v>1135</v>
      </c>
      <c r="C179" s="76" t="s">
        <v>1136</v>
      </c>
      <c r="D179" s="219" t="s">
        <v>1137</v>
      </c>
      <c r="E179" s="219" t="s">
        <v>1138</v>
      </c>
      <c r="F179" s="219" t="s">
        <v>1139</v>
      </c>
      <c r="G179" s="219" t="s">
        <v>1140</v>
      </c>
      <c r="H179" s="219" t="s">
        <v>854</v>
      </c>
      <c r="I179" s="219" t="s">
        <v>1141</v>
      </c>
      <c r="J179" s="94"/>
      <c r="R179" s="96"/>
      <c r="S179" s="115"/>
      <c r="T179" s="115"/>
      <c r="U179" s="115"/>
      <c r="V179" s="115"/>
      <c r="W179" s="115"/>
      <c r="X179" s="115"/>
      <c r="Y179" s="115"/>
      <c r="Z179" s="115"/>
      <c r="AE179" s="71" t="s">
        <v>53</v>
      </c>
      <c r="AG179" s="179">
        <v>7.5</v>
      </c>
      <c r="AH179" s="103">
        <f>'Additional information'!$D$20</f>
        <v>0.05</v>
      </c>
      <c r="AI179" s="159">
        <f t="shared" si="10"/>
        <v>0.375</v>
      </c>
      <c r="AJ179" s="159">
        <f t="shared" si="11"/>
        <v>0.375</v>
      </c>
    </row>
    <row r="180" spans="1:37" s="68" customFormat="1" x14ac:dyDescent="0.2">
      <c r="C180" s="90"/>
      <c r="D180" s="218"/>
      <c r="E180" s="218"/>
      <c r="F180" s="218"/>
      <c r="G180" s="218"/>
      <c r="H180" s="218"/>
      <c r="I180" s="218"/>
      <c r="J180" s="66"/>
      <c r="R180" s="67"/>
      <c r="S180" s="119"/>
      <c r="T180" s="119"/>
      <c r="U180" s="119"/>
      <c r="V180" s="119"/>
      <c r="W180" s="119"/>
      <c r="X180" s="119"/>
      <c r="Y180" s="119"/>
      <c r="Z180" s="119"/>
      <c r="AE180" s="43"/>
      <c r="AG180" s="179"/>
      <c r="AH180" s="103">
        <f>'Additional information'!$D$20</f>
        <v>0.05</v>
      </c>
      <c r="AI180" s="159" t="str">
        <f t="shared" si="10"/>
        <v/>
      </c>
      <c r="AJ180" s="159" t="str">
        <f t="shared" si="11"/>
        <v/>
      </c>
      <c r="AK180" s="69"/>
    </row>
    <row r="181" spans="1:37" ht="16" customHeight="1" x14ac:dyDescent="0.2">
      <c r="A181" s="70" t="s">
        <v>1142</v>
      </c>
      <c r="B181" s="70" t="s">
        <v>1143</v>
      </c>
      <c r="C181" s="42" t="s">
        <v>1144</v>
      </c>
      <c r="D181" s="214" t="s">
        <v>1145</v>
      </c>
      <c r="E181" s="214" t="s">
        <v>1146</v>
      </c>
      <c r="F181" s="214" t="s">
        <v>1147</v>
      </c>
      <c r="G181" s="214" t="s">
        <v>1148</v>
      </c>
      <c r="H181" s="214" t="s">
        <v>1149</v>
      </c>
      <c r="I181" s="214" t="s">
        <v>1150</v>
      </c>
      <c r="J181" s="83"/>
      <c r="K181" s="43" t="s">
        <v>1151</v>
      </c>
      <c r="L181" s="43" t="s">
        <v>1019</v>
      </c>
      <c r="M181" s="43" t="s">
        <v>1020</v>
      </c>
      <c r="N181" s="43" t="s">
        <v>1152</v>
      </c>
      <c r="O181" s="43" t="s">
        <v>749</v>
      </c>
      <c r="P181" s="43" t="s">
        <v>1022</v>
      </c>
      <c r="Q181" s="43" t="s">
        <v>1153</v>
      </c>
      <c r="R181" s="84"/>
      <c r="S181" s="113" t="s">
        <v>51</v>
      </c>
      <c r="T181" s="113"/>
      <c r="U181" s="113" t="s">
        <v>928</v>
      </c>
      <c r="V181" s="113"/>
      <c r="W181" s="113"/>
      <c r="X181" s="113"/>
      <c r="Y181" s="113"/>
      <c r="Z181" s="113"/>
      <c r="AE181" s="43" t="s">
        <v>53</v>
      </c>
      <c r="AG181" s="179">
        <v>19.090116500854489</v>
      </c>
      <c r="AH181" s="103">
        <f>'Additional information'!$D$20</f>
        <v>0.05</v>
      </c>
      <c r="AI181" s="159">
        <f t="shared" si="10"/>
        <v>0.95450582504272452</v>
      </c>
      <c r="AJ181" s="159">
        <f t="shared" si="11"/>
        <v>0.95450582504272452</v>
      </c>
    </row>
    <row r="182" spans="1:37" x14ac:dyDescent="0.2">
      <c r="D182" s="215"/>
      <c r="E182" s="215"/>
      <c r="F182" s="215"/>
      <c r="G182" s="215"/>
      <c r="H182" s="215"/>
      <c r="I182" s="215"/>
      <c r="J182" s="83"/>
      <c r="R182" s="84"/>
      <c r="AG182" s="179"/>
      <c r="AH182" s="103">
        <f>'Additional information'!$D$20</f>
        <v>0.05</v>
      </c>
      <c r="AI182" s="159" t="str">
        <f t="shared" si="10"/>
        <v/>
      </c>
      <c r="AJ182" s="159" t="str">
        <f t="shared" si="11"/>
        <v/>
      </c>
    </row>
    <row r="183" spans="1:37" ht="45" customHeight="1" x14ac:dyDescent="0.2">
      <c r="A183" s="70" t="s">
        <v>514</v>
      </c>
      <c r="B183" s="70" t="s">
        <v>1154</v>
      </c>
      <c r="C183" s="42" t="s">
        <v>1155</v>
      </c>
      <c r="D183" s="214" t="s">
        <v>1156</v>
      </c>
      <c r="E183" s="214" t="s">
        <v>1157</v>
      </c>
      <c r="F183" s="214" t="s">
        <v>1158</v>
      </c>
      <c r="G183" s="214" t="s">
        <v>1159</v>
      </c>
      <c r="H183" s="214" t="s">
        <v>1160</v>
      </c>
      <c r="I183" s="214" t="s">
        <v>1161</v>
      </c>
      <c r="J183" s="83"/>
      <c r="R183" s="84"/>
      <c r="S183" s="113" t="s">
        <v>51</v>
      </c>
      <c r="T183" s="113"/>
      <c r="U183" s="113"/>
      <c r="V183" s="113"/>
      <c r="W183" s="113" t="s">
        <v>1162</v>
      </c>
      <c r="X183" s="113"/>
      <c r="Y183" s="113"/>
      <c r="Z183" s="113"/>
      <c r="AE183" s="43" t="s">
        <v>53</v>
      </c>
      <c r="AG183" s="179">
        <v>17.656976699829102</v>
      </c>
      <c r="AH183" s="103">
        <f>'Additional information'!$D$20</f>
        <v>0.05</v>
      </c>
      <c r="AI183" s="159">
        <f t="shared" si="10"/>
        <v>0.88284883499145517</v>
      </c>
      <c r="AJ183" s="159">
        <f t="shared" si="11"/>
        <v>0.88284883499145517</v>
      </c>
    </row>
    <row r="184" spans="1:37" x14ac:dyDescent="0.2">
      <c r="D184" s="218"/>
      <c r="E184" s="218"/>
      <c r="F184" s="218"/>
      <c r="G184" s="218"/>
      <c r="H184" s="218"/>
      <c r="I184" s="218"/>
      <c r="J184" s="83"/>
      <c r="R184" s="84"/>
      <c r="AG184" s="179"/>
      <c r="AH184" s="103">
        <f>'Additional information'!$D$20</f>
        <v>0.05</v>
      </c>
      <c r="AI184" s="159" t="str">
        <f t="shared" si="10"/>
        <v/>
      </c>
      <c r="AJ184" s="159" t="str">
        <f t="shared" si="11"/>
        <v/>
      </c>
    </row>
    <row r="185" spans="1:37" ht="30" customHeight="1" x14ac:dyDescent="0.2">
      <c r="A185" s="70" t="s">
        <v>262</v>
      </c>
      <c r="B185" s="70" t="s">
        <v>1163</v>
      </c>
      <c r="C185" s="42" t="s">
        <v>1164</v>
      </c>
      <c r="D185" s="214" t="s">
        <v>1165</v>
      </c>
      <c r="E185" s="214" t="s">
        <v>1166</v>
      </c>
      <c r="F185" s="214" t="s">
        <v>1167</v>
      </c>
      <c r="G185" s="214" t="s">
        <v>1168</v>
      </c>
      <c r="H185" s="214" t="s">
        <v>1169</v>
      </c>
      <c r="I185" s="214" t="s">
        <v>1170</v>
      </c>
      <c r="J185" s="83"/>
      <c r="R185" s="84"/>
      <c r="S185" s="113" t="s">
        <v>51</v>
      </c>
      <c r="T185" s="113"/>
      <c r="U185" s="113"/>
      <c r="V185" s="113"/>
      <c r="W185" s="113" t="s">
        <v>1162</v>
      </c>
      <c r="X185" s="113"/>
      <c r="Y185" s="113"/>
      <c r="Z185" s="113"/>
      <c r="AE185" s="43" t="s">
        <v>53</v>
      </c>
      <c r="AG185" s="180">
        <v>8.7647056579589844</v>
      </c>
      <c r="AH185" s="103">
        <f>'Additional information'!$D$20</f>
        <v>0.05</v>
      </c>
      <c r="AI185" s="159">
        <f t="shared" si="10"/>
        <v>0.43823528289794922</v>
      </c>
      <c r="AJ185" s="159">
        <f t="shared" si="11"/>
        <v>0.43823528289794922</v>
      </c>
    </row>
    <row r="186" spans="1:37" ht="30" customHeight="1" x14ac:dyDescent="0.2">
      <c r="A186" s="70" t="s">
        <v>1171</v>
      </c>
      <c r="B186" s="70" t="s">
        <v>1172</v>
      </c>
      <c r="C186" s="42" t="s">
        <v>1173</v>
      </c>
      <c r="D186" s="214" t="s">
        <v>1174</v>
      </c>
      <c r="E186" s="214" t="s">
        <v>1175</v>
      </c>
      <c r="F186" s="214" t="s">
        <v>1167</v>
      </c>
      <c r="G186" s="214" t="s">
        <v>1176</v>
      </c>
      <c r="H186" s="214" t="s">
        <v>1177</v>
      </c>
      <c r="I186" s="214" t="s">
        <v>1178</v>
      </c>
      <c r="J186" s="83"/>
      <c r="K186" s="43" t="s">
        <v>839</v>
      </c>
      <c r="L186" s="43" t="s">
        <v>1179</v>
      </c>
      <c r="M186" s="43" t="s">
        <v>924</v>
      </c>
      <c r="N186" s="43" t="s">
        <v>1180</v>
      </c>
      <c r="O186" s="43" t="s">
        <v>926</v>
      </c>
      <c r="P186" s="43" t="s">
        <v>1051</v>
      </c>
      <c r="Q186" s="43" t="s">
        <v>1052</v>
      </c>
      <c r="R186" s="84"/>
      <c r="S186" s="113"/>
      <c r="T186" s="113"/>
      <c r="U186" s="115" t="s">
        <v>928</v>
      </c>
      <c r="V186" s="113"/>
      <c r="W186" s="115" t="s">
        <v>1181</v>
      </c>
      <c r="X186" s="113"/>
      <c r="Y186" s="113"/>
      <c r="Z186" s="113"/>
      <c r="AE186" s="43" t="s">
        <v>53</v>
      </c>
      <c r="AG186" s="180">
        <v>27.9538459777832</v>
      </c>
      <c r="AH186" s="103">
        <f>'Additional information'!$D$20</f>
        <v>0.05</v>
      </c>
      <c r="AI186" s="159">
        <f t="shared" si="10"/>
        <v>1.39769229888916</v>
      </c>
      <c r="AJ186" s="159">
        <f t="shared" si="11"/>
        <v>1.39769229888916</v>
      </c>
    </row>
    <row r="187" spans="1:37" ht="16" customHeight="1" x14ac:dyDescent="0.2">
      <c r="A187" s="70" t="s">
        <v>116</v>
      </c>
      <c r="B187" s="70" t="s">
        <v>1182</v>
      </c>
      <c r="C187" s="76" t="s">
        <v>703</v>
      </c>
      <c r="D187" s="42" t="s">
        <v>704</v>
      </c>
      <c r="E187" s="42" t="s">
        <v>705</v>
      </c>
      <c r="F187" s="42" t="s">
        <v>706</v>
      </c>
      <c r="G187" s="42" t="s">
        <v>707</v>
      </c>
      <c r="H187" s="42" t="s">
        <v>708</v>
      </c>
      <c r="I187" s="42" t="s">
        <v>709</v>
      </c>
      <c r="J187" s="94"/>
      <c r="K187" s="71" t="s">
        <v>710</v>
      </c>
      <c r="L187" s="71" t="s">
        <v>711</v>
      </c>
      <c r="M187" s="71" t="s">
        <v>924</v>
      </c>
      <c r="N187" s="71" t="s">
        <v>1183</v>
      </c>
      <c r="O187" s="71" t="s">
        <v>714</v>
      </c>
      <c r="P187" s="71" t="s">
        <v>1184</v>
      </c>
      <c r="Q187" s="71" t="s">
        <v>1185</v>
      </c>
      <c r="R187" s="84"/>
      <c r="S187" s="113" t="s">
        <v>51</v>
      </c>
      <c r="T187" s="113"/>
      <c r="U187" s="113"/>
      <c r="V187" s="113"/>
      <c r="W187" s="113" t="s">
        <v>1186</v>
      </c>
      <c r="X187" s="113"/>
      <c r="Y187" s="113"/>
      <c r="Z187" s="113"/>
      <c r="AE187" s="43" t="s">
        <v>53</v>
      </c>
      <c r="AG187" s="179"/>
      <c r="AH187" s="103">
        <f>'Additional information'!$D$20</f>
        <v>0.05</v>
      </c>
      <c r="AI187" s="159" t="str">
        <f t="shared" si="10"/>
        <v/>
      </c>
      <c r="AJ187" s="159" t="str">
        <f t="shared" si="11"/>
        <v/>
      </c>
    </row>
    <row r="188" spans="1:37" x14ac:dyDescent="0.2">
      <c r="J188" s="83"/>
      <c r="R188" s="84"/>
      <c r="AG188" s="179"/>
      <c r="AH188" s="103">
        <f>'Additional information'!$D$20</f>
        <v>0.05</v>
      </c>
      <c r="AI188" s="159" t="str">
        <f t="shared" si="10"/>
        <v/>
      </c>
      <c r="AJ188" s="159" t="str">
        <f t="shared" si="11"/>
        <v/>
      </c>
    </row>
    <row r="189" spans="1:37" s="72" customFormat="1" x14ac:dyDescent="0.2">
      <c r="C189" s="73"/>
      <c r="D189" s="73"/>
      <c r="E189" s="73"/>
      <c r="F189" s="73"/>
      <c r="G189" s="73"/>
      <c r="H189" s="73"/>
      <c r="I189" s="73"/>
      <c r="J189" s="74"/>
      <c r="R189" s="78"/>
      <c r="S189" s="114"/>
      <c r="T189" s="114"/>
      <c r="U189" s="114"/>
      <c r="V189" s="114"/>
      <c r="W189" s="114"/>
      <c r="X189" s="114"/>
      <c r="Y189" s="114"/>
      <c r="Z189" s="114"/>
      <c r="AG189" s="179"/>
      <c r="AH189" s="103">
        <f>'Additional information'!$D$20</f>
        <v>0.05</v>
      </c>
      <c r="AI189" s="159" t="str">
        <f t="shared" si="10"/>
        <v/>
      </c>
      <c r="AJ189" s="159" t="str">
        <f t="shared" si="11"/>
        <v/>
      </c>
      <c r="AK189" s="71"/>
    </row>
    <row r="190" spans="1:37" ht="15.75" customHeight="1" thickBot="1" x14ac:dyDescent="0.25">
      <c r="A190" s="92" t="s">
        <v>278</v>
      </c>
      <c r="B190" s="92"/>
      <c r="C190" s="93"/>
      <c r="D190" s="93"/>
      <c r="E190" s="93"/>
      <c r="F190" s="93"/>
      <c r="G190" s="93"/>
      <c r="H190" s="93"/>
      <c r="I190" s="93"/>
      <c r="J190" s="87"/>
      <c r="K190" s="92"/>
      <c r="L190" s="92"/>
      <c r="M190" s="92"/>
      <c r="N190" s="92"/>
      <c r="O190" s="92"/>
      <c r="P190" s="92"/>
      <c r="Q190" s="92"/>
      <c r="R190" s="88"/>
      <c r="S190" s="124"/>
      <c r="T190" s="124"/>
      <c r="U190" s="124"/>
      <c r="V190" s="124"/>
      <c r="W190" s="124"/>
      <c r="X190" s="124"/>
      <c r="Y190" s="124"/>
      <c r="Z190" s="124"/>
      <c r="AG190" s="179"/>
      <c r="AI190" s="159" t="str">
        <f t="shared" si="10"/>
        <v/>
      </c>
      <c r="AJ190" s="159" t="str">
        <f t="shared" si="11"/>
        <v/>
      </c>
    </row>
    <row r="191" spans="1:37" s="68" customFormat="1" ht="15.75" customHeight="1" thickTop="1" x14ac:dyDescent="0.2">
      <c r="A191" s="65" t="s">
        <v>108</v>
      </c>
      <c r="B191" s="65" t="s">
        <v>1187</v>
      </c>
      <c r="C191" s="89" t="s">
        <v>1188</v>
      </c>
      <c r="D191" s="211" t="s">
        <v>1189</v>
      </c>
      <c r="E191" s="211" t="s">
        <v>1190</v>
      </c>
      <c r="F191" s="211" t="s">
        <v>1191</v>
      </c>
      <c r="G191" s="211" t="s">
        <v>1192</v>
      </c>
      <c r="H191" s="211" t="s">
        <v>1193</v>
      </c>
      <c r="I191" s="211" t="s">
        <v>1194</v>
      </c>
      <c r="J191" s="66"/>
      <c r="K191" s="65"/>
      <c r="L191" s="65"/>
      <c r="M191" s="65"/>
      <c r="N191" s="65"/>
      <c r="O191" s="65"/>
      <c r="P191" s="65"/>
      <c r="Q191" s="65"/>
      <c r="R191" s="67"/>
      <c r="S191" s="118" t="s">
        <v>72</v>
      </c>
      <c r="T191" s="118"/>
      <c r="U191" s="118"/>
      <c r="V191" s="118"/>
      <c r="W191" s="119" t="s">
        <v>1195</v>
      </c>
      <c r="X191" s="118"/>
      <c r="Y191" s="118"/>
      <c r="Z191" s="118"/>
      <c r="AE191" s="43" t="s">
        <v>53</v>
      </c>
      <c r="AG191" s="179"/>
      <c r="AH191" s="69"/>
      <c r="AI191" s="159" t="str">
        <f t="shared" si="10"/>
        <v/>
      </c>
      <c r="AJ191" s="159" t="str">
        <f t="shared" si="11"/>
        <v/>
      </c>
      <c r="AK191" s="69"/>
    </row>
    <row r="192" spans="1:37" s="68" customFormat="1" x14ac:dyDescent="0.2">
      <c r="C192" s="90"/>
      <c r="D192" s="90"/>
      <c r="E192" s="90"/>
      <c r="F192" s="90"/>
      <c r="G192" s="90"/>
      <c r="H192" s="90"/>
      <c r="I192" s="90"/>
      <c r="J192" s="66"/>
      <c r="R192" s="67"/>
      <c r="S192" s="119"/>
      <c r="T192" s="119"/>
      <c r="U192" s="119"/>
      <c r="V192" s="119"/>
      <c r="W192" s="119"/>
      <c r="X192" s="119"/>
      <c r="Y192" s="119"/>
      <c r="Z192" s="119"/>
      <c r="AE192" s="43"/>
      <c r="AG192" s="179"/>
      <c r="AH192" s="103">
        <f>'Additional information'!$D$20</f>
        <v>0.05</v>
      </c>
      <c r="AI192" s="159" t="str">
        <f t="shared" si="10"/>
        <v/>
      </c>
      <c r="AJ192" s="159" t="str">
        <f t="shared" si="11"/>
        <v/>
      </c>
      <c r="AK192" s="69"/>
    </row>
    <row r="193" spans="1:37" s="68" customFormat="1" ht="30" customHeight="1" x14ac:dyDescent="0.2">
      <c r="A193" s="70" t="s">
        <v>1196</v>
      </c>
      <c r="B193" s="70" t="s">
        <v>1197</v>
      </c>
      <c r="C193" s="42" t="s">
        <v>1198</v>
      </c>
      <c r="D193" s="42" t="s">
        <v>1199</v>
      </c>
      <c r="E193" s="42" t="s">
        <v>1200</v>
      </c>
      <c r="F193" s="42" t="s">
        <v>1201</v>
      </c>
      <c r="G193" s="42" t="s">
        <v>1202</v>
      </c>
      <c r="H193" s="42" t="s">
        <v>1203</v>
      </c>
      <c r="I193" s="42" t="s">
        <v>1204</v>
      </c>
      <c r="J193" s="83"/>
      <c r="K193" s="70"/>
      <c r="L193" s="70"/>
      <c r="M193" s="70"/>
      <c r="N193" s="70"/>
      <c r="O193" s="70"/>
      <c r="P193" s="70"/>
      <c r="Q193" s="70"/>
      <c r="R193" s="84"/>
      <c r="S193" s="113" t="s">
        <v>51</v>
      </c>
      <c r="T193" s="118"/>
      <c r="U193" s="118"/>
      <c r="V193" s="118"/>
      <c r="W193" s="118"/>
      <c r="X193" s="118"/>
      <c r="Y193" s="118"/>
      <c r="Z193" s="118"/>
      <c r="AE193" s="43" t="s">
        <v>53</v>
      </c>
      <c r="AG193" s="179">
        <v>14.38495540618896</v>
      </c>
      <c r="AH193" s="103">
        <f>'Additional information'!$D$20</f>
        <v>0.05</v>
      </c>
      <c r="AI193" s="159">
        <f t="shared" si="10"/>
        <v>0.71924777030944798</v>
      </c>
      <c r="AJ193" s="159">
        <f t="shared" si="11"/>
        <v>0.71924777030944798</v>
      </c>
      <c r="AK193" s="69"/>
    </row>
    <row r="194" spans="1:37" x14ac:dyDescent="0.2">
      <c r="A194" s="70" t="s">
        <v>36</v>
      </c>
      <c r="B194" s="70" t="s">
        <v>1205</v>
      </c>
      <c r="C194" s="42"/>
      <c r="D194" s="42"/>
      <c r="E194" s="42"/>
      <c r="F194" s="42"/>
      <c r="G194" s="42"/>
      <c r="H194" s="42"/>
      <c r="I194" s="42"/>
      <c r="J194" s="83"/>
      <c r="K194" s="70"/>
      <c r="L194" s="70"/>
      <c r="M194" s="70"/>
      <c r="N194" s="70"/>
      <c r="O194" s="70"/>
      <c r="P194" s="70"/>
      <c r="Q194" s="70"/>
      <c r="R194" s="84"/>
      <c r="S194" s="113"/>
      <c r="T194" s="113"/>
      <c r="U194" s="113"/>
      <c r="V194" s="113"/>
      <c r="W194" s="113"/>
      <c r="X194" s="113"/>
      <c r="Y194" s="113"/>
      <c r="Z194" s="113" t="s">
        <v>1206</v>
      </c>
      <c r="AE194" s="43" t="s">
        <v>53</v>
      </c>
      <c r="AG194" s="179"/>
      <c r="AH194" s="103">
        <f>'Additional information'!$D$20</f>
        <v>0.05</v>
      </c>
      <c r="AI194" s="159" t="str">
        <f t="shared" si="10"/>
        <v/>
      </c>
      <c r="AJ194" s="159" t="str">
        <f t="shared" si="11"/>
        <v/>
      </c>
    </row>
    <row r="195" spans="1:37" ht="16" customHeight="1" x14ac:dyDescent="0.2">
      <c r="A195" s="70" t="s">
        <v>116</v>
      </c>
      <c r="B195" s="70" t="s">
        <v>1207</v>
      </c>
      <c r="C195" s="76" t="s">
        <v>703</v>
      </c>
      <c r="D195" s="42" t="s">
        <v>704</v>
      </c>
      <c r="E195" s="42" t="s">
        <v>705</v>
      </c>
      <c r="F195" s="42" t="s">
        <v>706</v>
      </c>
      <c r="G195" s="42" t="s">
        <v>707</v>
      </c>
      <c r="H195" s="42" t="s">
        <v>1208</v>
      </c>
      <c r="I195" s="42" t="s">
        <v>709</v>
      </c>
      <c r="J195" s="94"/>
      <c r="K195" s="71" t="s">
        <v>710</v>
      </c>
      <c r="L195" s="71" t="s">
        <v>1209</v>
      </c>
      <c r="M195" s="71" t="s">
        <v>1210</v>
      </c>
      <c r="N195" s="71" t="s">
        <v>1183</v>
      </c>
      <c r="O195" s="71" t="s">
        <v>714</v>
      </c>
      <c r="P195" s="71" t="s">
        <v>1184</v>
      </c>
      <c r="Q195" s="71"/>
      <c r="R195" s="84"/>
      <c r="S195" s="113" t="s">
        <v>51</v>
      </c>
      <c r="T195" s="113"/>
      <c r="U195" s="113"/>
      <c r="V195" s="113"/>
      <c r="W195" s="115" t="s">
        <v>1211</v>
      </c>
      <c r="X195" s="113"/>
      <c r="Y195" s="113"/>
      <c r="Z195" s="113"/>
      <c r="AE195" s="43" t="s">
        <v>53</v>
      </c>
      <c r="AG195" s="179"/>
      <c r="AH195" s="103">
        <f>'Additional information'!$D$20</f>
        <v>0.05</v>
      </c>
      <c r="AI195" s="159" t="str">
        <f t="shared" si="10"/>
        <v/>
      </c>
      <c r="AJ195" s="159" t="str">
        <f t="shared" si="11"/>
        <v/>
      </c>
    </row>
    <row r="196" spans="1:37" x14ac:dyDescent="0.2">
      <c r="D196" s="43"/>
      <c r="E196" s="43"/>
      <c r="F196" s="43"/>
      <c r="G196" s="43"/>
      <c r="H196" s="43"/>
      <c r="I196" s="43"/>
      <c r="J196" s="83"/>
      <c r="R196" s="84"/>
      <c r="W196" s="125"/>
      <c r="AG196" s="179"/>
      <c r="AH196" s="103">
        <f>'Additional information'!$D$20</f>
        <v>0.05</v>
      </c>
      <c r="AI196" s="159" t="str">
        <f t="shared" si="10"/>
        <v/>
      </c>
      <c r="AJ196" s="159" t="str">
        <f t="shared" si="11"/>
        <v/>
      </c>
    </row>
    <row r="197" spans="1:37" ht="45" customHeight="1" x14ac:dyDescent="0.2">
      <c r="A197" s="70" t="s">
        <v>262</v>
      </c>
      <c r="B197" s="70" t="s">
        <v>1212</v>
      </c>
      <c r="C197" s="42" t="s">
        <v>1213</v>
      </c>
      <c r="D197" s="42" t="s">
        <v>1214</v>
      </c>
      <c r="E197" s="42" t="s">
        <v>1215</v>
      </c>
      <c r="F197" s="42" t="s">
        <v>1216</v>
      </c>
      <c r="G197" s="42" t="s">
        <v>1217</v>
      </c>
      <c r="H197" s="42" t="s">
        <v>1218</v>
      </c>
      <c r="I197" s="42" t="s">
        <v>1219</v>
      </c>
      <c r="J197" s="83"/>
      <c r="K197" s="70"/>
      <c r="L197" s="70"/>
      <c r="M197" s="70"/>
      <c r="N197" s="70"/>
      <c r="O197" s="70"/>
      <c r="P197" s="70"/>
      <c r="Q197" s="70"/>
      <c r="R197" s="84"/>
      <c r="S197" s="113" t="s">
        <v>51</v>
      </c>
      <c r="T197" s="113"/>
      <c r="U197" s="113"/>
      <c r="V197" s="113"/>
      <c r="W197" s="113" t="s">
        <v>1220</v>
      </c>
      <c r="X197" s="113"/>
      <c r="Y197" s="113"/>
      <c r="Z197" s="113"/>
      <c r="AE197" s="43" t="s">
        <v>53</v>
      </c>
      <c r="AG197" s="179">
        <v>9.4380531311035156</v>
      </c>
      <c r="AH197" s="103">
        <f>'Additional information'!$D$20</f>
        <v>0.05</v>
      </c>
      <c r="AI197" s="159">
        <f t="shared" si="10"/>
        <v>0.47190265655517583</v>
      </c>
      <c r="AJ197" s="159">
        <f t="shared" si="11"/>
        <v>0.47190265655517583</v>
      </c>
    </row>
    <row r="198" spans="1:37" ht="30" customHeight="1" x14ac:dyDescent="0.2">
      <c r="A198" s="70" t="s">
        <v>1221</v>
      </c>
      <c r="B198" s="70" t="s">
        <v>1222</v>
      </c>
      <c r="C198" s="42" t="s">
        <v>1223</v>
      </c>
      <c r="D198" s="42" t="s">
        <v>1224</v>
      </c>
      <c r="E198" s="42" t="s">
        <v>1225</v>
      </c>
      <c r="F198" s="42" t="s">
        <v>1226</v>
      </c>
      <c r="G198" s="42" t="s">
        <v>1227</v>
      </c>
      <c r="H198" s="42" t="s">
        <v>1228</v>
      </c>
      <c r="I198" s="42" t="s">
        <v>1229</v>
      </c>
      <c r="J198" s="83"/>
      <c r="K198" s="70" t="s">
        <v>745</v>
      </c>
      <c r="L198" s="70" t="s">
        <v>1230</v>
      </c>
      <c r="M198" s="70" t="s">
        <v>924</v>
      </c>
      <c r="N198" s="70" t="s">
        <v>1231</v>
      </c>
      <c r="O198" s="70" t="s">
        <v>1232</v>
      </c>
      <c r="P198" s="70" t="s">
        <v>1051</v>
      </c>
      <c r="Q198" s="70"/>
      <c r="R198" s="84"/>
      <c r="S198" s="113" t="s">
        <v>51</v>
      </c>
      <c r="T198" s="113"/>
      <c r="U198" s="115" t="s">
        <v>928</v>
      </c>
      <c r="V198" s="113"/>
      <c r="W198" s="115" t="s">
        <v>1233</v>
      </c>
      <c r="X198" s="113"/>
      <c r="Y198" s="113"/>
      <c r="Z198" s="113"/>
      <c r="AE198" s="43" t="s">
        <v>53</v>
      </c>
      <c r="AG198" s="179">
        <v>27.76699066162109</v>
      </c>
      <c r="AH198" s="103">
        <f>'Additional information'!$D$20</f>
        <v>0.05</v>
      </c>
      <c r="AI198" s="159">
        <f t="shared" si="10"/>
        <v>1.3883495330810547</v>
      </c>
      <c r="AJ198" s="159">
        <f t="shared" si="11"/>
        <v>1.3883495330810547</v>
      </c>
    </row>
    <row r="199" spans="1:37" ht="16" customHeight="1" x14ac:dyDescent="0.2">
      <c r="A199" s="70" t="s">
        <v>116</v>
      </c>
      <c r="B199" s="70" t="s">
        <v>1234</v>
      </c>
      <c r="C199" s="76" t="s">
        <v>703</v>
      </c>
      <c r="D199" s="42" t="s">
        <v>704</v>
      </c>
      <c r="E199" s="42" t="s">
        <v>705</v>
      </c>
      <c r="F199" s="42" t="s">
        <v>706</v>
      </c>
      <c r="G199" s="42" t="s">
        <v>707</v>
      </c>
      <c r="H199" s="42" t="s">
        <v>1208</v>
      </c>
      <c r="I199" s="42" t="s">
        <v>709</v>
      </c>
      <c r="J199" s="94"/>
      <c r="K199" s="71" t="s">
        <v>710</v>
      </c>
      <c r="L199" s="71" t="s">
        <v>711</v>
      </c>
      <c r="M199" s="71" t="s">
        <v>1210</v>
      </c>
      <c r="N199" s="71" t="s">
        <v>1183</v>
      </c>
      <c r="O199" s="71" t="s">
        <v>714</v>
      </c>
      <c r="P199" s="71" t="s">
        <v>1184</v>
      </c>
      <c r="Q199" s="71"/>
      <c r="R199" s="84"/>
      <c r="S199" s="113" t="s">
        <v>51</v>
      </c>
      <c r="T199" s="113"/>
      <c r="U199" s="113"/>
      <c r="V199" s="113"/>
      <c r="W199" s="115" t="s">
        <v>1235</v>
      </c>
      <c r="X199" s="113"/>
      <c r="Y199" s="113"/>
      <c r="Z199" s="113"/>
      <c r="AE199" s="43" t="s">
        <v>53</v>
      </c>
      <c r="AG199" s="179"/>
      <c r="AH199" s="103">
        <f>'Additional information'!$D$20</f>
        <v>0.05</v>
      </c>
      <c r="AI199" s="159" t="str">
        <f t="shared" si="10"/>
        <v/>
      </c>
      <c r="AJ199" s="159" t="str">
        <f t="shared" si="11"/>
        <v/>
      </c>
    </row>
    <row r="200" spans="1:37" x14ac:dyDescent="0.2">
      <c r="J200" s="83"/>
      <c r="R200" s="84"/>
      <c r="W200" s="125"/>
      <c r="AG200" s="179"/>
      <c r="AH200" s="103">
        <f>'Additional information'!$D$20</f>
        <v>0.05</v>
      </c>
      <c r="AI200" s="159" t="str">
        <f t="shared" si="10"/>
        <v/>
      </c>
      <c r="AJ200" s="159" t="str">
        <f t="shared" si="11"/>
        <v/>
      </c>
    </row>
    <row r="201" spans="1:37" ht="45" customHeight="1" x14ac:dyDescent="0.2">
      <c r="A201" s="70" t="s">
        <v>514</v>
      </c>
      <c r="B201" s="70" t="s">
        <v>1236</v>
      </c>
      <c r="C201" s="76" t="s">
        <v>1237</v>
      </c>
      <c r="D201" s="42" t="s">
        <v>1238</v>
      </c>
      <c r="E201" s="42" t="s">
        <v>1239</v>
      </c>
      <c r="F201" s="42" t="s">
        <v>1240</v>
      </c>
      <c r="G201" s="42" t="s">
        <v>1241</v>
      </c>
      <c r="H201" s="42" t="s">
        <v>1242</v>
      </c>
      <c r="I201" s="42" t="s">
        <v>1243</v>
      </c>
      <c r="J201" s="83"/>
      <c r="K201" s="70" t="s">
        <v>938</v>
      </c>
      <c r="L201" s="70" t="s">
        <v>1123</v>
      </c>
      <c r="M201" s="70" t="s">
        <v>940</v>
      </c>
      <c r="N201" s="70" t="s">
        <v>1244</v>
      </c>
      <c r="O201" s="70" t="s">
        <v>1245</v>
      </c>
      <c r="P201" s="70" t="s">
        <v>1124</v>
      </c>
      <c r="Q201" s="70"/>
      <c r="R201" s="84"/>
      <c r="S201" s="113" t="s">
        <v>51</v>
      </c>
      <c r="T201" s="113"/>
      <c r="U201" s="113"/>
      <c r="V201" s="113"/>
      <c r="W201" s="113" t="s">
        <v>1220</v>
      </c>
      <c r="X201" s="113"/>
      <c r="Y201" s="113"/>
      <c r="Z201" s="113"/>
      <c r="AE201" s="43" t="s">
        <v>53</v>
      </c>
      <c r="AG201" s="179">
        <v>13.705752372741699</v>
      </c>
      <c r="AH201" s="103">
        <f>'Additional information'!$D$20</f>
        <v>0.05</v>
      </c>
      <c r="AI201" s="159">
        <f t="shared" si="10"/>
        <v>0.68528761863708498</v>
      </c>
      <c r="AJ201" s="159">
        <f t="shared" si="11"/>
        <v>0.68528761863708498</v>
      </c>
    </row>
    <row r="202" spans="1:37" x14ac:dyDescent="0.2">
      <c r="C202" s="45"/>
      <c r="D202" s="45"/>
      <c r="E202" s="45"/>
      <c r="F202" s="45"/>
      <c r="G202" s="45"/>
      <c r="H202" s="45"/>
      <c r="I202" s="45"/>
      <c r="J202" s="83"/>
      <c r="R202" s="84"/>
      <c r="W202" s="125"/>
      <c r="AG202" s="179"/>
      <c r="AH202" s="103">
        <f>'Additional information'!$D$20</f>
        <v>0.05</v>
      </c>
      <c r="AI202" s="159" t="str">
        <f t="shared" si="10"/>
        <v/>
      </c>
      <c r="AJ202" s="159" t="str">
        <f t="shared" si="11"/>
        <v/>
      </c>
    </row>
    <row r="203" spans="1:37" ht="15.75" customHeight="1" thickBot="1" x14ac:dyDescent="0.25">
      <c r="A203" s="97" t="s">
        <v>278</v>
      </c>
      <c r="B203" s="97"/>
      <c r="C203" s="98"/>
      <c r="D203" s="98"/>
      <c r="E203" s="98"/>
      <c r="F203" s="98"/>
      <c r="G203" s="98"/>
      <c r="H203" s="98"/>
      <c r="I203" s="98"/>
      <c r="J203" s="105"/>
      <c r="K203" s="97"/>
      <c r="L203" s="97"/>
      <c r="M203" s="97"/>
      <c r="N203" s="97"/>
      <c r="O203" s="97"/>
      <c r="P203" s="97"/>
      <c r="Q203" s="97"/>
      <c r="R203" s="106"/>
      <c r="S203" s="126"/>
      <c r="T203" s="126"/>
      <c r="U203" s="126"/>
      <c r="V203" s="126"/>
      <c r="W203" s="126"/>
      <c r="X203" s="126"/>
      <c r="Y203" s="126"/>
      <c r="Z203" s="126"/>
      <c r="AG203" s="179"/>
      <c r="AI203" s="159" t="str">
        <f t="shared" si="10"/>
        <v/>
      </c>
      <c r="AJ203" s="159" t="str">
        <f t="shared" si="11"/>
        <v/>
      </c>
    </row>
    <row r="204" spans="1:37" s="68" customFormat="1" ht="15.75" customHeight="1" thickTop="1" x14ac:dyDescent="0.2">
      <c r="A204" s="65" t="s">
        <v>108</v>
      </c>
      <c r="B204" s="65" t="s">
        <v>1246</v>
      </c>
      <c r="C204" s="89" t="s">
        <v>1247</v>
      </c>
      <c r="D204" s="211" t="s">
        <v>1248</v>
      </c>
      <c r="E204" s="211" t="s">
        <v>1249</v>
      </c>
      <c r="F204" s="211" t="s">
        <v>1250</v>
      </c>
      <c r="G204" s="211" t="s">
        <v>1251</v>
      </c>
      <c r="H204" s="211" t="s">
        <v>1252</v>
      </c>
      <c r="I204" s="211" t="s">
        <v>1253</v>
      </c>
      <c r="J204" s="66"/>
      <c r="K204" s="65"/>
      <c r="L204" s="65"/>
      <c r="M204" s="65"/>
      <c r="N204" s="65"/>
      <c r="O204" s="65"/>
      <c r="P204" s="65"/>
      <c r="Q204" s="65"/>
      <c r="R204" s="67"/>
      <c r="S204" s="118" t="s">
        <v>72</v>
      </c>
      <c r="T204" s="118"/>
      <c r="U204" s="118"/>
      <c r="V204" s="118"/>
      <c r="W204" s="119" t="s">
        <v>287</v>
      </c>
      <c r="X204" s="118"/>
      <c r="Y204" s="118"/>
      <c r="Z204" s="118"/>
      <c r="AE204" s="43" t="s">
        <v>53</v>
      </c>
      <c r="AG204" s="179"/>
      <c r="AH204" s="69"/>
      <c r="AI204" s="159" t="str">
        <f t="shared" si="10"/>
        <v/>
      </c>
      <c r="AJ204" s="159" t="str">
        <f t="shared" si="11"/>
        <v/>
      </c>
      <c r="AK204" s="69"/>
    </row>
    <row r="205" spans="1:37" x14ac:dyDescent="0.2">
      <c r="C205" s="45"/>
      <c r="D205" s="45"/>
      <c r="E205" s="45"/>
      <c r="F205" s="45"/>
      <c r="G205" s="45"/>
      <c r="H205" s="45"/>
      <c r="I205" s="45"/>
      <c r="J205" s="83"/>
      <c r="R205" s="84"/>
      <c r="W205" s="125"/>
      <c r="AG205" s="179"/>
      <c r="AH205" s="103">
        <v>1</v>
      </c>
      <c r="AI205" s="159" t="str">
        <f t="shared" ref="AI205:AI236" si="12">IF(AG205&lt;&gt;"",AG205*AH205,"")</f>
        <v/>
      </c>
      <c r="AJ205" s="159" t="str">
        <f t="shared" ref="AJ205:AJ236" si="13">IF(AND(AG205&lt;&gt;"",AE205="yes"),AG205*AH205,"")</f>
        <v/>
      </c>
    </row>
    <row r="206" spans="1:37" s="68" customFormat="1" ht="60" customHeight="1" x14ac:dyDescent="0.2">
      <c r="A206" s="70" t="s">
        <v>56</v>
      </c>
      <c r="B206" s="70" t="s">
        <v>1254</v>
      </c>
      <c r="C206" s="42" t="s">
        <v>1255</v>
      </c>
      <c r="D206" s="216" t="s">
        <v>1256</v>
      </c>
      <c r="E206" s="216" t="s">
        <v>1257</v>
      </c>
      <c r="F206" s="216" t="s">
        <v>1258</v>
      </c>
      <c r="G206" s="216" t="s">
        <v>1259</v>
      </c>
      <c r="H206" s="216" t="s">
        <v>1260</v>
      </c>
      <c r="I206" s="216" t="s">
        <v>1261</v>
      </c>
      <c r="J206" s="66"/>
      <c r="R206" s="67"/>
      <c r="S206" s="118"/>
      <c r="T206" s="118"/>
      <c r="U206" s="118"/>
      <c r="V206" s="118"/>
      <c r="W206" s="118"/>
      <c r="X206" s="118"/>
      <c r="Y206" s="118"/>
      <c r="Z206" s="118"/>
      <c r="AE206" s="43" t="s">
        <v>73</v>
      </c>
      <c r="AG206" s="179"/>
      <c r="AH206" s="104">
        <v>1</v>
      </c>
      <c r="AI206" s="159" t="str">
        <f t="shared" si="12"/>
        <v/>
      </c>
      <c r="AJ206" s="159" t="str">
        <f t="shared" si="13"/>
        <v/>
      </c>
      <c r="AK206" s="69"/>
    </row>
    <row r="207" spans="1:37" x14ac:dyDescent="0.2">
      <c r="C207" s="45"/>
      <c r="D207" s="45"/>
      <c r="E207" s="45"/>
      <c r="F207" s="45"/>
      <c r="G207" s="45"/>
      <c r="H207" s="45"/>
      <c r="I207" s="45"/>
      <c r="J207" s="83"/>
      <c r="R207" s="84"/>
      <c r="W207" s="125"/>
      <c r="AG207" s="179"/>
      <c r="AH207" s="103">
        <v>1</v>
      </c>
      <c r="AI207" s="159" t="str">
        <f t="shared" si="12"/>
        <v/>
      </c>
      <c r="AJ207" s="159" t="str">
        <f t="shared" si="13"/>
        <v/>
      </c>
    </row>
    <row r="208" spans="1:37" s="68" customFormat="1" ht="16" customHeight="1" x14ac:dyDescent="0.2">
      <c r="A208" s="70" t="s">
        <v>108</v>
      </c>
      <c r="B208" s="70" t="s">
        <v>1262</v>
      </c>
      <c r="C208" s="89" t="s">
        <v>1263</v>
      </c>
      <c r="D208" s="5" t="s">
        <v>1263</v>
      </c>
      <c r="E208" s="5"/>
      <c r="F208" s="5"/>
      <c r="G208" s="5"/>
      <c r="H208" s="5"/>
      <c r="I208" s="5"/>
      <c r="J208" s="66"/>
      <c r="K208" s="65"/>
      <c r="L208" s="65"/>
      <c r="M208" s="65"/>
      <c r="N208" s="65"/>
      <c r="O208" s="65"/>
      <c r="P208" s="65"/>
      <c r="Q208" s="65"/>
      <c r="R208" s="67"/>
      <c r="S208" s="118"/>
      <c r="T208" s="118"/>
      <c r="U208" s="118"/>
      <c r="V208" s="118"/>
      <c r="W208" s="118"/>
      <c r="X208" s="118"/>
      <c r="Y208" s="118"/>
      <c r="Z208" s="118"/>
      <c r="AE208" s="43"/>
      <c r="AG208" s="179"/>
      <c r="AH208" s="104">
        <v>1</v>
      </c>
      <c r="AI208" s="159" t="str">
        <f t="shared" si="12"/>
        <v/>
      </c>
      <c r="AJ208" s="159" t="str">
        <f t="shared" si="13"/>
        <v/>
      </c>
      <c r="AK208" s="69"/>
    </row>
    <row r="209" spans="1:36" ht="45" customHeight="1" x14ac:dyDescent="0.2">
      <c r="A209" s="70" t="s">
        <v>56</v>
      </c>
      <c r="B209" s="70" t="s">
        <v>1264</v>
      </c>
      <c r="C209" s="42" t="s">
        <v>1265</v>
      </c>
      <c r="D209" s="42" t="s">
        <v>1266</v>
      </c>
      <c r="E209" s="42" t="s">
        <v>1267</v>
      </c>
      <c r="F209" s="42" t="s">
        <v>1268</v>
      </c>
      <c r="G209" s="42" t="s">
        <v>1269</v>
      </c>
      <c r="H209" s="42" t="s">
        <v>1270</v>
      </c>
      <c r="I209" s="42" t="s">
        <v>1271</v>
      </c>
      <c r="J209" s="83"/>
      <c r="K209" s="70"/>
      <c r="L209" s="70"/>
      <c r="M209" s="70"/>
      <c r="N209" s="70"/>
      <c r="O209" s="70"/>
      <c r="P209" s="70"/>
      <c r="Q209" s="70"/>
      <c r="R209" s="84"/>
      <c r="S209" s="113" t="s">
        <v>72</v>
      </c>
      <c r="T209" s="113"/>
      <c r="U209" s="113"/>
      <c r="V209" s="113"/>
      <c r="W209" s="113"/>
      <c r="X209" s="113"/>
      <c r="Y209" s="113"/>
      <c r="Z209" s="113"/>
      <c r="AE209" s="43" t="s">
        <v>53</v>
      </c>
      <c r="AG209" s="179">
        <v>12.77690315246582</v>
      </c>
      <c r="AH209" s="104">
        <v>1</v>
      </c>
      <c r="AI209" s="159">
        <f t="shared" si="12"/>
        <v>12.77690315246582</v>
      </c>
      <c r="AJ209" s="159">
        <f t="shared" si="13"/>
        <v>12.77690315246582</v>
      </c>
    </row>
    <row r="210" spans="1:36" ht="45" customHeight="1" x14ac:dyDescent="0.2">
      <c r="A210" s="70" t="s">
        <v>262</v>
      </c>
      <c r="B210" s="70" t="s">
        <v>1272</v>
      </c>
      <c r="C210" s="42" t="s">
        <v>1273</v>
      </c>
      <c r="D210" s="214" t="s">
        <v>1274</v>
      </c>
      <c r="E210" s="214" t="s">
        <v>1275</v>
      </c>
      <c r="F210" s="214" t="s">
        <v>1276</v>
      </c>
      <c r="G210" s="214" t="s">
        <v>1277</v>
      </c>
      <c r="H210" s="214" t="s">
        <v>1278</v>
      </c>
      <c r="I210" s="214" t="s">
        <v>1279</v>
      </c>
      <c r="J210" s="83"/>
      <c r="K210" s="70"/>
      <c r="L210" s="70"/>
      <c r="M210" s="70"/>
      <c r="N210" s="70"/>
      <c r="O210" s="70"/>
      <c r="P210" s="70"/>
      <c r="Q210" s="70"/>
      <c r="R210" s="84"/>
      <c r="S210" s="113" t="s">
        <v>51</v>
      </c>
      <c r="T210" s="113"/>
      <c r="U210" s="113"/>
      <c r="V210" s="113"/>
      <c r="W210" s="113"/>
      <c r="X210" s="113"/>
      <c r="Y210" s="113"/>
      <c r="Z210" s="113"/>
      <c r="AE210" s="43" t="s">
        <v>53</v>
      </c>
      <c r="AG210" s="179">
        <v>21.398605346679691</v>
      </c>
      <c r="AH210" s="104">
        <v>1</v>
      </c>
      <c r="AI210" s="159">
        <f t="shared" si="12"/>
        <v>21.398605346679691</v>
      </c>
      <c r="AJ210" s="159">
        <f t="shared" si="13"/>
        <v>21.398605346679691</v>
      </c>
    </row>
    <row r="211" spans="1:36" ht="45" customHeight="1" x14ac:dyDescent="0.2">
      <c r="A211" s="70" t="s">
        <v>262</v>
      </c>
      <c r="B211" s="70" t="s">
        <v>1280</v>
      </c>
      <c r="C211" s="42" t="s">
        <v>1281</v>
      </c>
      <c r="D211" s="214" t="s">
        <v>1282</v>
      </c>
      <c r="E211" s="214" t="s">
        <v>1283</v>
      </c>
      <c r="F211" s="214" t="s">
        <v>1284</v>
      </c>
      <c r="G211" s="214" t="s">
        <v>1285</v>
      </c>
      <c r="H211" s="214" t="s">
        <v>1286</v>
      </c>
      <c r="I211" s="214" t="s">
        <v>1287</v>
      </c>
      <c r="J211" s="83"/>
      <c r="K211" s="70"/>
      <c r="L211" s="70"/>
      <c r="M211" s="70"/>
      <c r="N211" s="70"/>
      <c r="O211" s="70"/>
      <c r="P211" s="70"/>
      <c r="Q211" s="70"/>
      <c r="R211" s="84"/>
      <c r="S211" s="113" t="s">
        <v>51</v>
      </c>
      <c r="T211" s="113"/>
      <c r="U211" s="113"/>
      <c r="V211" s="113"/>
      <c r="W211" s="113"/>
      <c r="X211" s="113"/>
      <c r="Y211" s="113"/>
      <c r="Z211" s="113"/>
      <c r="AE211" s="43" t="s">
        <v>53</v>
      </c>
      <c r="AG211" s="179">
        <v>14.980740547180179</v>
      </c>
      <c r="AH211" s="104">
        <v>1</v>
      </c>
      <c r="AI211" s="159">
        <f t="shared" si="12"/>
        <v>14.980740547180179</v>
      </c>
      <c r="AJ211" s="159">
        <f t="shared" si="13"/>
        <v>14.980740547180179</v>
      </c>
    </row>
    <row r="212" spans="1:36" ht="45" customHeight="1" x14ac:dyDescent="0.2">
      <c r="A212" s="70" t="s">
        <v>262</v>
      </c>
      <c r="B212" s="70" t="s">
        <v>1288</v>
      </c>
      <c r="C212" s="42" t="s">
        <v>1289</v>
      </c>
      <c r="D212" s="214" t="s">
        <v>1290</v>
      </c>
      <c r="E212" s="214" t="s">
        <v>1291</v>
      </c>
      <c r="F212" s="214" t="s">
        <v>1292</v>
      </c>
      <c r="G212" s="214" t="s">
        <v>1293</v>
      </c>
      <c r="H212" s="214" t="s">
        <v>1294</v>
      </c>
      <c r="I212" s="214" t="s">
        <v>1295</v>
      </c>
      <c r="J212" s="83"/>
      <c r="K212" s="70"/>
      <c r="L212" s="70"/>
      <c r="M212" s="70"/>
      <c r="N212" s="70"/>
      <c r="O212" s="70"/>
      <c r="P212" s="70"/>
      <c r="Q212" s="70"/>
      <c r="R212" s="84"/>
      <c r="S212" s="113" t="s">
        <v>51</v>
      </c>
      <c r="T212" s="113"/>
      <c r="U212" s="113"/>
      <c r="V212" s="113"/>
      <c r="W212" s="113"/>
      <c r="X212" s="113"/>
      <c r="Y212" s="113"/>
      <c r="Z212" s="113"/>
      <c r="AE212" s="43" t="s">
        <v>53</v>
      </c>
      <c r="AG212" s="179">
        <v>13.72302150726318</v>
      </c>
      <c r="AH212" s="104">
        <v>1</v>
      </c>
      <c r="AI212" s="159">
        <f t="shared" si="12"/>
        <v>13.72302150726318</v>
      </c>
      <c r="AJ212" s="159">
        <f t="shared" si="13"/>
        <v>13.72302150726318</v>
      </c>
    </row>
    <row r="213" spans="1:36" ht="45" customHeight="1" x14ac:dyDescent="0.2">
      <c r="A213" s="70" t="s">
        <v>262</v>
      </c>
      <c r="B213" s="70" t="s">
        <v>1296</v>
      </c>
      <c r="C213" s="42" t="s">
        <v>1297</v>
      </c>
      <c r="D213" s="214" t="s">
        <v>1298</v>
      </c>
      <c r="E213" s="214" t="s">
        <v>1299</v>
      </c>
      <c r="F213" s="214" t="s">
        <v>1300</v>
      </c>
      <c r="G213" s="214" t="s">
        <v>1301</v>
      </c>
      <c r="H213" s="214" t="s">
        <v>1302</v>
      </c>
      <c r="I213" s="214" t="s">
        <v>1303</v>
      </c>
      <c r="J213" s="83"/>
      <c r="K213" s="70"/>
      <c r="L213" s="70"/>
      <c r="M213" s="70"/>
      <c r="N213" s="70"/>
      <c r="O213" s="70"/>
      <c r="P213" s="70"/>
      <c r="Q213" s="70"/>
      <c r="R213" s="84"/>
      <c r="S213" s="113" t="s">
        <v>51</v>
      </c>
      <c r="T213" s="113"/>
      <c r="U213" s="113"/>
      <c r="V213" s="113"/>
      <c r="W213" s="113"/>
      <c r="X213" s="113"/>
      <c r="Y213" s="113"/>
      <c r="Z213" s="113"/>
      <c r="AE213" s="43" t="s">
        <v>53</v>
      </c>
      <c r="AG213" s="179">
        <v>13.06220054626465</v>
      </c>
      <c r="AH213" s="104">
        <v>1</v>
      </c>
      <c r="AI213" s="159">
        <f t="shared" si="12"/>
        <v>13.06220054626465</v>
      </c>
      <c r="AJ213" s="159">
        <f t="shared" si="13"/>
        <v>13.06220054626465</v>
      </c>
    </row>
    <row r="214" spans="1:36" ht="60" customHeight="1" x14ac:dyDescent="0.2">
      <c r="A214" s="70" t="s">
        <v>262</v>
      </c>
      <c r="B214" s="70" t="s">
        <v>1304</v>
      </c>
      <c r="C214" s="42" t="s">
        <v>1305</v>
      </c>
      <c r="D214" s="214" t="s">
        <v>1306</v>
      </c>
      <c r="E214" s="214" t="s">
        <v>1307</v>
      </c>
      <c r="F214" s="214" t="s">
        <v>1308</v>
      </c>
      <c r="G214" s="214" t="s">
        <v>1309</v>
      </c>
      <c r="H214" s="214" t="s">
        <v>1310</v>
      </c>
      <c r="I214" s="214" t="s">
        <v>1311</v>
      </c>
      <c r="J214" s="83"/>
      <c r="K214" s="70"/>
      <c r="L214" s="70"/>
      <c r="M214" s="70"/>
      <c r="N214" s="70"/>
      <c r="O214" s="70"/>
      <c r="P214" s="70"/>
      <c r="Q214" s="70"/>
      <c r="R214" s="84"/>
      <c r="S214" s="113" t="s">
        <v>51</v>
      </c>
      <c r="T214" s="113"/>
      <c r="U214" s="113"/>
      <c r="V214" s="113"/>
      <c r="W214" s="113"/>
      <c r="X214" s="113"/>
      <c r="Y214" s="113"/>
      <c r="Z214" s="113"/>
      <c r="AE214" s="43" t="s">
        <v>53</v>
      </c>
      <c r="AG214" s="179">
        <v>13.09532356262207</v>
      </c>
      <c r="AH214" s="104">
        <v>1</v>
      </c>
      <c r="AI214" s="159">
        <f t="shared" si="12"/>
        <v>13.09532356262207</v>
      </c>
      <c r="AJ214" s="159">
        <f t="shared" si="13"/>
        <v>13.09532356262207</v>
      </c>
    </row>
    <row r="215" spans="1:36" ht="45" customHeight="1" x14ac:dyDescent="0.2">
      <c r="A215" s="70" t="s">
        <v>262</v>
      </c>
      <c r="B215" s="70" t="s">
        <v>1312</v>
      </c>
      <c r="C215" s="42" t="s">
        <v>1313</v>
      </c>
      <c r="D215" s="217" t="s">
        <v>1314</v>
      </c>
      <c r="E215" s="217" t="s">
        <v>1315</v>
      </c>
      <c r="F215" s="217" t="s">
        <v>1316</v>
      </c>
      <c r="G215" s="217" t="s">
        <v>1317</v>
      </c>
      <c r="H215" s="217" t="s">
        <v>1318</v>
      </c>
      <c r="I215" s="217" t="s">
        <v>1319</v>
      </c>
      <c r="J215" s="83"/>
      <c r="K215" s="70"/>
      <c r="L215" s="70"/>
      <c r="M215" s="70"/>
      <c r="N215" s="70"/>
      <c r="O215" s="70"/>
      <c r="P215" s="70"/>
      <c r="Q215" s="70"/>
      <c r="R215" s="84"/>
      <c r="S215" s="113" t="s">
        <v>51</v>
      </c>
      <c r="T215" s="113"/>
      <c r="U215" s="113"/>
      <c r="V215" s="113"/>
      <c r="W215" s="113"/>
      <c r="X215" s="113"/>
      <c r="Y215" s="113"/>
      <c r="Z215" s="113"/>
      <c r="AE215" s="43" t="s">
        <v>53</v>
      </c>
      <c r="AG215" s="179">
        <v>16.10101918465228</v>
      </c>
      <c r="AH215" s="104">
        <v>1</v>
      </c>
      <c r="AI215" s="159">
        <f t="shared" si="12"/>
        <v>16.10101918465228</v>
      </c>
      <c r="AJ215" s="159">
        <f t="shared" si="13"/>
        <v>16.10101918465228</v>
      </c>
    </row>
    <row r="216" spans="1:36" s="71" customFormat="1" ht="16" customHeight="1" x14ac:dyDescent="0.2">
      <c r="A216" s="75" t="s">
        <v>1320</v>
      </c>
      <c r="B216" s="75" t="s">
        <v>1321</v>
      </c>
      <c r="C216" s="76" t="s">
        <v>1322</v>
      </c>
      <c r="D216" s="214" t="s">
        <v>1323</v>
      </c>
      <c r="E216" s="214" t="s">
        <v>1324</v>
      </c>
      <c r="F216" s="214" t="s">
        <v>1325</v>
      </c>
      <c r="G216" s="214" t="s">
        <v>801</v>
      </c>
      <c r="H216" s="214" t="s">
        <v>1326</v>
      </c>
      <c r="I216" s="214" t="s">
        <v>1327</v>
      </c>
      <c r="J216" s="94"/>
      <c r="K216" s="75"/>
      <c r="L216" s="75"/>
      <c r="M216" s="75"/>
      <c r="N216" s="75"/>
      <c r="O216" s="75"/>
      <c r="P216" s="75"/>
      <c r="Q216" s="75"/>
      <c r="R216" s="96"/>
      <c r="S216" s="115" t="s">
        <v>51</v>
      </c>
      <c r="T216" s="115"/>
      <c r="U216" s="115"/>
      <c r="V216" s="115"/>
      <c r="W216" s="115" t="s">
        <v>1328</v>
      </c>
      <c r="X216" s="115"/>
      <c r="Y216" s="115"/>
      <c r="Z216" s="115"/>
      <c r="AE216" s="71" t="s">
        <v>53</v>
      </c>
      <c r="AG216" s="179">
        <v>11.76504325866699</v>
      </c>
      <c r="AH216" s="104">
        <v>1</v>
      </c>
      <c r="AI216" s="159">
        <f t="shared" si="12"/>
        <v>11.76504325866699</v>
      </c>
      <c r="AJ216" s="159">
        <f t="shared" si="13"/>
        <v>11.76504325866699</v>
      </c>
    </row>
    <row r="217" spans="1:36" s="71" customFormat="1" ht="45" customHeight="1" x14ac:dyDescent="0.2">
      <c r="A217" s="75" t="s">
        <v>262</v>
      </c>
      <c r="B217" s="75" t="s">
        <v>1329</v>
      </c>
      <c r="C217" s="76" t="s">
        <v>1330</v>
      </c>
      <c r="D217" s="217" t="s">
        <v>1331</v>
      </c>
      <c r="E217" s="217" t="s">
        <v>1332</v>
      </c>
      <c r="F217" s="217" t="s">
        <v>1333</v>
      </c>
      <c r="G217" s="217" t="s">
        <v>1334</v>
      </c>
      <c r="H217" s="217" t="s">
        <v>1335</v>
      </c>
      <c r="I217" s="217" t="s">
        <v>1336</v>
      </c>
      <c r="J217" s="94"/>
      <c r="K217" s="75"/>
      <c r="L217" s="75"/>
      <c r="M217" s="75"/>
      <c r="N217" s="75"/>
      <c r="O217" s="75"/>
      <c r="P217" s="75"/>
      <c r="Q217" s="75"/>
      <c r="R217" s="96"/>
      <c r="S217" s="115" t="s">
        <v>51</v>
      </c>
      <c r="T217" s="115"/>
      <c r="U217" s="115"/>
      <c r="V217" s="115"/>
      <c r="W217" s="115"/>
      <c r="X217" s="115"/>
      <c r="Y217" s="115"/>
      <c r="Z217" s="115"/>
      <c r="AE217" s="71" t="s">
        <v>53</v>
      </c>
      <c r="AG217" s="179">
        <v>12.432478904724119</v>
      </c>
      <c r="AH217" s="104">
        <v>1</v>
      </c>
      <c r="AI217" s="159">
        <f t="shared" si="12"/>
        <v>12.432478904724119</v>
      </c>
      <c r="AJ217" s="159">
        <f t="shared" si="13"/>
        <v>12.432478904724119</v>
      </c>
    </row>
    <row r="218" spans="1:36" s="71" customFormat="1" ht="16" customHeight="1" x14ac:dyDescent="0.2">
      <c r="A218" s="75" t="s">
        <v>1320</v>
      </c>
      <c r="B218" s="75" t="s">
        <v>1337</v>
      </c>
      <c r="C218" s="76" t="s">
        <v>1322</v>
      </c>
      <c r="D218" s="214" t="s">
        <v>1323</v>
      </c>
      <c r="E218" s="214" t="s">
        <v>1324</v>
      </c>
      <c r="F218" s="214" t="s">
        <v>1325</v>
      </c>
      <c r="G218" s="214" t="s">
        <v>1338</v>
      </c>
      <c r="H218" s="214" t="s">
        <v>1326</v>
      </c>
      <c r="I218" s="214" t="s">
        <v>1327</v>
      </c>
      <c r="J218" s="94"/>
      <c r="K218" s="75"/>
      <c r="L218" s="75"/>
      <c r="M218" s="75"/>
      <c r="N218" s="75"/>
      <c r="O218" s="75"/>
      <c r="P218" s="75"/>
      <c r="Q218" s="75"/>
      <c r="R218" s="96"/>
      <c r="S218" s="115" t="s">
        <v>51</v>
      </c>
      <c r="T218" s="115"/>
      <c r="U218" s="115"/>
      <c r="V218" s="115"/>
      <c r="W218" s="115" t="s">
        <v>1339</v>
      </c>
      <c r="X218" s="115"/>
      <c r="Y218" s="115"/>
      <c r="Z218" s="115"/>
      <c r="AE218" s="71" t="s">
        <v>53</v>
      </c>
      <c r="AG218" s="179">
        <v>8.9801836013793945</v>
      </c>
      <c r="AH218" s="104">
        <v>1</v>
      </c>
      <c r="AI218" s="159">
        <f t="shared" si="12"/>
        <v>8.9801836013793945</v>
      </c>
      <c r="AJ218" s="159">
        <f t="shared" si="13"/>
        <v>8.9801836013793945</v>
      </c>
    </row>
    <row r="219" spans="1:36" s="71" customFormat="1" ht="45" customHeight="1" x14ac:dyDescent="0.2">
      <c r="A219" s="75" t="s">
        <v>262</v>
      </c>
      <c r="B219" s="75" t="s">
        <v>1340</v>
      </c>
      <c r="C219" s="76" t="s">
        <v>1341</v>
      </c>
      <c r="D219" s="217" t="s">
        <v>1342</v>
      </c>
      <c r="E219" s="217" t="s">
        <v>1343</v>
      </c>
      <c r="F219" s="217" t="s">
        <v>1344</v>
      </c>
      <c r="G219" s="217" t="s">
        <v>1345</v>
      </c>
      <c r="H219" s="217" t="s">
        <v>1346</v>
      </c>
      <c r="I219" s="217" t="s">
        <v>1347</v>
      </c>
      <c r="J219" s="94"/>
      <c r="K219" s="75"/>
      <c r="L219" s="75"/>
      <c r="M219" s="75"/>
      <c r="N219" s="75"/>
      <c r="O219" s="75"/>
      <c r="P219" s="75"/>
      <c r="Q219" s="75"/>
      <c r="R219" s="96"/>
      <c r="S219" s="115" t="s">
        <v>51</v>
      </c>
      <c r="T219" s="115"/>
      <c r="U219" s="115"/>
      <c r="V219" s="115"/>
      <c r="W219" s="115"/>
      <c r="X219" s="115"/>
      <c r="Y219" s="115"/>
      <c r="Z219" s="115"/>
      <c r="AE219" s="71" t="s">
        <v>53</v>
      </c>
      <c r="AG219" s="179">
        <v>11.089328765869141</v>
      </c>
      <c r="AH219" s="104">
        <v>1</v>
      </c>
      <c r="AI219" s="159">
        <f t="shared" si="12"/>
        <v>11.089328765869141</v>
      </c>
      <c r="AJ219" s="159">
        <f t="shared" si="13"/>
        <v>11.089328765869141</v>
      </c>
    </row>
    <row r="220" spans="1:36" s="71" customFormat="1" ht="16" customHeight="1" x14ac:dyDescent="0.2">
      <c r="A220" s="75" t="s">
        <v>1320</v>
      </c>
      <c r="B220" s="75" t="s">
        <v>1348</v>
      </c>
      <c r="C220" s="76" t="s">
        <v>1322</v>
      </c>
      <c r="D220" s="214" t="s">
        <v>1323</v>
      </c>
      <c r="E220" s="214" t="s">
        <v>1324</v>
      </c>
      <c r="F220" s="214" t="s">
        <v>1325</v>
      </c>
      <c r="G220" s="214" t="s">
        <v>1338</v>
      </c>
      <c r="H220" s="214" t="s">
        <v>1326</v>
      </c>
      <c r="I220" s="214" t="s">
        <v>1327</v>
      </c>
      <c r="J220" s="94"/>
      <c r="K220" s="75"/>
      <c r="L220" s="75"/>
      <c r="M220" s="75"/>
      <c r="N220" s="75"/>
      <c r="O220" s="75"/>
      <c r="P220" s="75"/>
      <c r="Q220" s="75"/>
      <c r="R220" s="96"/>
      <c r="S220" s="115" t="s">
        <v>51</v>
      </c>
      <c r="T220" s="115"/>
      <c r="U220" s="115"/>
      <c r="V220" s="115"/>
      <c r="W220" s="115" t="s">
        <v>1349</v>
      </c>
      <c r="X220" s="115"/>
      <c r="Y220" s="115"/>
      <c r="Z220" s="115"/>
      <c r="AE220" s="71" t="s">
        <v>53</v>
      </c>
      <c r="AG220" s="179">
        <v>8.0683355331420898</v>
      </c>
      <c r="AH220" s="104">
        <v>1</v>
      </c>
      <c r="AI220" s="159">
        <f t="shared" si="12"/>
        <v>8.0683355331420898</v>
      </c>
      <c r="AJ220" s="159">
        <f t="shared" si="13"/>
        <v>8.0683355331420898</v>
      </c>
    </row>
    <row r="221" spans="1:36" x14ac:dyDescent="0.2">
      <c r="A221" s="75" t="s">
        <v>278</v>
      </c>
      <c r="B221" s="75"/>
      <c r="C221" s="42"/>
      <c r="D221" s="42"/>
      <c r="E221" s="42"/>
      <c r="F221" s="42"/>
      <c r="G221" s="42"/>
      <c r="H221" s="42"/>
      <c r="I221" s="42"/>
      <c r="J221" s="83"/>
      <c r="K221" s="70"/>
      <c r="L221" s="70"/>
      <c r="M221" s="70"/>
      <c r="N221" s="70"/>
      <c r="O221" s="70"/>
      <c r="P221" s="70"/>
      <c r="Q221" s="70"/>
      <c r="R221" s="84"/>
      <c r="S221" s="113"/>
      <c r="T221" s="113"/>
      <c r="U221" s="113"/>
      <c r="V221" s="113"/>
      <c r="W221" s="113"/>
      <c r="X221" s="113"/>
      <c r="Y221" s="113"/>
      <c r="Z221" s="113"/>
      <c r="AG221" s="179"/>
      <c r="AH221" s="104">
        <v>1</v>
      </c>
      <c r="AI221" s="159" t="str">
        <f t="shared" si="12"/>
        <v/>
      </c>
      <c r="AJ221" s="159" t="str">
        <f t="shared" si="13"/>
        <v/>
      </c>
    </row>
    <row r="222" spans="1:36" x14ac:dyDescent="0.2">
      <c r="A222" s="71"/>
      <c r="B222" s="71"/>
      <c r="J222" s="83"/>
      <c r="R222" s="84"/>
      <c r="AG222" s="179"/>
      <c r="AH222" s="104">
        <v>1</v>
      </c>
      <c r="AI222" s="159" t="str">
        <f t="shared" si="12"/>
        <v/>
      </c>
      <c r="AJ222" s="159" t="str">
        <f t="shared" si="13"/>
        <v/>
      </c>
    </row>
    <row r="223" spans="1:36" s="280" customFormat="1" ht="16" customHeight="1" x14ac:dyDescent="0.2">
      <c r="A223" s="280" t="s">
        <v>108</v>
      </c>
      <c r="B223" s="280" t="s">
        <v>1350</v>
      </c>
      <c r="C223" s="305" t="s">
        <v>1351</v>
      </c>
      <c r="D223" s="305" t="s">
        <v>1351</v>
      </c>
      <c r="E223" s="305" t="s">
        <v>1351</v>
      </c>
      <c r="F223" s="305" t="s">
        <v>1351</v>
      </c>
      <c r="G223" s="305" t="s">
        <v>1351</v>
      </c>
      <c r="H223" s="305" t="s">
        <v>1351</v>
      </c>
      <c r="I223" s="305" t="s">
        <v>1351</v>
      </c>
      <c r="J223" s="281"/>
      <c r="S223" s="285"/>
      <c r="T223" s="285" t="s">
        <v>1352</v>
      </c>
      <c r="U223" s="285"/>
      <c r="V223" s="285"/>
      <c r="W223" s="285"/>
      <c r="X223" s="285"/>
      <c r="Y223" s="285"/>
      <c r="Z223" s="285"/>
      <c r="AG223" s="306"/>
      <c r="AH223" s="307">
        <v>1</v>
      </c>
      <c r="AI223" s="308" t="str">
        <f t="shared" si="12"/>
        <v/>
      </c>
      <c r="AJ223" s="308" t="str">
        <f t="shared" si="13"/>
        <v/>
      </c>
    </row>
    <row r="224" spans="1:36" s="280" customFormat="1" ht="90" customHeight="1" x14ac:dyDescent="0.2">
      <c r="A224" s="280" t="s">
        <v>56</v>
      </c>
      <c r="B224" s="280" t="s">
        <v>1353</v>
      </c>
      <c r="C224" s="281" t="s">
        <v>1354</v>
      </c>
      <c r="D224" s="309" t="s">
        <v>1355</v>
      </c>
      <c r="E224" s="309" t="s">
        <v>1356</v>
      </c>
      <c r="F224" s="309" t="s">
        <v>1357</v>
      </c>
      <c r="G224" s="309" t="s">
        <v>1358</v>
      </c>
      <c r="H224" s="309" t="s">
        <v>1260</v>
      </c>
      <c r="I224" s="309" t="s">
        <v>1359</v>
      </c>
      <c r="J224" s="281"/>
      <c r="S224" s="285"/>
      <c r="T224" s="285"/>
      <c r="U224" s="285"/>
      <c r="V224" s="285"/>
      <c r="W224" s="285"/>
      <c r="X224" s="285"/>
      <c r="Y224" s="285"/>
      <c r="Z224" s="285"/>
      <c r="AE224" s="280" t="s">
        <v>73</v>
      </c>
      <c r="AG224" s="306">
        <v>5.7112536430358887</v>
      </c>
      <c r="AH224" s="307">
        <v>1</v>
      </c>
      <c r="AI224" s="308">
        <f t="shared" si="12"/>
        <v>5.7112536430358887</v>
      </c>
      <c r="AJ224" s="308" t="str">
        <f t="shared" si="13"/>
        <v/>
      </c>
    </row>
    <row r="225" spans="1:37" s="311" customFormat="1" ht="30" customHeight="1" x14ac:dyDescent="0.2">
      <c r="A225" s="280" t="s">
        <v>1360</v>
      </c>
      <c r="B225" s="280" t="s">
        <v>1361</v>
      </c>
      <c r="C225" s="281" t="s">
        <v>1362</v>
      </c>
      <c r="D225" s="281" t="s">
        <v>1363</v>
      </c>
      <c r="E225" s="281" t="s">
        <v>1364</v>
      </c>
      <c r="F225" s="281" t="s">
        <v>1365</v>
      </c>
      <c r="G225" s="281" t="s">
        <v>1366</v>
      </c>
      <c r="H225" s="281" t="s">
        <v>1367</v>
      </c>
      <c r="I225" s="281" t="s">
        <v>1368</v>
      </c>
      <c r="J225" s="310"/>
      <c r="S225" s="285" t="s">
        <v>51</v>
      </c>
      <c r="T225" s="285" t="s">
        <v>431</v>
      </c>
      <c r="U225" s="312"/>
      <c r="V225" s="312"/>
      <c r="W225" s="312"/>
      <c r="X225" s="312"/>
      <c r="Y225" s="312"/>
      <c r="Z225" s="312"/>
      <c r="AE225" s="280" t="s">
        <v>73</v>
      </c>
      <c r="AG225" s="286">
        <v>19.851530075073239</v>
      </c>
      <c r="AH225" s="313">
        <v>1</v>
      </c>
      <c r="AI225" s="288">
        <f t="shared" si="12"/>
        <v>19.851530075073239</v>
      </c>
      <c r="AJ225" s="288" t="str">
        <f t="shared" si="13"/>
        <v/>
      </c>
      <c r="AK225" s="291"/>
    </row>
    <row r="226" spans="1:37" s="311" customFormat="1" ht="16" customHeight="1" x14ac:dyDescent="0.2">
      <c r="A226" s="280" t="s">
        <v>1360</v>
      </c>
      <c r="B226" s="280" t="s">
        <v>1369</v>
      </c>
      <c r="C226" s="281" t="s">
        <v>1370</v>
      </c>
      <c r="D226" s="281" t="s">
        <v>1371</v>
      </c>
      <c r="E226" s="281" t="s">
        <v>1372</v>
      </c>
      <c r="F226" s="281" t="s">
        <v>1373</v>
      </c>
      <c r="G226" s="281" t="s">
        <v>1374</v>
      </c>
      <c r="H226" s="281" t="s">
        <v>1375</v>
      </c>
      <c r="I226" s="281" t="s">
        <v>1376</v>
      </c>
      <c r="J226" s="310"/>
      <c r="S226" s="285" t="s">
        <v>51</v>
      </c>
      <c r="T226" s="285" t="s">
        <v>431</v>
      </c>
      <c r="U226" s="312"/>
      <c r="V226" s="312"/>
      <c r="W226" s="312"/>
      <c r="X226" s="312"/>
      <c r="Y226" s="312"/>
      <c r="Z226" s="312"/>
      <c r="AE226" s="280" t="s">
        <v>73</v>
      </c>
      <c r="AG226" s="286">
        <v>15.436671257019039</v>
      </c>
      <c r="AH226" s="313">
        <v>1</v>
      </c>
      <c r="AI226" s="288">
        <f t="shared" si="12"/>
        <v>15.436671257019039</v>
      </c>
      <c r="AJ226" s="288" t="str">
        <f t="shared" si="13"/>
        <v/>
      </c>
      <c r="AK226" s="291"/>
    </row>
    <row r="227" spans="1:37" s="311" customFormat="1" ht="16" customHeight="1" x14ac:dyDescent="0.2">
      <c r="A227" s="280" t="s">
        <v>1360</v>
      </c>
      <c r="B227" s="280" t="s">
        <v>1377</v>
      </c>
      <c r="C227" s="281" t="s">
        <v>1378</v>
      </c>
      <c r="D227" s="281" t="s">
        <v>1379</v>
      </c>
      <c r="E227" s="281" t="s">
        <v>1380</v>
      </c>
      <c r="F227" s="281" t="s">
        <v>1381</v>
      </c>
      <c r="G227" s="281" t="s">
        <v>1382</v>
      </c>
      <c r="H227" s="281" t="s">
        <v>1383</v>
      </c>
      <c r="I227" s="281" t="s">
        <v>1384</v>
      </c>
      <c r="J227" s="310"/>
      <c r="S227" s="285" t="s">
        <v>51</v>
      </c>
      <c r="T227" s="285" t="s">
        <v>431</v>
      </c>
      <c r="U227" s="312"/>
      <c r="V227" s="312"/>
      <c r="W227" s="312"/>
      <c r="X227" s="312"/>
      <c r="Y227" s="312"/>
      <c r="Z227" s="312"/>
      <c r="AE227" s="280" t="s">
        <v>73</v>
      </c>
      <c r="AG227" s="286">
        <v>13.39993858337402</v>
      </c>
      <c r="AH227" s="313">
        <v>1</v>
      </c>
      <c r="AI227" s="288">
        <f t="shared" si="12"/>
        <v>13.39993858337402</v>
      </c>
      <c r="AJ227" s="288" t="str">
        <f t="shared" si="13"/>
        <v/>
      </c>
      <c r="AK227" s="291"/>
    </row>
    <row r="228" spans="1:37" s="311" customFormat="1" ht="16" customHeight="1" x14ac:dyDescent="0.2">
      <c r="A228" s="280" t="s">
        <v>1360</v>
      </c>
      <c r="B228" s="280" t="s">
        <v>1385</v>
      </c>
      <c r="C228" s="281" t="s">
        <v>1386</v>
      </c>
      <c r="D228" s="281" t="s">
        <v>1387</v>
      </c>
      <c r="E228" s="281" t="s">
        <v>1388</v>
      </c>
      <c r="F228" s="281" t="s">
        <v>1389</v>
      </c>
      <c r="G228" s="281" t="s">
        <v>1390</v>
      </c>
      <c r="H228" s="281" t="s">
        <v>1391</v>
      </c>
      <c r="I228" s="281" t="s">
        <v>1392</v>
      </c>
      <c r="J228" s="310"/>
      <c r="S228" s="285" t="s">
        <v>51</v>
      </c>
      <c r="T228" s="285" t="s">
        <v>431</v>
      </c>
      <c r="U228" s="312"/>
      <c r="V228" s="312"/>
      <c r="W228" s="312"/>
      <c r="X228" s="312"/>
      <c r="Y228" s="312"/>
      <c r="Z228" s="312"/>
      <c r="AE228" s="280" t="s">
        <v>73</v>
      </c>
      <c r="AG228" s="286">
        <v>9.2894678115844727</v>
      </c>
      <c r="AH228" s="313">
        <v>1</v>
      </c>
      <c r="AI228" s="288">
        <f t="shared" si="12"/>
        <v>9.2894678115844727</v>
      </c>
      <c r="AJ228" s="288" t="str">
        <f t="shared" si="13"/>
        <v/>
      </c>
      <c r="AK228" s="291"/>
    </row>
    <row r="229" spans="1:37" s="311" customFormat="1" ht="30" customHeight="1" x14ac:dyDescent="0.2">
      <c r="A229" s="280" t="s">
        <v>1360</v>
      </c>
      <c r="B229" s="280" t="s">
        <v>1393</v>
      </c>
      <c r="C229" s="281" t="s">
        <v>1394</v>
      </c>
      <c r="D229" s="281" t="s">
        <v>1395</v>
      </c>
      <c r="E229" s="281" t="s">
        <v>1396</v>
      </c>
      <c r="F229" s="281" t="s">
        <v>1397</v>
      </c>
      <c r="G229" s="281" t="s">
        <v>1398</v>
      </c>
      <c r="H229" s="281" t="s">
        <v>1399</v>
      </c>
      <c r="I229" s="281" t="s">
        <v>1400</v>
      </c>
      <c r="J229" s="310"/>
      <c r="S229" s="285" t="s">
        <v>51</v>
      </c>
      <c r="T229" s="285" t="s">
        <v>431</v>
      </c>
      <c r="U229" s="312"/>
      <c r="V229" s="312"/>
      <c r="W229" s="312"/>
      <c r="X229" s="312"/>
      <c r="Y229" s="312"/>
      <c r="Z229" s="312"/>
      <c r="AE229" s="280" t="s">
        <v>73</v>
      </c>
      <c r="AG229" s="286">
        <v>14.41095890410959</v>
      </c>
      <c r="AH229" s="313">
        <v>1</v>
      </c>
      <c r="AI229" s="288">
        <f t="shared" si="12"/>
        <v>14.41095890410959</v>
      </c>
      <c r="AJ229" s="288" t="str">
        <f t="shared" si="13"/>
        <v/>
      </c>
      <c r="AK229" s="291"/>
    </row>
    <row r="230" spans="1:37" s="311" customFormat="1" ht="16" customHeight="1" x14ac:dyDescent="0.2">
      <c r="A230" s="280" t="s">
        <v>1360</v>
      </c>
      <c r="B230" s="280" t="s">
        <v>1401</v>
      </c>
      <c r="C230" s="281" t="s">
        <v>1402</v>
      </c>
      <c r="D230" s="281" t="s">
        <v>1403</v>
      </c>
      <c r="E230" s="281" t="s">
        <v>1404</v>
      </c>
      <c r="F230" s="281" t="s">
        <v>1405</v>
      </c>
      <c r="G230" s="281" t="s">
        <v>1406</v>
      </c>
      <c r="H230" s="281" t="s">
        <v>1407</v>
      </c>
      <c r="I230" s="281" t="s">
        <v>1408</v>
      </c>
      <c r="J230" s="310"/>
      <c r="S230" s="285" t="s">
        <v>51</v>
      </c>
      <c r="T230" s="285" t="s">
        <v>431</v>
      </c>
      <c r="U230" s="312"/>
      <c r="V230" s="312"/>
      <c r="W230" s="312"/>
      <c r="X230" s="312"/>
      <c r="Y230" s="312"/>
      <c r="Z230" s="312"/>
      <c r="AE230" s="280" t="s">
        <v>73</v>
      </c>
      <c r="AG230" s="286">
        <v>15.40838527679443</v>
      </c>
      <c r="AH230" s="313">
        <v>1</v>
      </c>
      <c r="AI230" s="288">
        <f t="shared" si="12"/>
        <v>15.40838527679443</v>
      </c>
      <c r="AJ230" s="288" t="str">
        <f t="shared" si="13"/>
        <v/>
      </c>
      <c r="AK230" s="291"/>
    </row>
    <row r="231" spans="1:37" s="311" customFormat="1" ht="16" customHeight="1" x14ac:dyDescent="0.2">
      <c r="A231" s="280" t="s">
        <v>1360</v>
      </c>
      <c r="B231" s="280" t="s">
        <v>1409</v>
      </c>
      <c r="C231" s="281" t="s">
        <v>1410</v>
      </c>
      <c r="D231" s="281" t="s">
        <v>1411</v>
      </c>
      <c r="E231" s="281" t="s">
        <v>1412</v>
      </c>
      <c r="F231" s="281" t="s">
        <v>1413</v>
      </c>
      <c r="G231" s="281" t="s">
        <v>1414</v>
      </c>
      <c r="H231" s="281" t="s">
        <v>1415</v>
      </c>
      <c r="I231" s="281" t="s">
        <v>1416</v>
      </c>
      <c r="J231" s="310"/>
      <c r="S231" s="285" t="s">
        <v>51</v>
      </c>
      <c r="T231" s="285" t="s">
        <v>431</v>
      </c>
      <c r="U231" s="312"/>
      <c r="V231" s="312"/>
      <c r="W231" s="312"/>
      <c r="X231" s="312"/>
      <c r="Y231" s="312"/>
      <c r="Z231" s="312"/>
      <c r="AE231" s="280" t="s">
        <v>73</v>
      </c>
      <c r="AG231" s="286">
        <v>15.543986320495611</v>
      </c>
      <c r="AH231" s="313">
        <v>1</v>
      </c>
      <c r="AI231" s="288">
        <f t="shared" si="12"/>
        <v>15.543986320495611</v>
      </c>
      <c r="AJ231" s="288" t="str">
        <f t="shared" si="13"/>
        <v/>
      </c>
      <c r="AK231" s="291"/>
    </row>
    <row r="232" spans="1:37" s="311" customFormat="1" ht="16" customHeight="1" x14ac:dyDescent="0.2">
      <c r="A232" s="280" t="s">
        <v>1360</v>
      </c>
      <c r="B232" s="280" t="s">
        <v>1417</v>
      </c>
      <c r="C232" s="281" t="s">
        <v>1418</v>
      </c>
      <c r="D232" s="281" t="s">
        <v>1419</v>
      </c>
      <c r="E232" s="281" t="s">
        <v>1420</v>
      </c>
      <c r="F232" s="281" t="s">
        <v>1421</v>
      </c>
      <c r="G232" s="281" t="s">
        <v>1422</v>
      </c>
      <c r="H232" s="281" t="s">
        <v>1423</v>
      </c>
      <c r="I232" s="281" t="s">
        <v>1424</v>
      </c>
      <c r="J232" s="310"/>
      <c r="S232" s="285" t="s">
        <v>51</v>
      </c>
      <c r="T232" s="285" t="s">
        <v>431</v>
      </c>
      <c r="U232" s="312"/>
      <c r="V232" s="312"/>
      <c r="W232" s="312"/>
      <c r="X232" s="312"/>
      <c r="Y232" s="312"/>
      <c r="Z232" s="312"/>
      <c r="AE232" s="280" t="s">
        <v>73</v>
      </c>
      <c r="AG232" s="286">
        <v>10.668112754821779</v>
      </c>
      <c r="AH232" s="313">
        <v>1</v>
      </c>
      <c r="AI232" s="288">
        <f t="shared" si="12"/>
        <v>10.668112754821779</v>
      </c>
      <c r="AJ232" s="288" t="str">
        <f t="shared" si="13"/>
        <v/>
      </c>
      <c r="AK232" s="291"/>
    </row>
    <row r="233" spans="1:37" s="311" customFormat="1" ht="16" customHeight="1" x14ac:dyDescent="0.2">
      <c r="A233" s="280" t="s">
        <v>1360</v>
      </c>
      <c r="B233" s="280" t="s">
        <v>1425</v>
      </c>
      <c r="C233" s="281" t="s">
        <v>1426</v>
      </c>
      <c r="D233" s="281" t="s">
        <v>1427</v>
      </c>
      <c r="E233" s="281" t="s">
        <v>1428</v>
      </c>
      <c r="F233" s="281" t="s">
        <v>1429</v>
      </c>
      <c r="G233" s="281" t="s">
        <v>1430</v>
      </c>
      <c r="H233" s="281" t="s">
        <v>1431</v>
      </c>
      <c r="I233" s="281" t="s">
        <v>1432</v>
      </c>
      <c r="J233" s="310"/>
      <c r="S233" s="285" t="s">
        <v>51</v>
      </c>
      <c r="T233" s="285" t="s">
        <v>431</v>
      </c>
      <c r="U233" s="312"/>
      <c r="V233" s="312"/>
      <c r="W233" s="312"/>
      <c r="X233" s="312"/>
      <c r="Y233" s="312"/>
      <c r="Z233" s="312"/>
      <c r="AE233" s="280" t="s">
        <v>73</v>
      </c>
      <c r="AG233" s="286">
        <v>9.716710090637207</v>
      </c>
      <c r="AH233" s="313">
        <v>1</v>
      </c>
      <c r="AI233" s="288">
        <f t="shared" si="12"/>
        <v>9.716710090637207</v>
      </c>
      <c r="AJ233" s="288" t="str">
        <f t="shared" si="13"/>
        <v/>
      </c>
      <c r="AK233" s="291"/>
    </row>
    <row r="234" spans="1:37" s="311" customFormat="1" ht="16" customHeight="1" x14ac:dyDescent="0.2">
      <c r="A234" s="280" t="s">
        <v>1360</v>
      </c>
      <c r="B234" s="280" t="s">
        <v>1433</v>
      </c>
      <c r="C234" s="281" t="s">
        <v>1434</v>
      </c>
      <c r="D234" s="281" t="s">
        <v>1435</v>
      </c>
      <c r="E234" s="281" t="s">
        <v>1436</v>
      </c>
      <c r="F234" s="281" t="s">
        <v>1437</v>
      </c>
      <c r="G234" s="281" t="s">
        <v>1438</v>
      </c>
      <c r="H234" s="281" t="s">
        <v>1439</v>
      </c>
      <c r="I234" s="281" t="s">
        <v>1440</v>
      </c>
      <c r="J234" s="310"/>
      <c r="S234" s="285" t="s">
        <v>51</v>
      </c>
      <c r="T234" s="285" t="s">
        <v>431</v>
      </c>
      <c r="U234" s="312"/>
      <c r="V234" s="312"/>
      <c r="W234" s="312"/>
      <c r="X234" s="312"/>
      <c r="Y234" s="312"/>
      <c r="Z234" s="312"/>
      <c r="AE234" s="280" t="s">
        <v>73</v>
      </c>
      <c r="AG234" s="286">
        <v>10.114131927490231</v>
      </c>
      <c r="AH234" s="313">
        <v>1</v>
      </c>
      <c r="AI234" s="288">
        <f t="shared" si="12"/>
        <v>10.114131927490231</v>
      </c>
      <c r="AJ234" s="288" t="str">
        <f t="shared" si="13"/>
        <v/>
      </c>
      <c r="AK234" s="291"/>
    </row>
    <row r="235" spans="1:37" s="302" customFormat="1" x14ac:dyDescent="0.2">
      <c r="A235" s="280" t="s">
        <v>278</v>
      </c>
      <c r="B235" s="280"/>
      <c r="C235" s="281"/>
      <c r="D235" s="281"/>
      <c r="E235" s="281"/>
      <c r="F235" s="281"/>
      <c r="G235" s="281"/>
      <c r="H235" s="281"/>
      <c r="I235" s="281"/>
      <c r="J235" s="283"/>
      <c r="S235" s="285"/>
      <c r="T235" s="294"/>
      <c r="U235" s="294"/>
      <c r="V235" s="294"/>
      <c r="W235" s="294"/>
      <c r="X235" s="294"/>
      <c r="Y235" s="294"/>
      <c r="Z235" s="294"/>
      <c r="AG235" s="286"/>
      <c r="AH235" s="313">
        <v>1</v>
      </c>
      <c r="AI235" s="288" t="str">
        <f t="shared" si="12"/>
        <v/>
      </c>
      <c r="AJ235" s="288" t="str">
        <f t="shared" si="13"/>
        <v/>
      </c>
      <c r="AK235" s="291"/>
    </row>
    <row r="236" spans="1:37" x14ac:dyDescent="0.2">
      <c r="A236" s="71"/>
      <c r="B236" s="71"/>
      <c r="J236" s="83"/>
      <c r="R236" s="84"/>
      <c r="AG236" s="179"/>
      <c r="AH236" s="104">
        <v>1</v>
      </c>
      <c r="AI236" s="159" t="str">
        <f t="shared" si="12"/>
        <v/>
      </c>
      <c r="AJ236" s="159" t="str">
        <f t="shared" si="13"/>
        <v/>
      </c>
    </row>
    <row r="237" spans="1:37" ht="32" customHeight="1" x14ac:dyDescent="0.2">
      <c r="A237" s="75" t="s">
        <v>108</v>
      </c>
      <c r="B237" s="75" t="s">
        <v>1441</v>
      </c>
      <c r="C237" s="89" t="s">
        <v>1442</v>
      </c>
      <c r="D237" s="89" t="s">
        <v>1443</v>
      </c>
      <c r="E237" s="89" t="s">
        <v>1443</v>
      </c>
      <c r="F237" s="89" t="s">
        <v>1443</v>
      </c>
      <c r="G237" s="89" t="s">
        <v>1444</v>
      </c>
      <c r="H237" s="89" t="s">
        <v>1443</v>
      </c>
      <c r="I237" s="89" t="s">
        <v>1443</v>
      </c>
      <c r="J237" s="83"/>
      <c r="K237" s="70"/>
      <c r="L237" s="70"/>
      <c r="M237" s="70"/>
      <c r="N237" s="70"/>
      <c r="O237" s="70"/>
      <c r="P237" s="70"/>
      <c r="Q237" s="70"/>
      <c r="R237" s="84"/>
      <c r="S237" s="113"/>
      <c r="T237" s="113"/>
      <c r="U237" s="113"/>
      <c r="V237" s="113"/>
      <c r="W237" s="113"/>
      <c r="X237" s="113"/>
      <c r="Y237" s="113"/>
      <c r="Z237" s="113"/>
      <c r="AG237" s="179"/>
      <c r="AH237" s="104">
        <v>1</v>
      </c>
      <c r="AI237" s="159" t="str">
        <f t="shared" ref="AI237:AI268" si="14">IF(AG237&lt;&gt;"",AG237*AH237,"")</f>
        <v/>
      </c>
      <c r="AJ237" s="159" t="str">
        <f t="shared" ref="AJ237:AJ268" si="15">IF(AND(AG237&lt;&gt;"",AE237="yes"),AG237*AH237,"")</f>
        <v/>
      </c>
    </row>
    <row r="238" spans="1:37" ht="45" customHeight="1" x14ac:dyDescent="0.2">
      <c r="A238" s="70" t="s">
        <v>56</v>
      </c>
      <c r="B238" s="70" t="s">
        <v>1445</v>
      </c>
      <c r="C238" s="42" t="s">
        <v>1446</v>
      </c>
      <c r="D238" s="42" t="s">
        <v>1447</v>
      </c>
      <c r="E238" s="42" t="s">
        <v>1448</v>
      </c>
      <c r="F238" s="42" t="s">
        <v>1449</v>
      </c>
      <c r="G238" s="42" t="s">
        <v>1450</v>
      </c>
      <c r="H238" s="42" t="s">
        <v>1451</v>
      </c>
      <c r="I238" s="42" t="s">
        <v>1452</v>
      </c>
      <c r="J238" s="83"/>
      <c r="K238" s="70"/>
      <c r="L238" s="70"/>
      <c r="M238" s="70"/>
      <c r="N238" s="70"/>
      <c r="O238" s="70"/>
      <c r="P238" s="70"/>
      <c r="Q238" s="70"/>
      <c r="R238" s="84"/>
      <c r="S238" s="113" t="s">
        <v>72</v>
      </c>
      <c r="T238" s="113"/>
      <c r="U238" s="113"/>
      <c r="V238" s="113"/>
      <c r="W238" s="113"/>
      <c r="X238" s="113"/>
      <c r="Y238" s="113"/>
      <c r="Z238" s="113"/>
      <c r="AE238" s="43" t="s">
        <v>53</v>
      </c>
      <c r="AG238" s="179"/>
      <c r="AH238" s="104">
        <v>1</v>
      </c>
      <c r="AI238" s="159" t="str">
        <f t="shared" si="14"/>
        <v/>
      </c>
      <c r="AJ238" s="159" t="str">
        <f t="shared" si="15"/>
        <v/>
      </c>
    </row>
    <row r="239" spans="1:37" ht="60" customHeight="1" x14ac:dyDescent="0.2">
      <c r="A239" s="70" t="s">
        <v>1453</v>
      </c>
      <c r="B239" s="70" t="s">
        <v>1454</v>
      </c>
      <c r="C239" s="42" t="s">
        <v>1455</v>
      </c>
      <c r="D239" s="42" t="s">
        <v>1456</v>
      </c>
      <c r="E239" s="42" t="s">
        <v>1457</v>
      </c>
      <c r="F239" s="42" t="s">
        <v>1458</v>
      </c>
      <c r="G239" s="42" t="s">
        <v>1459</v>
      </c>
      <c r="H239" s="42" t="s">
        <v>1460</v>
      </c>
      <c r="I239" s="42" t="s">
        <v>1461</v>
      </c>
      <c r="J239" s="83"/>
      <c r="K239" s="70" t="s">
        <v>1462</v>
      </c>
      <c r="L239" s="70" t="s">
        <v>1463</v>
      </c>
      <c r="M239" s="70"/>
      <c r="N239" s="70"/>
      <c r="O239" s="70"/>
      <c r="P239" s="70"/>
      <c r="Q239" s="70"/>
      <c r="R239" s="84"/>
      <c r="S239" s="113" t="s">
        <v>51</v>
      </c>
      <c r="T239" s="113"/>
      <c r="U239" s="113"/>
      <c r="V239" s="113"/>
      <c r="W239" s="113"/>
      <c r="X239" s="113"/>
      <c r="Y239" s="113"/>
      <c r="Z239" s="113"/>
      <c r="AE239" s="43" t="s">
        <v>53</v>
      </c>
      <c r="AG239" s="179">
        <v>72.295135498046875</v>
      </c>
      <c r="AH239" s="104">
        <v>1</v>
      </c>
      <c r="AI239" s="159">
        <f t="shared" si="14"/>
        <v>72.295135498046875</v>
      </c>
      <c r="AJ239" s="159">
        <f t="shared" si="15"/>
        <v>72.295135498046875</v>
      </c>
    </row>
    <row r="240" spans="1:37" ht="60" customHeight="1" x14ac:dyDescent="0.2">
      <c r="A240" s="70" t="s">
        <v>56</v>
      </c>
      <c r="B240" s="70" t="s">
        <v>1464</v>
      </c>
      <c r="C240" s="42" t="s">
        <v>1465</v>
      </c>
      <c r="D240" s="42" t="s">
        <v>1466</v>
      </c>
      <c r="E240" s="42" t="s">
        <v>1467</v>
      </c>
      <c r="F240" s="42" t="s">
        <v>1468</v>
      </c>
      <c r="G240" s="42" t="s">
        <v>1469</v>
      </c>
      <c r="H240" s="42" t="s">
        <v>1470</v>
      </c>
      <c r="I240" s="42" t="s">
        <v>1471</v>
      </c>
      <c r="J240" s="83"/>
      <c r="K240" s="70"/>
      <c r="L240" s="70"/>
      <c r="M240" s="70"/>
      <c r="N240" s="70"/>
      <c r="O240" s="70"/>
      <c r="P240" s="70"/>
      <c r="Q240" s="70"/>
      <c r="R240" s="84"/>
      <c r="S240" s="113" t="s">
        <v>72</v>
      </c>
      <c r="T240" s="113"/>
      <c r="U240" s="113"/>
      <c r="V240" s="113"/>
      <c r="W240" s="113"/>
      <c r="X240" s="113"/>
      <c r="Y240" s="113"/>
      <c r="Z240" s="113"/>
      <c r="AE240" s="43" t="s">
        <v>53</v>
      </c>
      <c r="AG240" s="179">
        <v>3.7052218914031978</v>
      </c>
      <c r="AH240" s="104">
        <v>1</v>
      </c>
      <c r="AI240" s="159">
        <f t="shared" si="14"/>
        <v>3.7052218914031978</v>
      </c>
      <c r="AJ240" s="159">
        <f t="shared" si="15"/>
        <v>3.7052218914031978</v>
      </c>
    </row>
    <row r="241" spans="1:37" ht="16" customHeight="1" x14ac:dyDescent="0.2">
      <c r="A241" s="70" t="s">
        <v>278</v>
      </c>
      <c r="B241" s="70"/>
      <c r="C241" s="42"/>
      <c r="D241" s="42"/>
      <c r="E241" s="42"/>
      <c r="F241" s="42"/>
      <c r="G241" s="42"/>
      <c r="H241" s="42"/>
      <c r="I241" s="42"/>
      <c r="J241" s="83"/>
      <c r="K241" s="70"/>
      <c r="L241" s="70"/>
      <c r="M241" s="70"/>
      <c r="N241" s="70"/>
      <c r="O241" s="70"/>
      <c r="P241" s="70"/>
      <c r="Q241" s="70"/>
      <c r="R241" s="84"/>
      <c r="S241" s="113"/>
      <c r="T241" s="113"/>
      <c r="U241" s="113"/>
      <c r="V241" s="113"/>
      <c r="W241" s="113"/>
      <c r="X241" s="113"/>
      <c r="Y241" s="113"/>
      <c r="Z241" s="113"/>
      <c r="AG241" s="179"/>
      <c r="AH241" s="104">
        <v>1</v>
      </c>
      <c r="AI241" s="159" t="str">
        <f t="shared" si="14"/>
        <v/>
      </c>
      <c r="AJ241" s="159" t="str">
        <f t="shared" si="15"/>
        <v/>
      </c>
    </row>
    <row r="242" spans="1:37" x14ac:dyDescent="0.2">
      <c r="A242" s="71"/>
      <c r="B242" s="71"/>
      <c r="J242" s="83"/>
      <c r="R242" s="84"/>
      <c r="AG242" s="179"/>
      <c r="AH242" s="104">
        <v>1</v>
      </c>
      <c r="AI242" s="159" t="str">
        <f t="shared" si="14"/>
        <v/>
      </c>
      <c r="AJ242" s="159" t="str">
        <f t="shared" si="15"/>
        <v/>
      </c>
    </row>
    <row r="243" spans="1:37" s="280" customFormat="1" ht="16" customHeight="1" x14ac:dyDescent="0.2">
      <c r="A243" s="280" t="s">
        <v>108</v>
      </c>
      <c r="B243" s="280" t="s">
        <v>1472</v>
      </c>
      <c r="C243" s="305" t="s">
        <v>1473</v>
      </c>
      <c r="D243" s="305" t="s">
        <v>1474</v>
      </c>
      <c r="E243" s="305" t="s">
        <v>1474</v>
      </c>
      <c r="F243" s="305" t="s">
        <v>1474</v>
      </c>
      <c r="G243" s="305" t="s">
        <v>1474</v>
      </c>
      <c r="H243" s="305" t="s">
        <v>1474</v>
      </c>
      <c r="I243" s="305" t="s">
        <v>1474</v>
      </c>
      <c r="J243" s="281"/>
      <c r="S243" s="285"/>
      <c r="T243" s="285"/>
      <c r="U243" s="285"/>
      <c r="V243" s="285"/>
      <c r="W243" s="285"/>
      <c r="X243" s="285"/>
      <c r="Y243" s="285"/>
      <c r="Z243" s="285"/>
      <c r="AE243" s="280" t="s">
        <v>73</v>
      </c>
      <c r="AG243" s="286"/>
      <c r="AH243" s="313">
        <v>1</v>
      </c>
      <c r="AI243" s="288" t="str">
        <f t="shared" si="14"/>
        <v/>
      </c>
      <c r="AJ243" s="288" t="str">
        <f t="shared" si="15"/>
        <v/>
      </c>
    </row>
    <row r="244" spans="1:37" s="281" customFormat="1" ht="60" customHeight="1" x14ac:dyDescent="0.2">
      <c r="A244" s="281" t="s">
        <v>56</v>
      </c>
      <c r="B244" s="281" t="s">
        <v>1475</v>
      </c>
      <c r="C244" s="281" t="s">
        <v>1476</v>
      </c>
      <c r="D244" s="314" t="s">
        <v>1477</v>
      </c>
      <c r="E244" s="314" t="s">
        <v>1478</v>
      </c>
      <c r="F244" s="314" t="s">
        <v>1479</v>
      </c>
      <c r="G244" s="314" t="s">
        <v>1480</v>
      </c>
      <c r="H244" s="314" t="s">
        <v>1481</v>
      </c>
      <c r="I244" s="314" t="s">
        <v>1482</v>
      </c>
      <c r="S244" s="285" t="s">
        <v>72</v>
      </c>
      <c r="T244" s="315"/>
      <c r="U244" s="315"/>
      <c r="V244" s="285"/>
      <c r="W244" s="315"/>
      <c r="X244" s="315"/>
      <c r="Y244" s="315"/>
      <c r="Z244" s="315"/>
      <c r="AE244" s="281" t="s">
        <v>73</v>
      </c>
      <c r="AG244" s="286">
        <v>0</v>
      </c>
      <c r="AH244" s="313">
        <v>1</v>
      </c>
      <c r="AI244" s="288">
        <f t="shared" si="14"/>
        <v>0</v>
      </c>
      <c r="AJ244" s="288" t="str">
        <f t="shared" si="15"/>
        <v/>
      </c>
    </row>
    <row r="245" spans="1:37" s="281" customFormat="1" ht="75" customHeight="1" x14ac:dyDescent="0.2">
      <c r="A245" s="281" t="s">
        <v>144</v>
      </c>
      <c r="B245" s="281" t="s">
        <v>1483</v>
      </c>
      <c r="C245" s="281" t="s">
        <v>1484</v>
      </c>
      <c r="D245" s="314" t="s">
        <v>1485</v>
      </c>
      <c r="E245" s="314" t="s">
        <v>1486</v>
      </c>
      <c r="F245" s="314" t="s">
        <v>1487</v>
      </c>
      <c r="G245" s="314" t="s">
        <v>1488</v>
      </c>
      <c r="H245" s="314" t="s">
        <v>1489</v>
      </c>
      <c r="I245" s="314" t="s">
        <v>1490</v>
      </c>
      <c r="K245" s="280" t="s">
        <v>1491</v>
      </c>
      <c r="L245" s="280" t="s">
        <v>1492</v>
      </c>
      <c r="M245" s="280"/>
      <c r="N245" s="280"/>
      <c r="O245" s="280"/>
      <c r="P245" s="280"/>
      <c r="Q245" s="280"/>
      <c r="S245" s="285" t="s">
        <v>51</v>
      </c>
      <c r="T245" s="315"/>
      <c r="U245" s="315" t="s">
        <v>1493</v>
      </c>
      <c r="V245" s="285" t="s">
        <v>1494</v>
      </c>
      <c r="W245" s="315"/>
      <c r="X245" s="315"/>
      <c r="Y245" s="315"/>
      <c r="Z245" s="315"/>
      <c r="AE245" s="281" t="s">
        <v>73</v>
      </c>
      <c r="AG245" s="286">
        <v>17</v>
      </c>
      <c r="AH245" s="313">
        <v>1</v>
      </c>
      <c r="AI245" s="288">
        <f t="shared" si="14"/>
        <v>17</v>
      </c>
      <c r="AJ245" s="288" t="str">
        <f t="shared" si="15"/>
        <v/>
      </c>
    </row>
    <row r="246" spans="1:37" s="281" customFormat="1" ht="60" customHeight="1" x14ac:dyDescent="0.2">
      <c r="A246" s="281" t="s">
        <v>144</v>
      </c>
      <c r="B246" s="281" t="s">
        <v>1495</v>
      </c>
      <c r="C246" s="281" t="s">
        <v>1496</v>
      </c>
      <c r="D246" s="314" t="s">
        <v>1497</v>
      </c>
      <c r="E246" s="314" t="s">
        <v>1498</v>
      </c>
      <c r="F246" s="314" t="s">
        <v>1499</v>
      </c>
      <c r="G246" s="314" t="s">
        <v>1500</v>
      </c>
      <c r="H246" s="314" t="s">
        <v>1501</v>
      </c>
      <c r="I246" s="314" t="s">
        <v>1502</v>
      </c>
      <c r="K246" s="280" t="s">
        <v>1491</v>
      </c>
      <c r="L246" s="280" t="s">
        <v>1492</v>
      </c>
      <c r="M246" s="280"/>
      <c r="N246" s="280"/>
      <c r="O246" s="280"/>
      <c r="P246" s="280"/>
      <c r="Q246" s="280"/>
      <c r="S246" s="285" t="s">
        <v>51</v>
      </c>
      <c r="T246" s="315"/>
      <c r="U246" s="315" t="s">
        <v>1493</v>
      </c>
      <c r="V246" s="285" t="s">
        <v>1494</v>
      </c>
      <c r="W246" s="315"/>
      <c r="X246" s="315"/>
      <c r="Y246" s="315"/>
      <c r="Z246" s="315"/>
      <c r="AE246" s="281" t="s">
        <v>73</v>
      </c>
      <c r="AG246" s="286">
        <v>17</v>
      </c>
      <c r="AH246" s="313">
        <v>1</v>
      </c>
      <c r="AI246" s="288">
        <f t="shared" si="14"/>
        <v>17</v>
      </c>
      <c r="AJ246" s="288" t="str">
        <f t="shared" si="15"/>
        <v/>
      </c>
    </row>
    <row r="247" spans="1:37" s="281" customFormat="1" ht="60" customHeight="1" x14ac:dyDescent="0.2">
      <c r="A247" s="281" t="s">
        <v>144</v>
      </c>
      <c r="B247" s="281" t="s">
        <v>1503</v>
      </c>
      <c r="C247" s="281" t="s">
        <v>1504</v>
      </c>
      <c r="D247" s="316" t="s">
        <v>1505</v>
      </c>
      <c r="E247" s="316" t="s">
        <v>1506</v>
      </c>
      <c r="F247" s="316" t="s">
        <v>1507</v>
      </c>
      <c r="G247" s="316" t="s">
        <v>1508</v>
      </c>
      <c r="H247" s="316" t="s">
        <v>1509</v>
      </c>
      <c r="I247" s="316" t="s">
        <v>1510</v>
      </c>
      <c r="K247" s="280" t="s">
        <v>1491</v>
      </c>
      <c r="L247" s="280" t="s">
        <v>1492</v>
      </c>
      <c r="M247" s="280"/>
      <c r="N247" s="280"/>
      <c r="O247" s="280"/>
      <c r="P247" s="280"/>
      <c r="Q247" s="280"/>
      <c r="S247" s="285" t="s">
        <v>51</v>
      </c>
      <c r="T247" s="315"/>
      <c r="U247" s="315" t="s">
        <v>1493</v>
      </c>
      <c r="V247" s="285" t="s">
        <v>1494</v>
      </c>
      <c r="W247" s="315"/>
      <c r="X247" s="315"/>
      <c r="Y247" s="315"/>
      <c r="Z247" s="315"/>
      <c r="AE247" s="281" t="s">
        <v>73</v>
      </c>
      <c r="AG247" s="286">
        <v>17</v>
      </c>
      <c r="AH247" s="313">
        <v>1</v>
      </c>
      <c r="AI247" s="288">
        <f t="shared" si="14"/>
        <v>17</v>
      </c>
      <c r="AJ247" s="288" t="str">
        <f t="shared" si="15"/>
        <v/>
      </c>
    </row>
    <row r="248" spans="1:37" s="281" customFormat="1" ht="45" customHeight="1" x14ac:dyDescent="0.2">
      <c r="A248" s="281" t="s">
        <v>144</v>
      </c>
      <c r="B248" s="281" t="s">
        <v>1511</v>
      </c>
      <c r="C248" s="281" t="s">
        <v>1512</v>
      </c>
      <c r="D248" s="316" t="s">
        <v>1513</v>
      </c>
      <c r="E248" s="316" t="s">
        <v>1514</v>
      </c>
      <c r="F248" s="316" t="s">
        <v>1515</v>
      </c>
      <c r="G248" s="316" t="s">
        <v>1516</v>
      </c>
      <c r="H248" s="316" t="s">
        <v>1517</v>
      </c>
      <c r="I248" s="316" t="s">
        <v>1510</v>
      </c>
      <c r="K248" s="280" t="s">
        <v>1491</v>
      </c>
      <c r="L248" s="280" t="s">
        <v>1492</v>
      </c>
      <c r="M248" s="280"/>
      <c r="N248" s="280"/>
      <c r="O248" s="280"/>
      <c r="P248" s="280"/>
      <c r="Q248" s="280"/>
      <c r="S248" s="285" t="s">
        <v>51</v>
      </c>
      <c r="T248" s="315"/>
      <c r="U248" s="315" t="s">
        <v>1493</v>
      </c>
      <c r="V248" s="285" t="s">
        <v>1494</v>
      </c>
      <c r="W248" s="315"/>
      <c r="X248" s="315"/>
      <c r="Y248" s="315"/>
      <c r="Z248" s="315"/>
      <c r="AE248" s="281" t="s">
        <v>73</v>
      </c>
      <c r="AG248" s="286">
        <v>17</v>
      </c>
      <c r="AH248" s="313">
        <v>1</v>
      </c>
      <c r="AI248" s="288">
        <f t="shared" si="14"/>
        <v>17</v>
      </c>
      <c r="AJ248" s="288" t="str">
        <f t="shared" si="15"/>
        <v/>
      </c>
    </row>
    <row r="249" spans="1:37" s="281" customFormat="1" ht="60" customHeight="1" x14ac:dyDescent="0.2">
      <c r="A249" s="281" t="s">
        <v>144</v>
      </c>
      <c r="B249" s="281" t="s">
        <v>1518</v>
      </c>
      <c r="C249" s="281" t="s">
        <v>1519</v>
      </c>
      <c r="D249" s="314" t="s">
        <v>1520</v>
      </c>
      <c r="E249" s="314" t="s">
        <v>1521</v>
      </c>
      <c r="F249" s="314" t="s">
        <v>1522</v>
      </c>
      <c r="G249" s="314" t="s">
        <v>1523</v>
      </c>
      <c r="H249" s="314" t="s">
        <v>1524</v>
      </c>
      <c r="I249" s="314" t="s">
        <v>1525</v>
      </c>
      <c r="K249" s="280" t="s">
        <v>1491</v>
      </c>
      <c r="L249" s="280" t="s">
        <v>1492</v>
      </c>
      <c r="M249" s="280"/>
      <c r="N249" s="280"/>
      <c r="O249" s="280"/>
      <c r="P249" s="280"/>
      <c r="Q249" s="280"/>
      <c r="S249" s="285" t="s">
        <v>51</v>
      </c>
      <c r="T249" s="315"/>
      <c r="U249" s="315" t="s">
        <v>1493</v>
      </c>
      <c r="V249" s="285" t="s">
        <v>1494</v>
      </c>
      <c r="W249" s="315"/>
      <c r="X249" s="315"/>
      <c r="Y249" s="315"/>
      <c r="Z249" s="315"/>
      <c r="AE249" s="281" t="s">
        <v>73</v>
      </c>
      <c r="AG249" s="286">
        <v>17</v>
      </c>
      <c r="AH249" s="313">
        <v>1</v>
      </c>
      <c r="AI249" s="288">
        <f t="shared" si="14"/>
        <v>17</v>
      </c>
      <c r="AJ249" s="288" t="str">
        <f t="shared" si="15"/>
        <v/>
      </c>
    </row>
    <row r="250" spans="1:37" s="281" customFormat="1" ht="75" customHeight="1" x14ac:dyDescent="0.2">
      <c r="A250" s="281" t="s">
        <v>144</v>
      </c>
      <c r="B250" s="281" t="s">
        <v>1526</v>
      </c>
      <c r="C250" s="281" t="s">
        <v>1527</v>
      </c>
      <c r="D250" s="314" t="s">
        <v>1528</v>
      </c>
      <c r="E250" s="314" t="s">
        <v>1529</v>
      </c>
      <c r="F250" s="314" t="s">
        <v>1530</v>
      </c>
      <c r="G250" s="314" t="s">
        <v>1531</v>
      </c>
      <c r="H250" s="314" t="s">
        <v>1532</v>
      </c>
      <c r="I250" s="314" t="s">
        <v>1533</v>
      </c>
      <c r="K250" s="280" t="s">
        <v>1491</v>
      </c>
      <c r="L250" s="280" t="s">
        <v>1492</v>
      </c>
      <c r="M250" s="280"/>
      <c r="N250" s="280"/>
      <c r="O250" s="280"/>
      <c r="P250" s="280"/>
      <c r="Q250" s="280"/>
      <c r="S250" s="285" t="s">
        <v>51</v>
      </c>
      <c r="T250" s="315"/>
      <c r="U250" s="315" t="s">
        <v>1493</v>
      </c>
      <c r="V250" s="285" t="s">
        <v>1494</v>
      </c>
      <c r="W250" s="315"/>
      <c r="X250" s="315"/>
      <c r="Y250" s="315"/>
      <c r="Z250" s="315"/>
      <c r="AE250" s="281" t="s">
        <v>73</v>
      </c>
      <c r="AG250" s="286">
        <v>17</v>
      </c>
      <c r="AH250" s="313">
        <v>1</v>
      </c>
      <c r="AI250" s="288">
        <f t="shared" si="14"/>
        <v>17</v>
      </c>
      <c r="AJ250" s="288" t="str">
        <f t="shared" si="15"/>
        <v/>
      </c>
    </row>
    <row r="251" spans="1:37" s="281" customFormat="1" ht="75" customHeight="1" x14ac:dyDescent="0.2">
      <c r="A251" s="281" t="s">
        <v>144</v>
      </c>
      <c r="B251" s="281" t="s">
        <v>1534</v>
      </c>
      <c r="C251" s="281" t="s">
        <v>1535</v>
      </c>
      <c r="D251" s="314" t="s">
        <v>1536</v>
      </c>
      <c r="E251" s="314" t="s">
        <v>1537</v>
      </c>
      <c r="F251" s="314" t="s">
        <v>1538</v>
      </c>
      <c r="G251" s="314" t="s">
        <v>1539</v>
      </c>
      <c r="H251" s="314" t="s">
        <v>1540</v>
      </c>
      <c r="I251" s="314" t="s">
        <v>1541</v>
      </c>
      <c r="K251" s="280" t="s">
        <v>1491</v>
      </c>
      <c r="L251" s="280" t="s">
        <v>1492</v>
      </c>
      <c r="M251" s="280"/>
      <c r="N251" s="280"/>
      <c r="O251" s="280"/>
      <c r="P251" s="280"/>
      <c r="Q251" s="280"/>
      <c r="S251" s="285" t="s">
        <v>51</v>
      </c>
      <c r="T251" s="315"/>
      <c r="U251" s="315" t="s">
        <v>1493</v>
      </c>
      <c r="V251" s="285" t="s">
        <v>1494</v>
      </c>
      <c r="W251" s="315"/>
      <c r="X251" s="315"/>
      <c r="Y251" s="315"/>
      <c r="Z251" s="315"/>
      <c r="AE251" s="281" t="s">
        <v>73</v>
      </c>
      <c r="AG251" s="286">
        <v>17</v>
      </c>
      <c r="AH251" s="313">
        <v>1</v>
      </c>
      <c r="AI251" s="288">
        <f t="shared" si="14"/>
        <v>17</v>
      </c>
      <c r="AJ251" s="288" t="str">
        <f t="shared" si="15"/>
        <v/>
      </c>
    </row>
    <row r="252" spans="1:37" s="281" customFormat="1" ht="60" customHeight="1" x14ac:dyDescent="0.2">
      <c r="A252" s="281" t="s">
        <v>144</v>
      </c>
      <c r="B252" s="281" t="s">
        <v>1542</v>
      </c>
      <c r="C252" s="281" t="s">
        <v>1543</v>
      </c>
      <c r="D252" s="314" t="s">
        <v>1544</v>
      </c>
      <c r="E252" s="314" t="s">
        <v>1545</v>
      </c>
      <c r="F252" s="314" t="s">
        <v>1546</v>
      </c>
      <c r="G252" s="314" t="s">
        <v>1547</v>
      </c>
      <c r="H252" s="314" t="s">
        <v>1548</v>
      </c>
      <c r="I252" s="314" t="s">
        <v>1549</v>
      </c>
      <c r="K252" s="280" t="s">
        <v>1491</v>
      </c>
      <c r="L252" s="280" t="s">
        <v>1492</v>
      </c>
      <c r="M252" s="280"/>
      <c r="N252" s="280"/>
      <c r="O252" s="280"/>
      <c r="P252" s="280"/>
      <c r="Q252" s="280"/>
      <c r="S252" s="285" t="s">
        <v>51</v>
      </c>
      <c r="T252" s="315"/>
      <c r="U252" s="315" t="s">
        <v>1493</v>
      </c>
      <c r="V252" s="285" t="s">
        <v>1494</v>
      </c>
      <c r="W252" s="315"/>
      <c r="X252" s="315"/>
      <c r="Y252" s="315"/>
      <c r="Z252" s="315"/>
      <c r="AE252" s="281" t="s">
        <v>73</v>
      </c>
      <c r="AG252" s="286">
        <v>17</v>
      </c>
      <c r="AH252" s="313">
        <v>1</v>
      </c>
      <c r="AI252" s="288">
        <f t="shared" si="14"/>
        <v>17</v>
      </c>
      <c r="AJ252" s="288" t="str">
        <f t="shared" si="15"/>
        <v/>
      </c>
    </row>
    <row r="253" spans="1:37" s="281" customFormat="1" ht="75" customHeight="1" x14ac:dyDescent="0.2">
      <c r="A253" s="281" t="s">
        <v>144</v>
      </c>
      <c r="B253" s="281" t="s">
        <v>1550</v>
      </c>
      <c r="C253" s="281" t="s">
        <v>1551</v>
      </c>
      <c r="D253" s="314" t="s">
        <v>1552</v>
      </c>
      <c r="E253" s="314" t="s">
        <v>1553</v>
      </c>
      <c r="F253" s="314" t="s">
        <v>1554</v>
      </c>
      <c r="G253" s="314" t="s">
        <v>1555</v>
      </c>
      <c r="H253" s="314" t="s">
        <v>1556</v>
      </c>
      <c r="I253" s="314" t="s">
        <v>1557</v>
      </c>
      <c r="K253" s="280" t="s">
        <v>1491</v>
      </c>
      <c r="L253" s="280" t="s">
        <v>1492</v>
      </c>
      <c r="M253" s="280"/>
      <c r="N253" s="280"/>
      <c r="O253" s="280"/>
      <c r="P253" s="280"/>
      <c r="Q253" s="280"/>
      <c r="S253" s="285" t="s">
        <v>51</v>
      </c>
      <c r="T253" s="315"/>
      <c r="U253" s="315" t="s">
        <v>1493</v>
      </c>
      <c r="V253" s="285" t="s">
        <v>1494</v>
      </c>
      <c r="W253" s="315"/>
      <c r="X253" s="315"/>
      <c r="Y253" s="315"/>
      <c r="Z253" s="315"/>
      <c r="AE253" s="281" t="s">
        <v>73</v>
      </c>
      <c r="AG253" s="286">
        <v>17</v>
      </c>
      <c r="AH253" s="313">
        <v>1</v>
      </c>
      <c r="AI253" s="288">
        <f t="shared" si="14"/>
        <v>17</v>
      </c>
      <c r="AJ253" s="288" t="str">
        <f t="shared" si="15"/>
        <v/>
      </c>
    </row>
    <row r="254" spans="1:37" s="280" customFormat="1" x14ac:dyDescent="0.2">
      <c r="A254" s="280" t="s">
        <v>278</v>
      </c>
      <c r="C254" s="281"/>
      <c r="D254" s="281"/>
      <c r="E254" s="281"/>
      <c r="F254" s="281"/>
      <c r="G254" s="281"/>
      <c r="H254" s="281"/>
      <c r="I254" s="281"/>
      <c r="J254" s="281"/>
      <c r="S254" s="285"/>
      <c r="T254" s="285"/>
      <c r="U254" s="285"/>
      <c r="V254" s="285"/>
      <c r="W254" s="285"/>
      <c r="X254" s="285"/>
      <c r="Y254" s="285"/>
      <c r="Z254" s="285"/>
      <c r="AG254" s="286">
        <v>17</v>
      </c>
      <c r="AH254" s="313">
        <v>1</v>
      </c>
      <c r="AI254" s="288">
        <f t="shared" si="14"/>
        <v>17</v>
      </c>
      <c r="AJ254" s="288" t="str">
        <f t="shared" si="15"/>
        <v/>
      </c>
      <c r="AK254" s="291"/>
    </row>
    <row r="255" spans="1:37" s="280" customFormat="1" x14ac:dyDescent="0.2">
      <c r="C255" s="281"/>
      <c r="D255" s="281"/>
      <c r="E255" s="281"/>
      <c r="F255" s="281"/>
      <c r="G255" s="281"/>
      <c r="H255" s="281"/>
      <c r="I255" s="281"/>
      <c r="J255" s="281"/>
      <c r="S255" s="285"/>
      <c r="T255" s="285"/>
      <c r="U255" s="285"/>
      <c r="V255" s="285"/>
      <c r="W255" s="285"/>
      <c r="X255" s="285"/>
      <c r="Y255" s="285"/>
      <c r="Z255" s="285"/>
      <c r="AG255" s="286">
        <v>17</v>
      </c>
      <c r="AH255" s="313">
        <v>1</v>
      </c>
      <c r="AI255" s="288">
        <f t="shared" si="14"/>
        <v>17</v>
      </c>
      <c r="AJ255" s="288" t="str">
        <f t="shared" si="15"/>
        <v/>
      </c>
      <c r="AK255" s="291"/>
    </row>
    <row r="256" spans="1:37" s="280" customFormat="1" ht="16" customHeight="1" x14ac:dyDescent="0.2">
      <c r="A256" s="280" t="s">
        <v>108</v>
      </c>
      <c r="B256" s="280" t="s">
        <v>1558</v>
      </c>
      <c r="C256" s="305" t="s">
        <v>1559</v>
      </c>
      <c r="D256" s="305" t="s">
        <v>1559</v>
      </c>
      <c r="E256" s="305" t="s">
        <v>1559</v>
      </c>
      <c r="F256" s="305"/>
      <c r="G256" s="305" t="s">
        <v>1559</v>
      </c>
      <c r="H256" s="305"/>
      <c r="I256" s="305" t="s">
        <v>1559</v>
      </c>
      <c r="J256" s="281"/>
      <c r="S256" s="285"/>
      <c r="T256" s="285"/>
      <c r="U256" s="285"/>
      <c r="V256" s="285"/>
      <c r="W256" s="285"/>
      <c r="X256" s="285"/>
      <c r="Y256" s="285"/>
      <c r="Z256" s="285"/>
      <c r="AE256" s="280" t="s">
        <v>73</v>
      </c>
      <c r="AG256" s="286"/>
      <c r="AH256" s="313">
        <v>1</v>
      </c>
      <c r="AI256" s="288" t="str">
        <f t="shared" si="14"/>
        <v/>
      </c>
      <c r="AJ256" s="288" t="str">
        <f t="shared" si="15"/>
        <v/>
      </c>
    </row>
    <row r="257" spans="1:37" s="280" customFormat="1" ht="60" customHeight="1" x14ac:dyDescent="0.2">
      <c r="A257" s="280" t="s">
        <v>56</v>
      </c>
      <c r="B257" s="280" t="s">
        <v>1560</v>
      </c>
      <c r="C257" s="281" t="s">
        <v>1561</v>
      </c>
      <c r="D257" s="314" t="s">
        <v>1562</v>
      </c>
      <c r="E257" s="314" t="s">
        <v>1563</v>
      </c>
      <c r="F257" s="314" t="s">
        <v>1564</v>
      </c>
      <c r="G257" s="314" t="s">
        <v>1565</v>
      </c>
      <c r="H257" s="314" t="s">
        <v>1566</v>
      </c>
      <c r="I257" s="314" t="s">
        <v>1567</v>
      </c>
      <c r="J257" s="281"/>
      <c r="S257" s="285" t="s">
        <v>72</v>
      </c>
      <c r="T257" s="285"/>
      <c r="U257" s="285"/>
      <c r="V257" s="285"/>
      <c r="W257" s="285"/>
      <c r="X257" s="285"/>
      <c r="Y257" s="285"/>
      <c r="Z257" s="285"/>
      <c r="AE257" s="280" t="s">
        <v>73</v>
      </c>
      <c r="AG257" s="286">
        <v>17</v>
      </c>
      <c r="AH257" s="313">
        <v>1</v>
      </c>
      <c r="AI257" s="288">
        <f t="shared" si="14"/>
        <v>17</v>
      </c>
      <c r="AJ257" s="288" t="str">
        <f t="shared" si="15"/>
        <v/>
      </c>
    </row>
    <row r="258" spans="1:37" s="280" customFormat="1" ht="45" customHeight="1" x14ac:dyDescent="0.2">
      <c r="A258" s="280" t="s">
        <v>144</v>
      </c>
      <c r="B258" s="280" t="s">
        <v>1568</v>
      </c>
      <c r="C258" s="281" t="s">
        <v>1569</v>
      </c>
      <c r="D258" s="314" t="s">
        <v>1570</v>
      </c>
      <c r="E258" s="314" t="s">
        <v>1571</v>
      </c>
      <c r="F258" s="314" t="s">
        <v>1572</v>
      </c>
      <c r="G258" s="314" t="s">
        <v>1573</v>
      </c>
      <c r="H258" s="314" t="s">
        <v>1574</v>
      </c>
      <c r="I258" s="314" t="s">
        <v>1575</v>
      </c>
      <c r="J258" s="281"/>
      <c r="K258" s="280" t="s">
        <v>1576</v>
      </c>
      <c r="L258" s="280" t="s">
        <v>1577</v>
      </c>
      <c r="S258" s="285" t="s">
        <v>51</v>
      </c>
      <c r="T258" s="285"/>
      <c r="U258" s="285" t="s">
        <v>1493</v>
      </c>
      <c r="V258" s="285" t="s">
        <v>1494</v>
      </c>
      <c r="W258" s="285"/>
      <c r="X258" s="285"/>
      <c r="Y258" s="285"/>
      <c r="Z258" s="285"/>
      <c r="AE258" s="280" t="s">
        <v>73</v>
      </c>
      <c r="AG258" s="286">
        <v>17</v>
      </c>
      <c r="AH258" s="313">
        <v>1</v>
      </c>
      <c r="AI258" s="288">
        <f t="shared" si="14"/>
        <v>17</v>
      </c>
      <c r="AJ258" s="288" t="str">
        <f t="shared" si="15"/>
        <v/>
      </c>
    </row>
    <row r="259" spans="1:37" s="280" customFormat="1" ht="60" customHeight="1" x14ac:dyDescent="0.2">
      <c r="A259" s="280" t="s">
        <v>144</v>
      </c>
      <c r="B259" s="280" t="s">
        <v>1578</v>
      </c>
      <c r="C259" s="281" t="s">
        <v>1579</v>
      </c>
      <c r="D259" s="314" t="s">
        <v>1580</v>
      </c>
      <c r="E259" s="314" t="s">
        <v>1581</v>
      </c>
      <c r="F259" s="314" t="s">
        <v>1582</v>
      </c>
      <c r="G259" s="314" t="s">
        <v>1583</v>
      </c>
      <c r="H259" s="314" t="s">
        <v>1574</v>
      </c>
      <c r="I259" s="314" t="s">
        <v>1584</v>
      </c>
      <c r="J259" s="281"/>
      <c r="K259" s="280" t="s">
        <v>1576</v>
      </c>
      <c r="L259" s="280" t="s">
        <v>1577</v>
      </c>
      <c r="S259" s="285" t="s">
        <v>51</v>
      </c>
      <c r="T259" s="285"/>
      <c r="U259" s="285" t="s">
        <v>1493</v>
      </c>
      <c r="V259" s="285" t="s">
        <v>1494</v>
      </c>
      <c r="W259" s="285"/>
      <c r="X259" s="285"/>
      <c r="Y259" s="285"/>
      <c r="Z259" s="285"/>
      <c r="AE259" s="280" t="s">
        <v>73</v>
      </c>
      <c r="AG259" s="286">
        <v>17</v>
      </c>
      <c r="AH259" s="313">
        <v>1</v>
      </c>
      <c r="AI259" s="288">
        <f t="shared" si="14"/>
        <v>17</v>
      </c>
      <c r="AJ259" s="288" t="str">
        <f t="shared" si="15"/>
        <v/>
      </c>
    </row>
    <row r="260" spans="1:37" s="280" customFormat="1" ht="60" customHeight="1" x14ac:dyDescent="0.2">
      <c r="A260" s="280" t="s">
        <v>144</v>
      </c>
      <c r="B260" s="280" t="s">
        <v>1585</v>
      </c>
      <c r="C260" s="281" t="s">
        <v>1586</v>
      </c>
      <c r="D260" s="314" t="s">
        <v>1587</v>
      </c>
      <c r="E260" s="314" t="s">
        <v>1588</v>
      </c>
      <c r="F260" s="314" t="s">
        <v>1589</v>
      </c>
      <c r="G260" s="314" t="s">
        <v>1590</v>
      </c>
      <c r="H260" s="314"/>
      <c r="I260" s="314" t="s">
        <v>1591</v>
      </c>
      <c r="J260" s="281"/>
      <c r="K260" s="280" t="s">
        <v>1576</v>
      </c>
      <c r="L260" s="280" t="s">
        <v>1577</v>
      </c>
      <c r="S260" s="285" t="s">
        <v>51</v>
      </c>
      <c r="T260" s="285"/>
      <c r="U260" s="285" t="s">
        <v>1493</v>
      </c>
      <c r="V260" s="285" t="s">
        <v>1494</v>
      </c>
      <c r="W260" s="285"/>
      <c r="X260" s="285"/>
      <c r="Y260" s="285"/>
      <c r="Z260" s="285"/>
      <c r="AE260" s="280" t="s">
        <v>73</v>
      </c>
      <c r="AG260" s="286">
        <v>17</v>
      </c>
      <c r="AH260" s="313">
        <v>1</v>
      </c>
      <c r="AI260" s="288">
        <f t="shared" si="14"/>
        <v>17</v>
      </c>
      <c r="AJ260" s="288" t="str">
        <f t="shared" si="15"/>
        <v/>
      </c>
    </row>
    <row r="261" spans="1:37" s="280" customFormat="1" ht="60" customHeight="1" x14ac:dyDescent="0.2">
      <c r="A261" s="280" t="s">
        <v>144</v>
      </c>
      <c r="B261" s="280" t="s">
        <v>1592</v>
      </c>
      <c r="C261" s="281" t="s">
        <v>1593</v>
      </c>
      <c r="D261" s="314" t="s">
        <v>1594</v>
      </c>
      <c r="E261" s="314" t="s">
        <v>1581</v>
      </c>
      <c r="F261" s="314" t="s">
        <v>1589</v>
      </c>
      <c r="G261" s="314" t="s">
        <v>1595</v>
      </c>
      <c r="H261" s="314" t="s">
        <v>1596</v>
      </c>
      <c r="I261" s="314" t="s">
        <v>1597</v>
      </c>
      <c r="J261" s="281"/>
      <c r="K261" s="280" t="s">
        <v>1576</v>
      </c>
      <c r="L261" s="280" t="s">
        <v>1577</v>
      </c>
      <c r="S261" s="285" t="s">
        <v>51</v>
      </c>
      <c r="T261" s="285"/>
      <c r="U261" s="285" t="s">
        <v>1493</v>
      </c>
      <c r="V261" s="285" t="s">
        <v>1494</v>
      </c>
      <c r="W261" s="285"/>
      <c r="X261" s="285"/>
      <c r="Y261" s="285"/>
      <c r="Z261" s="285"/>
      <c r="AE261" s="280" t="s">
        <v>73</v>
      </c>
      <c r="AG261" s="286">
        <v>17</v>
      </c>
      <c r="AH261" s="313">
        <v>1</v>
      </c>
      <c r="AI261" s="288">
        <f t="shared" si="14"/>
        <v>17</v>
      </c>
      <c r="AJ261" s="288" t="str">
        <f t="shared" si="15"/>
        <v/>
      </c>
    </row>
    <row r="262" spans="1:37" s="280" customFormat="1" ht="60" customHeight="1" x14ac:dyDescent="0.2">
      <c r="A262" s="280" t="s">
        <v>144</v>
      </c>
      <c r="B262" s="280" t="s">
        <v>1598</v>
      </c>
      <c r="C262" s="281" t="s">
        <v>1599</v>
      </c>
      <c r="D262" s="317" t="s">
        <v>1600</v>
      </c>
      <c r="E262" s="317" t="s">
        <v>1601</v>
      </c>
      <c r="F262" s="317" t="s">
        <v>1602</v>
      </c>
      <c r="G262" s="317" t="s">
        <v>1603</v>
      </c>
      <c r="H262" s="317" t="s">
        <v>1604</v>
      </c>
      <c r="I262" s="317" t="s">
        <v>1605</v>
      </c>
      <c r="J262" s="281"/>
      <c r="K262" s="280" t="s">
        <v>1576</v>
      </c>
      <c r="L262" s="280" t="s">
        <v>1577</v>
      </c>
      <c r="S262" s="285" t="s">
        <v>51</v>
      </c>
      <c r="T262" s="285"/>
      <c r="U262" s="285" t="s">
        <v>1493</v>
      </c>
      <c r="V262" s="285" t="s">
        <v>1494</v>
      </c>
      <c r="W262" s="285"/>
      <c r="X262" s="285"/>
      <c r="Y262" s="285"/>
      <c r="Z262" s="285"/>
      <c r="AE262" s="280" t="s">
        <v>73</v>
      </c>
      <c r="AG262" s="286">
        <v>17</v>
      </c>
      <c r="AH262" s="313">
        <v>1</v>
      </c>
      <c r="AI262" s="288">
        <f t="shared" si="14"/>
        <v>17</v>
      </c>
      <c r="AJ262" s="288" t="str">
        <f t="shared" si="15"/>
        <v/>
      </c>
    </row>
    <row r="263" spans="1:37" s="280" customFormat="1" x14ac:dyDescent="0.2">
      <c r="A263" s="280" t="s">
        <v>278</v>
      </c>
      <c r="C263" s="281"/>
      <c r="D263" s="281"/>
      <c r="E263" s="281"/>
      <c r="F263" s="281"/>
      <c r="G263" s="281"/>
      <c r="H263" s="281"/>
      <c r="I263" s="281"/>
      <c r="J263" s="281"/>
      <c r="S263" s="285"/>
      <c r="T263" s="285"/>
      <c r="U263" s="285"/>
      <c r="V263" s="285"/>
      <c r="W263" s="285"/>
      <c r="X263" s="285"/>
      <c r="Y263" s="285"/>
      <c r="Z263" s="285"/>
      <c r="AG263" s="286"/>
      <c r="AH263" s="313">
        <v>1</v>
      </c>
      <c r="AI263" s="288" t="str">
        <f t="shared" si="14"/>
        <v/>
      </c>
      <c r="AJ263" s="288" t="str">
        <f t="shared" si="15"/>
        <v/>
      </c>
    </row>
    <row r="264" spans="1:37" s="72" customFormat="1" x14ac:dyDescent="0.2">
      <c r="C264" s="73"/>
      <c r="D264" s="73"/>
      <c r="E264" s="73"/>
      <c r="F264" s="73"/>
      <c r="G264" s="73"/>
      <c r="H264" s="73"/>
      <c r="I264" s="73"/>
      <c r="J264" s="74"/>
      <c r="R264" s="78"/>
      <c r="S264" s="114"/>
      <c r="T264" s="114"/>
      <c r="U264" s="114"/>
      <c r="V264" s="114"/>
      <c r="W264" s="114"/>
      <c r="X264" s="114"/>
      <c r="Y264" s="114"/>
      <c r="Z264" s="114"/>
      <c r="AG264" s="179"/>
      <c r="AH264" s="104">
        <v>1</v>
      </c>
      <c r="AI264" s="159" t="str">
        <f t="shared" si="14"/>
        <v/>
      </c>
      <c r="AJ264" s="159" t="str">
        <f t="shared" si="15"/>
        <v/>
      </c>
    </row>
    <row r="265" spans="1:37" ht="15.75" customHeight="1" thickBot="1" x14ac:dyDescent="0.25">
      <c r="A265" s="97" t="s">
        <v>278</v>
      </c>
      <c r="B265" s="97"/>
      <c r="C265" s="98"/>
      <c r="D265" s="98"/>
      <c r="E265" s="98"/>
      <c r="F265" s="98"/>
      <c r="G265" s="98"/>
      <c r="H265" s="98"/>
      <c r="I265" s="98"/>
      <c r="J265" s="105"/>
      <c r="K265" s="97"/>
      <c r="L265" s="97"/>
      <c r="M265" s="97"/>
      <c r="N265" s="97"/>
      <c r="O265" s="97"/>
      <c r="P265" s="97"/>
      <c r="Q265" s="97"/>
      <c r="R265" s="106"/>
      <c r="S265" s="126"/>
      <c r="T265" s="126"/>
      <c r="U265" s="126"/>
      <c r="V265" s="126"/>
      <c r="W265" s="126"/>
      <c r="X265" s="126"/>
      <c r="Y265" s="126"/>
      <c r="Z265" s="126"/>
      <c r="AG265" s="179"/>
      <c r="AI265" s="159" t="str">
        <f t="shared" si="14"/>
        <v/>
      </c>
      <c r="AJ265" s="159" t="str">
        <f t="shared" si="15"/>
        <v/>
      </c>
    </row>
    <row r="266" spans="1:37" s="68" customFormat="1" ht="15" customHeight="1" thickTop="1" x14ac:dyDescent="0.2">
      <c r="A266" s="65" t="s">
        <v>108</v>
      </c>
      <c r="B266" s="65" t="s">
        <v>1606</v>
      </c>
      <c r="C266" s="89" t="s">
        <v>1607</v>
      </c>
      <c r="D266" s="89" t="s">
        <v>1608</v>
      </c>
      <c r="E266" s="89" t="s">
        <v>1609</v>
      </c>
      <c r="F266" s="89" t="s">
        <v>1610</v>
      </c>
      <c r="G266" s="89" t="s">
        <v>1611</v>
      </c>
      <c r="H266" s="89" t="s">
        <v>1612</v>
      </c>
      <c r="I266" s="89" t="s">
        <v>1613</v>
      </c>
      <c r="J266" s="66"/>
      <c r="K266" s="65"/>
      <c r="L266" s="65"/>
      <c r="M266" s="65"/>
      <c r="N266" s="65"/>
      <c r="O266" s="65"/>
      <c r="P266" s="65"/>
      <c r="Q266" s="65"/>
      <c r="R266" s="67"/>
      <c r="S266" s="118" t="s">
        <v>72</v>
      </c>
      <c r="T266" s="118"/>
      <c r="U266" s="118"/>
      <c r="V266" s="118"/>
      <c r="W266" s="119" t="s">
        <v>1614</v>
      </c>
      <c r="X266" s="118"/>
      <c r="Y266" s="118"/>
      <c r="Z266" s="118"/>
      <c r="AE266" s="43" t="s">
        <v>53</v>
      </c>
      <c r="AG266" s="179"/>
      <c r="AH266" s="69"/>
      <c r="AI266" s="159" t="str">
        <f t="shared" si="14"/>
        <v/>
      </c>
      <c r="AJ266" s="159" t="str">
        <f t="shared" si="15"/>
        <v/>
      </c>
      <c r="AK266" s="69"/>
    </row>
    <row r="267" spans="1:37" s="68" customFormat="1" ht="15" customHeight="1" x14ac:dyDescent="0.2">
      <c r="C267" s="90"/>
      <c r="D267" s="90"/>
      <c r="E267" s="90"/>
      <c r="F267" s="90"/>
      <c r="G267" s="90"/>
      <c r="H267" s="90"/>
      <c r="I267" s="90"/>
      <c r="J267" s="66"/>
      <c r="R267" s="67"/>
      <c r="S267" s="119"/>
      <c r="T267" s="119"/>
      <c r="U267" s="119"/>
      <c r="V267" s="119"/>
      <c r="W267" s="119"/>
      <c r="X267" s="119"/>
      <c r="Y267" s="119"/>
      <c r="Z267" s="119"/>
      <c r="AE267" s="43"/>
      <c r="AG267" s="179"/>
      <c r="AH267" s="104">
        <v>1</v>
      </c>
      <c r="AI267" s="159" t="str">
        <f t="shared" si="14"/>
        <v/>
      </c>
      <c r="AJ267" s="159" t="str">
        <f t="shared" si="15"/>
        <v/>
      </c>
      <c r="AK267" s="69"/>
    </row>
    <row r="268" spans="1:37" ht="45" customHeight="1" x14ac:dyDescent="0.2">
      <c r="A268" s="70" t="s">
        <v>262</v>
      </c>
      <c r="B268" s="70" t="s">
        <v>1615</v>
      </c>
      <c r="C268" s="42" t="s">
        <v>1616</v>
      </c>
      <c r="D268" s="76" t="s">
        <v>1617</v>
      </c>
      <c r="E268" s="76" t="s">
        <v>1618</v>
      </c>
      <c r="F268" s="76" t="s">
        <v>1619</v>
      </c>
      <c r="G268" s="76" t="s">
        <v>1620</v>
      </c>
      <c r="H268" s="76" t="s">
        <v>380</v>
      </c>
      <c r="I268" s="76" t="s">
        <v>1621</v>
      </c>
      <c r="J268" s="83"/>
      <c r="K268" s="70"/>
      <c r="L268" s="70"/>
      <c r="M268" s="70"/>
      <c r="N268" s="70"/>
      <c r="O268" s="70"/>
      <c r="P268" s="70"/>
      <c r="Q268" s="70"/>
      <c r="R268" s="84"/>
      <c r="S268" s="113" t="s">
        <v>51</v>
      </c>
      <c r="T268" s="113"/>
      <c r="U268" s="113"/>
      <c r="V268" s="113"/>
      <c r="W268" s="113"/>
      <c r="X268" s="113"/>
      <c r="Y268" s="113"/>
      <c r="Z268" s="113"/>
      <c r="AE268" s="43" t="s">
        <v>53</v>
      </c>
      <c r="AG268" s="179">
        <v>19.828245162963871</v>
      </c>
      <c r="AH268" s="104">
        <v>1</v>
      </c>
      <c r="AI268" s="159">
        <f t="shared" si="14"/>
        <v>19.828245162963871</v>
      </c>
      <c r="AJ268" s="159">
        <f t="shared" si="15"/>
        <v>19.828245162963871</v>
      </c>
    </row>
    <row r="269" spans="1:37" ht="60" customHeight="1" x14ac:dyDescent="0.2">
      <c r="A269" s="70" t="s">
        <v>1622</v>
      </c>
      <c r="B269" s="70" t="s">
        <v>1623</v>
      </c>
      <c r="C269" s="42" t="s">
        <v>1624</v>
      </c>
      <c r="D269" s="76" t="s">
        <v>1625</v>
      </c>
      <c r="E269" s="76" t="s">
        <v>1626</v>
      </c>
      <c r="F269" s="76" t="s">
        <v>1627</v>
      </c>
      <c r="G269" s="76" t="s">
        <v>1628</v>
      </c>
      <c r="H269" s="76" t="s">
        <v>1629</v>
      </c>
      <c r="I269" s="76" t="s">
        <v>1630</v>
      </c>
      <c r="J269" s="83"/>
      <c r="K269" s="70" t="s">
        <v>1631</v>
      </c>
      <c r="L269" s="75" t="s">
        <v>1632</v>
      </c>
      <c r="M269" s="75" t="s">
        <v>1633</v>
      </c>
      <c r="N269" s="75" t="s">
        <v>1634</v>
      </c>
      <c r="O269" s="75" t="s">
        <v>1635</v>
      </c>
      <c r="P269" s="75" t="s">
        <v>1636</v>
      </c>
      <c r="Q269" s="75" t="s">
        <v>1637</v>
      </c>
      <c r="R269" s="84"/>
      <c r="S269" s="113" t="s">
        <v>51</v>
      </c>
      <c r="T269" s="113"/>
      <c r="U269" s="115" t="s">
        <v>928</v>
      </c>
      <c r="V269" s="113"/>
      <c r="W269" s="113" t="s">
        <v>1638</v>
      </c>
      <c r="X269" s="113"/>
      <c r="Y269" s="113"/>
      <c r="Z269" s="113"/>
      <c r="AE269" s="43" t="s">
        <v>53</v>
      </c>
      <c r="AG269" s="179">
        <v>49.529693603515618</v>
      </c>
      <c r="AH269" s="104">
        <v>1</v>
      </c>
      <c r="AI269" s="159">
        <f t="shared" ref="AI269:AI300" si="16">IF(AG269&lt;&gt;"",AG269*AH269,"")</f>
        <v>49.529693603515618</v>
      </c>
      <c r="AJ269" s="159">
        <f t="shared" ref="AJ269:AJ275" si="17">IF(AND(AG269&lt;&gt;"",AE269="yes"),AG269*AH269,"")</f>
        <v>49.529693603515618</v>
      </c>
    </row>
    <row r="270" spans="1:37" ht="16" customHeight="1" x14ac:dyDescent="0.2">
      <c r="A270" s="70" t="s">
        <v>116</v>
      </c>
      <c r="B270" s="70" t="s">
        <v>1639</v>
      </c>
      <c r="C270" s="76" t="s">
        <v>703</v>
      </c>
      <c r="D270" s="76" t="s">
        <v>704</v>
      </c>
      <c r="E270" s="76" t="s">
        <v>705</v>
      </c>
      <c r="F270" s="76" t="s">
        <v>706</v>
      </c>
      <c r="G270" s="76" t="s">
        <v>707</v>
      </c>
      <c r="H270" s="76" t="s">
        <v>1208</v>
      </c>
      <c r="I270" s="76" t="s">
        <v>709</v>
      </c>
      <c r="J270" s="94"/>
      <c r="K270" s="71" t="s">
        <v>710</v>
      </c>
      <c r="L270" s="71" t="s">
        <v>711</v>
      </c>
      <c r="M270" s="71" t="s">
        <v>1210</v>
      </c>
      <c r="N270" s="71" t="s">
        <v>1183</v>
      </c>
      <c r="O270" s="71" t="s">
        <v>714</v>
      </c>
      <c r="P270" s="71" t="s">
        <v>1640</v>
      </c>
      <c r="Q270" s="71" t="s">
        <v>716</v>
      </c>
      <c r="R270" s="84"/>
      <c r="S270" s="113" t="s">
        <v>51</v>
      </c>
      <c r="T270" s="113"/>
      <c r="U270" s="113"/>
      <c r="V270" s="113"/>
      <c r="W270" s="113" t="s">
        <v>1641</v>
      </c>
      <c r="X270" s="113"/>
      <c r="Y270" s="113"/>
      <c r="Z270" s="113"/>
      <c r="AE270" s="43" t="s">
        <v>53</v>
      </c>
      <c r="AG270" s="179"/>
      <c r="AH270" s="104">
        <v>1</v>
      </c>
      <c r="AI270" s="159" t="str">
        <f t="shared" si="16"/>
        <v/>
      </c>
      <c r="AJ270" s="159" t="str">
        <f t="shared" si="17"/>
        <v/>
      </c>
    </row>
    <row r="271" spans="1:37" x14ac:dyDescent="0.2">
      <c r="D271" s="45"/>
      <c r="E271" s="45"/>
      <c r="F271" s="45"/>
      <c r="G271" s="45"/>
      <c r="H271" s="45"/>
      <c r="I271" s="45"/>
      <c r="J271" s="83"/>
      <c r="L271" s="71"/>
      <c r="M271" s="71"/>
      <c r="N271" s="71"/>
      <c r="O271" s="71"/>
      <c r="P271" s="71"/>
      <c r="Q271" s="71"/>
      <c r="R271" s="84"/>
      <c r="AG271" s="179"/>
      <c r="AH271" s="104">
        <v>1</v>
      </c>
      <c r="AI271" s="159" t="str">
        <f t="shared" si="16"/>
        <v/>
      </c>
      <c r="AJ271" s="159" t="str">
        <f t="shared" si="17"/>
        <v/>
      </c>
    </row>
    <row r="272" spans="1:37" s="71" customFormat="1" ht="30" customHeight="1" x14ac:dyDescent="0.2">
      <c r="A272" s="75" t="s">
        <v>1642</v>
      </c>
      <c r="B272" s="75" t="s">
        <v>1643</v>
      </c>
      <c r="C272" s="76" t="s">
        <v>1644</v>
      </c>
      <c r="D272" s="76" t="s">
        <v>1645</v>
      </c>
      <c r="E272" s="76" t="s">
        <v>1646</v>
      </c>
      <c r="F272" s="76" t="s">
        <v>1647</v>
      </c>
      <c r="G272" s="76" t="s">
        <v>1648</v>
      </c>
      <c r="H272" s="76" t="s">
        <v>380</v>
      </c>
      <c r="I272" s="76" t="s">
        <v>381</v>
      </c>
      <c r="J272" s="94"/>
      <c r="K272" s="75" t="s">
        <v>1649</v>
      </c>
      <c r="L272" s="75" t="s">
        <v>1650</v>
      </c>
      <c r="M272" s="75" t="s">
        <v>1651</v>
      </c>
      <c r="N272" s="75" t="s">
        <v>1652</v>
      </c>
      <c r="O272" s="75" t="s">
        <v>1653</v>
      </c>
      <c r="P272" s="75" t="s">
        <v>1654</v>
      </c>
      <c r="Q272" s="75" t="s">
        <v>1655</v>
      </c>
      <c r="R272" s="96"/>
      <c r="S272" s="115" t="s">
        <v>51</v>
      </c>
      <c r="T272" s="115"/>
      <c r="U272" s="115" t="s">
        <v>1656</v>
      </c>
      <c r="V272" s="115"/>
      <c r="W272" s="115"/>
      <c r="X272" s="115"/>
      <c r="Y272" s="115"/>
      <c r="Z272" s="115"/>
      <c r="AE272" s="71" t="s">
        <v>53</v>
      </c>
      <c r="AG272" s="179">
        <v>22.029750823974609</v>
      </c>
      <c r="AH272" s="104">
        <v>1</v>
      </c>
      <c r="AI272" s="159">
        <f t="shared" si="16"/>
        <v>22.029750823974609</v>
      </c>
      <c r="AJ272" s="159">
        <f t="shared" si="17"/>
        <v>22.029750823974609</v>
      </c>
    </row>
    <row r="273" spans="1:37" s="71" customFormat="1" ht="16" customHeight="1" x14ac:dyDescent="0.2">
      <c r="A273" s="75" t="s">
        <v>116</v>
      </c>
      <c r="B273" s="75" t="s">
        <v>1657</v>
      </c>
      <c r="C273" s="76" t="s">
        <v>703</v>
      </c>
      <c r="D273" s="76" t="s">
        <v>704</v>
      </c>
      <c r="E273" s="76" t="s">
        <v>705</v>
      </c>
      <c r="F273" s="76" t="s">
        <v>706</v>
      </c>
      <c r="G273" s="76" t="s">
        <v>707</v>
      </c>
      <c r="H273" s="76" t="s">
        <v>1208</v>
      </c>
      <c r="I273" s="76" t="s">
        <v>709</v>
      </c>
      <c r="J273" s="94"/>
      <c r="K273" s="75" t="s">
        <v>710</v>
      </c>
      <c r="L273" s="75" t="s">
        <v>711</v>
      </c>
      <c r="M273" s="75" t="s">
        <v>1210</v>
      </c>
      <c r="N273" s="75" t="s">
        <v>1183</v>
      </c>
      <c r="O273" s="75" t="s">
        <v>714</v>
      </c>
      <c r="P273" s="75" t="s">
        <v>1658</v>
      </c>
      <c r="Q273" s="75" t="s">
        <v>716</v>
      </c>
      <c r="R273" s="96"/>
      <c r="S273" s="115" t="s">
        <v>51</v>
      </c>
      <c r="T273" s="115"/>
      <c r="U273" s="115"/>
      <c r="V273" s="115"/>
      <c r="W273" s="115" t="s">
        <v>1659</v>
      </c>
      <c r="X273" s="115"/>
      <c r="Y273" s="115"/>
      <c r="Z273" s="115"/>
      <c r="AE273" s="71" t="s">
        <v>53</v>
      </c>
      <c r="AG273" s="179"/>
      <c r="AH273" s="104">
        <v>1</v>
      </c>
      <c r="AI273" s="159" t="str">
        <f t="shared" si="16"/>
        <v/>
      </c>
      <c r="AJ273" s="159" t="str">
        <f t="shared" si="17"/>
        <v/>
      </c>
    </row>
    <row r="274" spans="1:37" s="71" customFormat="1" ht="16" customHeight="1" x14ac:dyDescent="0.2">
      <c r="A274" s="75" t="s">
        <v>1660</v>
      </c>
      <c r="B274" s="75" t="s">
        <v>1661</v>
      </c>
      <c r="C274" s="76" t="s">
        <v>1662</v>
      </c>
      <c r="D274" s="76" t="s">
        <v>1663</v>
      </c>
      <c r="E274" s="76" t="s">
        <v>1664</v>
      </c>
      <c r="F274" s="76" t="s">
        <v>1665</v>
      </c>
      <c r="G274" s="76" t="s">
        <v>1663</v>
      </c>
      <c r="H274" s="76" t="s">
        <v>1666</v>
      </c>
      <c r="I274" s="76" t="s">
        <v>1667</v>
      </c>
      <c r="J274" s="94"/>
      <c r="K274" s="75" t="s">
        <v>1668</v>
      </c>
      <c r="L274" s="75" t="s">
        <v>1669</v>
      </c>
      <c r="M274" s="75" t="s">
        <v>1670</v>
      </c>
      <c r="N274" s="75" t="s">
        <v>1671</v>
      </c>
      <c r="O274" s="75" t="s">
        <v>1672</v>
      </c>
      <c r="P274" s="75" t="s">
        <v>1658</v>
      </c>
      <c r="Q274" s="75" t="s">
        <v>1673</v>
      </c>
      <c r="R274" s="96"/>
      <c r="S274" s="115" t="s">
        <v>51</v>
      </c>
      <c r="T274" s="115"/>
      <c r="U274" s="115"/>
      <c r="V274" s="115"/>
      <c r="W274" s="115" t="s">
        <v>1674</v>
      </c>
      <c r="X274" s="115"/>
      <c r="Y274" s="115"/>
      <c r="Z274" s="115"/>
      <c r="AE274" s="71" t="s">
        <v>53</v>
      </c>
      <c r="AG274" s="179">
        <v>17</v>
      </c>
      <c r="AH274" s="104">
        <v>1</v>
      </c>
      <c r="AI274" s="159">
        <f t="shared" si="16"/>
        <v>17</v>
      </c>
      <c r="AJ274" s="159">
        <f t="shared" si="17"/>
        <v>17</v>
      </c>
    </row>
    <row r="275" spans="1:37" s="72" customFormat="1" x14ac:dyDescent="0.2">
      <c r="C275" s="73"/>
      <c r="D275" s="73"/>
      <c r="E275" s="73"/>
      <c r="F275" s="73"/>
      <c r="G275" s="73"/>
      <c r="H275" s="73"/>
      <c r="I275" s="73"/>
      <c r="J275" s="74"/>
      <c r="R275" s="78"/>
      <c r="S275" s="114"/>
      <c r="T275" s="114"/>
      <c r="U275" s="114"/>
      <c r="V275" s="114"/>
      <c r="W275" s="114"/>
      <c r="X275" s="114"/>
      <c r="Y275" s="114"/>
      <c r="Z275" s="114"/>
      <c r="AB275" s="43"/>
      <c r="AG275" s="179"/>
      <c r="AH275" s="104">
        <v>1</v>
      </c>
      <c r="AI275" s="159" t="str">
        <f t="shared" si="16"/>
        <v/>
      </c>
      <c r="AJ275" s="159" t="str">
        <f t="shared" si="17"/>
        <v/>
      </c>
      <c r="AK275" s="71"/>
    </row>
    <row r="276" spans="1:37" s="280" customFormat="1" ht="16" customHeight="1" x14ac:dyDescent="0.2">
      <c r="A276" s="280" t="s">
        <v>1675</v>
      </c>
      <c r="B276" s="280" t="s">
        <v>1676</v>
      </c>
      <c r="C276" s="281" t="s">
        <v>1677</v>
      </c>
      <c r="D276" s="281" t="s">
        <v>1678</v>
      </c>
      <c r="E276" s="281" t="s">
        <v>1679</v>
      </c>
      <c r="F276" s="281" t="s">
        <v>1680</v>
      </c>
      <c r="G276" s="281" t="s">
        <v>1681</v>
      </c>
      <c r="H276" s="281" t="s">
        <v>1682</v>
      </c>
      <c r="I276" s="281" t="s">
        <v>1683</v>
      </c>
      <c r="J276" s="281"/>
      <c r="K276" s="280" t="s">
        <v>1684</v>
      </c>
      <c r="L276" s="280" t="s">
        <v>746</v>
      </c>
      <c r="M276" s="280" t="s">
        <v>1685</v>
      </c>
      <c r="N276" s="280" t="s">
        <v>1686</v>
      </c>
      <c r="O276" s="280" t="s">
        <v>1687</v>
      </c>
      <c r="P276" s="280" t="s">
        <v>1022</v>
      </c>
      <c r="Q276" s="280" t="s">
        <v>1688</v>
      </c>
      <c r="S276" s="285" t="s">
        <v>51</v>
      </c>
      <c r="T276" s="285"/>
      <c r="U276" s="297" t="s">
        <v>928</v>
      </c>
      <c r="V276" s="285"/>
      <c r="W276" s="297" t="s">
        <v>1674</v>
      </c>
      <c r="X276" s="285"/>
      <c r="Y276" s="285"/>
      <c r="Z276" s="285"/>
      <c r="AB276" s="302"/>
      <c r="AE276" s="280" t="s">
        <v>73</v>
      </c>
      <c r="AG276" s="286"/>
      <c r="AH276" s="313"/>
      <c r="AI276" s="288"/>
      <c r="AJ276" s="288"/>
      <c r="AK276" s="291"/>
    </row>
    <row r="277" spans="1:37" s="72" customFormat="1" x14ac:dyDescent="0.2">
      <c r="C277" s="73"/>
      <c r="D277" s="73"/>
      <c r="E277" s="73"/>
      <c r="F277" s="73"/>
      <c r="G277" s="73"/>
      <c r="H277" s="73"/>
      <c r="I277" s="73"/>
      <c r="J277" s="74"/>
      <c r="R277" s="78"/>
      <c r="S277" s="114"/>
      <c r="T277" s="114"/>
      <c r="U277" s="114"/>
      <c r="V277" s="114"/>
      <c r="W277" s="114"/>
      <c r="X277" s="114"/>
      <c r="Y277" s="114"/>
      <c r="Z277" s="114"/>
      <c r="AB277" s="43"/>
      <c r="AG277" s="179"/>
      <c r="AH277" s="104"/>
      <c r="AI277" s="159"/>
      <c r="AJ277" s="159"/>
      <c r="AK277" s="71"/>
    </row>
    <row r="278" spans="1:37" ht="15.75" customHeight="1" thickBot="1" x14ac:dyDescent="0.25">
      <c r="A278" s="97" t="s">
        <v>278</v>
      </c>
      <c r="B278" s="97"/>
      <c r="C278" s="98"/>
      <c r="D278" s="98"/>
      <c r="E278" s="98"/>
      <c r="F278" s="98"/>
      <c r="G278" s="98"/>
      <c r="H278" s="98"/>
      <c r="I278" s="98"/>
      <c r="J278" s="105"/>
      <c r="K278" s="97"/>
      <c r="L278" s="97"/>
      <c r="M278" s="97"/>
      <c r="N278" s="97"/>
      <c r="O278" s="97"/>
      <c r="P278" s="97"/>
      <c r="Q278" s="97"/>
      <c r="R278" s="106"/>
      <c r="S278" s="126"/>
      <c r="T278" s="126"/>
      <c r="U278" s="126"/>
      <c r="V278" s="126"/>
      <c r="W278" s="126"/>
      <c r="X278" s="126"/>
      <c r="Y278" s="126"/>
      <c r="Z278" s="126"/>
      <c r="AG278" s="179"/>
      <c r="AI278" s="159" t="str">
        <f t="shared" ref="AI278:AI290" si="18">IF(AG278&lt;&gt;"",AG278*AH278,"")</f>
        <v/>
      </c>
      <c r="AJ278" s="159" t="str">
        <f t="shared" ref="AJ278:AJ290" si="19">IF(AND(AG278&lt;&gt;"",AE278="yes"),AG278*AH278,"")</f>
        <v/>
      </c>
    </row>
    <row r="279" spans="1:37" s="68" customFormat="1" ht="15.75" customHeight="1" thickTop="1" x14ac:dyDescent="0.2">
      <c r="A279" s="65" t="s">
        <v>108</v>
      </c>
      <c r="B279" s="65" t="s">
        <v>1689</v>
      </c>
      <c r="C279" s="89" t="s">
        <v>1690</v>
      </c>
      <c r="D279" s="89" t="s">
        <v>1691</v>
      </c>
      <c r="E279" s="89" t="s">
        <v>1692</v>
      </c>
      <c r="F279" s="89" t="s">
        <v>1693</v>
      </c>
      <c r="G279" s="89" t="s">
        <v>1694</v>
      </c>
      <c r="H279" s="89" t="s">
        <v>1695</v>
      </c>
      <c r="I279" s="89" t="s">
        <v>1696</v>
      </c>
      <c r="J279" s="66"/>
      <c r="K279" s="65"/>
      <c r="L279" s="65"/>
      <c r="M279" s="65"/>
      <c r="N279" s="65"/>
      <c r="O279" s="65"/>
      <c r="P279" s="65"/>
      <c r="Q279" s="65"/>
      <c r="R279" s="67"/>
      <c r="S279" s="118" t="s">
        <v>72</v>
      </c>
      <c r="T279" s="118"/>
      <c r="U279" s="118"/>
      <c r="V279" s="118"/>
      <c r="W279" s="119" t="s">
        <v>287</v>
      </c>
      <c r="X279" s="118"/>
      <c r="Y279" s="118"/>
      <c r="Z279" s="118"/>
      <c r="AE279" s="43" t="s">
        <v>53</v>
      </c>
      <c r="AG279" s="179"/>
      <c r="AH279" s="158"/>
      <c r="AI279" s="159" t="str">
        <f t="shared" si="18"/>
        <v/>
      </c>
      <c r="AJ279" s="159" t="str">
        <f t="shared" si="19"/>
        <v/>
      </c>
      <c r="AK279" s="69"/>
    </row>
    <row r="280" spans="1:37" s="68" customFormat="1" x14ac:dyDescent="0.2">
      <c r="C280" s="90"/>
      <c r="D280" s="90"/>
      <c r="E280" s="90"/>
      <c r="F280" s="90"/>
      <c r="G280" s="90"/>
      <c r="H280" s="90"/>
      <c r="I280" s="90"/>
      <c r="J280" s="66"/>
      <c r="R280" s="67"/>
      <c r="S280" s="119"/>
      <c r="T280" s="119"/>
      <c r="U280" s="119"/>
      <c r="V280" s="119"/>
      <c r="W280" s="119"/>
      <c r="X280" s="119"/>
      <c r="Y280" s="119"/>
      <c r="Z280" s="119"/>
      <c r="AE280" s="43"/>
      <c r="AG280" s="179"/>
      <c r="AH280" s="104">
        <v>1</v>
      </c>
      <c r="AI280" s="159" t="str">
        <f t="shared" si="18"/>
        <v/>
      </c>
      <c r="AJ280" s="159" t="str">
        <f t="shared" si="19"/>
        <v/>
      </c>
      <c r="AK280" s="69"/>
    </row>
    <row r="281" spans="1:37" ht="45" customHeight="1" x14ac:dyDescent="0.2">
      <c r="A281" s="70" t="s">
        <v>74</v>
      </c>
      <c r="B281" s="70" t="s">
        <v>1697</v>
      </c>
      <c r="C281" s="42" t="s">
        <v>1698</v>
      </c>
      <c r="D281" s="214" t="s">
        <v>1699</v>
      </c>
      <c r="E281" s="214" t="s">
        <v>1700</v>
      </c>
      <c r="F281" s="214" t="s">
        <v>1701</v>
      </c>
      <c r="G281" s="214" t="s">
        <v>1702</v>
      </c>
      <c r="H281" s="214" t="s">
        <v>1703</v>
      </c>
      <c r="I281" s="214" t="s">
        <v>1704</v>
      </c>
      <c r="J281" s="83"/>
      <c r="K281" s="70"/>
      <c r="L281" s="70"/>
      <c r="M281" s="70"/>
      <c r="N281" s="70"/>
      <c r="O281" s="70"/>
      <c r="P281" s="70"/>
      <c r="Q281" s="70"/>
      <c r="R281" s="84"/>
      <c r="S281" s="113" t="s">
        <v>51</v>
      </c>
      <c r="T281" s="113"/>
      <c r="U281" s="113"/>
      <c r="V281" s="113"/>
      <c r="W281" s="113"/>
      <c r="X281" s="113"/>
      <c r="Y281" s="113"/>
      <c r="Z281" s="113"/>
      <c r="AE281" s="43" t="s">
        <v>53</v>
      </c>
      <c r="AG281" s="179">
        <v>36.783046722412109</v>
      </c>
      <c r="AH281" s="104">
        <v>1</v>
      </c>
      <c r="AI281" s="159">
        <f t="shared" si="18"/>
        <v>36.783046722412109</v>
      </c>
      <c r="AJ281" s="159">
        <f t="shared" si="19"/>
        <v>36.783046722412109</v>
      </c>
    </row>
    <row r="282" spans="1:37" x14ac:dyDescent="0.2">
      <c r="J282" s="83"/>
      <c r="R282" s="84"/>
      <c r="AG282" s="179"/>
      <c r="AH282" s="104">
        <v>1</v>
      </c>
      <c r="AI282" s="159" t="str">
        <f t="shared" si="18"/>
        <v/>
      </c>
      <c r="AJ282" s="159" t="str">
        <f t="shared" si="19"/>
        <v/>
      </c>
    </row>
    <row r="283" spans="1:37" s="72" customFormat="1" ht="32" customHeight="1" x14ac:dyDescent="0.2">
      <c r="A283" s="153" t="s">
        <v>1705</v>
      </c>
      <c r="B283" s="153" t="s">
        <v>1706</v>
      </c>
      <c r="C283" s="168" t="s">
        <v>1707</v>
      </c>
      <c r="D283" s="168" t="s">
        <v>1708</v>
      </c>
      <c r="E283" s="168" t="s">
        <v>1709</v>
      </c>
      <c r="F283" s="168" t="s">
        <v>1710</v>
      </c>
      <c r="G283" s="168" t="s">
        <v>1711</v>
      </c>
      <c r="H283" s="168" t="s">
        <v>1712</v>
      </c>
      <c r="I283" s="168" t="s">
        <v>1713</v>
      </c>
      <c r="J283" s="156"/>
      <c r="K283" s="153" t="s">
        <v>1714</v>
      </c>
      <c r="L283" s="153" t="s">
        <v>746</v>
      </c>
      <c r="M283" s="153" t="s">
        <v>1685</v>
      </c>
      <c r="N283" s="153" t="s">
        <v>1715</v>
      </c>
      <c r="O283" s="153" t="s">
        <v>1687</v>
      </c>
      <c r="P283" s="153" t="s">
        <v>1022</v>
      </c>
      <c r="Q283" s="153" t="s">
        <v>1688</v>
      </c>
      <c r="R283" s="157"/>
      <c r="S283" s="152" t="s">
        <v>51</v>
      </c>
      <c r="T283" s="152"/>
      <c r="U283" s="129"/>
      <c r="V283" s="152"/>
      <c r="W283" s="152" t="s">
        <v>1716</v>
      </c>
      <c r="X283" s="123"/>
      <c r="Y283" s="123"/>
      <c r="Z283" s="123"/>
      <c r="AE283" s="155" t="s">
        <v>183</v>
      </c>
      <c r="AG283" s="179">
        <v>10</v>
      </c>
      <c r="AH283" s="104">
        <v>1</v>
      </c>
      <c r="AI283" s="159">
        <f t="shared" si="18"/>
        <v>10</v>
      </c>
      <c r="AJ283" s="159" t="str">
        <f t="shared" si="19"/>
        <v/>
      </c>
      <c r="AK283" s="71"/>
    </row>
    <row r="284" spans="1:37" s="72" customFormat="1" ht="30" customHeight="1" x14ac:dyDescent="0.2">
      <c r="A284" s="153" t="s">
        <v>1717</v>
      </c>
      <c r="B284" s="153" t="s">
        <v>1718</v>
      </c>
      <c r="C284" s="168" t="s">
        <v>1719</v>
      </c>
      <c r="D284" s="168" t="s">
        <v>1720</v>
      </c>
      <c r="E284" s="168" t="s">
        <v>1721</v>
      </c>
      <c r="F284" s="168" t="s">
        <v>1722</v>
      </c>
      <c r="G284" s="168" t="s">
        <v>1723</v>
      </c>
      <c r="H284" s="168" t="s">
        <v>1724</v>
      </c>
      <c r="I284" s="168" t="s">
        <v>1725</v>
      </c>
      <c r="J284" s="156"/>
      <c r="K284" s="153" t="s">
        <v>1714</v>
      </c>
      <c r="L284" s="153" t="s">
        <v>746</v>
      </c>
      <c r="M284" s="153" t="s">
        <v>1685</v>
      </c>
      <c r="N284" s="153" t="s">
        <v>1715</v>
      </c>
      <c r="O284" s="153" t="s">
        <v>1687</v>
      </c>
      <c r="P284" s="153" t="s">
        <v>1022</v>
      </c>
      <c r="Q284" s="153" t="s">
        <v>1688</v>
      </c>
      <c r="R284" s="157"/>
      <c r="S284" s="152" t="s">
        <v>51</v>
      </c>
      <c r="T284" s="152"/>
      <c r="U284" s="129"/>
      <c r="V284" s="152"/>
      <c r="W284" s="152" t="s">
        <v>1716</v>
      </c>
      <c r="X284" s="123"/>
      <c r="Y284" s="123"/>
      <c r="Z284" s="123"/>
      <c r="AE284" s="155" t="s">
        <v>183</v>
      </c>
      <c r="AG284" s="179">
        <v>10</v>
      </c>
      <c r="AH284" s="104">
        <v>1</v>
      </c>
      <c r="AI284" s="159">
        <f t="shared" si="18"/>
        <v>10</v>
      </c>
      <c r="AJ284" s="159" t="str">
        <f t="shared" si="19"/>
        <v/>
      </c>
      <c r="AK284" s="71"/>
    </row>
    <row r="285" spans="1:37" s="72" customFormat="1" x14ac:dyDescent="0.2">
      <c r="C285" s="73"/>
      <c r="D285" s="73"/>
      <c r="E285" s="73"/>
      <c r="F285" s="73"/>
      <c r="G285" s="73"/>
      <c r="H285" s="73"/>
      <c r="I285" s="73"/>
      <c r="J285" s="74"/>
      <c r="R285" s="78"/>
      <c r="S285" s="114"/>
      <c r="T285" s="114"/>
      <c r="U285" s="114"/>
      <c r="V285" s="114"/>
      <c r="W285" s="114"/>
      <c r="X285" s="114"/>
      <c r="Y285" s="114"/>
      <c r="Z285" s="114"/>
      <c r="AG285" s="179"/>
      <c r="AH285" s="104">
        <v>1</v>
      </c>
      <c r="AI285" s="159" t="str">
        <f t="shared" si="18"/>
        <v/>
      </c>
      <c r="AJ285" s="159" t="str">
        <f t="shared" si="19"/>
        <v/>
      </c>
      <c r="AK285" s="71"/>
    </row>
    <row r="286" spans="1:37" ht="30" customHeight="1" x14ac:dyDescent="0.2">
      <c r="A286" s="70" t="s">
        <v>1726</v>
      </c>
      <c r="B286" s="70" t="s">
        <v>1727</v>
      </c>
      <c r="C286" s="42" t="s">
        <v>1728</v>
      </c>
      <c r="D286" s="219" t="s">
        <v>1729</v>
      </c>
      <c r="E286" s="219" t="s">
        <v>1730</v>
      </c>
      <c r="F286" s="219" t="s">
        <v>1731</v>
      </c>
      <c r="G286" s="219" t="s">
        <v>1732</v>
      </c>
      <c r="H286" s="219" t="s">
        <v>1733</v>
      </c>
      <c r="I286" s="219" t="s">
        <v>1734</v>
      </c>
      <c r="J286" s="83"/>
      <c r="K286" s="70"/>
      <c r="L286" s="70"/>
      <c r="M286" s="70"/>
      <c r="N286" s="70"/>
      <c r="O286" s="70"/>
      <c r="P286" s="70"/>
      <c r="Q286" s="70"/>
      <c r="R286" s="84"/>
      <c r="S286" s="113" t="s">
        <v>51</v>
      </c>
      <c r="T286" s="113"/>
      <c r="U286" s="113"/>
      <c r="V286" s="113"/>
      <c r="W286" s="113"/>
      <c r="X286" s="113"/>
      <c r="Y286" s="113"/>
      <c r="Z286" s="113"/>
      <c r="AE286" s="43" t="s">
        <v>53</v>
      </c>
      <c r="AG286" s="179">
        <v>3</v>
      </c>
      <c r="AH286" s="104">
        <v>1</v>
      </c>
      <c r="AI286" s="159">
        <f t="shared" si="18"/>
        <v>3</v>
      </c>
      <c r="AJ286" s="159">
        <f t="shared" si="19"/>
        <v>3</v>
      </c>
    </row>
    <row r="287" spans="1:37" x14ac:dyDescent="0.2">
      <c r="D287" s="43"/>
      <c r="E287" s="43"/>
      <c r="F287" s="43"/>
      <c r="G287" s="43"/>
      <c r="H287" s="43"/>
      <c r="I287" s="43"/>
      <c r="J287" s="83"/>
      <c r="R287" s="84"/>
      <c r="AG287" s="179"/>
      <c r="AH287" s="104">
        <v>1</v>
      </c>
      <c r="AI287" s="159" t="str">
        <f t="shared" si="18"/>
        <v/>
      </c>
      <c r="AJ287" s="159" t="str">
        <f t="shared" si="19"/>
        <v/>
      </c>
    </row>
    <row r="288" spans="1:37" ht="16" customHeight="1" x14ac:dyDescent="0.2">
      <c r="A288" s="70" t="s">
        <v>56</v>
      </c>
      <c r="B288" s="70" t="s">
        <v>1735</v>
      </c>
      <c r="C288" s="42" t="s">
        <v>1736</v>
      </c>
      <c r="D288" s="216" t="s">
        <v>1737</v>
      </c>
      <c r="E288" s="216" t="s">
        <v>1738</v>
      </c>
      <c r="F288" s="216" t="s">
        <v>1739</v>
      </c>
      <c r="G288" s="216" t="s">
        <v>1740</v>
      </c>
      <c r="H288" s="216" t="s">
        <v>1741</v>
      </c>
      <c r="I288" s="216" t="s">
        <v>1742</v>
      </c>
      <c r="J288" s="83"/>
      <c r="K288" s="70"/>
      <c r="L288" s="70"/>
      <c r="M288" s="70"/>
      <c r="N288" s="70"/>
      <c r="O288" s="70"/>
      <c r="P288" s="70"/>
      <c r="Q288" s="70"/>
      <c r="R288" s="84"/>
      <c r="S288" s="113" t="s">
        <v>72</v>
      </c>
      <c r="T288" s="113"/>
      <c r="U288" s="113"/>
      <c r="V288" s="113"/>
      <c r="W288" s="113"/>
      <c r="X288" s="113"/>
      <c r="Y288" s="113"/>
      <c r="Z288" s="113"/>
      <c r="AE288" s="43" t="s">
        <v>73</v>
      </c>
      <c r="AG288" s="179">
        <v>0</v>
      </c>
      <c r="AH288" s="104">
        <v>1</v>
      </c>
      <c r="AI288" s="159">
        <f t="shared" si="18"/>
        <v>0</v>
      </c>
      <c r="AJ288" s="159" t="str">
        <f t="shared" si="19"/>
        <v/>
      </c>
    </row>
    <row r="289" spans="1:36" x14ac:dyDescent="0.2">
      <c r="J289" s="83"/>
      <c r="R289" s="84"/>
      <c r="AG289" s="179"/>
      <c r="AH289" s="104">
        <v>1</v>
      </c>
      <c r="AI289" s="159" t="str">
        <f t="shared" si="18"/>
        <v/>
      </c>
      <c r="AJ289" s="159" t="str">
        <f t="shared" si="19"/>
        <v/>
      </c>
    </row>
    <row r="290" spans="1:36" ht="15.75" customHeight="1" thickBot="1" x14ac:dyDescent="0.25">
      <c r="A290" s="97" t="s">
        <v>278</v>
      </c>
      <c r="B290" s="97"/>
      <c r="C290" s="98"/>
      <c r="D290" s="98"/>
      <c r="E290" s="98"/>
      <c r="F290" s="98"/>
      <c r="G290" s="98"/>
      <c r="H290" s="98"/>
      <c r="I290" s="98"/>
      <c r="J290" s="105"/>
      <c r="K290" s="97"/>
      <c r="L290" s="97"/>
      <c r="M290" s="97"/>
      <c r="N290" s="97"/>
      <c r="O290" s="97"/>
      <c r="P290" s="97"/>
      <c r="Q290" s="97"/>
      <c r="R290" s="106"/>
      <c r="S290" s="126"/>
      <c r="T290" s="126"/>
      <c r="U290" s="126"/>
      <c r="V290" s="126"/>
      <c r="W290" s="126"/>
      <c r="X290" s="126"/>
      <c r="Y290" s="126"/>
      <c r="Z290" s="126"/>
      <c r="AG290" s="179"/>
      <c r="AI290" s="159" t="str">
        <f t="shared" si="18"/>
        <v/>
      </c>
      <c r="AJ290" s="159" t="str">
        <f t="shared" si="19"/>
        <v/>
      </c>
    </row>
    <row r="291" spans="1:36" s="72" customFormat="1" ht="15.75" customHeight="1" thickTop="1" x14ac:dyDescent="0.2">
      <c r="C291" s="73"/>
      <c r="D291" s="73"/>
      <c r="E291" s="73"/>
      <c r="F291" s="73"/>
      <c r="G291" s="73"/>
      <c r="H291" s="73"/>
      <c r="I291" s="73"/>
      <c r="J291" s="73"/>
      <c r="S291" s="114"/>
      <c r="T291" s="114"/>
      <c r="U291" s="114"/>
      <c r="V291" s="114"/>
      <c r="W291" s="114"/>
      <c r="X291" s="114"/>
      <c r="Y291" s="114"/>
      <c r="Z291" s="114"/>
      <c r="AG291" s="179"/>
      <c r="AH291" s="163"/>
      <c r="AI291" s="162"/>
    </row>
    <row r="292" spans="1:36" ht="16" customHeight="1" x14ac:dyDescent="0.2">
      <c r="A292" s="70" t="s">
        <v>1743</v>
      </c>
      <c r="B292" s="70" t="s">
        <v>1744</v>
      </c>
      <c r="C292" s="42" t="s">
        <v>1745</v>
      </c>
      <c r="D292" s="220" t="s">
        <v>1746</v>
      </c>
      <c r="E292" s="220"/>
      <c r="F292" s="220"/>
      <c r="G292" s="220"/>
      <c r="H292" s="220"/>
      <c r="I292" s="220"/>
      <c r="K292" s="70"/>
      <c r="L292" s="70"/>
      <c r="M292" s="70"/>
      <c r="N292" s="70"/>
      <c r="O292" s="70"/>
      <c r="P292" s="70"/>
      <c r="Q292" s="70"/>
      <c r="S292" s="113" t="s">
        <v>51</v>
      </c>
      <c r="T292" s="113"/>
      <c r="U292" s="113"/>
      <c r="V292" s="113"/>
      <c r="W292" s="120" t="s">
        <v>98</v>
      </c>
      <c r="X292" s="113"/>
      <c r="Y292" s="113"/>
      <c r="Z292" s="113"/>
      <c r="AE292" s="43" t="s">
        <v>73</v>
      </c>
      <c r="AG292" s="179"/>
      <c r="AI292" s="159"/>
    </row>
    <row r="293" spans="1:36" ht="45" customHeight="1" x14ac:dyDescent="0.2">
      <c r="A293" s="43" t="s">
        <v>83</v>
      </c>
      <c r="B293" s="43" t="s">
        <v>1747</v>
      </c>
      <c r="C293" s="44" t="s">
        <v>1748</v>
      </c>
      <c r="D293" s="268" t="s">
        <v>1749</v>
      </c>
      <c r="E293" s="268" t="s">
        <v>1750</v>
      </c>
      <c r="F293" s="268" t="s">
        <v>1751</v>
      </c>
      <c r="G293" s="268" t="s">
        <v>1752</v>
      </c>
      <c r="H293" s="268" t="s">
        <v>1753</v>
      </c>
      <c r="I293" s="268" t="s">
        <v>1754</v>
      </c>
      <c r="J293" s="175"/>
      <c r="R293" s="176"/>
      <c r="S293" s="120" t="s">
        <v>1755</v>
      </c>
      <c r="W293" s="120" t="s">
        <v>1756</v>
      </c>
      <c r="AG293" s="179"/>
      <c r="AI293" s="159"/>
    </row>
    <row r="294" spans="1:36" s="72" customFormat="1" ht="16" customHeight="1" x14ac:dyDescent="0.2">
      <c r="A294" s="72" t="s">
        <v>116</v>
      </c>
      <c r="B294" s="72" t="s">
        <v>1757</v>
      </c>
      <c r="C294" s="73" t="s">
        <v>1758</v>
      </c>
      <c r="D294" s="73" t="s">
        <v>1759</v>
      </c>
      <c r="E294" s="73" t="s">
        <v>1760</v>
      </c>
      <c r="F294" s="73" t="s">
        <v>1761</v>
      </c>
      <c r="G294" s="73" t="s">
        <v>1762</v>
      </c>
      <c r="H294" s="73" t="s">
        <v>1763</v>
      </c>
      <c r="I294" s="73" t="s">
        <v>1764</v>
      </c>
      <c r="J294" s="74"/>
      <c r="K294" s="72" t="s">
        <v>1765</v>
      </c>
      <c r="L294" s="72" t="s">
        <v>1766</v>
      </c>
      <c r="M294" s="72" t="s">
        <v>1767</v>
      </c>
      <c r="N294" s="72" t="s">
        <v>1768</v>
      </c>
      <c r="O294" s="72" t="s">
        <v>1769</v>
      </c>
      <c r="P294" s="72" t="s">
        <v>1770</v>
      </c>
      <c r="Q294" s="72" t="s">
        <v>1771</v>
      </c>
      <c r="R294" s="78"/>
      <c r="S294" s="114" t="s">
        <v>72</v>
      </c>
      <c r="T294" s="114"/>
      <c r="U294" s="114"/>
      <c r="V294" s="114"/>
      <c r="W294" s="114"/>
      <c r="X294" s="114"/>
      <c r="Y294" s="114"/>
      <c r="Z294" s="114"/>
      <c r="AE294" s="72" t="s">
        <v>73</v>
      </c>
      <c r="AG294" s="179"/>
      <c r="AH294" s="104"/>
      <c r="AI294" s="159"/>
      <c r="AJ294" s="159" t="str">
        <f>IF(AND(AG294&lt;&gt;"",AE294="yes"),AG294*AH294,"")</f>
        <v/>
      </c>
    </row>
    <row r="295" spans="1:36" x14ac:dyDescent="0.2">
      <c r="A295" s="70" t="s">
        <v>36</v>
      </c>
      <c r="B295" s="70" t="s">
        <v>1772</v>
      </c>
      <c r="C295" s="42"/>
      <c r="D295" s="42"/>
      <c r="E295" s="42"/>
      <c r="F295" s="42"/>
      <c r="G295" s="42"/>
      <c r="H295" s="42"/>
      <c r="I295" s="42"/>
      <c r="K295" s="70"/>
      <c r="L295" s="70"/>
      <c r="M295" s="70"/>
      <c r="N295" s="70"/>
      <c r="O295" s="70"/>
      <c r="P295" s="70"/>
      <c r="Q295" s="70"/>
      <c r="S295" s="113" t="s">
        <v>72</v>
      </c>
      <c r="T295" s="113"/>
      <c r="U295" s="113"/>
      <c r="V295" s="113"/>
      <c r="W295" s="113"/>
      <c r="X295" s="113"/>
      <c r="Y295" s="113"/>
      <c r="Z295" s="113" t="s">
        <v>1773</v>
      </c>
      <c r="AE295" s="43" t="s">
        <v>73</v>
      </c>
      <c r="AG295" s="179"/>
    </row>
    <row r="296" spans="1:36" x14ac:dyDescent="0.2">
      <c r="AG296" s="179"/>
    </row>
    <row r="300" spans="1:36" ht="15.75" customHeight="1" thickBot="1" x14ac:dyDescent="0.25"/>
    <row r="301" spans="1:36" ht="16.5" customHeight="1" thickBot="1" x14ac:dyDescent="0.25">
      <c r="AC301" s="187" t="s">
        <v>1774</v>
      </c>
      <c r="AD301" s="188"/>
      <c r="AE301" s="188"/>
      <c r="AF301" s="188"/>
      <c r="AG301" s="181"/>
      <c r="AH301" s="164"/>
      <c r="AI301" s="165">
        <f>(SUM(AI4:AI288)/60)</f>
        <v>33.039902116495803</v>
      </c>
      <c r="AJ301" s="165">
        <f>(SUM(AJ4:AJ49)+AVERAGE(AJ50:AJ52)+SUM(AJ53:AJ288))/60</f>
        <v>18.060649856237294</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36"/>
  <sheetViews>
    <sheetView tabSelected="1" zoomScale="60" zoomScaleNormal="110" workbookViewId="0">
      <pane ySplit="1" topLeftCell="A897" activePane="bottomLeft" state="frozen"/>
      <selection pane="bottomLeft" activeCell="D924" sqref="D924"/>
    </sheetView>
  </sheetViews>
  <sheetFormatPr baseColWidth="10" defaultColWidth="8.83203125" defaultRowHeight="15" x14ac:dyDescent="0.2"/>
  <cols>
    <col min="1" max="1" width="15" style="2" customWidth="1"/>
    <col min="2" max="2" width="30" style="2" customWidth="1"/>
    <col min="3" max="9" width="27.1640625" style="2" customWidth="1"/>
    <col min="10" max="10" width="16.1640625" style="2" customWidth="1"/>
    <col min="11" max="12" width="8.83203125" style="2" customWidth="1"/>
    <col min="13" max="16384" width="8.83203125" style="2"/>
  </cols>
  <sheetData>
    <row r="1" spans="1:10" x14ac:dyDescent="0.2">
      <c r="A1" s="5" t="s">
        <v>1775</v>
      </c>
      <c r="B1" s="5" t="s">
        <v>1</v>
      </c>
      <c r="C1" s="5" t="s">
        <v>2</v>
      </c>
      <c r="D1" s="5" t="s">
        <v>3</v>
      </c>
      <c r="E1" s="5" t="s">
        <v>4</v>
      </c>
      <c r="F1" s="5" t="s">
        <v>5</v>
      </c>
      <c r="G1" s="5" t="s">
        <v>6</v>
      </c>
      <c r="H1" s="5" t="s">
        <v>7</v>
      </c>
      <c r="I1" s="5" t="s">
        <v>8</v>
      </c>
      <c r="J1" s="5" t="s">
        <v>1776</v>
      </c>
    </row>
    <row r="2" spans="1:10" s="11" customFormat="1" x14ac:dyDescent="0.2">
      <c r="A2" s="11" t="s">
        <v>1777</v>
      </c>
      <c r="B2" s="194">
        <v>1</v>
      </c>
      <c r="C2" s="194" t="s">
        <v>1778</v>
      </c>
      <c r="D2" s="13" t="s">
        <v>1779</v>
      </c>
      <c r="E2" s="13" t="s">
        <v>1779</v>
      </c>
      <c r="F2" s="13" t="s">
        <v>1779</v>
      </c>
      <c r="G2" s="13" t="s">
        <v>1779</v>
      </c>
      <c r="H2" s="13" t="s">
        <v>1779</v>
      </c>
      <c r="I2" s="13" t="s">
        <v>1779</v>
      </c>
      <c r="J2" s="195"/>
    </row>
    <row r="3" spans="1:10" s="11" customFormat="1" x14ac:dyDescent="0.2">
      <c r="A3" s="11" t="s">
        <v>1777</v>
      </c>
      <c r="B3" s="194">
        <v>2</v>
      </c>
      <c r="C3" s="194" t="s">
        <v>1780</v>
      </c>
      <c r="D3" s="13" t="s">
        <v>1781</v>
      </c>
      <c r="E3" s="13" t="s">
        <v>1781</v>
      </c>
      <c r="F3" s="13" t="s">
        <v>1781</v>
      </c>
      <c r="G3" s="13" t="s">
        <v>1781</v>
      </c>
      <c r="H3" s="13" t="s">
        <v>1781</v>
      </c>
      <c r="I3" s="13" t="s">
        <v>1781</v>
      </c>
      <c r="J3" s="195"/>
    </row>
    <row r="4" spans="1:10" s="11" customFormat="1" x14ac:dyDescent="0.2">
      <c r="A4" s="11" t="s">
        <v>1777</v>
      </c>
      <c r="B4" s="194">
        <v>3</v>
      </c>
      <c r="C4" s="194" t="s">
        <v>1782</v>
      </c>
      <c r="D4" s="13" t="s">
        <v>1783</v>
      </c>
      <c r="E4" s="13" t="s">
        <v>1783</v>
      </c>
      <c r="F4" s="13" t="s">
        <v>1783</v>
      </c>
      <c r="G4" s="13" t="s">
        <v>1783</v>
      </c>
      <c r="H4" s="13" t="s">
        <v>1783</v>
      </c>
      <c r="I4" s="13" t="s">
        <v>1783</v>
      </c>
      <c r="J4" s="195"/>
    </row>
    <row r="5" spans="1:10" s="11" customFormat="1" x14ac:dyDescent="0.2">
      <c r="A5" s="11" t="s">
        <v>1777</v>
      </c>
      <c r="B5" s="194">
        <v>4</v>
      </c>
      <c r="C5" s="194" t="s">
        <v>1784</v>
      </c>
      <c r="D5" s="13" t="s">
        <v>1785</v>
      </c>
      <c r="E5" s="13" t="s">
        <v>1785</v>
      </c>
      <c r="F5" s="13" t="s">
        <v>1785</v>
      </c>
      <c r="G5" s="13" t="s">
        <v>1785</v>
      </c>
      <c r="H5" s="13" t="s">
        <v>1785</v>
      </c>
      <c r="I5" s="13" t="s">
        <v>1785</v>
      </c>
      <c r="J5" s="195"/>
    </row>
    <row r="6" spans="1:10" x14ac:dyDescent="0.2">
      <c r="A6" s="1"/>
      <c r="B6" s="1"/>
      <c r="C6" s="1"/>
      <c r="D6" s="1"/>
      <c r="E6" s="1"/>
      <c r="F6" s="1"/>
      <c r="G6" s="1"/>
      <c r="H6" s="1"/>
      <c r="I6" s="1"/>
      <c r="J6" s="1"/>
    </row>
    <row r="7" spans="1:10" x14ac:dyDescent="0.2">
      <c r="A7" t="s">
        <v>43</v>
      </c>
      <c r="B7" s="2" t="s">
        <v>1786</v>
      </c>
      <c r="C7" s="4" t="s">
        <v>1787</v>
      </c>
      <c r="D7" s="4" t="s">
        <v>1787</v>
      </c>
      <c r="E7" s="4" t="s">
        <v>1787</v>
      </c>
      <c r="F7" s="4" t="s">
        <v>1787</v>
      </c>
      <c r="G7" s="4" t="s">
        <v>1787</v>
      </c>
      <c r="H7" s="4" t="s">
        <v>1787</v>
      </c>
      <c r="I7" s="4" t="s">
        <v>1787</v>
      </c>
      <c r="J7" s="196"/>
    </row>
    <row r="8" spans="1:10" x14ac:dyDescent="0.2">
      <c r="A8" t="s">
        <v>43</v>
      </c>
      <c r="B8" s="2" t="s">
        <v>1788</v>
      </c>
      <c r="C8" s="4" t="s">
        <v>1789</v>
      </c>
      <c r="D8" s="4" t="s">
        <v>1789</v>
      </c>
      <c r="E8" s="4" t="s">
        <v>1789</v>
      </c>
      <c r="F8" s="4" t="s">
        <v>1789</v>
      </c>
      <c r="G8" s="4" t="s">
        <v>1789</v>
      </c>
      <c r="H8" s="4" t="s">
        <v>1789</v>
      </c>
      <c r="I8" s="4" t="s">
        <v>1789</v>
      </c>
      <c r="J8" s="196"/>
    </row>
    <row r="9" spans="1:10" x14ac:dyDescent="0.2">
      <c r="A9" t="s">
        <v>43</v>
      </c>
      <c r="B9" s="2" t="s">
        <v>1790</v>
      </c>
      <c r="C9" s="4" t="s">
        <v>1791</v>
      </c>
      <c r="D9" s="4" t="s">
        <v>1791</v>
      </c>
      <c r="E9" s="4" t="s">
        <v>1791</v>
      </c>
      <c r="F9" s="4" t="s">
        <v>1791</v>
      </c>
      <c r="G9" s="4" t="s">
        <v>1791</v>
      </c>
      <c r="H9" s="4" t="s">
        <v>1791</v>
      </c>
      <c r="I9" s="4" t="s">
        <v>1791</v>
      </c>
      <c r="J9" s="196"/>
    </row>
    <row r="10" spans="1:10" x14ac:dyDescent="0.2">
      <c r="A10" t="s">
        <v>43</v>
      </c>
      <c r="B10" s="2" t="s">
        <v>1792</v>
      </c>
      <c r="C10" s="4" t="s">
        <v>1793</v>
      </c>
      <c r="D10" s="4" t="s">
        <v>1793</v>
      </c>
      <c r="E10" s="4" t="s">
        <v>1793</v>
      </c>
      <c r="F10" s="4" t="s">
        <v>1793</v>
      </c>
      <c r="G10" s="4" t="s">
        <v>1793</v>
      </c>
      <c r="H10" s="4" t="s">
        <v>1793</v>
      </c>
      <c r="I10" s="4" t="s">
        <v>1793</v>
      </c>
      <c r="J10" s="196"/>
    </row>
    <row r="11" spans="1:10" x14ac:dyDescent="0.2">
      <c r="A11" t="s">
        <v>43</v>
      </c>
      <c r="B11" s="2" t="s">
        <v>1794</v>
      </c>
      <c r="C11" s="4" t="s">
        <v>1795</v>
      </c>
      <c r="D11" s="4" t="s">
        <v>1795</v>
      </c>
      <c r="E11" s="4" t="s">
        <v>1795</v>
      </c>
      <c r="F11" s="4" t="s">
        <v>1795</v>
      </c>
      <c r="G11" s="4" t="s">
        <v>1795</v>
      </c>
      <c r="H11" s="4" t="s">
        <v>1795</v>
      </c>
      <c r="I11" s="4" t="s">
        <v>1795</v>
      </c>
      <c r="J11" s="196"/>
    </row>
    <row r="12" spans="1:10" x14ac:dyDescent="0.2">
      <c r="A12" t="s">
        <v>43</v>
      </c>
      <c r="B12" s="2" t="s">
        <v>1796</v>
      </c>
      <c r="C12" s="4" t="s">
        <v>1797</v>
      </c>
      <c r="D12" s="4" t="s">
        <v>1797</v>
      </c>
      <c r="E12" s="4" t="s">
        <v>1797</v>
      </c>
      <c r="F12" s="4" t="s">
        <v>1797</v>
      </c>
      <c r="G12" s="4" t="s">
        <v>1797</v>
      </c>
      <c r="H12" s="4" t="s">
        <v>1797</v>
      </c>
      <c r="I12" s="4" t="s">
        <v>1797</v>
      </c>
      <c r="J12" s="196"/>
    </row>
    <row r="13" spans="1:10" x14ac:dyDescent="0.2">
      <c r="A13" t="s">
        <v>43</v>
      </c>
      <c r="B13" s="2" t="s">
        <v>1798</v>
      </c>
      <c r="C13" s="4" t="s">
        <v>1799</v>
      </c>
      <c r="D13" s="4" t="s">
        <v>1799</v>
      </c>
      <c r="E13" s="4" t="s">
        <v>1799</v>
      </c>
      <c r="F13" s="4" t="s">
        <v>1799</v>
      </c>
      <c r="G13" s="4" t="s">
        <v>1799</v>
      </c>
      <c r="H13" s="4" t="s">
        <v>1799</v>
      </c>
      <c r="I13" s="4" t="s">
        <v>1799</v>
      </c>
      <c r="J13" s="196"/>
    </row>
    <row r="14" spans="1:10" x14ac:dyDescent="0.2">
      <c r="A14" t="s">
        <v>43</v>
      </c>
      <c r="B14" s="2" t="s">
        <v>1800</v>
      </c>
      <c r="C14" s="4" t="s">
        <v>1801</v>
      </c>
      <c r="D14" s="4" t="s">
        <v>1801</v>
      </c>
      <c r="E14" s="4" t="s">
        <v>1801</v>
      </c>
      <c r="F14" s="4" t="s">
        <v>1801</v>
      </c>
      <c r="G14" s="4" t="s">
        <v>1801</v>
      </c>
      <c r="H14" s="4" t="s">
        <v>1801</v>
      </c>
      <c r="I14" s="4" t="s">
        <v>1801</v>
      </c>
      <c r="J14" s="196"/>
    </row>
    <row r="15" spans="1:10" x14ac:dyDescent="0.2">
      <c r="A15" t="s">
        <v>43</v>
      </c>
      <c r="B15" s="2" t="s">
        <v>1802</v>
      </c>
      <c r="C15" s="4" t="s">
        <v>1803</v>
      </c>
      <c r="D15" s="4" t="s">
        <v>1803</v>
      </c>
      <c r="E15" s="4" t="s">
        <v>1803</v>
      </c>
      <c r="F15" s="4" t="s">
        <v>1803</v>
      </c>
      <c r="G15" s="4" t="s">
        <v>1803</v>
      </c>
      <c r="H15" s="4" t="s">
        <v>1803</v>
      </c>
      <c r="I15" s="4" t="s">
        <v>1803</v>
      </c>
      <c r="J15" s="196"/>
    </row>
    <row r="16" spans="1:10" x14ac:dyDescent="0.2">
      <c r="A16" t="s">
        <v>43</v>
      </c>
      <c r="B16" s="2" t="s">
        <v>1804</v>
      </c>
      <c r="C16" s="4" t="s">
        <v>1805</v>
      </c>
      <c r="D16" s="4" t="s">
        <v>1805</v>
      </c>
      <c r="E16" s="4" t="s">
        <v>1805</v>
      </c>
      <c r="F16" s="4" t="s">
        <v>1805</v>
      </c>
      <c r="G16" s="4" t="s">
        <v>1805</v>
      </c>
      <c r="H16" s="4" t="s">
        <v>1805</v>
      </c>
      <c r="I16" s="4" t="s">
        <v>1805</v>
      </c>
      <c r="J16" s="196"/>
    </row>
    <row r="17" spans="1:10" x14ac:dyDescent="0.2">
      <c r="A17" t="s">
        <v>43</v>
      </c>
      <c r="B17" s="2" t="s">
        <v>1806</v>
      </c>
      <c r="C17" s="4" t="s">
        <v>1807</v>
      </c>
      <c r="D17" s="4" t="s">
        <v>1807</v>
      </c>
      <c r="E17" s="4" t="s">
        <v>1807</v>
      </c>
      <c r="F17" s="4" t="s">
        <v>1807</v>
      </c>
      <c r="G17" s="4" t="s">
        <v>1807</v>
      </c>
      <c r="H17" s="4" t="s">
        <v>1807</v>
      </c>
      <c r="I17" s="4" t="s">
        <v>1807</v>
      </c>
      <c r="J17" s="196"/>
    </row>
    <row r="18" spans="1:10" x14ac:dyDescent="0.2">
      <c r="A18" t="s">
        <v>43</v>
      </c>
      <c r="B18" s="2" t="s">
        <v>1808</v>
      </c>
      <c r="C18" s="4" t="s">
        <v>1809</v>
      </c>
      <c r="D18" s="4" t="s">
        <v>1809</v>
      </c>
      <c r="E18" s="4" t="s">
        <v>1809</v>
      </c>
      <c r="F18" s="4" t="s">
        <v>1809</v>
      </c>
      <c r="G18" s="4" t="s">
        <v>1809</v>
      </c>
      <c r="H18" s="4" t="s">
        <v>1809</v>
      </c>
      <c r="I18" s="4" t="s">
        <v>1809</v>
      </c>
      <c r="J18" s="196"/>
    </row>
    <row r="19" spans="1:10" x14ac:dyDescent="0.2">
      <c r="A19" t="s">
        <v>43</v>
      </c>
      <c r="B19" s="2" t="s">
        <v>1810</v>
      </c>
      <c r="C19" s="4" t="s">
        <v>1811</v>
      </c>
      <c r="D19" s="4" t="s">
        <v>1811</v>
      </c>
      <c r="E19" s="4" t="s">
        <v>1811</v>
      </c>
      <c r="F19" s="4" t="s">
        <v>1811</v>
      </c>
      <c r="G19" s="4" t="s">
        <v>1811</v>
      </c>
      <c r="H19" s="4" t="s">
        <v>1811</v>
      </c>
      <c r="I19" s="4" t="s">
        <v>1811</v>
      </c>
      <c r="J19" s="196"/>
    </row>
    <row r="20" spans="1:10" x14ac:dyDescent="0.2">
      <c r="A20" t="s">
        <v>43</v>
      </c>
      <c r="B20" s="2" t="s">
        <v>1812</v>
      </c>
      <c r="C20" s="4" t="s">
        <v>1813</v>
      </c>
      <c r="D20" s="4" t="s">
        <v>1813</v>
      </c>
      <c r="E20" s="4" t="s">
        <v>1813</v>
      </c>
      <c r="F20" s="4" t="s">
        <v>1813</v>
      </c>
      <c r="G20" s="4" t="s">
        <v>1813</v>
      </c>
      <c r="H20" s="4" t="s">
        <v>1813</v>
      </c>
      <c r="I20" s="4" t="s">
        <v>1813</v>
      </c>
      <c r="J20" s="196"/>
    </row>
    <row r="21" spans="1:10" x14ac:dyDescent="0.2">
      <c r="A21" t="s">
        <v>43</v>
      </c>
      <c r="B21" s="2" t="s">
        <v>1814</v>
      </c>
      <c r="C21" s="4" t="s">
        <v>1815</v>
      </c>
      <c r="D21" s="4" t="s">
        <v>1815</v>
      </c>
      <c r="E21" s="4" t="s">
        <v>1815</v>
      </c>
      <c r="F21" s="4" t="s">
        <v>1815</v>
      </c>
      <c r="G21" s="4" t="s">
        <v>1815</v>
      </c>
      <c r="H21" s="4" t="s">
        <v>1815</v>
      </c>
      <c r="I21" s="4" t="s">
        <v>1815</v>
      </c>
      <c r="J21" s="196"/>
    </row>
    <row r="22" spans="1:10" x14ac:dyDescent="0.2">
      <c r="A22" t="s">
        <v>43</v>
      </c>
      <c r="B22" s="2" t="s">
        <v>1816</v>
      </c>
      <c r="C22" s="4" t="s">
        <v>1817</v>
      </c>
      <c r="D22" s="4" t="s">
        <v>1817</v>
      </c>
      <c r="E22" s="4" t="s">
        <v>1817</v>
      </c>
      <c r="F22" s="4" t="s">
        <v>1817</v>
      </c>
      <c r="G22" s="4" t="s">
        <v>1817</v>
      </c>
      <c r="H22" s="4" t="s">
        <v>1817</v>
      </c>
      <c r="I22" s="4" t="s">
        <v>1817</v>
      </c>
      <c r="J22" s="196"/>
    </row>
    <row r="24" spans="1:10" x14ac:dyDescent="0.2">
      <c r="A24" t="s">
        <v>1818</v>
      </c>
      <c r="B24">
        <v>1</v>
      </c>
      <c r="C24" t="s">
        <v>1819</v>
      </c>
      <c r="D24" t="s">
        <v>1820</v>
      </c>
      <c r="E24" t="s">
        <v>1821</v>
      </c>
      <c r="F24" t="s">
        <v>1822</v>
      </c>
      <c r="G24" t="s">
        <v>1823</v>
      </c>
      <c r="H24" t="s">
        <v>1824</v>
      </c>
      <c r="I24" t="s">
        <v>1825</v>
      </c>
    </row>
    <row r="25" spans="1:10" x14ac:dyDescent="0.2">
      <c r="A25" t="s">
        <v>1818</v>
      </c>
      <c r="B25">
        <v>2</v>
      </c>
      <c r="C25" t="s">
        <v>1826</v>
      </c>
      <c r="D25" t="s">
        <v>1827</v>
      </c>
      <c r="E25" t="s">
        <v>1828</v>
      </c>
      <c r="F25" t="s">
        <v>1829</v>
      </c>
      <c r="G25" t="s">
        <v>1830</v>
      </c>
      <c r="H25" t="s">
        <v>1831</v>
      </c>
      <c r="I25" t="s">
        <v>1832</v>
      </c>
    </row>
    <row r="26" spans="1:10" x14ac:dyDescent="0.2">
      <c r="A26" t="s">
        <v>1818</v>
      </c>
      <c r="B26" s="15">
        <v>3</v>
      </c>
      <c r="C26" t="s">
        <v>1833</v>
      </c>
      <c r="D26" t="s">
        <v>1834</v>
      </c>
      <c r="E26" t="s">
        <v>1835</v>
      </c>
      <c r="F26" t="s">
        <v>1836</v>
      </c>
      <c r="G26" t="s">
        <v>1837</v>
      </c>
      <c r="H26" t="s">
        <v>1838</v>
      </c>
      <c r="I26" t="s">
        <v>1839</v>
      </c>
    </row>
    <row r="27" spans="1:10" x14ac:dyDescent="0.2">
      <c r="A27" t="s">
        <v>1818</v>
      </c>
      <c r="B27" s="15">
        <v>4</v>
      </c>
      <c r="C27" t="s">
        <v>1840</v>
      </c>
      <c r="D27" t="s">
        <v>1841</v>
      </c>
      <c r="E27" t="s">
        <v>1842</v>
      </c>
      <c r="F27" t="s">
        <v>1843</v>
      </c>
      <c r="G27" t="s">
        <v>1844</v>
      </c>
      <c r="H27" t="s">
        <v>1845</v>
      </c>
      <c r="I27" t="s">
        <v>1846</v>
      </c>
    </row>
    <row r="29" spans="1:10" x14ac:dyDescent="0.2">
      <c r="A29" t="s">
        <v>1847</v>
      </c>
      <c r="B29" t="s">
        <v>1847</v>
      </c>
      <c r="C29" t="s">
        <v>1847</v>
      </c>
      <c r="D29" t="s">
        <v>1848</v>
      </c>
    </row>
    <row r="31" spans="1:10" x14ac:dyDescent="0.2">
      <c r="A31" t="s">
        <v>1849</v>
      </c>
      <c r="B31">
        <v>1</v>
      </c>
      <c r="C31" t="s">
        <v>1819</v>
      </c>
      <c r="D31" t="s">
        <v>1820</v>
      </c>
      <c r="E31" t="s">
        <v>1821</v>
      </c>
      <c r="F31" t="s">
        <v>1822</v>
      </c>
      <c r="G31" t="s">
        <v>1823</v>
      </c>
      <c r="H31" t="s">
        <v>1824</v>
      </c>
      <c r="I31" t="s">
        <v>1825</v>
      </c>
    </row>
    <row r="32" spans="1:10" x14ac:dyDescent="0.2">
      <c r="A32" t="s">
        <v>1849</v>
      </c>
      <c r="B32">
        <v>2</v>
      </c>
      <c r="C32" t="s">
        <v>1826</v>
      </c>
      <c r="D32" t="s">
        <v>1827</v>
      </c>
      <c r="E32" t="s">
        <v>1828</v>
      </c>
      <c r="F32" t="s">
        <v>1829</v>
      </c>
      <c r="G32" t="s">
        <v>1830</v>
      </c>
      <c r="H32" t="s">
        <v>1831</v>
      </c>
      <c r="I32" t="s">
        <v>1832</v>
      </c>
    </row>
    <row r="34" spans="1:9" s="8" customFormat="1" x14ac:dyDescent="0.2">
      <c r="A34" s="14" t="s">
        <v>1850</v>
      </c>
      <c r="B34" s="14" t="s">
        <v>1851</v>
      </c>
      <c r="C34" s="14" t="s">
        <v>1852</v>
      </c>
      <c r="D34" s="14" t="s">
        <v>1852</v>
      </c>
      <c r="E34" s="14" t="s">
        <v>1852</v>
      </c>
      <c r="F34" s="14" t="s">
        <v>1852</v>
      </c>
      <c r="G34" s="14" t="s">
        <v>1852</v>
      </c>
      <c r="H34" s="14" t="s">
        <v>1852</v>
      </c>
      <c r="I34" s="14" t="s">
        <v>1852</v>
      </c>
    </row>
    <row r="35" spans="1:9" s="8" customFormat="1" x14ac:dyDescent="0.2">
      <c r="A35" s="14" t="s">
        <v>1850</v>
      </c>
      <c r="B35" s="14" t="s">
        <v>1853</v>
      </c>
      <c r="C35" s="14" t="s">
        <v>1854</v>
      </c>
      <c r="D35" s="14" t="s">
        <v>1855</v>
      </c>
      <c r="E35" s="14" t="s">
        <v>1855</v>
      </c>
      <c r="F35" s="14" t="s">
        <v>1855</v>
      </c>
      <c r="G35" s="14" t="s">
        <v>1855</v>
      </c>
      <c r="H35" s="14" t="s">
        <v>1855</v>
      </c>
      <c r="I35" s="14" t="s">
        <v>1855</v>
      </c>
    </row>
    <row r="36" spans="1:9" s="8" customFormat="1" x14ac:dyDescent="0.2">
      <c r="A36" s="14" t="s">
        <v>1850</v>
      </c>
      <c r="B36" s="2" t="s">
        <v>1856</v>
      </c>
      <c r="C36" s="2" t="s">
        <v>1857</v>
      </c>
      <c r="D36" s="2" t="s">
        <v>1857</v>
      </c>
      <c r="E36" s="2" t="s">
        <v>1857</v>
      </c>
      <c r="F36" s="2" t="s">
        <v>1857</v>
      </c>
      <c r="G36" s="2" t="s">
        <v>1857</v>
      </c>
      <c r="H36" s="2" t="s">
        <v>1857</v>
      </c>
      <c r="I36" s="2" t="s">
        <v>1857</v>
      </c>
    </row>
    <row r="37" spans="1:9" s="8" customFormat="1" x14ac:dyDescent="0.2">
      <c r="A37" s="14" t="s">
        <v>1850</v>
      </c>
      <c r="B37" s="2" t="s">
        <v>1858</v>
      </c>
      <c r="C37" s="2" t="s">
        <v>1859</v>
      </c>
      <c r="D37" s="2" t="s">
        <v>1859</v>
      </c>
      <c r="E37" s="2" t="s">
        <v>1859</v>
      </c>
      <c r="F37" s="2" t="s">
        <v>1859</v>
      </c>
      <c r="G37" s="2" t="s">
        <v>1859</v>
      </c>
      <c r="H37" s="2" t="s">
        <v>1859</v>
      </c>
      <c r="I37" s="2" t="s">
        <v>1859</v>
      </c>
    </row>
    <row r="38" spans="1:9" s="8" customFormat="1" x14ac:dyDescent="0.2">
      <c r="A38" s="14" t="s">
        <v>1850</v>
      </c>
      <c r="B38" s="2" t="s">
        <v>1860</v>
      </c>
      <c r="C38" s="2" t="s">
        <v>1861</v>
      </c>
      <c r="D38" s="2" t="s">
        <v>1861</v>
      </c>
      <c r="E38" s="2" t="s">
        <v>1861</v>
      </c>
      <c r="F38" s="2" t="s">
        <v>1861</v>
      </c>
      <c r="G38" s="2" t="s">
        <v>1861</v>
      </c>
      <c r="H38" s="2" t="s">
        <v>1861</v>
      </c>
      <c r="I38" s="2" t="s">
        <v>1861</v>
      </c>
    </row>
    <row r="39" spans="1:9" s="8" customFormat="1" x14ac:dyDescent="0.2">
      <c r="A39" s="12" t="s">
        <v>1850</v>
      </c>
      <c r="B39" s="2" t="s">
        <v>1862</v>
      </c>
      <c r="C39" s="2" t="s">
        <v>1863</v>
      </c>
      <c r="D39" s="2" t="s">
        <v>1863</v>
      </c>
      <c r="E39" s="2" t="s">
        <v>1863</v>
      </c>
      <c r="F39" s="2" t="s">
        <v>1863</v>
      </c>
      <c r="G39" s="2" t="s">
        <v>1863</v>
      </c>
      <c r="H39" s="2" t="s">
        <v>1863</v>
      </c>
      <c r="I39" s="2" t="s">
        <v>1863</v>
      </c>
    </row>
    <row r="40" spans="1:9" s="8" customFormat="1" x14ac:dyDescent="0.2">
      <c r="A40" s="12" t="s">
        <v>1850</v>
      </c>
      <c r="B40" s="2" t="s">
        <v>1864</v>
      </c>
      <c r="C40" s="2" t="s">
        <v>1865</v>
      </c>
      <c r="D40" s="2" t="s">
        <v>1865</v>
      </c>
      <c r="E40" s="2" t="s">
        <v>1865</v>
      </c>
      <c r="F40" s="2" t="s">
        <v>1865</v>
      </c>
      <c r="G40" s="2" t="s">
        <v>1865</v>
      </c>
      <c r="H40" s="2" t="s">
        <v>1865</v>
      </c>
      <c r="I40" s="2" t="s">
        <v>1865</v>
      </c>
    </row>
    <row r="41" spans="1:9" s="8" customFormat="1" x14ac:dyDescent="0.2">
      <c r="A41" s="12" t="s">
        <v>1850</v>
      </c>
      <c r="B41" s="2" t="s">
        <v>1866</v>
      </c>
      <c r="C41" s="2" t="s">
        <v>1867</v>
      </c>
      <c r="D41" s="2" t="s">
        <v>1867</v>
      </c>
      <c r="E41" s="2" t="s">
        <v>1867</v>
      </c>
      <c r="F41" s="2" t="s">
        <v>1867</v>
      </c>
      <c r="G41" s="2" t="s">
        <v>1867</v>
      </c>
      <c r="H41" s="2" t="s">
        <v>1867</v>
      </c>
      <c r="I41" s="2" t="s">
        <v>1867</v>
      </c>
    </row>
    <row r="43" spans="1:9" x14ac:dyDescent="0.2">
      <c r="A43" t="s">
        <v>1868</v>
      </c>
      <c r="B43">
        <v>1</v>
      </c>
      <c r="C43" t="s">
        <v>1869</v>
      </c>
      <c r="D43" t="s">
        <v>1870</v>
      </c>
      <c r="E43" t="s">
        <v>1871</v>
      </c>
      <c r="F43" t="s">
        <v>1872</v>
      </c>
      <c r="G43" t="s">
        <v>1873</v>
      </c>
      <c r="H43" t="s">
        <v>1874</v>
      </c>
      <c r="I43" t="s">
        <v>1875</v>
      </c>
    </row>
    <row r="44" spans="1:9" x14ac:dyDescent="0.2">
      <c r="A44" t="s">
        <v>1868</v>
      </c>
      <c r="B44">
        <v>2</v>
      </c>
      <c r="C44" t="s">
        <v>1876</v>
      </c>
      <c r="D44" t="s">
        <v>1877</v>
      </c>
      <c r="E44" t="s">
        <v>1878</v>
      </c>
      <c r="F44" t="s">
        <v>1879</v>
      </c>
      <c r="G44" t="s">
        <v>1880</v>
      </c>
      <c r="H44" t="s">
        <v>1881</v>
      </c>
      <c r="I44" t="s">
        <v>1882</v>
      </c>
    </row>
    <row r="45" spans="1:9" x14ac:dyDescent="0.2">
      <c r="A45" t="s">
        <v>1868</v>
      </c>
      <c r="B45" s="15">
        <v>3</v>
      </c>
      <c r="C45" s="14" t="s">
        <v>1833</v>
      </c>
      <c r="D45" s="14" t="s">
        <v>1834</v>
      </c>
      <c r="E45" s="14" t="s">
        <v>1835</v>
      </c>
      <c r="F45" s="14" t="s">
        <v>1836</v>
      </c>
      <c r="G45" s="14" t="s">
        <v>1837</v>
      </c>
      <c r="H45" s="14" t="s">
        <v>1838</v>
      </c>
      <c r="I45" s="14" t="s">
        <v>1839</v>
      </c>
    </row>
    <row r="46" spans="1:9" x14ac:dyDescent="0.2">
      <c r="A46" t="s">
        <v>1868</v>
      </c>
      <c r="B46" s="15">
        <v>4</v>
      </c>
      <c r="C46" s="14" t="s">
        <v>1840</v>
      </c>
      <c r="D46" s="14" t="s">
        <v>1841</v>
      </c>
      <c r="E46" s="14" t="s">
        <v>1842</v>
      </c>
      <c r="F46" s="14" t="s">
        <v>1843</v>
      </c>
      <c r="G46" s="14" t="s">
        <v>1844</v>
      </c>
      <c r="H46" s="14" t="s">
        <v>1845</v>
      </c>
      <c r="I46" s="14" t="s">
        <v>1846</v>
      </c>
    </row>
    <row r="47" spans="1:9" x14ac:dyDescent="0.2">
      <c r="C47" s="12"/>
      <c r="D47" s="12"/>
      <c r="E47" s="12"/>
      <c r="F47" s="12"/>
      <c r="G47" s="12"/>
      <c r="H47" s="12"/>
      <c r="I47" s="12"/>
    </row>
    <row r="48" spans="1:9" x14ac:dyDescent="0.2">
      <c r="A48" t="s">
        <v>1883</v>
      </c>
      <c r="B48">
        <v>1</v>
      </c>
      <c r="C48" s="14" t="s">
        <v>1884</v>
      </c>
      <c r="D48" s="14" t="s">
        <v>1885</v>
      </c>
      <c r="E48" s="14" t="s">
        <v>1886</v>
      </c>
      <c r="F48" s="14" t="s">
        <v>1887</v>
      </c>
      <c r="G48" s="14" t="s">
        <v>1888</v>
      </c>
      <c r="H48" s="14" t="s">
        <v>1889</v>
      </c>
      <c r="I48" s="14" t="s">
        <v>1890</v>
      </c>
    </row>
    <row r="49" spans="1:9" x14ac:dyDescent="0.2">
      <c r="A49" t="s">
        <v>1883</v>
      </c>
      <c r="B49">
        <v>2</v>
      </c>
      <c r="C49" s="2" t="s">
        <v>1891</v>
      </c>
      <c r="D49" s="2" t="s">
        <v>1892</v>
      </c>
      <c r="E49" s="2" t="s">
        <v>1893</v>
      </c>
      <c r="F49" s="2" t="s">
        <v>1894</v>
      </c>
      <c r="G49" s="2" t="s">
        <v>1895</v>
      </c>
      <c r="H49" s="2" t="s">
        <v>1896</v>
      </c>
      <c r="I49" s="2" t="s">
        <v>1897</v>
      </c>
    </row>
    <row r="50" spans="1:9" x14ac:dyDescent="0.2">
      <c r="A50" t="s">
        <v>1883</v>
      </c>
      <c r="B50">
        <v>3</v>
      </c>
      <c r="C50" s="14" t="s">
        <v>1898</v>
      </c>
      <c r="D50" s="14" t="s">
        <v>1899</v>
      </c>
      <c r="E50" s="14" t="s">
        <v>1900</v>
      </c>
      <c r="F50" s="14" t="s">
        <v>1901</v>
      </c>
      <c r="G50" s="14" t="s">
        <v>1902</v>
      </c>
      <c r="H50" s="14" t="s">
        <v>1903</v>
      </c>
      <c r="I50" s="14" t="s">
        <v>1904</v>
      </c>
    </row>
    <row r="51" spans="1:9" x14ac:dyDescent="0.2">
      <c r="A51" t="s">
        <v>1883</v>
      </c>
      <c r="B51">
        <v>4</v>
      </c>
      <c r="C51" s="14" t="s">
        <v>1905</v>
      </c>
      <c r="D51" s="14" t="s">
        <v>1827</v>
      </c>
      <c r="E51" s="14" t="s">
        <v>1828</v>
      </c>
      <c r="F51" s="14" t="s">
        <v>1829</v>
      </c>
      <c r="G51" s="14" t="s">
        <v>1830</v>
      </c>
      <c r="H51" s="14" t="s">
        <v>1831</v>
      </c>
      <c r="I51" s="14" t="s">
        <v>1832</v>
      </c>
    </row>
    <row r="52" spans="1:9" x14ac:dyDescent="0.2">
      <c r="C52" s="12"/>
    </row>
    <row r="53" spans="1:9" x14ac:dyDescent="0.2">
      <c r="A53" t="s">
        <v>1906</v>
      </c>
      <c r="B53">
        <v>1</v>
      </c>
      <c r="C53" t="s">
        <v>1907</v>
      </c>
      <c r="D53" s="14" t="s">
        <v>1908</v>
      </c>
      <c r="E53" s="14" t="s">
        <v>1909</v>
      </c>
      <c r="F53" s="14" t="s">
        <v>1910</v>
      </c>
      <c r="G53" s="14" t="s">
        <v>1911</v>
      </c>
      <c r="H53" s="14" t="s">
        <v>1912</v>
      </c>
      <c r="I53" s="14" t="s">
        <v>1913</v>
      </c>
    </row>
    <row r="54" spans="1:9" x14ac:dyDescent="0.2">
      <c r="A54" t="s">
        <v>1906</v>
      </c>
      <c r="B54">
        <v>2</v>
      </c>
      <c r="C54" t="s">
        <v>1914</v>
      </c>
      <c r="D54" t="s">
        <v>1915</v>
      </c>
      <c r="E54" t="s">
        <v>1916</v>
      </c>
      <c r="F54" t="s">
        <v>1917</v>
      </c>
      <c r="G54" t="s">
        <v>1918</v>
      </c>
      <c r="H54" t="s">
        <v>1919</v>
      </c>
      <c r="I54" t="s">
        <v>1920</v>
      </c>
    </row>
    <row r="55" spans="1:9" x14ac:dyDescent="0.2">
      <c r="A55" t="s">
        <v>1906</v>
      </c>
      <c r="B55">
        <v>3</v>
      </c>
      <c r="C55" t="s">
        <v>1921</v>
      </c>
      <c r="D55" t="s">
        <v>1922</v>
      </c>
      <c r="E55" t="s">
        <v>1923</v>
      </c>
      <c r="F55" t="s">
        <v>1924</v>
      </c>
      <c r="G55" t="s">
        <v>1925</v>
      </c>
      <c r="H55" t="s">
        <v>1926</v>
      </c>
      <c r="I55" t="s">
        <v>1927</v>
      </c>
    </row>
    <row r="56" spans="1:9" x14ac:dyDescent="0.2">
      <c r="A56" t="s">
        <v>1906</v>
      </c>
      <c r="B56">
        <v>4</v>
      </c>
      <c r="C56" t="s">
        <v>1826</v>
      </c>
      <c r="D56" t="s">
        <v>1827</v>
      </c>
      <c r="E56" t="s">
        <v>1828</v>
      </c>
      <c r="F56" t="s">
        <v>1928</v>
      </c>
      <c r="G56" t="s">
        <v>1830</v>
      </c>
      <c r="H56" t="s">
        <v>1831</v>
      </c>
      <c r="I56" t="s">
        <v>1929</v>
      </c>
    </row>
    <row r="57" spans="1:9" x14ac:dyDescent="0.2">
      <c r="A57" t="s">
        <v>1906</v>
      </c>
      <c r="B57" s="15">
        <v>5</v>
      </c>
      <c r="C57" s="14" t="s">
        <v>1833</v>
      </c>
      <c r="D57" s="14" t="s">
        <v>1834</v>
      </c>
      <c r="E57" s="14" t="s">
        <v>1835</v>
      </c>
      <c r="F57" s="14" t="s">
        <v>1930</v>
      </c>
      <c r="G57" s="14" t="s">
        <v>1837</v>
      </c>
      <c r="H57" s="14" t="s">
        <v>1838</v>
      </c>
      <c r="I57" s="14" t="s">
        <v>1839</v>
      </c>
    </row>
    <row r="58" spans="1:9" x14ac:dyDescent="0.2">
      <c r="A58" t="s">
        <v>1906</v>
      </c>
      <c r="B58" s="15">
        <v>6</v>
      </c>
      <c r="C58" t="s">
        <v>1840</v>
      </c>
      <c r="D58" s="14" t="s">
        <v>1841</v>
      </c>
      <c r="E58" s="14" t="s">
        <v>1842</v>
      </c>
      <c r="F58" s="14" t="s">
        <v>1931</v>
      </c>
      <c r="G58" s="14" t="s">
        <v>1844</v>
      </c>
      <c r="H58" s="14" t="s">
        <v>1845</v>
      </c>
      <c r="I58" s="14" t="s">
        <v>1846</v>
      </c>
    </row>
    <row r="60" spans="1:9" x14ac:dyDescent="0.2">
      <c r="A60" t="s">
        <v>1932</v>
      </c>
      <c r="B60">
        <v>1</v>
      </c>
      <c r="C60" s="14" t="s">
        <v>1933</v>
      </c>
      <c r="D60" s="14" t="s">
        <v>1934</v>
      </c>
      <c r="E60" s="14" t="s">
        <v>1935</v>
      </c>
      <c r="F60" s="14" t="s">
        <v>1936</v>
      </c>
      <c r="G60" s="14" t="s">
        <v>1937</v>
      </c>
      <c r="H60" s="14" t="s">
        <v>1938</v>
      </c>
      <c r="I60" s="14" t="s">
        <v>1939</v>
      </c>
    </row>
    <row r="61" spans="1:9" x14ac:dyDescent="0.2">
      <c r="A61" t="s">
        <v>1932</v>
      </c>
      <c r="B61">
        <v>2</v>
      </c>
      <c r="C61" s="14" t="s">
        <v>1940</v>
      </c>
      <c r="D61" s="14" t="s">
        <v>1941</v>
      </c>
      <c r="E61" s="14" t="s">
        <v>1942</v>
      </c>
      <c r="F61" s="14" t="s">
        <v>1943</v>
      </c>
      <c r="G61" s="14" t="s">
        <v>1944</v>
      </c>
      <c r="H61" s="14" t="s">
        <v>1945</v>
      </c>
      <c r="I61" s="14" t="s">
        <v>1946</v>
      </c>
    </row>
    <row r="62" spans="1:9" x14ac:dyDescent="0.2">
      <c r="A62" t="s">
        <v>1932</v>
      </c>
      <c r="B62">
        <v>3</v>
      </c>
      <c r="C62" s="14" t="s">
        <v>1947</v>
      </c>
      <c r="D62" s="14" t="s">
        <v>1948</v>
      </c>
      <c r="E62" s="14" t="s">
        <v>1949</v>
      </c>
      <c r="F62" s="14" t="s">
        <v>1950</v>
      </c>
      <c r="G62" s="14" t="s">
        <v>1951</v>
      </c>
      <c r="H62" s="14" t="s">
        <v>1952</v>
      </c>
      <c r="I62" s="14" t="s">
        <v>1953</v>
      </c>
    </row>
    <row r="63" spans="1:9" x14ac:dyDescent="0.2">
      <c r="A63" t="s">
        <v>1932</v>
      </c>
      <c r="B63">
        <v>4</v>
      </c>
      <c r="C63" s="14" t="s">
        <v>1954</v>
      </c>
      <c r="D63" s="14" t="s">
        <v>1955</v>
      </c>
      <c r="E63" s="14" t="s">
        <v>1956</v>
      </c>
      <c r="F63" s="14" t="s">
        <v>1957</v>
      </c>
      <c r="G63" s="14" t="s">
        <v>1958</v>
      </c>
      <c r="H63" s="14" t="s">
        <v>1959</v>
      </c>
      <c r="I63" s="14" t="s">
        <v>1960</v>
      </c>
    </row>
    <row r="64" spans="1:9" x14ac:dyDescent="0.2">
      <c r="A64" t="s">
        <v>1932</v>
      </c>
      <c r="B64">
        <v>5</v>
      </c>
      <c r="C64" s="14" t="s">
        <v>1961</v>
      </c>
      <c r="D64" s="14" t="s">
        <v>1962</v>
      </c>
      <c r="E64" s="14" t="s">
        <v>1963</v>
      </c>
      <c r="F64" s="14" t="s">
        <v>1964</v>
      </c>
      <c r="G64" s="14" t="s">
        <v>1965</v>
      </c>
      <c r="H64" s="14" t="s">
        <v>1966</v>
      </c>
      <c r="I64" s="14" t="s">
        <v>1967</v>
      </c>
    </row>
    <row r="65" spans="1:9" x14ac:dyDescent="0.2">
      <c r="A65" t="s">
        <v>1932</v>
      </c>
      <c r="B65" s="15">
        <v>6</v>
      </c>
      <c r="C65" t="s">
        <v>1833</v>
      </c>
      <c r="D65" s="14" t="s">
        <v>1834</v>
      </c>
      <c r="E65" s="14" t="s">
        <v>1835</v>
      </c>
      <c r="F65" s="14" t="s">
        <v>1930</v>
      </c>
      <c r="G65" s="14" t="s">
        <v>1837</v>
      </c>
      <c r="H65" s="14" t="s">
        <v>1838</v>
      </c>
      <c r="I65" s="14" t="s">
        <v>1839</v>
      </c>
    </row>
    <row r="66" spans="1:9" x14ac:dyDescent="0.2">
      <c r="A66" t="s">
        <v>1932</v>
      </c>
      <c r="B66" s="15">
        <v>7</v>
      </c>
      <c r="C66" t="s">
        <v>1840</v>
      </c>
      <c r="D66" s="14" t="s">
        <v>1841</v>
      </c>
      <c r="E66" s="14" t="s">
        <v>1842</v>
      </c>
      <c r="F66" s="14" t="s">
        <v>1931</v>
      </c>
      <c r="G66" s="14" t="s">
        <v>1844</v>
      </c>
      <c r="H66" s="14" t="s">
        <v>1845</v>
      </c>
      <c r="I66" s="14" t="s">
        <v>1846</v>
      </c>
    </row>
    <row r="67" spans="1:9" x14ac:dyDescent="0.2">
      <c r="B67" s="7"/>
    </row>
    <row r="68" spans="1:9" x14ac:dyDescent="0.2">
      <c r="A68" t="s">
        <v>1968</v>
      </c>
      <c r="B68" s="15">
        <v>1</v>
      </c>
      <c r="C68" t="s">
        <v>1969</v>
      </c>
      <c r="D68" t="s">
        <v>1970</v>
      </c>
      <c r="E68" t="s">
        <v>1971</v>
      </c>
      <c r="F68" t="s">
        <v>1972</v>
      </c>
      <c r="G68" t="s">
        <v>1973</v>
      </c>
      <c r="H68" t="s">
        <v>1974</v>
      </c>
      <c r="I68" t="s">
        <v>1975</v>
      </c>
    </row>
    <row r="69" spans="1:9" x14ac:dyDescent="0.2">
      <c r="A69" t="s">
        <v>1968</v>
      </c>
      <c r="B69" s="15">
        <v>2</v>
      </c>
      <c r="C69" t="s">
        <v>1976</v>
      </c>
      <c r="D69" t="s">
        <v>1977</v>
      </c>
      <c r="E69" t="s">
        <v>1978</v>
      </c>
      <c r="F69" t="s">
        <v>1979</v>
      </c>
      <c r="G69" t="s">
        <v>1973</v>
      </c>
      <c r="H69" t="s">
        <v>1980</v>
      </c>
      <c r="I69" t="s">
        <v>1981</v>
      </c>
    </row>
    <row r="70" spans="1:9" x14ac:dyDescent="0.2">
      <c r="A70" t="s">
        <v>1968</v>
      </c>
      <c r="B70" s="15">
        <v>3</v>
      </c>
      <c r="C70" t="s">
        <v>1982</v>
      </c>
      <c r="D70" t="s">
        <v>1983</v>
      </c>
      <c r="E70" t="s">
        <v>1984</v>
      </c>
      <c r="F70" t="s">
        <v>1985</v>
      </c>
      <c r="G70" t="s">
        <v>1986</v>
      </c>
      <c r="H70" t="s">
        <v>1987</v>
      </c>
      <c r="I70" t="s">
        <v>1988</v>
      </c>
    </row>
    <row r="71" spans="1:9" x14ac:dyDescent="0.2">
      <c r="A71" t="s">
        <v>1968</v>
      </c>
      <c r="B71" s="15">
        <v>4</v>
      </c>
      <c r="C71" t="s">
        <v>1989</v>
      </c>
      <c r="D71" t="s">
        <v>1990</v>
      </c>
      <c r="E71" t="s">
        <v>1991</v>
      </c>
      <c r="F71" t="s">
        <v>1992</v>
      </c>
      <c r="G71" t="s">
        <v>1993</v>
      </c>
      <c r="H71" t="s">
        <v>1994</v>
      </c>
      <c r="I71" t="s">
        <v>1995</v>
      </c>
    </row>
    <row r="72" spans="1:9" x14ac:dyDescent="0.2">
      <c r="A72" t="s">
        <v>1968</v>
      </c>
      <c r="B72" s="15">
        <v>5</v>
      </c>
      <c r="C72" t="s">
        <v>1996</v>
      </c>
      <c r="D72" t="s">
        <v>1997</v>
      </c>
      <c r="E72" t="s">
        <v>1998</v>
      </c>
      <c r="F72" t="s">
        <v>1999</v>
      </c>
      <c r="G72" t="s">
        <v>2000</v>
      </c>
      <c r="H72" t="s">
        <v>2001</v>
      </c>
      <c r="I72" t="s">
        <v>2002</v>
      </c>
    </row>
    <row r="73" spans="1:9" x14ac:dyDescent="0.2">
      <c r="A73" t="s">
        <v>1968</v>
      </c>
      <c r="B73" s="15">
        <v>6</v>
      </c>
      <c r="C73" t="s">
        <v>2003</v>
      </c>
      <c r="D73" t="s">
        <v>2004</v>
      </c>
      <c r="E73" t="s">
        <v>2005</v>
      </c>
      <c r="F73" t="s">
        <v>2006</v>
      </c>
      <c r="G73" t="s">
        <v>2007</v>
      </c>
      <c r="H73" t="s">
        <v>2008</v>
      </c>
      <c r="I73" t="s">
        <v>2009</v>
      </c>
    </row>
    <row r="74" spans="1:9" x14ac:dyDescent="0.2">
      <c r="A74" t="s">
        <v>1968</v>
      </c>
      <c r="B74" s="15">
        <v>7</v>
      </c>
      <c r="C74" t="s">
        <v>2010</v>
      </c>
      <c r="D74" t="s">
        <v>2011</v>
      </c>
      <c r="E74" t="s">
        <v>2012</v>
      </c>
      <c r="F74" t="s">
        <v>2013</v>
      </c>
      <c r="G74" t="s">
        <v>1986</v>
      </c>
      <c r="H74" t="s">
        <v>2014</v>
      </c>
      <c r="I74" t="s">
        <v>2015</v>
      </c>
    </row>
    <row r="75" spans="1:9" x14ac:dyDescent="0.2">
      <c r="A75" t="s">
        <v>1968</v>
      </c>
      <c r="B75" s="15">
        <v>8</v>
      </c>
      <c r="C75" t="s">
        <v>2016</v>
      </c>
      <c r="D75" t="s">
        <v>2017</v>
      </c>
      <c r="E75" t="s">
        <v>2018</v>
      </c>
      <c r="F75" t="s">
        <v>2019</v>
      </c>
      <c r="G75" t="s">
        <v>2020</v>
      </c>
      <c r="H75" t="s">
        <v>2021</v>
      </c>
      <c r="I75" t="s">
        <v>2022</v>
      </c>
    </row>
    <row r="76" spans="1:9" x14ac:dyDescent="0.2">
      <c r="A76" t="s">
        <v>1968</v>
      </c>
      <c r="B76" s="15">
        <v>9</v>
      </c>
      <c r="C76" t="s">
        <v>2023</v>
      </c>
      <c r="D76" t="s">
        <v>2024</v>
      </c>
      <c r="E76" t="s">
        <v>2025</v>
      </c>
      <c r="F76" t="s">
        <v>2026</v>
      </c>
      <c r="G76" t="s">
        <v>2027</v>
      </c>
      <c r="H76" t="s">
        <v>2028</v>
      </c>
      <c r="I76" t="s">
        <v>2029</v>
      </c>
    </row>
    <row r="77" spans="1:9" x14ac:dyDescent="0.2">
      <c r="A77" t="s">
        <v>1968</v>
      </c>
      <c r="B77" s="15">
        <v>10</v>
      </c>
      <c r="C77" t="s">
        <v>2030</v>
      </c>
      <c r="D77" t="s">
        <v>2031</v>
      </c>
      <c r="E77" t="s">
        <v>2032</v>
      </c>
      <c r="F77" t="s">
        <v>2033</v>
      </c>
      <c r="G77" t="s">
        <v>2034</v>
      </c>
      <c r="H77" t="s">
        <v>2035</v>
      </c>
      <c r="I77" t="s">
        <v>2036</v>
      </c>
    </row>
    <row r="78" spans="1:9" x14ac:dyDescent="0.2">
      <c r="A78" t="s">
        <v>1968</v>
      </c>
      <c r="B78" s="15">
        <v>11</v>
      </c>
      <c r="C78" t="s">
        <v>1833</v>
      </c>
      <c r="D78" s="14" t="s">
        <v>1834</v>
      </c>
      <c r="E78" s="14" t="s">
        <v>1835</v>
      </c>
      <c r="F78" s="14" t="s">
        <v>1930</v>
      </c>
      <c r="G78" s="14" t="s">
        <v>1837</v>
      </c>
      <c r="H78" s="14" t="s">
        <v>1838</v>
      </c>
      <c r="I78" s="14" t="s">
        <v>1839</v>
      </c>
    </row>
    <row r="79" spans="1:9" x14ac:dyDescent="0.2">
      <c r="A79" t="s">
        <v>1968</v>
      </c>
      <c r="B79" s="15">
        <v>12</v>
      </c>
      <c r="C79" t="s">
        <v>1840</v>
      </c>
      <c r="D79" s="14" t="s">
        <v>1841</v>
      </c>
      <c r="E79" s="14" t="s">
        <v>1842</v>
      </c>
      <c r="F79" s="14" t="s">
        <v>1931</v>
      </c>
      <c r="G79" s="14" t="s">
        <v>1844</v>
      </c>
      <c r="H79" s="14" t="s">
        <v>1845</v>
      </c>
      <c r="I79" s="14" t="s">
        <v>1846</v>
      </c>
    </row>
    <row r="80" spans="1:9" x14ac:dyDescent="0.2">
      <c r="B80" s="7"/>
    </row>
    <row r="81" spans="1:9" x14ac:dyDescent="0.2">
      <c r="A81" t="s">
        <v>2037</v>
      </c>
      <c r="B81" s="15">
        <v>1</v>
      </c>
      <c r="C81" t="s">
        <v>2038</v>
      </c>
      <c r="D81" t="s">
        <v>2039</v>
      </c>
      <c r="E81" t="s">
        <v>2040</v>
      </c>
      <c r="F81" t="s">
        <v>2041</v>
      </c>
      <c r="G81" t="s">
        <v>2042</v>
      </c>
      <c r="H81" t="s">
        <v>2043</v>
      </c>
      <c r="I81" t="s">
        <v>2044</v>
      </c>
    </row>
    <row r="82" spans="1:9" x14ac:dyDescent="0.2">
      <c r="A82" t="s">
        <v>2037</v>
      </c>
      <c r="B82" s="15">
        <v>2</v>
      </c>
      <c r="C82" t="s">
        <v>2045</v>
      </c>
      <c r="D82" t="s">
        <v>2046</v>
      </c>
      <c r="E82" t="s">
        <v>2047</v>
      </c>
      <c r="F82" t="s">
        <v>2048</v>
      </c>
      <c r="G82" t="s">
        <v>2049</v>
      </c>
      <c r="H82" t="s">
        <v>2050</v>
      </c>
      <c r="I82" t="s">
        <v>2051</v>
      </c>
    </row>
    <row r="83" spans="1:9" x14ac:dyDescent="0.2">
      <c r="A83" t="s">
        <v>2037</v>
      </c>
      <c r="B83" s="15">
        <v>3</v>
      </c>
      <c r="C83" t="s">
        <v>2052</v>
      </c>
      <c r="D83" t="s">
        <v>2053</v>
      </c>
      <c r="E83" t="s">
        <v>2054</v>
      </c>
      <c r="F83" t="s">
        <v>2055</v>
      </c>
      <c r="G83" t="s">
        <v>1681</v>
      </c>
      <c r="H83" t="s">
        <v>2056</v>
      </c>
      <c r="I83" t="s">
        <v>2057</v>
      </c>
    </row>
    <row r="84" spans="1:9" x14ac:dyDescent="0.2">
      <c r="A84" t="s">
        <v>2037</v>
      </c>
      <c r="B84" s="15">
        <v>4</v>
      </c>
      <c r="C84" t="s">
        <v>2058</v>
      </c>
      <c r="D84" t="s">
        <v>2059</v>
      </c>
      <c r="E84" t="s">
        <v>2060</v>
      </c>
      <c r="F84" t="s">
        <v>2061</v>
      </c>
      <c r="G84" t="s">
        <v>2059</v>
      </c>
      <c r="H84" t="s">
        <v>2062</v>
      </c>
      <c r="I84" t="s">
        <v>2063</v>
      </c>
    </row>
    <row r="85" spans="1:9" x14ac:dyDescent="0.2">
      <c r="A85" t="s">
        <v>2037</v>
      </c>
      <c r="B85" s="15">
        <v>5</v>
      </c>
      <c r="C85" t="s">
        <v>2064</v>
      </c>
      <c r="D85" t="s">
        <v>2065</v>
      </c>
      <c r="E85" t="s">
        <v>2066</v>
      </c>
      <c r="F85" t="s">
        <v>2067</v>
      </c>
      <c r="G85" t="s">
        <v>2042</v>
      </c>
      <c r="H85" t="s">
        <v>2068</v>
      </c>
      <c r="I85" t="s">
        <v>2069</v>
      </c>
    </row>
    <row r="86" spans="1:9" x14ac:dyDescent="0.2">
      <c r="A86" t="s">
        <v>2037</v>
      </c>
      <c r="B86" s="15">
        <v>6</v>
      </c>
      <c r="C86" t="s">
        <v>1833</v>
      </c>
      <c r="D86" s="14" t="s">
        <v>1834</v>
      </c>
      <c r="E86" s="14" t="s">
        <v>1835</v>
      </c>
      <c r="F86" s="14" t="s">
        <v>1930</v>
      </c>
      <c r="G86" s="14" t="s">
        <v>1837</v>
      </c>
      <c r="H86" s="14" t="s">
        <v>1838</v>
      </c>
      <c r="I86" s="14" t="s">
        <v>1839</v>
      </c>
    </row>
    <row r="87" spans="1:9" x14ac:dyDescent="0.2">
      <c r="A87" t="s">
        <v>2037</v>
      </c>
      <c r="B87" s="15">
        <v>7</v>
      </c>
      <c r="C87" t="s">
        <v>1840</v>
      </c>
      <c r="D87" s="14" t="s">
        <v>1841</v>
      </c>
      <c r="E87" s="14" t="s">
        <v>1842</v>
      </c>
      <c r="F87" s="14" t="s">
        <v>1931</v>
      </c>
      <c r="G87" s="14" t="s">
        <v>1844</v>
      </c>
      <c r="H87" s="14" t="s">
        <v>1845</v>
      </c>
      <c r="I87" s="14" t="s">
        <v>1846</v>
      </c>
    </row>
    <row r="88" spans="1:9" x14ac:dyDescent="0.2">
      <c r="B88" s="7"/>
    </row>
    <row r="89" spans="1:9" x14ac:dyDescent="0.2">
      <c r="A89" t="s">
        <v>2070</v>
      </c>
      <c r="B89" s="15">
        <v>1</v>
      </c>
      <c r="C89" t="s">
        <v>2071</v>
      </c>
      <c r="D89" t="s">
        <v>2072</v>
      </c>
      <c r="E89" t="s">
        <v>2073</v>
      </c>
      <c r="F89" t="s">
        <v>2074</v>
      </c>
      <c r="G89" t="s">
        <v>2075</v>
      </c>
      <c r="H89" t="s">
        <v>2076</v>
      </c>
      <c r="I89" t="s">
        <v>2077</v>
      </c>
    </row>
    <row r="90" spans="1:9" x14ac:dyDescent="0.2">
      <c r="A90" t="s">
        <v>2070</v>
      </c>
      <c r="B90" s="15">
        <v>2</v>
      </c>
      <c r="C90" t="s">
        <v>2078</v>
      </c>
      <c r="D90" t="s">
        <v>2079</v>
      </c>
      <c r="E90" t="s">
        <v>2080</v>
      </c>
      <c r="F90" t="s">
        <v>2081</v>
      </c>
      <c r="G90" t="s">
        <v>2082</v>
      </c>
      <c r="H90" t="s">
        <v>2083</v>
      </c>
      <c r="I90" t="s">
        <v>2084</v>
      </c>
    </row>
    <row r="91" spans="1:9" x14ac:dyDescent="0.2">
      <c r="A91" t="s">
        <v>2070</v>
      </c>
      <c r="B91" s="15">
        <v>3</v>
      </c>
      <c r="C91" t="s">
        <v>2085</v>
      </c>
      <c r="D91" t="s">
        <v>2086</v>
      </c>
      <c r="E91" t="s">
        <v>2087</v>
      </c>
      <c r="F91" t="s">
        <v>2088</v>
      </c>
      <c r="G91" t="s">
        <v>2089</v>
      </c>
      <c r="H91" t="s">
        <v>2090</v>
      </c>
      <c r="I91" t="s">
        <v>2091</v>
      </c>
    </row>
    <row r="92" spans="1:9" x14ac:dyDescent="0.2">
      <c r="A92" t="s">
        <v>2070</v>
      </c>
      <c r="B92" s="15">
        <v>4</v>
      </c>
      <c r="C92" t="s">
        <v>2092</v>
      </c>
      <c r="D92" t="s">
        <v>2093</v>
      </c>
      <c r="E92" t="s">
        <v>2094</v>
      </c>
      <c r="F92" t="s">
        <v>2095</v>
      </c>
      <c r="G92" t="s">
        <v>2096</v>
      </c>
      <c r="H92" t="s">
        <v>2097</v>
      </c>
      <c r="I92" t="s">
        <v>2098</v>
      </c>
    </row>
    <row r="93" spans="1:9" x14ac:dyDescent="0.2">
      <c r="A93" t="s">
        <v>2070</v>
      </c>
      <c r="B93" s="15">
        <v>5</v>
      </c>
      <c r="C93" t="s">
        <v>2099</v>
      </c>
      <c r="D93" t="s">
        <v>2100</v>
      </c>
      <c r="E93" t="s">
        <v>2101</v>
      </c>
      <c r="F93" t="s">
        <v>2102</v>
      </c>
      <c r="G93" t="s">
        <v>2103</v>
      </c>
      <c r="H93" t="s">
        <v>2104</v>
      </c>
      <c r="I93" t="s">
        <v>2105</v>
      </c>
    </row>
    <row r="94" spans="1:9" x14ac:dyDescent="0.2">
      <c r="A94" t="s">
        <v>2070</v>
      </c>
      <c r="B94" s="15">
        <v>6</v>
      </c>
      <c r="C94" t="s">
        <v>2106</v>
      </c>
      <c r="D94" t="s">
        <v>2107</v>
      </c>
      <c r="E94" t="s">
        <v>2108</v>
      </c>
      <c r="F94" t="s">
        <v>2109</v>
      </c>
      <c r="G94" t="s">
        <v>2110</v>
      </c>
      <c r="H94" t="s">
        <v>2111</v>
      </c>
      <c r="I94" t="s">
        <v>2112</v>
      </c>
    </row>
    <row r="95" spans="1:9" x14ac:dyDescent="0.2">
      <c r="A95" t="s">
        <v>2070</v>
      </c>
      <c r="B95" s="15">
        <v>7</v>
      </c>
      <c r="C95" t="s">
        <v>1833</v>
      </c>
      <c r="D95" s="14" t="s">
        <v>1834</v>
      </c>
      <c r="E95" s="14" t="s">
        <v>1835</v>
      </c>
      <c r="F95" s="14" t="s">
        <v>1930</v>
      </c>
      <c r="G95" s="14" t="s">
        <v>1837</v>
      </c>
      <c r="H95" s="14" t="s">
        <v>1838</v>
      </c>
      <c r="I95" s="14" t="s">
        <v>1839</v>
      </c>
    </row>
    <row r="96" spans="1:9" x14ac:dyDescent="0.2">
      <c r="A96" t="s">
        <v>2070</v>
      </c>
      <c r="B96" s="15">
        <v>8</v>
      </c>
      <c r="C96" t="s">
        <v>1840</v>
      </c>
      <c r="D96" s="14" t="s">
        <v>1841</v>
      </c>
      <c r="E96" s="14" t="s">
        <v>1842</v>
      </c>
      <c r="F96" s="14" t="s">
        <v>1931</v>
      </c>
      <c r="G96" s="14" t="s">
        <v>1844</v>
      </c>
      <c r="H96" s="14" t="s">
        <v>1845</v>
      </c>
      <c r="I96" s="14" t="s">
        <v>1846</v>
      </c>
    </row>
    <row r="98" spans="1:9" x14ac:dyDescent="0.2">
      <c r="A98" s="10" t="s">
        <v>2113</v>
      </c>
      <c r="B98" s="10">
        <v>1</v>
      </c>
      <c r="C98" s="10" t="s">
        <v>2114</v>
      </c>
      <c r="D98" s="10" t="s">
        <v>2115</v>
      </c>
      <c r="E98" s="10" t="s">
        <v>2116</v>
      </c>
      <c r="F98" s="10" t="s">
        <v>2117</v>
      </c>
      <c r="G98" s="10" t="s">
        <v>2118</v>
      </c>
      <c r="H98" s="10" t="s">
        <v>2119</v>
      </c>
      <c r="I98" s="10" t="s">
        <v>2120</v>
      </c>
    </row>
    <row r="99" spans="1:9" x14ac:dyDescent="0.2">
      <c r="A99" s="10" t="s">
        <v>2113</v>
      </c>
      <c r="B99" s="10">
        <v>2</v>
      </c>
      <c r="C99" s="10" t="s">
        <v>2121</v>
      </c>
      <c r="D99" s="10" t="s">
        <v>2122</v>
      </c>
      <c r="E99" s="10" t="s">
        <v>2123</v>
      </c>
      <c r="F99" s="10" t="s">
        <v>2124</v>
      </c>
      <c r="G99" s="10" t="s">
        <v>2125</v>
      </c>
      <c r="H99" s="10" t="s">
        <v>2126</v>
      </c>
      <c r="I99" s="10" t="s">
        <v>2127</v>
      </c>
    </row>
    <row r="100" spans="1:9" x14ac:dyDescent="0.2">
      <c r="A100" s="10" t="s">
        <v>2113</v>
      </c>
      <c r="B100" s="10">
        <v>3</v>
      </c>
      <c r="C100" s="10" t="s">
        <v>2128</v>
      </c>
      <c r="D100" s="10" t="s">
        <v>2129</v>
      </c>
      <c r="E100" s="10" t="s">
        <v>2130</v>
      </c>
      <c r="F100" s="10" t="s">
        <v>2131</v>
      </c>
      <c r="G100" s="10" t="s">
        <v>2132</v>
      </c>
      <c r="H100" s="10" t="s">
        <v>2133</v>
      </c>
      <c r="I100" s="10" t="s">
        <v>2134</v>
      </c>
    </row>
    <row r="101" spans="1:9" x14ac:dyDescent="0.2">
      <c r="A101" s="10" t="s">
        <v>2113</v>
      </c>
      <c r="B101" s="10">
        <v>4</v>
      </c>
      <c r="C101" s="10" t="s">
        <v>2135</v>
      </c>
      <c r="D101" s="10" t="s">
        <v>2136</v>
      </c>
      <c r="E101" s="10" t="s">
        <v>2137</v>
      </c>
      <c r="F101" s="10" t="s">
        <v>2138</v>
      </c>
      <c r="G101" s="10" t="s">
        <v>2139</v>
      </c>
      <c r="H101" s="10" t="s">
        <v>2140</v>
      </c>
      <c r="I101" s="10" t="s">
        <v>2141</v>
      </c>
    </row>
    <row r="102" spans="1:9" x14ac:dyDescent="0.2">
      <c r="A102" s="10" t="s">
        <v>2113</v>
      </c>
      <c r="B102" s="10">
        <v>5</v>
      </c>
      <c r="C102" s="10" t="s">
        <v>2142</v>
      </c>
      <c r="D102" s="10" t="s">
        <v>2143</v>
      </c>
      <c r="E102" s="10" t="s">
        <v>2144</v>
      </c>
      <c r="F102" s="10" t="s">
        <v>2145</v>
      </c>
      <c r="G102" s="10" t="s">
        <v>2146</v>
      </c>
      <c r="H102" s="10" t="s">
        <v>2147</v>
      </c>
      <c r="I102" s="10" t="s">
        <v>2148</v>
      </c>
    </row>
    <row r="103" spans="1:9" x14ac:dyDescent="0.2">
      <c r="A103" s="10" t="s">
        <v>2113</v>
      </c>
      <c r="B103" s="10">
        <v>6</v>
      </c>
      <c r="C103" s="10" t="s">
        <v>1833</v>
      </c>
      <c r="D103" s="10" t="s">
        <v>1834</v>
      </c>
      <c r="E103" s="10" t="s">
        <v>1835</v>
      </c>
      <c r="F103" s="10" t="s">
        <v>1930</v>
      </c>
      <c r="G103" s="10" t="s">
        <v>1837</v>
      </c>
      <c r="H103" s="10" t="s">
        <v>1838</v>
      </c>
      <c r="I103" s="10" t="s">
        <v>1839</v>
      </c>
    </row>
    <row r="104" spans="1:9" x14ac:dyDescent="0.2">
      <c r="A104" s="10" t="s">
        <v>2113</v>
      </c>
      <c r="B104" s="10">
        <v>7</v>
      </c>
      <c r="C104" s="10" t="s">
        <v>1840</v>
      </c>
      <c r="D104" s="10" t="s">
        <v>1841</v>
      </c>
      <c r="E104" s="10" t="s">
        <v>1842</v>
      </c>
      <c r="F104" s="10" t="s">
        <v>1931</v>
      </c>
      <c r="G104" s="10" t="s">
        <v>1844</v>
      </c>
      <c r="H104" s="10" t="s">
        <v>1845</v>
      </c>
      <c r="I104" s="10" t="s">
        <v>1846</v>
      </c>
    </row>
    <row r="105" spans="1:9" x14ac:dyDescent="0.2">
      <c r="A105" s="11"/>
      <c r="B105" s="11"/>
      <c r="C105" s="11"/>
      <c r="D105" s="11"/>
      <c r="E105" s="11"/>
      <c r="F105" s="11"/>
      <c r="G105" s="11"/>
      <c r="H105" s="11"/>
      <c r="I105" s="11"/>
    </row>
    <row r="106" spans="1:9" x14ac:dyDescent="0.2">
      <c r="A106" s="10" t="s">
        <v>2149</v>
      </c>
      <c r="B106" s="11" t="s">
        <v>2150</v>
      </c>
      <c r="C106" s="10" t="s">
        <v>2151</v>
      </c>
      <c r="D106" s="11" t="s">
        <v>2152</v>
      </c>
      <c r="E106" s="11" t="s">
        <v>2153</v>
      </c>
      <c r="F106" s="11" t="s">
        <v>2154</v>
      </c>
      <c r="G106" s="11" t="s">
        <v>2155</v>
      </c>
      <c r="H106" s="11" t="s">
        <v>2156</v>
      </c>
      <c r="I106" s="11" t="s">
        <v>2157</v>
      </c>
    </row>
    <row r="107" spans="1:9" x14ac:dyDescent="0.2">
      <c r="A107" s="10" t="s">
        <v>2149</v>
      </c>
      <c r="B107" s="10" t="s">
        <v>2158</v>
      </c>
      <c r="C107" s="10" t="s">
        <v>2159</v>
      </c>
      <c r="D107" s="10" t="s">
        <v>2160</v>
      </c>
      <c r="E107" s="10" t="s">
        <v>2161</v>
      </c>
      <c r="F107" s="10" t="s">
        <v>2162</v>
      </c>
      <c r="G107" s="10" t="s">
        <v>2163</v>
      </c>
      <c r="H107" s="10" t="s">
        <v>2164</v>
      </c>
      <c r="I107" s="10" t="s">
        <v>2165</v>
      </c>
    </row>
    <row r="108" spans="1:9" x14ac:dyDescent="0.2">
      <c r="A108" s="10" t="s">
        <v>2149</v>
      </c>
      <c r="B108" s="10" t="s">
        <v>2166</v>
      </c>
      <c r="C108" s="10" t="s">
        <v>2167</v>
      </c>
      <c r="D108" s="10" t="s">
        <v>2168</v>
      </c>
      <c r="E108" s="10" t="s">
        <v>2169</v>
      </c>
      <c r="F108" s="10" t="s">
        <v>2170</v>
      </c>
      <c r="G108" s="10" t="s">
        <v>2171</v>
      </c>
      <c r="H108" s="10" t="s">
        <v>2172</v>
      </c>
      <c r="I108" s="10" t="s">
        <v>2173</v>
      </c>
    </row>
    <row r="109" spans="1:9" x14ac:dyDescent="0.2">
      <c r="A109" s="10" t="s">
        <v>2149</v>
      </c>
      <c r="B109" s="10" t="s">
        <v>2174</v>
      </c>
      <c r="C109" s="10" t="s">
        <v>2175</v>
      </c>
      <c r="D109" s="10" t="s">
        <v>2175</v>
      </c>
      <c r="E109" s="10" t="s">
        <v>2175</v>
      </c>
      <c r="F109" s="10" t="s">
        <v>2176</v>
      </c>
      <c r="G109" s="10" t="s">
        <v>2177</v>
      </c>
      <c r="H109" s="10" t="s">
        <v>2178</v>
      </c>
      <c r="I109" s="10" t="s">
        <v>2179</v>
      </c>
    </row>
    <row r="110" spans="1:9" x14ac:dyDescent="0.2">
      <c r="A110" s="10" t="s">
        <v>2149</v>
      </c>
      <c r="B110" s="10" t="s">
        <v>2180</v>
      </c>
      <c r="C110" s="10" t="s">
        <v>2181</v>
      </c>
      <c r="D110" s="10" t="s">
        <v>2182</v>
      </c>
      <c r="E110" s="10" t="s">
        <v>2183</v>
      </c>
      <c r="F110" s="10" t="s">
        <v>2184</v>
      </c>
      <c r="G110" s="10" t="s">
        <v>2185</v>
      </c>
      <c r="H110" s="10" t="s">
        <v>2186</v>
      </c>
      <c r="I110" s="10" t="s">
        <v>2187</v>
      </c>
    </row>
    <row r="111" spans="1:9" x14ac:dyDescent="0.2">
      <c r="A111" s="10" t="s">
        <v>2149</v>
      </c>
      <c r="B111" s="10" t="s">
        <v>2188</v>
      </c>
      <c r="C111" s="10" t="s">
        <v>2189</v>
      </c>
      <c r="D111" s="10" t="s">
        <v>2190</v>
      </c>
      <c r="E111" s="10" t="s">
        <v>2191</v>
      </c>
      <c r="F111" s="10" t="s">
        <v>2192</v>
      </c>
      <c r="G111" s="10" t="s">
        <v>2193</v>
      </c>
      <c r="H111" s="10" t="s">
        <v>2194</v>
      </c>
      <c r="I111" s="10" t="s">
        <v>2195</v>
      </c>
    </row>
    <row r="112" spans="1:9" x14ac:dyDescent="0.2">
      <c r="A112" s="10" t="s">
        <v>2149</v>
      </c>
      <c r="B112" s="10" t="s">
        <v>2196</v>
      </c>
      <c r="C112" s="10" t="s">
        <v>2197</v>
      </c>
      <c r="D112" s="10" t="s">
        <v>2198</v>
      </c>
      <c r="E112" s="10" t="s">
        <v>2199</v>
      </c>
      <c r="F112" s="10" t="s">
        <v>2200</v>
      </c>
      <c r="G112" s="10" t="s">
        <v>2201</v>
      </c>
      <c r="H112" s="10" t="s">
        <v>2202</v>
      </c>
      <c r="I112" s="10" t="s">
        <v>2203</v>
      </c>
    </row>
    <row r="113" spans="1:9" x14ac:dyDescent="0.2">
      <c r="A113" s="10" t="s">
        <v>2149</v>
      </c>
      <c r="B113" s="10" t="s">
        <v>2204</v>
      </c>
      <c r="C113" s="10" t="s">
        <v>1833</v>
      </c>
      <c r="D113" s="10" t="s">
        <v>1834</v>
      </c>
      <c r="E113" s="10" t="s">
        <v>2205</v>
      </c>
      <c r="F113" s="10" t="s">
        <v>1930</v>
      </c>
      <c r="G113" s="10" t="s">
        <v>1837</v>
      </c>
      <c r="H113" s="10" t="s">
        <v>1838</v>
      </c>
      <c r="I113" s="10" t="s">
        <v>1839</v>
      </c>
    </row>
    <row r="114" spans="1:9" x14ac:dyDescent="0.2">
      <c r="A114" s="10" t="s">
        <v>2149</v>
      </c>
      <c r="B114" s="10" t="s">
        <v>2206</v>
      </c>
      <c r="C114" s="10" t="s">
        <v>1840</v>
      </c>
      <c r="D114" s="10" t="s">
        <v>1841</v>
      </c>
      <c r="E114" s="10" t="s">
        <v>2207</v>
      </c>
      <c r="F114" s="10" t="s">
        <v>1931</v>
      </c>
      <c r="G114" s="10" t="s">
        <v>1837</v>
      </c>
      <c r="H114" s="10" t="s">
        <v>1845</v>
      </c>
      <c r="I114" s="10" t="s">
        <v>1846</v>
      </c>
    </row>
    <row r="115" spans="1:9" x14ac:dyDescent="0.2">
      <c r="A115" s="11"/>
      <c r="B115" s="11"/>
      <c r="C115" s="11"/>
      <c r="D115" s="11"/>
      <c r="E115" s="11"/>
      <c r="F115" s="11"/>
      <c r="G115" s="11"/>
      <c r="H115" s="11"/>
      <c r="I115" s="11"/>
    </row>
    <row r="116" spans="1:9" x14ac:dyDescent="0.2">
      <c r="A116" s="10" t="s">
        <v>2208</v>
      </c>
      <c r="B116" s="10" t="s">
        <v>2209</v>
      </c>
      <c r="C116" s="10" t="s">
        <v>2210</v>
      </c>
      <c r="D116" s="10" t="s">
        <v>2211</v>
      </c>
      <c r="E116" s="10" t="s">
        <v>2212</v>
      </c>
      <c r="F116" s="10" t="s">
        <v>2213</v>
      </c>
      <c r="G116" s="10" t="s">
        <v>2214</v>
      </c>
      <c r="H116" s="10" t="s">
        <v>2215</v>
      </c>
      <c r="I116" s="10" t="s">
        <v>2216</v>
      </c>
    </row>
    <row r="117" spans="1:9" x14ac:dyDescent="0.2">
      <c r="A117" s="10" t="s">
        <v>2208</v>
      </c>
      <c r="B117" s="10" t="s">
        <v>2217</v>
      </c>
      <c r="C117" s="10" t="s">
        <v>2218</v>
      </c>
      <c r="D117" s="10" t="s">
        <v>2219</v>
      </c>
      <c r="E117" s="10" t="s">
        <v>2220</v>
      </c>
      <c r="F117" s="10" t="s">
        <v>2221</v>
      </c>
      <c r="G117" s="10" t="s">
        <v>2222</v>
      </c>
      <c r="H117" s="10" t="s">
        <v>2223</v>
      </c>
      <c r="I117" s="10" t="s">
        <v>2224</v>
      </c>
    </row>
    <row r="118" spans="1:9" x14ac:dyDescent="0.2">
      <c r="A118" s="10" t="s">
        <v>2208</v>
      </c>
      <c r="B118" s="10" t="s">
        <v>2225</v>
      </c>
      <c r="C118" s="10" t="s">
        <v>2226</v>
      </c>
      <c r="D118" s="10" t="s">
        <v>2227</v>
      </c>
      <c r="E118" s="10" t="s">
        <v>2228</v>
      </c>
      <c r="F118" s="10" t="s">
        <v>2229</v>
      </c>
      <c r="G118" s="10" t="s">
        <v>2230</v>
      </c>
      <c r="H118" s="10" t="s">
        <v>2231</v>
      </c>
      <c r="I118" s="10" t="s">
        <v>2232</v>
      </c>
    </row>
    <row r="119" spans="1:9" x14ac:dyDescent="0.2">
      <c r="A119" s="10" t="s">
        <v>2208</v>
      </c>
      <c r="B119" s="10" t="s">
        <v>2233</v>
      </c>
      <c r="C119" s="10" t="s">
        <v>2234</v>
      </c>
      <c r="D119" s="10" t="s">
        <v>2235</v>
      </c>
      <c r="E119" s="10" t="s">
        <v>2236</v>
      </c>
      <c r="F119" s="10" t="s">
        <v>2237</v>
      </c>
      <c r="G119" s="10" t="s">
        <v>2238</v>
      </c>
      <c r="H119" s="10" t="s">
        <v>2239</v>
      </c>
      <c r="I119" s="10" t="s">
        <v>2240</v>
      </c>
    </row>
    <row r="120" spans="1:9" x14ac:dyDescent="0.2">
      <c r="A120" s="10" t="s">
        <v>2208</v>
      </c>
      <c r="B120" s="10" t="s">
        <v>2241</v>
      </c>
      <c r="C120" s="10" t="s">
        <v>2242</v>
      </c>
      <c r="D120" s="10" t="s">
        <v>2243</v>
      </c>
      <c r="E120" s="10" t="s">
        <v>2244</v>
      </c>
      <c r="F120" s="10" t="s">
        <v>2245</v>
      </c>
      <c r="G120" s="10" t="s">
        <v>2246</v>
      </c>
      <c r="H120" s="10" t="s">
        <v>2247</v>
      </c>
      <c r="I120" s="10" t="s">
        <v>2248</v>
      </c>
    </row>
    <row r="121" spans="1:9" x14ac:dyDescent="0.2">
      <c r="A121" s="10" t="s">
        <v>2208</v>
      </c>
      <c r="B121" s="10" t="s">
        <v>2249</v>
      </c>
      <c r="C121" s="10" t="s">
        <v>2250</v>
      </c>
      <c r="D121" s="10" t="s">
        <v>2251</v>
      </c>
      <c r="E121" s="10" t="s">
        <v>2252</v>
      </c>
      <c r="F121" s="10" t="s">
        <v>2184</v>
      </c>
      <c r="G121" s="10" t="s">
        <v>2253</v>
      </c>
      <c r="H121" s="10" t="s">
        <v>2252</v>
      </c>
      <c r="I121" s="10" t="s">
        <v>2254</v>
      </c>
    </row>
    <row r="122" spans="1:9" x14ac:dyDescent="0.2">
      <c r="A122" s="10" t="s">
        <v>2208</v>
      </c>
      <c r="B122" s="10" t="s">
        <v>2255</v>
      </c>
      <c r="C122" s="10" t="s">
        <v>2256</v>
      </c>
      <c r="D122" s="10" t="s">
        <v>2257</v>
      </c>
      <c r="E122" s="10" t="s">
        <v>2258</v>
      </c>
      <c r="F122" s="10" t="s">
        <v>2259</v>
      </c>
      <c r="G122" s="10" t="s">
        <v>2260</v>
      </c>
      <c r="H122" s="10" t="s">
        <v>2261</v>
      </c>
      <c r="I122" s="10" t="s">
        <v>2262</v>
      </c>
    </row>
    <row r="123" spans="1:9" x14ac:dyDescent="0.2">
      <c r="A123" s="10" t="s">
        <v>2208</v>
      </c>
      <c r="B123" s="10" t="s">
        <v>2188</v>
      </c>
      <c r="C123" s="10" t="s">
        <v>2263</v>
      </c>
      <c r="D123" s="10" t="s">
        <v>2264</v>
      </c>
      <c r="E123" s="10" t="s">
        <v>2265</v>
      </c>
      <c r="F123" s="10" t="s">
        <v>2266</v>
      </c>
      <c r="G123" s="10" t="s">
        <v>2267</v>
      </c>
      <c r="H123" s="10" t="s">
        <v>2268</v>
      </c>
      <c r="I123" s="10" t="s">
        <v>2269</v>
      </c>
    </row>
    <row r="124" spans="1:9" x14ac:dyDescent="0.2">
      <c r="A124" s="10" t="s">
        <v>2208</v>
      </c>
      <c r="B124" s="10" t="s">
        <v>2196</v>
      </c>
      <c r="C124" s="10" t="s">
        <v>2270</v>
      </c>
      <c r="D124" s="10" t="s">
        <v>2271</v>
      </c>
      <c r="E124" s="10" t="s">
        <v>2272</v>
      </c>
      <c r="F124" s="10" t="s">
        <v>2273</v>
      </c>
      <c r="G124" s="10" t="s">
        <v>2274</v>
      </c>
      <c r="H124" s="10" t="s">
        <v>2275</v>
      </c>
      <c r="I124" s="10" t="s">
        <v>2276</v>
      </c>
    </row>
    <row r="125" spans="1:9" x14ac:dyDescent="0.2">
      <c r="A125" s="10" t="s">
        <v>2208</v>
      </c>
      <c r="B125" s="10" t="s">
        <v>2204</v>
      </c>
      <c r="C125" s="10" t="s">
        <v>1833</v>
      </c>
      <c r="D125" s="10" t="s">
        <v>1834</v>
      </c>
      <c r="E125" s="10" t="s">
        <v>2205</v>
      </c>
      <c r="F125" s="10" t="s">
        <v>1930</v>
      </c>
      <c r="G125" s="10" t="s">
        <v>1837</v>
      </c>
      <c r="H125" s="10" t="s">
        <v>1838</v>
      </c>
      <c r="I125" s="10" t="s">
        <v>1839</v>
      </c>
    </row>
    <row r="126" spans="1:9" x14ac:dyDescent="0.2">
      <c r="A126" s="10" t="s">
        <v>2208</v>
      </c>
      <c r="B126" s="10" t="s">
        <v>2206</v>
      </c>
      <c r="C126" s="10" t="s">
        <v>1840</v>
      </c>
      <c r="D126" s="10" t="s">
        <v>1841</v>
      </c>
      <c r="E126" s="10" t="s">
        <v>2207</v>
      </c>
      <c r="F126" s="10" t="s">
        <v>1931</v>
      </c>
      <c r="G126" s="10" t="s">
        <v>1837</v>
      </c>
      <c r="H126" s="10" t="s">
        <v>1845</v>
      </c>
      <c r="I126" s="10" t="s">
        <v>1846</v>
      </c>
    </row>
    <row r="127" spans="1:9" x14ac:dyDescent="0.2">
      <c r="A127" s="11"/>
      <c r="B127" s="11"/>
      <c r="C127" s="11"/>
      <c r="D127" s="11" t="s">
        <v>2277</v>
      </c>
      <c r="E127" s="11"/>
      <c r="F127" s="11"/>
      <c r="G127" s="11"/>
      <c r="H127" s="11"/>
      <c r="I127" s="11"/>
    </row>
    <row r="128" spans="1:9" x14ac:dyDescent="0.2">
      <c r="A128" s="10" t="s">
        <v>2278</v>
      </c>
      <c r="B128" s="10">
        <v>1</v>
      </c>
      <c r="C128" s="10" t="s">
        <v>2279</v>
      </c>
      <c r="D128" s="10" t="s">
        <v>2280</v>
      </c>
      <c r="E128" s="10" t="s">
        <v>2281</v>
      </c>
      <c r="F128" s="10" t="s">
        <v>2282</v>
      </c>
      <c r="G128" s="10" t="s">
        <v>2283</v>
      </c>
      <c r="H128" s="10" t="s">
        <v>2284</v>
      </c>
      <c r="I128" s="10" t="s">
        <v>2285</v>
      </c>
    </row>
    <row r="129" spans="1:9" x14ac:dyDescent="0.2">
      <c r="A129" s="10" t="s">
        <v>2278</v>
      </c>
      <c r="B129" s="10">
        <v>2</v>
      </c>
      <c r="C129" s="10" t="s">
        <v>2286</v>
      </c>
      <c r="D129" s="10" t="s">
        <v>2287</v>
      </c>
      <c r="E129" s="10" t="s">
        <v>2288</v>
      </c>
      <c r="F129" s="10" t="s">
        <v>2289</v>
      </c>
      <c r="G129" s="10" t="s">
        <v>2290</v>
      </c>
      <c r="H129" s="10" t="s">
        <v>2291</v>
      </c>
      <c r="I129" s="10" t="s">
        <v>2292</v>
      </c>
    </row>
    <row r="130" spans="1:9" x14ac:dyDescent="0.2">
      <c r="A130" s="10" t="s">
        <v>2278</v>
      </c>
      <c r="B130" s="10">
        <v>3</v>
      </c>
      <c r="C130" s="10" t="s">
        <v>2293</v>
      </c>
      <c r="D130" s="10" t="s">
        <v>2294</v>
      </c>
      <c r="E130" s="10" t="s">
        <v>2295</v>
      </c>
      <c r="F130" s="10" t="s">
        <v>2296</v>
      </c>
      <c r="G130" s="10" t="s">
        <v>2297</v>
      </c>
      <c r="H130" s="10" t="s">
        <v>2298</v>
      </c>
      <c r="I130" s="10" t="s">
        <v>2299</v>
      </c>
    </row>
    <row r="131" spans="1:9" x14ac:dyDescent="0.2">
      <c r="A131" s="10" t="s">
        <v>2278</v>
      </c>
      <c r="B131" s="10">
        <v>4</v>
      </c>
      <c r="C131" s="10" t="s">
        <v>2300</v>
      </c>
      <c r="D131" s="10" t="s">
        <v>2301</v>
      </c>
      <c r="E131" s="10" t="s">
        <v>2302</v>
      </c>
      <c r="F131" s="10" t="s">
        <v>2303</v>
      </c>
      <c r="G131" s="10" t="s">
        <v>2304</v>
      </c>
      <c r="H131" s="10" t="s">
        <v>2305</v>
      </c>
      <c r="I131" s="10" t="s">
        <v>2306</v>
      </c>
    </row>
    <row r="132" spans="1:9" x14ac:dyDescent="0.2">
      <c r="A132" s="10" t="s">
        <v>2278</v>
      </c>
      <c r="B132" s="10">
        <v>5</v>
      </c>
      <c r="C132" s="10" t="s">
        <v>2307</v>
      </c>
      <c r="D132" s="10" t="s">
        <v>2308</v>
      </c>
      <c r="E132" s="10" t="s">
        <v>2309</v>
      </c>
      <c r="F132" s="10" t="s">
        <v>2310</v>
      </c>
      <c r="G132" s="10" t="s">
        <v>2311</v>
      </c>
      <c r="H132" s="10" t="s">
        <v>2312</v>
      </c>
      <c r="I132" s="10" t="s">
        <v>2313</v>
      </c>
    </row>
    <row r="133" spans="1:9" x14ac:dyDescent="0.2">
      <c r="A133" s="10" t="s">
        <v>2278</v>
      </c>
      <c r="B133" s="10">
        <v>6</v>
      </c>
      <c r="C133" s="10" t="s">
        <v>2314</v>
      </c>
      <c r="D133" s="10" t="s">
        <v>1834</v>
      </c>
      <c r="E133" s="10" t="s">
        <v>2205</v>
      </c>
      <c r="F133" s="10" t="s">
        <v>1930</v>
      </c>
      <c r="G133" s="10" t="s">
        <v>1837</v>
      </c>
      <c r="H133" s="10" t="s">
        <v>1838</v>
      </c>
      <c r="I133" s="10" t="s">
        <v>1839</v>
      </c>
    </row>
    <row r="134" spans="1:9" x14ac:dyDescent="0.2">
      <c r="A134" s="10" t="s">
        <v>2278</v>
      </c>
      <c r="B134" s="10">
        <v>7</v>
      </c>
      <c r="C134" s="10" t="s">
        <v>2315</v>
      </c>
      <c r="D134" s="10" t="s">
        <v>1841</v>
      </c>
      <c r="E134" s="10" t="s">
        <v>2207</v>
      </c>
      <c r="F134" s="10" t="s">
        <v>1931</v>
      </c>
      <c r="G134" s="10" t="s">
        <v>1844</v>
      </c>
      <c r="H134" s="10" t="s">
        <v>1845</v>
      </c>
      <c r="I134" s="10" t="s">
        <v>1846</v>
      </c>
    </row>
    <row r="135" spans="1:9" x14ac:dyDescent="0.2">
      <c r="A135" s="11"/>
      <c r="B135" s="11"/>
      <c r="C135" s="11"/>
      <c r="D135" s="11"/>
      <c r="E135" s="11"/>
      <c r="F135" s="11"/>
      <c r="G135" s="11"/>
      <c r="H135" s="11"/>
      <c r="I135" s="11"/>
    </row>
    <row r="136" spans="1:9" x14ac:dyDescent="0.2">
      <c r="A136" s="10" t="s">
        <v>2316</v>
      </c>
      <c r="B136" s="10">
        <v>1</v>
      </c>
      <c r="C136" s="10" t="s">
        <v>2317</v>
      </c>
      <c r="D136" s="10" t="s">
        <v>2318</v>
      </c>
      <c r="E136" s="10"/>
      <c r="F136" s="10"/>
      <c r="G136" s="10"/>
      <c r="H136" s="10"/>
      <c r="I136" s="10"/>
    </row>
    <row r="137" spans="1:9" x14ac:dyDescent="0.2">
      <c r="A137" s="10" t="s">
        <v>2316</v>
      </c>
      <c r="B137" s="10">
        <v>2</v>
      </c>
      <c r="C137" s="10" t="s">
        <v>2319</v>
      </c>
      <c r="D137" s="10" t="s">
        <v>2320</v>
      </c>
      <c r="E137" s="10"/>
      <c r="F137" s="10"/>
      <c r="G137" s="10"/>
      <c r="H137" s="10"/>
      <c r="I137" s="10"/>
    </row>
    <row r="138" spans="1:9" x14ac:dyDescent="0.2">
      <c r="A138" s="10" t="s">
        <v>2316</v>
      </c>
      <c r="B138" s="10">
        <v>3</v>
      </c>
      <c r="C138" s="10" t="s">
        <v>2321</v>
      </c>
      <c r="D138" s="10" t="s">
        <v>2322</v>
      </c>
      <c r="E138" s="10"/>
      <c r="F138" s="10"/>
      <c r="G138" s="10"/>
      <c r="H138" s="10"/>
      <c r="I138" s="10"/>
    </row>
    <row r="139" spans="1:9" x14ac:dyDescent="0.2">
      <c r="A139" s="10" t="s">
        <v>2316</v>
      </c>
      <c r="B139" s="10">
        <v>4</v>
      </c>
      <c r="C139" s="10" t="s">
        <v>2323</v>
      </c>
      <c r="D139" s="10" t="s">
        <v>2324</v>
      </c>
      <c r="E139" s="10"/>
      <c r="F139" s="10"/>
      <c r="G139" s="10"/>
      <c r="H139" s="10"/>
      <c r="I139" s="10"/>
    </row>
    <row r="140" spans="1:9" x14ac:dyDescent="0.2">
      <c r="A140" s="10" t="s">
        <v>2316</v>
      </c>
      <c r="B140" s="10">
        <v>5</v>
      </c>
      <c r="C140" s="10" t="s">
        <v>1833</v>
      </c>
      <c r="D140" s="10" t="s">
        <v>1834</v>
      </c>
      <c r="E140" s="10"/>
      <c r="F140" s="10"/>
      <c r="G140" s="10"/>
      <c r="H140" s="10"/>
      <c r="I140" s="10"/>
    </row>
    <row r="141" spans="1:9" x14ac:dyDescent="0.2">
      <c r="A141" s="10" t="s">
        <v>2316</v>
      </c>
      <c r="B141" s="10">
        <v>6</v>
      </c>
      <c r="C141" s="10" t="s">
        <v>1840</v>
      </c>
      <c r="D141" s="10" t="s">
        <v>1841</v>
      </c>
      <c r="E141" s="10"/>
      <c r="F141" s="10"/>
      <c r="G141" s="10"/>
      <c r="H141" s="10"/>
      <c r="I141" s="10"/>
    </row>
    <row r="142" spans="1:9" x14ac:dyDescent="0.2">
      <c r="A142" s="11"/>
      <c r="B142" s="11"/>
      <c r="C142" s="11"/>
      <c r="D142" s="2" t="s">
        <v>1841</v>
      </c>
    </row>
    <row r="143" spans="1:9" x14ac:dyDescent="0.2">
      <c r="A143" t="s">
        <v>2325</v>
      </c>
      <c r="B143">
        <v>1</v>
      </c>
      <c r="C143" t="s">
        <v>2326</v>
      </c>
      <c r="D143" t="s">
        <v>2327</v>
      </c>
      <c r="E143" t="s">
        <v>2328</v>
      </c>
      <c r="F143" t="s">
        <v>2329</v>
      </c>
      <c r="G143" t="s">
        <v>2330</v>
      </c>
      <c r="H143" t="s">
        <v>2331</v>
      </c>
      <c r="I143" t="s">
        <v>2332</v>
      </c>
    </row>
    <row r="144" spans="1:9" x14ac:dyDescent="0.2">
      <c r="A144" t="s">
        <v>2325</v>
      </c>
      <c r="B144">
        <v>2</v>
      </c>
      <c r="C144" t="s">
        <v>2333</v>
      </c>
      <c r="D144" t="s">
        <v>2334</v>
      </c>
      <c r="E144" t="s">
        <v>2335</v>
      </c>
      <c r="F144" t="s">
        <v>2336</v>
      </c>
      <c r="G144" t="s">
        <v>2337</v>
      </c>
      <c r="H144" t="s">
        <v>2338</v>
      </c>
      <c r="I144" t="s">
        <v>2339</v>
      </c>
    </row>
    <row r="145" spans="1:9" x14ac:dyDescent="0.2">
      <c r="A145" t="s">
        <v>2325</v>
      </c>
      <c r="B145">
        <v>3</v>
      </c>
      <c r="C145" t="s">
        <v>2340</v>
      </c>
      <c r="D145" t="s">
        <v>2341</v>
      </c>
      <c r="E145" t="s">
        <v>2342</v>
      </c>
      <c r="F145" t="s">
        <v>2343</v>
      </c>
      <c r="G145" t="s">
        <v>2344</v>
      </c>
      <c r="H145" t="s">
        <v>2345</v>
      </c>
      <c r="I145" t="s">
        <v>2346</v>
      </c>
    </row>
    <row r="146" spans="1:9" x14ac:dyDescent="0.2">
      <c r="A146" t="s">
        <v>2325</v>
      </c>
      <c r="B146">
        <v>4</v>
      </c>
      <c r="C146" t="s">
        <v>2347</v>
      </c>
      <c r="D146" t="s">
        <v>2348</v>
      </c>
      <c r="E146" t="s">
        <v>2349</v>
      </c>
      <c r="F146" t="s">
        <v>2350</v>
      </c>
      <c r="G146" t="s">
        <v>2351</v>
      </c>
      <c r="H146" t="s">
        <v>2352</v>
      </c>
      <c r="I146" t="s">
        <v>2353</v>
      </c>
    </row>
    <row r="147" spans="1:9" x14ac:dyDescent="0.2">
      <c r="A147" t="s">
        <v>2325</v>
      </c>
      <c r="B147">
        <v>5</v>
      </c>
      <c r="C147" t="s">
        <v>2354</v>
      </c>
      <c r="D147" t="s">
        <v>2355</v>
      </c>
      <c r="E147" t="s">
        <v>2356</v>
      </c>
      <c r="F147" t="s">
        <v>2357</v>
      </c>
      <c r="G147" t="s">
        <v>2358</v>
      </c>
      <c r="H147" t="s">
        <v>2359</v>
      </c>
      <c r="I147" t="s">
        <v>2360</v>
      </c>
    </row>
    <row r="148" spans="1:9" x14ac:dyDescent="0.2">
      <c r="A148" t="s">
        <v>2325</v>
      </c>
      <c r="B148">
        <v>6</v>
      </c>
      <c r="C148" t="s">
        <v>2361</v>
      </c>
      <c r="D148" t="s">
        <v>2362</v>
      </c>
      <c r="E148" t="s">
        <v>2363</v>
      </c>
      <c r="F148" t="s">
        <v>2364</v>
      </c>
      <c r="G148" t="s">
        <v>2365</v>
      </c>
      <c r="H148" t="s">
        <v>2366</v>
      </c>
      <c r="I148" t="s">
        <v>2367</v>
      </c>
    </row>
    <row r="149" spans="1:9" x14ac:dyDescent="0.2">
      <c r="A149" t="s">
        <v>2325</v>
      </c>
      <c r="B149">
        <v>7</v>
      </c>
      <c r="C149" t="s">
        <v>2368</v>
      </c>
      <c r="D149" t="s">
        <v>2369</v>
      </c>
      <c r="E149" t="s">
        <v>2370</v>
      </c>
      <c r="F149" t="s">
        <v>2371</v>
      </c>
      <c r="G149" t="s">
        <v>2372</v>
      </c>
      <c r="H149" t="s">
        <v>2373</v>
      </c>
      <c r="I149" t="s">
        <v>2374</v>
      </c>
    </row>
    <row r="150" spans="1:9" x14ac:dyDescent="0.2">
      <c r="A150" t="s">
        <v>2325</v>
      </c>
      <c r="B150">
        <v>8</v>
      </c>
      <c r="C150" t="s">
        <v>2375</v>
      </c>
      <c r="D150" t="s">
        <v>2376</v>
      </c>
      <c r="E150" t="s">
        <v>2377</v>
      </c>
      <c r="F150" t="s">
        <v>2378</v>
      </c>
      <c r="G150" t="s">
        <v>2379</v>
      </c>
      <c r="H150" t="s">
        <v>2380</v>
      </c>
      <c r="I150" t="s">
        <v>2374</v>
      </c>
    </row>
    <row r="151" spans="1:9" x14ac:dyDescent="0.2">
      <c r="A151" t="s">
        <v>2325</v>
      </c>
      <c r="B151">
        <v>9</v>
      </c>
      <c r="C151" t="s">
        <v>2381</v>
      </c>
      <c r="D151" t="s">
        <v>2382</v>
      </c>
      <c r="E151" t="s">
        <v>2383</v>
      </c>
      <c r="F151" t="s">
        <v>2384</v>
      </c>
      <c r="G151" t="s">
        <v>2385</v>
      </c>
      <c r="H151" t="s">
        <v>2386</v>
      </c>
      <c r="I151" t="s">
        <v>2387</v>
      </c>
    </row>
    <row r="152" spans="1:9" x14ac:dyDescent="0.2">
      <c r="A152" t="s">
        <v>2325</v>
      </c>
      <c r="B152">
        <v>10</v>
      </c>
      <c r="C152" t="s">
        <v>2388</v>
      </c>
      <c r="D152" t="s">
        <v>2389</v>
      </c>
      <c r="E152" t="s">
        <v>2390</v>
      </c>
      <c r="F152" t="s">
        <v>2391</v>
      </c>
      <c r="G152" t="s">
        <v>2392</v>
      </c>
      <c r="H152" t="s">
        <v>2393</v>
      </c>
      <c r="I152" t="s">
        <v>2394</v>
      </c>
    </row>
    <row r="153" spans="1:9" x14ac:dyDescent="0.2">
      <c r="A153" t="s">
        <v>2325</v>
      </c>
      <c r="B153">
        <v>11</v>
      </c>
      <c r="C153" t="s">
        <v>2395</v>
      </c>
      <c r="D153" t="s">
        <v>2396</v>
      </c>
      <c r="E153" t="s">
        <v>2397</v>
      </c>
      <c r="F153" t="s">
        <v>2398</v>
      </c>
      <c r="G153" t="s">
        <v>2399</v>
      </c>
      <c r="H153" t="s">
        <v>2400</v>
      </c>
      <c r="I153" t="s">
        <v>2401</v>
      </c>
    </row>
    <row r="154" spans="1:9" x14ac:dyDescent="0.2">
      <c r="A154" t="s">
        <v>2325</v>
      </c>
      <c r="B154">
        <v>12</v>
      </c>
      <c r="C154" t="s">
        <v>2402</v>
      </c>
      <c r="D154" t="s">
        <v>2403</v>
      </c>
      <c r="E154" t="s">
        <v>2404</v>
      </c>
      <c r="F154" t="s">
        <v>2405</v>
      </c>
      <c r="G154" t="s">
        <v>2406</v>
      </c>
      <c r="H154" t="s">
        <v>2407</v>
      </c>
      <c r="I154" t="s">
        <v>2408</v>
      </c>
    </row>
    <row r="155" spans="1:9" x14ac:dyDescent="0.2">
      <c r="A155" t="s">
        <v>2325</v>
      </c>
      <c r="B155">
        <v>13</v>
      </c>
      <c r="C155" t="s">
        <v>2409</v>
      </c>
      <c r="D155" t="s">
        <v>2410</v>
      </c>
      <c r="E155" t="s">
        <v>2411</v>
      </c>
      <c r="F155" t="s">
        <v>2412</v>
      </c>
      <c r="G155" t="s">
        <v>2413</v>
      </c>
      <c r="H155" t="s">
        <v>2414</v>
      </c>
      <c r="I155" t="s">
        <v>2415</v>
      </c>
    </row>
    <row r="156" spans="1:9" x14ac:dyDescent="0.2">
      <c r="A156" t="s">
        <v>2325</v>
      </c>
      <c r="B156">
        <v>14</v>
      </c>
      <c r="C156" t="s">
        <v>2416</v>
      </c>
      <c r="D156" t="s">
        <v>2417</v>
      </c>
      <c r="E156" t="s">
        <v>2418</v>
      </c>
      <c r="F156" t="s">
        <v>2419</v>
      </c>
      <c r="G156" t="s">
        <v>2420</v>
      </c>
      <c r="H156" t="s">
        <v>2421</v>
      </c>
      <c r="I156" t="s">
        <v>2422</v>
      </c>
    </row>
    <row r="157" spans="1:9" x14ac:dyDescent="0.2">
      <c r="A157" t="s">
        <v>2325</v>
      </c>
      <c r="B157">
        <v>15</v>
      </c>
      <c r="C157" t="s">
        <v>2423</v>
      </c>
      <c r="D157" t="s">
        <v>2424</v>
      </c>
      <c r="E157" t="s">
        <v>2425</v>
      </c>
      <c r="F157" t="s">
        <v>2424</v>
      </c>
      <c r="G157" t="s">
        <v>2426</v>
      </c>
      <c r="H157" t="s">
        <v>2427</v>
      </c>
      <c r="I157" t="s">
        <v>2428</v>
      </c>
    </row>
    <row r="158" spans="1:9" x14ac:dyDescent="0.2">
      <c r="A158" t="s">
        <v>2325</v>
      </c>
      <c r="B158">
        <v>16</v>
      </c>
      <c r="C158" t="s">
        <v>2429</v>
      </c>
      <c r="D158" t="s">
        <v>2430</v>
      </c>
      <c r="E158" t="s">
        <v>2431</v>
      </c>
      <c r="F158" t="s">
        <v>2432</v>
      </c>
      <c r="G158" t="s">
        <v>2433</v>
      </c>
      <c r="H158" t="s">
        <v>2434</v>
      </c>
      <c r="I158" t="s">
        <v>2435</v>
      </c>
    </row>
    <row r="159" spans="1:9" x14ac:dyDescent="0.2">
      <c r="A159" t="s">
        <v>2325</v>
      </c>
      <c r="B159">
        <v>17</v>
      </c>
      <c r="C159" t="s">
        <v>2436</v>
      </c>
      <c r="D159" t="s">
        <v>2437</v>
      </c>
      <c r="E159" t="s">
        <v>2438</v>
      </c>
      <c r="F159" t="s">
        <v>2439</v>
      </c>
      <c r="G159" t="s">
        <v>2440</v>
      </c>
      <c r="H159" t="s">
        <v>2441</v>
      </c>
      <c r="I159" t="s">
        <v>2442</v>
      </c>
    </row>
    <row r="160" spans="1:9" x14ac:dyDescent="0.2">
      <c r="A160" t="s">
        <v>2325</v>
      </c>
      <c r="B160">
        <v>18</v>
      </c>
      <c r="C160" t="s">
        <v>2443</v>
      </c>
      <c r="D160" t="s">
        <v>2444</v>
      </c>
      <c r="E160" t="s">
        <v>2445</v>
      </c>
      <c r="F160" t="s">
        <v>2446</v>
      </c>
      <c r="G160" t="s">
        <v>2447</v>
      </c>
      <c r="H160" t="s">
        <v>2448</v>
      </c>
      <c r="I160" t="s">
        <v>2449</v>
      </c>
    </row>
    <row r="161" spans="1:9" x14ac:dyDescent="0.2">
      <c r="A161" t="s">
        <v>2325</v>
      </c>
      <c r="B161">
        <v>19</v>
      </c>
      <c r="C161" t="s">
        <v>2450</v>
      </c>
      <c r="D161" t="s">
        <v>2451</v>
      </c>
      <c r="E161" t="s">
        <v>2452</v>
      </c>
      <c r="F161" t="s">
        <v>2453</v>
      </c>
      <c r="G161" t="s">
        <v>2454</v>
      </c>
      <c r="H161" t="s">
        <v>2455</v>
      </c>
      <c r="I161" t="s">
        <v>2456</v>
      </c>
    </row>
    <row r="162" spans="1:9" x14ac:dyDescent="0.2">
      <c r="A162" t="s">
        <v>2325</v>
      </c>
      <c r="B162">
        <v>20</v>
      </c>
      <c r="C162" t="s">
        <v>1840</v>
      </c>
      <c r="D162" t="s">
        <v>1841</v>
      </c>
      <c r="E162" t="s">
        <v>2207</v>
      </c>
      <c r="F162" t="s">
        <v>2457</v>
      </c>
      <c r="G162" t="s">
        <v>1844</v>
      </c>
      <c r="H162" t="s">
        <v>1845</v>
      </c>
      <c r="I162" t="s">
        <v>1846</v>
      </c>
    </row>
    <row r="164" spans="1:9" x14ac:dyDescent="0.2">
      <c r="A164" t="s">
        <v>2458</v>
      </c>
      <c r="B164">
        <v>1</v>
      </c>
      <c r="C164" t="s">
        <v>1869</v>
      </c>
      <c r="D164" t="s">
        <v>1870</v>
      </c>
      <c r="E164" t="s">
        <v>1871</v>
      </c>
      <c r="F164" t="s">
        <v>2459</v>
      </c>
      <c r="G164" t="s">
        <v>1870</v>
      </c>
      <c r="H164" t="s">
        <v>1874</v>
      </c>
      <c r="I164" t="s">
        <v>1875</v>
      </c>
    </row>
    <row r="165" spans="1:9" x14ac:dyDescent="0.2">
      <c r="A165" t="s">
        <v>2458</v>
      </c>
      <c r="B165">
        <v>2</v>
      </c>
      <c r="C165" t="s">
        <v>1876</v>
      </c>
      <c r="D165" t="s">
        <v>1877</v>
      </c>
      <c r="E165" t="s">
        <v>1878</v>
      </c>
      <c r="F165" t="s">
        <v>1879</v>
      </c>
      <c r="G165" t="s">
        <v>1880</v>
      </c>
      <c r="H165" t="s">
        <v>1881</v>
      </c>
      <c r="I165" t="s">
        <v>2460</v>
      </c>
    </row>
    <row r="166" spans="1:9" x14ac:dyDescent="0.2">
      <c r="A166" t="s">
        <v>2458</v>
      </c>
      <c r="B166">
        <v>3</v>
      </c>
      <c r="C166" t="s">
        <v>2461</v>
      </c>
      <c r="D166" t="s">
        <v>2462</v>
      </c>
      <c r="E166" t="s">
        <v>2463</v>
      </c>
      <c r="F166" t="s">
        <v>2464</v>
      </c>
      <c r="G166" t="s">
        <v>2465</v>
      </c>
      <c r="H166" t="s">
        <v>2466</v>
      </c>
      <c r="I166" t="s">
        <v>2467</v>
      </c>
    </row>
    <row r="167" spans="1:9" x14ac:dyDescent="0.2">
      <c r="A167" t="s">
        <v>2458</v>
      </c>
      <c r="B167">
        <v>4</v>
      </c>
      <c r="C167" t="s">
        <v>1833</v>
      </c>
      <c r="D167" t="s">
        <v>1834</v>
      </c>
      <c r="E167" t="s">
        <v>2205</v>
      </c>
      <c r="F167" t="s">
        <v>1930</v>
      </c>
      <c r="G167" t="s">
        <v>1837</v>
      </c>
      <c r="H167" t="s">
        <v>1838</v>
      </c>
      <c r="I167" t="s">
        <v>2468</v>
      </c>
    </row>
    <row r="168" spans="1:9" x14ac:dyDescent="0.2">
      <c r="A168" t="s">
        <v>2458</v>
      </c>
      <c r="B168">
        <v>5</v>
      </c>
      <c r="C168" t="s">
        <v>1840</v>
      </c>
      <c r="D168" t="s">
        <v>1841</v>
      </c>
      <c r="E168" t="s">
        <v>2207</v>
      </c>
      <c r="F168" t="s">
        <v>2457</v>
      </c>
      <c r="G168" t="s">
        <v>1844</v>
      </c>
      <c r="H168" t="s">
        <v>1845</v>
      </c>
      <c r="I168" t="s">
        <v>1846</v>
      </c>
    </row>
    <row r="170" spans="1:9" x14ac:dyDescent="0.2">
      <c r="A170" t="s">
        <v>2469</v>
      </c>
      <c r="B170">
        <v>1</v>
      </c>
      <c r="C170" t="s">
        <v>2470</v>
      </c>
      <c r="D170" s="2" t="s">
        <v>2471</v>
      </c>
      <c r="E170" s="2" t="s">
        <v>2472</v>
      </c>
      <c r="F170" s="2" t="s">
        <v>2473</v>
      </c>
      <c r="G170" s="2" t="s">
        <v>2474</v>
      </c>
      <c r="H170" s="2" t="s">
        <v>2475</v>
      </c>
      <c r="I170" s="2" t="s">
        <v>2476</v>
      </c>
    </row>
    <row r="171" spans="1:9" x14ac:dyDescent="0.2">
      <c r="A171" t="s">
        <v>2469</v>
      </c>
      <c r="B171">
        <v>2</v>
      </c>
      <c r="C171" t="s">
        <v>2477</v>
      </c>
      <c r="D171" s="2" t="s">
        <v>2478</v>
      </c>
      <c r="E171" s="2" t="s">
        <v>2479</v>
      </c>
      <c r="F171" s="2" t="s">
        <v>2480</v>
      </c>
      <c r="G171" s="2" t="s">
        <v>2481</v>
      </c>
      <c r="H171" s="2" t="s">
        <v>2482</v>
      </c>
      <c r="I171" s="2" t="s">
        <v>2483</v>
      </c>
    </row>
    <row r="172" spans="1:9" x14ac:dyDescent="0.2">
      <c r="A172" t="s">
        <v>2469</v>
      </c>
      <c r="B172">
        <v>3</v>
      </c>
      <c r="C172" t="s">
        <v>2484</v>
      </c>
      <c r="D172" s="2" t="s">
        <v>2485</v>
      </c>
      <c r="E172" s="2" t="s">
        <v>2486</v>
      </c>
      <c r="F172" s="2" t="s">
        <v>2487</v>
      </c>
      <c r="G172" s="2" t="s">
        <v>2488</v>
      </c>
      <c r="H172" s="2" t="s">
        <v>2489</v>
      </c>
      <c r="I172" s="2" t="s">
        <v>2490</v>
      </c>
    </row>
    <row r="173" spans="1:9" x14ac:dyDescent="0.2">
      <c r="A173" t="s">
        <v>2469</v>
      </c>
      <c r="B173">
        <v>4</v>
      </c>
      <c r="C173" t="s">
        <v>1833</v>
      </c>
      <c r="D173" t="s">
        <v>1834</v>
      </c>
      <c r="E173" t="s">
        <v>2205</v>
      </c>
      <c r="F173" t="s">
        <v>1930</v>
      </c>
      <c r="G173" t="s">
        <v>1837</v>
      </c>
      <c r="H173" t="s">
        <v>1838</v>
      </c>
      <c r="I173" t="s">
        <v>2468</v>
      </c>
    </row>
    <row r="174" spans="1:9" x14ac:dyDescent="0.2">
      <c r="A174" t="s">
        <v>2469</v>
      </c>
      <c r="B174">
        <v>5</v>
      </c>
      <c r="C174" t="s">
        <v>1840</v>
      </c>
      <c r="D174" t="s">
        <v>1841</v>
      </c>
      <c r="E174" t="s">
        <v>2207</v>
      </c>
      <c r="F174" t="s">
        <v>2457</v>
      </c>
      <c r="G174" t="s">
        <v>1844</v>
      </c>
      <c r="H174" t="s">
        <v>1845</v>
      </c>
      <c r="I174" t="s">
        <v>1846</v>
      </c>
    </row>
    <row r="176" spans="1:9" x14ac:dyDescent="0.2">
      <c r="A176" t="s">
        <v>2491</v>
      </c>
      <c r="B176">
        <v>1</v>
      </c>
      <c r="C176" t="s">
        <v>2492</v>
      </c>
      <c r="D176" t="s">
        <v>2493</v>
      </c>
      <c r="E176" t="s">
        <v>2494</v>
      </c>
      <c r="F176" t="s">
        <v>2495</v>
      </c>
      <c r="G176" t="s">
        <v>2496</v>
      </c>
      <c r="H176" t="s">
        <v>2497</v>
      </c>
      <c r="I176" t="s">
        <v>2498</v>
      </c>
    </row>
    <row r="177" spans="1:9" x14ac:dyDescent="0.2">
      <c r="A177" t="s">
        <v>2491</v>
      </c>
      <c r="B177">
        <v>2</v>
      </c>
      <c r="C177" t="s">
        <v>2499</v>
      </c>
      <c r="D177" t="s">
        <v>2500</v>
      </c>
      <c r="E177" t="s">
        <v>2501</v>
      </c>
      <c r="F177" t="s">
        <v>2502</v>
      </c>
      <c r="G177" t="s">
        <v>2503</v>
      </c>
      <c r="H177" t="s">
        <v>2504</v>
      </c>
      <c r="I177" t="s">
        <v>2505</v>
      </c>
    </row>
    <row r="178" spans="1:9" x14ac:dyDescent="0.2">
      <c r="A178" t="s">
        <v>2491</v>
      </c>
      <c r="B178">
        <v>3</v>
      </c>
      <c r="C178" t="s">
        <v>2506</v>
      </c>
      <c r="D178" t="s">
        <v>2507</v>
      </c>
      <c r="E178" t="s">
        <v>2508</v>
      </c>
      <c r="F178" t="s">
        <v>2509</v>
      </c>
      <c r="G178" t="s">
        <v>2510</v>
      </c>
      <c r="H178" t="s">
        <v>2511</v>
      </c>
      <c r="I178" t="s">
        <v>2512</v>
      </c>
    </row>
    <row r="179" spans="1:9" x14ac:dyDescent="0.2">
      <c r="A179" t="s">
        <v>2491</v>
      </c>
      <c r="B179">
        <v>4</v>
      </c>
      <c r="C179" t="s">
        <v>2513</v>
      </c>
      <c r="D179" t="s">
        <v>2514</v>
      </c>
      <c r="E179" t="s">
        <v>2515</v>
      </c>
      <c r="F179" t="s">
        <v>2516</v>
      </c>
      <c r="G179" t="s">
        <v>2517</v>
      </c>
      <c r="H179" t="s">
        <v>2518</v>
      </c>
      <c r="I179" t="s">
        <v>2519</v>
      </c>
    </row>
    <row r="180" spans="1:9" x14ac:dyDescent="0.2">
      <c r="A180" t="s">
        <v>2491</v>
      </c>
      <c r="B180">
        <v>5</v>
      </c>
      <c r="C180" t="s">
        <v>2520</v>
      </c>
      <c r="D180" t="s">
        <v>2521</v>
      </c>
      <c r="E180" t="s">
        <v>2522</v>
      </c>
      <c r="F180" t="s">
        <v>2523</v>
      </c>
      <c r="G180" t="s">
        <v>2521</v>
      </c>
      <c r="H180" t="s">
        <v>2524</v>
      </c>
      <c r="I180" t="s">
        <v>2525</v>
      </c>
    </row>
    <row r="181" spans="1:9" x14ac:dyDescent="0.2">
      <c r="A181" t="s">
        <v>2491</v>
      </c>
      <c r="B181" s="15">
        <v>6</v>
      </c>
      <c r="C181" t="s">
        <v>1833</v>
      </c>
      <c r="D181" t="s">
        <v>1834</v>
      </c>
      <c r="E181" t="s">
        <v>2205</v>
      </c>
      <c r="F181" t="s">
        <v>1930</v>
      </c>
      <c r="G181" t="s">
        <v>1837</v>
      </c>
      <c r="H181" t="s">
        <v>1838</v>
      </c>
      <c r="I181" t="s">
        <v>2468</v>
      </c>
    </row>
    <row r="182" spans="1:9" x14ac:dyDescent="0.2">
      <c r="A182" t="s">
        <v>2491</v>
      </c>
      <c r="B182" s="15">
        <v>7</v>
      </c>
      <c r="C182" t="s">
        <v>1840</v>
      </c>
      <c r="D182" t="s">
        <v>1841</v>
      </c>
      <c r="E182" t="s">
        <v>2526</v>
      </c>
      <c r="F182" t="s">
        <v>2457</v>
      </c>
      <c r="G182" t="s">
        <v>1844</v>
      </c>
      <c r="H182" t="s">
        <v>1845</v>
      </c>
      <c r="I182" t="s">
        <v>1846</v>
      </c>
    </row>
    <row r="184" spans="1:9" s="12" customFormat="1" x14ac:dyDescent="0.2">
      <c r="A184" s="14" t="s">
        <v>2527</v>
      </c>
      <c r="B184">
        <v>1</v>
      </c>
      <c r="C184" t="s">
        <v>2326</v>
      </c>
      <c r="D184" t="s">
        <v>2327</v>
      </c>
      <c r="E184" t="s">
        <v>2328</v>
      </c>
      <c r="F184" t="s">
        <v>2528</v>
      </c>
      <c r="G184" t="s">
        <v>2330</v>
      </c>
      <c r="H184" t="s">
        <v>2331</v>
      </c>
      <c r="I184" t="s">
        <v>2332</v>
      </c>
    </row>
    <row r="185" spans="1:9" s="12" customFormat="1" x14ac:dyDescent="0.2">
      <c r="A185" s="14" t="s">
        <v>2527</v>
      </c>
      <c r="B185">
        <v>2</v>
      </c>
      <c r="C185" t="s">
        <v>2333</v>
      </c>
      <c r="D185" t="s">
        <v>2529</v>
      </c>
      <c r="E185" t="s">
        <v>2335</v>
      </c>
      <c r="F185" t="s">
        <v>2336</v>
      </c>
      <c r="G185" t="s">
        <v>2337</v>
      </c>
      <c r="H185" t="s">
        <v>2338</v>
      </c>
      <c r="I185" t="s">
        <v>2339</v>
      </c>
    </row>
    <row r="186" spans="1:9" s="12" customFormat="1" x14ac:dyDescent="0.2">
      <c r="A186" s="14" t="s">
        <v>2527</v>
      </c>
      <c r="B186">
        <v>3</v>
      </c>
      <c r="C186" t="s">
        <v>2340</v>
      </c>
      <c r="D186" t="s">
        <v>2341</v>
      </c>
      <c r="E186" t="s">
        <v>2342</v>
      </c>
      <c r="F186" t="s">
        <v>2343</v>
      </c>
      <c r="G186" t="s">
        <v>2344</v>
      </c>
      <c r="H186" t="s">
        <v>2345</v>
      </c>
      <c r="I186" t="s">
        <v>2346</v>
      </c>
    </row>
    <row r="187" spans="1:9" s="12" customFormat="1" x14ac:dyDescent="0.2">
      <c r="A187" s="14" t="s">
        <v>2527</v>
      </c>
      <c r="B187">
        <v>4</v>
      </c>
      <c r="C187" t="s">
        <v>2347</v>
      </c>
      <c r="D187" t="s">
        <v>2530</v>
      </c>
      <c r="E187" t="s">
        <v>2349</v>
      </c>
      <c r="F187" t="s">
        <v>2531</v>
      </c>
      <c r="G187" t="s">
        <v>2351</v>
      </c>
      <c r="H187" t="s">
        <v>2352</v>
      </c>
      <c r="I187" t="s">
        <v>2353</v>
      </c>
    </row>
    <row r="188" spans="1:9" s="12" customFormat="1" x14ac:dyDescent="0.2">
      <c r="A188" s="14" t="s">
        <v>2527</v>
      </c>
      <c r="B188">
        <v>5</v>
      </c>
      <c r="C188" t="s">
        <v>2354</v>
      </c>
      <c r="D188" t="s">
        <v>2355</v>
      </c>
      <c r="E188" t="s">
        <v>2356</v>
      </c>
      <c r="F188" t="s">
        <v>2357</v>
      </c>
      <c r="G188" t="s">
        <v>2358</v>
      </c>
      <c r="H188" t="s">
        <v>2359</v>
      </c>
      <c r="I188" t="s">
        <v>2360</v>
      </c>
    </row>
    <row r="189" spans="1:9" s="12" customFormat="1" x14ac:dyDescent="0.2">
      <c r="A189" s="14" t="s">
        <v>2527</v>
      </c>
      <c r="B189">
        <v>6</v>
      </c>
      <c r="C189" t="s">
        <v>2361</v>
      </c>
      <c r="D189" t="s">
        <v>2362</v>
      </c>
      <c r="E189" t="s">
        <v>2363</v>
      </c>
      <c r="F189" t="s">
        <v>2364</v>
      </c>
      <c r="G189" t="s">
        <v>2365</v>
      </c>
      <c r="H189" t="s">
        <v>2366</v>
      </c>
      <c r="I189" t="s">
        <v>2367</v>
      </c>
    </row>
    <row r="190" spans="1:9" s="12" customFormat="1" x14ac:dyDescent="0.2">
      <c r="A190" s="14" t="s">
        <v>2527</v>
      </c>
      <c r="B190">
        <v>7</v>
      </c>
      <c r="C190" t="s">
        <v>2368</v>
      </c>
      <c r="D190" t="s">
        <v>2532</v>
      </c>
      <c r="E190" t="s">
        <v>2370</v>
      </c>
      <c r="F190" t="s">
        <v>2371</v>
      </c>
      <c r="G190" t="s">
        <v>2372</v>
      </c>
      <c r="H190" t="s">
        <v>2373</v>
      </c>
      <c r="I190" t="s">
        <v>2533</v>
      </c>
    </row>
    <row r="191" spans="1:9" s="12" customFormat="1" x14ac:dyDescent="0.2">
      <c r="A191" s="14" t="s">
        <v>2527</v>
      </c>
      <c r="B191">
        <v>8</v>
      </c>
      <c r="C191" t="s">
        <v>2375</v>
      </c>
      <c r="D191" t="s">
        <v>2376</v>
      </c>
      <c r="E191" t="s">
        <v>2377</v>
      </c>
      <c r="F191" t="s">
        <v>2378</v>
      </c>
      <c r="G191" t="s">
        <v>2379</v>
      </c>
      <c r="H191" t="s">
        <v>2380</v>
      </c>
      <c r="I191" t="s">
        <v>2374</v>
      </c>
    </row>
    <row r="192" spans="1:9" s="12" customFormat="1" x14ac:dyDescent="0.2">
      <c r="A192" s="14" t="s">
        <v>2527</v>
      </c>
      <c r="B192">
        <v>9</v>
      </c>
      <c r="C192" t="s">
        <v>2381</v>
      </c>
      <c r="D192" t="s">
        <v>2382</v>
      </c>
      <c r="E192" t="s">
        <v>2383</v>
      </c>
      <c r="F192" t="s">
        <v>2384</v>
      </c>
      <c r="G192" t="s">
        <v>2385</v>
      </c>
      <c r="H192" t="s">
        <v>2386</v>
      </c>
      <c r="I192" t="s">
        <v>2387</v>
      </c>
    </row>
    <row r="193" spans="1:9" s="12" customFormat="1" x14ac:dyDescent="0.2">
      <c r="A193" s="14" t="s">
        <v>2527</v>
      </c>
      <c r="B193">
        <v>10</v>
      </c>
      <c r="C193" t="s">
        <v>2388</v>
      </c>
      <c r="D193" t="s">
        <v>2534</v>
      </c>
      <c r="E193" t="s">
        <v>2390</v>
      </c>
      <c r="F193" t="s">
        <v>2535</v>
      </c>
      <c r="G193" t="s">
        <v>2392</v>
      </c>
      <c r="H193" t="s">
        <v>2393</v>
      </c>
      <c r="I193" t="s">
        <v>2394</v>
      </c>
    </row>
    <row r="194" spans="1:9" s="12" customFormat="1" x14ac:dyDescent="0.2">
      <c r="A194" s="14" t="s">
        <v>2527</v>
      </c>
      <c r="B194">
        <v>11</v>
      </c>
      <c r="C194" t="s">
        <v>2395</v>
      </c>
      <c r="D194" t="s">
        <v>2536</v>
      </c>
      <c r="E194" t="s">
        <v>2397</v>
      </c>
      <c r="F194" t="s">
        <v>2398</v>
      </c>
      <c r="G194" t="s">
        <v>2399</v>
      </c>
      <c r="H194" t="s">
        <v>2537</v>
      </c>
      <c r="I194" t="s">
        <v>2401</v>
      </c>
    </row>
    <row r="195" spans="1:9" s="12" customFormat="1" x14ac:dyDescent="0.2">
      <c r="A195" s="14" t="s">
        <v>2527</v>
      </c>
      <c r="B195">
        <v>12</v>
      </c>
      <c r="C195" t="s">
        <v>2402</v>
      </c>
      <c r="D195" t="s">
        <v>2538</v>
      </c>
      <c r="E195" t="s">
        <v>2404</v>
      </c>
      <c r="F195" t="s">
        <v>2405</v>
      </c>
      <c r="G195" t="s">
        <v>2406</v>
      </c>
      <c r="H195" t="s">
        <v>2407</v>
      </c>
      <c r="I195" t="s">
        <v>2408</v>
      </c>
    </row>
    <row r="196" spans="1:9" s="12" customFormat="1" x14ac:dyDescent="0.2">
      <c r="A196" s="14" t="s">
        <v>2527</v>
      </c>
      <c r="B196">
        <v>13</v>
      </c>
      <c r="C196" t="s">
        <v>2409</v>
      </c>
      <c r="D196" t="s">
        <v>2410</v>
      </c>
      <c r="E196" t="s">
        <v>2411</v>
      </c>
      <c r="F196" t="s">
        <v>2412</v>
      </c>
      <c r="G196" t="s">
        <v>2413</v>
      </c>
      <c r="H196" t="s">
        <v>2414</v>
      </c>
      <c r="I196" t="s">
        <v>2415</v>
      </c>
    </row>
    <row r="197" spans="1:9" s="12" customFormat="1" x14ac:dyDescent="0.2">
      <c r="A197" s="14" t="s">
        <v>2527</v>
      </c>
      <c r="B197">
        <v>14</v>
      </c>
      <c r="C197" t="s">
        <v>2416</v>
      </c>
      <c r="D197" t="s">
        <v>2539</v>
      </c>
      <c r="E197" t="s">
        <v>2418</v>
      </c>
      <c r="F197" t="s">
        <v>2419</v>
      </c>
      <c r="G197" t="s">
        <v>2540</v>
      </c>
      <c r="H197" t="s">
        <v>2421</v>
      </c>
      <c r="I197" t="s">
        <v>2422</v>
      </c>
    </row>
    <row r="198" spans="1:9" s="12" customFormat="1" x14ac:dyDescent="0.2">
      <c r="A198" s="14" t="s">
        <v>2527</v>
      </c>
      <c r="B198" s="14">
        <v>15</v>
      </c>
      <c r="C198" s="14" t="s">
        <v>2423</v>
      </c>
      <c r="D198" t="s">
        <v>2424</v>
      </c>
      <c r="E198" t="s">
        <v>2425</v>
      </c>
      <c r="F198" t="s">
        <v>2541</v>
      </c>
      <c r="G198" t="s">
        <v>2426</v>
      </c>
      <c r="H198" t="s">
        <v>2427</v>
      </c>
      <c r="I198" t="s">
        <v>2428</v>
      </c>
    </row>
    <row r="199" spans="1:9" s="12" customFormat="1" x14ac:dyDescent="0.2">
      <c r="A199" s="14" t="s">
        <v>2527</v>
      </c>
      <c r="B199" s="14">
        <v>16</v>
      </c>
      <c r="C199" s="14" t="s">
        <v>2429</v>
      </c>
      <c r="D199" t="s">
        <v>2430</v>
      </c>
      <c r="E199" t="s">
        <v>2431</v>
      </c>
      <c r="F199" t="s">
        <v>2432</v>
      </c>
      <c r="G199" t="s">
        <v>2433</v>
      </c>
      <c r="H199" t="s">
        <v>2434</v>
      </c>
      <c r="I199" t="s">
        <v>2435</v>
      </c>
    </row>
    <row r="200" spans="1:9" s="12" customFormat="1" x14ac:dyDescent="0.2">
      <c r="A200" s="14" t="s">
        <v>2527</v>
      </c>
      <c r="B200" s="14">
        <v>17</v>
      </c>
      <c r="C200" s="14" t="s">
        <v>2436</v>
      </c>
      <c r="D200" t="s">
        <v>2542</v>
      </c>
      <c r="E200" t="s">
        <v>2438</v>
      </c>
      <c r="F200" t="s">
        <v>2543</v>
      </c>
      <c r="G200" t="s">
        <v>2440</v>
      </c>
      <c r="H200" t="s">
        <v>2544</v>
      </c>
      <c r="I200" t="s">
        <v>2442</v>
      </c>
    </row>
    <row r="201" spans="1:9" s="12" customFormat="1" x14ac:dyDescent="0.2">
      <c r="A201" s="14" t="s">
        <v>2527</v>
      </c>
      <c r="B201" s="14">
        <v>18</v>
      </c>
      <c r="C201" s="14" t="s">
        <v>2545</v>
      </c>
      <c r="D201" t="s">
        <v>2444</v>
      </c>
      <c r="E201" t="s">
        <v>2546</v>
      </c>
      <c r="F201" t="s">
        <v>2446</v>
      </c>
      <c r="G201" t="s">
        <v>2447</v>
      </c>
      <c r="H201" t="s">
        <v>2547</v>
      </c>
      <c r="I201" t="s">
        <v>2449</v>
      </c>
    </row>
    <row r="202" spans="1:9" s="12" customFormat="1" x14ac:dyDescent="0.2">
      <c r="A202" s="14" t="s">
        <v>2527</v>
      </c>
      <c r="B202" s="14">
        <v>19</v>
      </c>
      <c r="C202" s="14" t="s">
        <v>2548</v>
      </c>
      <c r="D202" s="14" t="s">
        <v>2549</v>
      </c>
      <c r="E202" s="14" t="s">
        <v>2550</v>
      </c>
      <c r="F202" s="14" t="s">
        <v>2551</v>
      </c>
      <c r="G202" s="14" t="s">
        <v>2552</v>
      </c>
      <c r="H202" s="14" t="s">
        <v>2553</v>
      </c>
      <c r="I202" s="14" t="s">
        <v>2456</v>
      </c>
    </row>
    <row r="203" spans="1:9" s="12" customFormat="1" x14ac:dyDescent="0.2">
      <c r="A203" s="14" t="s">
        <v>2527</v>
      </c>
      <c r="B203" s="15">
        <v>20</v>
      </c>
      <c r="C203" s="14" t="s">
        <v>1833</v>
      </c>
      <c r="D203" t="s">
        <v>1834</v>
      </c>
      <c r="E203" t="s">
        <v>2205</v>
      </c>
      <c r="F203" t="s">
        <v>2554</v>
      </c>
      <c r="G203" t="s">
        <v>1837</v>
      </c>
      <c r="H203" t="s">
        <v>1838</v>
      </c>
      <c r="I203" t="s">
        <v>1839</v>
      </c>
    </row>
    <row r="204" spans="1:9" s="12" customFormat="1" x14ac:dyDescent="0.2">
      <c r="A204" s="14" t="s">
        <v>2527</v>
      </c>
      <c r="B204" s="15">
        <v>21</v>
      </c>
      <c r="C204" s="14" t="s">
        <v>1840</v>
      </c>
      <c r="D204" t="s">
        <v>1841</v>
      </c>
      <c r="E204" t="s">
        <v>2207</v>
      </c>
      <c r="F204" t="s">
        <v>2457</v>
      </c>
      <c r="G204" t="s">
        <v>1844</v>
      </c>
      <c r="H204" t="s">
        <v>1845</v>
      </c>
      <c r="I204" t="s">
        <v>1846</v>
      </c>
    </row>
    <row r="205" spans="1:9" s="12" customFormat="1" x14ac:dyDescent="0.2"/>
    <row r="206" spans="1:9" s="12" customFormat="1" x14ac:dyDescent="0.2">
      <c r="A206" s="14" t="s">
        <v>2555</v>
      </c>
      <c r="B206">
        <v>1</v>
      </c>
      <c r="C206" t="s">
        <v>2326</v>
      </c>
      <c r="D206" t="s">
        <v>2327</v>
      </c>
      <c r="E206" t="s">
        <v>2328</v>
      </c>
      <c r="F206" t="s">
        <v>2528</v>
      </c>
      <c r="G206" t="s">
        <v>2330</v>
      </c>
      <c r="H206" t="s">
        <v>2331</v>
      </c>
      <c r="I206" t="s">
        <v>2332</v>
      </c>
    </row>
    <row r="207" spans="1:9" s="12" customFormat="1" x14ac:dyDescent="0.2">
      <c r="A207" s="14" t="s">
        <v>2555</v>
      </c>
      <c r="B207">
        <v>2</v>
      </c>
      <c r="C207" t="s">
        <v>2333</v>
      </c>
      <c r="D207" t="s">
        <v>2529</v>
      </c>
      <c r="E207" t="s">
        <v>2335</v>
      </c>
      <c r="F207" t="s">
        <v>2336</v>
      </c>
      <c r="G207" t="s">
        <v>2337</v>
      </c>
      <c r="H207" t="s">
        <v>2338</v>
      </c>
      <c r="I207" t="s">
        <v>2339</v>
      </c>
    </row>
    <row r="208" spans="1:9" s="12" customFormat="1" x14ac:dyDescent="0.2">
      <c r="A208" s="14" t="s">
        <v>2555</v>
      </c>
      <c r="B208">
        <v>3</v>
      </c>
      <c r="C208" t="s">
        <v>2340</v>
      </c>
      <c r="D208" t="s">
        <v>2341</v>
      </c>
      <c r="E208" t="s">
        <v>2342</v>
      </c>
      <c r="F208" t="s">
        <v>2343</v>
      </c>
      <c r="G208" t="s">
        <v>2344</v>
      </c>
      <c r="H208" t="s">
        <v>2345</v>
      </c>
      <c r="I208" t="s">
        <v>2346</v>
      </c>
    </row>
    <row r="209" spans="1:9" s="12" customFormat="1" x14ac:dyDescent="0.2">
      <c r="A209" s="14" t="s">
        <v>2555</v>
      </c>
      <c r="B209">
        <v>4</v>
      </c>
      <c r="C209" t="s">
        <v>2347</v>
      </c>
      <c r="D209" t="s">
        <v>2530</v>
      </c>
      <c r="E209" t="s">
        <v>2349</v>
      </c>
      <c r="F209" t="s">
        <v>2531</v>
      </c>
      <c r="G209" t="s">
        <v>2351</v>
      </c>
      <c r="H209" t="s">
        <v>2352</v>
      </c>
      <c r="I209" t="s">
        <v>2353</v>
      </c>
    </row>
    <row r="210" spans="1:9" s="12" customFormat="1" x14ac:dyDescent="0.2">
      <c r="A210" s="14" t="s">
        <v>2555</v>
      </c>
      <c r="B210">
        <v>5</v>
      </c>
      <c r="C210" t="s">
        <v>2354</v>
      </c>
      <c r="D210" t="s">
        <v>2355</v>
      </c>
      <c r="E210" t="s">
        <v>2356</v>
      </c>
      <c r="F210" t="s">
        <v>2556</v>
      </c>
      <c r="G210" t="s">
        <v>2358</v>
      </c>
      <c r="H210" t="s">
        <v>2359</v>
      </c>
      <c r="I210" t="s">
        <v>2360</v>
      </c>
    </row>
    <row r="211" spans="1:9" s="12" customFormat="1" x14ac:dyDescent="0.2">
      <c r="A211" s="14" t="s">
        <v>2555</v>
      </c>
      <c r="B211">
        <v>6</v>
      </c>
      <c r="C211" t="s">
        <v>2361</v>
      </c>
      <c r="D211" t="s">
        <v>2362</v>
      </c>
      <c r="E211" t="s">
        <v>2363</v>
      </c>
      <c r="F211" t="s">
        <v>2364</v>
      </c>
      <c r="G211" t="s">
        <v>2365</v>
      </c>
      <c r="H211" t="s">
        <v>2557</v>
      </c>
      <c r="I211" t="s">
        <v>2367</v>
      </c>
    </row>
    <row r="212" spans="1:9" s="12" customFormat="1" x14ac:dyDescent="0.2">
      <c r="A212" s="14" t="s">
        <v>2555</v>
      </c>
      <c r="B212">
        <v>7</v>
      </c>
      <c r="C212" t="s">
        <v>2368</v>
      </c>
      <c r="D212" t="s">
        <v>2532</v>
      </c>
      <c r="E212" t="s">
        <v>2370</v>
      </c>
      <c r="F212" t="s">
        <v>2371</v>
      </c>
      <c r="G212" t="s">
        <v>2372</v>
      </c>
      <c r="H212" t="s">
        <v>2373</v>
      </c>
      <c r="I212" t="s">
        <v>2533</v>
      </c>
    </row>
    <row r="213" spans="1:9" s="12" customFormat="1" x14ac:dyDescent="0.2">
      <c r="A213" s="14" t="s">
        <v>2555</v>
      </c>
      <c r="B213">
        <v>8</v>
      </c>
      <c r="C213" t="s">
        <v>2375</v>
      </c>
      <c r="D213" t="s">
        <v>2376</v>
      </c>
      <c r="E213" t="s">
        <v>2377</v>
      </c>
      <c r="F213" t="s">
        <v>2378</v>
      </c>
      <c r="G213" t="s">
        <v>2379</v>
      </c>
      <c r="H213" t="s">
        <v>2558</v>
      </c>
      <c r="I213" t="s">
        <v>2374</v>
      </c>
    </row>
    <row r="214" spans="1:9" s="12" customFormat="1" x14ac:dyDescent="0.2">
      <c r="A214" s="14" t="s">
        <v>2555</v>
      </c>
      <c r="B214">
        <v>9</v>
      </c>
      <c r="C214" t="s">
        <v>2381</v>
      </c>
      <c r="D214" t="s">
        <v>2382</v>
      </c>
      <c r="E214" t="s">
        <v>2383</v>
      </c>
      <c r="F214" t="s">
        <v>2384</v>
      </c>
      <c r="G214" t="s">
        <v>2385</v>
      </c>
      <c r="H214" t="s">
        <v>2386</v>
      </c>
      <c r="I214" t="s">
        <v>2559</v>
      </c>
    </row>
    <row r="215" spans="1:9" s="12" customFormat="1" x14ac:dyDescent="0.2">
      <c r="A215" s="14" t="s">
        <v>2555</v>
      </c>
      <c r="B215">
        <v>10</v>
      </c>
      <c r="C215" t="s">
        <v>2388</v>
      </c>
      <c r="D215" t="s">
        <v>2534</v>
      </c>
      <c r="E215" t="s">
        <v>2390</v>
      </c>
      <c r="F215" t="s">
        <v>2391</v>
      </c>
      <c r="G215" t="s">
        <v>2392</v>
      </c>
      <c r="H215" t="s">
        <v>2393</v>
      </c>
      <c r="I215" t="s">
        <v>2394</v>
      </c>
    </row>
    <row r="216" spans="1:9" s="12" customFormat="1" x14ac:dyDescent="0.2">
      <c r="A216" s="14" t="s">
        <v>2555</v>
      </c>
      <c r="B216">
        <v>11</v>
      </c>
      <c r="C216" t="s">
        <v>2395</v>
      </c>
      <c r="D216" t="s">
        <v>2536</v>
      </c>
      <c r="E216" t="s">
        <v>2397</v>
      </c>
      <c r="F216" t="s">
        <v>2560</v>
      </c>
      <c r="G216" t="s">
        <v>2399</v>
      </c>
      <c r="H216" t="s">
        <v>2537</v>
      </c>
      <c r="I216" t="s">
        <v>2401</v>
      </c>
    </row>
    <row r="217" spans="1:9" s="12" customFormat="1" x14ac:dyDescent="0.2">
      <c r="A217" s="14" t="s">
        <v>2555</v>
      </c>
      <c r="B217">
        <v>12</v>
      </c>
      <c r="C217" t="s">
        <v>2402</v>
      </c>
      <c r="D217" t="s">
        <v>2538</v>
      </c>
      <c r="E217" t="s">
        <v>2404</v>
      </c>
      <c r="F217" t="s">
        <v>2405</v>
      </c>
      <c r="G217" t="s">
        <v>2406</v>
      </c>
      <c r="H217" t="s">
        <v>2407</v>
      </c>
      <c r="I217" t="s">
        <v>2408</v>
      </c>
    </row>
    <row r="218" spans="1:9" s="12" customFormat="1" x14ac:dyDescent="0.2">
      <c r="A218" s="14" t="s">
        <v>2555</v>
      </c>
      <c r="B218">
        <v>13</v>
      </c>
      <c r="C218" t="s">
        <v>2409</v>
      </c>
      <c r="D218" t="s">
        <v>2410</v>
      </c>
      <c r="E218" t="s">
        <v>2411</v>
      </c>
      <c r="F218" t="s">
        <v>2412</v>
      </c>
      <c r="G218" t="s">
        <v>2561</v>
      </c>
      <c r="H218" t="s">
        <v>2414</v>
      </c>
      <c r="I218" t="s">
        <v>2415</v>
      </c>
    </row>
    <row r="219" spans="1:9" s="12" customFormat="1" x14ac:dyDescent="0.2">
      <c r="A219" s="14" t="s">
        <v>2555</v>
      </c>
      <c r="B219">
        <v>14</v>
      </c>
      <c r="C219" t="s">
        <v>2416</v>
      </c>
      <c r="D219" t="s">
        <v>2539</v>
      </c>
      <c r="E219" t="s">
        <v>2418</v>
      </c>
      <c r="F219" t="s">
        <v>2419</v>
      </c>
      <c r="G219" t="s">
        <v>2540</v>
      </c>
      <c r="H219" t="s">
        <v>2421</v>
      </c>
      <c r="I219" t="s">
        <v>2422</v>
      </c>
    </row>
    <row r="220" spans="1:9" s="12" customFormat="1" x14ac:dyDescent="0.2">
      <c r="A220" s="14" t="s">
        <v>2555</v>
      </c>
      <c r="B220" s="14">
        <v>15</v>
      </c>
      <c r="C220" s="14" t="s">
        <v>2423</v>
      </c>
      <c r="D220" t="s">
        <v>2424</v>
      </c>
      <c r="E220" t="s">
        <v>2425</v>
      </c>
      <c r="F220" t="s">
        <v>2541</v>
      </c>
      <c r="G220" t="s">
        <v>2426</v>
      </c>
      <c r="H220" t="s">
        <v>2427</v>
      </c>
      <c r="I220" t="s">
        <v>2428</v>
      </c>
    </row>
    <row r="221" spans="1:9" s="12" customFormat="1" x14ac:dyDescent="0.2">
      <c r="A221" s="14" t="s">
        <v>2555</v>
      </c>
      <c r="B221" s="14">
        <v>16</v>
      </c>
      <c r="C221" s="14" t="s">
        <v>2429</v>
      </c>
      <c r="D221" t="s">
        <v>2430</v>
      </c>
      <c r="E221" t="s">
        <v>2431</v>
      </c>
      <c r="F221" t="s">
        <v>2432</v>
      </c>
      <c r="G221" t="s">
        <v>2433</v>
      </c>
      <c r="H221" t="s">
        <v>2434</v>
      </c>
      <c r="I221" t="s">
        <v>2435</v>
      </c>
    </row>
    <row r="222" spans="1:9" s="12" customFormat="1" x14ac:dyDescent="0.2">
      <c r="A222" s="14" t="s">
        <v>2555</v>
      </c>
      <c r="B222" s="14">
        <v>17</v>
      </c>
      <c r="C222" s="14" t="s">
        <v>2436</v>
      </c>
      <c r="D222" t="s">
        <v>2542</v>
      </c>
      <c r="E222" t="s">
        <v>2438</v>
      </c>
      <c r="F222" t="s">
        <v>2562</v>
      </c>
      <c r="G222" t="s">
        <v>2440</v>
      </c>
      <c r="H222" t="s">
        <v>2441</v>
      </c>
      <c r="I222" t="s">
        <v>2442</v>
      </c>
    </row>
    <row r="223" spans="1:9" s="12" customFormat="1" x14ac:dyDescent="0.2">
      <c r="A223" s="14" t="s">
        <v>2555</v>
      </c>
      <c r="B223" s="14">
        <v>18</v>
      </c>
      <c r="C223" s="14" t="s">
        <v>2563</v>
      </c>
      <c r="D223" t="s">
        <v>2444</v>
      </c>
      <c r="E223" t="s">
        <v>2546</v>
      </c>
      <c r="F223" t="s">
        <v>2446</v>
      </c>
      <c r="G223" t="s">
        <v>2447</v>
      </c>
      <c r="H223" t="s">
        <v>2448</v>
      </c>
      <c r="I223" t="s">
        <v>2449</v>
      </c>
    </row>
    <row r="224" spans="1:9" s="12" customFormat="1" x14ac:dyDescent="0.2">
      <c r="A224" s="14" t="s">
        <v>2555</v>
      </c>
      <c r="B224" s="14">
        <v>19</v>
      </c>
      <c r="C224" s="14" t="s">
        <v>2564</v>
      </c>
      <c r="D224" s="14" t="s">
        <v>2565</v>
      </c>
      <c r="E224" s="14" t="s">
        <v>2550</v>
      </c>
      <c r="F224" s="14" t="s">
        <v>2551</v>
      </c>
      <c r="G224" s="14" t="s">
        <v>2552</v>
      </c>
      <c r="H224" s="14" t="s">
        <v>2455</v>
      </c>
      <c r="I224" s="14" t="s">
        <v>2456</v>
      </c>
    </row>
    <row r="225" spans="1:9" s="12" customFormat="1" x14ac:dyDescent="0.2">
      <c r="A225" s="14" t="s">
        <v>2555</v>
      </c>
      <c r="B225" s="15">
        <v>20</v>
      </c>
      <c r="C225" s="14" t="s">
        <v>1833</v>
      </c>
      <c r="D225" t="s">
        <v>1834</v>
      </c>
      <c r="E225" t="s">
        <v>2205</v>
      </c>
      <c r="F225" t="s">
        <v>2554</v>
      </c>
      <c r="G225" t="s">
        <v>1837</v>
      </c>
      <c r="H225" t="s">
        <v>1838</v>
      </c>
      <c r="I225" t="s">
        <v>1839</v>
      </c>
    </row>
    <row r="226" spans="1:9" s="12" customFormat="1" x14ac:dyDescent="0.2">
      <c r="A226" s="14" t="s">
        <v>2555</v>
      </c>
      <c r="B226" s="15">
        <v>21</v>
      </c>
      <c r="C226" s="14" t="s">
        <v>1840</v>
      </c>
      <c r="D226" t="s">
        <v>1841</v>
      </c>
      <c r="E226" t="s">
        <v>2207</v>
      </c>
      <c r="F226" t="s">
        <v>2457</v>
      </c>
      <c r="G226" t="s">
        <v>1844</v>
      </c>
      <c r="H226" t="s">
        <v>1845</v>
      </c>
      <c r="I226" t="s">
        <v>1846</v>
      </c>
    </row>
    <row r="227" spans="1:9" s="9" customFormat="1" x14ac:dyDescent="0.2"/>
    <row r="228" spans="1:9" x14ac:dyDescent="0.2">
      <c r="A228" t="s">
        <v>585</v>
      </c>
      <c r="B228" t="s">
        <v>2566</v>
      </c>
      <c r="C228" t="s">
        <v>2567</v>
      </c>
      <c r="D228" t="s">
        <v>2568</v>
      </c>
      <c r="E228" t="s">
        <v>2569</v>
      </c>
      <c r="F228" t="s">
        <v>2570</v>
      </c>
      <c r="G228" t="s">
        <v>2571</v>
      </c>
      <c r="H228" t="s">
        <v>2572</v>
      </c>
      <c r="I228" t="s">
        <v>2573</v>
      </c>
    </row>
    <row r="229" spans="1:9" x14ac:dyDescent="0.2">
      <c r="A229" t="s">
        <v>585</v>
      </c>
      <c r="B229" t="s">
        <v>2574</v>
      </c>
      <c r="C229" t="s">
        <v>2575</v>
      </c>
      <c r="D229" t="s">
        <v>2576</v>
      </c>
      <c r="E229" t="s">
        <v>2577</v>
      </c>
      <c r="F229" t="s">
        <v>2578</v>
      </c>
      <c r="G229" t="s">
        <v>2579</v>
      </c>
      <c r="H229" t="s">
        <v>2580</v>
      </c>
      <c r="I229" t="s">
        <v>2581</v>
      </c>
    </row>
    <row r="230" spans="1:9" x14ac:dyDescent="0.2">
      <c r="A230" t="s">
        <v>585</v>
      </c>
      <c r="B230" t="s">
        <v>2582</v>
      </c>
      <c r="C230" t="s">
        <v>2583</v>
      </c>
      <c r="D230" t="s">
        <v>2584</v>
      </c>
      <c r="E230" t="s">
        <v>2585</v>
      </c>
      <c r="F230" t="s">
        <v>2586</v>
      </c>
      <c r="G230" t="s">
        <v>2587</v>
      </c>
      <c r="H230" t="s">
        <v>2588</v>
      </c>
      <c r="I230" t="s">
        <v>2589</v>
      </c>
    </row>
    <row r="231" spans="1:9" x14ac:dyDescent="0.2">
      <c r="A231" t="s">
        <v>585</v>
      </c>
      <c r="B231" t="s">
        <v>2590</v>
      </c>
      <c r="C231" t="s">
        <v>2591</v>
      </c>
      <c r="D231" t="s">
        <v>2592</v>
      </c>
      <c r="E231" t="s">
        <v>2593</v>
      </c>
      <c r="F231" t="s">
        <v>2594</v>
      </c>
      <c r="G231" t="s">
        <v>2595</v>
      </c>
      <c r="H231" t="s">
        <v>2596</v>
      </c>
      <c r="I231" t="s">
        <v>2597</v>
      </c>
    </row>
    <row r="232" spans="1:9" x14ac:dyDescent="0.2">
      <c r="A232" t="s">
        <v>585</v>
      </c>
      <c r="B232" t="s">
        <v>2598</v>
      </c>
      <c r="C232" t="s">
        <v>2599</v>
      </c>
      <c r="D232" t="s">
        <v>2600</v>
      </c>
      <c r="E232" t="s">
        <v>2601</v>
      </c>
      <c r="F232" t="s">
        <v>2602</v>
      </c>
      <c r="G232" t="s">
        <v>2603</v>
      </c>
      <c r="H232" t="s">
        <v>2604</v>
      </c>
      <c r="I232" t="s">
        <v>2605</v>
      </c>
    </row>
    <row r="233" spans="1:9" x14ac:dyDescent="0.2">
      <c r="A233" t="s">
        <v>585</v>
      </c>
      <c r="B233" t="s">
        <v>2606</v>
      </c>
      <c r="C233" t="s">
        <v>2607</v>
      </c>
      <c r="D233" t="s">
        <v>2608</v>
      </c>
      <c r="E233" t="s">
        <v>2609</v>
      </c>
      <c r="F233" t="s">
        <v>2610</v>
      </c>
      <c r="G233" t="s">
        <v>2611</v>
      </c>
      <c r="H233" t="s">
        <v>2612</v>
      </c>
      <c r="I233" t="s">
        <v>2613</v>
      </c>
    </row>
    <row r="234" spans="1:9" x14ac:dyDescent="0.2">
      <c r="A234" t="s">
        <v>585</v>
      </c>
      <c r="B234" t="s">
        <v>2614</v>
      </c>
      <c r="C234" t="s">
        <v>2615</v>
      </c>
      <c r="D234" t="s">
        <v>2616</v>
      </c>
      <c r="E234" t="s">
        <v>2617</v>
      </c>
      <c r="F234" t="s">
        <v>2618</v>
      </c>
      <c r="G234" t="s">
        <v>2619</v>
      </c>
      <c r="H234" t="s">
        <v>2620</v>
      </c>
      <c r="I234" t="s">
        <v>2621</v>
      </c>
    </row>
    <row r="235" spans="1:9" x14ac:dyDescent="0.2">
      <c r="A235" t="s">
        <v>585</v>
      </c>
      <c r="B235" t="s">
        <v>2622</v>
      </c>
      <c r="C235" t="s">
        <v>2623</v>
      </c>
      <c r="D235" t="s">
        <v>2624</v>
      </c>
      <c r="E235" t="s">
        <v>2625</v>
      </c>
      <c r="F235" t="s">
        <v>2626</v>
      </c>
      <c r="G235" t="s">
        <v>2627</v>
      </c>
      <c r="H235" t="s">
        <v>2628</v>
      </c>
      <c r="I235" t="s">
        <v>2629</v>
      </c>
    </row>
    <row r="236" spans="1:9" x14ac:dyDescent="0.2">
      <c r="A236" t="s">
        <v>585</v>
      </c>
      <c r="B236" t="s">
        <v>2630</v>
      </c>
      <c r="C236" t="s">
        <v>2631</v>
      </c>
      <c r="D236" t="s">
        <v>2632</v>
      </c>
      <c r="E236" t="s">
        <v>2633</v>
      </c>
      <c r="F236" t="s">
        <v>2634</v>
      </c>
      <c r="G236" t="s">
        <v>2635</v>
      </c>
      <c r="H236" t="s">
        <v>2636</v>
      </c>
      <c r="I236" t="s">
        <v>2637</v>
      </c>
    </row>
    <row r="237" spans="1:9" x14ac:dyDescent="0.2">
      <c r="A237" t="s">
        <v>585</v>
      </c>
      <c r="B237" t="s">
        <v>2638</v>
      </c>
      <c r="C237" t="s">
        <v>2639</v>
      </c>
      <c r="D237" t="s">
        <v>2640</v>
      </c>
      <c r="E237" t="s">
        <v>2641</v>
      </c>
      <c r="F237" t="s">
        <v>2642</v>
      </c>
      <c r="G237" t="s">
        <v>2643</v>
      </c>
      <c r="H237" t="s">
        <v>2644</v>
      </c>
      <c r="I237" t="s">
        <v>2645</v>
      </c>
    </row>
    <row r="238" spans="1:9" x14ac:dyDescent="0.2">
      <c r="A238" t="s">
        <v>585</v>
      </c>
      <c r="B238" t="s">
        <v>2646</v>
      </c>
      <c r="C238" t="s">
        <v>2647</v>
      </c>
      <c r="D238" t="s">
        <v>2648</v>
      </c>
      <c r="E238" t="s">
        <v>2649</v>
      </c>
      <c r="F238" t="s">
        <v>2650</v>
      </c>
      <c r="G238" t="s">
        <v>2651</v>
      </c>
      <c r="H238" t="s">
        <v>2652</v>
      </c>
      <c r="I238" t="s">
        <v>2653</v>
      </c>
    </row>
    <row r="239" spans="1:9" x14ac:dyDescent="0.2">
      <c r="A239" t="s">
        <v>585</v>
      </c>
      <c r="B239" t="s">
        <v>2654</v>
      </c>
      <c r="C239" t="s">
        <v>2655</v>
      </c>
      <c r="D239" t="s">
        <v>2656</v>
      </c>
      <c r="E239" t="s">
        <v>2657</v>
      </c>
      <c r="F239" t="s">
        <v>2658</v>
      </c>
      <c r="G239" t="s">
        <v>2659</v>
      </c>
      <c r="H239" t="s">
        <v>2660</v>
      </c>
      <c r="I239" t="s">
        <v>2661</v>
      </c>
    </row>
    <row r="240" spans="1:9" x14ac:dyDescent="0.2">
      <c r="A240" t="s">
        <v>585</v>
      </c>
      <c r="B240" t="s">
        <v>2662</v>
      </c>
      <c r="C240" t="s">
        <v>2663</v>
      </c>
      <c r="D240" t="s">
        <v>2664</v>
      </c>
      <c r="E240" t="s">
        <v>2665</v>
      </c>
      <c r="F240" t="s">
        <v>2666</v>
      </c>
      <c r="G240" t="s">
        <v>2667</v>
      </c>
      <c r="H240" t="s">
        <v>2668</v>
      </c>
      <c r="I240" t="s">
        <v>2669</v>
      </c>
    </row>
    <row r="241" spans="1:9" x14ac:dyDescent="0.2">
      <c r="A241" t="s">
        <v>585</v>
      </c>
      <c r="B241" t="s">
        <v>2670</v>
      </c>
      <c r="C241" t="s">
        <v>2671</v>
      </c>
      <c r="D241" t="s">
        <v>2672</v>
      </c>
      <c r="E241" t="s">
        <v>2673</v>
      </c>
      <c r="F241" t="s">
        <v>2674</v>
      </c>
      <c r="G241" t="s">
        <v>2675</v>
      </c>
      <c r="H241" t="s">
        <v>2676</v>
      </c>
      <c r="I241" t="s">
        <v>2677</v>
      </c>
    </row>
    <row r="242" spans="1:9" x14ac:dyDescent="0.2">
      <c r="A242" t="s">
        <v>585</v>
      </c>
      <c r="B242" t="s">
        <v>2678</v>
      </c>
      <c r="C242" t="s">
        <v>2679</v>
      </c>
      <c r="D242" t="s">
        <v>2680</v>
      </c>
      <c r="E242" t="s">
        <v>2681</v>
      </c>
      <c r="F242" t="s">
        <v>2682</v>
      </c>
      <c r="G242" t="s">
        <v>2683</v>
      </c>
      <c r="H242" t="s">
        <v>2684</v>
      </c>
      <c r="I242" t="s">
        <v>2685</v>
      </c>
    </row>
    <row r="243" spans="1:9" x14ac:dyDescent="0.2">
      <c r="A243" t="s">
        <v>585</v>
      </c>
      <c r="B243" t="s">
        <v>2686</v>
      </c>
      <c r="C243" t="s">
        <v>2687</v>
      </c>
      <c r="D243" t="s">
        <v>2688</v>
      </c>
      <c r="E243" t="s">
        <v>2689</v>
      </c>
      <c r="F243" t="s">
        <v>2690</v>
      </c>
      <c r="G243" t="s">
        <v>2691</v>
      </c>
      <c r="H243" t="s">
        <v>2692</v>
      </c>
      <c r="I243" t="s">
        <v>2693</v>
      </c>
    </row>
    <row r="244" spans="1:9" x14ac:dyDescent="0.2">
      <c r="A244" t="s">
        <v>585</v>
      </c>
      <c r="B244" t="s">
        <v>2694</v>
      </c>
      <c r="C244" t="s">
        <v>2695</v>
      </c>
      <c r="D244" t="s">
        <v>2696</v>
      </c>
      <c r="E244" t="s">
        <v>2697</v>
      </c>
      <c r="F244" t="s">
        <v>2698</v>
      </c>
      <c r="G244" t="s">
        <v>2699</v>
      </c>
      <c r="H244" t="s">
        <v>2700</v>
      </c>
      <c r="I244" t="s">
        <v>2701</v>
      </c>
    </row>
    <row r="245" spans="1:9" x14ac:dyDescent="0.2">
      <c r="A245" t="s">
        <v>585</v>
      </c>
      <c r="B245" t="s">
        <v>2702</v>
      </c>
      <c r="C245" t="s">
        <v>2703</v>
      </c>
      <c r="D245" t="s">
        <v>2704</v>
      </c>
      <c r="E245" t="s">
        <v>2705</v>
      </c>
      <c r="F245" t="s">
        <v>2706</v>
      </c>
      <c r="G245" t="s">
        <v>2707</v>
      </c>
      <c r="H245" t="s">
        <v>2708</v>
      </c>
      <c r="I245" t="s">
        <v>2709</v>
      </c>
    </row>
    <row r="246" spans="1:9" x14ac:dyDescent="0.2">
      <c r="A246" t="s">
        <v>585</v>
      </c>
      <c r="B246" t="s">
        <v>2710</v>
      </c>
      <c r="C246" t="s">
        <v>2711</v>
      </c>
      <c r="D246" t="s">
        <v>2712</v>
      </c>
      <c r="E246" t="s">
        <v>2713</v>
      </c>
      <c r="F246" t="s">
        <v>2714</v>
      </c>
      <c r="G246" t="s">
        <v>2715</v>
      </c>
      <c r="H246" t="s">
        <v>2716</v>
      </c>
      <c r="I246" t="s">
        <v>2717</v>
      </c>
    </row>
    <row r="247" spans="1:9" x14ac:dyDescent="0.2">
      <c r="A247" t="s">
        <v>585</v>
      </c>
      <c r="B247" t="s">
        <v>2718</v>
      </c>
      <c r="C247" t="s">
        <v>2719</v>
      </c>
      <c r="D247" t="s">
        <v>2720</v>
      </c>
      <c r="E247" t="s">
        <v>2721</v>
      </c>
      <c r="F247" t="s">
        <v>2722</v>
      </c>
      <c r="G247" t="s">
        <v>2723</v>
      </c>
      <c r="H247" t="s">
        <v>2724</v>
      </c>
      <c r="I247" t="s">
        <v>2725</v>
      </c>
    </row>
    <row r="248" spans="1:9" x14ac:dyDescent="0.2">
      <c r="A248" t="s">
        <v>585</v>
      </c>
      <c r="B248" t="s">
        <v>2726</v>
      </c>
      <c r="C248" t="s">
        <v>2727</v>
      </c>
      <c r="D248" t="s">
        <v>2728</v>
      </c>
      <c r="E248" t="s">
        <v>2729</v>
      </c>
      <c r="F248" t="s">
        <v>2730</v>
      </c>
      <c r="G248" t="s">
        <v>2731</v>
      </c>
      <c r="H248" t="s">
        <v>2732</v>
      </c>
      <c r="I248" t="s">
        <v>2733</v>
      </c>
    </row>
    <row r="249" spans="1:9" x14ac:dyDescent="0.2">
      <c r="A249" t="s">
        <v>585</v>
      </c>
      <c r="B249" t="s">
        <v>2734</v>
      </c>
      <c r="C249" t="s">
        <v>2735</v>
      </c>
      <c r="D249" t="s">
        <v>2736</v>
      </c>
      <c r="E249" t="s">
        <v>2737</v>
      </c>
      <c r="F249" t="s">
        <v>2738</v>
      </c>
      <c r="G249" t="s">
        <v>2739</v>
      </c>
      <c r="H249" t="s">
        <v>2740</v>
      </c>
      <c r="I249" t="s">
        <v>2741</v>
      </c>
    </row>
    <row r="250" spans="1:9" x14ac:dyDescent="0.2">
      <c r="A250" t="s">
        <v>585</v>
      </c>
      <c r="B250" t="s">
        <v>2742</v>
      </c>
      <c r="C250" t="s">
        <v>2743</v>
      </c>
      <c r="D250" t="s">
        <v>2744</v>
      </c>
      <c r="E250" t="s">
        <v>2745</v>
      </c>
      <c r="F250" t="s">
        <v>2746</v>
      </c>
      <c r="G250" t="s">
        <v>2747</v>
      </c>
      <c r="H250" t="s">
        <v>2748</v>
      </c>
      <c r="I250" t="s">
        <v>2749</v>
      </c>
    </row>
    <row r="251" spans="1:9" x14ac:dyDescent="0.2">
      <c r="A251" t="s">
        <v>585</v>
      </c>
      <c r="B251" t="s">
        <v>2750</v>
      </c>
      <c r="C251" t="s">
        <v>2751</v>
      </c>
      <c r="D251" t="s">
        <v>2752</v>
      </c>
      <c r="E251" t="s">
        <v>2753</v>
      </c>
      <c r="F251" t="s">
        <v>2722</v>
      </c>
      <c r="G251" t="s">
        <v>2754</v>
      </c>
      <c r="H251" t="s">
        <v>2755</v>
      </c>
      <c r="I251" t="s">
        <v>2756</v>
      </c>
    </row>
    <row r="252" spans="1:9" x14ac:dyDescent="0.2">
      <c r="A252" t="s">
        <v>585</v>
      </c>
      <c r="B252" t="s">
        <v>2757</v>
      </c>
      <c r="C252" t="s">
        <v>2758</v>
      </c>
      <c r="D252" t="s">
        <v>2759</v>
      </c>
      <c r="E252" t="s">
        <v>2760</v>
      </c>
      <c r="F252" t="s">
        <v>2761</v>
      </c>
      <c r="G252" t="s">
        <v>2762</v>
      </c>
      <c r="H252" t="s">
        <v>2763</v>
      </c>
      <c r="I252" t="s">
        <v>2764</v>
      </c>
    </row>
    <row r="253" spans="1:9" x14ac:dyDescent="0.2">
      <c r="A253" t="s">
        <v>585</v>
      </c>
      <c r="B253" t="s">
        <v>2204</v>
      </c>
      <c r="C253" t="s">
        <v>1833</v>
      </c>
      <c r="D253" t="s">
        <v>1834</v>
      </c>
      <c r="E253" t="s">
        <v>2205</v>
      </c>
      <c r="F253" t="s">
        <v>2554</v>
      </c>
      <c r="G253" t="s">
        <v>1837</v>
      </c>
      <c r="H253" t="s">
        <v>1838</v>
      </c>
      <c r="I253" t="s">
        <v>1839</v>
      </c>
    </row>
    <row r="254" spans="1:9" x14ac:dyDescent="0.2">
      <c r="A254" t="s">
        <v>585</v>
      </c>
      <c r="B254" t="s">
        <v>2206</v>
      </c>
      <c r="C254" t="s">
        <v>1840</v>
      </c>
      <c r="D254" t="s">
        <v>1841</v>
      </c>
      <c r="E254" t="s">
        <v>2207</v>
      </c>
      <c r="F254" t="s">
        <v>2457</v>
      </c>
      <c r="G254" t="s">
        <v>1844</v>
      </c>
      <c r="H254" t="s">
        <v>1845</v>
      </c>
      <c r="I254" t="s">
        <v>1846</v>
      </c>
    </row>
    <row r="256" spans="1:9" x14ac:dyDescent="0.2">
      <c r="A256" t="s">
        <v>2765</v>
      </c>
      <c r="B256" t="s">
        <v>2766</v>
      </c>
      <c r="C256" t="s">
        <v>2767</v>
      </c>
      <c r="D256" t="s">
        <v>2768</v>
      </c>
    </row>
    <row r="257" spans="1:9" x14ac:dyDescent="0.2">
      <c r="A257" t="s">
        <v>2765</v>
      </c>
      <c r="B257" t="s">
        <v>2769</v>
      </c>
      <c r="C257" t="s">
        <v>2770</v>
      </c>
      <c r="D257" t="s">
        <v>2771</v>
      </c>
    </row>
    <row r="258" spans="1:9" x14ac:dyDescent="0.2">
      <c r="A258" t="s">
        <v>2765</v>
      </c>
      <c r="B258" t="s">
        <v>2772</v>
      </c>
      <c r="C258" t="s">
        <v>2773</v>
      </c>
      <c r="D258" t="s">
        <v>2774</v>
      </c>
    </row>
    <row r="259" spans="1:9" x14ac:dyDescent="0.2">
      <c r="A259" t="s">
        <v>2765</v>
      </c>
      <c r="B259" t="s">
        <v>2775</v>
      </c>
      <c r="C259" t="s">
        <v>2776</v>
      </c>
      <c r="D259" t="s">
        <v>2777</v>
      </c>
    </row>
    <row r="260" spans="1:9" x14ac:dyDescent="0.2">
      <c r="A260" t="s">
        <v>2765</v>
      </c>
      <c r="B260" t="s">
        <v>2778</v>
      </c>
      <c r="C260" t="s">
        <v>2779</v>
      </c>
      <c r="D260" t="s">
        <v>2780</v>
      </c>
    </row>
    <row r="261" spans="1:9" x14ac:dyDescent="0.2">
      <c r="A261" t="s">
        <v>2765</v>
      </c>
      <c r="B261" t="s">
        <v>2781</v>
      </c>
      <c r="C261" t="s">
        <v>2782</v>
      </c>
      <c r="D261" t="s">
        <v>2783</v>
      </c>
    </row>
    <row r="262" spans="1:9" x14ac:dyDescent="0.2">
      <c r="A262" t="s">
        <v>2765</v>
      </c>
      <c r="B262" t="s">
        <v>2784</v>
      </c>
      <c r="C262" t="s">
        <v>2785</v>
      </c>
      <c r="D262" t="s">
        <v>2786</v>
      </c>
    </row>
    <row r="263" spans="1:9" x14ac:dyDescent="0.2">
      <c r="A263" t="s">
        <v>2765</v>
      </c>
      <c r="B263" t="s">
        <v>2787</v>
      </c>
      <c r="C263" t="s">
        <v>2788</v>
      </c>
      <c r="D263" t="s">
        <v>2789</v>
      </c>
    </row>
    <row r="264" spans="1:9" x14ac:dyDescent="0.2">
      <c r="A264" t="s">
        <v>2765</v>
      </c>
      <c r="B264" t="s">
        <v>2188</v>
      </c>
      <c r="C264" t="s">
        <v>2790</v>
      </c>
      <c r="D264" t="s">
        <v>2791</v>
      </c>
    </row>
    <row r="265" spans="1:9" x14ac:dyDescent="0.2">
      <c r="A265" t="s">
        <v>2765</v>
      </c>
      <c r="B265" t="s">
        <v>2196</v>
      </c>
      <c r="C265" t="s">
        <v>2792</v>
      </c>
      <c r="D265" t="s">
        <v>2793</v>
      </c>
    </row>
    <row r="266" spans="1:9" x14ac:dyDescent="0.2">
      <c r="A266" t="s">
        <v>2765</v>
      </c>
      <c r="B266" t="s">
        <v>2204</v>
      </c>
      <c r="C266" t="s">
        <v>1833</v>
      </c>
      <c r="D266" t="s">
        <v>1834</v>
      </c>
    </row>
    <row r="267" spans="1:9" x14ac:dyDescent="0.2">
      <c r="A267" t="s">
        <v>2765</v>
      </c>
      <c r="B267" t="s">
        <v>2206</v>
      </c>
      <c r="C267" t="s">
        <v>1840</v>
      </c>
      <c r="D267" t="s">
        <v>1841</v>
      </c>
    </row>
    <row r="269" spans="1:9" s="11" customFormat="1" x14ac:dyDescent="0.2">
      <c r="A269" s="14" t="s">
        <v>2794</v>
      </c>
      <c r="B269" s="14">
        <v>1</v>
      </c>
      <c r="C269" s="14" t="s">
        <v>2795</v>
      </c>
      <c r="D269" s="14" t="s">
        <v>2795</v>
      </c>
      <c r="E269" s="14" t="s">
        <v>2796</v>
      </c>
      <c r="F269" s="14" t="s">
        <v>2797</v>
      </c>
      <c r="G269" s="14" t="s">
        <v>2798</v>
      </c>
      <c r="H269" s="14" t="s">
        <v>2799</v>
      </c>
      <c r="I269" s="14" t="s">
        <v>2800</v>
      </c>
    </row>
    <row r="270" spans="1:9" s="11" customFormat="1" x14ac:dyDescent="0.2">
      <c r="A270" s="14" t="s">
        <v>2794</v>
      </c>
      <c r="B270" s="14">
        <v>2</v>
      </c>
      <c r="C270" s="14" t="s">
        <v>2801</v>
      </c>
      <c r="D270" s="14" t="s">
        <v>2801</v>
      </c>
      <c r="E270" s="14" t="s">
        <v>2802</v>
      </c>
      <c r="F270" s="14" t="s">
        <v>2803</v>
      </c>
      <c r="G270" s="14" t="s">
        <v>2804</v>
      </c>
      <c r="H270" s="14" t="s">
        <v>2805</v>
      </c>
      <c r="I270" s="14" t="s">
        <v>2806</v>
      </c>
    </row>
    <row r="271" spans="1:9" s="11" customFormat="1" x14ac:dyDescent="0.2">
      <c r="A271" s="14" t="s">
        <v>2794</v>
      </c>
      <c r="B271" s="14">
        <v>3</v>
      </c>
      <c r="C271" s="14" t="s">
        <v>2807</v>
      </c>
      <c r="D271" s="14" t="s">
        <v>2808</v>
      </c>
      <c r="E271" s="14" t="s">
        <v>2809</v>
      </c>
      <c r="F271" s="14" t="s">
        <v>2810</v>
      </c>
      <c r="G271" s="14" t="s">
        <v>2811</v>
      </c>
      <c r="H271" s="14" t="s">
        <v>2812</v>
      </c>
      <c r="I271" s="14" t="s">
        <v>2813</v>
      </c>
    </row>
    <row r="272" spans="1:9" s="11" customFormat="1" x14ac:dyDescent="0.2">
      <c r="A272" s="14" t="s">
        <v>2794</v>
      </c>
      <c r="B272" s="14">
        <v>4</v>
      </c>
      <c r="C272" s="14" t="s">
        <v>2814</v>
      </c>
      <c r="D272" s="14" t="s">
        <v>2815</v>
      </c>
      <c r="E272" s="14" t="s">
        <v>2816</v>
      </c>
      <c r="F272" s="14" t="s">
        <v>2817</v>
      </c>
      <c r="G272" s="14" t="s">
        <v>2818</v>
      </c>
      <c r="H272" s="14" t="s">
        <v>2819</v>
      </c>
      <c r="I272" s="14" t="s">
        <v>2820</v>
      </c>
    </row>
    <row r="273" spans="1:9" s="11" customFormat="1" x14ac:dyDescent="0.2">
      <c r="A273" s="12" t="s">
        <v>2794</v>
      </c>
      <c r="B273" s="12">
        <v>5</v>
      </c>
      <c r="C273" s="170" t="s">
        <v>2821</v>
      </c>
      <c r="D273" s="170" t="s">
        <v>2822</v>
      </c>
      <c r="E273" s="170" t="s">
        <v>2823</v>
      </c>
      <c r="F273" s="170" t="s">
        <v>2822</v>
      </c>
      <c r="G273" s="170" t="s">
        <v>2822</v>
      </c>
      <c r="H273" s="170" t="s">
        <v>2822</v>
      </c>
      <c r="I273" s="170" t="s">
        <v>2822</v>
      </c>
    </row>
    <row r="274" spans="1:9" s="11" customFormat="1" x14ac:dyDescent="0.2"/>
    <row r="275" spans="1:9" s="12" customFormat="1" x14ac:dyDescent="0.2">
      <c r="A275" s="14" t="s">
        <v>2824</v>
      </c>
      <c r="B275" s="14">
        <v>1</v>
      </c>
      <c r="C275" s="14" t="s">
        <v>2825</v>
      </c>
      <c r="D275" s="14" t="s">
        <v>2826</v>
      </c>
      <c r="E275" s="14" t="s">
        <v>2827</v>
      </c>
      <c r="F275" s="14" t="s">
        <v>2828</v>
      </c>
      <c r="G275" s="14" t="s">
        <v>2829</v>
      </c>
      <c r="H275" s="14" t="s">
        <v>2830</v>
      </c>
      <c r="I275" s="14"/>
    </row>
    <row r="276" spans="1:9" s="12" customFormat="1" x14ac:dyDescent="0.2">
      <c r="A276" s="14" t="s">
        <v>2824</v>
      </c>
      <c r="B276" s="14">
        <v>2</v>
      </c>
      <c r="C276" s="14" t="s">
        <v>2831</v>
      </c>
      <c r="D276" s="14" t="s">
        <v>2832</v>
      </c>
      <c r="E276" s="14" t="s">
        <v>2833</v>
      </c>
      <c r="F276" s="14" t="s">
        <v>2834</v>
      </c>
      <c r="G276" s="14" t="s">
        <v>2835</v>
      </c>
      <c r="H276" s="14" t="s">
        <v>2836</v>
      </c>
      <c r="I276" s="14"/>
    </row>
    <row r="277" spans="1:9" s="11" customFormat="1" x14ac:dyDescent="0.2"/>
    <row r="278" spans="1:9" s="11" customFormat="1" x14ac:dyDescent="0.2">
      <c r="A278" s="14" t="s">
        <v>2837</v>
      </c>
      <c r="B278" s="14">
        <v>1</v>
      </c>
      <c r="C278" s="14" t="s">
        <v>2838</v>
      </c>
      <c r="D278" s="14" t="s">
        <v>2839</v>
      </c>
      <c r="E278" s="14" t="s">
        <v>2840</v>
      </c>
      <c r="F278" s="14" t="s">
        <v>2841</v>
      </c>
      <c r="G278" s="14" t="s">
        <v>2842</v>
      </c>
      <c r="H278" s="14" t="s">
        <v>2843</v>
      </c>
      <c r="I278" s="14" t="s">
        <v>2844</v>
      </c>
    </row>
    <row r="279" spans="1:9" s="11" customFormat="1" x14ac:dyDescent="0.2">
      <c r="A279" s="14" t="s">
        <v>2837</v>
      </c>
      <c r="B279" s="14">
        <v>2</v>
      </c>
      <c r="C279" s="14" t="s">
        <v>2845</v>
      </c>
      <c r="D279" s="14" t="s">
        <v>2846</v>
      </c>
      <c r="E279" s="14" t="s">
        <v>2847</v>
      </c>
      <c r="F279" s="14" t="s">
        <v>2848</v>
      </c>
      <c r="G279" s="14" t="s">
        <v>2849</v>
      </c>
      <c r="H279" s="14" t="s">
        <v>2850</v>
      </c>
      <c r="I279" s="14" t="s">
        <v>2851</v>
      </c>
    </row>
    <row r="280" spans="1:9" s="11" customFormat="1" x14ac:dyDescent="0.2">
      <c r="A280" s="14" t="s">
        <v>2837</v>
      </c>
      <c r="B280" s="14">
        <v>3</v>
      </c>
      <c r="C280" s="14" t="s">
        <v>2852</v>
      </c>
      <c r="D280" s="14" t="s">
        <v>2853</v>
      </c>
      <c r="E280" s="14" t="s">
        <v>2854</v>
      </c>
      <c r="F280" s="14" t="s">
        <v>2855</v>
      </c>
      <c r="G280" s="14" t="s">
        <v>2856</v>
      </c>
      <c r="H280" s="14" t="s">
        <v>2857</v>
      </c>
      <c r="I280" s="14" t="s">
        <v>2858</v>
      </c>
    </row>
    <row r="281" spans="1:9" s="11" customFormat="1" x14ac:dyDescent="0.2">
      <c r="A281" s="14" t="s">
        <v>2837</v>
      </c>
      <c r="B281" s="14">
        <v>4</v>
      </c>
      <c r="C281" s="14" t="s">
        <v>2859</v>
      </c>
      <c r="D281" s="14" t="s">
        <v>2860</v>
      </c>
      <c r="E281" s="14" t="s">
        <v>2861</v>
      </c>
      <c r="F281" s="14" t="s">
        <v>2862</v>
      </c>
      <c r="G281" s="14" t="s">
        <v>2863</v>
      </c>
      <c r="H281" s="14" t="s">
        <v>2864</v>
      </c>
      <c r="I281" s="14" t="s">
        <v>2865</v>
      </c>
    </row>
    <row r="282" spans="1:9" s="11" customFormat="1" x14ac:dyDescent="0.2">
      <c r="A282" s="14" t="s">
        <v>2837</v>
      </c>
      <c r="B282" s="14">
        <v>5</v>
      </c>
      <c r="C282" s="14" t="s">
        <v>2866</v>
      </c>
      <c r="D282" s="14" t="s">
        <v>2867</v>
      </c>
      <c r="E282" s="14" t="s">
        <v>2868</v>
      </c>
      <c r="F282" s="14" t="s">
        <v>2869</v>
      </c>
      <c r="G282" s="14" t="s">
        <v>2870</v>
      </c>
      <c r="H282" s="14" t="s">
        <v>2871</v>
      </c>
      <c r="I282" s="14" t="s">
        <v>2872</v>
      </c>
    </row>
    <row r="283" spans="1:9" s="11" customFormat="1" x14ac:dyDescent="0.2">
      <c r="A283" s="14" t="s">
        <v>2837</v>
      </c>
      <c r="B283" s="14">
        <v>6</v>
      </c>
      <c r="C283" s="14" t="s">
        <v>2790</v>
      </c>
      <c r="D283" s="14" t="s">
        <v>2791</v>
      </c>
      <c r="E283" s="14" t="s">
        <v>2873</v>
      </c>
      <c r="F283" s="14" t="s">
        <v>2874</v>
      </c>
      <c r="G283" s="14" t="s">
        <v>2875</v>
      </c>
      <c r="H283" s="14" t="s">
        <v>2876</v>
      </c>
      <c r="I283" s="14" t="s">
        <v>2877</v>
      </c>
    </row>
    <row r="284" spans="1:9" s="11" customFormat="1" x14ac:dyDescent="0.2">
      <c r="A284" s="14" t="s">
        <v>2837</v>
      </c>
      <c r="B284" s="14">
        <v>7</v>
      </c>
      <c r="C284" s="14" t="s">
        <v>1833</v>
      </c>
      <c r="D284" s="14" t="s">
        <v>1834</v>
      </c>
      <c r="E284" s="14" t="s">
        <v>2205</v>
      </c>
      <c r="F284" s="14" t="s">
        <v>1930</v>
      </c>
      <c r="G284" s="14" t="s">
        <v>1837</v>
      </c>
      <c r="H284" s="14" t="s">
        <v>2878</v>
      </c>
      <c r="I284" s="14" t="s">
        <v>1839</v>
      </c>
    </row>
    <row r="285" spans="1:9" s="11" customFormat="1" x14ac:dyDescent="0.2">
      <c r="A285" s="14" t="s">
        <v>2837</v>
      </c>
      <c r="B285" s="14">
        <v>8</v>
      </c>
      <c r="C285" s="14" t="s">
        <v>1840</v>
      </c>
      <c r="D285" s="14" t="s">
        <v>1841</v>
      </c>
      <c r="E285" s="14" t="s">
        <v>2207</v>
      </c>
      <c r="F285" s="14" t="s">
        <v>2457</v>
      </c>
      <c r="G285" s="14" t="s">
        <v>1844</v>
      </c>
      <c r="H285" s="14" t="s">
        <v>1845</v>
      </c>
      <c r="I285" s="14" t="s">
        <v>1846</v>
      </c>
    </row>
    <row r="287" spans="1:9" s="11" customFormat="1" x14ac:dyDescent="0.2">
      <c r="A287" s="10" t="s">
        <v>2879</v>
      </c>
      <c r="B287" s="10">
        <v>1</v>
      </c>
      <c r="C287" s="10" t="s">
        <v>2880</v>
      </c>
      <c r="D287" s="2" t="s">
        <v>2881</v>
      </c>
      <c r="E287" s="2" t="s">
        <v>2882</v>
      </c>
      <c r="F287" s="2" t="s">
        <v>2883</v>
      </c>
      <c r="G287" s="2" t="s">
        <v>2884</v>
      </c>
      <c r="H287" s="2" t="s">
        <v>2885</v>
      </c>
      <c r="I287" s="2" t="s">
        <v>2886</v>
      </c>
    </row>
    <row r="288" spans="1:9" s="11" customFormat="1" x14ac:dyDescent="0.2">
      <c r="A288" s="10" t="s">
        <v>2879</v>
      </c>
      <c r="B288" s="10">
        <v>2</v>
      </c>
      <c r="C288" s="10" t="s">
        <v>2887</v>
      </c>
      <c r="D288" s="2" t="s">
        <v>2888</v>
      </c>
      <c r="E288" s="2" t="s">
        <v>2889</v>
      </c>
      <c r="F288" s="2" t="s">
        <v>2890</v>
      </c>
      <c r="G288" s="2" t="s">
        <v>2891</v>
      </c>
      <c r="H288" s="2" t="s">
        <v>2892</v>
      </c>
      <c r="I288" s="2" t="s">
        <v>2893</v>
      </c>
    </row>
    <row r="289" spans="1:10" s="11" customFormat="1" x14ac:dyDescent="0.2">
      <c r="A289" s="10" t="s">
        <v>2879</v>
      </c>
      <c r="B289" s="10">
        <v>3</v>
      </c>
      <c r="C289" s="10" t="s">
        <v>2894</v>
      </c>
      <c r="D289" s="2" t="s">
        <v>2895</v>
      </c>
      <c r="E289" s="2" t="s">
        <v>2896</v>
      </c>
      <c r="F289" s="2" t="s">
        <v>2897</v>
      </c>
      <c r="G289" s="2" t="s">
        <v>2898</v>
      </c>
      <c r="H289" s="2" t="s">
        <v>2899</v>
      </c>
      <c r="I289" s="2" t="s">
        <v>2900</v>
      </c>
    </row>
    <row r="290" spans="1:10" s="11" customFormat="1" x14ac:dyDescent="0.2">
      <c r="A290" s="10" t="s">
        <v>2879</v>
      </c>
      <c r="B290" s="10">
        <v>4</v>
      </c>
      <c r="C290" s="10" t="s">
        <v>2901</v>
      </c>
      <c r="D290" s="2" t="s">
        <v>2902</v>
      </c>
      <c r="E290" s="2" t="s">
        <v>2903</v>
      </c>
      <c r="F290" s="2" t="s">
        <v>2904</v>
      </c>
      <c r="G290" s="2" t="s">
        <v>2905</v>
      </c>
      <c r="H290" s="2" t="s">
        <v>2906</v>
      </c>
      <c r="I290" s="2" t="s">
        <v>2907</v>
      </c>
    </row>
    <row r="291" spans="1:10" s="11" customFormat="1" x14ac:dyDescent="0.2">
      <c r="A291" s="10" t="s">
        <v>2879</v>
      </c>
      <c r="B291" s="10">
        <v>5</v>
      </c>
      <c r="C291" s="10" t="s">
        <v>2908</v>
      </c>
      <c r="D291" s="2" t="s">
        <v>2909</v>
      </c>
      <c r="E291" s="2" t="s">
        <v>2910</v>
      </c>
      <c r="F291" s="2" t="s">
        <v>2911</v>
      </c>
      <c r="G291" s="2" t="s">
        <v>2912</v>
      </c>
      <c r="H291" s="2" t="s">
        <v>2913</v>
      </c>
      <c r="I291" s="2" t="s">
        <v>2914</v>
      </c>
    </row>
    <row r="292" spans="1:10" s="11" customFormat="1" x14ac:dyDescent="0.2">
      <c r="A292" s="10" t="s">
        <v>2879</v>
      </c>
      <c r="B292" s="10">
        <v>6</v>
      </c>
      <c r="C292" s="10" t="s">
        <v>1833</v>
      </c>
      <c r="D292" s="2" t="s">
        <v>1834</v>
      </c>
      <c r="E292" s="2" t="s">
        <v>2205</v>
      </c>
      <c r="F292" s="2" t="s">
        <v>1930</v>
      </c>
      <c r="G292" s="2" t="s">
        <v>1837</v>
      </c>
      <c r="H292" s="2" t="s">
        <v>2878</v>
      </c>
      <c r="I292" s="2" t="s">
        <v>1839</v>
      </c>
    </row>
    <row r="293" spans="1:10" s="11" customFormat="1" x14ac:dyDescent="0.2">
      <c r="A293" s="10" t="s">
        <v>2879</v>
      </c>
      <c r="B293" s="10">
        <v>7</v>
      </c>
      <c r="C293" s="10" t="s">
        <v>1840</v>
      </c>
      <c r="D293" s="2" t="s">
        <v>1841</v>
      </c>
      <c r="E293" s="2" t="s">
        <v>2207</v>
      </c>
      <c r="F293" s="2" t="s">
        <v>2457</v>
      </c>
      <c r="G293" s="2" t="s">
        <v>1844</v>
      </c>
      <c r="H293" s="2" t="s">
        <v>1845</v>
      </c>
      <c r="I293" s="2" t="s">
        <v>1846</v>
      </c>
    </row>
    <row r="294" spans="1:10" x14ac:dyDescent="0.2">
      <c r="J294" s="11"/>
    </row>
    <row r="295" spans="1:10" s="11" customFormat="1" x14ac:dyDescent="0.2">
      <c r="A295" s="10" t="s">
        <v>2915</v>
      </c>
      <c r="B295" s="10" t="s">
        <v>2916</v>
      </c>
      <c r="C295" s="10" t="s">
        <v>2917</v>
      </c>
      <c r="D295" s="10" t="s">
        <v>2918</v>
      </c>
      <c r="E295" s="10" t="s">
        <v>2919</v>
      </c>
      <c r="F295" s="10" t="s">
        <v>2920</v>
      </c>
      <c r="G295" s="10" t="s">
        <v>2921</v>
      </c>
      <c r="H295" s="10" t="s">
        <v>2922</v>
      </c>
      <c r="I295" s="10" t="s">
        <v>2923</v>
      </c>
    </row>
    <row r="296" spans="1:10" s="11" customFormat="1" x14ac:dyDescent="0.2">
      <c r="A296" s="10" t="s">
        <v>2915</v>
      </c>
      <c r="B296" s="10" t="s">
        <v>2924</v>
      </c>
      <c r="C296" s="10" t="s">
        <v>2925</v>
      </c>
      <c r="D296" s="10" t="s">
        <v>2926</v>
      </c>
      <c r="E296" s="10" t="s">
        <v>2927</v>
      </c>
      <c r="F296" s="10" t="s">
        <v>2928</v>
      </c>
      <c r="G296" s="10" t="s">
        <v>2929</v>
      </c>
      <c r="H296" s="10" t="s">
        <v>2930</v>
      </c>
      <c r="I296" s="10" t="s">
        <v>2931</v>
      </c>
    </row>
    <row r="297" spans="1:10" s="11" customFormat="1" x14ac:dyDescent="0.2">
      <c r="A297" s="10" t="s">
        <v>2915</v>
      </c>
      <c r="B297" s="10" t="s">
        <v>2932</v>
      </c>
      <c r="C297" s="10" t="s">
        <v>2933</v>
      </c>
      <c r="D297" s="10" t="s">
        <v>2934</v>
      </c>
      <c r="E297" s="10" t="s">
        <v>2935</v>
      </c>
      <c r="F297" s="10" t="s">
        <v>2936</v>
      </c>
      <c r="G297" s="10" t="s">
        <v>2937</v>
      </c>
      <c r="H297" s="10" t="s">
        <v>2938</v>
      </c>
      <c r="I297" s="10" t="s">
        <v>2939</v>
      </c>
    </row>
    <row r="298" spans="1:10" s="11" customFormat="1" x14ac:dyDescent="0.2">
      <c r="A298" s="10" t="s">
        <v>2915</v>
      </c>
      <c r="B298" s="10" t="s">
        <v>2940</v>
      </c>
      <c r="C298" s="10" t="s">
        <v>2941</v>
      </c>
      <c r="D298" s="10" t="s">
        <v>2942</v>
      </c>
      <c r="E298" s="10" t="s">
        <v>2943</v>
      </c>
      <c r="F298" s="10" t="s">
        <v>2944</v>
      </c>
      <c r="G298" s="10" t="s">
        <v>2942</v>
      </c>
      <c r="H298" s="10" t="s">
        <v>2945</v>
      </c>
      <c r="I298" s="10" t="s">
        <v>2946</v>
      </c>
    </row>
    <row r="299" spans="1:10" s="11" customFormat="1" x14ac:dyDescent="0.2">
      <c r="A299" s="10" t="s">
        <v>2915</v>
      </c>
      <c r="B299" s="10" t="s">
        <v>2947</v>
      </c>
      <c r="C299" s="10" t="s">
        <v>2948</v>
      </c>
      <c r="D299" s="10" t="s">
        <v>2949</v>
      </c>
      <c r="E299" s="10" t="s">
        <v>2950</v>
      </c>
      <c r="F299" s="10" t="s">
        <v>2951</v>
      </c>
      <c r="G299" s="10" t="s">
        <v>2952</v>
      </c>
      <c r="H299" s="10" t="s">
        <v>2953</v>
      </c>
      <c r="I299" s="10" t="s">
        <v>2954</v>
      </c>
    </row>
    <row r="300" spans="1:10" s="11" customFormat="1" x14ac:dyDescent="0.2">
      <c r="A300" s="10" t="s">
        <v>2915</v>
      </c>
      <c r="B300" s="10" t="s">
        <v>2955</v>
      </c>
      <c r="C300" s="10" t="s">
        <v>2956</v>
      </c>
      <c r="D300" s="10" t="s">
        <v>2957</v>
      </c>
      <c r="E300" s="10" t="s">
        <v>2958</v>
      </c>
      <c r="F300" s="10" t="s">
        <v>2959</v>
      </c>
      <c r="G300" s="10" t="s">
        <v>2960</v>
      </c>
      <c r="H300" s="10" t="s">
        <v>2961</v>
      </c>
      <c r="I300" s="10" t="s">
        <v>2962</v>
      </c>
    </row>
    <row r="301" spans="1:10" s="11" customFormat="1" x14ac:dyDescent="0.2">
      <c r="A301" s="10" t="s">
        <v>2915</v>
      </c>
      <c r="B301" s="11" t="s">
        <v>2963</v>
      </c>
      <c r="C301" s="10" t="s">
        <v>2964</v>
      </c>
      <c r="D301" s="10" t="s">
        <v>2965</v>
      </c>
      <c r="E301" s="10" t="s">
        <v>2966</v>
      </c>
      <c r="F301" s="10" t="s">
        <v>2967</v>
      </c>
      <c r="G301" s="10" t="s">
        <v>2968</v>
      </c>
      <c r="H301" s="10" t="s">
        <v>2969</v>
      </c>
      <c r="I301" s="10" t="s">
        <v>2970</v>
      </c>
    </row>
    <row r="302" spans="1:10" s="11" customFormat="1" x14ac:dyDescent="0.2">
      <c r="A302" s="10" t="s">
        <v>2915</v>
      </c>
      <c r="B302" s="10" t="s">
        <v>2188</v>
      </c>
      <c r="C302" s="10" t="s">
        <v>2971</v>
      </c>
      <c r="D302" s="10" t="s">
        <v>1867</v>
      </c>
      <c r="E302" s="10" t="s">
        <v>2972</v>
      </c>
      <c r="F302" s="10" t="s">
        <v>2973</v>
      </c>
      <c r="G302" s="10" t="s">
        <v>2974</v>
      </c>
      <c r="H302" s="10" t="s">
        <v>2975</v>
      </c>
      <c r="I302" s="10" t="s">
        <v>2976</v>
      </c>
    </row>
    <row r="303" spans="1:10" s="11" customFormat="1" x14ac:dyDescent="0.2">
      <c r="A303" s="10" t="s">
        <v>2915</v>
      </c>
      <c r="B303" s="10" t="s">
        <v>2204</v>
      </c>
      <c r="C303" s="10" t="s">
        <v>1833</v>
      </c>
      <c r="D303" s="10" t="s">
        <v>1834</v>
      </c>
      <c r="E303" s="10" t="s">
        <v>2205</v>
      </c>
      <c r="F303" s="10" t="s">
        <v>1930</v>
      </c>
      <c r="G303" s="10" t="s">
        <v>1837</v>
      </c>
      <c r="H303" s="10" t="s">
        <v>2878</v>
      </c>
      <c r="I303" s="10" t="s">
        <v>1839</v>
      </c>
    </row>
    <row r="304" spans="1:10" s="11" customFormat="1" x14ac:dyDescent="0.2">
      <c r="A304" s="10" t="s">
        <v>2915</v>
      </c>
      <c r="B304" s="10" t="s">
        <v>2206</v>
      </c>
      <c r="C304" s="10" t="s">
        <v>1840</v>
      </c>
      <c r="D304" s="10" t="s">
        <v>1841</v>
      </c>
      <c r="E304" s="10" t="s">
        <v>2207</v>
      </c>
      <c r="F304" s="10" t="s">
        <v>1931</v>
      </c>
      <c r="G304" s="10" t="s">
        <v>1844</v>
      </c>
      <c r="H304" s="10" t="s">
        <v>1845</v>
      </c>
      <c r="I304" s="10" t="s">
        <v>1846</v>
      </c>
    </row>
    <row r="306" spans="1:10" x14ac:dyDescent="0.2">
      <c r="A306" s="10" t="s">
        <v>2977</v>
      </c>
      <c r="B306" s="10">
        <v>1</v>
      </c>
      <c r="C306" s="10" t="s">
        <v>2978</v>
      </c>
      <c r="D306" s="10" t="s">
        <v>2979</v>
      </c>
      <c r="E306" s="10" t="s">
        <v>2980</v>
      </c>
      <c r="F306" s="10" t="s">
        <v>2981</v>
      </c>
      <c r="G306" s="10" t="s">
        <v>2982</v>
      </c>
      <c r="H306" s="10" t="s">
        <v>2983</v>
      </c>
      <c r="I306" s="10" t="s">
        <v>2984</v>
      </c>
    </row>
    <row r="307" spans="1:10" x14ac:dyDescent="0.2">
      <c r="A307" s="10" t="s">
        <v>2977</v>
      </c>
      <c r="B307" s="10">
        <v>2</v>
      </c>
      <c r="C307" s="10" t="s">
        <v>2985</v>
      </c>
      <c r="D307" s="10" t="s">
        <v>2985</v>
      </c>
      <c r="E307" s="10" t="s">
        <v>2986</v>
      </c>
      <c r="F307" s="10" t="s">
        <v>2987</v>
      </c>
      <c r="G307" s="10" t="s">
        <v>2986</v>
      </c>
      <c r="H307" s="10" t="s">
        <v>2988</v>
      </c>
      <c r="I307" s="10" t="s">
        <v>2989</v>
      </c>
    </row>
    <row r="308" spans="1:10" x14ac:dyDescent="0.2">
      <c r="A308" s="10" t="s">
        <v>2977</v>
      </c>
      <c r="B308" s="10">
        <v>3</v>
      </c>
      <c r="C308" s="10" t="s">
        <v>2990</v>
      </c>
      <c r="D308" s="10" t="s">
        <v>2991</v>
      </c>
      <c r="E308" s="10" t="s">
        <v>2990</v>
      </c>
      <c r="F308" s="10" t="s">
        <v>2992</v>
      </c>
      <c r="G308" s="10" t="s">
        <v>2993</v>
      </c>
      <c r="H308" s="10" t="s">
        <v>2994</v>
      </c>
      <c r="I308" s="10" t="s">
        <v>2995</v>
      </c>
    </row>
    <row r="309" spans="1:10" x14ac:dyDescent="0.2">
      <c r="A309" s="10" t="s">
        <v>2977</v>
      </c>
      <c r="B309" s="10">
        <v>4</v>
      </c>
      <c r="C309" s="10" t="s">
        <v>2996</v>
      </c>
      <c r="D309" s="10" t="s">
        <v>2997</v>
      </c>
      <c r="E309" s="10" t="s">
        <v>2998</v>
      </c>
      <c r="F309" s="10" t="s">
        <v>2999</v>
      </c>
      <c r="G309" s="10" t="s">
        <v>3000</v>
      </c>
      <c r="H309" s="10" t="s">
        <v>3001</v>
      </c>
      <c r="I309" s="10" t="s">
        <v>3002</v>
      </c>
    </row>
    <row r="310" spans="1:10" x14ac:dyDescent="0.2">
      <c r="A310" s="10" t="s">
        <v>2977</v>
      </c>
      <c r="B310" s="10">
        <v>5</v>
      </c>
      <c r="C310" s="10" t="s">
        <v>3003</v>
      </c>
      <c r="D310" s="10" t="s">
        <v>3004</v>
      </c>
      <c r="E310" s="10" t="s">
        <v>3005</v>
      </c>
      <c r="F310" s="10" t="s">
        <v>3004</v>
      </c>
      <c r="G310" s="10" t="s">
        <v>3006</v>
      </c>
      <c r="H310" s="10" t="s">
        <v>3007</v>
      </c>
      <c r="I310" s="10" t="s">
        <v>3008</v>
      </c>
    </row>
    <row r="311" spans="1:10" x14ac:dyDescent="0.2">
      <c r="A311" s="10" t="s">
        <v>2977</v>
      </c>
      <c r="B311" s="10">
        <v>6</v>
      </c>
      <c r="C311" s="10" t="s">
        <v>3009</v>
      </c>
      <c r="D311" s="10" t="s">
        <v>3010</v>
      </c>
      <c r="E311" s="10" t="s">
        <v>3011</v>
      </c>
      <c r="F311" s="10" t="s">
        <v>3012</v>
      </c>
      <c r="G311" s="10" t="s">
        <v>3013</v>
      </c>
      <c r="H311" s="10" t="s">
        <v>3014</v>
      </c>
      <c r="I311" s="10" t="s">
        <v>3015</v>
      </c>
    </row>
    <row r="312" spans="1:10" x14ac:dyDescent="0.2">
      <c r="A312" s="10" t="s">
        <v>2977</v>
      </c>
      <c r="B312" s="10">
        <v>7</v>
      </c>
      <c r="C312" s="10" t="s">
        <v>3016</v>
      </c>
      <c r="D312" s="10" t="s">
        <v>3017</v>
      </c>
      <c r="E312" s="10" t="s">
        <v>3018</v>
      </c>
      <c r="F312" s="10" t="s">
        <v>3019</v>
      </c>
      <c r="G312" s="10" t="s">
        <v>3020</v>
      </c>
      <c r="H312" s="10" t="s">
        <v>3021</v>
      </c>
      <c r="I312" s="10" t="s">
        <v>3022</v>
      </c>
    </row>
    <row r="313" spans="1:10" x14ac:dyDescent="0.2">
      <c r="A313" s="10" t="s">
        <v>2977</v>
      </c>
      <c r="B313" s="10">
        <v>8</v>
      </c>
      <c r="C313" s="10" t="s">
        <v>3023</v>
      </c>
      <c r="D313" s="10" t="s">
        <v>3024</v>
      </c>
      <c r="E313" s="10" t="s">
        <v>3025</v>
      </c>
      <c r="F313" s="10" t="s">
        <v>3026</v>
      </c>
      <c r="G313" s="10" t="s">
        <v>3027</v>
      </c>
      <c r="H313" s="10" t="s">
        <v>3028</v>
      </c>
      <c r="I313" s="10" t="s">
        <v>3029</v>
      </c>
    </row>
    <row r="314" spans="1:10" x14ac:dyDescent="0.2">
      <c r="A314" s="10" t="s">
        <v>2977</v>
      </c>
      <c r="B314" s="10">
        <v>9</v>
      </c>
      <c r="C314" s="10" t="s">
        <v>2790</v>
      </c>
      <c r="D314" s="10" t="s">
        <v>2791</v>
      </c>
      <c r="E314" s="10" t="s">
        <v>3030</v>
      </c>
      <c r="F314" s="10" t="s">
        <v>3031</v>
      </c>
      <c r="G314" s="10" t="s">
        <v>3032</v>
      </c>
      <c r="H314" s="10" t="s">
        <v>2876</v>
      </c>
      <c r="I314" s="10" t="s">
        <v>3033</v>
      </c>
    </row>
    <row r="316" spans="1:10" x14ac:dyDescent="0.2">
      <c r="A316" s="14" t="s">
        <v>3034</v>
      </c>
      <c r="B316" s="14" t="s">
        <v>3035</v>
      </c>
      <c r="C316" s="14" t="s">
        <v>3036</v>
      </c>
      <c r="D316" t="s">
        <v>2640</v>
      </c>
      <c r="E316" t="s">
        <v>2641</v>
      </c>
      <c r="F316" t="s">
        <v>3037</v>
      </c>
      <c r="G316" t="s">
        <v>3038</v>
      </c>
      <c r="H316" t="s">
        <v>3039</v>
      </c>
      <c r="I316" t="s">
        <v>3040</v>
      </c>
      <c r="J316" s="11"/>
    </row>
    <row r="317" spans="1:10" x14ac:dyDescent="0.2">
      <c r="A317" s="14" t="s">
        <v>3034</v>
      </c>
      <c r="B317" s="14" t="s">
        <v>3041</v>
      </c>
      <c r="C317" s="14" t="s">
        <v>3042</v>
      </c>
      <c r="D317" t="s">
        <v>3043</v>
      </c>
      <c r="E317" t="s">
        <v>3044</v>
      </c>
      <c r="F317" t="s">
        <v>3045</v>
      </c>
      <c r="G317" t="s">
        <v>3046</v>
      </c>
      <c r="H317" t="s">
        <v>3047</v>
      </c>
      <c r="I317" t="s">
        <v>3048</v>
      </c>
      <c r="J317" s="11"/>
    </row>
    <row r="318" spans="1:10" x14ac:dyDescent="0.2">
      <c r="A318" s="14" t="s">
        <v>3034</v>
      </c>
      <c r="B318" s="14" t="s">
        <v>3049</v>
      </c>
      <c r="C318" s="14" t="s">
        <v>3050</v>
      </c>
      <c r="D318" t="s">
        <v>3051</v>
      </c>
      <c r="E318" t="s">
        <v>3052</v>
      </c>
      <c r="F318" t="s">
        <v>3053</v>
      </c>
      <c r="G318" t="s">
        <v>3054</v>
      </c>
      <c r="H318" t="s">
        <v>3055</v>
      </c>
      <c r="I318" t="s">
        <v>3056</v>
      </c>
      <c r="J318" s="11"/>
    </row>
    <row r="319" spans="1:10" x14ac:dyDescent="0.2">
      <c r="A319" s="14" t="s">
        <v>3034</v>
      </c>
      <c r="B319" s="14" t="s">
        <v>3057</v>
      </c>
      <c r="C319" s="14" t="s">
        <v>3058</v>
      </c>
      <c r="D319" t="s">
        <v>3059</v>
      </c>
      <c r="E319" t="s">
        <v>3060</v>
      </c>
      <c r="F319" t="s">
        <v>3061</v>
      </c>
      <c r="G319" t="s">
        <v>3062</v>
      </c>
      <c r="H319" t="s">
        <v>3063</v>
      </c>
      <c r="I319" t="s">
        <v>3064</v>
      </c>
      <c r="J319" s="11"/>
    </row>
    <row r="320" spans="1:10" x14ac:dyDescent="0.2">
      <c r="A320" s="14" t="s">
        <v>3034</v>
      </c>
      <c r="B320" s="14" t="s">
        <v>3065</v>
      </c>
      <c r="C320" s="14" t="s">
        <v>3066</v>
      </c>
      <c r="D320" t="s">
        <v>3067</v>
      </c>
      <c r="E320" t="s">
        <v>3068</v>
      </c>
      <c r="F320" t="s">
        <v>3069</v>
      </c>
      <c r="G320" t="s">
        <v>3070</v>
      </c>
      <c r="H320" t="s">
        <v>3071</v>
      </c>
      <c r="I320" t="s">
        <v>3072</v>
      </c>
      <c r="J320" s="11"/>
    </row>
    <row r="321" spans="1:10" x14ac:dyDescent="0.2">
      <c r="A321" s="14" t="s">
        <v>3034</v>
      </c>
      <c r="B321" s="14" t="s">
        <v>3073</v>
      </c>
      <c r="C321" s="14" t="s">
        <v>3074</v>
      </c>
      <c r="D321" t="s">
        <v>3075</v>
      </c>
      <c r="E321" t="s">
        <v>3076</v>
      </c>
      <c r="F321" t="s">
        <v>3077</v>
      </c>
      <c r="G321" t="s">
        <v>3078</v>
      </c>
      <c r="H321" t="s">
        <v>3079</v>
      </c>
      <c r="I321" t="s">
        <v>3080</v>
      </c>
      <c r="J321" s="11"/>
    </row>
    <row r="322" spans="1:10" x14ac:dyDescent="0.2">
      <c r="A322" s="14" t="s">
        <v>3034</v>
      </c>
      <c r="B322" s="14" t="s">
        <v>3081</v>
      </c>
      <c r="C322" s="14" t="s">
        <v>3082</v>
      </c>
      <c r="D322" t="s">
        <v>3083</v>
      </c>
      <c r="E322" t="s">
        <v>3084</v>
      </c>
      <c r="F322" t="s">
        <v>3085</v>
      </c>
      <c r="G322" t="s">
        <v>3086</v>
      </c>
      <c r="H322" t="s">
        <v>3087</v>
      </c>
      <c r="I322" t="s">
        <v>3088</v>
      </c>
      <c r="J322" s="11"/>
    </row>
    <row r="323" spans="1:10" x14ac:dyDescent="0.2">
      <c r="A323" s="14" t="s">
        <v>3034</v>
      </c>
      <c r="B323" s="14" t="s">
        <v>3089</v>
      </c>
      <c r="C323" s="14" t="s">
        <v>3090</v>
      </c>
      <c r="D323" t="s">
        <v>3091</v>
      </c>
      <c r="E323" t="s">
        <v>3092</v>
      </c>
      <c r="F323" t="s">
        <v>3093</v>
      </c>
      <c r="G323" t="s">
        <v>3094</v>
      </c>
      <c r="H323" t="s">
        <v>3095</v>
      </c>
      <c r="I323" t="s">
        <v>3096</v>
      </c>
      <c r="J323" s="11"/>
    </row>
    <row r="324" spans="1:10" x14ac:dyDescent="0.2">
      <c r="A324" s="14" t="s">
        <v>3034</v>
      </c>
      <c r="B324" s="14" t="s">
        <v>3097</v>
      </c>
      <c r="C324" s="14" t="s">
        <v>3098</v>
      </c>
      <c r="D324" t="s">
        <v>3099</v>
      </c>
      <c r="E324" t="s">
        <v>3100</v>
      </c>
      <c r="F324" t="s">
        <v>3101</v>
      </c>
      <c r="G324" t="s">
        <v>3102</v>
      </c>
      <c r="H324" t="s">
        <v>3103</v>
      </c>
      <c r="I324" t="s">
        <v>3104</v>
      </c>
      <c r="J324" s="11"/>
    </row>
    <row r="325" spans="1:10" x14ac:dyDescent="0.2">
      <c r="A325" s="14" t="s">
        <v>3034</v>
      </c>
      <c r="B325" s="14" t="s">
        <v>3105</v>
      </c>
      <c r="C325" s="14" t="s">
        <v>3106</v>
      </c>
      <c r="D325" t="s">
        <v>3107</v>
      </c>
      <c r="E325" t="s">
        <v>3108</v>
      </c>
      <c r="F325" t="s">
        <v>3109</v>
      </c>
      <c r="G325" t="s">
        <v>3110</v>
      </c>
      <c r="H325" t="s">
        <v>3111</v>
      </c>
      <c r="I325" t="s">
        <v>3112</v>
      </c>
      <c r="J325" s="11"/>
    </row>
    <row r="326" spans="1:10" x14ac:dyDescent="0.2">
      <c r="A326" s="14" t="s">
        <v>3034</v>
      </c>
      <c r="B326" s="14" t="s">
        <v>3113</v>
      </c>
      <c r="C326" s="14" t="s">
        <v>3114</v>
      </c>
      <c r="D326" t="s">
        <v>3115</v>
      </c>
      <c r="E326" t="s">
        <v>3116</v>
      </c>
      <c r="F326" t="s">
        <v>3117</v>
      </c>
      <c r="G326" t="s">
        <v>3118</v>
      </c>
      <c r="H326" t="s">
        <v>3119</v>
      </c>
      <c r="I326" t="s">
        <v>3120</v>
      </c>
      <c r="J326" s="11"/>
    </row>
    <row r="327" spans="1:10" x14ac:dyDescent="0.2">
      <c r="A327" s="14" t="s">
        <v>3034</v>
      </c>
      <c r="B327" s="14" t="s">
        <v>3121</v>
      </c>
      <c r="C327" s="14" t="s">
        <v>3122</v>
      </c>
      <c r="D327" t="s">
        <v>3123</v>
      </c>
      <c r="E327" t="s">
        <v>3124</v>
      </c>
      <c r="F327" t="s">
        <v>3125</v>
      </c>
      <c r="G327" t="s">
        <v>3126</v>
      </c>
      <c r="H327" t="s">
        <v>3127</v>
      </c>
      <c r="I327" t="s">
        <v>3128</v>
      </c>
      <c r="J327" s="11"/>
    </row>
    <row r="328" spans="1:10" x14ac:dyDescent="0.2">
      <c r="A328" s="14" t="s">
        <v>3034</v>
      </c>
      <c r="B328" s="14" t="s">
        <v>3129</v>
      </c>
      <c r="C328" s="14" t="s">
        <v>3130</v>
      </c>
      <c r="D328" t="s">
        <v>3131</v>
      </c>
      <c r="E328" t="s">
        <v>3132</v>
      </c>
      <c r="F328" t="s">
        <v>3133</v>
      </c>
      <c r="G328" t="s">
        <v>3134</v>
      </c>
      <c r="H328" t="s">
        <v>3135</v>
      </c>
      <c r="I328" t="s">
        <v>3136</v>
      </c>
      <c r="J328" s="11"/>
    </row>
    <row r="329" spans="1:10" x14ac:dyDescent="0.2">
      <c r="A329" s="14" t="s">
        <v>3034</v>
      </c>
      <c r="B329" s="14" t="s">
        <v>3137</v>
      </c>
      <c r="C329" s="14" t="s">
        <v>3138</v>
      </c>
      <c r="D329" t="s">
        <v>3139</v>
      </c>
      <c r="E329" t="s">
        <v>3140</v>
      </c>
      <c r="F329" t="s">
        <v>3141</v>
      </c>
      <c r="G329" t="s">
        <v>3142</v>
      </c>
      <c r="H329" t="s">
        <v>3143</v>
      </c>
      <c r="I329" t="s">
        <v>3144</v>
      </c>
      <c r="J329" s="11"/>
    </row>
    <row r="330" spans="1:10" x14ac:dyDescent="0.2">
      <c r="A330" s="14" t="s">
        <v>3034</v>
      </c>
      <c r="B330" s="14" t="s">
        <v>3145</v>
      </c>
      <c r="C330" s="14" t="s">
        <v>3146</v>
      </c>
      <c r="D330" s="2" t="s">
        <v>3147</v>
      </c>
      <c r="E330" s="2" t="s">
        <v>3148</v>
      </c>
      <c r="F330" s="2" t="s">
        <v>3149</v>
      </c>
      <c r="G330" s="2" t="s">
        <v>3150</v>
      </c>
      <c r="H330" s="2" t="s">
        <v>3151</v>
      </c>
      <c r="I330" s="2" t="s">
        <v>3152</v>
      </c>
    </row>
    <row r="331" spans="1:10" x14ac:dyDescent="0.2">
      <c r="A331" s="14" t="s">
        <v>3034</v>
      </c>
      <c r="B331" s="14" t="s">
        <v>2188</v>
      </c>
      <c r="C331" s="14" t="s">
        <v>2971</v>
      </c>
      <c r="D331" t="s">
        <v>1867</v>
      </c>
      <c r="E331" t="s">
        <v>3153</v>
      </c>
      <c r="F331" t="s">
        <v>3154</v>
      </c>
      <c r="G331" t="s">
        <v>3155</v>
      </c>
      <c r="H331" t="s">
        <v>3156</v>
      </c>
      <c r="I331" t="s">
        <v>3157</v>
      </c>
      <c r="J331" s="11"/>
    </row>
    <row r="332" spans="1:10" x14ac:dyDescent="0.2">
      <c r="A332" s="14" t="s">
        <v>3034</v>
      </c>
      <c r="B332" s="14" t="s">
        <v>2204</v>
      </c>
      <c r="C332" s="14" t="s">
        <v>1833</v>
      </c>
      <c r="D332" t="s">
        <v>1834</v>
      </c>
      <c r="E332" t="s">
        <v>2205</v>
      </c>
      <c r="F332" t="s">
        <v>1930</v>
      </c>
      <c r="G332" t="s">
        <v>1837</v>
      </c>
      <c r="H332" t="s">
        <v>1838</v>
      </c>
      <c r="I332" t="s">
        <v>1839</v>
      </c>
    </row>
    <row r="333" spans="1:10" x14ac:dyDescent="0.2">
      <c r="A333" s="14" t="s">
        <v>3034</v>
      </c>
      <c r="B333" s="14" t="s">
        <v>2206</v>
      </c>
      <c r="C333" s="14" t="s">
        <v>1840</v>
      </c>
      <c r="D333" t="s">
        <v>1841</v>
      </c>
      <c r="E333" t="s">
        <v>2207</v>
      </c>
      <c r="F333" t="s">
        <v>2457</v>
      </c>
      <c r="G333" t="s">
        <v>1844</v>
      </c>
      <c r="H333" t="s">
        <v>1845</v>
      </c>
      <c r="I333" t="s">
        <v>1839</v>
      </c>
    </row>
    <row r="335" spans="1:10" s="11" customFormat="1" x14ac:dyDescent="0.2">
      <c r="A335" s="10" t="s">
        <v>3158</v>
      </c>
      <c r="B335" s="10">
        <v>1</v>
      </c>
      <c r="C335" s="10" t="s">
        <v>3159</v>
      </c>
      <c r="D335" s="10" t="s">
        <v>3160</v>
      </c>
      <c r="E335" s="10" t="s">
        <v>3030</v>
      </c>
      <c r="F335" s="10" t="s">
        <v>3161</v>
      </c>
      <c r="G335" s="10" t="s">
        <v>3162</v>
      </c>
      <c r="H335" s="10" t="s">
        <v>3163</v>
      </c>
      <c r="I335" s="10" t="s">
        <v>3164</v>
      </c>
    </row>
    <row r="336" spans="1:10" s="11" customFormat="1" x14ac:dyDescent="0.2">
      <c r="A336" s="10" t="s">
        <v>3158</v>
      </c>
      <c r="B336" s="10">
        <v>2</v>
      </c>
      <c r="C336" s="10" t="s">
        <v>3165</v>
      </c>
      <c r="D336" s="10" t="s">
        <v>3166</v>
      </c>
      <c r="E336" s="10" t="s">
        <v>3167</v>
      </c>
      <c r="F336" s="10" t="s">
        <v>3168</v>
      </c>
      <c r="G336" s="10" t="s">
        <v>3169</v>
      </c>
      <c r="H336" s="10" t="s">
        <v>3170</v>
      </c>
      <c r="I336" s="10" t="s">
        <v>3171</v>
      </c>
    </row>
    <row r="337" spans="1:10" s="11" customFormat="1" x14ac:dyDescent="0.2">
      <c r="A337" s="10" t="s">
        <v>3158</v>
      </c>
      <c r="B337" s="10">
        <v>3</v>
      </c>
      <c r="C337" s="10" t="s">
        <v>3172</v>
      </c>
      <c r="D337" s="10" t="s">
        <v>3173</v>
      </c>
      <c r="E337" s="10" t="s">
        <v>3174</v>
      </c>
      <c r="F337" s="10" t="s">
        <v>3175</v>
      </c>
      <c r="G337" s="10" t="s">
        <v>3176</v>
      </c>
      <c r="H337" s="10" t="s">
        <v>3177</v>
      </c>
      <c r="I337" s="10" t="s">
        <v>3178</v>
      </c>
    </row>
    <row r="338" spans="1:10" s="11" customFormat="1" x14ac:dyDescent="0.2">
      <c r="A338" s="10" t="s">
        <v>3158</v>
      </c>
      <c r="B338" s="10">
        <v>4</v>
      </c>
      <c r="C338" s="10" t="s">
        <v>3179</v>
      </c>
      <c r="D338" s="10" t="s">
        <v>3180</v>
      </c>
      <c r="E338" s="10" t="s">
        <v>3181</v>
      </c>
      <c r="F338" s="10" t="s">
        <v>3182</v>
      </c>
      <c r="G338" s="10" t="s">
        <v>3183</v>
      </c>
      <c r="H338" s="10" t="s">
        <v>3184</v>
      </c>
      <c r="I338" s="10" t="s">
        <v>3185</v>
      </c>
    </row>
    <row r="339" spans="1:10" s="11" customFormat="1" x14ac:dyDescent="0.2">
      <c r="A339" s="10" t="s">
        <v>3158</v>
      </c>
      <c r="B339" s="10">
        <v>5</v>
      </c>
      <c r="C339" s="10" t="s">
        <v>3186</v>
      </c>
      <c r="D339" s="10" t="s">
        <v>3187</v>
      </c>
      <c r="E339" s="10" t="s">
        <v>3188</v>
      </c>
      <c r="F339" s="10" t="s">
        <v>3189</v>
      </c>
      <c r="G339" s="10" t="s">
        <v>3190</v>
      </c>
      <c r="H339" s="10" t="s">
        <v>3191</v>
      </c>
      <c r="I339" s="10" t="s">
        <v>3192</v>
      </c>
    </row>
    <row r="340" spans="1:10" s="11" customFormat="1" x14ac:dyDescent="0.2">
      <c r="A340" s="10" t="s">
        <v>3158</v>
      </c>
      <c r="B340" s="10">
        <v>6</v>
      </c>
      <c r="C340" s="10" t="s">
        <v>3193</v>
      </c>
      <c r="D340" s="10" t="s">
        <v>3194</v>
      </c>
      <c r="E340" s="10" t="s">
        <v>3195</v>
      </c>
      <c r="F340" s="10" t="s">
        <v>3196</v>
      </c>
      <c r="G340" s="10" t="s">
        <v>3197</v>
      </c>
      <c r="H340" s="10" t="s">
        <v>3198</v>
      </c>
      <c r="I340" s="10" t="s">
        <v>3199</v>
      </c>
    </row>
    <row r="341" spans="1:10" s="11" customFormat="1" x14ac:dyDescent="0.2">
      <c r="A341" s="10" t="s">
        <v>3158</v>
      </c>
      <c r="B341" s="10">
        <v>7</v>
      </c>
      <c r="C341" s="10" t="s">
        <v>1833</v>
      </c>
      <c r="D341" s="10" t="s">
        <v>1834</v>
      </c>
      <c r="E341" s="10" t="s">
        <v>2205</v>
      </c>
      <c r="F341" s="10" t="s">
        <v>1930</v>
      </c>
      <c r="G341" s="10" t="s">
        <v>1837</v>
      </c>
      <c r="H341" s="10" t="s">
        <v>1838</v>
      </c>
      <c r="I341" s="10" t="s">
        <v>1839</v>
      </c>
    </row>
    <row r="342" spans="1:10" x14ac:dyDescent="0.2">
      <c r="A342" s="10" t="s">
        <v>3158</v>
      </c>
      <c r="B342" s="10">
        <v>8</v>
      </c>
      <c r="C342" s="10" t="s">
        <v>1840</v>
      </c>
      <c r="D342" s="10" t="s">
        <v>1841</v>
      </c>
      <c r="E342" s="10" t="s">
        <v>2207</v>
      </c>
      <c r="F342" s="10" t="s">
        <v>2457</v>
      </c>
      <c r="G342" s="10" t="s">
        <v>1844</v>
      </c>
      <c r="H342" s="10" t="s">
        <v>1845</v>
      </c>
      <c r="I342" s="10" t="s">
        <v>1839</v>
      </c>
      <c r="J342" s="11"/>
    </row>
    <row r="344" spans="1:10" x14ac:dyDescent="0.2">
      <c r="A344" t="s">
        <v>3200</v>
      </c>
      <c r="B344" t="s">
        <v>3201</v>
      </c>
      <c r="C344" t="s">
        <v>3202</v>
      </c>
      <c r="D344" t="s">
        <v>3203</v>
      </c>
      <c r="E344" t="s">
        <v>3204</v>
      </c>
      <c r="F344" t="s">
        <v>3205</v>
      </c>
      <c r="G344" t="s">
        <v>3206</v>
      </c>
      <c r="H344" t="s">
        <v>3207</v>
      </c>
      <c r="I344" t="s">
        <v>3208</v>
      </c>
      <c r="J344" s="11"/>
    </row>
    <row r="345" spans="1:10" x14ac:dyDescent="0.2">
      <c r="A345" t="s">
        <v>3200</v>
      </c>
      <c r="B345" t="s">
        <v>3209</v>
      </c>
      <c r="C345" t="s">
        <v>3210</v>
      </c>
      <c r="D345" t="s">
        <v>3211</v>
      </c>
      <c r="E345" t="s">
        <v>3212</v>
      </c>
      <c r="F345" t="s">
        <v>3213</v>
      </c>
      <c r="G345" t="s">
        <v>3214</v>
      </c>
      <c r="H345" t="s">
        <v>3215</v>
      </c>
      <c r="I345" t="s">
        <v>3216</v>
      </c>
      <c r="J345" s="11"/>
    </row>
    <row r="346" spans="1:10" x14ac:dyDescent="0.2">
      <c r="A346" t="s">
        <v>3200</v>
      </c>
      <c r="B346" t="s">
        <v>3217</v>
      </c>
      <c r="C346" t="s">
        <v>3218</v>
      </c>
      <c r="D346" t="s">
        <v>3219</v>
      </c>
      <c r="E346" t="s">
        <v>3220</v>
      </c>
      <c r="F346" t="s">
        <v>3221</v>
      </c>
      <c r="G346" t="s">
        <v>3222</v>
      </c>
      <c r="H346" t="s">
        <v>3223</v>
      </c>
      <c r="I346" t="s">
        <v>3224</v>
      </c>
      <c r="J346" s="11"/>
    </row>
    <row r="347" spans="1:10" x14ac:dyDescent="0.2">
      <c r="A347" t="s">
        <v>3200</v>
      </c>
      <c r="B347" t="s">
        <v>3225</v>
      </c>
      <c r="C347" t="s">
        <v>3226</v>
      </c>
      <c r="D347" t="s">
        <v>3227</v>
      </c>
      <c r="E347" t="s">
        <v>3228</v>
      </c>
      <c r="F347" t="s">
        <v>3229</v>
      </c>
      <c r="G347" t="s">
        <v>3230</v>
      </c>
      <c r="H347" t="s">
        <v>3231</v>
      </c>
      <c r="I347" t="s">
        <v>3232</v>
      </c>
      <c r="J347" s="11"/>
    </row>
    <row r="348" spans="1:10" x14ac:dyDescent="0.2">
      <c r="A348" t="s">
        <v>3200</v>
      </c>
      <c r="B348" t="s">
        <v>3233</v>
      </c>
      <c r="C348" t="s">
        <v>3234</v>
      </c>
      <c r="D348" t="s">
        <v>3235</v>
      </c>
      <c r="E348" t="s">
        <v>3236</v>
      </c>
      <c r="F348" t="s">
        <v>3237</v>
      </c>
      <c r="G348" t="s">
        <v>3238</v>
      </c>
      <c r="H348" t="s">
        <v>3239</v>
      </c>
      <c r="I348" t="s">
        <v>3240</v>
      </c>
      <c r="J348" s="11"/>
    </row>
    <row r="349" spans="1:10" x14ac:dyDescent="0.2">
      <c r="A349" t="s">
        <v>3200</v>
      </c>
      <c r="B349" t="s">
        <v>3241</v>
      </c>
      <c r="C349" t="s">
        <v>3242</v>
      </c>
      <c r="D349" t="s">
        <v>3243</v>
      </c>
      <c r="E349" t="s">
        <v>3244</v>
      </c>
      <c r="F349" t="s">
        <v>3245</v>
      </c>
      <c r="G349" t="s">
        <v>3246</v>
      </c>
      <c r="H349" t="s">
        <v>3247</v>
      </c>
      <c r="I349" t="s">
        <v>3248</v>
      </c>
      <c r="J349" s="11"/>
    </row>
    <row r="350" spans="1:10" x14ac:dyDescent="0.2">
      <c r="A350" t="s">
        <v>3200</v>
      </c>
      <c r="B350" t="s">
        <v>3249</v>
      </c>
      <c r="C350" t="s">
        <v>3250</v>
      </c>
      <c r="D350" t="s">
        <v>3251</v>
      </c>
      <c r="E350" t="s">
        <v>3252</v>
      </c>
      <c r="F350" t="s">
        <v>3253</v>
      </c>
      <c r="G350" t="s">
        <v>3254</v>
      </c>
      <c r="H350" t="s">
        <v>3255</v>
      </c>
      <c r="I350" t="s">
        <v>3256</v>
      </c>
      <c r="J350" s="11"/>
    </row>
    <row r="351" spans="1:10" x14ac:dyDescent="0.2">
      <c r="A351" t="s">
        <v>3200</v>
      </c>
      <c r="B351" t="s">
        <v>2188</v>
      </c>
      <c r="C351" t="s">
        <v>2971</v>
      </c>
      <c r="D351" t="s">
        <v>1867</v>
      </c>
      <c r="E351" t="s">
        <v>3257</v>
      </c>
      <c r="F351" t="s">
        <v>3154</v>
      </c>
      <c r="G351" t="s">
        <v>3258</v>
      </c>
      <c r="H351" t="s">
        <v>3156</v>
      </c>
      <c r="I351" t="s">
        <v>3157</v>
      </c>
      <c r="J351" s="11"/>
    </row>
    <row r="352" spans="1:10" x14ac:dyDescent="0.2">
      <c r="A352" t="s">
        <v>3200</v>
      </c>
      <c r="B352" t="s">
        <v>2204</v>
      </c>
      <c r="C352" t="s">
        <v>1833</v>
      </c>
      <c r="D352" t="s">
        <v>1834</v>
      </c>
      <c r="E352" t="s">
        <v>3259</v>
      </c>
      <c r="F352" t="s">
        <v>2554</v>
      </c>
      <c r="G352" t="s">
        <v>1837</v>
      </c>
      <c r="H352" t="s">
        <v>3260</v>
      </c>
      <c r="I352" t="s">
        <v>1839</v>
      </c>
      <c r="J352" s="11"/>
    </row>
    <row r="353" spans="1:10" x14ac:dyDescent="0.2">
      <c r="A353" t="s">
        <v>3200</v>
      </c>
      <c r="B353" t="s">
        <v>2206</v>
      </c>
      <c r="C353" t="s">
        <v>1840</v>
      </c>
      <c r="D353" t="s">
        <v>1841</v>
      </c>
      <c r="E353" t="s">
        <v>2207</v>
      </c>
      <c r="F353" t="s">
        <v>2457</v>
      </c>
      <c r="G353" t="s">
        <v>1844</v>
      </c>
      <c r="H353" t="s">
        <v>1845</v>
      </c>
      <c r="I353" t="s">
        <v>1846</v>
      </c>
      <c r="J353" s="11"/>
    </row>
    <row r="355" spans="1:10" x14ac:dyDescent="0.2">
      <c r="A355" t="s">
        <v>976</v>
      </c>
      <c r="B355">
        <v>1</v>
      </c>
      <c r="C355" t="s">
        <v>3261</v>
      </c>
      <c r="D355" t="s">
        <v>3262</v>
      </c>
      <c r="E355" t="s">
        <v>3263</v>
      </c>
      <c r="F355" t="s">
        <v>3264</v>
      </c>
      <c r="G355" t="s">
        <v>3265</v>
      </c>
      <c r="H355" t="s">
        <v>3266</v>
      </c>
    </row>
    <row r="356" spans="1:10" x14ac:dyDescent="0.2">
      <c r="A356" t="s">
        <v>976</v>
      </c>
      <c r="B356">
        <v>2</v>
      </c>
      <c r="C356" t="s">
        <v>3267</v>
      </c>
      <c r="D356" t="s">
        <v>3268</v>
      </c>
      <c r="E356" t="s">
        <v>3269</v>
      </c>
      <c r="F356" t="s">
        <v>3270</v>
      </c>
      <c r="G356" t="s">
        <v>3271</v>
      </c>
      <c r="H356" t="s">
        <v>3272</v>
      </c>
    </row>
    <row r="357" spans="1:10" x14ac:dyDescent="0.2">
      <c r="A357" t="s">
        <v>976</v>
      </c>
      <c r="B357">
        <v>3</v>
      </c>
      <c r="C357" t="s">
        <v>3273</v>
      </c>
      <c r="D357" t="s">
        <v>3274</v>
      </c>
      <c r="E357" t="s">
        <v>3275</v>
      </c>
      <c r="F357" t="s">
        <v>3276</v>
      </c>
      <c r="G357" t="s">
        <v>3277</v>
      </c>
      <c r="H357" t="s">
        <v>3278</v>
      </c>
    </row>
    <row r="358" spans="1:10" x14ac:dyDescent="0.2">
      <c r="A358" t="s">
        <v>976</v>
      </c>
      <c r="B358">
        <v>4</v>
      </c>
      <c r="C358" t="s">
        <v>3279</v>
      </c>
      <c r="D358" t="s">
        <v>3280</v>
      </c>
      <c r="E358" t="s">
        <v>3281</v>
      </c>
      <c r="F358" t="s">
        <v>3282</v>
      </c>
      <c r="G358" t="s">
        <v>3283</v>
      </c>
      <c r="H358" t="s">
        <v>3284</v>
      </c>
    </row>
    <row r="359" spans="1:10" x14ac:dyDescent="0.2">
      <c r="A359" t="s">
        <v>976</v>
      </c>
      <c r="B359">
        <v>5</v>
      </c>
      <c r="C359" t="s">
        <v>3285</v>
      </c>
      <c r="D359" t="s">
        <v>3286</v>
      </c>
      <c r="E359" t="s">
        <v>3287</v>
      </c>
      <c r="F359" t="s">
        <v>3288</v>
      </c>
      <c r="G359" t="s">
        <v>3289</v>
      </c>
      <c r="H359" t="s">
        <v>3290</v>
      </c>
    </row>
    <row r="360" spans="1:10" x14ac:dyDescent="0.2">
      <c r="A360" t="s">
        <v>976</v>
      </c>
      <c r="B360">
        <v>6</v>
      </c>
      <c r="C360" t="s">
        <v>3291</v>
      </c>
      <c r="D360" t="s">
        <v>3292</v>
      </c>
      <c r="E360" t="s">
        <v>3293</v>
      </c>
      <c r="F360" t="s">
        <v>3294</v>
      </c>
      <c r="G360" t="s">
        <v>3295</v>
      </c>
      <c r="H360" t="s">
        <v>3296</v>
      </c>
    </row>
    <row r="361" spans="1:10" x14ac:dyDescent="0.2">
      <c r="A361" t="s">
        <v>976</v>
      </c>
      <c r="B361">
        <v>7</v>
      </c>
      <c r="C361" t="s">
        <v>3297</v>
      </c>
      <c r="D361" t="s">
        <v>3298</v>
      </c>
      <c r="E361" t="s">
        <v>3299</v>
      </c>
      <c r="F361" t="s">
        <v>3300</v>
      </c>
      <c r="G361" t="s">
        <v>3301</v>
      </c>
      <c r="H361" t="s">
        <v>3302</v>
      </c>
    </row>
    <row r="362" spans="1:10" x14ac:dyDescent="0.2">
      <c r="A362" t="s">
        <v>976</v>
      </c>
      <c r="B362">
        <v>8</v>
      </c>
      <c r="C362" t="s">
        <v>3303</v>
      </c>
      <c r="D362" t="s">
        <v>3304</v>
      </c>
      <c r="E362" t="s">
        <v>3305</v>
      </c>
      <c r="F362" t="s">
        <v>3306</v>
      </c>
      <c r="G362" t="s">
        <v>3307</v>
      </c>
      <c r="H362" t="s">
        <v>3308</v>
      </c>
    </row>
    <row r="363" spans="1:10" x14ac:dyDescent="0.2">
      <c r="A363" t="s">
        <v>976</v>
      </c>
      <c r="B363">
        <v>9</v>
      </c>
      <c r="C363" t="s">
        <v>2971</v>
      </c>
      <c r="D363" t="s">
        <v>1867</v>
      </c>
      <c r="E363" t="s">
        <v>3309</v>
      </c>
      <c r="F363" t="s">
        <v>3154</v>
      </c>
      <c r="G363" t="s">
        <v>2974</v>
      </c>
      <c r="H363" t="s">
        <v>3156</v>
      </c>
    </row>
    <row r="364" spans="1:10" x14ac:dyDescent="0.2">
      <c r="A364" t="s">
        <v>976</v>
      </c>
      <c r="B364" s="15">
        <v>10</v>
      </c>
      <c r="C364" t="s">
        <v>1833</v>
      </c>
      <c r="D364" t="s">
        <v>1834</v>
      </c>
      <c r="E364" t="s">
        <v>2205</v>
      </c>
      <c r="F364" t="s">
        <v>2554</v>
      </c>
      <c r="G364" t="s">
        <v>1837</v>
      </c>
      <c r="H364" t="s">
        <v>1838</v>
      </c>
    </row>
    <row r="365" spans="1:10" x14ac:dyDescent="0.2">
      <c r="A365" t="s">
        <v>976</v>
      </c>
      <c r="B365" s="15">
        <v>11</v>
      </c>
      <c r="C365" t="s">
        <v>1840</v>
      </c>
      <c r="D365" t="s">
        <v>1841</v>
      </c>
      <c r="E365" t="s">
        <v>2207</v>
      </c>
      <c r="F365" t="s">
        <v>2457</v>
      </c>
      <c r="G365" t="s">
        <v>1844</v>
      </c>
      <c r="H365" t="s">
        <v>1845</v>
      </c>
    </row>
    <row r="367" spans="1:10" x14ac:dyDescent="0.2">
      <c r="A367" t="s">
        <v>3310</v>
      </c>
      <c r="B367" t="s">
        <v>3311</v>
      </c>
      <c r="C367" t="s">
        <v>3312</v>
      </c>
      <c r="D367" t="s">
        <v>3313</v>
      </c>
      <c r="E367" t="s">
        <v>3314</v>
      </c>
      <c r="F367" t="s">
        <v>3315</v>
      </c>
      <c r="G367" t="s">
        <v>3316</v>
      </c>
      <c r="H367" t="s">
        <v>3317</v>
      </c>
      <c r="J367" s="11"/>
    </row>
    <row r="368" spans="1:10" x14ac:dyDescent="0.2">
      <c r="A368" t="s">
        <v>3310</v>
      </c>
      <c r="B368" t="s">
        <v>3318</v>
      </c>
      <c r="C368" t="s">
        <v>3319</v>
      </c>
      <c r="D368" t="s">
        <v>3320</v>
      </c>
      <c r="E368" t="s">
        <v>3321</v>
      </c>
      <c r="F368" t="s">
        <v>3322</v>
      </c>
      <c r="G368" t="s">
        <v>3323</v>
      </c>
      <c r="H368" t="s">
        <v>3324</v>
      </c>
      <c r="J368" s="11"/>
    </row>
    <row r="369" spans="1:10" x14ac:dyDescent="0.2">
      <c r="A369" t="s">
        <v>3310</v>
      </c>
      <c r="B369" t="s">
        <v>3325</v>
      </c>
      <c r="C369" t="s">
        <v>3326</v>
      </c>
      <c r="D369" t="s">
        <v>3327</v>
      </c>
      <c r="E369" t="s">
        <v>3328</v>
      </c>
      <c r="F369" t="s">
        <v>3329</v>
      </c>
      <c r="G369" t="s">
        <v>3330</v>
      </c>
      <c r="H369" t="s">
        <v>3331</v>
      </c>
      <c r="J369" s="11"/>
    </row>
    <row r="370" spans="1:10" x14ac:dyDescent="0.2">
      <c r="A370" t="s">
        <v>3310</v>
      </c>
      <c r="B370" t="s">
        <v>3332</v>
      </c>
      <c r="C370" t="s">
        <v>3333</v>
      </c>
      <c r="D370" t="s">
        <v>3334</v>
      </c>
      <c r="E370" t="s">
        <v>3335</v>
      </c>
      <c r="F370" t="s">
        <v>3336</v>
      </c>
      <c r="G370" t="s">
        <v>3337</v>
      </c>
      <c r="H370" t="s">
        <v>3338</v>
      </c>
      <c r="J370" s="11"/>
    </row>
    <row r="371" spans="1:10" x14ac:dyDescent="0.2">
      <c r="A371" t="s">
        <v>3310</v>
      </c>
      <c r="B371" t="s">
        <v>3339</v>
      </c>
      <c r="C371" t="s">
        <v>3340</v>
      </c>
      <c r="D371" t="s">
        <v>3341</v>
      </c>
      <c r="E371" t="s">
        <v>3342</v>
      </c>
      <c r="F371" t="s">
        <v>3343</v>
      </c>
      <c r="G371" t="s">
        <v>3344</v>
      </c>
      <c r="H371" t="s">
        <v>3345</v>
      </c>
      <c r="J371" s="11"/>
    </row>
    <row r="372" spans="1:10" x14ac:dyDescent="0.2">
      <c r="A372" t="s">
        <v>3310</v>
      </c>
      <c r="B372" t="s">
        <v>3346</v>
      </c>
      <c r="C372" t="s">
        <v>3347</v>
      </c>
      <c r="D372" t="s">
        <v>3348</v>
      </c>
      <c r="E372" t="s">
        <v>3349</v>
      </c>
      <c r="F372" t="s">
        <v>3350</v>
      </c>
      <c r="G372" t="s">
        <v>3351</v>
      </c>
      <c r="H372" t="s">
        <v>3352</v>
      </c>
      <c r="J372" s="11"/>
    </row>
    <row r="373" spans="1:10" x14ac:dyDescent="0.2">
      <c r="A373" t="s">
        <v>3310</v>
      </c>
      <c r="B373" t="s">
        <v>3353</v>
      </c>
      <c r="C373" t="s">
        <v>3354</v>
      </c>
      <c r="D373" t="s">
        <v>3355</v>
      </c>
      <c r="E373" t="s">
        <v>3356</v>
      </c>
      <c r="F373" t="s">
        <v>3357</v>
      </c>
      <c r="G373" t="s">
        <v>3358</v>
      </c>
      <c r="H373" t="s">
        <v>3359</v>
      </c>
      <c r="J373" s="11"/>
    </row>
    <row r="374" spans="1:10" x14ac:dyDescent="0.2">
      <c r="A374" t="s">
        <v>3310</v>
      </c>
      <c r="B374" t="s">
        <v>3360</v>
      </c>
      <c r="C374" t="s">
        <v>3361</v>
      </c>
      <c r="D374" t="s">
        <v>3362</v>
      </c>
      <c r="E374" t="s">
        <v>3363</v>
      </c>
      <c r="F374" t="s">
        <v>3364</v>
      </c>
      <c r="G374" t="s">
        <v>3365</v>
      </c>
      <c r="H374" t="s">
        <v>3366</v>
      </c>
      <c r="J374" s="11"/>
    </row>
    <row r="375" spans="1:10" x14ac:dyDescent="0.2">
      <c r="A375" t="s">
        <v>3310</v>
      </c>
      <c r="B375" t="s">
        <v>3367</v>
      </c>
      <c r="C375" t="s">
        <v>3368</v>
      </c>
      <c r="D375" t="s">
        <v>3369</v>
      </c>
      <c r="E375" t="s">
        <v>3370</v>
      </c>
      <c r="F375" t="s">
        <v>3371</v>
      </c>
      <c r="G375" t="s">
        <v>3372</v>
      </c>
      <c r="H375" t="s">
        <v>3373</v>
      </c>
      <c r="J375" s="11"/>
    </row>
    <row r="376" spans="1:10" x14ac:dyDescent="0.2">
      <c r="A376" t="s">
        <v>3310</v>
      </c>
      <c r="B376" t="s">
        <v>3374</v>
      </c>
      <c r="C376" t="s">
        <v>3375</v>
      </c>
      <c r="D376" t="s">
        <v>3376</v>
      </c>
      <c r="E376" t="s">
        <v>3377</v>
      </c>
      <c r="F376" t="s">
        <v>3378</v>
      </c>
      <c r="G376" t="s">
        <v>3379</v>
      </c>
      <c r="H376" t="s">
        <v>3380</v>
      </c>
      <c r="J376" s="11"/>
    </row>
    <row r="377" spans="1:10" x14ac:dyDescent="0.2">
      <c r="A377" t="s">
        <v>3310</v>
      </c>
      <c r="B377" t="s">
        <v>3381</v>
      </c>
      <c r="C377" t="s">
        <v>3382</v>
      </c>
      <c r="D377" t="s">
        <v>3383</v>
      </c>
      <c r="E377" t="s">
        <v>3384</v>
      </c>
      <c r="F377" t="s">
        <v>3385</v>
      </c>
      <c r="G377" t="s">
        <v>3386</v>
      </c>
      <c r="H377" t="s">
        <v>3387</v>
      </c>
      <c r="J377" s="11"/>
    </row>
    <row r="378" spans="1:10" x14ac:dyDescent="0.2">
      <c r="A378" t="s">
        <v>3310</v>
      </c>
      <c r="B378" t="s">
        <v>3388</v>
      </c>
      <c r="C378" t="s">
        <v>2971</v>
      </c>
      <c r="D378" t="s">
        <v>1867</v>
      </c>
      <c r="E378" t="s">
        <v>3389</v>
      </c>
      <c r="F378" t="s">
        <v>3154</v>
      </c>
      <c r="G378" t="s">
        <v>2974</v>
      </c>
      <c r="H378" t="s">
        <v>3156</v>
      </c>
      <c r="J378" s="11"/>
    </row>
    <row r="379" spans="1:10" x14ac:dyDescent="0.2">
      <c r="A379" t="s">
        <v>3310</v>
      </c>
      <c r="B379" t="s">
        <v>3390</v>
      </c>
      <c r="C379" t="s">
        <v>1833</v>
      </c>
      <c r="D379" t="s">
        <v>1834</v>
      </c>
      <c r="E379" t="s">
        <v>3391</v>
      </c>
      <c r="F379" t="s">
        <v>2554</v>
      </c>
      <c r="G379" t="s">
        <v>1837</v>
      </c>
      <c r="H379" t="s">
        <v>3260</v>
      </c>
      <c r="J379" s="11"/>
    </row>
    <row r="380" spans="1:10" ht="14.25" customHeight="1" x14ac:dyDescent="0.2">
      <c r="A380" t="s">
        <v>3310</v>
      </c>
      <c r="B380" t="s">
        <v>3392</v>
      </c>
      <c r="C380" t="s">
        <v>1840</v>
      </c>
      <c r="D380" t="s">
        <v>1841</v>
      </c>
      <c r="E380" t="s">
        <v>2207</v>
      </c>
      <c r="F380" t="s">
        <v>2457</v>
      </c>
      <c r="G380" t="s">
        <v>1844</v>
      </c>
      <c r="H380" t="s">
        <v>1845</v>
      </c>
      <c r="J380" s="11"/>
    </row>
    <row r="381" spans="1:10" ht="14.25" customHeight="1" x14ac:dyDescent="0.2">
      <c r="J381" s="11"/>
    </row>
    <row r="382" spans="1:10" s="11" customFormat="1" ht="14.25" customHeight="1" x14ac:dyDescent="0.2">
      <c r="A382" s="10" t="s">
        <v>3393</v>
      </c>
      <c r="B382" s="10" t="s">
        <v>3394</v>
      </c>
      <c r="C382" s="10" t="s">
        <v>3395</v>
      </c>
      <c r="D382" s="10" t="s">
        <v>3396</v>
      </c>
      <c r="E382" s="10" t="s">
        <v>3397</v>
      </c>
      <c r="F382" s="10" t="s">
        <v>3398</v>
      </c>
      <c r="G382" s="10" t="s">
        <v>3399</v>
      </c>
      <c r="H382" s="10" t="s">
        <v>3400</v>
      </c>
      <c r="I382" s="10"/>
    </row>
    <row r="383" spans="1:10" s="11" customFormat="1" ht="14.25" customHeight="1" x14ac:dyDescent="0.2">
      <c r="A383" s="10" t="s">
        <v>3393</v>
      </c>
      <c r="B383" s="10" t="s">
        <v>3401</v>
      </c>
      <c r="C383" s="10" t="s">
        <v>3402</v>
      </c>
      <c r="D383" s="10" t="s">
        <v>3403</v>
      </c>
      <c r="E383" s="10" t="s">
        <v>3404</v>
      </c>
      <c r="F383" s="10" t="s">
        <v>3405</v>
      </c>
      <c r="G383" s="10" t="s">
        <v>3406</v>
      </c>
      <c r="H383" s="10" t="s">
        <v>3407</v>
      </c>
      <c r="I383" s="10"/>
    </row>
    <row r="384" spans="1:10" s="11" customFormat="1" ht="14.25" customHeight="1" x14ac:dyDescent="0.2">
      <c r="A384" s="10" t="s">
        <v>3393</v>
      </c>
      <c r="B384" s="10" t="s">
        <v>3408</v>
      </c>
      <c r="C384" s="10" t="s">
        <v>3409</v>
      </c>
      <c r="D384" s="10" t="s">
        <v>3410</v>
      </c>
      <c r="E384" s="10" t="s">
        <v>3411</v>
      </c>
      <c r="F384" s="10" t="s">
        <v>3412</v>
      </c>
      <c r="G384" s="10" t="s">
        <v>3413</v>
      </c>
      <c r="H384" s="10" t="s">
        <v>3414</v>
      </c>
      <c r="I384" s="10"/>
    </row>
    <row r="385" spans="1:10" s="11" customFormat="1" ht="14.25" customHeight="1" x14ac:dyDescent="0.2">
      <c r="A385" s="10" t="s">
        <v>3393</v>
      </c>
      <c r="B385" s="10" t="s">
        <v>3415</v>
      </c>
      <c r="C385" s="10" t="s">
        <v>3416</v>
      </c>
      <c r="D385" s="10" t="s">
        <v>3417</v>
      </c>
      <c r="E385" s="10" t="s">
        <v>3418</v>
      </c>
      <c r="F385" s="10" t="s">
        <v>3419</v>
      </c>
      <c r="G385" s="10" t="s">
        <v>3420</v>
      </c>
      <c r="H385" s="10" t="s">
        <v>3421</v>
      </c>
      <c r="I385" s="10"/>
    </row>
    <row r="386" spans="1:10" s="11" customFormat="1" ht="14.25" customHeight="1" x14ac:dyDescent="0.2">
      <c r="A386" s="10" t="s">
        <v>3393</v>
      </c>
      <c r="B386" s="10" t="s">
        <v>3422</v>
      </c>
      <c r="C386" s="10" t="s">
        <v>3423</v>
      </c>
      <c r="D386" s="10" t="s">
        <v>3424</v>
      </c>
      <c r="E386" s="10" t="s">
        <v>3425</v>
      </c>
      <c r="F386" s="10" t="s">
        <v>3426</v>
      </c>
      <c r="G386" s="10" t="s">
        <v>3427</v>
      </c>
      <c r="H386" s="10" t="s">
        <v>3428</v>
      </c>
      <c r="I386" s="10"/>
    </row>
    <row r="387" spans="1:10" s="11" customFormat="1" ht="14.25" customHeight="1" x14ac:dyDescent="0.2">
      <c r="A387" s="10" t="s">
        <v>3393</v>
      </c>
      <c r="B387" s="10" t="s">
        <v>2188</v>
      </c>
      <c r="C387" s="10" t="s">
        <v>3429</v>
      </c>
      <c r="D387" s="10" t="s">
        <v>1867</v>
      </c>
      <c r="E387" s="10" t="s">
        <v>3430</v>
      </c>
      <c r="F387" s="10" t="s">
        <v>3154</v>
      </c>
      <c r="G387" s="10" t="s">
        <v>2974</v>
      </c>
      <c r="H387" s="10" t="s">
        <v>3156</v>
      </c>
      <c r="I387" s="10"/>
    </row>
    <row r="388" spans="1:10" s="11" customFormat="1" ht="14.25" customHeight="1" x14ac:dyDescent="0.2">
      <c r="A388" s="10" t="s">
        <v>3393</v>
      </c>
      <c r="B388" s="10" t="s">
        <v>2204</v>
      </c>
      <c r="C388" s="10" t="s">
        <v>1833</v>
      </c>
      <c r="D388" s="10" t="s">
        <v>1834</v>
      </c>
      <c r="E388" s="10" t="s">
        <v>2205</v>
      </c>
      <c r="F388" s="10" t="s">
        <v>2554</v>
      </c>
      <c r="G388" s="10" t="s">
        <v>1837</v>
      </c>
      <c r="H388" s="10" t="s">
        <v>3260</v>
      </c>
      <c r="I388" s="10"/>
    </row>
    <row r="389" spans="1:10" s="11" customFormat="1" ht="14.25" customHeight="1" x14ac:dyDescent="0.2">
      <c r="A389" s="10" t="s">
        <v>3393</v>
      </c>
      <c r="B389" s="10" t="s">
        <v>2206</v>
      </c>
      <c r="C389" s="10" t="s">
        <v>1840</v>
      </c>
      <c r="D389" s="10" t="s">
        <v>1841</v>
      </c>
      <c r="E389" s="10" t="s">
        <v>2207</v>
      </c>
      <c r="F389" s="10" t="s">
        <v>2457</v>
      </c>
      <c r="G389" s="10" t="s">
        <v>1844</v>
      </c>
      <c r="H389" s="10" t="s">
        <v>1845</v>
      </c>
      <c r="I389" s="10"/>
    </row>
    <row r="390" spans="1:10" ht="14.25" customHeight="1" x14ac:dyDescent="0.2"/>
    <row r="391" spans="1:10" x14ac:dyDescent="0.2">
      <c r="A391" t="s">
        <v>3431</v>
      </c>
      <c r="B391" t="s">
        <v>3432</v>
      </c>
      <c r="C391" t="s">
        <v>3433</v>
      </c>
      <c r="D391" t="s">
        <v>3434</v>
      </c>
      <c r="E391" t="s">
        <v>3435</v>
      </c>
      <c r="F391" t="s">
        <v>3436</v>
      </c>
      <c r="G391" t="s">
        <v>3437</v>
      </c>
      <c r="H391" t="s">
        <v>3438</v>
      </c>
      <c r="J391" s="11"/>
    </row>
    <row r="392" spans="1:10" x14ac:dyDescent="0.2">
      <c r="A392" t="s">
        <v>3431</v>
      </c>
      <c r="B392" t="s">
        <v>3439</v>
      </c>
      <c r="C392" t="s">
        <v>3440</v>
      </c>
      <c r="D392" t="s">
        <v>3441</v>
      </c>
      <c r="E392" t="s">
        <v>3442</v>
      </c>
      <c r="F392" t="s">
        <v>3443</v>
      </c>
      <c r="G392" t="s">
        <v>3444</v>
      </c>
      <c r="H392" t="s">
        <v>3445</v>
      </c>
      <c r="J392" s="11"/>
    </row>
    <row r="393" spans="1:10" x14ac:dyDescent="0.2">
      <c r="A393" t="s">
        <v>3431</v>
      </c>
      <c r="B393" t="s">
        <v>3446</v>
      </c>
      <c r="C393" t="s">
        <v>3447</v>
      </c>
      <c r="D393" t="s">
        <v>3448</v>
      </c>
      <c r="E393" t="s">
        <v>3449</v>
      </c>
      <c r="F393" t="s">
        <v>3450</v>
      </c>
      <c r="G393" t="s">
        <v>3451</v>
      </c>
      <c r="H393" t="s">
        <v>3452</v>
      </c>
      <c r="J393" s="11"/>
    </row>
    <row r="394" spans="1:10" x14ac:dyDescent="0.2">
      <c r="A394" t="s">
        <v>3431</v>
      </c>
      <c r="B394" t="s">
        <v>3453</v>
      </c>
      <c r="C394" t="s">
        <v>3454</v>
      </c>
      <c r="D394" t="s">
        <v>3455</v>
      </c>
      <c r="E394" t="s">
        <v>3456</v>
      </c>
      <c r="F394" t="s">
        <v>3457</v>
      </c>
      <c r="G394" t="s">
        <v>3458</v>
      </c>
      <c r="H394" t="s">
        <v>3459</v>
      </c>
      <c r="J394" s="11"/>
    </row>
    <row r="395" spans="1:10" x14ac:dyDescent="0.2">
      <c r="A395" t="s">
        <v>3431</v>
      </c>
      <c r="B395" t="s">
        <v>3460</v>
      </c>
      <c r="C395" t="s">
        <v>3461</v>
      </c>
      <c r="D395" t="s">
        <v>3462</v>
      </c>
      <c r="E395" t="s">
        <v>3463</v>
      </c>
      <c r="F395" t="s">
        <v>3464</v>
      </c>
      <c r="G395" t="s">
        <v>3465</v>
      </c>
      <c r="H395" t="s">
        <v>3466</v>
      </c>
      <c r="J395" s="11"/>
    </row>
    <row r="396" spans="1:10" x14ac:dyDescent="0.2">
      <c r="A396" t="s">
        <v>3431</v>
      </c>
      <c r="B396" t="s">
        <v>3467</v>
      </c>
      <c r="C396" t="s">
        <v>3468</v>
      </c>
      <c r="D396" t="s">
        <v>3469</v>
      </c>
      <c r="E396" t="s">
        <v>3470</v>
      </c>
      <c r="F396" t="s">
        <v>3471</v>
      </c>
      <c r="G396" t="s">
        <v>3472</v>
      </c>
      <c r="H396" t="s">
        <v>3473</v>
      </c>
      <c r="J396" s="11"/>
    </row>
    <row r="397" spans="1:10" x14ac:dyDescent="0.2">
      <c r="A397" t="s">
        <v>3431</v>
      </c>
      <c r="B397" t="s">
        <v>3474</v>
      </c>
      <c r="C397" t="s">
        <v>3475</v>
      </c>
      <c r="D397" t="s">
        <v>3476</v>
      </c>
      <c r="E397" t="s">
        <v>3477</v>
      </c>
      <c r="F397" t="s">
        <v>3478</v>
      </c>
      <c r="G397" t="s">
        <v>3479</v>
      </c>
      <c r="H397" t="s">
        <v>3480</v>
      </c>
      <c r="J397" s="11"/>
    </row>
    <row r="398" spans="1:10" x14ac:dyDescent="0.2">
      <c r="A398" t="s">
        <v>3431</v>
      </c>
      <c r="B398" t="s">
        <v>3481</v>
      </c>
      <c r="C398" t="s">
        <v>3482</v>
      </c>
      <c r="D398" t="s">
        <v>3483</v>
      </c>
      <c r="E398" t="s">
        <v>3484</v>
      </c>
      <c r="F398" t="s">
        <v>3485</v>
      </c>
      <c r="G398" t="s">
        <v>3486</v>
      </c>
      <c r="H398" t="s">
        <v>3487</v>
      </c>
      <c r="J398" s="11"/>
    </row>
    <row r="399" spans="1:10" x14ac:dyDescent="0.2">
      <c r="A399" t="s">
        <v>3431</v>
      </c>
      <c r="B399" t="s">
        <v>3145</v>
      </c>
      <c r="C399" t="s">
        <v>3146</v>
      </c>
      <c r="D399" t="s">
        <v>3147</v>
      </c>
      <c r="E399" t="s">
        <v>3488</v>
      </c>
      <c r="F399" t="s">
        <v>3489</v>
      </c>
      <c r="G399" t="s">
        <v>3150</v>
      </c>
      <c r="H399" t="s">
        <v>3490</v>
      </c>
      <c r="J399" s="11"/>
    </row>
    <row r="400" spans="1:10" x14ac:dyDescent="0.2">
      <c r="A400" t="s">
        <v>3431</v>
      </c>
      <c r="B400" t="s">
        <v>3097</v>
      </c>
      <c r="C400" t="s">
        <v>3098</v>
      </c>
      <c r="D400" t="s">
        <v>3099</v>
      </c>
      <c r="E400" t="s">
        <v>3491</v>
      </c>
      <c r="F400" t="s">
        <v>3492</v>
      </c>
      <c r="G400" t="s">
        <v>3493</v>
      </c>
      <c r="H400" t="s">
        <v>3494</v>
      </c>
      <c r="J400" s="11"/>
    </row>
    <row r="401" spans="1:9" x14ac:dyDescent="0.2">
      <c r="A401" t="s">
        <v>3431</v>
      </c>
      <c r="B401" t="s">
        <v>2188</v>
      </c>
      <c r="C401" t="s">
        <v>2971</v>
      </c>
      <c r="D401" t="s">
        <v>1867</v>
      </c>
      <c r="E401" t="s">
        <v>3257</v>
      </c>
      <c r="F401" t="s">
        <v>3154</v>
      </c>
      <c r="G401" t="s">
        <v>2974</v>
      </c>
      <c r="H401" t="s">
        <v>3156</v>
      </c>
    </row>
    <row r="402" spans="1:9" x14ac:dyDescent="0.2">
      <c r="A402" t="s">
        <v>3431</v>
      </c>
      <c r="B402" t="s">
        <v>2204</v>
      </c>
      <c r="C402" t="s">
        <v>1833</v>
      </c>
      <c r="D402" t="s">
        <v>1834</v>
      </c>
      <c r="E402" t="s">
        <v>2205</v>
      </c>
      <c r="F402" t="s">
        <v>1930</v>
      </c>
      <c r="G402" t="s">
        <v>1837</v>
      </c>
      <c r="H402" t="s">
        <v>1838</v>
      </c>
    </row>
    <row r="403" spans="1:9" x14ac:dyDescent="0.2">
      <c r="A403" t="s">
        <v>3431</v>
      </c>
      <c r="B403" t="s">
        <v>2206</v>
      </c>
      <c r="C403" t="s">
        <v>1840</v>
      </c>
      <c r="D403" t="s">
        <v>1841</v>
      </c>
      <c r="E403" t="s">
        <v>2207</v>
      </c>
      <c r="F403" t="s">
        <v>2457</v>
      </c>
      <c r="G403" t="s">
        <v>1844</v>
      </c>
      <c r="H403" t="s">
        <v>1845</v>
      </c>
    </row>
    <row r="405" spans="1:9" x14ac:dyDescent="0.2">
      <c r="A405" s="10" t="s">
        <v>3495</v>
      </c>
      <c r="B405" s="10">
        <v>1</v>
      </c>
      <c r="C405" s="10" t="s">
        <v>3261</v>
      </c>
      <c r="D405" s="10" t="s">
        <v>3262</v>
      </c>
      <c r="E405" s="10" t="s">
        <v>3263</v>
      </c>
      <c r="F405" s="10" t="s">
        <v>3264</v>
      </c>
      <c r="G405" s="10" t="s">
        <v>3496</v>
      </c>
      <c r="H405" s="10" t="s">
        <v>3266</v>
      </c>
      <c r="I405" s="10"/>
    </row>
    <row r="406" spans="1:9" x14ac:dyDescent="0.2">
      <c r="A406" s="10" t="s">
        <v>3495</v>
      </c>
      <c r="B406" s="10">
        <v>2</v>
      </c>
      <c r="C406" s="10" t="s">
        <v>3267</v>
      </c>
      <c r="D406" s="10" t="s">
        <v>3268</v>
      </c>
      <c r="E406" s="10" t="s">
        <v>3269</v>
      </c>
      <c r="F406" s="10" t="s">
        <v>3270</v>
      </c>
      <c r="G406" s="10" t="s">
        <v>3497</v>
      </c>
      <c r="H406" s="10" t="s">
        <v>3272</v>
      </c>
      <c r="I406" s="10"/>
    </row>
    <row r="407" spans="1:9" x14ac:dyDescent="0.2">
      <c r="A407" s="10" t="s">
        <v>3495</v>
      </c>
      <c r="B407" s="10">
        <v>3</v>
      </c>
      <c r="C407" s="10" t="s">
        <v>3273</v>
      </c>
      <c r="D407" s="10" t="s">
        <v>3274</v>
      </c>
      <c r="E407" s="10" t="s">
        <v>3275</v>
      </c>
      <c r="F407" s="10" t="s">
        <v>3276</v>
      </c>
      <c r="G407" s="10" t="s">
        <v>3498</v>
      </c>
      <c r="H407" s="10" t="s">
        <v>3278</v>
      </c>
      <c r="I407" s="10"/>
    </row>
    <row r="408" spans="1:9" x14ac:dyDescent="0.2">
      <c r="A408" s="10" t="s">
        <v>3495</v>
      </c>
      <c r="B408" s="10">
        <v>4</v>
      </c>
      <c r="C408" s="10" t="s">
        <v>3279</v>
      </c>
      <c r="D408" s="10" t="s">
        <v>3280</v>
      </c>
      <c r="E408" s="10" t="s">
        <v>3281</v>
      </c>
      <c r="F408" s="10" t="s">
        <v>3282</v>
      </c>
      <c r="G408" s="10" t="s">
        <v>3283</v>
      </c>
      <c r="H408" s="10" t="s">
        <v>3499</v>
      </c>
      <c r="I408" s="10"/>
    </row>
    <row r="409" spans="1:9" x14ac:dyDescent="0.2">
      <c r="A409" s="10" t="s">
        <v>3495</v>
      </c>
      <c r="B409" s="10">
        <v>5</v>
      </c>
      <c r="C409" s="10" t="s">
        <v>3285</v>
      </c>
      <c r="D409" s="10" t="s">
        <v>3286</v>
      </c>
      <c r="E409" s="10" t="s">
        <v>3287</v>
      </c>
      <c r="F409" s="10" t="s">
        <v>3288</v>
      </c>
      <c r="G409" s="10" t="s">
        <v>3289</v>
      </c>
      <c r="H409" s="10" t="s">
        <v>3290</v>
      </c>
      <c r="I409" s="10"/>
    </row>
    <row r="410" spans="1:9" x14ac:dyDescent="0.2">
      <c r="A410" s="10" t="s">
        <v>3495</v>
      </c>
      <c r="B410" s="10">
        <v>6</v>
      </c>
      <c r="C410" s="10" t="s">
        <v>3291</v>
      </c>
      <c r="D410" s="10" t="s">
        <v>3292</v>
      </c>
      <c r="E410" s="10" t="s">
        <v>3293</v>
      </c>
      <c r="F410" s="10" t="s">
        <v>3294</v>
      </c>
      <c r="G410" s="10" t="s">
        <v>3295</v>
      </c>
      <c r="H410" s="10" t="s">
        <v>3296</v>
      </c>
      <c r="I410" s="10"/>
    </row>
    <row r="411" spans="1:9" x14ac:dyDescent="0.2">
      <c r="A411" s="10" t="s">
        <v>3495</v>
      </c>
      <c r="B411" s="10">
        <v>7</v>
      </c>
      <c r="C411" s="10" t="s">
        <v>3297</v>
      </c>
      <c r="D411" s="10" t="s">
        <v>3298</v>
      </c>
      <c r="E411" s="10" t="s">
        <v>3299</v>
      </c>
      <c r="F411" s="10" t="s">
        <v>3300</v>
      </c>
      <c r="G411" s="10" t="s">
        <v>3301</v>
      </c>
      <c r="H411" s="10" t="s">
        <v>3302</v>
      </c>
      <c r="I411" s="10"/>
    </row>
    <row r="412" spans="1:9" x14ac:dyDescent="0.2">
      <c r="A412" s="10" t="s">
        <v>3495</v>
      </c>
      <c r="B412" s="10">
        <v>8</v>
      </c>
      <c r="C412" s="10" t="s">
        <v>3303</v>
      </c>
      <c r="D412" s="10" t="s">
        <v>3304</v>
      </c>
      <c r="E412" s="10" t="s">
        <v>3305</v>
      </c>
      <c r="F412" s="10" t="s">
        <v>3306</v>
      </c>
      <c r="G412" s="10" t="s">
        <v>3500</v>
      </c>
      <c r="H412" s="10" t="s">
        <v>3308</v>
      </c>
      <c r="I412" s="10"/>
    </row>
    <row r="413" spans="1:9" x14ac:dyDescent="0.2">
      <c r="A413" s="10" t="s">
        <v>3495</v>
      </c>
      <c r="B413" s="10">
        <v>9</v>
      </c>
      <c r="C413" s="10" t="s">
        <v>2971</v>
      </c>
      <c r="D413" s="10" t="s">
        <v>1867</v>
      </c>
      <c r="E413" s="10" t="s">
        <v>3257</v>
      </c>
      <c r="F413" s="10" t="s">
        <v>3154</v>
      </c>
      <c r="G413" s="10" t="s">
        <v>2974</v>
      </c>
      <c r="H413" s="10" t="s">
        <v>3501</v>
      </c>
      <c r="I413" s="10"/>
    </row>
    <row r="414" spans="1:9" x14ac:dyDescent="0.2">
      <c r="A414" s="10" t="s">
        <v>3495</v>
      </c>
      <c r="B414" s="10">
        <v>666</v>
      </c>
      <c r="C414" s="10" t="s">
        <v>3502</v>
      </c>
      <c r="D414" s="10" t="s">
        <v>3503</v>
      </c>
      <c r="E414" s="10" t="s">
        <v>3504</v>
      </c>
      <c r="F414" s="10" t="s">
        <v>3505</v>
      </c>
      <c r="G414" s="10" t="s">
        <v>3506</v>
      </c>
      <c r="H414" s="10" t="s">
        <v>3507</v>
      </c>
      <c r="I414" s="10"/>
    </row>
    <row r="415" spans="1:9" x14ac:dyDescent="0.2">
      <c r="A415" s="10" t="s">
        <v>3495</v>
      </c>
      <c r="B415" s="10">
        <v>10</v>
      </c>
      <c r="C415" s="10" t="s">
        <v>1833</v>
      </c>
      <c r="D415" s="10" t="s">
        <v>1834</v>
      </c>
      <c r="E415" s="10" t="s">
        <v>2205</v>
      </c>
      <c r="F415" s="10" t="s">
        <v>2554</v>
      </c>
      <c r="G415" s="10" t="s">
        <v>1837</v>
      </c>
      <c r="H415" s="10" t="s">
        <v>1838</v>
      </c>
      <c r="I415" s="10"/>
    </row>
    <row r="416" spans="1:9" x14ac:dyDescent="0.2">
      <c r="A416" s="10" t="s">
        <v>3495</v>
      </c>
      <c r="B416" s="10">
        <v>11</v>
      </c>
      <c r="C416" s="10" t="s">
        <v>1840</v>
      </c>
      <c r="D416" s="10" t="s">
        <v>1841</v>
      </c>
      <c r="E416" s="10" t="s">
        <v>2207</v>
      </c>
      <c r="F416" s="10" t="s">
        <v>2457</v>
      </c>
      <c r="G416" s="10" t="s">
        <v>1844</v>
      </c>
      <c r="H416" s="10" t="s">
        <v>1845</v>
      </c>
      <c r="I416" s="10"/>
    </row>
    <row r="417" spans="1:10" x14ac:dyDescent="0.2">
      <c r="B417" s="7"/>
    </row>
    <row r="418" spans="1:10" x14ac:dyDescent="0.2">
      <c r="A418" t="s">
        <v>3508</v>
      </c>
      <c r="B418">
        <v>1</v>
      </c>
      <c r="C418" t="s">
        <v>3261</v>
      </c>
      <c r="D418" t="s">
        <v>3262</v>
      </c>
      <c r="E418" t="s">
        <v>3263</v>
      </c>
      <c r="F418" t="s">
        <v>3264</v>
      </c>
      <c r="G418" t="s">
        <v>3496</v>
      </c>
      <c r="H418" t="s">
        <v>3266</v>
      </c>
      <c r="I418" t="s">
        <v>3509</v>
      </c>
    </row>
    <row r="419" spans="1:10" x14ac:dyDescent="0.2">
      <c r="A419" t="s">
        <v>3508</v>
      </c>
      <c r="B419">
        <v>2</v>
      </c>
      <c r="C419" t="s">
        <v>3267</v>
      </c>
      <c r="D419" t="s">
        <v>3268</v>
      </c>
      <c r="E419" t="s">
        <v>3269</v>
      </c>
      <c r="F419" t="s">
        <v>3270</v>
      </c>
      <c r="G419" t="s">
        <v>3271</v>
      </c>
      <c r="H419" t="s">
        <v>3272</v>
      </c>
      <c r="I419" t="s">
        <v>3510</v>
      </c>
    </row>
    <row r="420" spans="1:10" x14ac:dyDescent="0.2">
      <c r="A420" t="s">
        <v>3508</v>
      </c>
      <c r="B420">
        <v>3</v>
      </c>
      <c r="C420" t="s">
        <v>3273</v>
      </c>
      <c r="D420" t="s">
        <v>3274</v>
      </c>
      <c r="E420" t="s">
        <v>3275</v>
      </c>
      <c r="F420" t="s">
        <v>3276</v>
      </c>
      <c r="G420" t="s">
        <v>3498</v>
      </c>
      <c r="H420" t="s">
        <v>3278</v>
      </c>
      <c r="I420" t="s">
        <v>3511</v>
      </c>
    </row>
    <row r="421" spans="1:10" x14ac:dyDescent="0.2">
      <c r="A421" t="s">
        <v>3508</v>
      </c>
      <c r="B421">
        <v>4</v>
      </c>
      <c r="C421" s="14" t="s">
        <v>3279</v>
      </c>
      <c r="D421" s="14" t="s">
        <v>3280</v>
      </c>
      <c r="E421" s="14" t="s">
        <v>3281</v>
      </c>
      <c r="F421" s="14" t="s">
        <v>3282</v>
      </c>
      <c r="G421" s="14" t="s">
        <v>3283</v>
      </c>
      <c r="H421" s="14" t="s">
        <v>3499</v>
      </c>
      <c r="I421" s="14" t="s">
        <v>3512</v>
      </c>
    </row>
    <row r="422" spans="1:10" x14ac:dyDescent="0.2">
      <c r="A422" t="s">
        <v>3508</v>
      </c>
      <c r="B422">
        <v>5</v>
      </c>
      <c r="C422" t="s">
        <v>3513</v>
      </c>
      <c r="D422" t="s">
        <v>3286</v>
      </c>
      <c r="E422" t="s">
        <v>3287</v>
      </c>
      <c r="F422" t="s">
        <v>3288</v>
      </c>
      <c r="G422" t="s">
        <v>3289</v>
      </c>
      <c r="H422" t="s">
        <v>3290</v>
      </c>
      <c r="I422" t="s">
        <v>3514</v>
      </c>
    </row>
    <row r="423" spans="1:10" x14ac:dyDescent="0.2">
      <c r="A423" t="s">
        <v>3508</v>
      </c>
      <c r="B423">
        <v>6</v>
      </c>
      <c r="C423" t="s">
        <v>3291</v>
      </c>
      <c r="D423" t="s">
        <v>3292</v>
      </c>
      <c r="E423" t="s">
        <v>3293</v>
      </c>
      <c r="F423" t="s">
        <v>3294</v>
      </c>
      <c r="G423" t="s">
        <v>3295</v>
      </c>
      <c r="H423" t="s">
        <v>3296</v>
      </c>
      <c r="I423" t="s">
        <v>3515</v>
      </c>
    </row>
    <row r="424" spans="1:10" x14ac:dyDescent="0.2">
      <c r="A424" t="s">
        <v>3508</v>
      </c>
      <c r="B424">
        <v>7</v>
      </c>
      <c r="C424" t="s">
        <v>3516</v>
      </c>
      <c r="D424" t="s">
        <v>3298</v>
      </c>
      <c r="E424" t="s">
        <v>3299</v>
      </c>
      <c r="F424" t="s">
        <v>3300</v>
      </c>
      <c r="G424" t="s">
        <v>3301</v>
      </c>
      <c r="H424" t="s">
        <v>3302</v>
      </c>
      <c r="I424" t="s">
        <v>3517</v>
      </c>
    </row>
    <row r="425" spans="1:10" x14ac:dyDescent="0.2">
      <c r="A425" t="s">
        <v>3508</v>
      </c>
      <c r="B425">
        <v>8</v>
      </c>
      <c r="C425" t="s">
        <v>3303</v>
      </c>
      <c r="D425" t="s">
        <v>3304</v>
      </c>
      <c r="E425" t="s">
        <v>3305</v>
      </c>
      <c r="F425" t="s">
        <v>3306</v>
      </c>
      <c r="G425" t="s">
        <v>3307</v>
      </c>
      <c r="H425" t="s">
        <v>3308</v>
      </c>
      <c r="I425" t="s">
        <v>3518</v>
      </c>
    </row>
    <row r="426" spans="1:10" x14ac:dyDescent="0.2">
      <c r="A426" t="s">
        <v>3508</v>
      </c>
      <c r="B426">
        <v>9</v>
      </c>
      <c r="C426" t="s">
        <v>3519</v>
      </c>
      <c r="D426" t="s">
        <v>3520</v>
      </c>
      <c r="E426" t="s">
        <v>3521</v>
      </c>
      <c r="F426" t="s">
        <v>3522</v>
      </c>
      <c r="G426" t="s">
        <v>2974</v>
      </c>
      <c r="H426" t="s">
        <v>3501</v>
      </c>
      <c r="I426" t="s">
        <v>3523</v>
      </c>
    </row>
    <row r="427" spans="1:10" x14ac:dyDescent="0.2">
      <c r="A427" t="s">
        <v>3508</v>
      </c>
      <c r="B427">
        <v>10</v>
      </c>
      <c r="C427" t="s">
        <v>3524</v>
      </c>
      <c r="D427" t="s">
        <v>3525</v>
      </c>
      <c r="E427" t="s">
        <v>3526</v>
      </c>
      <c r="F427" t="s">
        <v>3527</v>
      </c>
      <c r="G427" t="s">
        <v>3528</v>
      </c>
      <c r="H427" t="s">
        <v>3529</v>
      </c>
      <c r="I427" t="s">
        <v>3530</v>
      </c>
    </row>
    <row r="428" spans="1:10" x14ac:dyDescent="0.2">
      <c r="A428" t="s">
        <v>3508</v>
      </c>
      <c r="B428">
        <v>11</v>
      </c>
      <c r="C428" t="s">
        <v>3531</v>
      </c>
      <c r="D428" t="s">
        <v>3532</v>
      </c>
      <c r="E428" t="s">
        <v>3533</v>
      </c>
      <c r="F428" t="s">
        <v>3534</v>
      </c>
      <c r="G428" t="s">
        <v>3535</v>
      </c>
      <c r="H428" t="s">
        <v>3536</v>
      </c>
      <c r="I428" t="s">
        <v>3537</v>
      </c>
    </row>
    <row r="429" spans="1:10" x14ac:dyDescent="0.2">
      <c r="A429" t="s">
        <v>3508</v>
      </c>
      <c r="B429" s="15">
        <v>12</v>
      </c>
      <c r="C429" t="s">
        <v>1833</v>
      </c>
      <c r="D429" t="s">
        <v>1834</v>
      </c>
      <c r="E429" t="s">
        <v>2205</v>
      </c>
      <c r="F429" t="s">
        <v>2554</v>
      </c>
      <c r="G429" t="s">
        <v>1837</v>
      </c>
      <c r="H429" t="s">
        <v>1838</v>
      </c>
      <c r="I429" t="s">
        <v>1839</v>
      </c>
    </row>
    <row r="430" spans="1:10" x14ac:dyDescent="0.2">
      <c r="A430" t="s">
        <v>3508</v>
      </c>
      <c r="B430" s="15">
        <v>13</v>
      </c>
      <c r="C430" t="s">
        <v>1840</v>
      </c>
      <c r="D430" t="s">
        <v>1841</v>
      </c>
      <c r="E430" t="s">
        <v>2207</v>
      </c>
      <c r="F430" t="s">
        <v>2457</v>
      </c>
      <c r="G430" t="s">
        <v>1844</v>
      </c>
      <c r="H430" t="s">
        <v>1845</v>
      </c>
      <c r="I430" t="s">
        <v>1846</v>
      </c>
    </row>
    <row r="432" spans="1:10" ht="16" customHeight="1" x14ac:dyDescent="0.2">
      <c r="A432" t="s">
        <v>3538</v>
      </c>
      <c r="B432" t="s">
        <v>3201</v>
      </c>
      <c r="C432" t="s">
        <v>3202</v>
      </c>
      <c r="D432" t="s">
        <v>3203</v>
      </c>
      <c r="E432" t="s">
        <v>3204</v>
      </c>
      <c r="F432" t="s">
        <v>3539</v>
      </c>
      <c r="G432" t="s">
        <v>3206</v>
      </c>
      <c r="H432" t="s">
        <v>3540</v>
      </c>
      <c r="I432" t="s">
        <v>3541</v>
      </c>
      <c r="J432" s="11"/>
    </row>
    <row r="433" spans="1:10" ht="16" customHeight="1" x14ac:dyDescent="0.2">
      <c r="A433" t="s">
        <v>3538</v>
      </c>
      <c r="B433" t="s">
        <v>3209</v>
      </c>
      <c r="C433" t="s">
        <v>3542</v>
      </c>
      <c r="D433" t="s">
        <v>3543</v>
      </c>
      <c r="E433" t="s">
        <v>3544</v>
      </c>
      <c r="F433" t="s">
        <v>3545</v>
      </c>
      <c r="G433" t="s">
        <v>3214</v>
      </c>
      <c r="H433" t="s">
        <v>3546</v>
      </c>
      <c r="I433" t="s">
        <v>3547</v>
      </c>
      <c r="J433" s="11"/>
    </row>
    <row r="434" spans="1:10" ht="16" customHeight="1" x14ac:dyDescent="0.2">
      <c r="A434" t="s">
        <v>3538</v>
      </c>
      <c r="B434" t="s">
        <v>3217</v>
      </c>
      <c r="C434" t="s">
        <v>3548</v>
      </c>
      <c r="D434" t="s">
        <v>3219</v>
      </c>
      <c r="E434" t="s">
        <v>3220</v>
      </c>
      <c r="F434" t="s">
        <v>3549</v>
      </c>
      <c r="G434" t="s">
        <v>3222</v>
      </c>
      <c r="H434" t="s">
        <v>3550</v>
      </c>
      <c r="I434" t="s">
        <v>3551</v>
      </c>
      <c r="J434" s="11"/>
    </row>
    <row r="435" spans="1:10" ht="16" customHeight="1" x14ac:dyDescent="0.2">
      <c r="A435" t="s">
        <v>3538</v>
      </c>
      <c r="B435" t="s">
        <v>3225</v>
      </c>
      <c r="C435" t="s">
        <v>3226</v>
      </c>
      <c r="D435" t="s">
        <v>3227</v>
      </c>
      <c r="E435" t="s">
        <v>3228</v>
      </c>
      <c r="F435" t="s">
        <v>3552</v>
      </c>
      <c r="G435" t="s">
        <v>3230</v>
      </c>
      <c r="H435" t="s">
        <v>3553</v>
      </c>
      <c r="I435" t="s">
        <v>3554</v>
      </c>
      <c r="J435" s="11"/>
    </row>
    <row r="436" spans="1:10" ht="16" customHeight="1" x14ac:dyDescent="0.2">
      <c r="A436" t="s">
        <v>3538</v>
      </c>
      <c r="B436" t="s">
        <v>3233</v>
      </c>
      <c r="C436" t="s">
        <v>3234</v>
      </c>
      <c r="D436" t="s">
        <v>3555</v>
      </c>
      <c r="E436" t="s">
        <v>3236</v>
      </c>
      <c r="F436" t="s">
        <v>3556</v>
      </c>
      <c r="G436" t="s">
        <v>3238</v>
      </c>
      <c r="H436" t="s">
        <v>3557</v>
      </c>
      <c r="I436" t="s">
        <v>3558</v>
      </c>
      <c r="J436" s="11"/>
    </row>
    <row r="437" spans="1:10" ht="16" customHeight="1" x14ac:dyDescent="0.2">
      <c r="A437" t="s">
        <v>3538</v>
      </c>
      <c r="B437" t="s">
        <v>3559</v>
      </c>
      <c r="C437" t="s">
        <v>3560</v>
      </c>
      <c r="D437" t="s">
        <v>3561</v>
      </c>
      <c r="E437" t="s">
        <v>3562</v>
      </c>
      <c r="F437" t="s">
        <v>3563</v>
      </c>
      <c r="G437" t="s">
        <v>3564</v>
      </c>
      <c r="H437" t="s">
        <v>3565</v>
      </c>
      <c r="I437" t="s">
        <v>3566</v>
      </c>
      <c r="J437" s="11"/>
    </row>
    <row r="438" spans="1:10" ht="16" customHeight="1" x14ac:dyDescent="0.2">
      <c r="A438" t="s">
        <v>3538</v>
      </c>
      <c r="B438" t="s">
        <v>3241</v>
      </c>
      <c r="C438" t="s">
        <v>3567</v>
      </c>
      <c r="D438" t="s">
        <v>3568</v>
      </c>
      <c r="E438" t="s">
        <v>3244</v>
      </c>
      <c r="F438" t="s">
        <v>3569</v>
      </c>
      <c r="G438" t="s">
        <v>3564</v>
      </c>
      <c r="H438" t="s">
        <v>3570</v>
      </c>
      <c r="I438" t="s">
        <v>3571</v>
      </c>
      <c r="J438" s="11"/>
    </row>
    <row r="439" spans="1:10" ht="16" customHeight="1" x14ac:dyDescent="0.2">
      <c r="A439" t="s">
        <v>3538</v>
      </c>
      <c r="B439" t="s">
        <v>3249</v>
      </c>
      <c r="C439" t="s">
        <v>3250</v>
      </c>
      <c r="D439" t="s">
        <v>3251</v>
      </c>
      <c r="E439" t="s">
        <v>3252</v>
      </c>
      <c r="F439" t="s">
        <v>3253</v>
      </c>
      <c r="G439" t="s">
        <v>3572</v>
      </c>
      <c r="H439" t="s">
        <v>3573</v>
      </c>
      <c r="I439" t="s">
        <v>3574</v>
      </c>
      <c r="J439" s="11"/>
    </row>
    <row r="440" spans="1:10" ht="16" customHeight="1" x14ac:dyDescent="0.2">
      <c r="A440" t="s">
        <v>3538</v>
      </c>
      <c r="B440" t="s">
        <v>2188</v>
      </c>
      <c r="C440" t="s">
        <v>2971</v>
      </c>
      <c r="D440" t="s">
        <v>1867</v>
      </c>
      <c r="E440" t="s">
        <v>3257</v>
      </c>
      <c r="F440" t="s">
        <v>3154</v>
      </c>
      <c r="G440" t="s">
        <v>2974</v>
      </c>
      <c r="H440" t="s">
        <v>3156</v>
      </c>
      <c r="I440" t="s">
        <v>3157</v>
      </c>
    </row>
    <row r="441" spans="1:10" ht="16" customHeight="1" x14ac:dyDescent="0.2">
      <c r="A441" t="s">
        <v>3538</v>
      </c>
      <c r="B441" t="s">
        <v>2204</v>
      </c>
      <c r="C441" t="s">
        <v>1833</v>
      </c>
      <c r="D441" t="s">
        <v>1834</v>
      </c>
      <c r="E441" t="s">
        <v>3259</v>
      </c>
      <c r="F441" t="s">
        <v>2554</v>
      </c>
      <c r="G441" t="s">
        <v>1837</v>
      </c>
      <c r="H441" t="s">
        <v>1838</v>
      </c>
      <c r="I441" t="s">
        <v>1839</v>
      </c>
    </row>
    <row r="442" spans="1:10" ht="16" customHeight="1" x14ac:dyDescent="0.2">
      <c r="A442" t="s">
        <v>3538</v>
      </c>
      <c r="B442" t="s">
        <v>2206</v>
      </c>
      <c r="C442" t="s">
        <v>1840</v>
      </c>
      <c r="D442" t="s">
        <v>1841</v>
      </c>
      <c r="E442" t="s">
        <v>2207</v>
      </c>
      <c r="F442" t="s">
        <v>2457</v>
      </c>
      <c r="G442" t="s">
        <v>1844</v>
      </c>
      <c r="H442" t="s">
        <v>1845</v>
      </c>
      <c r="I442" t="s">
        <v>1846</v>
      </c>
    </row>
    <row r="443" spans="1:10" ht="16" customHeight="1" x14ac:dyDescent="0.2"/>
    <row r="444" spans="1:10" x14ac:dyDescent="0.2">
      <c r="A444" t="s">
        <v>3575</v>
      </c>
      <c r="B444" t="s">
        <v>3576</v>
      </c>
      <c r="C444" t="s">
        <v>3577</v>
      </c>
      <c r="D444" t="s">
        <v>3578</v>
      </c>
      <c r="E444" t="s">
        <v>3579</v>
      </c>
      <c r="F444" t="s">
        <v>3580</v>
      </c>
      <c r="G444" t="s">
        <v>3581</v>
      </c>
      <c r="H444" t="s">
        <v>3582</v>
      </c>
      <c r="I444" t="s">
        <v>3583</v>
      </c>
      <c r="J444" s="11"/>
    </row>
    <row r="445" spans="1:10" x14ac:dyDescent="0.2">
      <c r="A445" t="s">
        <v>3575</v>
      </c>
      <c r="B445" t="s">
        <v>3584</v>
      </c>
      <c r="C445" t="s">
        <v>3585</v>
      </c>
      <c r="D445" t="s">
        <v>3586</v>
      </c>
      <c r="E445" t="s">
        <v>3587</v>
      </c>
      <c r="F445" t="s">
        <v>3588</v>
      </c>
      <c r="G445" t="s">
        <v>3589</v>
      </c>
      <c r="H445" t="s">
        <v>3590</v>
      </c>
      <c r="I445" t="s">
        <v>3591</v>
      </c>
      <c r="J445" s="11"/>
    </row>
    <row r="446" spans="1:10" x14ac:dyDescent="0.2">
      <c r="A446" t="s">
        <v>3575</v>
      </c>
      <c r="B446" t="s">
        <v>3592</v>
      </c>
      <c r="C446" t="s">
        <v>3593</v>
      </c>
      <c r="D446" t="s">
        <v>3594</v>
      </c>
      <c r="E446" t="s">
        <v>3595</v>
      </c>
      <c r="F446" t="s">
        <v>3596</v>
      </c>
      <c r="G446" t="s">
        <v>3597</v>
      </c>
      <c r="H446" t="s">
        <v>3598</v>
      </c>
      <c r="I446" t="s">
        <v>3599</v>
      </c>
      <c r="J446" s="11"/>
    </row>
    <row r="447" spans="1:10" x14ac:dyDescent="0.2">
      <c r="A447" t="s">
        <v>3575</v>
      </c>
      <c r="B447" t="s">
        <v>3600</v>
      </c>
      <c r="C447" t="s">
        <v>3601</v>
      </c>
      <c r="D447" t="s">
        <v>3601</v>
      </c>
      <c r="E447" t="s">
        <v>3602</v>
      </c>
      <c r="F447" t="s">
        <v>3603</v>
      </c>
      <c r="G447" t="s">
        <v>3604</v>
      </c>
      <c r="H447" t="s">
        <v>3605</v>
      </c>
      <c r="I447" t="s">
        <v>3606</v>
      </c>
      <c r="J447" s="11"/>
    </row>
    <row r="448" spans="1:10" x14ac:dyDescent="0.2">
      <c r="A448" t="s">
        <v>3575</v>
      </c>
      <c r="B448" t="s">
        <v>2204</v>
      </c>
      <c r="C448" t="s">
        <v>1833</v>
      </c>
      <c r="D448" t="s">
        <v>1834</v>
      </c>
      <c r="E448" t="s">
        <v>2205</v>
      </c>
      <c r="F448" t="s">
        <v>2554</v>
      </c>
      <c r="G448" t="s">
        <v>1837</v>
      </c>
      <c r="H448" t="s">
        <v>1838</v>
      </c>
      <c r="I448" t="s">
        <v>1839</v>
      </c>
      <c r="J448" s="11"/>
    </row>
    <row r="449" spans="1:10" x14ac:dyDescent="0.2">
      <c r="A449" t="s">
        <v>3575</v>
      </c>
      <c r="B449" t="s">
        <v>2206</v>
      </c>
      <c r="C449" t="s">
        <v>1840</v>
      </c>
      <c r="D449" t="s">
        <v>1841</v>
      </c>
      <c r="E449" t="s">
        <v>2207</v>
      </c>
      <c r="F449" t="s">
        <v>2457</v>
      </c>
      <c r="G449" t="s">
        <v>1844</v>
      </c>
      <c r="H449" t="s">
        <v>1845</v>
      </c>
      <c r="I449" t="s">
        <v>1846</v>
      </c>
      <c r="J449" s="11"/>
    </row>
    <row r="451" spans="1:10" x14ac:dyDescent="0.2">
      <c r="A451" t="s">
        <v>3607</v>
      </c>
      <c r="B451" t="s">
        <v>3608</v>
      </c>
      <c r="C451" t="s">
        <v>3609</v>
      </c>
      <c r="D451" t="s">
        <v>3610</v>
      </c>
      <c r="E451" t="s">
        <v>3611</v>
      </c>
      <c r="F451" t="s">
        <v>3612</v>
      </c>
      <c r="G451" t="s">
        <v>3613</v>
      </c>
      <c r="H451" t="s">
        <v>3614</v>
      </c>
      <c r="I451" t="s">
        <v>3615</v>
      </c>
      <c r="J451" s="11"/>
    </row>
    <row r="452" spans="1:10" x14ac:dyDescent="0.2">
      <c r="A452" t="s">
        <v>3607</v>
      </c>
      <c r="B452" t="s">
        <v>3616</v>
      </c>
      <c r="C452" t="s">
        <v>3617</v>
      </c>
      <c r="D452" t="s">
        <v>3618</v>
      </c>
      <c r="E452" t="s">
        <v>3619</v>
      </c>
      <c r="F452" t="s">
        <v>3620</v>
      </c>
      <c r="G452" t="s">
        <v>3621</v>
      </c>
      <c r="H452" t="s">
        <v>3622</v>
      </c>
      <c r="I452" t="s">
        <v>3623</v>
      </c>
      <c r="J452" s="11"/>
    </row>
    <row r="453" spans="1:10" x14ac:dyDescent="0.2">
      <c r="A453" t="s">
        <v>3607</v>
      </c>
      <c r="B453" t="s">
        <v>3624</v>
      </c>
      <c r="C453" t="s">
        <v>3625</v>
      </c>
      <c r="D453" t="s">
        <v>3626</v>
      </c>
      <c r="E453" t="s">
        <v>3627</v>
      </c>
      <c r="F453" t="s">
        <v>3628</v>
      </c>
      <c r="G453" t="s">
        <v>3629</v>
      </c>
      <c r="H453" t="s">
        <v>3630</v>
      </c>
      <c r="I453" t="s">
        <v>3631</v>
      </c>
      <c r="J453" s="11"/>
    </row>
    <row r="454" spans="1:10" x14ac:dyDescent="0.2">
      <c r="A454" t="s">
        <v>3607</v>
      </c>
      <c r="B454" t="s">
        <v>3632</v>
      </c>
      <c r="C454" t="s">
        <v>3633</v>
      </c>
      <c r="D454" t="s">
        <v>3634</v>
      </c>
      <c r="E454" t="s">
        <v>3635</v>
      </c>
      <c r="F454" t="s">
        <v>3636</v>
      </c>
      <c r="G454" t="s">
        <v>3637</v>
      </c>
      <c r="H454" t="s">
        <v>3638</v>
      </c>
      <c r="I454" t="s">
        <v>3639</v>
      </c>
      <c r="J454" s="11"/>
    </row>
    <row r="455" spans="1:10" x14ac:dyDescent="0.2">
      <c r="A455" t="s">
        <v>3607</v>
      </c>
      <c r="B455" t="s">
        <v>3640</v>
      </c>
      <c r="C455" t="s">
        <v>3641</v>
      </c>
      <c r="D455" t="s">
        <v>3642</v>
      </c>
      <c r="E455" t="s">
        <v>3643</v>
      </c>
      <c r="F455" t="s">
        <v>3644</v>
      </c>
      <c r="G455" t="s">
        <v>3645</v>
      </c>
      <c r="H455" t="s">
        <v>3646</v>
      </c>
      <c r="I455" t="s">
        <v>3647</v>
      </c>
      <c r="J455" s="11"/>
    </row>
    <row r="456" spans="1:10" x14ac:dyDescent="0.2">
      <c r="A456" t="s">
        <v>3607</v>
      </c>
      <c r="B456" t="s">
        <v>3648</v>
      </c>
      <c r="C456" t="s">
        <v>3649</v>
      </c>
      <c r="D456" t="s">
        <v>3650</v>
      </c>
      <c r="E456" t="s">
        <v>3651</v>
      </c>
      <c r="F456" t="s">
        <v>3652</v>
      </c>
      <c r="G456" t="s">
        <v>3653</v>
      </c>
      <c r="H456" t="s">
        <v>3654</v>
      </c>
      <c r="I456" t="s">
        <v>3655</v>
      </c>
      <c r="J456" s="11"/>
    </row>
    <row r="457" spans="1:10" x14ac:dyDescent="0.2">
      <c r="A457" t="s">
        <v>3607</v>
      </c>
      <c r="B457" s="2" t="s">
        <v>3656</v>
      </c>
      <c r="C457" t="s">
        <v>3657</v>
      </c>
      <c r="D457" t="s">
        <v>3658</v>
      </c>
      <c r="E457" t="s">
        <v>3659</v>
      </c>
      <c r="F457" t="s">
        <v>3660</v>
      </c>
      <c r="G457" t="s">
        <v>3661</v>
      </c>
      <c r="H457" t="s">
        <v>3662</v>
      </c>
      <c r="I457" t="s">
        <v>3663</v>
      </c>
      <c r="J457" s="11"/>
    </row>
    <row r="458" spans="1:10" x14ac:dyDescent="0.2">
      <c r="A458" t="s">
        <v>3607</v>
      </c>
      <c r="B458" t="s">
        <v>3664</v>
      </c>
      <c r="C458" t="s">
        <v>3665</v>
      </c>
      <c r="D458" t="s">
        <v>3666</v>
      </c>
      <c r="E458" t="s">
        <v>3667</v>
      </c>
      <c r="F458" t="s">
        <v>3668</v>
      </c>
      <c r="G458" t="s">
        <v>3669</v>
      </c>
      <c r="H458" t="s">
        <v>3670</v>
      </c>
      <c r="I458" t="s">
        <v>3671</v>
      </c>
      <c r="J458" s="11"/>
    </row>
    <row r="459" spans="1:10" x14ac:dyDescent="0.2">
      <c r="A459" t="s">
        <v>3607</v>
      </c>
      <c r="B459" t="s">
        <v>2188</v>
      </c>
      <c r="C459" t="s">
        <v>2790</v>
      </c>
      <c r="D459" t="s">
        <v>3672</v>
      </c>
      <c r="E459" t="s">
        <v>3673</v>
      </c>
      <c r="F459" t="s">
        <v>3674</v>
      </c>
      <c r="G459" t="s">
        <v>3032</v>
      </c>
      <c r="H459" t="s">
        <v>3675</v>
      </c>
      <c r="I459" t="s">
        <v>3033</v>
      </c>
    </row>
    <row r="460" spans="1:10" x14ac:dyDescent="0.2">
      <c r="A460" t="s">
        <v>3607</v>
      </c>
      <c r="B460" t="s">
        <v>2204</v>
      </c>
      <c r="C460" t="s">
        <v>1833</v>
      </c>
      <c r="D460" t="s">
        <v>1834</v>
      </c>
      <c r="E460" t="s">
        <v>2205</v>
      </c>
      <c r="F460" t="s">
        <v>2554</v>
      </c>
      <c r="G460" t="s">
        <v>1837</v>
      </c>
      <c r="H460" t="s">
        <v>1838</v>
      </c>
      <c r="I460" t="s">
        <v>1839</v>
      </c>
    </row>
    <row r="461" spans="1:10" x14ac:dyDescent="0.2">
      <c r="A461" t="s">
        <v>3607</v>
      </c>
      <c r="B461" t="s">
        <v>2206</v>
      </c>
      <c r="C461" t="s">
        <v>1840</v>
      </c>
      <c r="D461" t="s">
        <v>1841</v>
      </c>
      <c r="E461" t="s">
        <v>2207</v>
      </c>
      <c r="F461" t="s">
        <v>2457</v>
      </c>
      <c r="G461" t="s">
        <v>1844</v>
      </c>
      <c r="H461" t="s">
        <v>1845</v>
      </c>
      <c r="I461" t="s">
        <v>1846</v>
      </c>
    </row>
    <row r="463" spans="1:10" s="11" customFormat="1" x14ac:dyDescent="0.2">
      <c r="A463" s="10" t="s">
        <v>3676</v>
      </c>
      <c r="B463" s="10" t="s">
        <v>3677</v>
      </c>
      <c r="C463" s="10" t="s">
        <v>3678</v>
      </c>
      <c r="D463" s="10" t="s">
        <v>3679</v>
      </c>
      <c r="E463" s="10"/>
      <c r="F463" s="10"/>
      <c r="G463" s="10"/>
      <c r="H463" s="10"/>
      <c r="I463" s="10"/>
    </row>
    <row r="464" spans="1:10" s="11" customFormat="1" x14ac:dyDescent="0.2">
      <c r="A464" s="10" t="s">
        <v>3676</v>
      </c>
      <c r="B464" s="10" t="s">
        <v>3680</v>
      </c>
      <c r="C464" s="10" t="s">
        <v>3681</v>
      </c>
      <c r="D464" s="10" t="s">
        <v>3682</v>
      </c>
      <c r="E464" s="10"/>
      <c r="F464" s="10"/>
      <c r="G464" s="10"/>
      <c r="H464" s="10"/>
      <c r="I464" s="10"/>
    </row>
    <row r="465" spans="1:9" s="11" customFormat="1" x14ac:dyDescent="0.2">
      <c r="A465" s="10" t="s">
        <v>3676</v>
      </c>
      <c r="B465" s="10" t="s">
        <v>3683</v>
      </c>
      <c r="C465" s="10" t="s">
        <v>3684</v>
      </c>
      <c r="D465" s="10" t="s">
        <v>3685</v>
      </c>
      <c r="E465" s="10"/>
      <c r="F465" s="10"/>
      <c r="G465" s="10"/>
      <c r="H465" s="10"/>
      <c r="I465" s="10"/>
    </row>
    <row r="466" spans="1:9" s="11" customFormat="1" x14ac:dyDescent="0.2">
      <c r="A466" s="10" t="s">
        <v>3676</v>
      </c>
      <c r="B466" s="10" t="s">
        <v>3686</v>
      </c>
      <c r="C466" s="10" t="s">
        <v>3687</v>
      </c>
      <c r="D466" s="10" t="s">
        <v>3688</v>
      </c>
      <c r="E466" s="10"/>
      <c r="F466" s="10"/>
      <c r="G466" s="10"/>
      <c r="H466" s="10"/>
      <c r="I466" s="10"/>
    </row>
    <row r="467" spans="1:9" s="11" customFormat="1" x14ac:dyDescent="0.2">
      <c r="A467" s="10" t="s">
        <v>3676</v>
      </c>
      <c r="B467" s="10" t="s">
        <v>3632</v>
      </c>
      <c r="C467" s="10" t="s">
        <v>3689</v>
      </c>
      <c r="D467" s="10" t="s">
        <v>3690</v>
      </c>
      <c r="E467" s="10"/>
      <c r="F467" s="10"/>
      <c r="G467" s="10"/>
      <c r="H467" s="10"/>
      <c r="I467" s="10"/>
    </row>
    <row r="468" spans="1:9" s="11" customFormat="1" x14ac:dyDescent="0.2">
      <c r="A468" s="10" t="s">
        <v>3676</v>
      </c>
      <c r="B468" s="10" t="s">
        <v>3691</v>
      </c>
      <c r="C468" s="10" t="s">
        <v>3692</v>
      </c>
      <c r="D468" s="10" t="s">
        <v>3693</v>
      </c>
      <c r="E468" s="10"/>
      <c r="F468" s="10"/>
      <c r="G468" s="10"/>
      <c r="H468" s="10"/>
      <c r="I468" s="10"/>
    </row>
    <row r="469" spans="1:9" s="11" customFormat="1" x14ac:dyDescent="0.2">
      <c r="A469" s="10" t="s">
        <v>3676</v>
      </c>
      <c r="B469" s="10" t="s">
        <v>3648</v>
      </c>
      <c r="C469" s="10" t="s">
        <v>3694</v>
      </c>
      <c r="D469" s="10" t="s">
        <v>3695</v>
      </c>
      <c r="E469" s="10"/>
      <c r="F469" s="10"/>
      <c r="G469" s="10"/>
      <c r="H469" s="10"/>
      <c r="I469" s="10"/>
    </row>
    <row r="470" spans="1:9" s="11" customFormat="1" x14ac:dyDescent="0.2">
      <c r="A470" s="10" t="s">
        <v>3676</v>
      </c>
      <c r="B470" s="10" t="s">
        <v>2188</v>
      </c>
      <c r="C470" s="10" t="s">
        <v>2790</v>
      </c>
      <c r="D470" s="10" t="s">
        <v>2791</v>
      </c>
      <c r="E470" s="10"/>
      <c r="F470" s="10"/>
      <c r="G470" s="10"/>
      <c r="H470" s="10"/>
      <c r="I470" s="10"/>
    </row>
    <row r="471" spans="1:9" s="11" customFormat="1" x14ac:dyDescent="0.2">
      <c r="A471" s="10" t="s">
        <v>3676</v>
      </c>
      <c r="B471" s="10" t="s">
        <v>2204</v>
      </c>
      <c r="C471" s="10" t="s">
        <v>1833</v>
      </c>
      <c r="D471" s="10" t="s">
        <v>1834</v>
      </c>
      <c r="E471" s="10"/>
      <c r="F471" s="10"/>
      <c r="G471" s="10"/>
      <c r="H471" s="10"/>
      <c r="I471" s="10"/>
    </row>
    <row r="472" spans="1:9" s="11" customFormat="1" x14ac:dyDescent="0.2">
      <c r="A472" s="10" t="s">
        <v>3676</v>
      </c>
      <c r="B472" s="10" t="s">
        <v>2206</v>
      </c>
      <c r="C472" s="10" t="s">
        <v>1840</v>
      </c>
      <c r="D472" s="10" t="s">
        <v>1841</v>
      </c>
      <c r="E472" s="10"/>
      <c r="F472" s="10"/>
      <c r="G472" s="10"/>
      <c r="H472" s="10"/>
      <c r="I472" s="10"/>
    </row>
    <row r="474" spans="1:9" x14ac:dyDescent="0.2">
      <c r="A474" t="s">
        <v>3696</v>
      </c>
      <c r="B474">
        <v>1</v>
      </c>
      <c r="C474" t="s">
        <v>3697</v>
      </c>
      <c r="D474" t="s">
        <v>3698</v>
      </c>
      <c r="E474" t="s">
        <v>3699</v>
      </c>
      <c r="F474" t="s">
        <v>3700</v>
      </c>
      <c r="G474" t="s">
        <v>3701</v>
      </c>
      <c r="H474" t="s">
        <v>3702</v>
      </c>
      <c r="I474" t="s">
        <v>3703</v>
      </c>
    </row>
    <row r="475" spans="1:9" x14ac:dyDescent="0.2">
      <c r="A475" t="s">
        <v>3696</v>
      </c>
      <c r="B475">
        <v>2</v>
      </c>
      <c r="C475" t="s">
        <v>3704</v>
      </c>
      <c r="D475" t="s">
        <v>3705</v>
      </c>
      <c r="E475" t="s">
        <v>3706</v>
      </c>
      <c r="F475" t="s">
        <v>3707</v>
      </c>
      <c r="G475" t="s">
        <v>3708</v>
      </c>
      <c r="H475" t="s">
        <v>3709</v>
      </c>
      <c r="I475" t="s">
        <v>3710</v>
      </c>
    </row>
    <row r="476" spans="1:9" x14ac:dyDescent="0.2">
      <c r="A476" t="s">
        <v>3696</v>
      </c>
      <c r="B476">
        <v>3</v>
      </c>
      <c r="C476" t="s">
        <v>3711</v>
      </c>
      <c r="D476" t="s">
        <v>3712</v>
      </c>
      <c r="E476" t="s">
        <v>3713</v>
      </c>
      <c r="F476" t="s">
        <v>3714</v>
      </c>
      <c r="G476" t="s">
        <v>3715</v>
      </c>
      <c r="H476" t="s">
        <v>3716</v>
      </c>
      <c r="I476" t="s">
        <v>3717</v>
      </c>
    </row>
    <row r="477" spans="1:9" x14ac:dyDescent="0.2">
      <c r="A477" t="s">
        <v>3696</v>
      </c>
      <c r="B477">
        <v>4</v>
      </c>
      <c r="C477" t="s">
        <v>3718</v>
      </c>
      <c r="D477" t="s">
        <v>3719</v>
      </c>
      <c r="E477" t="s">
        <v>3720</v>
      </c>
      <c r="F477" t="s">
        <v>3721</v>
      </c>
      <c r="G477" t="s">
        <v>3722</v>
      </c>
      <c r="H477" t="s">
        <v>3723</v>
      </c>
      <c r="I477" t="s">
        <v>3724</v>
      </c>
    </row>
    <row r="478" spans="1:9" x14ac:dyDescent="0.2">
      <c r="A478" t="s">
        <v>3696</v>
      </c>
      <c r="B478">
        <v>5</v>
      </c>
      <c r="C478" t="s">
        <v>2790</v>
      </c>
      <c r="D478" t="s">
        <v>2791</v>
      </c>
      <c r="E478" t="s">
        <v>3725</v>
      </c>
      <c r="F478" t="s">
        <v>3674</v>
      </c>
      <c r="G478" t="s">
        <v>3032</v>
      </c>
      <c r="H478" t="s">
        <v>3675</v>
      </c>
      <c r="I478" t="s">
        <v>3033</v>
      </c>
    </row>
    <row r="479" spans="1:9" x14ac:dyDescent="0.2">
      <c r="A479" t="s">
        <v>3696</v>
      </c>
      <c r="B479" s="15">
        <v>6</v>
      </c>
      <c r="C479" t="s">
        <v>1833</v>
      </c>
      <c r="D479" t="s">
        <v>1834</v>
      </c>
      <c r="E479" t="s">
        <v>2205</v>
      </c>
      <c r="F479" t="s">
        <v>2554</v>
      </c>
      <c r="G479" t="s">
        <v>1837</v>
      </c>
      <c r="H479" t="s">
        <v>1838</v>
      </c>
      <c r="I479" t="s">
        <v>1839</v>
      </c>
    </row>
    <row r="480" spans="1:9" x14ac:dyDescent="0.2">
      <c r="A480" t="s">
        <v>3696</v>
      </c>
      <c r="B480" s="15">
        <v>7</v>
      </c>
      <c r="C480" t="s">
        <v>1840</v>
      </c>
      <c r="D480" t="s">
        <v>1841</v>
      </c>
      <c r="E480" t="s">
        <v>2207</v>
      </c>
      <c r="F480" t="s">
        <v>2457</v>
      </c>
      <c r="G480" t="s">
        <v>1844</v>
      </c>
      <c r="H480" t="s">
        <v>1845</v>
      </c>
      <c r="I480" t="s">
        <v>1846</v>
      </c>
    </row>
    <row r="482" spans="1:10" x14ac:dyDescent="0.2">
      <c r="A482" t="s">
        <v>3726</v>
      </c>
      <c r="B482" t="s">
        <v>3201</v>
      </c>
      <c r="C482" t="s">
        <v>3202</v>
      </c>
      <c r="D482" t="s">
        <v>3203</v>
      </c>
      <c r="E482" t="s">
        <v>3727</v>
      </c>
      <c r="F482" t="s">
        <v>3728</v>
      </c>
      <c r="G482" t="s">
        <v>3729</v>
      </c>
      <c r="H482" t="s">
        <v>3207</v>
      </c>
      <c r="I482" t="s">
        <v>3541</v>
      </c>
      <c r="J482" s="11"/>
    </row>
    <row r="483" spans="1:10" x14ac:dyDescent="0.2">
      <c r="A483" t="s">
        <v>3726</v>
      </c>
      <c r="B483" t="s">
        <v>3209</v>
      </c>
      <c r="C483" t="s">
        <v>3730</v>
      </c>
      <c r="D483" t="s">
        <v>3731</v>
      </c>
      <c r="E483" t="s">
        <v>3732</v>
      </c>
      <c r="F483" t="s">
        <v>3733</v>
      </c>
      <c r="G483" t="s">
        <v>3734</v>
      </c>
      <c r="H483" t="s">
        <v>3735</v>
      </c>
      <c r="I483" t="s">
        <v>3547</v>
      </c>
      <c r="J483" s="11"/>
    </row>
    <row r="484" spans="1:10" x14ac:dyDescent="0.2">
      <c r="A484" t="s">
        <v>3726</v>
      </c>
      <c r="B484" t="s">
        <v>3217</v>
      </c>
      <c r="C484" t="s">
        <v>3736</v>
      </c>
      <c r="D484" t="s">
        <v>3737</v>
      </c>
      <c r="E484" t="s">
        <v>3738</v>
      </c>
      <c r="F484" t="s">
        <v>3739</v>
      </c>
      <c r="G484" t="s">
        <v>3222</v>
      </c>
      <c r="H484" t="s">
        <v>3223</v>
      </c>
      <c r="I484" t="s">
        <v>3551</v>
      </c>
      <c r="J484" s="11"/>
    </row>
    <row r="485" spans="1:10" x14ac:dyDescent="0.2">
      <c r="A485" t="s">
        <v>3726</v>
      </c>
      <c r="B485" t="s">
        <v>3225</v>
      </c>
      <c r="C485" t="s">
        <v>3740</v>
      </c>
      <c r="D485" t="s">
        <v>3227</v>
      </c>
      <c r="E485" t="s">
        <v>3228</v>
      </c>
      <c r="F485" t="s">
        <v>3741</v>
      </c>
      <c r="G485" t="s">
        <v>3230</v>
      </c>
      <c r="H485" t="s">
        <v>3231</v>
      </c>
      <c r="I485" t="s">
        <v>3554</v>
      </c>
      <c r="J485" s="11"/>
    </row>
    <row r="486" spans="1:10" x14ac:dyDescent="0.2">
      <c r="A486" t="s">
        <v>3726</v>
      </c>
      <c r="B486" t="s">
        <v>3742</v>
      </c>
      <c r="C486" t="s">
        <v>3234</v>
      </c>
      <c r="D486" t="s">
        <v>3555</v>
      </c>
      <c r="E486" t="s">
        <v>3743</v>
      </c>
      <c r="F486" t="s">
        <v>3744</v>
      </c>
      <c r="G486" t="s">
        <v>3745</v>
      </c>
      <c r="H486" t="s">
        <v>3239</v>
      </c>
      <c r="I486" t="s">
        <v>3558</v>
      </c>
      <c r="J486" s="11"/>
    </row>
    <row r="487" spans="1:10" x14ac:dyDescent="0.2">
      <c r="A487" t="s">
        <v>3726</v>
      </c>
      <c r="B487" t="s">
        <v>3241</v>
      </c>
      <c r="C487" t="s">
        <v>3746</v>
      </c>
      <c r="D487" t="s">
        <v>3747</v>
      </c>
      <c r="E487" t="s">
        <v>3748</v>
      </c>
      <c r="F487" t="s">
        <v>3749</v>
      </c>
      <c r="G487" t="s">
        <v>3750</v>
      </c>
      <c r="H487" t="s">
        <v>3570</v>
      </c>
      <c r="I487" t="s">
        <v>3571</v>
      </c>
      <c r="J487" s="11"/>
    </row>
    <row r="488" spans="1:10" x14ac:dyDescent="0.2">
      <c r="A488" t="s">
        <v>3726</v>
      </c>
      <c r="B488" t="s">
        <v>3249</v>
      </c>
      <c r="C488" t="s">
        <v>3751</v>
      </c>
      <c r="D488" t="s">
        <v>3251</v>
      </c>
      <c r="E488" t="s">
        <v>3752</v>
      </c>
      <c r="F488" t="s">
        <v>3753</v>
      </c>
      <c r="G488" t="s">
        <v>3251</v>
      </c>
      <c r="H488" t="s">
        <v>3573</v>
      </c>
      <c r="I488" t="s">
        <v>3574</v>
      </c>
      <c r="J488" s="11"/>
    </row>
    <row r="489" spans="1:10" x14ac:dyDescent="0.2">
      <c r="A489" t="s">
        <v>3726</v>
      </c>
      <c r="B489" t="s">
        <v>2188</v>
      </c>
      <c r="C489" t="s">
        <v>2971</v>
      </c>
      <c r="D489" t="s">
        <v>1867</v>
      </c>
      <c r="E489" t="s">
        <v>3257</v>
      </c>
      <c r="F489" t="s">
        <v>3754</v>
      </c>
      <c r="G489" t="s">
        <v>3258</v>
      </c>
      <c r="H489" t="s">
        <v>3156</v>
      </c>
      <c r="I489" t="s">
        <v>3157</v>
      </c>
    </row>
    <row r="490" spans="1:10" x14ac:dyDescent="0.2">
      <c r="A490" t="s">
        <v>3726</v>
      </c>
      <c r="B490" t="s">
        <v>2204</v>
      </c>
      <c r="C490" t="s">
        <v>1833</v>
      </c>
      <c r="D490" t="s">
        <v>1834</v>
      </c>
      <c r="E490" t="s">
        <v>2205</v>
      </c>
      <c r="F490" t="s">
        <v>3755</v>
      </c>
      <c r="G490" t="s">
        <v>1837</v>
      </c>
      <c r="H490" t="s">
        <v>1838</v>
      </c>
      <c r="I490" t="s">
        <v>1839</v>
      </c>
    </row>
    <row r="491" spans="1:10" x14ac:dyDescent="0.2">
      <c r="A491" t="s">
        <v>3726</v>
      </c>
      <c r="B491" t="s">
        <v>2206</v>
      </c>
      <c r="C491" t="s">
        <v>1840</v>
      </c>
      <c r="D491" t="s">
        <v>1841</v>
      </c>
      <c r="E491" t="s">
        <v>2207</v>
      </c>
      <c r="F491" t="s">
        <v>3756</v>
      </c>
      <c r="G491" t="s">
        <v>1844</v>
      </c>
      <c r="H491" t="s">
        <v>1845</v>
      </c>
      <c r="I491" t="s">
        <v>1846</v>
      </c>
    </row>
    <row r="493" spans="1:10" x14ac:dyDescent="0.2">
      <c r="A493" t="s">
        <v>3757</v>
      </c>
      <c r="B493">
        <v>1</v>
      </c>
      <c r="C493" t="s">
        <v>3758</v>
      </c>
      <c r="D493" t="s">
        <v>3759</v>
      </c>
      <c r="E493" t="s">
        <v>3760</v>
      </c>
      <c r="F493" t="s">
        <v>3761</v>
      </c>
      <c r="G493" t="s">
        <v>3762</v>
      </c>
      <c r="H493" t="s">
        <v>3763</v>
      </c>
      <c r="I493" t="s">
        <v>3764</v>
      </c>
    </row>
    <row r="494" spans="1:10" x14ac:dyDescent="0.2">
      <c r="A494" t="s">
        <v>3757</v>
      </c>
      <c r="B494">
        <v>2</v>
      </c>
      <c r="C494" t="s">
        <v>3765</v>
      </c>
      <c r="D494" t="s">
        <v>3766</v>
      </c>
      <c r="E494" t="s">
        <v>3767</v>
      </c>
      <c r="F494" t="s">
        <v>3768</v>
      </c>
      <c r="G494" t="s">
        <v>3769</v>
      </c>
      <c r="H494" t="s">
        <v>3770</v>
      </c>
      <c r="I494" t="s">
        <v>3771</v>
      </c>
    </row>
    <row r="495" spans="1:10" x14ac:dyDescent="0.2">
      <c r="A495" t="s">
        <v>3757</v>
      </c>
      <c r="B495">
        <v>3</v>
      </c>
      <c r="C495" t="s">
        <v>3772</v>
      </c>
      <c r="D495" t="s">
        <v>3773</v>
      </c>
      <c r="E495" t="s">
        <v>3774</v>
      </c>
      <c r="F495" t="s">
        <v>3775</v>
      </c>
      <c r="G495" t="s">
        <v>3776</v>
      </c>
      <c r="H495" t="s">
        <v>3777</v>
      </c>
      <c r="I495" t="s">
        <v>3778</v>
      </c>
    </row>
    <row r="496" spans="1:10" x14ac:dyDescent="0.2">
      <c r="A496" t="s">
        <v>3757</v>
      </c>
      <c r="B496">
        <v>4</v>
      </c>
      <c r="C496" t="s">
        <v>3779</v>
      </c>
      <c r="D496" t="s">
        <v>1834</v>
      </c>
      <c r="E496" t="s">
        <v>2205</v>
      </c>
      <c r="F496" t="s">
        <v>3755</v>
      </c>
      <c r="G496" t="s">
        <v>1837</v>
      </c>
      <c r="H496" t="s">
        <v>1838</v>
      </c>
      <c r="I496" t="s">
        <v>1839</v>
      </c>
    </row>
    <row r="497" spans="1:9" x14ac:dyDescent="0.2">
      <c r="A497" t="s">
        <v>3757</v>
      </c>
      <c r="B497" s="15">
        <v>5</v>
      </c>
      <c r="C497" t="s">
        <v>1840</v>
      </c>
      <c r="D497" t="s">
        <v>1841</v>
      </c>
      <c r="E497" t="s">
        <v>2207</v>
      </c>
      <c r="F497" t="s">
        <v>3756</v>
      </c>
      <c r="G497" t="s">
        <v>1844</v>
      </c>
      <c r="H497" t="s">
        <v>1845</v>
      </c>
      <c r="I497" t="s">
        <v>1846</v>
      </c>
    </row>
    <row r="499" spans="1:9" x14ac:dyDescent="0.2">
      <c r="A499" t="s">
        <v>3780</v>
      </c>
      <c r="B499">
        <v>1</v>
      </c>
      <c r="C499" t="s">
        <v>1819</v>
      </c>
      <c r="D499" t="s">
        <v>1820</v>
      </c>
      <c r="E499" t="s">
        <v>3781</v>
      </c>
      <c r="F499" t="s">
        <v>3782</v>
      </c>
      <c r="G499" t="s">
        <v>3783</v>
      </c>
      <c r="H499" t="s">
        <v>3784</v>
      </c>
      <c r="I499" t="s">
        <v>3785</v>
      </c>
    </row>
    <row r="500" spans="1:9" x14ac:dyDescent="0.2">
      <c r="A500" t="s">
        <v>3780</v>
      </c>
      <c r="B500">
        <v>2</v>
      </c>
      <c r="C500" t="s">
        <v>3786</v>
      </c>
      <c r="D500" t="s">
        <v>3787</v>
      </c>
      <c r="E500" t="s">
        <v>3788</v>
      </c>
      <c r="F500" t="s">
        <v>3789</v>
      </c>
      <c r="G500" t="s">
        <v>3790</v>
      </c>
      <c r="H500" t="s">
        <v>3791</v>
      </c>
      <c r="I500" t="s">
        <v>3792</v>
      </c>
    </row>
    <row r="501" spans="1:9" x14ac:dyDescent="0.2">
      <c r="A501" t="s">
        <v>3780</v>
      </c>
      <c r="B501">
        <v>3</v>
      </c>
      <c r="C501" t="s">
        <v>3793</v>
      </c>
      <c r="D501" t="s">
        <v>3794</v>
      </c>
      <c r="E501" t="s">
        <v>3795</v>
      </c>
      <c r="F501" t="s">
        <v>3796</v>
      </c>
      <c r="G501" t="s">
        <v>3797</v>
      </c>
      <c r="H501" t="s">
        <v>3798</v>
      </c>
      <c r="I501" t="s">
        <v>3799</v>
      </c>
    </row>
    <row r="502" spans="1:9" x14ac:dyDescent="0.2">
      <c r="A502" t="s">
        <v>3780</v>
      </c>
      <c r="B502">
        <v>4</v>
      </c>
      <c r="C502" t="s">
        <v>3800</v>
      </c>
      <c r="D502" t="s">
        <v>3801</v>
      </c>
      <c r="E502" t="s">
        <v>3802</v>
      </c>
      <c r="F502" t="s">
        <v>3803</v>
      </c>
      <c r="G502" t="s">
        <v>3804</v>
      </c>
      <c r="H502" t="s">
        <v>3805</v>
      </c>
      <c r="I502" t="s">
        <v>3806</v>
      </c>
    </row>
    <row r="503" spans="1:9" x14ac:dyDescent="0.2">
      <c r="A503" t="s">
        <v>3780</v>
      </c>
      <c r="B503" s="15">
        <v>5</v>
      </c>
      <c r="C503" t="s">
        <v>1833</v>
      </c>
      <c r="D503" t="s">
        <v>1834</v>
      </c>
      <c r="E503" t="s">
        <v>2205</v>
      </c>
      <c r="F503" t="s">
        <v>3755</v>
      </c>
      <c r="G503" t="s">
        <v>1837</v>
      </c>
      <c r="H503" t="s">
        <v>1838</v>
      </c>
      <c r="I503" t="s">
        <v>1839</v>
      </c>
    </row>
    <row r="504" spans="1:9" x14ac:dyDescent="0.2">
      <c r="A504" t="s">
        <v>3780</v>
      </c>
      <c r="B504" s="15">
        <v>6</v>
      </c>
      <c r="C504" t="s">
        <v>1840</v>
      </c>
      <c r="D504" t="s">
        <v>1841</v>
      </c>
      <c r="E504" t="s">
        <v>2207</v>
      </c>
      <c r="F504" t="s">
        <v>3756</v>
      </c>
      <c r="G504" t="s">
        <v>1844</v>
      </c>
      <c r="H504" t="s">
        <v>1845</v>
      </c>
      <c r="I504" t="s">
        <v>1846</v>
      </c>
    </row>
    <row r="506" spans="1:9" x14ac:dyDescent="0.2">
      <c r="A506" t="s">
        <v>1454</v>
      </c>
      <c r="B506" t="s">
        <v>3807</v>
      </c>
      <c r="C506" t="s">
        <v>3808</v>
      </c>
      <c r="D506" t="s">
        <v>3809</v>
      </c>
      <c r="E506" t="s">
        <v>3810</v>
      </c>
      <c r="F506" t="s">
        <v>3811</v>
      </c>
      <c r="G506" t="s">
        <v>3812</v>
      </c>
      <c r="H506" t="s">
        <v>3813</v>
      </c>
      <c r="I506" t="s">
        <v>3814</v>
      </c>
    </row>
    <row r="507" spans="1:9" x14ac:dyDescent="0.2">
      <c r="A507" t="s">
        <v>1454</v>
      </c>
      <c r="B507" t="s">
        <v>3815</v>
      </c>
      <c r="C507" t="s">
        <v>3816</v>
      </c>
      <c r="D507" t="s">
        <v>3817</v>
      </c>
      <c r="E507" t="s">
        <v>3818</v>
      </c>
      <c r="F507" t="s">
        <v>3819</v>
      </c>
      <c r="G507" t="s">
        <v>3820</v>
      </c>
      <c r="H507" t="s">
        <v>3821</v>
      </c>
      <c r="I507" t="s">
        <v>3822</v>
      </c>
    </row>
    <row r="508" spans="1:9" x14ac:dyDescent="0.2">
      <c r="A508" t="s">
        <v>1454</v>
      </c>
      <c r="B508" t="s">
        <v>3823</v>
      </c>
      <c r="C508" t="s">
        <v>3824</v>
      </c>
      <c r="D508" t="s">
        <v>3825</v>
      </c>
      <c r="E508" t="s">
        <v>3826</v>
      </c>
      <c r="F508" t="s">
        <v>3827</v>
      </c>
      <c r="G508" t="s">
        <v>3828</v>
      </c>
      <c r="H508" t="s">
        <v>3829</v>
      </c>
      <c r="I508" t="s">
        <v>3830</v>
      </c>
    </row>
    <row r="509" spans="1:9" x14ac:dyDescent="0.2">
      <c r="A509" t="s">
        <v>1454</v>
      </c>
      <c r="B509" t="s">
        <v>3831</v>
      </c>
      <c r="C509" t="s">
        <v>3832</v>
      </c>
      <c r="D509" t="s">
        <v>3833</v>
      </c>
      <c r="E509" t="s">
        <v>3834</v>
      </c>
      <c r="F509" t="s">
        <v>3835</v>
      </c>
      <c r="G509" t="s">
        <v>3836</v>
      </c>
      <c r="H509" t="s">
        <v>3837</v>
      </c>
      <c r="I509" t="s">
        <v>3838</v>
      </c>
    </row>
    <row r="510" spans="1:9" x14ac:dyDescent="0.2">
      <c r="A510" t="s">
        <v>1454</v>
      </c>
      <c r="B510" t="s">
        <v>3839</v>
      </c>
      <c r="C510" t="s">
        <v>3840</v>
      </c>
      <c r="D510" t="s">
        <v>3841</v>
      </c>
      <c r="E510" t="s">
        <v>3842</v>
      </c>
      <c r="F510" t="s">
        <v>3843</v>
      </c>
      <c r="G510" t="s">
        <v>3844</v>
      </c>
      <c r="H510" t="s">
        <v>3845</v>
      </c>
      <c r="I510" t="s">
        <v>3846</v>
      </c>
    </row>
    <row r="511" spans="1:9" x14ac:dyDescent="0.2">
      <c r="A511" t="s">
        <v>1454</v>
      </c>
      <c r="B511" t="s">
        <v>3847</v>
      </c>
      <c r="C511" t="s">
        <v>3519</v>
      </c>
      <c r="D511" t="s">
        <v>3520</v>
      </c>
      <c r="E511" t="s">
        <v>3521</v>
      </c>
      <c r="F511" t="s">
        <v>3522</v>
      </c>
      <c r="G511" t="s">
        <v>3500</v>
      </c>
      <c r="H511" t="s">
        <v>3848</v>
      </c>
      <c r="I511" t="s">
        <v>3523</v>
      </c>
    </row>
    <row r="512" spans="1:9" x14ac:dyDescent="0.2">
      <c r="A512" t="s">
        <v>1454</v>
      </c>
      <c r="B512" t="s">
        <v>3849</v>
      </c>
      <c r="C512" t="s">
        <v>3850</v>
      </c>
      <c r="D512" t="s">
        <v>3851</v>
      </c>
      <c r="E512" t="s">
        <v>3852</v>
      </c>
      <c r="F512" t="s">
        <v>3853</v>
      </c>
      <c r="G512" t="s">
        <v>3854</v>
      </c>
      <c r="H512" t="s">
        <v>3855</v>
      </c>
      <c r="I512" t="s">
        <v>3856</v>
      </c>
    </row>
    <row r="513" spans="1:10" x14ac:dyDescent="0.2">
      <c r="A513" t="s">
        <v>1454</v>
      </c>
      <c r="B513" t="s">
        <v>3857</v>
      </c>
      <c r="C513" t="s">
        <v>3858</v>
      </c>
      <c r="D513" t="s">
        <v>3859</v>
      </c>
      <c r="E513" t="s">
        <v>3860</v>
      </c>
      <c r="F513" t="s">
        <v>3861</v>
      </c>
      <c r="G513" t="s">
        <v>3862</v>
      </c>
      <c r="H513" t="s">
        <v>3863</v>
      </c>
      <c r="I513" t="s">
        <v>3864</v>
      </c>
    </row>
    <row r="514" spans="1:10" x14ac:dyDescent="0.2">
      <c r="A514" t="s">
        <v>1454</v>
      </c>
      <c r="B514" t="s">
        <v>3865</v>
      </c>
      <c r="C514" t="s">
        <v>3866</v>
      </c>
      <c r="D514" t="s">
        <v>3867</v>
      </c>
      <c r="E514" t="s">
        <v>3868</v>
      </c>
      <c r="F514" t="s">
        <v>3869</v>
      </c>
      <c r="G514" t="s">
        <v>3870</v>
      </c>
      <c r="H514" t="s">
        <v>3871</v>
      </c>
      <c r="I514" t="s">
        <v>3872</v>
      </c>
    </row>
    <row r="515" spans="1:10" x14ac:dyDescent="0.2">
      <c r="A515" t="s">
        <v>1454</v>
      </c>
      <c r="B515" t="s">
        <v>3873</v>
      </c>
      <c r="C515" t="s">
        <v>3874</v>
      </c>
      <c r="D515" t="s">
        <v>3875</v>
      </c>
      <c r="E515" t="s">
        <v>3876</v>
      </c>
      <c r="F515" t="s">
        <v>3877</v>
      </c>
      <c r="G515" t="s">
        <v>3878</v>
      </c>
      <c r="H515" t="s">
        <v>3879</v>
      </c>
      <c r="I515" t="s">
        <v>3880</v>
      </c>
    </row>
    <row r="516" spans="1:10" x14ac:dyDescent="0.2">
      <c r="A516" t="s">
        <v>1454</v>
      </c>
      <c r="B516" t="s">
        <v>3881</v>
      </c>
      <c r="C516" t="s">
        <v>3882</v>
      </c>
      <c r="D516" t="s">
        <v>3883</v>
      </c>
      <c r="E516" t="s">
        <v>3884</v>
      </c>
      <c r="F516" t="s">
        <v>3885</v>
      </c>
      <c r="G516" t="s">
        <v>3886</v>
      </c>
      <c r="H516" t="s">
        <v>3887</v>
      </c>
      <c r="I516" t="s">
        <v>3888</v>
      </c>
    </row>
    <row r="517" spans="1:10" x14ac:dyDescent="0.2">
      <c r="A517" t="s">
        <v>1454</v>
      </c>
      <c r="B517" t="s">
        <v>3889</v>
      </c>
      <c r="C517" t="s">
        <v>3890</v>
      </c>
      <c r="D517" t="s">
        <v>3891</v>
      </c>
      <c r="E517" t="s">
        <v>3892</v>
      </c>
      <c r="F517" t="s">
        <v>3893</v>
      </c>
      <c r="G517" t="s">
        <v>3894</v>
      </c>
      <c r="H517" t="s">
        <v>3895</v>
      </c>
      <c r="I517" t="s">
        <v>3896</v>
      </c>
    </row>
    <row r="519" spans="1:10" x14ac:dyDescent="0.2">
      <c r="A519" t="s">
        <v>3897</v>
      </c>
      <c r="B519" t="s">
        <v>3898</v>
      </c>
      <c r="C519" t="s">
        <v>3899</v>
      </c>
      <c r="D519" t="s">
        <v>3900</v>
      </c>
      <c r="E519" t="s">
        <v>3901</v>
      </c>
      <c r="F519" t="s">
        <v>3902</v>
      </c>
      <c r="G519" t="s">
        <v>3903</v>
      </c>
      <c r="H519" t="s">
        <v>3904</v>
      </c>
      <c r="I519" t="s">
        <v>3905</v>
      </c>
      <c r="J519" s="11"/>
    </row>
    <row r="520" spans="1:10" x14ac:dyDescent="0.2">
      <c r="A520" t="s">
        <v>3897</v>
      </c>
      <c r="B520" t="s">
        <v>3906</v>
      </c>
      <c r="C520" t="s">
        <v>3907</v>
      </c>
      <c r="D520" t="s">
        <v>3908</v>
      </c>
      <c r="E520" t="s">
        <v>3909</v>
      </c>
      <c r="F520" t="s">
        <v>3910</v>
      </c>
      <c r="G520" t="s">
        <v>3911</v>
      </c>
      <c r="H520" t="s">
        <v>3912</v>
      </c>
      <c r="I520" t="s">
        <v>3913</v>
      </c>
      <c r="J520" s="11"/>
    </row>
    <row r="521" spans="1:10" x14ac:dyDescent="0.2">
      <c r="A521" t="s">
        <v>3897</v>
      </c>
      <c r="B521" t="s">
        <v>3914</v>
      </c>
      <c r="C521" t="s">
        <v>3915</v>
      </c>
      <c r="D521" t="s">
        <v>3916</v>
      </c>
      <c r="E521" t="s">
        <v>3917</v>
      </c>
      <c r="F521" t="s">
        <v>3918</v>
      </c>
      <c r="G521" t="s">
        <v>3919</v>
      </c>
      <c r="H521" t="s">
        <v>3920</v>
      </c>
      <c r="I521" t="s">
        <v>3921</v>
      </c>
      <c r="J521" s="11"/>
    </row>
    <row r="522" spans="1:10" x14ac:dyDescent="0.2">
      <c r="A522" t="s">
        <v>3897</v>
      </c>
      <c r="B522" t="s">
        <v>3922</v>
      </c>
      <c r="C522" t="s">
        <v>3923</v>
      </c>
      <c r="D522" t="s">
        <v>3924</v>
      </c>
      <c r="E522" t="s">
        <v>3925</v>
      </c>
      <c r="F522" t="s">
        <v>3926</v>
      </c>
      <c r="G522" t="s">
        <v>3927</v>
      </c>
      <c r="H522" t="s">
        <v>3928</v>
      </c>
      <c r="I522" t="s">
        <v>3929</v>
      </c>
      <c r="J522" s="11"/>
    </row>
    <row r="523" spans="1:10" x14ac:dyDescent="0.2">
      <c r="A523" t="s">
        <v>3897</v>
      </c>
      <c r="B523" t="s">
        <v>3930</v>
      </c>
      <c r="C523" t="s">
        <v>3931</v>
      </c>
      <c r="D523" t="s">
        <v>3932</v>
      </c>
      <c r="E523" t="s">
        <v>3933</v>
      </c>
      <c r="F523" t="s">
        <v>3934</v>
      </c>
      <c r="G523" t="s">
        <v>3935</v>
      </c>
      <c r="H523" t="s">
        <v>3936</v>
      </c>
      <c r="I523" t="s">
        <v>3937</v>
      </c>
      <c r="J523" s="11"/>
    </row>
    <row r="524" spans="1:10" x14ac:dyDescent="0.2">
      <c r="A524" t="s">
        <v>3897</v>
      </c>
      <c r="B524" t="s">
        <v>3938</v>
      </c>
      <c r="C524" t="s">
        <v>3939</v>
      </c>
      <c r="D524" t="s">
        <v>3940</v>
      </c>
      <c r="E524" t="s">
        <v>3941</v>
      </c>
      <c r="F524" t="s">
        <v>3942</v>
      </c>
      <c r="G524" t="s">
        <v>3943</v>
      </c>
      <c r="H524" t="s">
        <v>3944</v>
      </c>
      <c r="I524" t="s">
        <v>3945</v>
      </c>
      <c r="J524" s="11"/>
    </row>
    <row r="525" spans="1:10" x14ac:dyDescent="0.2">
      <c r="A525" t="s">
        <v>3897</v>
      </c>
      <c r="B525" t="s">
        <v>1025</v>
      </c>
      <c r="C525" t="s">
        <v>3946</v>
      </c>
      <c r="D525" t="s">
        <v>3947</v>
      </c>
      <c r="E525" t="s">
        <v>3948</v>
      </c>
      <c r="F525" t="s">
        <v>3949</v>
      </c>
      <c r="G525" t="s">
        <v>3950</v>
      </c>
      <c r="H525" t="s">
        <v>3951</v>
      </c>
      <c r="I525" t="s">
        <v>3952</v>
      </c>
      <c r="J525" s="11"/>
    </row>
    <row r="526" spans="1:10" x14ac:dyDescent="0.2">
      <c r="A526" t="s">
        <v>3897</v>
      </c>
      <c r="B526" t="s">
        <v>3953</v>
      </c>
      <c r="C526" t="s">
        <v>3954</v>
      </c>
      <c r="D526" t="s">
        <v>3955</v>
      </c>
      <c r="E526" t="s">
        <v>3956</v>
      </c>
      <c r="F526" t="s">
        <v>3957</v>
      </c>
      <c r="G526" t="s">
        <v>3958</v>
      </c>
      <c r="H526" t="s">
        <v>3959</v>
      </c>
      <c r="I526" t="s">
        <v>3960</v>
      </c>
      <c r="J526" s="11"/>
    </row>
    <row r="527" spans="1:10" x14ac:dyDescent="0.2">
      <c r="A527" t="s">
        <v>3897</v>
      </c>
      <c r="B527" t="s">
        <v>3961</v>
      </c>
      <c r="C527" t="s">
        <v>3962</v>
      </c>
      <c r="D527" t="s">
        <v>3963</v>
      </c>
      <c r="E527" t="s">
        <v>3964</v>
      </c>
      <c r="F527" t="s">
        <v>3965</v>
      </c>
      <c r="G527" t="s">
        <v>3966</v>
      </c>
      <c r="H527" t="s">
        <v>3967</v>
      </c>
      <c r="I527" t="s">
        <v>3968</v>
      </c>
      <c r="J527" s="11"/>
    </row>
    <row r="528" spans="1:10" x14ac:dyDescent="0.2">
      <c r="A528" t="s">
        <v>3897</v>
      </c>
      <c r="B528" t="s">
        <v>3969</v>
      </c>
      <c r="C528" t="s">
        <v>3970</v>
      </c>
      <c r="D528" t="s">
        <v>3971</v>
      </c>
      <c r="E528" t="s">
        <v>3972</v>
      </c>
      <c r="F528" t="s">
        <v>3973</v>
      </c>
      <c r="G528" t="s">
        <v>3974</v>
      </c>
      <c r="H528" t="s">
        <v>3975</v>
      </c>
      <c r="I528" t="s">
        <v>3976</v>
      </c>
      <c r="J528" s="11"/>
    </row>
    <row r="529" spans="1:10" x14ac:dyDescent="0.2">
      <c r="A529" t="s">
        <v>3897</v>
      </c>
      <c r="B529" t="s">
        <v>3977</v>
      </c>
      <c r="C529" t="s">
        <v>3978</v>
      </c>
      <c r="D529" t="s">
        <v>3979</v>
      </c>
      <c r="E529" t="s">
        <v>3980</v>
      </c>
      <c r="F529" t="s">
        <v>3981</v>
      </c>
      <c r="G529" t="s">
        <v>3982</v>
      </c>
      <c r="H529" t="s">
        <v>3983</v>
      </c>
      <c r="I529" t="s">
        <v>3984</v>
      </c>
      <c r="J529" s="11"/>
    </row>
    <row r="530" spans="1:10" x14ac:dyDescent="0.2">
      <c r="A530" t="s">
        <v>3897</v>
      </c>
      <c r="B530" t="s">
        <v>3985</v>
      </c>
      <c r="C530" t="s">
        <v>3986</v>
      </c>
      <c r="D530" t="s">
        <v>3987</v>
      </c>
      <c r="E530" t="s">
        <v>3988</v>
      </c>
      <c r="F530" t="s">
        <v>3989</v>
      </c>
      <c r="G530" t="s">
        <v>3990</v>
      </c>
      <c r="H530" t="s">
        <v>3991</v>
      </c>
      <c r="I530" t="s">
        <v>3992</v>
      </c>
      <c r="J530" s="11"/>
    </row>
    <row r="531" spans="1:10" x14ac:dyDescent="0.2">
      <c r="A531" t="s">
        <v>3897</v>
      </c>
      <c r="B531" t="s">
        <v>3993</v>
      </c>
      <c r="C531" t="s">
        <v>3994</v>
      </c>
      <c r="D531" t="s">
        <v>3995</v>
      </c>
      <c r="E531" t="s">
        <v>3996</v>
      </c>
      <c r="F531" t="s">
        <v>3997</v>
      </c>
      <c r="G531" t="s">
        <v>3998</v>
      </c>
      <c r="H531" t="s">
        <v>3999</v>
      </c>
      <c r="I531" t="s">
        <v>4000</v>
      </c>
      <c r="J531" s="11"/>
    </row>
    <row r="532" spans="1:10" x14ac:dyDescent="0.2">
      <c r="A532" t="s">
        <v>3897</v>
      </c>
      <c r="B532" t="s">
        <v>4001</v>
      </c>
      <c r="C532" t="s">
        <v>4002</v>
      </c>
      <c r="D532" t="s">
        <v>4003</v>
      </c>
      <c r="E532" t="s">
        <v>4004</v>
      </c>
      <c r="F532" t="s">
        <v>4005</v>
      </c>
      <c r="G532" t="s">
        <v>4006</v>
      </c>
      <c r="H532" t="s">
        <v>4007</v>
      </c>
      <c r="I532" t="s">
        <v>4008</v>
      </c>
      <c r="J532" s="11"/>
    </row>
    <row r="533" spans="1:10" x14ac:dyDescent="0.2">
      <c r="A533" t="s">
        <v>3897</v>
      </c>
      <c r="B533" t="s">
        <v>4009</v>
      </c>
      <c r="C533" t="s">
        <v>4010</v>
      </c>
      <c r="D533" t="s">
        <v>4011</v>
      </c>
      <c r="E533" t="s">
        <v>4012</v>
      </c>
      <c r="F533" t="s">
        <v>4013</v>
      </c>
      <c r="G533" t="s">
        <v>4014</v>
      </c>
      <c r="H533" t="s">
        <v>4015</v>
      </c>
      <c r="I533" t="s">
        <v>4016</v>
      </c>
      <c r="J533" s="11"/>
    </row>
    <row r="534" spans="1:10" x14ac:dyDescent="0.2">
      <c r="A534" t="s">
        <v>3897</v>
      </c>
      <c r="B534" t="s">
        <v>4017</v>
      </c>
      <c r="C534" t="s">
        <v>4018</v>
      </c>
      <c r="D534" t="s">
        <v>4019</v>
      </c>
      <c r="E534" t="s">
        <v>4020</v>
      </c>
      <c r="F534" t="s">
        <v>4021</v>
      </c>
      <c r="G534" t="s">
        <v>4022</v>
      </c>
      <c r="H534" t="s">
        <v>4023</v>
      </c>
      <c r="I534" t="s">
        <v>4024</v>
      </c>
      <c r="J534" s="11"/>
    </row>
    <row r="535" spans="1:10" x14ac:dyDescent="0.2">
      <c r="A535" t="s">
        <v>3897</v>
      </c>
      <c r="B535" t="s">
        <v>2188</v>
      </c>
      <c r="C535" t="s">
        <v>2790</v>
      </c>
      <c r="D535" t="s">
        <v>2791</v>
      </c>
      <c r="E535" t="s">
        <v>4025</v>
      </c>
      <c r="F535" t="s">
        <v>3674</v>
      </c>
      <c r="G535" t="s">
        <v>4026</v>
      </c>
      <c r="H535" t="s">
        <v>4027</v>
      </c>
      <c r="I535" t="s">
        <v>4028</v>
      </c>
    </row>
    <row r="536" spans="1:10" x14ac:dyDescent="0.2">
      <c r="A536" t="s">
        <v>3897</v>
      </c>
      <c r="B536" t="s">
        <v>2204</v>
      </c>
      <c r="C536" t="s">
        <v>1833</v>
      </c>
      <c r="D536" t="s">
        <v>1834</v>
      </c>
      <c r="E536" t="s">
        <v>2205</v>
      </c>
      <c r="F536" t="s">
        <v>4029</v>
      </c>
      <c r="G536" t="s">
        <v>1837</v>
      </c>
      <c r="H536" t="s">
        <v>4030</v>
      </c>
      <c r="I536" t="s">
        <v>1839</v>
      </c>
    </row>
    <row r="537" spans="1:10" x14ac:dyDescent="0.2">
      <c r="A537" t="s">
        <v>3897</v>
      </c>
      <c r="B537" t="s">
        <v>2206</v>
      </c>
      <c r="C537" t="s">
        <v>1840</v>
      </c>
      <c r="D537" t="s">
        <v>1841</v>
      </c>
      <c r="E537" t="s">
        <v>2207</v>
      </c>
      <c r="F537" t="s">
        <v>3756</v>
      </c>
      <c r="G537" t="s">
        <v>1844</v>
      </c>
      <c r="H537" t="s">
        <v>1845</v>
      </c>
      <c r="I537" t="s">
        <v>1846</v>
      </c>
    </row>
    <row r="539" spans="1:10" x14ac:dyDescent="0.2">
      <c r="A539" t="s">
        <v>4031</v>
      </c>
      <c r="B539" s="2" t="s">
        <v>3898</v>
      </c>
      <c r="C539" s="2" t="s">
        <v>3899</v>
      </c>
      <c r="D539" t="s">
        <v>3900</v>
      </c>
      <c r="E539" t="s">
        <v>3901</v>
      </c>
      <c r="F539" t="s">
        <v>3902</v>
      </c>
      <c r="G539" t="s">
        <v>4032</v>
      </c>
      <c r="H539" t="s">
        <v>3904</v>
      </c>
      <c r="I539" t="s">
        <v>3905</v>
      </c>
      <c r="J539" s="11"/>
    </row>
    <row r="540" spans="1:10" x14ac:dyDescent="0.2">
      <c r="A540" t="s">
        <v>4031</v>
      </c>
      <c r="B540" s="2" t="s">
        <v>3906</v>
      </c>
      <c r="C540" s="2" t="s">
        <v>4033</v>
      </c>
      <c r="D540" t="s">
        <v>4034</v>
      </c>
      <c r="E540" t="s">
        <v>3909</v>
      </c>
      <c r="F540" t="s">
        <v>3910</v>
      </c>
      <c r="G540" t="s">
        <v>3911</v>
      </c>
      <c r="H540" t="s">
        <v>3912</v>
      </c>
      <c r="I540" t="s">
        <v>3913</v>
      </c>
      <c r="J540" s="11"/>
    </row>
    <row r="541" spans="1:10" x14ac:dyDescent="0.2">
      <c r="A541" t="s">
        <v>4031</v>
      </c>
      <c r="B541" s="2" t="s">
        <v>3914</v>
      </c>
      <c r="C541" s="2" t="s">
        <v>4035</v>
      </c>
      <c r="D541" t="s">
        <v>4036</v>
      </c>
      <c r="E541" t="s">
        <v>3917</v>
      </c>
      <c r="F541" t="s">
        <v>3918</v>
      </c>
      <c r="G541" t="s">
        <v>4037</v>
      </c>
      <c r="H541" t="s">
        <v>3920</v>
      </c>
      <c r="I541" t="s">
        <v>4038</v>
      </c>
      <c r="J541" s="11"/>
    </row>
    <row r="542" spans="1:10" x14ac:dyDescent="0.2">
      <c r="A542" t="s">
        <v>4031</v>
      </c>
      <c r="B542" t="s">
        <v>4039</v>
      </c>
      <c r="C542" t="s">
        <v>4040</v>
      </c>
      <c r="D542" t="s">
        <v>4041</v>
      </c>
      <c r="E542" t="s">
        <v>4042</v>
      </c>
      <c r="F542" t="s">
        <v>4043</v>
      </c>
      <c r="G542" t="s">
        <v>4044</v>
      </c>
      <c r="H542" t="s">
        <v>4045</v>
      </c>
      <c r="I542" t="s">
        <v>4046</v>
      </c>
      <c r="J542" s="11"/>
    </row>
    <row r="543" spans="1:10" x14ac:dyDescent="0.2">
      <c r="A543" t="s">
        <v>4031</v>
      </c>
      <c r="B543" t="s">
        <v>4047</v>
      </c>
      <c r="C543" t="s">
        <v>4048</v>
      </c>
      <c r="D543" t="s">
        <v>4049</v>
      </c>
      <c r="E543" t="s">
        <v>4050</v>
      </c>
      <c r="F543" t="s">
        <v>4051</v>
      </c>
      <c r="G543" t="s">
        <v>4052</v>
      </c>
      <c r="H543" t="s">
        <v>4053</v>
      </c>
      <c r="I543" t="s">
        <v>4054</v>
      </c>
      <c r="J543" s="11"/>
    </row>
    <row r="544" spans="1:10" x14ac:dyDescent="0.2">
      <c r="A544" t="s">
        <v>4031</v>
      </c>
      <c r="B544" t="s">
        <v>4055</v>
      </c>
      <c r="C544" t="s">
        <v>4056</v>
      </c>
      <c r="D544" t="s">
        <v>4057</v>
      </c>
      <c r="E544" t="s">
        <v>4058</v>
      </c>
      <c r="F544" t="s">
        <v>4059</v>
      </c>
      <c r="G544" t="s">
        <v>4060</v>
      </c>
      <c r="H544" t="s">
        <v>4061</v>
      </c>
      <c r="I544" t="s">
        <v>3984</v>
      </c>
      <c r="J544" s="11"/>
    </row>
    <row r="545" spans="1:10" x14ac:dyDescent="0.2">
      <c r="A545" t="s">
        <v>4031</v>
      </c>
      <c r="B545" t="s">
        <v>4062</v>
      </c>
      <c r="C545" t="s">
        <v>4002</v>
      </c>
      <c r="D545" t="s">
        <v>4003</v>
      </c>
      <c r="E545" t="s">
        <v>4063</v>
      </c>
      <c r="F545" t="s">
        <v>4064</v>
      </c>
      <c r="G545" t="s">
        <v>4065</v>
      </c>
      <c r="H545" t="s">
        <v>4007</v>
      </c>
      <c r="I545" t="s">
        <v>4066</v>
      </c>
      <c r="J545" s="11"/>
    </row>
    <row r="546" spans="1:10" x14ac:dyDescent="0.2">
      <c r="A546" t="s">
        <v>4031</v>
      </c>
      <c r="B546" t="s">
        <v>4067</v>
      </c>
      <c r="C546" t="s">
        <v>4018</v>
      </c>
      <c r="D546" t="s">
        <v>4068</v>
      </c>
      <c r="E546" t="s">
        <v>4069</v>
      </c>
      <c r="F546" t="s">
        <v>4070</v>
      </c>
      <c r="G546" t="s">
        <v>4071</v>
      </c>
      <c r="H546" t="s">
        <v>4023</v>
      </c>
      <c r="I546" t="s">
        <v>4072</v>
      </c>
      <c r="J546" s="11"/>
    </row>
    <row r="547" spans="1:10" x14ac:dyDescent="0.2">
      <c r="A547" t="s">
        <v>4031</v>
      </c>
      <c r="B547" t="s">
        <v>2188</v>
      </c>
      <c r="C547" t="s">
        <v>2790</v>
      </c>
      <c r="D547" t="s">
        <v>2791</v>
      </c>
      <c r="E547" t="s">
        <v>4073</v>
      </c>
      <c r="F547" t="s">
        <v>3674</v>
      </c>
      <c r="G547" t="s">
        <v>4074</v>
      </c>
      <c r="H547" t="s">
        <v>4027</v>
      </c>
      <c r="I547" t="s">
        <v>4075</v>
      </c>
      <c r="J547" s="11"/>
    </row>
    <row r="548" spans="1:10" x14ac:dyDescent="0.2">
      <c r="A548" t="s">
        <v>4031</v>
      </c>
      <c r="B548" t="s">
        <v>2196</v>
      </c>
      <c r="C548" t="s">
        <v>4076</v>
      </c>
      <c r="D548" t="s">
        <v>4077</v>
      </c>
      <c r="E548" t="s">
        <v>4078</v>
      </c>
      <c r="F548" t="s">
        <v>4079</v>
      </c>
      <c r="G548" t="s">
        <v>4080</v>
      </c>
      <c r="H548" t="s">
        <v>4081</v>
      </c>
      <c r="I548" t="s">
        <v>4082</v>
      </c>
      <c r="J548" s="11"/>
    </row>
    <row r="549" spans="1:10" x14ac:dyDescent="0.2">
      <c r="A549" t="s">
        <v>4031</v>
      </c>
      <c r="B549" t="s">
        <v>2204</v>
      </c>
      <c r="C549" t="s">
        <v>3779</v>
      </c>
      <c r="D549" t="s">
        <v>1834</v>
      </c>
      <c r="E549" t="s">
        <v>2205</v>
      </c>
      <c r="F549" t="s">
        <v>4083</v>
      </c>
      <c r="G549" t="s">
        <v>1837</v>
      </c>
      <c r="H549" t="s">
        <v>4084</v>
      </c>
      <c r="I549" t="s">
        <v>1839</v>
      </c>
    </row>
    <row r="550" spans="1:10" x14ac:dyDescent="0.2">
      <c r="A550" t="s">
        <v>4031</v>
      </c>
      <c r="B550" t="s">
        <v>2206</v>
      </c>
      <c r="C550" t="s">
        <v>1840</v>
      </c>
      <c r="D550" t="s">
        <v>1841</v>
      </c>
      <c r="E550" t="s">
        <v>2207</v>
      </c>
      <c r="F550" t="s">
        <v>3756</v>
      </c>
      <c r="G550" t="s">
        <v>1844</v>
      </c>
      <c r="H550" t="s">
        <v>1845</v>
      </c>
      <c r="I550" t="s">
        <v>1846</v>
      </c>
    </row>
    <row r="552" spans="1:10" x14ac:dyDescent="0.2">
      <c r="A552" s="2" t="s">
        <v>4085</v>
      </c>
      <c r="B552" s="2">
        <v>1</v>
      </c>
      <c r="C552" s="2" t="s">
        <v>1819</v>
      </c>
      <c r="D552" s="2" t="s">
        <v>1820</v>
      </c>
      <c r="E552" s="2" t="s">
        <v>3781</v>
      </c>
      <c r="F552" s="2" t="s">
        <v>3782</v>
      </c>
      <c r="G552" s="2" t="s">
        <v>1823</v>
      </c>
      <c r="H552" s="2" t="s">
        <v>3784</v>
      </c>
      <c r="I552" s="2" t="s">
        <v>1825</v>
      </c>
      <c r="J552" s="11"/>
    </row>
    <row r="553" spans="1:10" x14ac:dyDescent="0.2">
      <c r="A553" s="2" t="s">
        <v>4085</v>
      </c>
      <c r="B553" s="2">
        <v>2</v>
      </c>
      <c r="C553" s="2" t="s">
        <v>4086</v>
      </c>
      <c r="D553" s="2" t="s">
        <v>4087</v>
      </c>
      <c r="E553" s="2" t="s">
        <v>4088</v>
      </c>
      <c r="F553" s="2" t="s">
        <v>4089</v>
      </c>
      <c r="G553" s="2" t="s">
        <v>4090</v>
      </c>
      <c r="H553" s="2" t="s">
        <v>4091</v>
      </c>
      <c r="I553" s="2" t="s">
        <v>4092</v>
      </c>
      <c r="J553" s="11"/>
    </row>
    <row r="554" spans="1:10" x14ac:dyDescent="0.2">
      <c r="A554" s="2" t="s">
        <v>4085</v>
      </c>
      <c r="B554" s="2">
        <v>3</v>
      </c>
      <c r="C554" s="2" t="s">
        <v>4093</v>
      </c>
      <c r="D554" s="2" t="s">
        <v>4094</v>
      </c>
      <c r="E554" s="2" t="s">
        <v>4095</v>
      </c>
      <c r="F554" s="2" t="s">
        <v>4096</v>
      </c>
      <c r="G554" s="2" t="s">
        <v>4097</v>
      </c>
      <c r="H554" s="2" t="s">
        <v>4098</v>
      </c>
      <c r="I554" s="2" t="s">
        <v>4099</v>
      </c>
      <c r="J554" s="11"/>
    </row>
    <row r="555" spans="1:10" x14ac:dyDescent="0.2">
      <c r="A555" s="2" t="s">
        <v>4085</v>
      </c>
      <c r="B555" s="2">
        <v>4</v>
      </c>
      <c r="C555" s="2" t="s">
        <v>4100</v>
      </c>
      <c r="D555" s="2" t="s">
        <v>4101</v>
      </c>
      <c r="E555" s="2" t="s">
        <v>4102</v>
      </c>
      <c r="F555" s="2" t="s">
        <v>4103</v>
      </c>
      <c r="G555" s="2" t="s">
        <v>4104</v>
      </c>
      <c r="H555" s="2" t="s">
        <v>4105</v>
      </c>
      <c r="I555" s="2" t="s">
        <v>4106</v>
      </c>
      <c r="J555" s="11"/>
    </row>
    <row r="556" spans="1:10" x14ac:dyDescent="0.2">
      <c r="A556" s="2" t="s">
        <v>4085</v>
      </c>
      <c r="B556" s="2">
        <v>5</v>
      </c>
      <c r="C556" s="2" t="s">
        <v>4107</v>
      </c>
      <c r="D556" s="2" t="s">
        <v>4108</v>
      </c>
      <c r="E556" s="2" t="s">
        <v>4109</v>
      </c>
      <c r="F556" s="2" t="s">
        <v>4110</v>
      </c>
      <c r="G556" s="2" t="s">
        <v>4111</v>
      </c>
      <c r="H556" s="2" t="s">
        <v>4112</v>
      </c>
      <c r="I556" s="2" t="s">
        <v>4113</v>
      </c>
      <c r="J556" s="11"/>
    </row>
    <row r="557" spans="1:10" x14ac:dyDescent="0.2">
      <c r="A557" s="2" t="s">
        <v>4085</v>
      </c>
      <c r="B557" s="2">
        <v>6</v>
      </c>
      <c r="C557" s="2" t="s">
        <v>4114</v>
      </c>
      <c r="D557" s="2" t="s">
        <v>4115</v>
      </c>
      <c r="E557" s="2" t="s">
        <v>4116</v>
      </c>
      <c r="F557" s="2" t="s">
        <v>4117</v>
      </c>
      <c r="G557" s="2" t="s">
        <v>4118</v>
      </c>
      <c r="H557" s="2" t="s">
        <v>4119</v>
      </c>
      <c r="I557" s="2" t="s">
        <v>4120</v>
      </c>
      <c r="J557" s="11"/>
    </row>
    <row r="558" spans="1:10" x14ac:dyDescent="0.2">
      <c r="A558" s="2" t="s">
        <v>4085</v>
      </c>
      <c r="B558" s="2">
        <v>7</v>
      </c>
      <c r="C558" s="2" t="s">
        <v>1833</v>
      </c>
      <c r="D558" t="s">
        <v>1834</v>
      </c>
      <c r="E558" t="s">
        <v>2205</v>
      </c>
      <c r="F558" t="s">
        <v>4121</v>
      </c>
      <c r="G558" t="s">
        <v>1837</v>
      </c>
      <c r="H558" t="s">
        <v>2878</v>
      </c>
      <c r="I558" t="s">
        <v>1839</v>
      </c>
      <c r="J558" s="11"/>
    </row>
    <row r="559" spans="1:10" x14ac:dyDescent="0.2">
      <c r="A559" s="2" t="s">
        <v>4085</v>
      </c>
      <c r="B559" s="2">
        <v>8</v>
      </c>
      <c r="C559" s="2" t="s">
        <v>1840</v>
      </c>
      <c r="D559" t="s">
        <v>1841</v>
      </c>
      <c r="E559" t="s">
        <v>2207</v>
      </c>
      <c r="F559" t="s">
        <v>3756</v>
      </c>
      <c r="G559" t="s">
        <v>1844</v>
      </c>
      <c r="H559" t="s">
        <v>1845</v>
      </c>
      <c r="I559" t="s">
        <v>1846</v>
      </c>
      <c r="J559" s="11"/>
    </row>
    <row r="560" spans="1:10" x14ac:dyDescent="0.2">
      <c r="J560" s="11"/>
    </row>
    <row r="561" spans="1:10" x14ac:dyDescent="0.2">
      <c r="A561" s="2" t="s">
        <v>4122</v>
      </c>
      <c r="B561" s="2" t="s">
        <v>4123</v>
      </c>
      <c r="C561" s="2" t="s">
        <v>4124</v>
      </c>
      <c r="D561" s="2" t="s">
        <v>4124</v>
      </c>
      <c r="E561" s="2" t="s">
        <v>4124</v>
      </c>
      <c r="F561" s="2" t="s">
        <v>4124</v>
      </c>
      <c r="G561" s="2" t="s">
        <v>4124</v>
      </c>
      <c r="H561" s="2" t="s">
        <v>4124</v>
      </c>
      <c r="I561" s="2" t="s">
        <v>4124</v>
      </c>
      <c r="J561" s="11"/>
    </row>
    <row r="562" spans="1:10" x14ac:dyDescent="0.2">
      <c r="A562" s="2" t="s">
        <v>4122</v>
      </c>
      <c r="B562" s="2" t="s">
        <v>4125</v>
      </c>
      <c r="C562" s="2" t="s">
        <v>4126</v>
      </c>
      <c r="D562" s="2" t="s">
        <v>4127</v>
      </c>
      <c r="E562" s="2" t="s">
        <v>4126</v>
      </c>
      <c r="F562" s="2" t="s">
        <v>4127</v>
      </c>
      <c r="G562" s="2" t="s">
        <v>4128</v>
      </c>
      <c r="H562" s="2" t="s">
        <v>4129</v>
      </c>
      <c r="I562" s="2" t="s">
        <v>4130</v>
      </c>
      <c r="J562" s="11"/>
    </row>
    <row r="563" spans="1:10" x14ac:dyDescent="0.2">
      <c r="A563" s="2" t="s">
        <v>4122</v>
      </c>
      <c r="B563" s="2" t="s">
        <v>4131</v>
      </c>
      <c r="C563" s="2" t="s">
        <v>4132</v>
      </c>
      <c r="D563" s="2" t="s">
        <v>4133</v>
      </c>
      <c r="E563" s="2" t="s">
        <v>4134</v>
      </c>
      <c r="F563" s="2" t="s">
        <v>4135</v>
      </c>
      <c r="G563" s="2" t="s">
        <v>4136</v>
      </c>
      <c r="H563" s="2" t="s">
        <v>4137</v>
      </c>
      <c r="I563" s="2" t="s">
        <v>4138</v>
      </c>
      <c r="J563" s="11"/>
    </row>
    <row r="564" spans="1:10" x14ac:dyDescent="0.2">
      <c r="A564" s="2" t="s">
        <v>4122</v>
      </c>
      <c r="B564" s="2" t="s">
        <v>2955</v>
      </c>
      <c r="C564" s="2" t="s">
        <v>4139</v>
      </c>
      <c r="D564" s="2" t="s">
        <v>4140</v>
      </c>
      <c r="E564" s="2" t="s">
        <v>4141</v>
      </c>
      <c r="F564" s="2" t="s">
        <v>4142</v>
      </c>
      <c r="G564" s="2" t="s">
        <v>4143</v>
      </c>
      <c r="H564" s="2" t="s">
        <v>4144</v>
      </c>
      <c r="I564" s="2" t="s">
        <v>4145</v>
      </c>
      <c r="J564" s="11"/>
    </row>
    <row r="565" spans="1:10" x14ac:dyDescent="0.2">
      <c r="A565" s="2" t="s">
        <v>4122</v>
      </c>
      <c r="B565" s="2" t="s">
        <v>2940</v>
      </c>
      <c r="C565" s="2" t="s">
        <v>4146</v>
      </c>
      <c r="D565" s="2" t="s">
        <v>4147</v>
      </c>
      <c r="E565" s="2" t="s">
        <v>4148</v>
      </c>
      <c r="F565" s="2" t="s">
        <v>4149</v>
      </c>
      <c r="G565" s="2" t="s">
        <v>4150</v>
      </c>
      <c r="H565" s="2" t="s">
        <v>4151</v>
      </c>
      <c r="I565" s="2" t="s">
        <v>4152</v>
      </c>
      <c r="J565" s="11"/>
    </row>
    <row r="566" spans="1:10" x14ac:dyDescent="0.2">
      <c r="A566" s="2" t="s">
        <v>4122</v>
      </c>
      <c r="B566" s="2" t="s">
        <v>2204</v>
      </c>
      <c r="C566" s="2" t="s">
        <v>1833</v>
      </c>
      <c r="D566" t="s">
        <v>1834</v>
      </c>
      <c r="E566" t="s">
        <v>2205</v>
      </c>
      <c r="F566" t="s">
        <v>4121</v>
      </c>
      <c r="G566" t="s">
        <v>1837</v>
      </c>
      <c r="H566" t="s">
        <v>4030</v>
      </c>
      <c r="I566" t="s">
        <v>1839</v>
      </c>
      <c r="J566" s="11"/>
    </row>
    <row r="567" spans="1:10" x14ac:dyDescent="0.2">
      <c r="A567" s="2" t="s">
        <v>4122</v>
      </c>
      <c r="B567" s="2" t="s">
        <v>2206</v>
      </c>
      <c r="C567" s="2" t="s">
        <v>1840</v>
      </c>
      <c r="D567" t="s">
        <v>1841</v>
      </c>
      <c r="E567" t="s">
        <v>2207</v>
      </c>
      <c r="F567" t="s">
        <v>4153</v>
      </c>
      <c r="G567" t="s">
        <v>1844</v>
      </c>
      <c r="H567" t="s">
        <v>1845</v>
      </c>
      <c r="I567" t="s">
        <v>1846</v>
      </c>
    </row>
    <row r="569" spans="1:10" x14ac:dyDescent="0.2">
      <c r="A569" t="s">
        <v>4154</v>
      </c>
      <c r="B569" t="s">
        <v>4155</v>
      </c>
      <c r="C569" t="s">
        <v>4156</v>
      </c>
      <c r="D569" t="s">
        <v>4157</v>
      </c>
      <c r="E569" t="s">
        <v>4158</v>
      </c>
      <c r="F569" t="s">
        <v>4159</v>
      </c>
      <c r="G569" t="s">
        <v>4160</v>
      </c>
      <c r="H569" t="s">
        <v>4161</v>
      </c>
      <c r="I569" t="s">
        <v>4162</v>
      </c>
    </row>
    <row r="570" spans="1:10" x14ac:dyDescent="0.2">
      <c r="A570" t="s">
        <v>4154</v>
      </c>
      <c r="B570" t="s">
        <v>4163</v>
      </c>
      <c r="C570" t="s">
        <v>4164</v>
      </c>
      <c r="D570" t="s">
        <v>4165</v>
      </c>
      <c r="E570" t="s">
        <v>4166</v>
      </c>
      <c r="F570" t="s">
        <v>4167</v>
      </c>
      <c r="G570" t="s">
        <v>4168</v>
      </c>
      <c r="H570" t="s">
        <v>4169</v>
      </c>
      <c r="I570" t="s">
        <v>4167</v>
      </c>
    </row>
    <row r="571" spans="1:10" x14ac:dyDescent="0.2">
      <c r="A571" t="s">
        <v>4154</v>
      </c>
      <c r="B571" t="s">
        <v>4170</v>
      </c>
      <c r="C571" t="s">
        <v>4171</v>
      </c>
      <c r="D571" t="s">
        <v>4172</v>
      </c>
      <c r="E571" t="s">
        <v>4173</v>
      </c>
      <c r="F571" t="s">
        <v>4174</v>
      </c>
      <c r="G571" t="s">
        <v>4175</v>
      </c>
      <c r="H571" t="s">
        <v>4176</v>
      </c>
      <c r="I571" t="s">
        <v>4177</v>
      </c>
    </row>
    <row r="572" spans="1:10" x14ac:dyDescent="0.2">
      <c r="A572" t="s">
        <v>4154</v>
      </c>
      <c r="B572" t="s">
        <v>4178</v>
      </c>
      <c r="C572" t="s">
        <v>4179</v>
      </c>
      <c r="D572" t="s">
        <v>4180</v>
      </c>
      <c r="E572" t="s">
        <v>4181</v>
      </c>
      <c r="F572" t="s">
        <v>4182</v>
      </c>
      <c r="G572" t="s">
        <v>4183</v>
      </c>
      <c r="H572" t="s">
        <v>4184</v>
      </c>
      <c r="I572" t="s">
        <v>4185</v>
      </c>
    </row>
    <row r="573" spans="1:10" x14ac:dyDescent="0.2">
      <c r="A573" t="s">
        <v>4154</v>
      </c>
      <c r="B573" t="s">
        <v>4186</v>
      </c>
      <c r="C573" t="s">
        <v>4187</v>
      </c>
      <c r="D573" t="s">
        <v>4188</v>
      </c>
      <c r="E573" t="s">
        <v>4189</v>
      </c>
      <c r="F573" t="s">
        <v>4190</v>
      </c>
      <c r="G573" t="s">
        <v>4191</v>
      </c>
      <c r="H573" t="s">
        <v>4192</v>
      </c>
      <c r="I573" t="s">
        <v>4193</v>
      </c>
    </row>
    <row r="574" spans="1:10" x14ac:dyDescent="0.2">
      <c r="A574" t="s">
        <v>4154</v>
      </c>
      <c r="B574" t="s">
        <v>4194</v>
      </c>
      <c r="C574" t="s">
        <v>4195</v>
      </c>
      <c r="D574" t="s">
        <v>4196</v>
      </c>
      <c r="E574" t="s">
        <v>4197</v>
      </c>
      <c r="F574" t="s">
        <v>4198</v>
      </c>
      <c r="G574" t="s">
        <v>4199</v>
      </c>
      <c r="H574" t="s">
        <v>4200</v>
      </c>
      <c r="I574" t="s">
        <v>4201</v>
      </c>
    </row>
    <row r="575" spans="1:10" x14ac:dyDescent="0.2">
      <c r="A575" t="s">
        <v>4154</v>
      </c>
      <c r="B575" t="s">
        <v>4202</v>
      </c>
      <c r="C575" t="s">
        <v>4203</v>
      </c>
      <c r="D575" t="s">
        <v>4204</v>
      </c>
      <c r="E575" t="s">
        <v>4205</v>
      </c>
      <c r="F575" t="s">
        <v>4206</v>
      </c>
      <c r="G575" t="s">
        <v>4207</v>
      </c>
      <c r="H575" t="s">
        <v>4208</v>
      </c>
      <c r="I575" t="s">
        <v>4209</v>
      </c>
    </row>
    <row r="577" spans="1:10" x14ac:dyDescent="0.2">
      <c r="A577" t="s">
        <v>1743</v>
      </c>
      <c r="B577" t="s">
        <v>4210</v>
      </c>
      <c r="C577" t="s">
        <v>4211</v>
      </c>
      <c r="D577" t="s">
        <v>4212</v>
      </c>
      <c r="E577" t="s">
        <v>4213</v>
      </c>
      <c r="F577" t="s">
        <v>4214</v>
      </c>
      <c r="G577" t="s">
        <v>4215</v>
      </c>
      <c r="H577" t="s">
        <v>4216</v>
      </c>
      <c r="I577" t="s">
        <v>4217</v>
      </c>
    </row>
    <row r="578" spans="1:10" x14ac:dyDescent="0.2">
      <c r="A578" t="s">
        <v>1743</v>
      </c>
      <c r="B578" t="s">
        <v>4218</v>
      </c>
      <c r="C578" t="s">
        <v>4219</v>
      </c>
      <c r="D578" t="s">
        <v>4220</v>
      </c>
      <c r="E578" t="s">
        <v>4221</v>
      </c>
      <c r="F578" t="s">
        <v>4222</v>
      </c>
      <c r="G578" t="s">
        <v>4223</v>
      </c>
      <c r="H578" t="s">
        <v>4224</v>
      </c>
      <c r="I578" t="s">
        <v>4225</v>
      </c>
    </row>
    <row r="579" spans="1:10" x14ac:dyDescent="0.2">
      <c r="A579" t="s">
        <v>1743</v>
      </c>
      <c r="B579" t="s">
        <v>4226</v>
      </c>
      <c r="C579" t="s">
        <v>4227</v>
      </c>
      <c r="D579" t="s">
        <v>4228</v>
      </c>
      <c r="E579" t="s">
        <v>4229</v>
      </c>
      <c r="F579" t="s">
        <v>4230</v>
      </c>
      <c r="G579" t="s">
        <v>4231</v>
      </c>
      <c r="H579" t="s">
        <v>4232</v>
      </c>
      <c r="I579" t="s">
        <v>4233</v>
      </c>
    </row>
    <row r="581" spans="1:10" x14ac:dyDescent="0.2">
      <c r="D581" s="8"/>
      <c r="E581" s="8"/>
      <c r="F581" s="8"/>
      <c r="G581" s="8"/>
      <c r="H581" s="8"/>
      <c r="I581" s="8"/>
    </row>
    <row r="582" spans="1:10" x14ac:dyDescent="0.2">
      <c r="A582" s="8"/>
      <c r="B582" s="8"/>
      <c r="C582" s="8"/>
      <c r="J582" s="8"/>
    </row>
    <row r="584" spans="1:10" x14ac:dyDescent="0.2">
      <c r="A584" t="s">
        <v>4234</v>
      </c>
      <c r="B584" t="s">
        <v>4235</v>
      </c>
      <c r="C584" t="s">
        <v>4236</v>
      </c>
      <c r="D584" t="s">
        <v>4237</v>
      </c>
      <c r="E584" t="s">
        <v>4238</v>
      </c>
      <c r="F584" t="s">
        <v>4239</v>
      </c>
      <c r="G584" t="s">
        <v>4240</v>
      </c>
      <c r="H584" t="s">
        <v>4241</v>
      </c>
      <c r="I584" t="s">
        <v>4242</v>
      </c>
    </row>
    <row r="585" spans="1:10" x14ac:dyDescent="0.2">
      <c r="A585" t="s">
        <v>4234</v>
      </c>
      <c r="B585" t="s">
        <v>4243</v>
      </c>
      <c r="C585" t="s">
        <v>4244</v>
      </c>
      <c r="D585" t="s">
        <v>4245</v>
      </c>
      <c r="E585" t="s">
        <v>4246</v>
      </c>
      <c r="F585" t="s">
        <v>4247</v>
      </c>
      <c r="G585" t="s">
        <v>4248</v>
      </c>
      <c r="H585" t="s">
        <v>4249</v>
      </c>
      <c r="I585" t="s">
        <v>4250</v>
      </c>
    </row>
    <row r="586" spans="1:10" x14ac:dyDescent="0.2">
      <c r="A586" t="s">
        <v>4234</v>
      </c>
      <c r="B586" t="s">
        <v>4251</v>
      </c>
      <c r="C586" t="s">
        <v>4252</v>
      </c>
      <c r="D586" t="s">
        <v>4253</v>
      </c>
      <c r="E586" t="s">
        <v>4254</v>
      </c>
      <c r="F586" t="s">
        <v>4255</v>
      </c>
      <c r="G586" t="s">
        <v>4256</v>
      </c>
      <c r="H586" t="s">
        <v>4257</v>
      </c>
      <c r="I586" t="s">
        <v>4254</v>
      </c>
    </row>
    <row r="587" spans="1:10" x14ac:dyDescent="0.2">
      <c r="A587" t="s">
        <v>4234</v>
      </c>
      <c r="B587" t="s">
        <v>4258</v>
      </c>
      <c r="C587" t="s">
        <v>4259</v>
      </c>
      <c r="D587" t="s">
        <v>4260</v>
      </c>
      <c r="E587" t="s">
        <v>4261</v>
      </c>
      <c r="F587" t="s">
        <v>4262</v>
      </c>
      <c r="G587" t="s">
        <v>4263</v>
      </c>
      <c r="H587" t="s">
        <v>4264</v>
      </c>
      <c r="I587" t="s">
        <v>4265</v>
      </c>
    </row>
    <row r="588" spans="1:10" x14ac:dyDescent="0.2">
      <c r="A588" t="s">
        <v>4234</v>
      </c>
      <c r="B588" t="s">
        <v>4266</v>
      </c>
      <c r="C588" t="s">
        <v>4267</v>
      </c>
      <c r="D588" t="s">
        <v>4268</v>
      </c>
      <c r="E588" t="s">
        <v>4269</v>
      </c>
      <c r="F588" t="s">
        <v>4270</v>
      </c>
      <c r="G588" t="s">
        <v>4271</v>
      </c>
      <c r="H588" t="s">
        <v>4272</v>
      </c>
      <c r="I588" t="s">
        <v>4268</v>
      </c>
    </row>
    <row r="589" spans="1:10" x14ac:dyDescent="0.2">
      <c r="A589" t="s">
        <v>4234</v>
      </c>
      <c r="B589" t="s">
        <v>4273</v>
      </c>
      <c r="C589" t="s">
        <v>4274</v>
      </c>
      <c r="D589" t="s">
        <v>4275</v>
      </c>
      <c r="E589" t="s">
        <v>4276</v>
      </c>
      <c r="F589" t="s">
        <v>4277</v>
      </c>
      <c r="G589" t="s">
        <v>4278</v>
      </c>
      <c r="H589" t="s">
        <v>4279</v>
      </c>
      <c r="I589" t="s">
        <v>4275</v>
      </c>
    </row>
    <row r="590" spans="1:10" x14ac:dyDescent="0.2">
      <c r="A590" t="s">
        <v>4234</v>
      </c>
      <c r="B590" t="s">
        <v>4280</v>
      </c>
      <c r="C590" t="s">
        <v>4281</v>
      </c>
      <c r="D590" t="s">
        <v>4282</v>
      </c>
      <c r="E590" t="s">
        <v>4283</v>
      </c>
      <c r="F590" t="s">
        <v>4283</v>
      </c>
      <c r="G590" t="s">
        <v>4284</v>
      </c>
      <c r="H590" t="s">
        <v>4285</v>
      </c>
      <c r="I590" t="s">
        <v>4282</v>
      </c>
    </row>
    <row r="591" spans="1:10" x14ac:dyDescent="0.2">
      <c r="A591" t="s">
        <v>4234</v>
      </c>
      <c r="B591" t="s">
        <v>4286</v>
      </c>
      <c r="C591" t="s">
        <v>4287</v>
      </c>
      <c r="D591" t="s">
        <v>4287</v>
      </c>
      <c r="E591" t="s">
        <v>4288</v>
      </c>
      <c r="F591" t="s">
        <v>4289</v>
      </c>
      <c r="G591" t="s">
        <v>4290</v>
      </c>
      <c r="H591" t="s">
        <v>4291</v>
      </c>
      <c r="I591" t="s">
        <v>4287</v>
      </c>
    </row>
    <row r="592" spans="1:10" x14ac:dyDescent="0.2">
      <c r="A592" t="s">
        <v>4234</v>
      </c>
      <c r="B592" t="s">
        <v>4292</v>
      </c>
      <c r="C592" t="s">
        <v>4293</v>
      </c>
      <c r="D592" t="s">
        <v>4294</v>
      </c>
      <c r="E592" t="s">
        <v>4295</v>
      </c>
      <c r="F592" t="s">
        <v>4296</v>
      </c>
      <c r="G592" t="s">
        <v>4297</v>
      </c>
      <c r="H592" t="s">
        <v>4298</v>
      </c>
      <c r="I592" t="s">
        <v>4294</v>
      </c>
    </row>
    <row r="593" spans="1:9" x14ac:dyDescent="0.2">
      <c r="A593" t="s">
        <v>4234</v>
      </c>
      <c r="B593" t="s">
        <v>4299</v>
      </c>
      <c r="C593" t="s">
        <v>4300</v>
      </c>
      <c r="D593" t="s">
        <v>4301</v>
      </c>
      <c r="E593" t="s">
        <v>4302</v>
      </c>
      <c r="F593" t="s">
        <v>4303</v>
      </c>
      <c r="G593" t="s">
        <v>4304</v>
      </c>
      <c r="H593" t="s">
        <v>4305</v>
      </c>
      <c r="I593" t="s">
        <v>4306</v>
      </c>
    </row>
    <row r="594" spans="1:9" x14ac:dyDescent="0.2">
      <c r="A594" t="s">
        <v>4234</v>
      </c>
      <c r="B594" t="s">
        <v>4307</v>
      </c>
      <c r="C594" t="s">
        <v>4308</v>
      </c>
      <c r="D594" t="s">
        <v>4309</v>
      </c>
      <c r="E594" t="s">
        <v>4310</v>
      </c>
      <c r="F594" t="s">
        <v>4311</v>
      </c>
      <c r="G594" t="s">
        <v>4310</v>
      </c>
      <c r="H594" t="s">
        <v>4312</v>
      </c>
      <c r="I594" t="s">
        <v>4313</v>
      </c>
    </row>
    <row r="595" spans="1:9" x14ac:dyDescent="0.2">
      <c r="A595" t="s">
        <v>4234</v>
      </c>
      <c r="B595" t="s">
        <v>4314</v>
      </c>
      <c r="C595" t="s">
        <v>4315</v>
      </c>
      <c r="D595" t="s">
        <v>4316</v>
      </c>
      <c r="E595" t="s">
        <v>4317</v>
      </c>
      <c r="F595" t="s">
        <v>4318</v>
      </c>
      <c r="G595" t="s">
        <v>4319</v>
      </c>
      <c r="H595" t="s">
        <v>4320</v>
      </c>
      <c r="I595" t="s">
        <v>4321</v>
      </c>
    </row>
    <row r="596" spans="1:9" x14ac:dyDescent="0.2">
      <c r="A596" t="s">
        <v>4234</v>
      </c>
      <c r="B596" t="s">
        <v>4322</v>
      </c>
      <c r="C596" t="s">
        <v>4323</v>
      </c>
      <c r="D596" t="s">
        <v>4324</v>
      </c>
      <c r="E596" t="s">
        <v>4325</v>
      </c>
      <c r="F596" t="s">
        <v>4326</v>
      </c>
      <c r="G596" t="s">
        <v>4327</v>
      </c>
      <c r="H596" t="s">
        <v>4328</v>
      </c>
      <c r="I596" t="s">
        <v>4329</v>
      </c>
    </row>
    <row r="597" spans="1:9" x14ac:dyDescent="0.2">
      <c r="A597" t="s">
        <v>4234</v>
      </c>
      <c r="B597" t="s">
        <v>4330</v>
      </c>
      <c r="C597" t="s">
        <v>4331</v>
      </c>
      <c r="D597" t="s">
        <v>4332</v>
      </c>
      <c r="E597" t="s">
        <v>4333</v>
      </c>
      <c r="F597" t="s">
        <v>4334</v>
      </c>
      <c r="G597" t="s">
        <v>4335</v>
      </c>
      <c r="H597" t="s">
        <v>4336</v>
      </c>
      <c r="I597" t="s">
        <v>4332</v>
      </c>
    </row>
    <row r="598" spans="1:9" x14ac:dyDescent="0.2">
      <c r="A598" t="s">
        <v>4234</v>
      </c>
      <c r="B598" t="s">
        <v>4337</v>
      </c>
      <c r="C598" t="s">
        <v>4338</v>
      </c>
      <c r="D598" t="s">
        <v>4339</v>
      </c>
      <c r="E598" t="s">
        <v>4340</v>
      </c>
      <c r="F598" t="s">
        <v>4341</v>
      </c>
      <c r="G598" t="s">
        <v>4342</v>
      </c>
      <c r="H598" t="s">
        <v>4343</v>
      </c>
      <c r="I598" t="s">
        <v>4344</v>
      </c>
    </row>
    <row r="599" spans="1:9" x14ac:dyDescent="0.2">
      <c r="A599" t="s">
        <v>4234</v>
      </c>
      <c r="B599" t="s">
        <v>4345</v>
      </c>
      <c r="C599" t="s">
        <v>4346</v>
      </c>
      <c r="D599" t="s">
        <v>4347</v>
      </c>
      <c r="E599" t="s">
        <v>4348</v>
      </c>
      <c r="F599" t="s">
        <v>4349</v>
      </c>
      <c r="G599" t="s">
        <v>4350</v>
      </c>
      <c r="H599" t="s">
        <v>4351</v>
      </c>
      <c r="I599" t="s">
        <v>4352</v>
      </c>
    </row>
    <row r="600" spans="1:9" x14ac:dyDescent="0.2">
      <c r="A600" t="s">
        <v>4234</v>
      </c>
      <c r="B600" t="s">
        <v>4353</v>
      </c>
      <c r="C600" t="s">
        <v>4354</v>
      </c>
      <c r="D600" t="s">
        <v>4355</v>
      </c>
      <c r="E600" t="s">
        <v>4356</v>
      </c>
      <c r="F600" t="s">
        <v>4357</v>
      </c>
      <c r="G600" t="s">
        <v>4358</v>
      </c>
      <c r="H600" t="s">
        <v>4359</v>
      </c>
      <c r="I600" t="s">
        <v>4360</v>
      </c>
    </row>
    <row r="601" spans="1:9" x14ac:dyDescent="0.2">
      <c r="A601" t="s">
        <v>4234</v>
      </c>
      <c r="B601" t="s">
        <v>4361</v>
      </c>
      <c r="C601" t="s">
        <v>4362</v>
      </c>
      <c r="D601" t="s">
        <v>4363</v>
      </c>
      <c r="E601" t="s">
        <v>4276</v>
      </c>
      <c r="F601" t="s">
        <v>4364</v>
      </c>
      <c r="G601" t="s">
        <v>4365</v>
      </c>
      <c r="H601" t="s">
        <v>4366</v>
      </c>
      <c r="I601" t="s">
        <v>4367</v>
      </c>
    </row>
    <row r="602" spans="1:9" x14ac:dyDescent="0.2">
      <c r="A602" t="s">
        <v>4234</v>
      </c>
      <c r="B602" t="s">
        <v>4368</v>
      </c>
      <c r="C602" t="s">
        <v>4369</v>
      </c>
      <c r="D602" t="s">
        <v>4370</v>
      </c>
      <c r="E602" t="s">
        <v>4371</v>
      </c>
      <c r="F602" t="s">
        <v>4372</v>
      </c>
      <c r="G602" t="s">
        <v>4373</v>
      </c>
      <c r="H602" t="s">
        <v>4374</v>
      </c>
      <c r="I602" t="s">
        <v>4375</v>
      </c>
    </row>
    <row r="603" spans="1:9" x14ac:dyDescent="0.2">
      <c r="A603" t="s">
        <v>4234</v>
      </c>
      <c r="B603" t="s">
        <v>4376</v>
      </c>
      <c r="C603" t="s">
        <v>4377</v>
      </c>
      <c r="D603" t="s">
        <v>4378</v>
      </c>
      <c r="E603" t="s">
        <v>4302</v>
      </c>
      <c r="F603" t="s">
        <v>4372</v>
      </c>
      <c r="G603" t="s">
        <v>4304</v>
      </c>
      <c r="H603" t="s">
        <v>4305</v>
      </c>
      <c r="I603" t="s">
        <v>4306</v>
      </c>
    </row>
    <row r="604" spans="1:9" x14ac:dyDescent="0.2">
      <c r="A604" t="s">
        <v>4234</v>
      </c>
      <c r="B604" t="s">
        <v>4379</v>
      </c>
      <c r="C604" t="s">
        <v>4380</v>
      </c>
      <c r="D604" t="s">
        <v>4381</v>
      </c>
      <c r="E604" t="s">
        <v>4382</v>
      </c>
      <c r="F604" t="s">
        <v>4383</v>
      </c>
      <c r="G604" t="s">
        <v>4384</v>
      </c>
      <c r="H604" t="s">
        <v>4385</v>
      </c>
      <c r="I604" t="s">
        <v>4386</v>
      </c>
    </row>
    <row r="605" spans="1:9" x14ac:dyDescent="0.2">
      <c r="A605" t="s">
        <v>4234</v>
      </c>
      <c r="B605" t="s">
        <v>4387</v>
      </c>
      <c r="C605" t="s">
        <v>4388</v>
      </c>
      <c r="D605" t="s">
        <v>4389</v>
      </c>
      <c r="E605" t="s">
        <v>4390</v>
      </c>
      <c r="F605" t="s">
        <v>4391</v>
      </c>
      <c r="G605" t="s">
        <v>4392</v>
      </c>
      <c r="H605" t="s">
        <v>4393</v>
      </c>
      <c r="I605" t="s">
        <v>4394</v>
      </c>
    </row>
    <row r="606" spans="1:9" x14ac:dyDescent="0.2">
      <c r="A606" t="s">
        <v>4234</v>
      </c>
      <c r="B606" t="s">
        <v>4395</v>
      </c>
      <c r="C606" t="s">
        <v>4396</v>
      </c>
      <c r="D606" t="s">
        <v>4397</v>
      </c>
      <c r="E606" t="s">
        <v>4398</v>
      </c>
      <c r="F606" t="s">
        <v>4399</v>
      </c>
      <c r="G606" t="s">
        <v>4400</v>
      </c>
      <c r="H606" t="s">
        <v>4401</v>
      </c>
      <c r="I606" t="s">
        <v>4402</v>
      </c>
    </row>
    <row r="607" spans="1:9" x14ac:dyDescent="0.2">
      <c r="A607" t="s">
        <v>4234</v>
      </c>
      <c r="B607" t="s">
        <v>4403</v>
      </c>
      <c r="C607" t="s">
        <v>4404</v>
      </c>
      <c r="D607" t="s">
        <v>4405</v>
      </c>
      <c r="E607" t="s">
        <v>4406</v>
      </c>
      <c r="F607" t="s">
        <v>4407</v>
      </c>
      <c r="G607" t="s">
        <v>4408</v>
      </c>
      <c r="H607" t="s">
        <v>4409</v>
      </c>
      <c r="I607" t="s">
        <v>4410</v>
      </c>
    </row>
    <row r="608" spans="1:9" x14ac:dyDescent="0.2">
      <c r="A608" t="s">
        <v>4234</v>
      </c>
      <c r="B608" t="s">
        <v>4411</v>
      </c>
      <c r="C608" t="s">
        <v>4412</v>
      </c>
      <c r="D608" t="s">
        <v>4413</v>
      </c>
      <c r="E608" t="s">
        <v>4302</v>
      </c>
      <c r="F608" t="s">
        <v>4391</v>
      </c>
      <c r="G608" t="s">
        <v>4414</v>
      </c>
      <c r="H608" t="s">
        <v>4415</v>
      </c>
      <c r="I608" t="s">
        <v>4416</v>
      </c>
    </row>
    <row r="609" spans="1:9" x14ac:dyDescent="0.2">
      <c r="A609" t="s">
        <v>4234</v>
      </c>
      <c r="B609" t="s">
        <v>4417</v>
      </c>
      <c r="C609" t="s">
        <v>4418</v>
      </c>
      <c r="D609" t="s">
        <v>4419</v>
      </c>
      <c r="E609" t="s">
        <v>4420</v>
      </c>
      <c r="F609" t="s">
        <v>4391</v>
      </c>
      <c r="G609" t="s">
        <v>4421</v>
      </c>
      <c r="H609" t="s">
        <v>4422</v>
      </c>
      <c r="I609" t="s">
        <v>4423</v>
      </c>
    </row>
    <row r="610" spans="1:9" x14ac:dyDescent="0.2">
      <c r="A610" t="s">
        <v>4234</v>
      </c>
      <c r="B610" t="s">
        <v>4424</v>
      </c>
      <c r="C610" t="s">
        <v>4425</v>
      </c>
      <c r="D610" t="s">
        <v>4426</v>
      </c>
      <c r="E610" t="s">
        <v>4427</v>
      </c>
      <c r="F610" t="s">
        <v>4428</v>
      </c>
      <c r="G610" t="s">
        <v>4429</v>
      </c>
      <c r="H610" t="s">
        <v>4430</v>
      </c>
      <c r="I610" t="s">
        <v>4431</v>
      </c>
    </row>
    <row r="611" spans="1:9" x14ac:dyDescent="0.2">
      <c r="A611" t="s">
        <v>4234</v>
      </c>
      <c r="B611" t="s">
        <v>4432</v>
      </c>
      <c r="C611" t="s">
        <v>4433</v>
      </c>
      <c r="D611" t="s">
        <v>4434</v>
      </c>
      <c r="E611" t="s">
        <v>4435</v>
      </c>
      <c r="F611" t="s">
        <v>4436</v>
      </c>
      <c r="G611" t="s">
        <v>4437</v>
      </c>
      <c r="H611" t="s">
        <v>4438</v>
      </c>
      <c r="I611" t="s">
        <v>4439</v>
      </c>
    </row>
    <row r="612" spans="1:9" x14ac:dyDescent="0.2">
      <c r="A612" t="s">
        <v>4234</v>
      </c>
      <c r="B612" t="s">
        <v>4440</v>
      </c>
      <c r="C612" t="s">
        <v>4441</v>
      </c>
      <c r="D612" t="s">
        <v>4442</v>
      </c>
      <c r="E612" t="s">
        <v>4443</v>
      </c>
      <c r="F612" t="s">
        <v>4444</v>
      </c>
      <c r="G612" t="s">
        <v>4445</v>
      </c>
      <c r="H612" t="s">
        <v>4446</v>
      </c>
      <c r="I612" t="s">
        <v>4447</v>
      </c>
    </row>
    <row r="613" spans="1:9" x14ac:dyDescent="0.2">
      <c r="A613" t="s">
        <v>4234</v>
      </c>
      <c r="B613" t="s">
        <v>4448</v>
      </c>
      <c r="C613" t="s">
        <v>4449</v>
      </c>
      <c r="D613" t="s">
        <v>4450</v>
      </c>
      <c r="E613" t="s">
        <v>4451</v>
      </c>
      <c r="F613" t="s">
        <v>4452</v>
      </c>
      <c r="G613" t="s">
        <v>4453</v>
      </c>
      <c r="H613" t="s">
        <v>4454</v>
      </c>
      <c r="I613" t="s">
        <v>4455</v>
      </c>
    </row>
    <row r="614" spans="1:9" x14ac:dyDescent="0.2">
      <c r="A614" t="s">
        <v>4234</v>
      </c>
      <c r="B614" t="s">
        <v>4456</v>
      </c>
      <c r="C614" t="s">
        <v>4457</v>
      </c>
      <c r="D614" t="s">
        <v>4458</v>
      </c>
      <c r="E614" t="s">
        <v>4459</v>
      </c>
      <c r="F614" t="s">
        <v>4460</v>
      </c>
      <c r="G614" t="s">
        <v>4461</v>
      </c>
      <c r="H614" t="s">
        <v>4462</v>
      </c>
      <c r="I614" t="s">
        <v>4463</v>
      </c>
    </row>
    <row r="615" spans="1:9" x14ac:dyDescent="0.2">
      <c r="A615" t="s">
        <v>4234</v>
      </c>
      <c r="B615" t="s">
        <v>4464</v>
      </c>
      <c r="C615" t="s">
        <v>4465</v>
      </c>
      <c r="D615" t="s">
        <v>4466</v>
      </c>
      <c r="E615" t="s">
        <v>4467</v>
      </c>
      <c r="F615" t="s">
        <v>4468</v>
      </c>
      <c r="G615" t="s">
        <v>4469</v>
      </c>
      <c r="H615" t="s">
        <v>4470</v>
      </c>
      <c r="I615" t="s">
        <v>4471</v>
      </c>
    </row>
    <row r="616" spans="1:9" x14ac:dyDescent="0.2">
      <c r="A616" t="s">
        <v>4234</v>
      </c>
      <c r="B616" t="s">
        <v>4472</v>
      </c>
      <c r="C616" t="s">
        <v>4473</v>
      </c>
      <c r="D616" t="s">
        <v>4474</v>
      </c>
      <c r="E616" t="s">
        <v>4475</v>
      </c>
      <c r="F616" t="s">
        <v>4476</v>
      </c>
      <c r="G616" t="s">
        <v>4477</v>
      </c>
      <c r="H616" t="s">
        <v>4478</v>
      </c>
      <c r="I616" t="s">
        <v>4479</v>
      </c>
    </row>
    <row r="617" spans="1:9" x14ac:dyDescent="0.2">
      <c r="A617" t="s">
        <v>4234</v>
      </c>
      <c r="B617" t="s">
        <v>4480</v>
      </c>
      <c r="C617" t="s">
        <v>4481</v>
      </c>
      <c r="D617" t="s">
        <v>4482</v>
      </c>
      <c r="E617" t="s">
        <v>4483</v>
      </c>
      <c r="F617" t="s">
        <v>4484</v>
      </c>
      <c r="G617" t="s">
        <v>4485</v>
      </c>
      <c r="H617" t="s">
        <v>4486</v>
      </c>
      <c r="I617" t="s">
        <v>4487</v>
      </c>
    </row>
    <row r="618" spans="1:9" x14ac:dyDescent="0.2">
      <c r="A618" t="s">
        <v>4234</v>
      </c>
      <c r="B618" t="s">
        <v>4488</v>
      </c>
      <c r="C618" t="s">
        <v>4489</v>
      </c>
      <c r="D618" t="s">
        <v>4490</v>
      </c>
      <c r="E618" t="s">
        <v>4491</v>
      </c>
      <c r="F618" t="s">
        <v>4492</v>
      </c>
      <c r="G618" t="s">
        <v>4493</v>
      </c>
      <c r="H618" t="s">
        <v>4494</v>
      </c>
      <c r="I618" t="s">
        <v>4495</v>
      </c>
    </row>
    <row r="619" spans="1:9" x14ac:dyDescent="0.2">
      <c r="A619" t="s">
        <v>4234</v>
      </c>
      <c r="B619" t="s">
        <v>4496</v>
      </c>
      <c r="C619" t="s">
        <v>4497</v>
      </c>
      <c r="D619" t="s">
        <v>4498</v>
      </c>
      <c r="E619" t="s">
        <v>4499</v>
      </c>
      <c r="F619" t="s">
        <v>4500</v>
      </c>
      <c r="G619" t="s">
        <v>4501</v>
      </c>
      <c r="H619" t="s">
        <v>4502</v>
      </c>
      <c r="I619" t="s">
        <v>4503</v>
      </c>
    </row>
    <row r="620" spans="1:9" x14ac:dyDescent="0.2">
      <c r="A620" t="s">
        <v>4234</v>
      </c>
      <c r="B620" t="s">
        <v>4504</v>
      </c>
      <c r="C620" t="s">
        <v>4505</v>
      </c>
      <c r="D620" t="s">
        <v>4506</v>
      </c>
      <c r="E620" t="s">
        <v>4507</v>
      </c>
      <c r="F620" t="s">
        <v>4508</v>
      </c>
      <c r="G620" t="s">
        <v>4509</v>
      </c>
      <c r="H620" t="s">
        <v>4510</v>
      </c>
      <c r="I620" t="s">
        <v>4511</v>
      </c>
    </row>
    <row r="621" spans="1:9" x14ac:dyDescent="0.2">
      <c r="A621" t="s">
        <v>4234</v>
      </c>
      <c r="B621" t="s">
        <v>4512</v>
      </c>
      <c r="C621" t="s">
        <v>4513</v>
      </c>
      <c r="D621" t="s">
        <v>4514</v>
      </c>
      <c r="E621" t="s">
        <v>4515</v>
      </c>
      <c r="F621" t="s">
        <v>4516</v>
      </c>
      <c r="G621" t="s">
        <v>4517</v>
      </c>
      <c r="H621" t="s">
        <v>4518</v>
      </c>
      <c r="I621" t="s">
        <v>4519</v>
      </c>
    </row>
    <row r="622" spans="1:9" x14ac:dyDescent="0.2">
      <c r="A622" t="s">
        <v>4234</v>
      </c>
      <c r="B622" t="s">
        <v>4520</v>
      </c>
      <c r="C622" t="s">
        <v>4521</v>
      </c>
      <c r="D622" t="s">
        <v>4522</v>
      </c>
      <c r="E622" t="s">
        <v>4523</v>
      </c>
      <c r="F622" t="s">
        <v>4524</v>
      </c>
      <c r="G622" t="s">
        <v>4525</v>
      </c>
      <c r="H622" t="s">
        <v>4526</v>
      </c>
      <c r="I622" t="s">
        <v>4527</v>
      </c>
    </row>
    <row r="623" spans="1:9" x14ac:dyDescent="0.2">
      <c r="A623" t="s">
        <v>4234</v>
      </c>
      <c r="B623" t="s">
        <v>4528</v>
      </c>
      <c r="C623" t="s">
        <v>4529</v>
      </c>
      <c r="D623" t="s">
        <v>4530</v>
      </c>
      <c r="E623" t="s">
        <v>4531</v>
      </c>
      <c r="F623" t="s">
        <v>4532</v>
      </c>
      <c r="G623" t="s">
        <v>4529</v>
      </c>
      <c r="H623" t="s">
        <v>4533</v>
      </c>
      <c r="I623" t="s">
        <v>4534</v>
      </c>
    </row>
    <row r="624" spans="1:9" x14ac:dyDescent="0.2">
      <c r="A624" t="s">
        <v>4234</v>
      </c>
      <c r="B624" t="s">
        <v>4535</v>
      </c>
      <c r="C624" t="s">
        <v>4536</v>
      </c>
      <c r="D624" t="s">
        <v>4536</v>
      </c>
      <c r="E624" t="s">
        <v>4537</v>
      </c>
      <c r="F624" t="s">
        <v>4538</v>
      </c>
      <c r="G624" t="s">
        <v>4539</v>
      </c>
      <c r="H624" t="s">
        <v>4540</v>
      </c>
      <c r="I624" t="s">
        <v>4541</v>
      </c>
    </row>
    <row r="625" spans="1:9" x14ac:dyDescent="0.2">
      <c r="A625" t="s">
        <v>4234</v>
      </c>
      <c r="B625" t="s">
        <v>4542</v>
      </c>
      <c r="C625" t="s">
        <v>4543</v>
      </c>
      <c r="D625" t="s">
        <v>4544</v>
      </c>
      <c r="E625" t="s">
        <v>4545</v>
      </c>
      <c r="F625" t="s">
        <v>4546</v>
      </c>
      <c r="G625" t="s">
        <v>4547</v>
      </c>
      <c r="H625" t="s">
        <v>4548</v>
      </c>
      <c r="I625" t="s">
        <v>4549</v>
      </c>
    </row>
    <row r="626" spans="1:9" x14ac:dyDescent="0.2">
      <c r="A626" t="s">
        <v>4234</v>
      </c>
      <c r="B626" t="s">
        <v>4550</v>
      </c>
      <c r="C626" t="s">
        <v>4551</v>
      </c>
      <c r="D626" t="s">
        <v>4552</v>
      </c>
      <c r="E626" t="s">
        <v>4553</v>
      </c>
      <c r="F626" t="s">
        <v>4554</v>
      </c>
      <c r="G626" t="s">
        <v>4553</v>
      </c>
      <c r="H626" t="s">
        <v>4555</v>
      </c>
      <c r="I626" t="s">
        <v>4556</v>
      </c>
    </row>
    <row r="627" spans="1:9" x14ac:dyDescent="0.2">
      <c r="A627" t="s">
        <v>4234</v>
      </c>
      <c r="B627" t="s">
        <v>4557</v>
      </c>
      <c r="C627" t="s">
        <v>4558</v>
      </c>
      <c r="D627" t="s">
        <v>4559</v>
      </c>
      <c r="E627" t="s">
        <v>4560</v>
      </c>
      <c r="F627" t="s">
        <v>4561</v>
      </c>
      <c r="G627" t="s">
        <v>4562</v>
      </c>
      <c r="H627" t="s">
        <v>4563</v>
      </c>
      <c r="I627" t="s">
        <v>4564</v>
      </c>
    </row>
    <row r="628" spans="1:9" x14ac:dyDescent="0.2">
      <c r="A628" t="s">
        <v>4234</v>
      </c>
      <c r="B628" t="s">
        <v>4565</v>
      </c>
      <c r="C628" t="s">
        <v>4566</v>
      </c>
      <c r="D628" t="s">
        <v>4566</v>
      </c>
      <c r="E628" t="s">
        <v>4567</v>
      </c>
      <c r="F628" t="s">
        <v>4568</v>
      </c>
      <c r="G628" t="s">
        <v>4569</v>
      </c>
      <c r="H628" t="s">
        <v>4570</v>
      </c>
      <c r="I628" t="s">
        <v>4571</v>
      </c>
    </row>
    <row r="629" spans="1:9" x14ac:dyDescent="0.2">
      <c r="A629" t="s">
        <v>4234</v>
      </c>
      <c r="B629" t="s">
        <v>4572</v>
      </c>
      <c r="C629" t="s">
        <v>4573</v>
      </c>
      <c r="D629" t="s">
        <v>4574</v>
      </c>
      <c r="E629" t="s">
        <v>4575</v>
      </c>
      <c r="F629" t="s">
        <v>4576</v>
      </c>
      <c r="G629" t="s">
        <v>4577</v>
      </c>
      <c r="H629" t="s">
        <v>4578</v>
      </c>
      <c r="I629" t="s">
        <v>4579</v>
      </c>
    </row>
    <row r="630" spans="1:9" x14ac:dyDescent="0.2">
      <c r="A630" t="s">
        <v>4234</v>
      </c>
      <c r="B630" t="s">
        <v>4580</v>
      </c>
      <c r="C630" t="s">
        <v>4581</v>
      </c>
      <c r="D630" t="s">
        <v>4582</v>
      </c>
      <c r="E630" t="s">
        <v>4583</v>
      </c>
      <c r="F630" t="s">
        <v>4584</v>
      </c>
      <c r="G630" t="s">
        <v>4585</v>
      </c>
      <c r="H630" t="s">
        <v>4586</v>
      </c>
      <c r="I630" t="s">
        <v>4587</v>
      </c>
    </row>
    <row r="631" spans="1:9" x14ac:dyDescent="0.2">
      <c r="A631" t="s">
        <v>4234</v>
      </c>
      <c r="B631" t="s">
        <v>4588</v>
      </c>
      <c r="C631" t="s">
        <v>4589</v>
      </c>
      <c r="D631" t="s">
        <v>4590</v>
      </c>
      <c r="E631" t="s">
        <v>4591</v>
      </c>
      <c r="F631" t="s">
        <v>4592</v>
      </c>
      <c r="G631" t="s">
        <v>4590</v>
      </c>
      <c r="H631" t="s">
        <v>4593</v>
      </c>
      <c r="I631" t="s">
        <v>4594</v>
      </c>
    </row>
    <row r="632" spans="1:9" x14ac:dyDescent="0.2">
      <c r="A632" t="s">
        <v>4234</v>
      </c>
      <c r="B632" t="s">
        <v>4595</v>
      </c>
      <c r="C632" t="s">
        <v>4596</v>
      </c>
      <c r="D632" t="s">
        <v>4597</v>
      </c>
      <c r="E632" t="s">
        <v>4598</v>
      </c>
      <c r="F632" t="s">
        <v>4599</v>
      </c>
      <c r="G632" t="s">
        <v>4590</v>
      </c>
      <c r="H632" t="s">
        <v>4600</v>
      </c>
      <c r="I632" t="s">
        <v>4601</v>
      </c>
    </row>
    <row r="633" spans="1:9" x14ac:dyDescent="0.2">
      <c r="A633" t="s">
        <v>4234</v>
      </c>
      <c r="B633" t="s">
        <v>4602</v>
      </c>
      <c r="C633" t="s">
        <v>4603</v>
      </c>
      <c r="D633" t="s">
        <v>4604</v>
      </c>
      <c r="E633" t="s">
        <v>4605</v>
      </c>
      <c r="F633" t="s">
        <v>4606</v>
      </c>
      <c r="G633" t="s">
        <v>4607</v>
      </c>
      <c r="H633" t="s">
        <v>4608</v>
      </c>
      <c r="I633" t="s">
        <v>4609</v>
      </c>
    </row>
    <row r="634" spans="1:9" x14ac:dyDescent="0.2">
      <c r="A634" t="s">
        <v>4234</v>
      </c>
      <c r="B634" t="s">
        <v>4610</v>
      </c>
      <c r="C634" t="s">
        <v>4611</v>
      </c>
      <c r="D634" t="s">
        <v>4612</v>
      </c>
      <c r="E634" t="s">
        <v>4613</v>
      </c>
      <c r="F634" t="s">
        <v>4383</v>
      </c>
      <c r="G634" t="s">
        <v>4614</v>
      </c>
      <c r="H634" t="s">
        <v>4615</v>
      </c>
      <c r="I634" t="s">
        <v>4616</v>
      </c>
    </row>
    <row r="635" spans="1:9" x14ac:dyDescent="0.2">
      <c r="A635" t="s">
        <v>4234</v>
      </c>
      <c r="B635" t="s">
        <v>4617</v>
      </c>
      <c r="C635" t="s">
        <v>4618</v>
      </c>
      <c r="D635" t="s">
        <v>4619</v>
      </c>
      <c r="E635" t="s">
        <v>4620</v>
      </c>
      <c r="F635" t="s">
        <v>4383</v>
      </c>
      <c r="G635" t="s">
        <v>4621</v>
      </c>
      <c r="H635" t="s">
        <v>4622</v>
      </c>
      <c r="I635" t="s">
        <v>4623</v>
      </c>
    </row>
    <row r="636" spans="1:9" x14ac:dyDescent="0.2">
      <c r="A636" t="s">
        <v>4234</v>
      </c>
      <c r="B636" t="s">
        <v>4624</v>
      </c>
      <c r="C636" t="s">
        <v>4625</v>
      </c>
      <c r="D636" t="s">
        <v>4625</v>
      </c>
      <c r="E636" t="s">
        <v>4626</v>
      </c>
      <c r="F636" t="s">
        <v>4627</v>
      </c>
      <c r="G636" t="s">
        <v>4628</v>
      </c>
      <c r="H636" t="s">
        <v>4629</v>
      </c>
      <c r="I636" t="s">
        <v>4630</v>
      </c>
    </row>
    <row r="637" spans="1:9" x14ac:dyDescent="0.2">
      <c r="A637" t="s">
        <v>4234</v>
      </c>
      <c r="B637" t="s">
        <v>4631</v>
      </c>
      <c r="C637" t="s">
        <v>4632</v>
      </c>
      <c r="D637" t="s">
        <v>4633</v>
      </c>
      <c r="E637" t="s">
        <v>4634</v>
      </c>
      <c r="F637" t="s">
        <v>4383</v>
      </c>
      <c r="G637" t="s">
        <v>4635</v>
      </c>
      <c r="H637" t="s">
        <v>4636</v>
      </c>
      <c r="I637" t="s">
        <v>4633</v>
      </c>
    </row>
    <row r="638" spans="1:9" x14ac:dyDescent="0.2">
      <c r="A638" t="s">
        <v>4234</v>
      </c>
      <c r="B638" t="s">
        <v>4637</v>
      </c>
      <c r="C638" t="s">
        <v>4638</v>
      </c>
      <c r="D638" t="s">
        <v>4639</v>
      </c>
      <c r="E638" t="s">
        <v>4640</v>
      </c>
      <c r="F638" t="s">
        <v>4383</v>
      </c>
      <c r="G638" t="s">
        <v>4641</v>
      </c>
      <c r="H638" t="s">
        <v>4642</v>
      </c>
      <c r="I638" t="s">
        <v>4643</v>
      </c>
    </row>
    <row r="639" spans="1:9" x14ac:dyDescent="0.2">
      <c r="A639" t="s">
        <v>4234</v>
      </c>
      <c r="B639" t="s">
        <v>4644</v>
      </c>
      <c r="C639" t="s">
        <v>4645</v>
      </c>
      <c r="D639" t="s">
        <v>4646</v>
      </c>
      <c r="E639" t="s">
        <v>4640</v>
      </c>
      <c r="F639" t="s">
        <v>4383</v>
      </c>
      <c r="G639" t="s">
        <v>4647</v>
      </c>
      <c r="H639" t="s">
        <v>4648</v>
      </c>
      <c r="I639" t="s">
        <v>4649</v>
      </c>
    </row>
    <row r="640" spans="1:9" x14ac:dyDescent="0.2">
      <c r="A640" t="s">
        <v>4234</v>
      </c>
      <c r="B640" t="s">
        <v>4650</v>
      </c>
      <c r="C640" t="s">
        <v>4651</v>
      </c>
      <c r="D640" t="s">
        <v>4652</v>
      </c>
      <c r="E640" t="s">
        <v>4640</v>
      </c>
      <c r="F640" t="s">
        <v>4383</v>
      </c>
      <c r="G640" t="s">
        <v>4653</v>
      </c>
      <c r="H640" t="s">
        <v>4654</v>
      </c>
      <c r="I640" t="s">
        <v>4655</v>
      </c>
    </row>
    <row r="641" spans="1:9" x14ac:dyDescent="0.2">
      <c r="A641" t="s">
        <v>4234</v>
      </c>
      <c r="B641" t="s">
        <v>4656</v>
      </c>
      <c r="C641" t="s">
        <v>4657</v>
      </c>
      <c r="D641" t="s">
        <v>4658</v>
      </c>
      <c r="E641" t="s">
        <v>4640</v>
      </c>
      <c r="F641" t="s">
        <v>4659</v>
      </c>
      <c r="G641" t="s">
        <v>4660</v>
      </c>
      <c r="H641" t="s">
        <v>4661</v>
      </c>
      <c r="I641" t="s">
        <v>4662</v>
      </c>
    </row>
    <row r="642" spans="1:9" x14ac:dyDescent="0.2">
      <c r="A642" t="s">
        <v>4234</v>
      </c>
      <c r="B642" t="s">
        <v>4663</v>
      </c>
      <c r="C642" t="s">
        <v>4664</v>
      </c>
      <c r="D642" t="s">
        <v>4665</v>
      </c>
      <c r="E642" t="s">
        <v>4666</v>
      </c>
      <c r="F642" t="s">
        <v>4667</v>
      </c>
      <c r="G642" t="s">
        <v>4668</v>
      </c>
      <c r="H642" t="s">
        <v>4669</v>
      </c>
      <c r="I642" t="s">
        <v>4670</v>
      </c>
    </row>
    <row r="643" spans="1:9" x14ac:dyDescent="0.2">
      <c r="A643" t="s">
        <v>4234</v>
      </c>
      <c r="B643" t="s">
        <v>4671</v>
      </c>
      <c r="C643" t="s">
        <v>4672</v>
      </c>
      <c r="D643" t="s">
        <v>4673</v>
      </c>
      <c r="E643" t="s">
        <v>4674</v>
      </c>
      <c r="F643" t="s">
        <v>4675</v>
      </c>
      <c r="G643" t="s">
        <v>4676</v>
      </c>
      <c r="H643" t="s">
        <v>4677</v>
      </c>
      <c r="I643" t="s">
        <v>4678</v>
      </c>
    </row>
    <row r="644" spans="1:9" x14ac:dyDescent="0.2">
      <c r="A644" t="s">
        <v>4234</v>
      </c>
      <c r="B644" t="s">
        <v>4679</v>
      </c>
      <c r="C644" t="s">
        <v>4680</v>
      </c>
      <c r="D644" t="s">
        <v>4681</v>
      </c>
      <c r="E644" t="s">
        <v>4680</v>
      </c>
      <c r="F644" t="s">
        <v>4682</v>
      </c>
      <c r="G644" t="s">
        <v>4683</v>
      </c>
      <c r="H644" t="s">
        <v>4684</v>
      </c>
      <c r="I644" t="s">
        <v>4685</v>
      </c>
    </row>
    <row r="645" spans="1:9" x14ac:dyDescent="0.2">
      <c r="A645" t="s">
        <v>4234</v>
      </c>
      <c r="B645" t="s">
        <v>4686</v>
      </c>
      <c r="C645" t="s">
        <v>4687</v>
      </c>
      <c r="D645" t="s">
        <v>4688</v>
      </c>
      <c r="E645" t="s">
        <v>4689</v>
      </c>
      <c r="F645" t="s">
        <v>4690</v>
      </c>
      <c r="G645" t="s">
        <v>4689</v>
      </c>
      <c r="H645" t="s">
        <v>4691</v>
      </c>
      <c r="I645" t="s">
        <v>4689</v>
      </c>
    </row>
    <row r="646" spans="1:9" x14ac:dyDescent="0.2">
      <c r="A646" t="s">
        <v>4234</v>
      </c>
      <c r="B646" t="s">
        <v>4692</v>
      </c>
      <c r="C646" t="s">
        <v>4693</v>
      </c>
      <c r="D646" t="s">
        <v>4694</v>
      </c>
      <c r="E646" t="s">
        <v>4695</v>
      </c>
      <c r="F646" t="s">
        <v>4696</v>
      </c>
      <c r="G646" t="s">
        <v>4697</v>
      </c>
      <c r="H646" t="s">
        <v>4698</v>
      </c>
      <c r="I646" t="s">
        <v>4699</v>
      </c>
    </row>
    <row r="647" spans="1:9" x14ac:dyDescent="0.2">
      <c r="A647" t="s">
        <v>4234</v>
      </c>
      <c r="B647" t="s">
        <v>4700</v>
      </c>
      <c r="C647" t="s">
        <v>4701</v>
      </c>
      <c r="D647" t="s">
        <v>4702</v>
      </c>
      <c r="E647" t="s">
        <v>4703</v>
      </c>
      <c r="F647" t="s">
        <v>4704</v>
      </c>
      <c r="G647" t="s">
        <v>4705</v>
      </c>
      <c r="H647" t="s">
        <v>4706</v>
      </c>
      <c r="I647" t="s">
        <v>4707</v>
      </c>
    </row>
    <row r="648" spans="1:9" x14ac:dyDescent="0.2">
      <c r="A648" t="s">
        <v>4234</v>
      </c>
      <c r="B648" t="s">
        <v>4708</v>
      </c>
      <c r="C648" t="s">
        <v>4709</v>
      </c>
      <c r="D648" t="s">
        <v>4710</v>
      </c>
      <c r="E648" t="s">
        <v>4703</v>
      </c>
      <c r="F648" t="s">
        <v>4711</v>
      </c>
      <c r="G648" t="s">
        <v>4712</v>
      </c>
      <c r="H648" t="s">
        <v>4713</v>
      </c>
      <c r="I648" t="s">
        <v>4714</v>
      </c>
    </row>
    <row r="649" spans="1:9" x14ac:dyDescent="0.2">
      <c r="A649" t="s">
        <v>4234</v>
      </c>
      <c r="B649" t="s">
        <v>4715</v>
      </c>
      <c r="C649" t="s">
        <v>4716</v>
      </c>
      <c r="D649" t="s">
        <v>4717</v>
      </c>
      <c r="E649" t="s">
        <v>4718</v>
      </c>
      <c r="F649" t="s">
        <v>4718</v>
      </c>
      <c r="G649" t="s">
        <v>4719</v>
      </c>
      <c r="H649" t="s">
        <v>4718</v>
      </c>
      <c r="I649" t="s">
        <v>4720</v>
      </c>
    </row>
    <row r="650" spans="1:9" x14ac:dyDescent="0.2">
      <c r="A650" t="s">
        <v>4234</v>
      </c>
      <c r="B650" t="s">
        <v>4721</v>
      </c>
      <c r="C650" t="s">
        <v>4722</v>
      </c>
      <c r="D650" t="s">
        <v>4723</v>
      </c>
      <c r="E650" t="s">
        <v>4724</v>
      </c>
      <c r="F650" t="s">
        <v>4725</v>
      </c>
      <c r="G650" t="s">
        <v>4726</v>
      </c>
      <c r="H650" t="s">
        <v>4727</v>
      </c>
      <c r="I650" t="s">
        <v>4728</v>
      </c>
    </row>
    <row r="651" spans="1:9" x14ac:dyDescent="0.2">
      <c r="A651" t="s">
        <v>4234</v>
      </c>
      <c r="B651" t="s">
        <v>4729</v>
      </c>
      <c r="C651" t="s">
        <v>4730</v>
      </c>
      <c r="D651" t="s">
        <v>4731</v>
      </c>
      <c r="E651" t="s">
        <v>4732</v>
      </c>
      <c r="F651" t="s">
        <v>4733</v>
      </c>
      <c r="G651" t="s">
        <v>4734</v>
      </c>
      <c r="H651" t="s">
        <v>4735</v>
      </c>
      <c r="I651" t="s">
        <v>4736</v>
      </c>
    </row>
    <row r="652" spans="1:9" x14ac:dyDescent="0.2">
      <c r="A652" t="s">
        <v>4234</v>
      </c>
      <c r="B652" t="s">
        <v>4737</v>
      </c>
      <c r="C652" t="s">
        <v>4738</v>
      </c>
      <c r="D652" t="s">
        <v>4739</v>
      </c>
      <c r="E652" t="s">
        <v>4740</v>
      </c>
      <c r="F652" t="s">
        <v>4741</v>
      </c>
      <c r="G652" t="s">
        <v>4742</v>
      </c>
      <c r="H652" t="s">
        <v>4740</v>
      </c>
      <c r="I652" t="s">
        <v>4743</v>
      </c>
    </row>
    <row r="653" spans="1:9" x14ac:dyDescent="0.2">
      <c r="A653" t="s">
        <v>4234</v>
      </c>
      <c r="B653" t="s">
        <v>4744</v>
      </c>
      <c r="C653" t="s">
        <v>4745</v>
      </c>
      <c r="D653" t="s">
        <v>4746</v>
      </c>
      <c r="E653" t="s">
        <v>4747</v>
      </c>
      <c r="F653" t="s">
        <v>4748</v>
      </c>
      <c r="G653" t="s">
        <v>4749</v>
      </c>
      <c r="H653" t="s">
        <v>4750</v>
      </c>
      <c r="I653" t="s">
        <v>4751</v>
      </c>
    </row>
    <row r="654" spans="1:9" x14ac:dyDescent="0.2">
      <c r="A654" t="s">
        <v>4234</v>
      </c>
      <c r="B654" t="s">
        <v>4752</v>
      </c>
      <c r="C654" t="s">
        <v>4753</v>
      </c>
      <c r="D654" t="s">
        <v>4754</v>
      </c>
      <c r="E654" t="s">
        <v>4755</v>
      </c>
      <c r="F654" t="s">
        <v>4756</v>
      </c>
      <c r="G654" t="s">
        <v>4757</v>
      </c>
      <c r="H654" t="s">
        <v>4758</v>
      </c>
      <c r="I654" t="s">
        <v>4759</v>
      </c>
    </row>
    <row r="655" spans="1:9" x14ac:dyDescent="0.2">
      <c r="A655" t="s">
        <v>4234</v>
      </c>
      <c r="B655" t="s">
        <v>4760</v>
      </c>
      <c r="C655" t="s">
        <v>4761</v>
      </c>
      <c r="D655" t="s">
        <v>4762</v>
      </c>
      <c r="E655" t="s">
        <v>4763</v>
      </c>
      <c r="F655" t="s">
        <v>4764</v>
      </c>
      <c r="G655" t="s">
        <v>4764</v>
      </c>
      <c r="H655" t="s">
        <v>4763</v>
      </c>
      <c r="I655" t="s">
        <v>4764</v>
      </c>
    </row>
    <row r="656" spans="1:9" x14ac:dyDescent="0.2">
      <c r="A656" t="s">
        <v>4234</v>
      </c>
      <c r="B656" t="s">
        <v>4765</v>
      </c>
      <c r="C656" t="s">
        <v>4766</v>
      </c>
      <c r="D656" t="s">
        <v>4767</v>
      </c>
      <c r="E656" t="s">
        <v>4768</v>
      </c>
      <c r="F656" t="s">
        <v>4769</v>
      </c>
      <c r="G656" t="s">
        <v>4770</v>
      </c>
      <c r="H656" t="s">
        <v>4771</v>
      </c>
      <c r="I656" t="s">
        <v>4769</v>
      </c>
    </row>
    <row r="657" spans="1:9" x14ac:dyDescent="0.2">
      <c r="A657" t="s">
        <v>4234</v>
      </c>
      <c r="B657" t="s">
        <v>4772</v>
      </c>
      <c r="C657" t="s">
        <v>4773</v>
      </c>
      <c r="D657" t="s">
        <v>4774</v>
      </c>
      <c r="E657" t="s">
        <v>4775</v>
      </c>
      <c r="F657" t="s">
        <v>4776</v>
      </c>
      <c r="G657" t="s">
        <v>4777</v>
      </c>
      <c r="H657" t="s">
        <v>4778</v>
      </c>
      <c r="I657" t="s">
        <v>4779</v>
      </c>
    </row>
    <row r="658" spans="1:9" x14ac:dyDescent="0.2">
      <c r="A658" t="s">
        <v>4234</v>
      </c>
      <c r="B658" t="s">
        <v>4780</v>
      </c>
      <c r="C658" t="s">
        <v>4781</v>
      </c>
      <c r="D658" t="s">
        <v>4782</v>
      </c>
      <c r="E658" t="s">
        <v>4783</v>
      </c>
      <c r="F658" t="s">
        <v>4784</v>
      </c>
      <c r="G658" t="s">
        <v>4785</v>
      </c>
      <c r="H658" t="s">
        <v>4786</v>
      </c>
      <c r="I658" t="s">
        <v>4787</v>
      </c>
    </row>
    <row r="659" spans="1:9" x14ac:dyDescent="0.2">
      <c r="A659" t="s">
        <v>4234</v>
      </c>
      <c r="B659" t="s">
        <v>4788</v>
      </c>
      <c r="C659" t="s">
        <v>4789</v>
      </c>
      <c r="D659" t="s">
        <v>4790</v>
      </c>
      <c r="E659" t="s">
        <v>4791</v>
      </c>
      <c r="F659" t="s">
        <v>4784</v>
      </c>
      <c r="G659" t="s">
        <v>4792</v>
      </c>
      <c r="H659" t="s">
        <v>4793</v>
      </c>
      <c r="I659" t="s">
        <v>4794</v>
      </c>
    </row>
    <row r="660" spans="1:9" x14ac:dyDescent="0.2">
      <c r="A660" t="s">
        <v>4234</v>
      </c>
      <c r="B660" t="s">
        <v>4795</v>
      </c>
      <c r="C660" t="s">
        <v>4796</v>
      </c>
      <c r="D660" t="s">
        <v>4797</v>
      </c>
      <c r="E660" t="s">
        <v>4798</v>
      </c>
      <c r="F660" t="s">
        <v>4799</v>
      </c>
      <c r="G660" t="s">
        <v>4800</v>
      </c>
      <c r="H660" t="s">
        <v>4801</v>
      </c>
      <c r="I660" t="s">
        <v>4802</v>
      </c>
    </row>
    <row r="661" spans="1:9" x14ac:dyDescent="0.2">
      <c r="A661" t="s">
        <v>4234</v>
      </c>
      <c r="B661" t="s">
        <v>4803</v>
      </c>
      <c r="C661" t="s">
        <v>4804</v>
      </c>
      <c r="D661" t="s">
        <v>4805</v>
      </c>
      <c r="E661" t="s">
        <v>4783</v>
      </c>
      <c r="F661" t="s">
        <v>4799</v>
      </c>
      <c r="G661" t="s">
        <v>4806</v>
      </c>
      <c r="H661" t="s">
        <v>4807</v>
      </c>
      <c r="I661" t="s">
        <v>4805</v>
      </c>
    </row>
    <row r="662" spans="1:9" x14ac:dyDescent="0.2">
      <c r="A662" t="s">
        <v>4234</v>
      </c>
      <c r="B662" t="s">
        <v>4808</v>
      </c>
      <c r="C662" t="s">
        <v>4809</v>
      </c>
      <c r="D662" t="s">
        <v>4810</v>
      </c>
      <c r="E662" t="s">
        <v>4811</v>
      </c>
      <c r="F662" t="s">
        <v>4383</v>
      </c>
      <c r="G662" t="s">
        <v>4812</v>
      </c>
      <c r="H662" t="s">
        <v>4813</v>
      </c>
      <c r="I662" t="s">
        <v>4814</v>
      </c>
    </row>
    <row r="663" spans="1:9" x14ac:dyDescent="0.2">
      <c r="A663" t="s">
        <v>4234</v>
      </c>
      <c r="B663" t="s">
        <v>4815</v>
      </c>
      <c r="C663" t="s">
        <v>4816</v>
      </c>
      <c r="D663" t="s">
        <v>4817</v>
      </c>
      <c r="E663" t="s">
        <v>4818</v>
      </c>
      <c r="F663" t="s">
        <v>4818</v>
      </c>
      <c r="G663" t="s">
        <v>4819</v>
      </c>
      <c r="H663" t="s">
        <v>4818</v>
      </c>
      <c r="I663" t="s">
        <v>4820</v>
      </c>
    </row>
    <row r="664" spans="1:9" x14ac:dyDescent="0.2">
      <c r="A664" t="s">
        <v>4234</v>
      </c>
      <c r="B664" t="s">
        <v>4821</v>
      </c>
      <c r="C664" t="s">
        <v>4822</v>
      </c>
      <c r="D664" t="s">
        <v>4823</v>
      </c>
      <c r="E664" t="s">
        <v>4824</v>
      </c>
      <c r="F664" t="s">
        <v>4825</v>
      </c>
      <c r="G664" t="s">
        <v>4826</v>
      </c>
      <c r="H664" t="s">
        <v>4827</v>
      </c>
      <c r="I664" t="s">
        <v>4828</v>
      </c>
    </row>
    <row r="665" spans="1:9" x14ac:dyDescent="0.2">
      <c r="A665" t="s">
        <v>4234</v>
      </c>
      <c r="B665" t="s">
        <v>4829</v>
      </c>
      <c r="C665" t="s">
        <v>4830</v>
      </c>
      <c r="D665" t="s">
        <v>4831</v>
      </c>
      <c r="E665" t="s">
        <v>4832</v>
      </c>
      <c r="F665" t="s">
        <v>4383</v>
      </c>
      <c r="G665" t="s">
        <v>4833</v>
      </c>
      <c r="H665" t="s">
        <v>4834</v>
      </c>
      <c r="I665" t="s">
        <v>4835</v>
      </c>
    </row>
    <row r="666" spans="1:9" x14ac:dyDescent="0.2">
      <c r="A666" t="s">
        <v>4234</v>
      </c>
      <c r="B666" t="s">
        <v>4836</v>
      </c>
      <c r="C666" t="s">
        <v>4837</v>
      </c>
      <c r="D666" t="s">
        <v>4838</v>
      </c>
      <c r="E666" t="s">
        <v>4839</v>
      </c>
      <c r="F666" t="s">
        <v>4733</v>
      </c>
      <c r="G666" t="s">
        <v>4840</v>
      </c>
      <c r="H666" t="s">
        <v>4841</v>
      </c>
      <c r="I666" t="s">
        <v>4842</v>
      </c>
    </row>
    <row r="667" spans="1:9" x14ac:dyDescent="0.2">
      <c r="A667" t="s">
        <v>4234</v>
      </c>
      <c r="B667" t="s">
        <v>4843</v>
      </c>
      <c r="C667" t="s">
        <v>4844</v>
      </c>
      <c r="D667" t="s">
        <v>4845</v>
      </c>
      <c r="E667" t="s">
        <v>4846</v>
      </c>
      <c r="F667" t="s">
        <v>4847</v>
      </c>
      <c r="G667" t="s">
        <v>4848</v>
      </c>
      <c r="H667" t="s">
        <v>4845</v>
      </c>
      <c r="I667" t="s">
        <v>4849</v>
      </c>
    </row>
    <row r="668" spans="1:9" x14ac:dyDescent="0.2">
      <c r="A668" t="s">
        <v>4234</v>
      </c>
      <c r="B668" t="s">
        <v>4850</v>
      </c>
      <c r="C668" t="s">
        <v>4851</v>
      </c>
      <c r="D668" t="s">
        <v>4852</v>
      </c>
      <c r="E668" t="s">
        <v>4853</v>
      </c>
      <c r="F668" t="s">
        <v>4854</v>
      </c>
      <c r="G668" t="s">
        <v>4855</v>
      </c>
      <c r="H668" t="s">
        <v>4852</v>
      </c>
      <c r="I668" t="s">
        <v>4855</v>
      </c>
    </row>
    <row r="669" spans="1:9" x14ac:dyDescent="0.2">
      <c r="A669" t="s">
        <v>4234</v>
      </c>
      <c r="B669" t="s">
        <v>4856</v>
      </c>
      <c r="C669" t="s">
        <v>4857</v>
      </c>
      <c r="D669" t="s">
        <v>4857</v>
      </c>
      <c r="E669" t="s">
        <v>4640</v>
      </c>
      <c r="F669" t="s">
        <v>4858</v>
      </c>
      <c r="G669" t="s">
        <v>4859</v>
      </c>
      <c r="H669" t="s">
        <v>4857</v>
      </c>
      <c r="I669" t="s">
        <v>4857</v>
      </c>
    </row>
    <row r="670" spans="1:9" x14ac:dyDescent="0.2">
      <c r="A670" t="s">
        <v>4234</v>
      </c>
      <c r="B670" t="s">
        <v>4860</v>
      </c>
      <c r="C670" t="s">
        <v>4861</v>
      </c>
      <c r="D670" t="s">
        <v>4862</v>
      </c>
      <c r="E670" t="s">
        <v>4863</v>
      </c>
      <c r="F670" t="s">
        <v>4864</v>
      </c>
      <c r="G670" t="s">
        <v>4865</v>
      </c>
      <c r="H670" t="s">
        <v>4866</v>
      </c>
      <c r="I670" t="s">
        <v>4866</v>
      </c>
    </row>
    <row r="671" spans="1:9" x14ac:dyDescent="0.2">
      <c r="A671" t="s">
        <v>4234</v>
      </c>
      <c r="B671" t="s">
        <v>4867</v>
      </c>
      <c r="C671" t="s">
        <v>4868</v>
      </c>
      <c r="D671" t="s">
        <v>4869</v>
      </c>
      <c r="E671" t="s">
        <v>4870</v>
      </c>
      <c r="F671" t="s">
        <v>4871</v>
      </c>
      <c r="G671" t="s">
        <v>4870</v>
      </c>
      <c r="H671" t="s">
        <v>4870</v>
      </c>
      <c r="I671" t="s">
        <v>4870</v>
      </c>
    </row>
    <row r="672" spans="1:9" x14ac:dyDescent="0.2">
      <c r="A672" t="s">
        <v>4234</v>
      </c>
      <c r="B672" t="s">
        <v>4872</v>
      </c>
      <c r="C672" t="s">
        <v>4873</v>
      </c>
      <c r="D672" t="s">
        <v>4873</v>
      </c>
      <c r="E672" t="s">
        <v>4640</v>
      </c>
      <c r="F672" t="s">
        <v>4870</v>
      </c>
      <c r="G672" t="s">
        <v>4874</v>
      </c>
      <c r="H672" t="s">
        <v>4875</v>
      </c>
      <c r="I672" t="s">
        <v>4875</v>
      </c>
    </row>
    <row r="673" spans="1:9" x14ac:dyDescent="0.2">
      <c r="A673" t="s">
        <v>4234</v>
      </c>
      <c r="B673" t="s">
        <v>4876</v>
      </c>
      <c r="C673" t="s">
        <v>4877</v>
      </c>
      <c r="D673" t="s">
        <v>4878</v>
      </c>
      <c r="E673" t="s">
        <v>4879</v>
      </c>
      <c r="F673" t="s">
        <v>4880</v>
      </c>
      <c r="G673" t="s">
        <v>4840</v>
      </c>
      <c r="H673" t="s">
        <v>4881</v>
      </c>
      <c r="I673" t="s">
        <v>4881</v>
      </c>
    </row>
    <row r="674" spans="1:9" x14ac:dyDescent="0.2">
      <c r="A674" t="s">
        <v>4234</v>
      </c>
      <c r="B674" t="s">
        <v>4882</v>
      </c>
      <c r="C674" t="s">
        <v>4883</v>
      </c>
      <c r="D674" t="s">
        <v>4884</v>
      </c>
      <c r="E674" t="s">
        <v>4885</v>
      </c>
      <c r="F674" t="s">
        <v>4886</v>
      </c>
      <c r="G674" t="s">
        <v>4887</v>
      </c>
      <c r="H674" t="s">
        <v>4888</v>
      </c>
      <c r="I674" t="s">
        <v>4889</v>
      </c>
    </row>
    <row r="675" spans="1:9" x14ac:dyDescent="0.2">
      <c r="A675" t="s">
        <v>4234</v>
      </c>
      <c r="B675" t="s">
        <v>4890</v>
      </c>
      <c r="C675" t="s">
        <v>4891</v>
      </c>
      <c r="D675" t="s">
        <v>4892</v>
      </c>
      <c r="E675" t="s">
        <v>2205</v>
      </c>
      <c r="F675" t="s">
        <v>1930</v>
      </c>
      <c r="G675" t="s">
        <v>1837</v>
      </c>
      <c r="H675" t="s">
        <v>2878</v>
      </c>
      <c r="I675" t="s">
        <v>1839</v>
      </c>
    </row>
    <row r="676" spans="1:9" x14ac:dyDescent="0.2">
      <c r="A676" t="s">
        <v>4234</v>
      </c>
      <c r="B676" t="s">
        <v>4893</v>
      </c>
      <c r="C676" t="s">
        <v>4894</v>
      </c>
      <c r="D676" t="s">
        <v>4895</v>
      </c>
      <c r="E676" t="s">
        <v>2207</v>
      </c>
      <c r="F676" t="s">
        <v>2457</v>
      </c>
      <c r="G676" t="s">
        <v>1844</v>
      </c>
      <c r="H676" t="s">
        <v>1845</v>
      </c>
      <c r="I676" t="s">
        <v>1846</v>
      </c>
    </row>
    <row r="678" spans="1:9" x14ac:dyDescent="0.2">
      <c r="A678" t="s">
        <v>4896</v>
      </c>
      <c r="B678" t="s">
        <v>4235</v>
      </c>
      <c r="C678" t="s">
        <v>4236</v>
      </c>
      <c r="D678" t="s">
        <v>4237</v>
      </c>
      <c r="E678" t="s">
        <v>4238</v>
      </c>
      <c r="F678" t="s">
        <v>4239</v>
      </c>
      <c r="G678" t="s">
        <v>4240</v>
      </c>
      <c r="H678" t="s">
        <v>4241</v>
      </c>
      <c r="I678" t="s">
        <v>4242</v>
      </c>
    </row>
    <row r="679" spans="1:9" x14ac:dyDescent="0.2">
      <c r="A679" t="s">
        <v>4896</v>
      </c>
      <c r="B679" t="s">
        <v>4243</v>
      </c>
      <c r="C679" t="s">
        <v>4244</v>
      </c>
      <c r="D679" t="s">
        <v>4245</v>
      </c>
      <c r="E679" t="s">
        <v>4246</v>
      </c>
      <c r="F679" t="s">
        <v>4247</v>
      </c>
      <c r="G679" t="s">
        <v>4248</v>
      </c>
      <c r="H679" t="s">
        <v>4249</v>
      </c>
      <c r="I679" t="s">
        <v>4250</v>
      </c>
    </row>
    <row r="680" spans="1:9" x14ac:dyDescent="0.2">
      <c r="A680" t="s">
        <v>4896</v>
      </c>
      <c r="B680" t="s">
        <v>4251</v>
      </c>
      <c r="C680" t="s">
        <v>4252</v>
      </c>
      <c r="D680" t="s">
        <v>4253</v>
      </c>
      <c r="E680" t="s">
        <v>4254</v>
      </c>
      <c r="F680" t="s">
        <v>4255</v>
      </c>
      <c r="G680" t="s">
        <v>4256</v>
      </c>
      <c r="H680" t="s">
        <v>4257</v>
      </c>
      <c r="I680" t="s">
        <v>4254</v>
      </c>
    </row>
    <row r="681" spans="1:9" x14ac:dyDescent="0.2">
      <c r="A681" t="s">
        <v>4896</v>
      </c>
      <c r="B681" t="s">
        <v>4258</v>
      </c>
      <c r="C681" t="s">
        <v>4259</v>
      </c>
      <c r="D681" t="s">
        <v>4260</v>
      </c>
      <c r="E681" t="s">
        <v>4261</v>
      </c>
      <c r="F681" t="s">
        <v>4262</v>
      </c>
      <c r="G681" t="s">
        <v>4263</v>
      </c>
      <c r="H681" t="s">
        <v>4264</v>
      </c>
      <c r="I681" t="s">
        <v>4265</v>
      </c>
    </row>
    <row r="682" spans="1:9" x14ac:dyDescent="0.2">
      <c r="A682" t="s">
        <v>4896</v>
      </c>
      <c r="B682" t="s">
        <v>4266</v>
      </c>
      <c r="C682" t="s">
        <v>4267</v>
      </c>
      <c r="D682" t="s">
        <v>4268</v>
      </c>
      <c r="E682" t="s">
        <v>4269</v>
      </c>
      <c r="F682" t="s">
        <v>4270</v>
      </c>
      <c r="G682" t="s">
        <v>4271</v>
      </c>
      <c r="H682" t="s">
        <v>4272</v>
      </c>
      <c r="I682" t="s">
        <v>4268</v>
      </c>
    </row>
    <row r="683" spans="1:9" x14ac:dyDescent="0.2">
      <c r="A683" t="s">
        <v>4896</v>
      </c>
      <c r="B683" t="s">
        <v>4273</v>
      </c>
      <c r="C683" t="s">
        <v>4274</v>
      </c>
      <c r="D683" t="s">
        <v>4275</v>
      </c>
      <c r="E683" t="s">
        <v>4276</v>
      </c>
      <c r="F683" t="s">
        <v>4277</v>
      </c>
      <c r="G683" t="s">
        <v>4278</v>
      </c>
      <c r="H683" t="s">
        <v>4279</v>
      </c>
      <c r="I683" t="s">
        <v>4275</v>
      </c>
    </row>
    <row r="684" spans="1:9" x14ac:dyDescent="0.2">
      <c r="A684" t="s">
        <v>4896</v>
      </c>
      <c r="B684" t="s">
        <v>4280</v>
      </c>
      <c r="C684" t="s">
        <v>4281</v>
      </c>
      <c r="D684" t="s">
        <v>4282</v>
      </c>
      <c r="E684" t="s">
        <v>4283</v>
      </c>
      <c r="F684" t="s">
        <v>4283</v>
      </c>
      <c r="G684" t="s">
        <v>4284</v>
      </c>
      <c r="H684" t="s">
        <v>4285</v>
      </c>
      <c r="I684" t="s">
        <v>4282</v>
      </c>
    </row>
    <row r="685" spans="1:9" x14ac:dyDescent="0.2">
      <c r="A685" t="s">
        <v>4896</v>
      </c>
      <c r="B685" t="s">
        <v>4286</v>
      </c>
      <c r="C685" t="s">
        <v>4287</v>
      </c>
      <c r="D685" t="s">
        <v>4287</v>
      </c>
      <c r="E685" t="s">
        <v>4288</v>
      </c>
      <c r="F685" t="s">
        <v>4289</v>
      </c>
      <c r="G685" t="s">
        <v>4290</v>
      </c>
      <c r="H685" t="s">
        <v>4291</v>
      </c>
      <c r="I685" t="s">
        <v>4287</v>
      </c>
    </row>
    <row r="686" spans="1:9" x14ac:dyDescent="0.2">
      <c r="A686" t="s">
        <v>4896</v>
      </c>
      <c r="B686" t="s">
        <v>4292</v>
      </c>
      <c r="C686" t="s">
        <v>4293</v>
      </c>
      <c r="D686" t="s">
        <v>4294</v>
      </c>
      <c r="E686" t="s">
        <v>4295</v>
      </c>
      <c r="F686" t="s">
        <v>4296</v>
      </c>
      <c r="G686" t="s">
        <v>4297</v>
      </c>
      <c r="H686" t="s">
        <v>4298</v>
      </c>
      <c r="I686" t="s">
        <v>4294</v>
      </c>
    </row>
    <row r="687" spans="1:9" x14ac:dyDescent="0.2">
      <c r="A687" t="s">
        <v>4896</v>
      </c>
      <c r="B687" t="s">
        <v>4299</v>
      </c>
      <c r="C687" t="s">
        <v>4300</v>
      </c>
      <c r="D687" t="s">
        <v>4301</v>
      </c>
      <c r="E687" t="s">
        <v>4302</v>
      </c>
      <c r="F687" t="s">
        <v>4303</v>
      </c>
      <c r="G687" t="s">
        <v>4304</v>
      </c>
      <c r="H687" t="s">
        <v>4305</v>
      </c>
      <c r="I687" t="s">
        <v>4306</v>
      </c>
    </row>
    <row r="688" spans="1:9" x14ac:dyDescent="0.2">
      <c r="A688" t="s">
        <v>4896</v>
      </c>
      <c r="B688" t="s">
        <v>4307</v>
      </c>
      <c r="C688" t="s">
        <v>4308</v>
      </c>
      <c r="D688" t="s">
        <v>4309</v>
      </c>
      <c r="E688" t="s">
        <v>4310</v>
      </c>
      <c r="F688" t="s">
        <v>4311</v>
      </c>
      <c r="G688" t="s">
        <v>4310</v>
      </c>
      <c r="H688" t="s">
        <v>4312</v>
      </c>
      <c r="I688" t="s">
        <v>4313</v>
      </c>
    </row>
    <row r="689" spans="1:9" x14ac:dyDescent="0.2">
      <c r="A689" t="s">
        <v>4896</v>
      </c>
      <c r="B689" t="s">
        <v>4314</v>
      </c>
      <c r="C689" t="s">
        <v>4315</v>
      </c>
      <c r="D689" t="s">
        <v>4316</v>
      </c>
      <c r="E689" t="s">
        <v>4317</v>
      </c>
      <c r="F689" t="s">
        <v>4318</v>
      </c>
      <c r="G689" t="s">
        <v>4319</v>
      </c>
      <c r="H689" t="s">
        <v>4320</v>
      </c>
      <c r="I689" t="s">
        <v>4321</v>
      </c>
    </row>
    <row r="690" spans="1:9" x14ac:dyDescent="0.2">
      <c r="A690" t="s">
        <v>4896</v>
      </c>
      <c r="B690" t="s">
        <v>4322</v>
      </c>
      <c r="C690" t="s">
        <v>4323</v>
      </c>
      <c r="D690" t="s">
        <v>4324</v>
      </c>
      <c r="E690" t="s">
        <v>4325</v>
      </c>
      <c r="F690" t="s">
        <v>4326</v>
      </c>
      <c r="G690" t="s">
        <v>4327</v>
      </c>
      <c r="H690" t="s">
        <v>4328</v>
      </c>
      <c r="I690" t="s">
        <v>4329</v>
      </c>
    </row>
    <row r="691" spans="1:9" x14ac:dyDescent="0.2">
      <c r="A691" t="s">
        <v>4896</v>
      </c>
      <c r="B691" t="s">
        <v>4330</v>
      </c>
      <c r="C691" t="s">
        <v>4331</v>
      </c>
      <c r="D691" t="s">
        <v>4332</v>
      </c>
      <c r="E691" t="s">
        <v>4333</v>
      </c>
      <c r="F691" t="s">
        <v>4334</v>
      </c>
      <c r="G691" t="s">
        <v>4335</v>
      </c>
      <c r="H691" t="s">
        <v>4336</v>
      </c>
      <c r="I691" t="s">
        <v>4332</v>
      </c>
    </row>
    <row r="692" spans="1:9" x14ac:dyDescent="0.2">
      <c r="A692" t="s">
        <v>4896</v>
      </c>
      <c r="B692" t="s">
        <v>4337</v>
      </c>
      <c r="C692" t="s">
        <v>4338</v>
      </c>
      <c r="D692" t="s">
        <v>4339</v>
      </c>
      <c r="E692" t="s">
        <v>4340</v>
      </c>
      <c r="F692" t="s">
        <v>4341</v>
      </c>
      <c r="G692" t="s">
        <v>4342</v>
      </c>
      <c r="H692" t="s">
        <v>4343</v>
      </c>
      <c r="I692" t="s">
        <v>4344</v>
      </c>
    </row>
    <row r="693" spans="1:9" x14ac:dyDescent="0.2">
      <c r="A693" t="s">
        <v>4896</v>
      </c>
      <c r="B693" t="s">
        <v>4345</v>
      </c>
      <c r="C693" t="s">
        <v>4346</v>
      </c>
      <c r="D693" t="s">
        <v>4347</v>
      </c>
      <c r="E693" t="s">
        <v>4348</v>
      </c>
      <c r="F693" t="s">
        <v>4349</v>
      </c>
      <c r="G693" t="s">
        <v>4350</v>
      </c>
      <c r="H693" t="s">
        <v>4351</v>
      </c>
      <c r="I693" t="s">
        <v>4352</v>
      </c>
    </row>
    <row r="694" spans="1:9" x14ac:dyDescent="0.2">
      <c r="A694" t="s">
        <v>4896</v>
      </c>
      <c r="B694" t="s">
        <v>4353</v>
      </c>
      <c r="C694" t="s">
        <v>4354</v>
      </c>
      <c r="D694" t="s">
        <v>4355</v>
      </c>
      <c r="E694" t="s">
        <v>4356</v>
      </c>
      <c r="F694" t="s">
        <v>4357</v>
      </c>
      <c r="G694" t="s">
        <v>4358</v>
      </c>
      <c r="H694" t="s">
        <v>4359</v>
      </c>
      <c r="I694" t="s">
        <v>4360</v>
      </c>
    </row>
    <row r="695" spans="1:9" x14ac:dyDescent="0.2">
      <c r="A695" t="s">
        <v>4896</v>
      </c>
      <c r="B695" t="s">
        <v>4361</v>
      </c>
      <c r="C695" t="s">
        <v>4362</v>
      </c>
      <c r="D695" t="s">
        <v>4363</v>
      </c>
      <c r="E695" t="s">
        <v>4276</v>
      </c>
      <c r="F695" t="s">
        <v>4364</v>
      </c>
      <c r="G695" t="s">
        <v>4365</v>
      </c>
      <c r="H695" t="s">
        <v>4366</v>
      </c>
      <c r="I695" t="s">
        <v>4367</v>
      </c>
    </row>
    <row r="696" spans="1:9" x14ac:dyDescent="0.2">
      <c r="A696" t="s">
        <v>4896</v>
      </c>
      <c r="B696" t="s">
        <v>4368</v>
      </c>
      <c r="C696" t="s">
        <v>4369</v>
      </c>
      <c r="D696" t="s">
        <v>4370</v>
      </c>
      <c r="E696" t="s">
        <v>4371</v>
      </c>
      <c r="F696" t="s">
        <v>4372</v>
      </c>
      <c r="G696" t="s">
        <v>4373</v>
      </c>
      <c r="H696" t="s">
        <v>4374</v>
      </c>
      <c r="I696" t="s">
        <v>4375</v>
      </c>
    </row>
    <row r="697" spans="1:9" x14ac:dyDescent="0.2">
      <c r="A697" t="s">
        <v>4896</v>
      </c>
      <c r="B697" t="s">
        <v>4376</v>
      </c>
      <c r="C697" t="s">
        <v>4377</v>
      </c>
      <c r="D697" t="s">
        <v>4378</v>
      </c>
      <c r="E697" t="s">
        <v>4302</v>
      </c>
      <c r="F697" t="s">
        <v>4372</v>
      </c>
      <c r="G697" t="s">
        <v>4304</v>
      </c>
      <c r="H697" t="s">
        <v>4305</v>
      </c>
      <c r="I697" t="s">
        <v>4306</v>
      </c>
    </row>
    <row r="698" spans="1:9" x14ac:dyDescent="0.2">
      <c r="A698" t="s">
        <v>4896</v>
      </c>
      <c r="B698" t="s">
        <v>4379</v>
      </c>
      <c r="C698" t="s">
        <v>4380</v>
      </c>
      <c r="D698" t="s">
        <v>4381</v>
      </c>
      <c r="E698" t="s">
        <v>4382</v>
      </c>
      <c r="F698" t="s">
        <v>4383</v>
      </c>
      <c r="G698" t="s">
        <v>4384</v>
      </c>
      <c r="H698" t="s">
        <v>4385</v>
      </c>
      <c r="I698" t="s">
        <v>4386</v>
      </c>
    </row>
    <row r="699" spans="1:9" x14ac:dyDescent="0.2">
      <c r="A699" t="s">
        <v>4896</v>
      </c>
      <c r="B699" t="s">
        <v>4387</v>
      </c>
      <c r="C699" t="s">
        <v>4388</v>
      </c>
      <c r="D699" t="s">
        <v>4389</v>
      </c>
      <c r="E699" t="s">
        <v>4390</v>
      </c>
      <c r="F699" t="s">
        <v>4391</v>
      </c>
      <c r="G699" t="s">
        <v>4392</v>
      </c>
      <c r="H699" t="s">
        <v>4393</v>
      </c>
      <c r="I699" t="s">
        <v>4394</v>
      </c>
    </row>
    <row r="700" spans="1:9" x14ac:dyDescent="0.2">
      <c r="A700" t="s">
        <v>4896</v>
      </c>
      <c r="B700" t="s">
        <v>4395</v>
      </c>
      <c r="C700" t="s">
        <v>4396</v>
      </c>
      <c r="D700" t="s">
        <v>4397</v>
      </c>
      <c r="E700" t="s">
        <v>4398</v>
      </c>
      <c r="F700" t="s">
        <v>4399</v>
      </c>
      <c r="G700" t="s">
        <v>4400</v>
      </c>
      <c r="H700" t="s">
        <v>4401</v>
      </c>
      <c r="I700" t="s">
        <v>4402</v>
      </c>
    </row>
    <row r="701" spans="1:9" x14ac:dyDescent="0.2">
      <c r="A701" t="s">
        <v>4896</v>
      </c>
      <c r="B701" t="s">
        <v>4403</v>
      </c>
      <c r="C701" t="s">
        <v>4404</v>
      </c>
      <c r="D701" t="s">
        <v>4405</v>
      </c>
      <c r="E701" t="s">
        <v>4406</v>
      </c>
      <c r="F701" t="s">
        <v>4407</v>
      </c>
      <c r="G701" t="s">
        <v>4408</v>
      </c>
      <c r="H701" t="s">
        <v>4409</v>
      </c>
      <c r="I701" t="s">
        <v>4410</v>
      </c>
    </row>
    <row r="702" spans="1:9" x14ac:dyDescent="0.2">
      <c r="A702" t="s">
        <v>4896</v>
      </c>
      <c r="B702" t="s">
        <v>4411</v>
      </c>
      <c r="C702" t="s">
        <v>4412</v>
      </c>
      <c r="D702" t="s">
        <v>4413</v>
      </c>
      <c r="E702" t="s">
        <v>4302</v>
      </c>
      <c r="F702" t="s">
        <v>4391</v>
      </c>
      <c r="G702" t="s">
        <v>4414</v>
      </c>
      <c r="H702" t="s">
        <v>4415</v>
      </c>
      <c r="I702" t="s">
        <v>4416</v>
      </c>
    </row>
    <row r="703" spans="1:9" x14ac:dyDescent="0.2">
      <c r="A703" t="s">
        <v>4896</v>
      </c>
      <c r="B703" t="s">
        <v>4417</v>
      </c>
      <c r="C703" t="s">
        <v>4418</v>
      </c>
      <c r="D703" t="s">
        <v>4419</v>
      </c>
      <c r="E703" t="s">
        <v>4420</v>
      </c>
      <c r="F703" t="s">
        <v>4391</v>
      </c>
      <c r="G703" t="s">
        <v>4421</v>
      </c>
      <c r="H703" t="s">
        <v>4422</v>
      </c>
      <c r="I703" t="s">
        <v>4423</v>
      </c>
    </row>
    <row r="704" spans="1:9" x14ac:dyDescent="0.2">
      <c r="A704" t="s">
        <v>4896</v>
      </c>
      <c r="B704" t="s">
        <v>4424</v>
      </c>
      <c r="C704" t="s">
        <v>4425</v>
      </c>
      <c r="D704" t="s">
        <v>4426</v>
      </c>
      <c r="E704" t="s">
        <v>4427</v>
      </c>
      <c r="F704" t="s">
        <v>4428</v>
      </c>
      <c r="G704" t="s">
        <v>4429</v>
      </c>
      <c r="H704" t="s">
        <v>4430</v>
      </c>
      <c r="I704" t="s">
        <v>4431</v>
      </c>
    </row>
    <row r="705" spans="1:9" x14ac:dyDescent="0.2">
      <c r="A705" t="s">
        <v>4896</v>
      </c>
      <c r="B705" t="s">
        <v>4432</v>
      </c>
      <c r="C705" t="s">
        <v>4433</v>
      </c>
      <c r="D705" t="s">
        <v>4434</v>
      </c>
      <c r="E705" t="s">
        <v>4435</v>
      </c>
      <c r="F705" t="s">
        <v>4436</v>
      </c>
      <c r="G705" t="s">
        <v>4437</v>
      </c>
      <c r="H705" t="s">
        <v>4438</v>
      </c>
      <c r="I705" t="s">
        <v>4439</v>
      </c>
    </row>
    <row r="706" spans="1:9" x14ac:dyDescent="0.2">
      <c r="A706" t="s">
        <v>4896</v>
      </c>
      <c r="B706" t="s">
        <v>4440</v>
      </c>
      <c r="C706" t="s">
        <v>4441</v>
      </c>
      <c r="D706" t="s">
        <v>4442</v>
      </c>
      <c r="E706" t="s">
        <v>4443</v>
      </c>
      <c r="F706" t="s">
        <v>4444</v>
      </c>
      <c r="G706" t="s">
        <v>4445</v>
      </c>
      <c r="H706" t="s">
        <v>4446</v>
      </c>
      <c r="I706" t="s">
        <v>4447</v>
      </c>
    </row>
    <row r="707" spans="1:9" x14ac:dyDescent="0.2">
      <c r="A707" t="s">
        <v>4896</v>
      </c>
      <c r="B707" t="s">
        <v>4448</v>
      </c>
      <c r="C707" t="s">
        <v>4449</v>
      </c>
      <c r="D707" t="s">
        <v>4450</v>
      </c>
      <c r="E707" t="s">
        <v>4451</v>
      </c>
      <c r="F707" t="s">
        <v>4452</v>
      </c>
      <c r="G707" t="s">
        <v>4453</v>
      </c>
      <c r="H707" t="s">
        <v>4454</v>
      </c>
      <c r="I707" t="s">
        <v>4455</v>
      </c>
    </row>
    <row r="708" spans="1:9" x14ac:dyDescent="0.2">
      <c r="A708" t="s">
        <v>4896</v>
      </c>
      <c r="B708" t="s">
        <v>4456</v>
      </c>
      <c r="C708" t="s">
        <v>4457</v>
      </c>
      <c r="D708" t="s">
        <v>4458</v>
      </c>
      <c r="E708" t="s">
        <v>4459</v>
      </c>
      <c r="F708" t="s">
        <v>4460</v>
      </c>
      <c r="G708" t="s">
        <v>4461</v>
      </c>
      <c r="H708" t="s">
        <v>4462</v>
      </c>
      <c r="I708" t="s">
        <v>4463</v>
      </c>
    </row>
    <row r="709" spans="1:9" x14ac:dyDescent="0.2">
      <c r="A709" t="s">
        <v>4896</v>
      </c>
      <c r="B709" t="s">
        <v>4464</v>
      </c>
      <c r="C709" t="s">
        <v>4465</v>
      </c>
      <c r="D709" t="s">
        <v>4466</v>
      </c>
      <c r="E709" t="s">
        <v>4467</v>
      </c>
      <c r="F709" t="s">
        <v>4468</v>
      </c>
      <c r="G709" t="s">
        <v>4469</v>
      </c>
      <c r="H709" t="s">
        <v>4470</v>
      </c>
      <c r="I709" t="s">
        <v>4471</v>
      </c>
    </row>
    <row r="710" spans="1:9" x14ac:dyDescent="0.2">
      <c r="A710" t="s">
        <v>4896</v>
      </c>
      <c r="B710" t="s">
        <v>4472</v>
      </c>
      <c r="C710" t="s">
        <v>4473</v>
      </c>
      <c r="D710" t="s">
        <v>4474</v>
      </c>
      <c r="E710" t="s">
        <v>4475</v>
      </c>
      <c r="F710" t="s">
        <v>4476</v>
      </c>
      <c r="G710" t="s">
        <v>4477</v>
      </c>
      <c r="H710" t="s">
        <v>4478</v>
      </c>
      <c r="I710" t="s">
        <v>4479</v>
      </c>
    </row>
    <row r="711" spans="1:9" x14ac:dyDescent="0.2">
      <c r="A711" t="s">
        <v>4896</v>
      </c>
      <c r="B711" t="s">
        <v>4480</v>
      </c>
      <c r="C711" t="s">
        <v>4481</v>
      </c>
      <c r="D711" t="s">
        <v>4482</v>
      </c>
      <c r="E711" t="s">
        <v>4483</v>
      </c>
      <c r="F711" t="s">
        <v>4484</v>
      </c>
      <c r="G711" t="s">
        <v>4485</v>
      </c>
      <c r="H711" t="s">
        <v>4486</v>
      </c>
      <c r="I711" t="s">
        <v>4487</v>
      </c>
    </row>
    <row r="712" spans="1:9" x14ac:dyDescent="0.2">
      <c r="A712" t="s">
        <v>4896</v>
      </c>
      <c r="B712" t="s">
        <v>4488</v>
      </c>
      <c r="C712" t="s">
        <v>4489</v>
      </c>
      <c r="D712" t="s">
        <v>4490</v>
      </c>
      <c r="E712" t="s">
        <v>4491</v>
      </c>
      <c r="F712" t="s">
        <v>4492</v>
      </c>
      <c r="G712" t="s">
        <v>4493</v>
      </c>
      <c r="H712" t="s">
        <v>4494</v>
      </c>
      <c r="I712" t="s">
        <v>4495</v>
      </c>
    </row>
    <row r="713" spans="1:9" x14ac:dyDescent="0.2">
      <c r="A713" t="s">
        <v>4896</v>
      </c>
      <c r="B713" t="s">
        <v>4496</v>
      </c>
      <c r="C713" t="s">
        <v>4497</v>
      </c>
      <c r="D713" t="s">
        <v>4498</v>
      </c>
      <c r="E713" t="s">
        <v>4499</v>
      </c>
      <c r="F713" t="s">
        <v>4500</v>
      </c>
      <c r="G713" t="s">
        <v>4501</v>
      </c>
      <c r="H713" t="s">
        <v>4502</v>
      </c>
      <c r="I713" t="s">
        <v>4503</v>
      </c>
    </row>
    <row r="714" spans="1:9" x14ac:dyDescent="0.2">
      <c r="A714" t="s">
        <v>4896</v>
      </c>
      <c r="B714" t="s">
        <v>4504</v>
      </c>
      <c r="C714" t="s">
        <v>4505</v>
      </c>
      <c r="D714" t="s">
        <v>4506</v>
      </c>
      <c r="E714" t="s">
        <v>4507</v>
      </c>
      <c r="F714" t="s">
        <v>4508</v>
      </c>
      <c r="G714" t="s">
        <v>4509</v>
      </c>
      <c r="H714" t="s">
        <v>4510</v>
      </c>
      <c r="I714" t="s">
        <v>4511</v>
      </c>
    </row>
    <row r="715" spans="1:9" x14ac:dyDescent="0.2">
      <c r="A715" t="s">
        <v>4896</v>
      </c>
      <c r="B715" t="s">
        <v>4512</v>
      </c>
      <c r="C715" t="s">
        <v>4513</v>
      </c>
      <c r="D715" t="s">
        <v>4514</v>
      </c>
      <c r="E715" t="s">
        <v>4515</v>
      </c>
      <c r="F715" t="s">
        <v>4516</v>
      </c>
      <c r="G715" t="s">
        <v>4517</v>
      </c>
      <c r="H715" t="s">
        <v>4518</v>
      </c>
      <c r="I715" t="s">
        <v>4519</v>
      </c>
    </row>
    <row r="716" spans="1:9" x14ac:dyDescent="0.2">
      <c r="A716" t="s">
        <v>4896</v>
      </c>
      <c r="B716" t="s">
        <v>4520</v>
      </c>
      <c r="C716" t="s">
        <v>4521</v>
      </c>
      <c r="D716" t="s">
        <v>4522</v>
      </c>
      <c r="E716" t="s">
        <v>4523</v>
      </c>
      <c r="F716" t="s">
        <v>4524</v>
      </c>
      <c r="G716" t="s">
        <v>4525</v>
      </c>
      <c r="H716" t="s">
        <v>4526</v>
      </c>
      <c r="I716" t="s">
        <v>4527</v>
      </c>
    </row>
    <row r="717" spans="1:9" x14ac:dyDescent="0.2">
      <c r="A717" t="s">
        <v>4896</v>
      </c>
      <c r="B717" t="s">
        <v>4528</v>
      </c>
      <c r="C717" t="s">
        <v>4529</v>
      </c>
      <c r="D717" t="s">
        <v>4530</v>
      </c>
      <c r="E717" t="s">
        <v>4531</v>
      </c>
      <c r="F717" t="s">
        <v>4532</v>
      </c>
      <c r="G717" t="s">
        <v>4529</v>
      </c>
      <c r="H717" t="s">
        <v>4533</v>
      </c>
      <c r="I717" t="s">
        <v>4534</v>
      </c>
    </row>
    <row r="718" spans="1:9" x14ac:dyDescent="0.2">
      <c r="A718" t="s">
        <v>4896</v>
      </c>
      <c r="B718" t="s">
        <v>4535</v>
      </c>
      <c r="C718" t="s">
        <v>4536</v>
      </c>
      <c r="D718" t="s">
        <v>4536</v>
      </c>
      <c r="E718" t="s">
        <v>4537</v>
      </c>
      <c r="F718" t="s">
        <v>4538</v>
      </c>
      <c r="G718" t="s">
        <v>4539</v>
      </c>
      <c r="H718" t="s">
        <v>4540</v>
      </c>
      <c r="I718" t="s">
        <v>4541</v>
      </c>
    </row>
    <row r="719" spans="1:9" x14ac:dyDescent="0.2">
      <c r="A719" t="s">
        <v>4896</v>
      </c>
      <c r="B719" t="s">
        <v>4542</v>
      </c>
      <c r="C719" t="s">
        <v>4543</v>
      </c>
      <c r="D719" t="s">
        <v>4544</v>
      </c>
      <c r="E719" t="s">
        <v>4545</v>
      </c>
      <c r="F719" t="s">
        <v>4546</v>
      </c>
      <c r="G719" t="s">
        <v>4547</v>
      </c>
      <c r="H719" t="s">
        <v>4548</v>
      </c>
      <c r="I719" t="s">
        <v>4549</v>
      </c>
    </row>
    <row r="720" spans="1:9" x14ac:dyDescent="0.2">
      <c r="A720" t="s">
        <v>4896</v>
      </c>
      <c r="B720" t="s">
        <v>4550</v>
      </c>
      <c r="C720" t="s">
        <v>4551</v>
      </c>
      <c r="D720" t="s">
        <v>4552</v>
      </c>
      <c r="E720" t="s">
        <v>4553</v>
      </c>
      <c r="F720" t="s">
        <v>4554</v>
      </c>
      <c r="G720" t="s">
        <v>4553</v>
      </c>
      <c r="H720" t="s">
        <v>4555</v>
      </c>
      <c r="I720" t="s">
        <v>4556</v>
      </c>
    </row>
    <row r="721" spans="1:9" x14ac:dyDescent="0.2">
      <c r="A721" t="s">
        <v>4896</v>
      </c>
      <c r="B721" t="s">
        <v>4557</v>
      </c>
      <c r="C721" t="s">
        <v>4558</v>
      </c>
      <c r="D721" t="s">
        <v>4559</v>
      </c>
      <c r="E721" t="s">
        <v>4560</v>
      </c>
      <c r="F721" t="s">
        <v>4561</v>
      </c>
      <c r="G721" t="s">
        <v>4562</v>
      </c>
      <c r="H721" t="s">
        <v>4563</v>
      </c>
      <c r="I721" t="s">
        <v>4564</v>
      </c>
    </row>
    <row r="722" spans="1:9" x14ac:dyDescent="0.2">
      <c r="A722" t="s">
        <v>4896</v>
      </c>
      <c r="B722" t="s">
        <v>4565</v>
      </c>
      <c r="C722" t="s">
        <v>4566</v>
      </c>
      <c r="D722" t="s">
        <v>4566</v>
      </c>
      <c r="E722" t="s">
        <v>4567</v>
      </c>
      <c r="F722" t="s">
        <v>4568</v>
      </c>
      <c r="G722" t="s">
        <v>4569</v>
      </c>
      <c r="H722" t="s">
        <v>4570</v>
      </c>
      <c r="I722" t="s">
        <v>4571</v>
      </c>
    </row>
    <row r="723" spans="1:9" x14ac:dyDescent="0.2">
      <c r="A723" t="s">
        <v>4896</v>
      </c>
      <c r="B723" t="s">
        <v>4572</v>
      </c>
      <c r="C723" t="s">
        <v>4573</v>
      </c>
      <c r="D723" t="s">
        <v>4574</v>
      </c>
      <c r="E723" t="s">
        <v>4575</v>
      </c>
      <c r="F723" t="s">
        <v>4576</v>
      </c>
      <c r="G723" t="s">
        <v>4577</v>
      </c>
      <c r="H723" t="s">
        <v>4578</v>
      </c>
      <c r="I723" t="s">
        <v>4579</v>
      </c>
    </row>
    <row r="724" spans="1:9" x14ac:dyDescent="0.2">
      <c r="A724" t="s">
        <v>4896</v>
      </c>
      <c r="B724" t="s">
        <v>4580</v>
      </c>
      <c r="C724" t="s">
        <v>4581</v>
      </c>
      <c r="D724" t="s">
        <v>4582</v>
      </c>
      <c r="E724" t="s">
        <v>4583</v>
      </c>
      <c r="F724" t="s">
        <v>4584</v>
      </c>
      <c r="G724" t="s">
        <v>4585</v>
      </c>
      <c r="H724" t="s">
        <v>4586</v>
      </c>
      <c r="I724" t="s">
        <v>4587</v>
      </c>
    </row>
    <row r="725" spans="1:9" x14ac:dyDescent="0.2">
      <c r="A725" t="s">
        <v>4896</v>
      </c>
      <c r="B725" t="s">
        <v>4588</v>
      </c>
      <c r="C725" t="s">
        <v>4589</v>
      </c>
      <c r="D725" t="s">
        <v>4590</v>
      </c>
      <c r="E725" t="s">
        <v>4591</v>
      </c>
      <c r="F725" t="s">
        <v>4592</v>
      </c>
      <c r="G725" t="s">
        <v>4590</v>
      </c>
      <c r="H725" t="s">
        <v>4593</v>
      </c>
      <c r="I725" t="s">
        <v>4594</v>
      </c>
    </row>
    <row r="726" spans="1:9" x14ac:dyDescent="0.2">
      <c r="A726" t="s">
        <v>4896</v>
      </c>
      <c r="B726" t="s">
        <v>4595</v>
      </c>
      <c r="C726" t="s">
        <v>4596</v>
      </c>
      <c r="D726" t="s">
        <v>4597</v>
      </c>
      <c r="E726" t="s">
        <v>4598</v>
      </c>
      <c r="F726" t="s">
        <v>4599</v>
      </c>
      <c r="G726" t="s">
        <v>4590</v>
      </c>
      <c r="H726" t="s">
        <v>4600</v>
      </c>
      <c r="I726" t="s">
        <v>4601</v>
      </c>
    </row>
    <row r="727" spans="1:9" x14ac:dyDescent="0.2">
      <c r="A727" t="s">
        <v>4896</v>
      </c>
      <c r="B727" t="s">
        <v>4602</v>
      </c>
      <c r="C727" t="s">
        <v>4603</v>
      </c>
      <c r="D727" t="s">
        <v>4604</v>
      </c>
      <c r="E727" t="s">
        <v>4605</v>
      </c>
      <c r="F727" t="s">
        <v>4606</v>
      </c>
      <c r="G727" t="s">
        <v>4607</v>
      </c>
      <c r="H727" t="s">
        <v>4608</v>
      </c>
      <c r="I727" t="s">
        <v>4609</v>
      </c>
    </row>
    <row r="728" spans="1:9" x14ac:dyDescent="0.2">
      <c r="A728" t="s">
        <v>4896</v>
      </c>
      <c r="B728" t="s">
        <v>4610</v>
      </c>
      <c r="C728" t="s">
        <v>4611</v>
      </c>
      <c r="D728" t="s">
        <v>4612</v>
      </c>
      <c r="E728" t="s">
        <v>4613</v>
      </c>
      <c r="F728" t="s">
        <v>4383</v>
      </c>
      <c r="G728" t="s">
        <v>4614</v>
      </c>
      <c r="H728" t="s">
        <v>4615</v>
      </c>
      <c r="I728" t="s">
        <v>4616</v>
      </c>
    </row>
    <row r="729" spans="1:9" x14ac:dyDescent="0.2">
      <c r="A729" t="s">
        <v>4896</v>
      </c>
      <c r="B729" t="s">
        <v>4617</v>
      </c>
      <c r="C729" t="s">
        <v>4618</v>
      </c>
      <c r="D729" t="s">
        <v>4619</v>
      </c>
      <c r="E729" t="s">
        <v>4620</v>
      </c>
      <c r="F729" t="s">
        <v>4383</v>
      </c>
      <c r="G729" t="s">
        <v>4621</v>
      </c>
      <c r="H729" t="s">
        <v>4622</v>
      </c>
      <c r="I729" t="s">
        <v>4623</v>
      </c>
    </row>
    <row r="730" spans="1:9" x14ac:dyDescent="0.2">
      <c r="A730" t="s">
        <v>4896</v>
      </c>
      <c r="B730" t="s">
        <v>4624</v>
      </c>
      <c r="C730" t="s">
        <v>4625</v>
      </c>
      <c r="D730" t="s">
        <v>4625</v>
      </c>
      <c r="E730" t="s">
        <v>4626</v>
      </c>
      <c r="F730" t="s">
        <v>4627</v>
      </c>
      <c r="G730" t="s">
        <v>4628</v>
      </c>
      <c r="H730" t="s">
        <v>4629</v>
      </c>
      <c r="I730" t="s">
        <v>4630</v>
      </c>
    </row>
    <row r="731" spans="1:9" x14ac:dyDescent="0.2">
      <c r="A731" t="s">
        <v>4896</v>
      </c>
      <c r="B731" t="s">
        <v>4631</v>
      </c>
      <c r="C731" t="s">
        <v>4632</v>
      </c>
      <c r="D731" t="s">
        <v>4633</v>
      </c>
      <c r="E731" t="s">
        <v>4634</v>
      </c>
      <c r="F731" t="s">
        <v>4383</v>
      </c>
      <c r="G731" t="s">
        <v>4635</v>
      </c>
      <c r="H731" t="s">
        <v>4636</v>
      </c>
      <c r="I731" t="s">
        <v>4633</v>
      </c>
    </row>
    <row r="732" spans="1:9" x14ac:dyDescent="0.2">
      <c r="A732" t="s">
        <v>4896</v>
      </c>
      <c r="B732" t="s">
        <v>4637</v>
      </c>
      <c r="C732" t="s">
        <v>4638</v>
      </c>
      <c r="D732" t="s">
        <v>4639</v>
      </c>
      <c r="E732" t="s">
        <v>4640</v>
      </c>
      <c r="F732" t="s">
        <v>4383</v>
      </c>
      <c r="G732" t="s">
        <v>4641</v>
      </c>
      <c r="H732" t="s">
        <v>4642</v>
      </c>
      <c r="I732" t="s">
        <v>4643</v>
      </c>
    </row>
    <row r="733" spans="1:9" x14ac:dyDescent="0.2">
      <c r="A733" t="s">
        <v>4896</v>
      </c>
      <c r="B733" t="s">
        <v>4644</v>
      </c>
      <c r="C733" t="s">
        <v>4645</v>
      </c>
      <c r="D733" t="s">
        <v>4646</v>
      </c>
      <c r="E733" t="s">
        <v>4640</v>
      </c>
      <c r="F733" t="s">
        <v>4383</v>
      </c>
      <c r="G733" t="s">
        <v>4647</v>
      </c>
      <c r="H733" t="s">
        <v>4648</v>
      </c>
      <c r="I733" t="s">
        <v>4649</v>
      </c>
    </row>
    <row r="734" spans="1:9" x14ac:dyDescent="0.2">
      <c r="A734" t="s">
        <v>4896</v>
      </c>
      <c r="B734" t="s">
        <v>4650</v>
      </c>
      <c r="C734" t="s">
        <v>4651</v>
      </c>
      <c r="D734" t="s">
        <v>4652</v>
      </c>
      <c r="E734" t="s">
        <v>4640</v>
      </c>
      <c r="F734" t="s">
        <v>4383</v>
      </c>
      <c r="G734" t="s">
        <v>4653</v>
      </c>
      <c r="H734" t="s">
        <v>4654</v>
      </c>
      <c r="I734" t="s">
        <v>4655</v>
      </c>
    </row>
    <row r="735" spans="1:9" x14ac:dyDescent="0.2">
      <c r="A735" t="s">
        <v>4896</v>
      </c>
      <c r="B735" t="s">
        <v>4656</v>
      </c>
      <c r="C735" t="s">
        <v>4657</v>
      </c>
      <c r="D735" t="s">
        <v>4658</v>
      </c>
      <c r="E735" t="s">
        <v>4640</v>
      </c>
      <c r="F735" t="s">
        <v>4659</v>
      </c>
      <c r="G735" t="s">
        <v>4660</v>
      </c>
      <c r="H735" t="s">
        <v>4661</v>
      </c>
      <c r="I735" t="s">
        <v>4662</v>
      </c>
    </row>
    <row r="736" spans="1:9" x14ac:dyDescent="0.2">
      <c r="A736" t="s">
        <v>4896</v>
      </c>
      <c r="B736" t="s">
        <v>4663</v>
      </c>
      <c r="C736" t="s">
        <v>4664</v>
      </c>
      <c r="D736" t="s">
        <v>4665</v>
      </c>
      <c r="E736" t="s">
        <v>4666</v>
      </c>
      <c r="F736" t="s">
        <v>4667</v>
      </c>
      <c r="G736" t="s">
        <v>4668</v>
      </c>
      <c r="H736" t="s">
        <v>4669</v>
      </c>
      <c r="I736" t="s">
        <v>4670</v>
      </c>
    </row>
    <row r="737" spans="1:9" x14ac:dyDescent="0.2">
      <c r="A737" t="s">
        <v>4896</v>
      </c>
      <c r="B737" t="s">
        <v>4671</v>
      </c>
      <c r="C737" t="s">
        <v>4672</v>
      </c>
      <c r="D737" t="s">
        <v>4673</v>
      </c>
      <c r="E737" t="s">
        <v>4674</v>
      </c>
      <c r="F737" t="s">
        <v>4675</v>
      </c>
      <c r="G737" t="s">
        <v>4676</v>
      </c>
      <c r="H737" t="s">
        <v>4677</v>
      </c>
      <c r="I737" t="s">
        <v>4678</v>
      </c>
    </row>
    <row r="738" spans="1:9" x14ac:dyDescent="0.2">
      <c r="A738" t="s">
        <v>4896</v>
      </c>
      <c r="B738" t="s">
        <v>4679</v>
      </c>
      <c r="C738" t="s">
        <v>4680</v>
      </c>
      <c r="D738" t="s">
        <v>4681</v>
      </c>
      <c r="E738" t="s">
        <v>4680</v>
      </c>
      <c r="F738" t="s">
        <v>4682</v>
      </c>
      <c r="G738" t="s">
        <v>4683</v>
      </c>
      <c r="H738" t="s">
        <v>4684</v>
      </c>
      <c r="I738" t="s">
        <v>4685</v>
      </c>
    </row>
    <row r="739" spans="1:9" x14ac:dyDescent="0.2">
      <c r="A739" t="s">
        <v>4896</v>
      </c>
      <c r="B739" t="s">
        <v>4686</v>
      </c>
      <c r="C739" t="s">
        <v>4687</v>
      </c>
      <c r="D739" t="s">
        <v>4688</v>
      </c>
      <c r="E739" t="s">
        <v>4689</v>
      </c>
      <c r="F739" t="s">
        <v>4690</v>
      </c>
      <c r="G739" t="s">
        <v>4689</v>
      </c>
      <c r="H739" t="s">
        <v>4691</v>
      </c>
      <c r="I739" t="s">
        <v>4689</v>
      </c>
    </row>
    <row r="740" spans="1:9" x14ac:dyDescent="0.2">
      <c r="A740" t="s">
        <v>4896</v>
      </c>
      <c r="B740" t="s">
        <v>4692</v>
      </c>
      <c r="C740" t="s">
        <v>4693</v>
      </c>
      <c r="D740" t="s">
        <v>4694</v>
      </c>
      <c r="E740" t="s">
        <v>4695</v>
      </c>
      <c r="F740" t="s">
        <v>4696</v>
      </c>
      <c r="G740" t="s">
        <v>4697</v>
      </c>
      <c r="H740" t="s">
        <v>4698</v>
      </c>
      <c r="I740" t="s">
        <v>4699</v>
      </c>
    </row>
    <row r="741" spans="1:9" x14ac:dyDescent="0.2">
      <c r="A741" t="s">
        <v>4896</v>
      </c>
      <c r="B741" t="s">
        <v>4700</v>
      </c>
      <c r="C741" t="s">
        <v>4701</v>
      </c>
      <c r="D741" t="s">
        <v>4702</v>
      </c>
      <c r="E741" t="s">
        <v>4703</v>
      </c>
      <c r="F741" t="s">
        <v>4704</v>
      </c>
      <c r="G741" t="s">
        <v>4705</v>
      </c>
      <c r="H741" t="s">
        <v>4706</v>
      </c>
      <c r="I741" t="s">
        <v>4707</v>
      </c>
    </row>
    <row r="742" spans="1:9" x14ac:dyDescent="0.2">
      <c r="A742" t="s">
        <v>4896</v>
      </c>
      <c r="B742" t="s">
        <v>4708</v>
      </c>
      <c r="C742" t="s">
        <v>4709</v>
      </c>
      <c r="D742" t="s">
        <v>4710</v>
      </c>
      <c r="E742" t="s">
        <v>4703</v>
      </c>
      <c r="F742" t="s">
        <v>4711</v>
      </c>
      <c r="G742" t="s">
        <v>4712</v>
      </c>
      <c r="H742" t="s">
        <v>4713</v>
      </c>
      <c r="I742" t="s">
        <v>4714</v>
      </c>
    </row>
    <row r="743" spans="1:9" x14ac:dyDescent="0.2">
      <c r="A743" t="s">
        <v>4896</v>
      </c>
      <c r="B743" t="s">
        <v>4715</v>
      </c>
      <c r="C743" t="s">
        <v>4716</v>
      </c>
      <c r="D743" t="s">
        <v>4717</v>
      </c>
      <c r="E743" t="s">
        <v>4718</v>
      </c>
      <c r="F743" t="s">
        <v>4718</v>
      </c>
      <c r="G743" t="s">
        <v>4719</v>
      </c>
      <c r="H743" t="s">
        <v>4718</v>
      </c>
      <c r="I743" t="s">
        <v>4720</v>
      </c>
    </row>
    <row r="744" spans="1:9" x14ac:dyDescent="0.2">
      <c r="A744" t="s">
        <v>4896</v>
      </c>
      <c r="B744" t="s">
        <v>4721</v>
      </c>
      <c r="C744" t="s">
        <v>4722</v>
      </c>
      <c r="D744" t="s">
        <v>4723</v>
      </c>
      <c r="E744" t="s">
        <v>4724</v>
      </c>
      <c r="F744" t="s">
        <v>4725</v>
      </c>
      <c r="G744" t="s">
        <v>4726</v>
      </c>
      <c r="H744" t="s">
        <v>4727</v>
      </c>
      <c r="I744" t="s">
        <v>4728</v>
      </c>
    </row>
    <row r="745" spans="1:9" x14ac:dyDescent="0.2">
      <c r="A745" t="s">
        <v>4896</v>
      </c>
      <c r="B745" t="s">
        <v>4729</v>
      </c>
      <c r="C745" t="s">
        <v>4730</v>
      </c>
      <c r="D745" t="s">
        <v>4731</v>
      </c>
      <c r="E745" t="s">
        <v>4732</v>
      </c>
      <c r="F745" t="s">
        <v>4733</v>
      </c>
      <c r="G745" t="s">
        <v>4734</v>
      </c>
      <c r="H745" t="s">
        <v>4735</v>
      </c>
      <c r="I745" t="s">
        <v>4736</v>
      </c>
    </row>
    <row r="746" spans="1:9" x14ac:dyDescent="0.2">
      <c r="A746" t="s">
        <v>4896</v>
      </c>
      <c r="B746" t="s">
        <v>4737</v>
      </c>
      <c r="C746" t="s">
        <v>4738</v>
      </c>
      <c r="D746" t="s">
        <v>4739</v>
      </c>
      <c r="E746" t="s">
        <v>4740</v>
      </c>
      <c r="F746" t="s">
        <v>4741</v>
      </c>
      <c r="G746" t="s">
        <v>4742</v>
      </c>
      <c r="H746" t="s">
        <v>4740</v>
      </c>
      <c r="I746" t="s">
        <v>4743</v>
      </c>
    </row>
    <row r="747" spans="1:9" x14ac:dyDescent="0.2">
      <c r="A747" t="s">
        <v>4896</v>
      </c>
      <c r="B747" t="s">
        <v>4744</v>
      </c>
      <c r="C747" t="s">
        <v>4745</v>
      </c>
      <c r="D747" t="s">
        <v>4746</v>
      </c>
      <c r="E747" t="s">
        <v>4747</v>
      </c>
      <c r="F747" t="s">
        <v>4748</v>
      </c>
      <c r="G747" t="s">
        <v>4749</v>
      </c>
      <c r="H747" t="s">
        <v>4750</v>
      </c>
      <c r="I747" t="s">
        <v>4751</v>
      </c>
    </row>
    <row r="748" spans="1:9" x14ac:dyDescent="0.2">
      <c r="A748" t="s">
        <v>4896</v>
      </c>
      <c r="B748" t="s">
        <v>4752</v>
      </c>
      <c r="C748" t="s">
        <v>4753</v>
      </c>
      <c r="D748" t="s">
        <v>4754</v>
      </c>
      <c r="E748" t="s">
        <v>4755</v>
      </c>
      <c r="F748" t="s">
        <v>4756</v>
      </c>
      <c r="G748" t="s">
        <v>4757</v>
      </c>
      <c r="H748" t="s">
        <v>4758</v>
      </c>
      <c r="I748" t="s">
        <v>4759</v>
      </c>
    </row>
    <row r="749" spans="1:9" x14ac:dyDescent="0.2">
      <c r="A749" t="s">
        <v>4896</v>
      </c>
      <c r="B749" t="s">
        <v>4760</v>
      </c>
      <c r="C749" t="s">
        <v>4761</v>
      </c>
      <c r="D749" t="s">
        <v>4762</v>
      </c>
      <c r="E749" t="s">
        <v>4763</v>
      </c>
      <c r="F749" t="s">
        <v>4764</v>
      </c>
      <c r="G749" t="s">
        <v>4764</v>
      </c>
      <c r="H749" t="s">
        <v>4763</v>
      </c>
      <c r="I749" t="s">
        <v>4764</v>
      </c>
    </row>
    <row r="750" spans="1:9" x14ac:dyDescent="0.2">
      <c r="A750" t="s">
        <v>4896</v>
      </c>
      <c r="B750" t="s">
        <v>4765</v>
      </c>
      <c r="C750" t="s">
        <v>4766</v>
      </c>
      <c r="D750" t="s">
        <v>4767</v>
      </c>
      <c r="E750" t="s">
        <v>4768</v>
      </c>
      <c r="F750" t="s">
        <v>4769</v>
      </c>
      <c r="G750" t="s">
        <v>4770</v>
      </c>
      <c r="H750" t="s">
        <v>4771</v>
      </c>
      <c r="I750" t="s">
        <v>4769</v>
      </c>
    </row>
    <row r="751" spans="1:9" x14ac:dyDescent="0.2">
      <c r="A751" t="s">
        <v>4896</v>
      </c>
      <c r="B751" t="s">
        <v>4772</v>
      </c>
      <c r="C751" t="s">
        <v>4773</v>
      </c>
      <c r="D751" t="s">
        <v>4774</v>
      </c>
      <c r="E751" t="s">
        <v>4775</v>
      </c>
      <c r="F751" t="s">
        <v>4776</v>
      </c>
      <c r="G751" t="s">
        <v>4777</v>
      </c>
      <c r="H751" t="s">
        <v>4778</v>
      </c>
      <c r="I751" t="s">
        <v>4779</v>
      </c>
    </row>
    <row r="752" spans="1:9" x14ac:dyDescent="0.2">
      <c r="A752" t="s">
        <v>4896</v>
      </c>
      <c r="B752" t="s">
        <v>4780</v>
      </c>
      <c r="C752" t="s">
        <v>4781</v>
      </c>
      <c r="D752" t="s">
        <v>4782</v>
      </c>
      <c r="E752" t="s">
        <v>4783</v>
      </c>
      <c r="F752" t="s">
        <v>4784</v>
      </c>
      <c r="G752" t="s">
        <v>4785</v>
      </c>
      <c r="H752" t="s">
        <v>4786</v>
      </c>
      <c r="I752" t="s">
        <v>4787</v>
      </c>
    </row>
    <row r="753" spans="1:9" x14ac:dyDescent="0.2">
      <c r="A753" t="s">
        <v>4896</v>
      </c>
      <c r="B753" t="s">
        <v>4788</v>
      </c>
      <c r="C753" t="s">
        <v>4789</v>
      </c>
      <c r="D753" t="s">
        <v>4790</v>
      </c>
      <c r="E753" t="s">
        <v>4791</v>
      </c>
      <c r="F753" t="s">
        <v>4784</v>
      </c>
      <c r="G753" t="s">
        <v>4792</v>
      </c>
      <c r="H753" t="s">
        <v>4793</v>
      </c>
      <c r="I753" t="s">
        <v>4794</v>
      </c>
    </row>
    <row r="754" spans="1:9" x14ac:dyDescent="0.2">
      <c r="A754" t="s">
        <v>4896</v>
      </c>
      <c r="B754" t="s">
        <v>4795</v>
      </c>
      <c r="C754" t="s">
        <v>4796</v>
      </c>
      <c r="D754" t="s">
        <v>4797</v>
      </c>
      <c r="E754" t="s">
        <v>4798</v>
      </c>
      <c r="F754" t="s">
        <v>4799</v>
      </c>
      <c r="G754" t="s">
        <v>4800</v>
      </c>
      <c r="H754" t="s">
        <v>4801</v>
      </c>
      <c r="I754" t="s">
        <v>4802</v>
      </c>
    </row>
    <row r="755" spans="1:9" x14ac:dyDescent="0.2">
      <c r="A755" t="s">
        <v>4896</v>
      </c>
      <c r="B755" t="s">
        <v>4803</v>
      </c>
      <c r="C755" t="s">
        <v>4804</v>
      </c>
      <c r="D755" t="s">
        <v>4805</v>
      </c>
      <c r="E755" t="s">
        <v>4783</v>
      </c>
      <c r="F755" t="s">
        <v>4799</v>
      </c>
      <c r="G755" t="s">
        <v>4806</v>
      </c>
      <c r="H755" t="s">
        <v>4807</v>
      </c>
      <c r="I755" t="s">
        <v>4805</v>
      </c>
    </row>
    <row r="756" spans="1:9" x14ac:dyDescent="0.2">
      <c r="A756" t="s">
        <v>4896</v>
      </c>
      <c r="B756" t="s">
        <v>4808</v>
      </c>
      <c r="C756" t="s">
        <v>4809</v>
      </c>
      <c r="D756" t="s">
        <v>4810</v>
      </c>
      <c r="E756" t="s">
        <v>4811</v>
      </c>
      <c r="F756" t="s">
        <v>4383</v>
      </c>
      <c r="G756" t="s">
        <v>4812</v>
      </c>
      <c r="H756" t="s">
        <v>4813</v>
      </c>
      <c r="I756" t="s">
        <v>4814</v>
      </c>
    </row>
    <row r="757" spans="1:9" x14ac:dyDescent="0.2">
      <c r="A757" t="s">
        <v>4896</v>
      </c>
      <c r="B757" t="s">
        <v>4815</v>
      </c>
      <c r="C757" t="s">
        <v>4816</v>
      </c>
      <c r="D757" t="s">
        <v>4817</v>
      </c>
      <c r="E757" t="s">
        <v>4818</v>
      </c>
      <c r="F757" t="s">
        <v>4818</v>
      </c>
      <c r="G757" t="s">
        <v>4819</v>
      </c>
      <c r="H757" t="s">
        <v>4818</v>
      </c>
      <c r="I757" t="s">
        <v>4820</v>
      </c>
    </row>
    <row r="758" spans="1:9" x14ac:dyDescent="0.2">
      <c r="A758" t="s">
        <v>4896</v>
      </c>
      <c r="B758" t="s">
        <v>4821</v>
      </c>
      <c r="C758" t="s">
        <v>4822</v>
      </c>
      <c r="D758" t="s">
        <v>4823</v>
      </c>
      <c r="E758" t="s">
        <v>4824</v>
      </c>
      <c r="F758" t="s">
        <v>4825</v>
      </c>
      <c r="G758" t="s">
        <v>4826</v>
      </c>
      <c r="H758" t="s">
        <v>4827</v>
      </c>
      <c r="I758" t="s">
        <v>4828</v>
      </c>
    </row>
    <row r="759" spans="1:9" x14ac:dyDescent="0.2">
      <c r="A759" t="s">
        <v>4896</v>
      </c>
      <c r="B759" t="s">
        <v>4829</v>
      </c>
      <c r="C759" t="s">
        <v>4830</v>
      </c>
      <c r="D759" t="s">
        <v>4831</v>
      </c>
      <c r="E759" t="s">
        <v>4832</v>
      </c>
      <c r="F759" t="s">
        <v>4383</v>
      </c>
      <c r="G759" t="s">
        <v>4833</v>
      </c>
      <c r="H759" t="s">
        <v>4834</v>
      </c>
      <c r="I759" t="s">
        <v>4835</v>
      </c>
    </row>
    <row r="760" spans="1:9" x14ac:dyDescent="0.2">
      <c r="A760" t="s">
        <v>4896</v>
      </c>
      <c r="B760" t="s">
        <v>4836</v>
      </c>
      <c r="C760" t="s">
        <v>4837</v>
      </c>
      <c r="D760" t="s">
        <v>4838</v>
      </c>
      <c r="E760" t="s">
        <v>4839</v>
      </c>
      <c r="F760" t="s">
        <v>4733</v>
      </c>
      <c r="G760" t="s">
        <v>4840</v>
      </c>
      <c r="H760" t="s">
        <v>4841</v>
      </c>
      <c r="I760" t="s">
        <v>4842</v>
      </c>
    </row>
    <row r="761" spans="1:9" x14ac:dyDescent="0.2">
      <c r="A761" t="s">
        <v>4896</v>
      </c>
      <c r="B761" t="s">
        <v>4843</v>
      </c>
      <c r="C761" t="s">
        <v>4844</v>
      </c>
      <c r="D761" t="s">
        <v>4845</v>
      </c>
      <c r="E761" t="s">
        <v>4846</v>
      </c>
      <c r="F761" t="s">
        <v>4847</v>
      </c>
      <c r="G761" t="s">
        <v>4848</v>
      </c>
      <c r="H761" t="s">
        <v>4845</v>
      </c>
      <c r="I761" t="s">
        <v>4849</v>
      </c>
    </row>
    <row r="762" spans="1:9" x14ac:dyDescent="0.2">
      <c r="A762" t="s">
        <v>4896</v>
      </c>
      <c r="B762" t="s">
        <v>4850</v>
      </c>
      <c r="C762" t="s">
        <v>4851</v>
      </c>
      <c r="D762" t="s">
        <v>4852</v>
      </c>
      <c r="E762" t="s">
        <v>4853</v>
      </c>
      <c r="F762" t="s">
        <v>4854</v>
      </c>
      <c r="G762" t="s">
        <v>4855</v>
      </c>
      <c r="H762" t="s">
        <v>4852</v>
      </c>
      <c r="I762" t="s">
        <v>4855</v>
      </c>
    </row>
    <row r="763" spans="1:9" x14ac:dyDescent="0.2">
      <c r="A763" t="s">
        <v>4896</v>
      </c>
      <c r="B763" t="s">
        <v>4856</v>
      </c>
      <c r="C763" t="s">
        <v>4857</v>
      </c>
      <c r="D763" t="s">
        <v>4857</v>
      </c>
      <c r="E763" t="s">
        <v>4640</v>
      </c>
      <c r="F763" t="s">
        <v>4858</v>
      </c>
      <c r="G763" t="s">
        <v>4859</v>
      </c>
      <c r="H763" t="s">
        <v>4857</v>
      </c>
      <c r="I763" t="s">
        <v>4857</v>
      </c>
    </row>
    <row r="764" spans="1:9" x14ac:dyDescent="0.2">
      <c r="A764" t="s">
        <v>4896</v>
      </c>
      <c r="B764" t="s">
        <v>4860</v>
      </c>
      <c r="C764" t="s">
        <v>4861</v>
      </c>
      <c r="D764" t="s">
        <v>4862</v>
      </c>
      <c r="E764" t="s">
        <v>4863</v>
      </c>
      <c r="F764" t="s">
        <v>4864</v>
      </c>
      <c r="G764" t="s">
        <v>4865</v>
      </c>
      <c r="H764" t="s">
        <v>4866</v>
      </c>
      <c r="I764" t="s">
        <v>4866</v>
      </c>
    </row>
    <row r="765" spans="1:9" x14ac:dyDescent="0.2">
      <c r="A765" t="s">
        <v>4896</v>
      </c>
      <c r="B765" t="s">
        <v>4867</v>
      </c>
      <c r="C765" t="s">
        <v>4868</v>
      </c>
      <c r="D765" t="s">
        <v>4869</v>
      </c>
      <c r="E765" t="s">
        <v>4870</v>
      </c>
      <c r="F765" t="s">
        <v>4871</v>
      </c>
      <c r="G765" t="s">
        <v>4870</v>
      </c>
      <c r="H765" t="s">
        <v>4870</v>
      </c>
      <c r="I765" t="s">
        <v>4870</v>
      </c>
    </row>
    <row r="766" spans="1:9" x14ac:dyDescent="0.2">
      <c r="A766" t="s">
        <v>4896</v>
      </c>
      <c r="B766" t="s">
        <v>4872</v>
      </c>
      <c r="C766" t="s">
        <v>4873</v>
      </c>
      <c r="D766" t="s">
        <v>4873</v>
      </c>
      <c r="E766" t="s">
        <v>4640</v>
      </c>
      <c r="F766" t="s">
        <v>4870</v>
      </c>
      <c r="G766" t="s">
        <v>4874</v>
      </c>
      <c r="H766" t="s">
        <v>4875</v>
      </c>
      <c r="I766" t="s">
        <v>4875</v>
      </c>
    </row>
    <row r="767" spans="1:9" x14ac:dyDescent="0.2">
      <c r="A767" t="s">
        <v>4896</v>
      </c>
      <c r="B767" t="s">
        <v>4876</v>
      </c>
      <c r="C767" t="s">
        <v>4877</v>
      </c>
      <c r="D767" t="s">
        <v>4878</v>
      </c>
      <c r="E767" t="s">
        <v>4879</v>
      </c>
      <c r="F767" t="s">
        <v>4880</v>
      </c>
      <c r="G767" t="s">
        <v>4840</v>
      </c>
      <c r="H767" t="s">
        <v>4881</v>
      </c>
      <c r="I767" t="s">
        <v>4881</v>
      </c>
    </row>
    <row r="768" spans="1:9" x14ac:dyDescent="0.2">
      <c r="A768" t="s">
        <v>4896</v>
      </c>
      <c r="B768" t="s">
        <v>4897</v>
      </c>
      <c r="C768" t="s">
        <v>4898</v>
      </c>
      <c r="D768" t="s">
        <v>4899</v>
      </c>
      <c r="E768" t="s">
        <v>4885</v>
      </c>
      <c r="F768" t="s">
        <v>4886</v>
      </c>
      <c r="G768" t="s">
        <v>4887</v>
      </c>
      <c r="H768" t="s">
        <v>4888</v>
      </c>
      <c r="I768" t="s">
        <v>4889</v>
      </c>
    </row>
    <row r="769" spans="1:9" x14ac:dyDescent="0.2">
      <c r="A769" t="s">
        <v>4896</v>
      </c>
      <c r="B769" t="s">
        <v>4890</v>
      </c>
      <c r="C769" t="s">
        <v>4891</v>
      </c>
      <c r="D769" t="s">
        <v>4892</v>
      </c>
      <c r="E769" t="s">
        <v>2205</v>
      </c>
      <c r="F769" t="s">
        <v>1930</v>
      </c>
      <c r="G769" t="s">
        <v>1837</v>
      </c>
      <c r="H769" t="s">
        <v>2878</v>
      </c>
      <c r="I769" t="s">
        <v>1839</v>
      </c>
    </row>
    <row r="770" spans="1:9" x14ac:dyDescent="0.2">
      <c r="A770" t="s">
        <v>4896</v>
      </c>
      <c r="B770" t="s">
        <v>4893</v>
      </c>
      <c r="C770" t="s">
        <v>4894</v>
      </c>
      <c r="D770" t="s">
        <v>4895</v>
      </c>
      <c r="E770" t="s">
        <v>2207</v>
      </c>
      <c r="F770" t="s">
        <v>2457</v>
      </c>
      <c r="G770" t="s">
        <v>1844</v>
      </c>
      <c r="H770" t="s">
        <v>1845</v>
      </c>
      <c r="I770" t="s">
        <v>1846</v>
      </c>
    </row>
    <row r="772" spans="1:9" x14ac:dyDescent="0.2">
      <c r="A772" t="s">
        <v>4900</v>
      </c>
      <c r="B772" t="s">
        <v>4235</v>
      </c>
      <c r="C772" t="s">
        <v>4236</v>
      </c>
      <c r="D772" t="s">
        <v>4237</v>
      </c>
      <c r="E772" t="s">
        <v>4238</v>
      </c>
      <c r="F772" t="s">
        <v>4239</v>
      </c>
      <c r="G772" t="s">
        <v>4240</v>
      </c>
      <c r="H772" t="s">
        <v>4241</v>
      </c>
      <c r="I772" t="s">
        <v>4242</v>
      </c>
    </row>
    <row r="773" spans="1:9" x14ac:dyDescent="0.2">
      <c r="A773" t="s">
        <v>4900</v>
      </c>
      <c r="B773" t="s">
        <v>4243</v>
      </c>
      <c r="C773" t="s">
        <v>4244</v>
      </c>
      <c r="D773" t="s">
        <v>4245</v>
      </c>
      <c r="E773" t="s">
        <v>4246</v>
      </c>
      <c r="F773" t="s">
        <v>4247</v>
      </c>
      <c r="G773" t="s">
        <v>4248</v>
      </c>
      <c r="H773" t="s">
        <v>4249</v>
      </c>
      <c r="I773" t="s">
        <v>4250</v>
      </c>
    </row>
    <row r="774" spans="1:9" x14ac:dyDescent="0.2">
      <c r="A774" t="s">
        <v>4900</v>
      </c>
      <c r="B774" t="s">
        <v>4251</v>
      </c>
      <c r="C774" t="s">
        <v>4252</v>
      </c>
      <c r="D774" t="s">
        <v>4253</v>
      </c>
      <c r="E774" t="s">
        <v>4254</v>
      </c>
      <c r="F774" t="s">
        <v>4255</v>
      </c>
      <c r="G774" t="s">
        <v>4256</v>
      </c>
      <c r="H774" t="s">
        <v>4257</v>
      </c>
      <c r="I774" t="s">
        <v>4254</v>
      </c>
    </row>
    <row r="775" spans="1:9" x14ac:dyDescent="0.2">
      <c r="A775" t="s">
        <v>4900</v>
      </c>
      <c r="B775" t="s">
        <v>4258</v>
      </c>
      <c r="C775" t="s">
        <v>4259</v>
      </c>
      <c r="D775" t="s">
        <v>4260</v>
      </c>
      <c r="E775" t="s">
        <v>4261</v>
      </c>
      <c r="F775" t="s">
        <v>4262</v>
      </c>
      <c r="G775" t="s">
        <v>4263</v>
      </c>
      <c r="H775" t="s">
        <v>4264</v>
      </c>
      <c r="I775" t="s">
        <v>4265</v>
      </c>
    </row>
    <row r="776" spans="1:9" x14ac:dyDescent="0.2">
      <c r="A776" t="s">
        <v>4900</v>
      </c>
      <c r="B776" t="s">
        <v>4266</v>
      </c>
      <c r="C776" t="s">
        <v>4267</v>
      </c>
      <c r="D776" t="s">
        <v>4268</v>
      </c>
      <c r="E776" t="s">
        <v>4269</v>
      </c>
      <c r="F776" t="s">
        <v>4270</v>
      </c>
      <c r="G776" t="s">
        <v>4271</v>
      </c>
      <c r="H776" t="s">
        <v>4272</v>
      </c>
      <c r="I776" t="s">
        <v>4901</v>
      </c>
    </row>
    <row r="777" spans="1:9" x14ac:dyDescent="0.2">
      <c r="A777" t="s">
        <v>4900</v>
      </c>
      <c r="B777" t="s">
        <v>4273</v>
      </c>
      <c r="C777" t="s">
        <v>4274</v>
      </c>
      <c r="D777" t="s">
        <v>4275</v>
      </c>
      <c r="E777" t="s">
        <v>4276</v>
      </c>
      <c r="F777" t="s">
        <v>4277</v>
      </c>
      <c r="G777" t="s">
        <v>4278</v>
      </c>
      <c r="H777" t="s">
        <v>4279</v>
      </c>
      <c r="I777" t="s">
        <v>4902</v>
      </c>
    </row>
    <row r="778" spans="1:9" x14ac:dyDescent="0.2">
      <c r="A778" t="s">
        <v>4900</v>
      </c>
      <c r="B778" t="s">
        <v>4280</v>
      </c>
      <c r="C778" t="s">
        <v>4281</v>
      </c>
      <c r="D778" t="s">
        <v>4282</v>
      </c>
      <c r="E778" t="s">
        <v>4283</v>
      </c>
      <c r="F778" t="s">
        <v>4283</v>
      </c>
      <c r="G778" t="s">
        <v>4284</v>
      </c>
      <c r="H778" t="s">
        <v>4285</v>
      </c>
      <c r="I778" t="s">
        <v>4903</v>
      </c>
    </row>
    <row r="779" spans="1:9" x14ac:dyDescent="0.2">
      <c r="A779" t="s">
        <v>4900</v>
      </c>
      <c r="B779" t="s">
        <v>4286</v>
      </c>
      <c r="C779" t="s">
        <v>4287</v>
      </c>
      <c r="D779" t="s">
        <v>4287</v>
      </c>
      <c r="E779" t="s">
        <v>4288</v>
      </c>
      <c r="F779" t="s">
        <v>4289</v>
      </c>
      <c r="G779" t="s">
        <v>4290</v>
      </c>
      <c r="H779" t="s">
        <v>4291</v>
      </c>
      <c r="I779" t="s">
        <v>4904</v>
      </c>
    </row>
    <row r="780" spans="1:9" x14ac:dyDescent="0.2">
      <c r="A780" t="s">
        <v>4900</v>
      </c>
      <c r="B780" t="s">
        <v>4292</v>
      </c>
      <c r="C780" t="s">
        <v>4293</v>
      </c>
      <c r="D780" t="s">
        <v>4294</v>
      </c>
      <c r="E780" t="s">
        <v>4295</v>
      </c>
      <c r="F780" t="s">
        <v>4296</v>
      </c>
      <c r="G780" t="s">
        <v>4297</v>
      </c>
      <c r="H780" t="s">
        <v>4298</v>
      </c>
      <c r="I780" t="s">
        <v>4294</v>
      </c>
    </row>
    <row r="781" spans="1:9" x14ac:dyDescent="0.2">
      <c r="A781" t="s">
        <v>4900</v>
      </c>
      <c r="B781" t="s">
        <v>4299</v>
      </c>
      <c r="C781" t="s">
        <v>4300</v>
      </c>
      <c r="D781" t="s">
        <v>4301</v>
      </c>
      <c r="E781" t="s">
        <v>4302</v>
      </c>
      <c r="F781" t="s">
        <v>4303</v>
      </c>
      <c r="G781" t="s">
        <v>4304</v>
      </c>
      <c r="H781" t="s">
        <v>4305</v>
      </c>
      <c r="I781" t="s">
        <v>4306</v>
      </c>
    </row>
    <row r="782" spans="1:9" x14ac:dyDescent="0.2">
      <c r="A782" t="s">
        <v>4900</v>
      </c>
      <c r="B782" t="s">
        <v>4307</v>
      </c>
      <c r="C782" t="s">
        <v>4308</v>
      </c>
      <c r="D782" t="s">
        <v>4309</v>
      </c>
      <c r="E782" t="s">
        <v>4310</v>
      </c>
      <c r="F782" t="s">
        <v>4311</v>
      </c>
      <c r="G782" t="s">
        <v>4310</v>
      </c>
      <c r="H782" t="s">
        <v>4312</v>
      </c>
      <c r="I782" t="s">
        <v>4313</v>
      </c>
    </row>
    <row r="783" spans="1:9" x14ac:dyDescent="0.2">
      <c r="A783" t="s">
        <v>4900</v>
      </c>
      <c r="B783" t="s">
        <v>4314</v>
      </c>
      <c r="C783" t="s">
        <v>4315</v>
      </c>
      <c r="D783" t="s">
        <v>4316</v>
      </c>
      <c r="E783" t="s">
        <v>4317</v>
      </c>
      <c r="F783" t="s">
        <v>4318</v>
      </c>
      <c r="G783" t="s">
        <v>4319</v>
      </c>
      <c r="H783" t="s">
        <v>4320</v>
      </c>
      <c r="I783" t="s">
        <v>4321</v>
      </c>
    </row>
    <row r="784" spans="1:9" x14ac:dyDescent="0.2">
      <c r="A784" t="s">
        <v>4900</v>
      </c>
      <c r="B784" t="s">
        <v>4322</v>
      </c>
      <c r="C784" t="s">
        <v>4323</v>
      </c>
      <c r="D784" t="s">
        <v>4324</v>
      </c>
      <c r="E784" t="s">
        <v>4325</v>
      </c>
      <c r="F784" t="s">
        <v>4326</v>
      </c>
      <c r="G784" t="s">
        <v>4327</v>
      </c>
      <c r="H784" t="s">
        <v>4328</v>
      </c>
      <c r="I784" t="s">
        <v>4329</v>
      </c>
    </row>
    <row r="785" spans="1:9" x14ac:dyDescent="0.2">
      <c r="A785" t="s">
        <v>4900</v>
      </c>
      <c r="B785" t="s">
        <v>4330</v>
      </c>
      <c r="C785" t="s">
        <v>4331</v>
      </c>
      <c r="D785" t="s">
        <v>4332</v>
      </c>
      <c r="E785" t="s">
        <v>4333</v>
      </c>
      <c r="F785" t="s">
        <v>4334</v>
      </c>
      <c r="G785" t="s">
        <v>4335</v>
      </c>
      <c r="H785" t="s">
        <v>4336</v>
      </c>
      <c r="I785" t="s">
        <v>4332</v>
      </c>
    </row>
    <row r="786" spans="1:9" x14ac:dyDescent="0.2">
      <c r="A786" t="s">
        <v>4900</v>
      </c>
      <c r="B786" t="s">
        <v>4337</v>
      </c>
      <c r="C786" t="s">
        <v>4338</v>
      </c>
      <c r="D786" t="s">
        <v>4339</v>
      </c>
      <c r="E786" t="s">
        <v>4340</v>
      </c>
      <c r="F786" t="s">
        <v>4341</v>
      </c>
      <c r="G786" t="s">
        <v>4342</v>
      </c>
      <c r="H786" t="s">
        <v>4343</v>
      </c>
      <c r="I786" t="s">
        <v>4344</v>
      </c>
    </row>
    <row r="787" spans="1:9" x14ac:dyDescent="0.2">
      <c r="A787" t="s">
        <v>4900</v>
      </c>
      <c r="B787" t="s">
        <v>4345</v>
      </c>
      <c r="C787" t="s">
        <v>4346</v>
      </c>
      <c r="D787" t="s">
        <v>4347</v>
      </c>
      <c r="E787" t="s">
        <v>4348</v>
      </c>
      <c r="F787" t="s">
        <v>4349</v>
      </c>
      <c r="G787" t="s">
        <v>4350</v>
      </c>
      <c r="H787" t="s">
        <v>4351</v>
      </c>
      <c r="I787" t="s">
        <v>4352</v>
      </c>
    </row>
    <row r="788" spans="1:9" x14ac:dyDescent="0.2">
      <c r="A788" t="s">
        <v>4900</v>
      </c>
      <c r="B788" t="s">
        <v>4353</v>
      </c>
      <c r="C788" t="s">
        <v>4354</v>
      </c>
      <c r="D788" t="s">
        <v>4355</v>
      </c>
      <c r="E788" t="s">
        <v>4356</v>
      </c>
      <c r="F788" t="s">
        <v>4357</v>
      </c>
      <c r="G788" t="s">
        <v>4358</v>
      </c>
      <c r="H788" t="s">
        <v>4359</v>
      </c>
      <c r="I788" t="s">
        <v>4360</v>
      </c>
    </row>
    <row r="789" spans="1:9" x14ac:dyDescent="0.2">
      <c r="A789" t="s">
        <v>4900</v>
      </c>
      <c r="B789" t="s">
        <v>4361</v>
      </c>
      <c r="C789" t="s">
        <v>4362</v>
      </c>
      <c r="D789" t="s">
        <v>4363</v>
      </c>
      <c r="E789" t="s">
        <v>4276</v>
      </c>
      <c r="F789" t="s">
        <v>4364</v>
      </c>
      <c r="G789" t="s">
        <v>4365</v>
      </c>
      <c r="H789" t="s">
        <v>4366</v>
      </c>
      <c r="I789" t="s">
        <v>4367</v>
      </c>
    </row>
    <row r="790" spans="1:9" x14ac:dyDescent="0.2">
      <c r="A790" t="s">
        <v>4900</v>
      </c>
      <c r="B790" t="s">
        <v>4368</v>
      </c>
      <c r="C790" t="s">
        <v>4369</v>
      </c>
      <c r="D790" t="s">
        <v>4370</v>
      </c>
      <c r="E790" t="s">
        <v>4371</v>
      </c>
      <c r="F790" t="s">
        <v>4372</v>
      </c>
      <c r="G790" t="s">
        <v>4373</v>
      </c>
      <c r="H790" t="s">
        <v>4374</v>
      </c>
      <c r="I790" t="s">
        <v>4375</v>
      </c>
    </row>
    <row r="791" spans="1:9" x14ac:dyDescent="0.2">
      <c r="A791" t="s">
        <v>4900</v>
      </c>
      <c r="B791" t="s">
        <v>4376</v>
      </c>
      <c r="C791" t="s">
        <v>4377</v>
      </c>
      <c r="D791" t="s">
        <v>4378</v>
      </c>
      <c r="E791" t="s">
        <v>4302</v>
      </c>
      <c r="F791" t="s">
        <v>4372</v>
      </c>
      <c r="G791" t="s">
        <v>4304</v>
      </c>
      <c r="H791" t="s">
        <v>4305</v>
      </c>
      <c r="I791" t="s">
        <v>4306</v>
      </c>
    </row>
    <row r="792" spans="1:9" x14ac:dyDescent="0.2">
      <c r="A792" t="s">
        <v>4900</v>
      </c>
      <c r="B792" t="s">
        <v>4379</v>
      </c>
      <c r="C792" t="s">
        <v>4380</v>
      </c>
      <c r="D792" t="s">
        <v>4381</v>
      </c>
      <c r="E792" t="s">
        <v>4382</v>
      </c>
      <c r="F792" t="s">
        <v>4383</v>
      </c>
      <c r="G792" t="s">
        <v>4384</v>
      </c>
      <c r="H792" t="s">
        <v>4385</v>
      </c>
      <c r="I792" t="s">
        <v>4386</v>
      </c>
    </row>
    <row r="793" spans="1:9" x14ac:dyDescent="0.2">
      <c r="A793" t="s">
        <v>4900</v>
      </c>
      <c r="B793" t="s">
        <v>4387</v>
      </c>
      <c r="C793" t="s">
        <v>4388</v>
      </c>
      <c r="D793" t="s">
        <v>4389</v>
      </c>
      <c r="E793" t="s">
        <v>4390</v>
      </c>
      <c r="F793" t="s">
        <v>4391</v>
      </c>
      <c r="G793" t="s">
        <v>4392</v>
      </c>
      <c r="H793" t="s">
        <v>4393</v>
      </c>
      <c r="I793" t="s">
        <v>4394</v>
      </c>
    </row>
    <row r="794" spans="1:9" x14ac:dyDescent="0.2">
      <c r="A794" t="s">
        <v>4900</v>
      </c>
      <c r="B794" t="s">
        <v>4395</v>
      </c>
      <c r="C794" t="s">
        <v>4396</v>
      </c>
      <c r="D794" t="s">
        <v>4397</v>
      </c>
      <c r="E794" t="s">
        <v>4398</v>
      </c>
      <c r="F794" t="s">
        <v>4399</v>
      </c>
      <c r="G794" t="s">
        <v>4400</v>
      </c>
      <c r="H794" t="s">
        <v>4401</v>
      </c>
      <c r="I794" t="s">
        <v>4402</v>
      </c>
    </row>
    <row r="795" spans="1:9" x14ac:dyDescent="0.2">
      <c r="A795" t="s">
        <v>4900</v>
      </c>
      <c r="B795" t="s">
        <v>4403</v>
      </c>
      <c r="C795" t="s">
        <v>4404</v>
      </c>
      <c r="D795" t="s">
        <v>4405</v>
      </c>
      <c r="E795" t="s">
        <v>4406</v>
      </c>
      <c r="F795" t="s">
        <v>4407</v>
      </c>
      <c r="G795" t="s">
        <v>4408</v>
      </c>
      <c r="H795" t="s">
        <v>4409</v>
      </c>
      <c r="I795" t="s">
        <v>4410</v>
      </c>
    </row>
    <row r="796" spans="1:9" x14ac:dyDescent="0.2">
      <c r="A796" t="s">
        <v>4900</v>
      </c>
      <c r="B796" t="s">
        <v>4411</v>
      </c>
      <c r="C796" t="s">
        <v>4412</v>
      </c>
      <c r="D796" t="s">
        <v>4413</v>
      </c>
      <c r="E796" t="s">
        <v>4302</v>
      </c>
      <c r="F796" t="s">
        <v>4391</v>
      </c>
      <c r="G796" t="s">
        <v>4414</v>
      </c>
      <c r="H796" t="s">
        <v>4415</v>
      </c>
      <c r="I796" t="s">
        <v>4416</v>
      </c>
    </row>
    <row r="797" spans="1:9" x14ac:dyDescent="0.2">
      <c r="A797" t="s">
        <v>4900</v>
      </c>
      <c r="B797" t="s">
        <v>4417</v>
      </c>
      <c r="C797" t="s">
        <v>4418</v>
      </c>
      <c r="D797" t="s">
        <v>4419</v>
      </c>
      <c r="E797" t="s">
        <v>4420</v>
      </c>
      <c r="F797" t="s">
        <v>4391</v>
      </c>
      <c r="G797" t="s">
        <v>4421</v>
      </c>
      <c r="H797" t="s">
        <v>4422</v>
      </c>
      <c r="I797" t="s">
        <v>4423</v>
      </c>
    </row>
    <row r="798" spans="1:9" x14ac:dyDescent="0.2">
      <c r="A798" t="s">
        <v>4900</v>
      </c>
      <c r="B798" t="s">
        <v>4424</v>
      </c>
      <c r="C798" t="s">
        <v>4425</v>
      </c>
      <c r="D798" t="s">
        <v>4426</v>
      </c>
      <c r="E798" t="s">
        <v>4427</v>
      </c>
      <c r="F798" t="s">
        <v>4428</v>
      </c>
      <c r="G798" t="s">
        <v>4429</v>
      </c>
      <c r="H798" t="s">
        <v>4430</v>
      </c>
      <c r="I798" t="s">
        <v>4431</v>
      </c>
    </row>
    <row r="799" spans="1:9" x14ac:dyDescent="0.2">
      <c r="A799" t="s">
        <v>4900</v>
      </c>
      <c r="B799" t="s">
        <v>4432</v>
      </c>
      <c r="C799" t="s">
        <v>4433</v>
      </c>
      <c r="D799" t="s">
        <v>4434</v>
      </c>
      <c r="E799" t="s">
        <v>4435</v>
      </c>
      <c r="F799" t="s">
        <v>4436</v>
      </c>
      <c r="G799" t="s">
        <v>4437</v>
      </c>
      <c r="H799" t="s">
        <v>4438</v>
      </c>
      <c r="I799" t="s">
        <v>4439</v>
      </c>
    </row>
    <row r="800" spans="1:9" x14ac:dyDescent="0.2">
      <c r="A800" t="s">
        <v>4900</v>
      </c>
      <c r="B800" t="s">
        <v>4440</v>
      </c>
      <c r="C800" t="s">
        <v>4441</v>
      </c>
      <c r="D800" t="s">
        <v>4442</v>
      </c>
      <c r="E800" t="s">
        <v>4443</v>
      </c>
      <c r="F800" t="s">
        <v>4444</v>
      </c>
      <c r="G800" t="s">
        <v>4442</v>
      </c>
      <c r="H800" t="s">
        <v>4446</v>
      </c>
      <c r="I800" t="s">
        <v>4447</v>
      </c>
    </row>
    <row r="801" spans="1:9" x14ac:dyDescent="0.2">
      <c r="A801" t="s">
        <v>4900</v>
      </c>
      <c r="B801" t="s">
        <v>4448</v>
      </c>
      <c r="C801" t="s">
        <v>4449</v>
      </c>
      <c r="D801" t="s">
        <v>4450</v>
      </c>
      <c r="E801" t="s">
        <v>4451</v>
      </c>
      <c r="F801" t="s">
        <v>4452</v>
      </c>
      <c r="G801" t="s">
        <v>4453</v>
      </c>
      <c r="H801" t="s">
        <v>4454</v>
      </c>
      <c r="I801" t="s">
        <v>4455</v>
      </c>
    </row>
    <row r="802" spans="1:9" x14ac:dyDescent="0.2">
      <c r="A802" t="s">
        <v>4900</v>
      </c>
      <c r="B802" t="s">
        <v>4456</v>
      </c>
      <c r="C802" t="s">
        <v>4457</v>
      </c>
      <c r="D802" t="s">
        <v>4458</v>
      </c>
      <c r="E802" t="s">
        <v>4459</v>
      </c>
      <c r="F802" t="s">
        <v>4460</v>
      </c>
      <c r="G802" t="s">
        <v>4461</v>
      </c>
      <c r="H802" t="s">
        <v>4462</v>
      </c>
      <c r="I802" t="s">
        <v>4463</v>
      </c>
    </row>
    <row r="803" spans="1:9" x14ac:dyDescent="0.2">
      <c r="A803" t="s">
        <v>4900</v>
      </c>
      <c r="B803" t="s">
        <v>4464</v>
      </c>
      <c r="C803" t="s">
        <v>4465</v>
      </c>
      <c r="D803" t="s">
        <v>4466</v>
      </c>
      <c r="E803" t="s">
        <v>4467</v>
      </c>
      <c r="F803" t="s">
        <v>4468</v>
      </c>
      <c r="G803" t="s">
        <v>4469</v>
      </c>
      <c r="H803" t="s">
        <v>4470</v>
      </c>
      <c r="I803" t="s">
        <v>4471</v>
      </c>
    </row>
    <row r="804" spans="1:9" x14ac:dyDescent="0.2">
      <c r="A804" t="s">
        <v>4900</v>
      </c>
      <c r="B804" t="s">
        <v>4472</v>
      </c>
      <c r="C804" t="s">
        <v>4473</v>
      </c>
      <c r="D804" t="s">
        <v>4474</v>
      </c>
      <c r="E804" t="s">
        <v>4475</v>
      </c>
      <c r="F804" t="s">
        <v>4476</v>
      </c>
      <c r="G804" t="s">
        <v>4477</v>
      </c>
      <c r="H804" t="s">
        <v>4478</v>
      </c>
      <c r="I804" t="s">
        <v>4479</v>
      </c>
    </row>
    <row r="805" spans="1:9" x14ac:dyDescent="0.2">
      <c r="A805" t="s">
        <v>4900</v>
      </c>
      <c r="B805" t="s">
        <v>4480</v>
      </c>
      <c r="C805" t="s">
        <v>4481</v>
      </c>
      <c r="D805" t="s">
        <v>4482</v>
      </c>
      <c r="E805" t="s">
        <v>4483</v>
      </c>
      <c r="F805" t="s">
        <v>4484</v>
      </c>
      <c r="G805" t="s">
        <v>4485</v>
      </c>
      <c r="H805" t="s">
        <v>4486</v>
      </c>
      <c r="I805" t="s">
        <v>4487</v>
      </c>
    </row>
    <row r="806" spans="1:9" x14ac:dyDescent="0.2">
      <c r="A806" t="s">
        <v>4900</v>
      </c>
      <c r="B806" t="s">
        <v>4488</v>
      </c>
      <c r="C806" t="s">
        <v>4489</v>
      </c>
      <c r="D806" t="s">
        <v>4490</v>
      </c>
      <c r="E806" t="s">
        <v>4491</v>
      </c>
      <c r="F806" t="s">
        <v>4492</v>
      </c>
      <c r="G806" t="s">
        <v>4493</v>
      </c>
      <c r="H806" t="s">
        <v>4494</v>
      </c>
      <c r="I806" t="s">
        <v>4495</v>
      </c>
    </row>
    <row r="807" spans="1:9" x14ac:dyDescent="0.2">
      <c r="A807" t="s">
        <v>4900</v>
      </c>
      <c r="B807" t="s">
        <v>4496</v>
      </c>
      <c r="C807" t="s">
        <v>4497</v>
      </c>
      <c r="D807" t="s">
        <v>4498</v>
      </c>
      <c r="E807" t="s">
        <v>4499</v>
      </c>
      <c r="F807" t="s">
        <v>4500</v>
      </c>
      <c r="G807" t="s">
        <v>4501</v>
      </c>
      <c r="H807" t="s">
        <v>4502</v>
      </c>
      <c r="I807" t="s">
        <v>4503</v>
      </c>
    </row>
    <row r="808" spans="1:9" x14ac:dyDescent="0.2">
      <c r="A808" t="s">
        <v>4900</v>
      </c>
      <c r="B808" t="s">
        <v>4504</v>
      </c>
      <c r="C808" t="s">
        <v>4505</v>
      </c>
      <c r="D808" t="s">
        <v>4506</v>
      </c>
      <c r="E808" t="s">
        <v>4507</v>
      </c>
      <c r="F808" t="s">
        <v>4508</v>
      </c>
      <c r="G808" t="s">
        <v>4509</v>
      </c>
      <c r="H808" t="s">
        <v>4510</v>
      </c>
      <c r="I808" t="s">
        <v>4511</v>
      </c>
    </row>
    <row r="809" spans="1:9" x14ac:dyDescent="0.2">
      <c r="A809" t="s">
        <v>4900</v>
      </c>
      <c r="B809" t="s">
        <v>4512</v>
      </c>
      <c r="C809" t="s">
        <v>4513</v>
      </c>
      <c r="D809" t="s">
        <v>4514</v>
      </c>
      <c r="E809" t="s">
        <v>4515</v>
      </c>
      <c r="F809" t="s">
        <v>4516</v>
      </c>
      <c r="G809" t="s">
        <v>4517</v>
      </c>
      <c r="H809" t="s">
        <v>4518</v>
      </c>
      <c r="I809" t="s">
        <v>4519</v>
      </c>
    </row>
    <row r="810" spans="1:9" x14ac:dyDescent="0.2">
      <c r="A810" t="s">
        <v>4900</v>
      </c>
      <c r="B810" t="s">
        <v>4520</v>
      </c>
      <c r="C810" t="s">
        <v>4521</v>
      </c>
      <c r="D810" t="s">
        <v>4522</v>
      </c>
      <c r="E810" t="s">
        <v>4523</v>
      </c>
      <c r="F810" t="s">
        <v>4524</v>
      </c>
      <c r="G810" t="s">
        <v>4525</v>
      </c>
      <c r="H810" t="s">
        <v>4526</v>
      </c>
      <c r="I810" t="s">
        <v>4527</v>
      </c>
    </row>
    <row r="811" spans="1:9" x14ac:dyDescent="0.2">
      <c r="A811" t="s">
        <v>4900</v>
      </c>
      <c r="B811" t="s">
        <v>4528</v>
      </c>
      <c r="C811" t="s">
        <v>4529</v>
      </c>
      <c r="D811" t="s">
        <v>4530</v>
      </c>
      <c r="E811" t="s">
        <v>4531</v>
      </c>
      <c r="F811" t="s">
        <v>4532</v>
      </c>
      <c r="G811" t="s">
        <v>4529</v>
      </c>
      <c r="H811" t="s">
        <v>4533</v>
      </c>
      <c r="I811" t="s">
        <v>4534</v>
      </c>
    </row>
    <row r="812" spans="1:9" x14ac:dyDescent="0.2">
      <c r="A812" t="s">
        <v>4900</v>
      </c>
      <c r="B812" t="s">
        <v>4535</v>
      </c>
      <c r="C812" t="s">
        <v>4536</v>
      </c>
      <c r="D812" t="s">
        <v>4536</v>
      </c>
      <c r="E812" t="s">
        <v>4537</v>
      </c>
      <c r="F812" t="s">
        <v>4538</v>
      </c>
      <c r="G812" t="s">
        <v>4539</v>
      </c>
      <c r="H812" t="s">
        <v>4540</v>
      </c>
      <c r="I812" t="s">
        <v>4541</v>
      </c>
    </row>
    <row r="813" spans="1:9" x14ac:dyDescent="0.2">
      <c r="A813" t="s">
        <v>4900</v>
      </c>
      <c r="B813" t="s">
        <v>4542</v>
      </c>
      <c r="C813" t="s">
        <v>4543</v>
      </c>
      <c r="D813" t="s">
        <v>4544</v>
      </c>
      <c r="E813" t="s">
        <v>4545</v>
      </c>
      <c r="F813" t="s">
        <v>4546</v>
      </c>
      <c r="G813" t="s">
        <v>4547</v>
      </c>
      <c r="H813" t="s">
        <v>4548</v>
      </c>
      <c r="I813" t="s">
        <v>4549</v>
      </c>
    </row>
    <row r="814" spans="1:9" x14ac:dyDescent="0.2">
      <c r="A814" t="s">
        <v>4900</v>
      </c>
      <c r="B814" t="s">
        <v>4550</v>
      </c>
      <c r="C814" t="s">
        <v>4551</v>
      </c>
      <c r="D814" t="s">
        <v>4552</v>
      </c>
      <c r="E814" t="s">
        <v>4553</v>
      </c>
      <c r="F814" t="s">
        <v>4554</v>
      </c>
      <c r="G814" t="s">
        <v>4553</v>
      </c>
      <c r="H814" t="s">
        <v>4555</v>
      </c>
      <c r="I814" t="s">
        <v>4556</v>
      </c>
    </row>
    <row r="815" spans="1:9" x14ac:dyDescent="0.2">
      <c r="A815" t="s">
        <v>4900</v>
      </c>
      <c r="B815" t="s">
        <v>4557</v>
      </c>
      <c r="C815" t="s">
        <v>4558</v>
      </c>
      <c r="D815" t="s">
        <v>4559</v>
      </c>
      <c r="E815" t="s">
        <v>4560</v>
      </c>
      <c r="F815" t="s">
        <v>4561</v>
      </c>
      <c r="G815" t="s">
        <v>4562</v>
      </c>
      <c r="H815" t="s">
        <v>4563</v>
      </c>
      <c r="I815" t="s">
        <v>4564</v>
      </c>
    </row>
    <row r="816" spans="1:9" x14ac:dyDescent="0.2">
      <c r="A816" t="s">
        <v>4900</v>
      </c>
      <c r="B816" t="s">
        <v>4565</v>
      </c>
      <c r="C816" t="s">
        <v>4566</v>
      </c>
      <c r="D816" t="s">
        <v>4566</v>
      </c>
      <c r="E816" t="s">
        <v>4567</v>
      </c>
      <c r="F816" t="s">
        <v>4568</v>
      </c>
      <c r="G816" t="s">
        <v>4569</v>
      </c>
      <c r="H816" t="s">
        <v>4570</v>
      </c>
      <c r="I816" t="s">
        <v>4571</v>
      </c>
    </row>
    <row r="817" spans="1:9" x14ac:dyDescent="0.2">
      <c r="A817" t="s">
        <v>4900</v>
      </c>
      <c r="B817" t="s">
        <v>4572</v>
      </c>
      <c r="C817" t="s">
        <v>4573</v>
      </c>
      <c r="D817" t="s">
        <v>4574</v>
      </c>
      <c r="E817" t="s">
        <v>4575</v>
      </c>
      <c r="F817" t="s">
        <v>4576</v>
      </c>
      <c r="G817" t="s">
        <v>4577</v>
      </c>
      <c r="H817" t="s">
        <v>4578</v>
      </c>
      <c r="I817" t="s">
        <v>4579</v>
      </c>
    </row>
    <row r="818" spans="1:9" x14ac:dyDescent="0.2">
      <c r="A818" t="s">
        <v>4900</v>
      </c>
      <c r="B818" t="s">
        <v>4580</v>
      </c>
      <c r="C818" t="s">
        <v>4581</v>
      </c>
      <c r="D818" t="s">
        <v>4582</v>
      </c>
      <c r="E818" t="s">
        <v>4583</v>
      </c>
      <c r="F818" t="s">
        <v>4584</v>
      </c>
      <c r="G818" t="s">
        <v>4585</v>
      </c>
      <c r="H818" t="s">
        <v>4586</v>
      </c>
      <c r="I818" t="s">
        <v>4587</v>
      </c>
    </row>
    <row r="819" spans="1:9" x14ac:dyDescent="0.2">
      <c r="A819" t="s">
        <v>4900</v>
      </c>
      <c r="B819" t="s">
        <v>4588</v>
      </c>
      <c r="C819" t="s">
        <v>4589</v>
      </c>
      <c r="D819" t="s">
        <v>4590</v>
      </c>
      <c r="E819" t="s">
        <v>4591</v>
      </c>
      <c r="F819" t="s">
        <v>4592</v>
      </c>
      <c r="G819" t="s">
        <v>4905</v>
      </c>
      <c r="H819" t="s">
        <v>4593</v>
      </c>
      <c r="I819" t="s">
        <v>4594</v>
      </c>
    </row>
    <row r="820" spans="1:9" x14ac:dyDescent="0.2">
      <c r="A820" t="s">
        <v>4900</v>
      </c>
      <c r="B820" t="s">
        <v>4595</v>
      </c>
      <c r="C820" t="s">
        <v>4596</v>
      </c>
      <c r="D820" t="s">
        <v>4597</v>
      </c>
      <c r="E820" t="s">
        <v>4598</v>
      </c>
      <c r="F820" t="s">
        <v>4599</v>
      </c>
      <c r="G820" t="s">
        <v>4906</v>
      </c>
      <c r="H820" t="s">
        <v>4600</v>
      </c>
      <c r="I820" t="s">
        <v>4601</v>
      </c>
    </row>
    <row r="821" spans="1:9" x14ac:dyDescent="0.2">
      <c r="A821" t="s">
        <v>4900</v>
      </c>
      <c r="B821" t="s">
        <v>4602</v>
      </c>
      <c r="C821" t="s">
        <v>4603</v>
      </c>
      <c r="D821" t="s">
        <v>4604</v>
      </c>
      <c r="E821" t="s">
        <v>4605</v>
      </c>
      <c r="F821" t="s">
        <v>4606</v>
      </c>
      <c r="G821" t="s">
        <v>4607</v>
      </c>
      <c r="H821" t="s">
        <v>4608</v>
      </c>
      <c r="I821" t="s">
        <v>4609</v>
      </c>
    </row>
    <row r="822" spans="1:9" x14ac:dyDescent="0.2">
      <c r="A822" t="s">
        <v>4900</v>
      </c>
      <c r="B822" t="s">
        <v>4610</v>
      </c>
      <c r="C822" t="s">
        <v>4611</v>
      </c>
      <c r="D822" t="s">
        <v>4612</v>
      </c>
      <c r="E822" t="s">
        <v>4613</v>
      </c>
      <c r="F822" t="s">
        <v>4383</v>
      </c>
      <c r="G822" t="s">
        <v>4614</v>
      </c>
      <c r="H822" t="s">
        <v>4615</v>
      </c>
      <c r="I822" t="s">
        <v>4616</v>
      </c>
    </row>
    <row r="823" spans="1:9" x14ac:dyDescent="0.2">
      <c r="A823" t="s">
        <v>4900</v>
      </c>
      <c r="B823" t="s">
        <v>4617</v>
      </c>
      <c r="C823" t="s">
        <v>4618</v>
      </c>
      <c r="D823" t="s">
        <v>4619</v>
      </c>
      <c r="E823" t="s">
        <v>4620</v>
      </c>
      <c r="F823" t="s">
        <v>4383</v>
      </c>
      <c r="G823" t="s">
        <v>4621</v>
      </c>
      <c r="H823" t="s">
        <v>4622</v>
      </c>
      <c r="I823" t="s">
        <v>4623</v>
      </c>
    </row>
    <row r="824" spans="1:9" x14ac:dyDescent="0.2">
      <c r="A824" t="s">
        <v>4900</v>
      </c>
      <c r="B824" t="s">
        <v>4624</v>
      </c>
      <c r="C824" t="s">
        <v>4625</v>
      </c>
      <c r="D824" t="s">
        <v>4625</v>
      </c>
      <c r="E824" t="s">
        <v>4626</v>
      </c>
      <c r="F824" t="s">
        <v>4627</v>
      </c>
      <c r="G824" t="s">
        <v>4628</v>
      </c>
      <c r="H824" t="s">
        <v>4629</v>
      </c>
      <c r="I824" t="s">
        <v>4630</v>
      </c>
    </row>
    <row r="825" spans="1:9" x14ac:dyDescent="0.2">
      <c r="A825" t="s">
        <v>4900</v>
      </c>
      <c r="B825" t="s">
        <v>4631</v>
      </c>
      <c r="C825" t="s">
        <v>4632</v>
      </c>
      <c r="D825" t="s">
        <v>4633</v>
      </c>
      <c r="E825" t="s">
        <v>4634</v>
      </c>
      <c r="F825" t="s">
        <v>4383</v>
      </c>
      <c r="G825" t="s">
        <v>4635</v>
      </c>
      <c r="H825" t="s">
        <v>4636</v>
      </c>
      <c r="I825" t="s">
        <v>4633</v>
      </c>
    </row>
    <row r="826" spans="1:9" x14ac:dyDescent="0.2">
      <c r="A826" t="s">
        <v>4900</v>
      </c>
      <c r="B826" t="s">
        <v>4637</v>
      </c>
      <c r="C826" t="s">
        <v>4638</v>
      </c>
      <c r="D826" t="s">
        <v>4639</v>
      </c>
      <c r="E826" t="s">
        <v>4640</v>
      </c>
      <c r="F826" t="s">
        <v>4383</v>
      </c>
      <c r="G826" t="s">
        <v>4641</v>
      </c>
      <c r="H826" t="s">
        <v>4642</v>
      </c>
      <c r="I826" t="s">
        <v>4643</v>
      </c>
    </row>
    <row r="827" spans="1:9" x14ac:dyDescent="0.2">
      <c r="A827" t="s">
        <v>4900</v>
      </c>
      <c r="B827" t="s">
        <v>4644</v>
      </c>
      <c r="C827" t="s">
        <v>4645</v>
      </c>
      <c r="D827" t="s">
        <v>4646</v>
      </c>
      <c r="E827" t="s">
        <v>4640</v>
      </c>
      <c r="F827" t="s">
        <v>4383</v>
      </c>
      <c r="G827" t="s">
        <v>4647</v>
      </c>
      <c r="H827" t="s">
        <v>4648</v>
      </c>
      <c r="I827" t="s">
        <v>4649</v>
      </c>
    </row>
    <row r="828" spans="1:9" x14ac:dyDescent="0.2">
      <c r="A828" t="s">
        <v>4900</v>
      </c>
      <c r="B828" t="s">
        <v>4650</v>
      </c>
      <c r="C828" t="s">
        <v>4651</v>
      </c>
      <c r="D828" t="s">
        <v>4652</v>
      </c>
      <c r="E828" t="s">
        <v>4640</v>
      </c>
      <c r="F828" t="s">
        <v>4383</v>
      </c>
      <c r="G828" t="s">
        <v>4907</v>
      </c>
      <c r="H828" t="s">
        <v>4654</v>
      </c>
      <c r="I828" t="s">
        <v>4655</v>
      </c>
    </row>
    <row r="829" spans="1:9" x14ac:dyDescent="0.2">
      <c r="A829" t="s">
        <v>4900</v>
      </c>
      <c r="B829" t="s">
        <v>4656</v>
      </c>
      <c r="C829" t="s">
        <v>4657</v>
      </c>
      <c r="D829" t="s">
        <v>4658</v>
      </c>
      <c r="E829" t="s">
        <v>4640</v>
      </c>
      <c r="F829" t="s">
        <v>4659</v>
      </c>
      <c r="G829" t="s">
        <v>4660</v>
      </c>
      <c r="H829" t="s">
        <v>4661</v>
      </c>
      <c r="I829" t="s">
        <v>4662</v>
      </c>
    </row>
    <row r="830" spans="1:9" x14ac:dyDescent="0.2">
      <c r="A830" t="s">
        <v>4900</v>
      </c>
      <c r="B830" t="s">
        <v>4663</v>
      </c>
      <c r="C830" t="s">
        <v>4664</v>
      </c>
      <c r="D830" t="s">
        <v>4665</v>
      </c>
      <c r="E830" t="s">
        <v>4666</v>
      </c>
      <c r="F830" t="s">
        <v>4667</v>
      </c>
      <c r="G830" t="s">
        <v>4668</v>
      </c>
      <c r="H830" t="s">
        <v>4669</v>
      </c>
      <c r="I830" t="s">
        <v>4670</v>
      </c>
    </row>
    <row r="831" spans="1:9" x14ac:dyDescent="0.2">
      <c r="A831" t="s">
        <v>4900</v>
      </c>
      <c r="B831" t="s">
        <v>4671</v>
      </c>
      <c r="C831" t="s">
        <v>4672</v>
      </c>
      <c r="D831" t="s">
        <v>4673</v>
      </c>
      <c r="E831" t="s">
        <v>4674</v>
      </c>
      <c r="F831" t="s">
        <v>4675</v>
      </c>
      <c r="G831" t="s">
        <v>4676</v>
      </c>
      <c r="H831" t="s">
        <v>4677</v>
      </c>
      <c r="I831" t="s">
        <v>4678</v>
      </c>
    </row>
    <row r="832" spans="1:9" x14ac:dyDescent="0.2">
      <c r="A832" t="s">
        <v>4900</v>
      </c>
      <c r="B832" t="s">
        <v>4679</v>
      </c>
      <c r="C832" t="s">
        <v>4680</v>
      </c>
      <c r="D832" t="s">
        <v>4681</v>
      </c>
      <c r="E832" t="s">
        <v>4680</v>
      </c>
      <c r="F832" t="s">
        <v>4682</v>
      </c>
      <c r="G832" t="s">
        <v>4683</v>
      </c>
      <c r="H832" t="s">
        <v>4684</v>
      </c>
      <c r="I832" t="s">
        <v>4685</v>
      </c>
    </row>
    <row r="833" spans="1:9" x14ac:dyDescent="0.2">
      <c r="A833" t="s">
        <v>4900</v>
      </c>
      <c r="B833" t="s">
        <v>4686</v>
      </c>
      <c r="C833" t="s">
        <v>4687</v>
      </c>
      <c r="D833" t="s">
        <v>4688</v>
      </c>
      <c r="E833" t="s">
        <v>4689</v>
      </c>
      <c r="F833" t="s">
        <v>4690</v>
      </c>
      <c r="G833" t="s">
        <v>4689</v>
      </c>
      <c r="H833" t="s">
        <v>4691</v>
      </c>
      <c r="I833" t="s">
        <v>4689</v>
      </c>
    </row>
    <row r="834" spans="1:9" x14ac:dyDescent="0.2">
      <c r="A834" t="s">
        <v>4900</v>
      </c>
      <c r="B834" t="s">
        <v>4692</v>
      </c>
      <c r="C834" t="s">
        <v>4693</v>
      </c>
      <c r="D834" t="s">
        <v>4694</v>
      </c>
      <c r="E834" t="s">
        <v>4695</v>
      </c>
      <c r="F834" t="s">
        <v>4696</v>
      </c>
      <c r="G834" t="s">
        <v>4697</v>
      </c>
      <c r="H834" t="s">
        <v>4698</v>
      </c>
      <c r="I834" t="s">
        <v>4699</v>
      </c>
    </row>
    <row r="835" spans="1:9" x14ac:dyDescent="0.2">
      <c r="A835" t="s">
        <v>4900</v>
      </c>
      <c r="B835" t="s">
        <v>4700</v>
      </c>
      <c r="C835" t="s">
        <v>4701</v>
      </c>
      <c r="D835" t="s">
        <v>4702</v>
      </c>
      <c r="E835" t="s">
        <v>4703</v>
      </c>
      <c r="F835" t="s">
        <v>4704</v>
      </c>
      <c r="G835" t="s">
        <v>4705</v>
      </c>
      <c r="H835" t="s">
        <v>4706</v>
      </c>
      <c r="I835" t="s">
        <v>4707</v>
      </c>
    </row>
    <row r="836" spans="1:9" x14ac:dyDescent="0.2">
      <c r="A836" t="s">
        <v>4900</v>
      </c>
      <c r="B836" t="s">
        <v>4708</v>
      </c>
      <c r="C836" t="s">
        <v>4709</v>
      </c>
      <c r="D836" t="s">
        <v>4710</v>
      </c>
      <c r="E836" t="s">
        <v>4908</v>
      </c>
      <c r="F836" t="s">
        <v>4711</v>
      </c>
      <c r="G836" t="s">
        <v>4712</v>
      </c>
      <c r="H836" t="s">
        <v>4713</v>
      </c>
      <c r="I836" t="s">
        <v>4714</v>
      </c>
    </row>
    <row r="837" spans="1:9" x14ac:dyDescent="0.2">
      <c r="A837" t="s">
        <v>4900</v>
      </c>
      <c r="B837" t="s">
        <v>4715</v>
      </c>
      <c r="C837" t="s">
        <v>4716</v>
      </c>
      <c r="D837" t="s">
        <v>4717</v>
      </c>
      <c r="E837" t="s">
        <v>4718</v>
      </c>
      <c r="F837" t="s">
        <v>4718</v>
      </c>
      <c r="G837" t="s">
        <v>4719</v>
      </c>
      <c r="H837" t="s">
        <v>4718</v>
      </c>
      <c r="I837" t="s">
        <v>4720</v>
      </c>
    </row>
    <row r="838" spans="1:9" x14ac:dyDescent="0.2">
      <c r="A838" t="s">
        <v>4900</v>
      </c>
      <c r="B838" t="s">
        <v>4721</v>
      </c>
      <c r="C838" t="s">
        <v>4722</v>
      </c>
      <c r="D838" t="s">
        <v>4723</v>
      </c>
      <c r="E838" t="s">
        <v>4724</v>
      </c>
      <c r="F838" t="s">
        <v>4725</v>
      </c>
      <c r="G838" t="s">
        <v>4726</v>
      </c>
      <c r="H838" t="s">
        <v>4727</v>
      </c>
      <c r="I838" t="s">
        <v>4728</v>
      </c>
    </row>
    <row r="839" spans="1:9" x14ac:dyDescent="0.2">
      <c r="A839" t="s">
        <v>4900</v>
      </c>
      <c r="B839" t="s">
        <v>4729</v>
      </c>
      <c r="C839" t="s">
        <v>4730</v>
      </c>
      <c r="D839" t="s">
        <v>4731</v>
      </c>
      <c r="E839" t="s">
        <v>4732</v>
      </c>
      <c r="F839" t="s">
        <v>4733</v>
      </c>
      <c r="G839" t="s">
        <v>4734</v>
      </c>
      <c r="H839" t="s">
        <v>4735</v>
      </c>
      <c r="I839" t="s">
        <v>4736</v>
      </c>
    </row>
    <row r="840" spans="1:9" x14ac:dyDescent="0.2">
      <c r="A840" t="s">
        <v>4900</v>
      </c>
      <c r="B840" t="s">
        <v>4737</v>
      </c>
      <c r="C840" t="s">
        <v>4738</v>
      </c>
      <c r="D840" t="s">
        <v>4739</v>
      </c>
      <c r="E840" t="s">
        <v>4740</v>
      </c>
      <c r="F840" t="s">
        <v>4741</v>
      </c>
      <c r="G840" t="s">
        <v>4742</v>
      </c>
      <c r="H840" t="s">
        <v>4740</v>
      </c>
      <c r="I840" t="s">
        <v>4743</v>
      </c>
    </row>
    <row r="841" spans="1:9" x14ac:dyDescent="0.2">
      <c r="A841" t="s">
        <v>4900</v>
      </c>
      <c r="B841" t="s">
        <v>4744</v>
      </c>
      <c r="C841" t="s">
        <v>4745</v>
      </c>
      <c r="D841" t="s">
        <v>4746</v>
      </c>
      <c r="E841" t="s">
        <v>4747</v>
      </c>
      <c r="F841" t="s">
        <v>4748</v>
      </c>
      <c r="G841" t="s">
        <v>4749</v>
      </c>
      <c r="H841" t="s">
        <v>4750</v>
      </c>
      <c r="I841" t="s">
        <v>4751</v>
      </c>
    </row>
    <row r="842" spans="1:9" x14ac:dyDescent="0.2">
      <c r="A842" t="s">
        <v>4900</v>
      </c>
      <c r="B842" t="s">
        <v>4752</v>
      </c>
      <c r="C842" t="s">
        <v>4753</v>
      </c>
      <c r="D842" t="s">
        <v>4754</v>
      </c>
      <c r="E842" t="s">
        <v>4755</v>
      </c>
      <c r="F842" t="s">
        <v>4756</v>
      </c>
      <c r="G842" t="s">
        <v>4757</v>
      </c>
      <c r="H842" t="s">
        <v>4758</v>
      </c>
      <c r="I842" t="s">
        <v>4759</v>
      </c>
    </row>
    <row r="843" spans="1:9" x14ac:dyDescent="0.2">
      <c r="A843" t="s">
        <v>4900</v>
      </c>
      <c r="B843" t="s">
        <v>4760</v>
      </c>
      <c r="C843" t="s">
        <v>4761</v>
      </c>
      <c r="D843" t="s">
        <v>4762</v>
      </c>
      <c r="E843" t="s">
        <v>4763</v>
      </c>
      <c r="F843" t="s">
        <v>4764</v>
      </c>
      <c r="G843" t="s">
        <v>4764</v>
      </c>
      <c r="H843" t="s">
        <v>4763</v>
      </c>
      <c r="I843" t="s">
        <v>4764</v>
      </c>
    </row>
    <row r="844" spans="1:9" x14ac:dyDescent="0.2">
      <c r="A844" t="s">
        <v>4900</v>
      </c>
      <c r="B844" t="s">
        <v>4765</v>
      </c>
      <c r="C844" t="s">
        <v>4766</v>
      </c>
      <c r="D844" t="s">
        <v>4767</v>
      </c>
      <c r="E844" t="s">
        <v>4768</v>
      </c>
      <c r="F844" t="s">
        <v>4769</v>
      </c>
      <c r="G844" t="s">
        <v>4770</v>
      </c>
      <c r="H844" t="s">
        <v>4771</v>
      </c>
      <c r="I844" t="s">
        <v>4769</v>
      </c>
    </row>
    <row r="845" spans="1:9" x14ac:dyDescent="0.2">
      <c r="A845" t="s">
        <v>4900</v>
      </c>
      <c r="B845" t="s">
        <v>4772</v>
      </c>
      <c r="C845" t="s">
        <v>4773</v>
      </c>
      <c r="D845" t="s">
        <v>4774</v>
      </c>
      <c r="E845" t="s">
        <v>4775</v>
      </c>
      <c r="F845" t="s">
        <v>4776</v>
      </c>
      <c r="G845" t="s">
        <v>4777</v>
      </c>
      <c r="H845" t="s">
        <v>4778</v>
      </c>
      <c r="I845" t="s">
        <v>4779</v>
      </c>
    </row>
    <row r="846" spans="1:9" x14ac:dyDescent="0.2">
      <c r="A846" t="s">
        <v>4900</v>
      </c>
      <c r="B846" t="s">
        <v>4780</v>
      </c>
      <c r="C846" t="s">
        <v>4781</v>
      </c>
      <c r="D846" t="s">
        <v>4782</v>
      </c>
      <c r="E846" t="s">
        <v>4783</v>
      </c>
      <c r="F846" t="s">
        <v>4784</v>
      </c>
      <c r="G846" t="s">
        <v>4785</v>
      </c>
      <c r="H846" t="s">
        <v>4786</v>
      </c>
      <c r="I846" t="s">
        <v>4787</v>
      </c>
    </row>
    <row r="847" spans="1:9" x14ac:dyDescent="0.2">
      <c r="A847" t="s">
        <v>4900</v>
      </c>
      <c r="B847" t="s">
        <v>4788</v>
      </c>
      <c r="C847" t="s">
        <v>4789</v>
      </c>
      <c r="D847" t="s">
        <v>4790</v>
      </c>
      <c r="E847" t="s">
        <v>4791</v>
      </c>
      <c r="F847" t="s">
        <v>4784</v>
      </c>
      <c r="G847" t="s">
        <v>4792</v>
      </c>
      <c r="H847" t="s">
        <v>4793</v>
      </c>
      <c r="I847" t="s">
        <v>4794</v>
      </c>
    </row>
    <row r="848" spans="1:9" x14ac:dyDescent="0.2">
      <c r="A848" t="s">
        <v>4900</v>
      </c>
      <c r="B848" t="s">
        <v>4795</v>
      </c>
      <c r="C848" t="s">
        <v>4796</v>
      </c>
      <c r="D848" t="s">
        <v>4797</v>
      </c>
      <c r="E848" t="s">
        <v>4798</v>
      </c>
      <c r="F848" t="s">
        <v>4799</v>
      </c>
      <c r="G848" t="s">
        <v>4800</v>
      </c>
      <c r="H848" t="s">
        <v>4801</v>
      </c>
      <c r="I848" t="s">
        <v>4802</v>
      </c>
    </row>
    <row r="849" spans="1:9" x14ac:dyDescent="0.2">
      <c r="A849" t="s">
        <v>4900</v>
      </c>
      <c r="B849" t="s">
        <v>4803</v>
      </c>
      <c r="C849" t="s">
        <v>4804</v>
      </c>
      <c r="D849" t="s">
        <v>4805</v>
      </c>
      <c r="E849" t="s">
        <v>4640</v>
      </c>
      <c r="F849" t="s">
        <v>4799</v>
      </c>
      <c r="G849" t="s">
        <v>4806</v>
      </c>
      <c r="H849" t="s">
        <v>4807</v>
      </c>
      <c r="I849" t="s">
        <v>4909</v>
      </c>
    </row>
    <row r="850" spans="1:9" x14ac:dyDescent="0.2">
      <c r="A850" t="s">
        <v>4900</v>
      </c>
      <c r="B850" t="s">
        <v>4808</v>
      </c>
      <c r="C850" t="s">
        <v>4809</v>
      </c>
      <c r="D850" t="s">
        <v>4810</v>
      </c>
      <c r="E850" t="s">
        <v>4811</v>
      </c>
      <c r="F850" t="s">
        <v>4383</v>
      </c>
      <c r="G850" t="s">
        <v>4812</v>
      </c>
      <c r="H850" t="s">
        <v>4813</v>
      </c>
      <c r="I850" t="s">
        <v>4814</v>
      </c>
    </row>
    <row r="851" spans="1:9" x14ac:dyDescent="0.2">
      <c r="A851" t="s">
        <v>4900</v>
      </c>
      <c r="B851" t="s">
        <v>4815</v>
      </c>
      <c r="C851" t="s">
        <v>4816</v>
      </c>
      <c r="D851" t="s">
        <v>4817</v>
      </c>
      <c r="E851" t="s">
        <v>4818</v>
      </c>
      <c r="F851" t="s">
        <v>4818</v>
      </c>
      <c r="G851" t="s">
        <v>4819</v>
      </c>
      <c r="H851" t="s">
        <v>4818</v>
      </c>
      <c r="I851" t="s">
        <v>4820</v>
      </c>
    </row>
    <row r="852" spans="1:9" x14ac:dyDescent="0.2">
      <c r="A852" t="s">
        <v>4900</v>
      </c>
      <c r="B852" t="s">
        <v>4821</v>
      </c>
      <c r="C852" t="s">
        <v>4822</v>
      </c>
      <c r="D852" t="s">
        <v>4823</v>
      </c>
      <c r="E852" t="s">
        <v>4824</v>
      </c>
      <c r="F852" t="s">
        <v>4825</v>
      </c>
      <c r="G852" t="s">
        <v>4826</v>
      </c>
      <c r="H852" t="s">
        <v>4827</v>
      </c>
      <c r="I852" t="s">
        <v>4828</v>
      </c>
    </row>
    <row r="853" spans="1:9" x14ac:dyDescent="0.2">
      <c r="A853" t="s">
        <v>4900</v>
      </c>
      <c r="B853" t="s">
        <v>4829</v>
      </c>
      <c r="C853" t="s">
        <v>4830</v>
      </c>
      <c r="D853" t="s">
        <v>4831</v>
      </c>
      <c r="E853" t="s">
        <v>4832</v>
      </c>
      <c r="F853" t="s">
        <v>4383</v>
      </c>
      <c r="G853" t="s">
        <v>4833</v>
      </c>
      <c r="H853" t="s">
        <v>4834</v>
      </c>
      <c r="I853" t="s">
        <v>4835</v>
      </c>
    </row>
    <row r="854" spans="1:9" x14ac:dyDescent="0.2">
      <c r="A854" t="s">
        <v>4900</v>
      </c>
      <c r="B854" t="s">
        <v>4836</v>
      </c>
      <c r="C854" t="s">
        <v>4837</v>
      </c>
      <c r="D854" t="s">
        <v>4838</v>
      </c>
      <c r="E854" t="s">
        <v>4839</v>
      </c>
      <c r="F854" t="s">
        <v>4733</v>
      </c>
      <c r="G854" t="s">
        <v>4840</v>
      </c>
      <c r="H854" t="s">
        <v>4841</v>
      </c>
      <c r="I854" t="s">
        <v>4842</v>
      </c>
    </row>
    <row r="855" spans="1:9" x14ac:dyDescent="0.2">
      <c r="A855" t="s">
        <v>4900</v>
      </c>
      <c r="B855" t="s">
        <v>4843</v>
      </c>
      <c r="C855" t="s">
        <v>4844</v>
      </c>
      <c r="D855" t="s">
        <v>4845</v>
      </c>
      <c r="E855" t="s">
        <v>4846</v>
      </c>
      <c r="F855" t="s">
        <v>4847</v>
      </c>
      <c r="G855" t="s">
        <v>4848</v>
      </c>
      <c r="H855" t="s">
        <v>4910</v>
      </c>
      <c r="I855" t="s">
        <v>4849</v>
      </c>
    </row>
    <row r="856" spans="1:9" x14ac:dyDescent="0.2">
      <c r="A856" t="s">
        <v>4900</v>
      </c>
      <c r="B856" t="s">
        <v>4850</v>
      </c>
      <c r="C856" t="s">
        <v>4851</v>
      </c>
      <c r="D856" t="s">
        <v>4852</v>
      </c>
      <c r="E856" t="s">
        <v>4911</v>
      </c>
      <c r="F856" t="s">
        <v>4854</v>
      </c>
      <c r="G856" t="s">
        <v>4855</v>
      </c>
      <c r="H856" t="s">
        <v>4912</v>
      </c>
      <c r="I856" t="s">
        <v>4855</v>
      </c>
    </row>
    <row r="857" spans="1:9" x14ac:dyDescent="0.2">
      <c r="A857" t="s">
        <v>4900</v>
      </c>
      <c r="B857" t="s">
        <v>4856</v>
      </c>
      <c r="C857" t="s">
        <v>4857</v>
      </c>
      <c r="D857" t="s">
        <v>4857</v>
      </c>
      <c r="E857" t="s">
        <v>4640</v>
      </c>
      <c r="F857" t="s">
        <v>4858</v>
      </c>
      <c r="G857" t="s">
        <v>4859</v>
      </c>
      <c r="H857" t="s">
        <v>4857</v>
      </c>
      <c r="I857" t="s">
        <v>4857</v>
      </c>
    </row>
    <row r="858" spans="1:9" x14ac:dyDescent="0.2">
      <c r="A858" t="s">
        <v>4900</v>
      </c>
      <c r="B858" t="s">
        <v>4860</v>
      </c>
      <c r="C858" t="s">
        <v>4861</v>
      </c>
      <c r="D858" t="s">
        <v>4862</v>
      </c>
      <c r="E858" t="s">
        <v>4863</v>
      </c>
      <c r="F858" t="s">
        <v>4864</v>
      </c>
      <c r="G858" t="s">
        <v>4865</v>
      </c>
      <c r="H858" t="s">
        <v>4866</v>
      </c>
      <c r="I858" t="s">
        <v>4866</v>
      </c>
    </row>
    <row r="859" spans="1:9" x14ac:dyDescent="0.2">
      <c r="A859" t="s">
        <v>4900</v>
      </c>
      <c r="B859" t="s">
        <v>4867</v>
      </c>
      <c r="C859" t="s">
        <v>4868</v>
      </c>
      <c r="D859" t="s">
        <v>4869</v>
      </c>
      <c r="E859" t="s">
        <v>4870</v>
      </c>
      <c r="F859" t="s">
        <v>4871</v>
      </c>
      <c r="G859" t="s">
        <v>4870</v>
      </c>
      <c r="H859" t="s">
        <v>4870</v>
      </c>
      <c r="I859" t="s">
        <v>4870</v>
      </c>
    </row>
    <row r="860" spans="1:9" x14ac:dyDescent="0.2">
      <c r="A860" t="s">
        <v>4900</v>
      </c>
      <c r="B860" t="s">
        <v>4872</v>
      </c>
      <c r="C860" t="s">
        <v>4873</v>
      </c>
      <c r="D860" t="s">
        <v>4873</v>
      </c>
      <c r="E860" t="s">
        <v>4640</v>
      </c>
      <c r="F860" t="s">
        <v>4870</v>
      </c>
      <c r="G860" t="s">
        <v>4874</v>
      </c>
      <c r="H860" t="s">
        <v>4875</v>
      </c>
      <c r="I860" t="s">
        <v>4875</v>
      </c>
    </row>
    <row r="861" spans="1:9" x14ac:dyDescent="0.2">
      <c r="A861" t="s">
        <v>4900</v>
      </c>
      <c r="B861" t="s">
        <v>4876</v>
      </c>
      <c r="C861" t="s">
        <v>4877</v>
      </c>
      <c r="D861" t="s">
        <v>4878</v>
      </c>
      <c r="E861" t="s">
        <v>4863</v>
      </c>
      <c r="F861" t="s">
        <v>4880</v>
      </c>
      <c r="G861" t="s">
        <v>4840</v>
      </c>
      <c r="H861" t="s">
        <v>4881</v>
      </c>
      <c r="I861" t="s">
        <v>4881</v>
      </c>
    </row>
    <row r="862" spans="1:9" x14ac:dyDescent="0.2">
      <c r="A862" t="s">
        <v>4900</v>
      </c>
      <c r="B862" t="s">
        <v>4890</v>
      </c>
      <c r="C862" t="s">
        <v>4891</v>
      </c>
      <c r="D862" t="s">
        <v>4892</v>
      </c>
      <c r="E862" t="s">
        <v>3391</v>
      </c>
      <c r="F862" t="s">
        <v>1930</v>
      </c>
      <c r="G862" t="s">
        <v>1837</v>
      </c>
      <c r="H862" t="s">
        <v>1838</v>
      </c>
      <c r="I862" t="s">
        <v>1839</v>
      </c>
    </row>
    <row r="863" spans="1:9" x14ac:dyDescent="0.2">
      <c r="A863" t="s">
        <v>4900</v>
      </c>
      <c r="B863" t="s">
        <v>4893</v>
      </c>
      <c r="C863" t="s">
        <v>4894</v>
      </c>
      <c r="D863" t="s">
        <v>4895</v>
      </c>
      <c r="E863" t="s">
        <v>2207</v>
      </c>
      <c r="F863" t="s">
        <v>2457</v>
      </c>
      <c r="G863" t="s">
        <v>1844</v>
      </c>
      <c r="H863" t="s">
        <v>1845</v>
      </c>
      <c r="I863" t="s">
        <v>1846</v>
      </c>
    </row>
    <row r="865" spans="1:10" x14ac:dyDescent="0.2">
      <c r="A865" t="s">
        <v>4913</v>
      </c>
      <c r="B865" t="s">
        <v>4914</v>
      </c>
      <c r="C865" t="s">
        <v>4915</v>
      </c>
      <c r="D865" t="s">
        <v>4915</v>
      </c>
      <c r="E865" t="s">
        <v>4915</v>
      </c>
      <c r="F865" t="s">
        <v>4915</v>
      </c>
      <c r="G865" t="s">
        <v>4915</v>
      </c>
      <c r="H865" t="s">
        <v>4915</v>
      </c>
      <c r="I865" t="s">
        <v>4915</v>
      </c>
    </row>
    <row r="866" spans="1:10" x14ac:dyDescent="0.2">
      <c r="A866" t="s">
        <v>4913</v>
      </c>
      <c r="B866" t="s">
        <v>4916</v>
      </c>
      <c r="C866" t="s">
        <v>4917</v>
      </c>
      <c r="D866" t="s">
        <v>4917</v>
      </c>
      <c r="E866" t="s">
        <v>4917</v>
      </c>
      <c r="F866" t="s">
        <v>4917</v>
      </c>
      <c r="G866" t="s">
        <v>4917</v>
      </c>
      <c r="H866" t="s">
        <v>4917</v>
      </c>
      <c r="I866" t="s">
        <v>4917</v>
      </c>
    </row>
    <row r="867" spans="1:10" x14ac:dyDescent="0.2">
      <c r="A867" t="s">
        <v>4913</v>
      </c>
      <c r="B867" t="s">
        <v>4918</v>
      </c>
      <c r="C867" t="s">
        <v>4919</v>
      </c>
      <c r="D867" t="s">
        <v>4919</v>
      </c>
      <c r="E867" t="s">
        <v>4919</v>
      </c>
      <c r="F867" t="s">
        <v>4919</v>
      </c>
      <c r="G867" t="s">
        <v>4919</v>
      </c>
      <c r="H867" t="s">
        <v>4919</v>
      </c>
      <c r="I867" t="s">
        <v>4919</v>
      </c>
    </row>
    <row r="868" spans="1:10" x14ac:dyDescent="0.2">
      <c r="A868" t="s">
        <v>4913</v>
      </c>
      <c r="B868" t="s">
        <v>4920</v>
      </c>
      <c r="C868" t="s">
        <v>4921</v>
      </c>
      <c r="D868" t="s">
        <v>4921</v>
      </c>
      <c r="E868" t="s">
        <v>4921</v>
      </c>
      <c r="F868" t="s">
        <v>4921</v>
      </c>
      <c r="G868" t="s">
        <v>4921</v>
      </c>
      <c r="H868" t="s">
        <v>4921</v>
      </c>
      <c r="I868" t="s">
        <v>4921</v>
      </c>
    </row>
    <row r="869" spans="1:10" x14ac:dyDescent="0.2">
      <c r="A869" t="s">
        <v>4913</v>
      </c>
      <c r="B869" t="s">
        <v>4922</v>
      </c>
      <c r="C869" t="s">
        <v>4923</v>
      </c>
      <c r="D869" t="s">
        <v>4923</v>
      </c>
      <c r="E869" t="s">
        <v>4923</v>
      </c>
      <c r="F869" t="s">
        <v>4923</v>
      </c>
      <c r="G869" t="s">
        <v>4923</v>
      </c>
      <c r="H869" t="s">
        <v>4923</v>
      </c>
      <c r="I869" t="s">
        <v>4923</v>
      </c>
    </row>
    <row r="870" spans="1:10" x14ac:dyDescent="0.2">
      <c r="A870" t="s">
        <v>4913</v>
      </c>
      <c r="B870" t="s">
        <v>4924</v>
      </c>
      <c r="C870" t="s">
        <v>4925</v>
      </c>
      <c r="D870" t="s">
        <v>4925</v>
      </c>
      <c r="E870" t="s">
        <v>4925</v>
      </c>
      <c r="F870" t="s">
        <v>4925</v>
      </c>
      <c r="G870" t="s">
        <v>4925</v>
      </c>
      <c r="H870" t="s">
        <v>4925</v>
      </c>
      <c r="I870" t="s">
        <v>4925</v>
      </c>
    </row>
    <row r="871" spans="1:10" x14ac:dyDescent="0.2">
      <c r="A871" t="s">
        <v>4913</v>
      </c>
      <c r="B871" t="s">
        <v>4926</v>
      </c>
      <c r="C871" t="s">
        <v>4927</v>
      </c>
      <c r="D871" t="s">
        <v>4927</v>
      </c>
      <c r="E871" t="s">
        <v>4927</v>
      </c>
      <c r="F871" t="s">
        <v>4927</v>
      </c>
      <c r="G871" t="s">
        <v>4927</v>
      </c>
      <c r="H871" t="s">
        <v>4927</v>
      </c>
      <c r="I871" t="s">
        <v>4927</v>
      </c>
    </row>
    <row r="872" spans="1:10" x14ac:dyDescent="0.2">
      <c r="A872" t="s">
        <v>4913</v>
      </c>
      <c r="B872" t="s">
        <v>4928</v>
      </c>
      <c r="C872" t="s">
        <v>4929</v>
      </c>
      <c r="D872" t="s">
        <v>4929</v>
      </c>
      <c r="E872" t="s">
        <v>4929</v>
      </c>
      <c r="F872" t="s">
        <v>4929</v>
      </c>
      <c r="G872" t="s">
        <v>4929</v>
      </c>
      <c r="H872" t="s">
        <v>4929</v>
      </c>
      <c r="I872" t="s">
        <v>4929</v>
      </c>
    </row>
    <row r="874" spans="1:10" x14ac:dyDescent="0.2">
      <c r="A874" t="s">
        <v>4930</v>
      </c>
      <c r="B874" t="s">
        <v>4931</v>
      </c>
      <c r="C874" t="s">
        <v>4932</v>
      </c>
      <c r="D874" t="s">
        <v>4932</v>
      </c>
      <c r="E874" t="s">
        <v>4932</v>
      </c>
      <c r="F874" t="s">
        <v>4932</v>
      </c>
      <c r="G874" t="s">
        <v>4932</v>
      </c>
      <c r="H874" t="s">
        <v>4932</v>
      </c>
      <c r="I874" t="s">
        <v>4932</v>
      </c>
      <c r="J874" s="2" t="s">
        <v>4914</v>
      </c>
    </row>
    <row r="875" spans="1:10" x14ac:dyDescent="0.2">
      <c r="A875" t="s">
        <v>4930</v>
      </c>
      <c r="B875" t="s">
        <v>4933</v>
      </c>
      <c r="C875" t="s">
        <v>4934</v>
      </c>
      <c r="D875" t="s">
        <v>4934</v>
      </c>
      <c r="E875" t="s">
        <v>4934</v>
      </c>
      <c r="F875" t="s">
        <v>4934</v>
      </c>
      <c r="G875" t="s">
        <v>4934</v>
      </c>
      <c r="H875" t="s">
        <v>4934</v>
      </c>
      <c r="I875" t="s">
        <v>4934</v>
      </c>
      <c r="J875" s="2" t="s">
        <v>4914</v>
      </c>
    </row>
    <row r="876" spans="1:10" x14ac:dyDescent="0.2">
      <c r="A876" t="s">
        <v>4930</v>
      </c>
      <c r="B876" t="s">
        <v>4935</v>
      </c>
      <c r="C876" t="s">
        <v>4936</v>
      </c>
      <c r="D876" t="s">
        <v>4936</v>
      </c>
      <c r="E876" t="s">
        <v>4936</v>
      </c>
      <c r="F876" t="s">
        <v>4936</v>
      </c>
      <c r="G876" t="s">
        <v>4936</v>
      </c>
      <c r="H876" t="s">
        <v>4936</v>
      </c>
      <c r="I876" t="s">
        <v>4936</v>
      </c>
      <c r="J876" s="2" t="s">
        <v>4914</v>
      </c>
    </row>
    <row r="877" spans="1:10" x14ac:dyDescent="0.2">
      <c r="A877" t="s">
        <v>4930</v>
      </c>
      <c r="B877" t="s">
        <v>4937</v>
      </c>
      <c r="C877" t="s">
        <v>4938</v>
      </c>
      <c r="D877" t="s">
        <v>4938</v>
      </c>
      <c r="E877" t="s">
        <v>4938</v>
      </c>
      <c r="F877" t="s">
        <v>4938</v>
      </c>
      <c r="G877" t="s">
        <v>4938</v>
      </c>
      <c r="H877" t="s">
        <v>4938</v>
      </c>
      <c r="I877" t="s">
        <v>4938</v>
      </c>
      <c r="J877" s="2" t="s">
        <v>4914</v>
      </c>
    </row>
    <row r="878" spans="1:10" x14ac:dyDescent="0.2">
      <c r="A878" t="s">
        <v>4930</v>
      </c>
      <c r="B878" t="s">
        <v>4939</v>
      </c>
      <c r="C878" t="s">
        <v>4940</v>
      </c>
      <c r="D878" t="s">
        <v>4940</v>
      </c>
      <c r="E878" t="s">
        <v>4940</v>
      </c>
      <c r="F878" t="s">
        <v>4940</v>
      </c>
      <c r="G878" t="s">
        <v>4940</v>
      </c>
      <c r="H878" t="s">
        <v>4940</v>
      </c>
      <c r="I878" t="s">
        <v>4940</v>
      </c>
      <c r="J878" s="2" t="s">
        <v>4914</v>
      </c>
    </row>
    <row r="879" spans="1:10" x14ac:dyDescent="0.2">
      <c r="A879" t="s">
        <v>4930</v>
      </c>
      <c r="B879" t="s">
        <v>4941</v>
      </c>
      <c r="C879" t="s">
        <v>4942</v>
      </c>
      <c r="D879" t="s">
        <v>4942</v>
      </c>
      <c r="E879" t="s">
        <v>4942</v>
      </c>
      <c r="F879" t="s">
        <v>4942</v>
      </c>
      <c r="G879" t="s">
        <v>4942</v>
      </c>
      <c r="H879" t="s">
        <v>4942</v>
      </c>
      <c r="I879" t="s">
        <v>4942</v>
      </c>
      <c r="J879" s="2" t="s">
        <v>4914</v>
      </c>
    </row>
    <row r="880" spans="1:10" x14ac:dyDescent="0.2">
      <c r="A880" t="s">
        <v>4930</v>
      </c>
      <c r="B880" t="s">
        <v>4943</v>
      </c>
      <c r="C880" t="s">
        <v>4944</v>
      </c>
      <c r="D880" t="s">
        <v>4944</v>
      </c>
      <c r="E880" t="s">
        <v>4944</v>
      </c>
      <c r="F880" t="s">
        <v>4944</v>
      </c>
      <c r="G880" t="s">
        <v>4944</v>
      </c>
      <c r="H880" t="s">
        <v>4944</v>
      </c>
      <c r="I880" t="s">
        <v>4944</v>
      </c>
      <c r="J880" s="2" t="s">
        <v>4916</v>
      </c>
    </row>
    <row r="881" spans="1:10" x14ac:dyDescent="0.2">
      <c r="A881" t="s">
        <v>4930</v>
      </c>
      <c r="B881" t="s">
        <v>4945</v>
      </c>
      <c r="C881" t="s">
        <v>4917</v>
      </c>
      <c r="D881" t="s">
        <v>4917</v>
      </c>
      <c r="E881" t="s">
        <v>4917</v>
      </c>
      <c r="F881" t="s">
        <v>4917</v>
      </c>
      <c r="G881" t="s">
        <v>4917</v>
      </c>
      <c r="H881" t="s">
        <v>4917</v>
      </c>
      <c r="I881" t="s">
        <v>4917</v>
      </c>
      <c r="J881" s="2" t="s">
        <v>4916</v>
      </c>
    </row>
    <row r="882" spans="1:10" x14ac:dyDescent="0.2">
      <c r="A882" t="s">
        <v>4930</v>
      </c>
      <c r="B882" t="s">
        <v>4946</v>
      </c>
      <c r="C882" t="s">
        <v>4947</v>
      </c>
      <c r="D882" t="s">
        <v>4947</v>
      </c>
      <c r="E882" t="s">
        <v>4947</v>
      </c>
      <c r="F882" t="s">
        <v>4947</v>
      </c>
      <c r="G882" t="s">
        <v>4947</v>
      </c>
      <c r="H882" t="s">
        <v>4947</v>
      </c>
      <c r="I882" t="s">
        <v>4947</v>
      </c>
      <c r="J882" s="2" t="s">
        <v>4916</v>
      </c>
    </row>
    <row r="883" spans="1:10" x14ac:dyDescent="0.2">
      <c r="A883" t="s">
        <v>4930</v>
      </c>
      <c r="B883" t="s">
        <v>4948</v>
      </c>
      <c r="C883" t="s">
        <v>4949</v>
      </c>
      <c r="D883" t="s">
        <v>4949</v>
      </c>
      <c r="E883" t="s">
        <v>4949</v>
      </c>
      <c r="F883" t="s">
        <v>4949</v>
      </c>
      <c r="G883" t="s">
        <v>4949</v>
      </c>
      <c r="H883" t="s">
        <v>4949</v>
      </c>
      <c r="I883" t="s">
        <v>4949</v>
      </c>
      <c r="J883" s="2" t="s">
        <v>4916</v>
      </c>
    </row>
    <row r="884" spans="1:10" x14ac:dyDescent="0.2">
      <c r="A884" t="s">
        <v>4930</v>
      </c>
      <c r="B884" t="s">
        <v>4950</v>
      </c>
      <c r="C884" t="s">
        <v>4951</v>
      </c>
      <c r="D884" t="s">
        <v>4951</v>
      </c>
      <c r="E884" t="s">
        <v>4951</v>
      </c>
      <c r="F884" t="s">
        <v>4951</v>
      </c>
      <c r="G884" t="s">
        <v>4951</v>
      </c>
      <c r="H884" t="s">
        <v>4951</v>
      </c>
      <c r="I884" t="s">
        <v>4951</v>
      </c>
      <c r="J884" s="2" t="s">
        <v>4916</v>
      </c>
    </row>
    <row r="885" spans="1:10" x14ac:dyDescent="0.2">
      <c r="A885" t="s">
        <v>4930</v>
      </c>
      <c r="B885" t="s">
        <v>4952</v>
      </c>
      <c r="C885" t="s">
        <v>4953</v>
      </c>
      <c r="D885" t="s">
        <v>4953</v>
      </c>
      <c r="E885" t="s">
        <v>4953</v>
      </c>
      <c r="F885" t="s">
        <v>4953</v>
      </c>
      <c r="G885" t="s">
        <v>4953</v>
      </c>
      <c r="H885" t="s">
        <v>4953</v>
      </c>
      <c r="I885" t="s">
        <v>4953</v>
      </c>
      <c r="J885" s="2" t="s">
        <v>4916</v>
      </c>
    </row>
    <row r="886" spans="1:10" x14ac:dyDescent="0.2">
      <c r="A886" t="s">
        <v>4930</v>
      </c>
      <c r="B886" t="s">
        <v>4954</v>
      </c>
      <c r="C886" t="s">
        <v>4955</v>
      </c>
      <c r="D886" t="s">
        <v>4955</v>
      </c>
      <c r="E886" t="s">
        <v>4955</v>
      </c>
      <c r="F886" t="s">
        <v>4955</v>
      </c>
      <c r="G886" t="s">
        <v>4955</v>
      </c>
      <c r="H886" t="s">
        <v>4955</v>
      </c>
      <c r="I886" t="s">
        <v>4955</v>
      </c>
      <c r="J886" s="2" t="s">
        <v>4918</v>
      </c>
    </row>
    <row r="887" spans="1:10" x14ac:dyDescent="0.2">
      <c r="A887" t="s">
        <v>4930</v>
      </c>
      <c r="B887" t="s">
        <v>4956</v>
      </c>
      <c r="C887" t="s">
        <v>4957</v>
      </c>
      <c r="D887" t="s">
        <v>4957</v>
      </c>
      <c r="E887" t="s">
        <v>4957</v>
      </c>
      <c r="F887" t="s">
        <v>4957</v>
      </c>
      <c r="G887" t="s">
        <v>4957</v>
      </c>
      <c r="H887" t="s">
        <v>4957</v>
      </c>
      <c r="I887" t="s">
        <v>4957</v>
      </c>
      <c r="J887" s="2" t="s">
        <v>4918</v>
      </c>
    </row>
    <row r="888" spans="1:10" x14ac:dyDescent="0.2">
      <c r="A888" t="s">
        <v>4930</v>
      </c>
      <c r="B888" t="s">
        <v>4958</v>
      </c>
      <c r="C888" t="s">
        <v>4959</v>
      </c>
      <c r="D888" t="s">
        <v>4959</v>
      </c>
      <c r="E888" t="s">
        <v>4959</v>
      </c>
      <c r="F888" t="s">
        <v>4959</v>
      </c>
      <c r="G888" t="s">
        <v>4959</v>
      </c>
      <c r="H888" t="s">
        <v>4959</v>
      </c>
      <c r="I888" t="s">
        <v>4959</v>
      </c>
      <c r="J888" s="2" t="s">
        <v>4918</v>
      </c>
    </row>
    <row r="889" spans="1:10" x14ac:dyDescent="0.2">
      <c r="A889" t="s">
        <v>4930</v>
      </c>
      <c r="B889" t="s">
        <v>4960</v>
      </c>
      <c r="C889" t="s">
        <v>4919</v>
      </c>
      <c r="D889" t="s">
        <v>4919</v>
      </c>
      <c r="E889" t="s">
        <v>4919</v>
      </c>
      <c r="F889" t="s">
        <v>4919</v>
      </c>
      <c r="G889" t="s">
        <v>4919</v>
      </c>
      <c r="H889" t="s">
        <v>4919</v>
      </c>
      <c r="I889" t="s">
        <v>4919</v>
      </c>
      <c r="J889" s="2" t="s">
        <v>4918</v>
      </c>
    </row>
    <row r="890" spans="1:10" x14ac:dyDescent="0.2">
      <c r="A890" t="s">
        <v>4930</v>
      </c>
      <c r="B890" t="s">
        <v>4961</v>
      </c>
      <c r="C890" t="s">
        <v>4962</v>
      </c>
      <c r="D890" t="s">
        <v>4962</v>
      </c>
      <c r="E890" t="s">
        <v>4962</v>
      </c>
      <c r="F890" t="s">
        <v>4962</v>
      </c>
      <c r="G890" t="s">
        <v>4962</v>
      </c>
      <c r="H890" t="s">
        <v>4962</v>
      </c>
      <c r="I890" t="s">
        <v>4962</v>
      </c>
      <c r="J890" s="2" t="s">
        <v>4918</v>
      </c>
    </row>
    <row r="891" spans="1:10" x14ac:dyDescent="0.2">
      <c r="A891" t="s">
        <v>4930</v>
      </c>
      <c r="B891" t="s">
        <v>4963</v>
      </c>
      <c r="C891" t="s">
        <v>4964</v>
      </c>
      <c r="D891" t="s">
        <v>4964</v>
      </c>
      <c r="E891" t="s">
        <v>4964</v>
      </c>
      <c r="F891" t="s">
        <v>4964</v>
      </c>
      <c r="G891" t="s">
        <v>4964</v>
      </c>
      <c r="H891" t="s">
        <v>4964</v>
      </c>
      <c r="I891" t="s">
        <v>4964</v>
      </c>
      <c r="J891" s="2" t="s">
        <v>4918</v>
      </c>
    </row>
    <row r="892" spans="1:10" x14ac:dyDescent="0.2">
      <c r="A892" t="s">
        <v>4930</v>
      </c>
      <c r="B892" t="s">
        <v>4965</v>
      </c>
      <c r="C892" t="s">
        <v>4966</v>
      </c>
      <c r="D892" t="s">
        <v>4966</v>
      </c>
      <c r="E892" t="s">
        <v>4966</v>
      </c>
      <c r="F892" t="s">
        <v>4966</v>
      </c>
      <c r="G892" t="s">
        <v>4966</v>
      </c>
      <c r="H892" t="s">
        <v>4966</v>
      </c>
      <c r="I892" t="s">
        <v>4966</v>
      </c>
      <c r="J892" s="2" t="s">
        <v>4918</v>
      </c>
    </row>
    <row r="893" spans="1:10" x14ac:dyDescent="0.2">
      <c r="A893" t="s">
        <v>4930</v>
      </c>
      <c r="B893" t="s">
        <v>4967</v>
      </c>
      <c r="C893" t="s">
        <v>4968</v>
      </c>
      <c r="D893" t="s">
        <v>4968</v>
      </c>
      <c r="E893" t="s">
        <v>4968</v>
      </c>
      <c r="F893" t="s">
        <v>4968</v>
      </c>
      <c r="G893" t="s">
        <v>4968</v>
      </c>
      <c r="H893" t="s">
        <v>4968</v>
      </c>
      <c r="I893" t="s">
        <v>4968</v>
      </c>
      <c r="J893" s="2" t="s">
        <v>4918</v>
      </c>
    </row>
    <row r="894" spans="1:10" x14ac:dyDescent="0.2">
      <c r="A894" t="s">
        <v>4930</v>
      </c>
      <c r="B894" t="s">
        <v>4969</v>
      </c>
      <c r="C894" t="s">
        <v>4970</v>
      </c>
      <c r="D894" t="s">
        <v>4970</v>
      </c>
      <c r="E894" t="s">
        <v>4970</v>
      </c>
      <c r="F894" t="s">
        <v>4970</v>
      </c>
      <c r="G894" t="s">
        <v>4970</v>
      </c>
      <c r="H894" t="s">
        <v>4970</v>
      </c>
      <c r="I894" t="s">
        <v>4970</v>
      </c>
      <c r="J894" s="2" t="s">
        <v>4920</v>
      </c>
    </row>
    <row r="895" spans="1:10" x14ac:dyDescent="0.2">
      <c r="A895" t="s">
        <v>4930</v>
      </c>
      <c r="B895" t="s">
        <v>4971</v>
      </c>
      <c r="C895" t="s">
        <v>4972</v>
      </c>
      <c r="D895" t="s">
        <v>4972</v>
      </c>
      <c r="E895" t="s">
        <v>4972</v>
      </c>
      <c r="F895" t="s">
        <v>4972</v>
      </c>
      <c r="G895" t="s">
        <v>4972</v>
      </c>
      <c r="H895" t="s">
        <v>4972</v>
      </c>
      <c r="I895" t="s">
        <v>4972</v>
      </c>
      <c r="J895" s="2" t="s">
        <v>4920</v>
      </c>
    </row>
    <row r="896" spans="1:10" x14ac:dyDescent="0.2">
      <c r="A896" t="s">
        <v>4930</v>
      </c>
      <c r="B896" t="s">
        <v>4973</v>
      </c>
      <c r="C896" t="s">
        <v>4974</v>
      </c>
      <c r="D896" t="s">
        <v>4974</v>
      </c>
      <c r="E896" t="s">
        <v>4974</v>
      </c>
      <c r="F896" t="s">
        <v>4974</v>
      </c>
      <c r="G896" t="s">
        <v>4974</v>
      </c>
      <c r="H896" t="s">
        <v>4974</v>
      </c>
      <c r="I896" t="s">
        <v>4974</v>
      </c>
      <c r="J896" s="2" t="s">
        <v>4920</v>
      </c>
    </row>
    <row r="897" spans="1:10" x14ac:dyDescent="0.2">
      <c r="A897" t="s">
        <v>4930</v>
      </c>
      <c r="B897" t="s">
        <v>4975</v>
      </c>
      <c r="C897" t="s">
        <v>4976</v>
      </c>
      <c r="D897" t="s">
        <v>4976</v>
      </c>
      <c r="E897" t="s">
        <v>4976</v>
      </c>
      <c r="F897" t="s">
        <v>4976</v>
      </c>
      <c r="G897" t="s">
        <v>4976</v>
      </c>
      <c r="H897" t="s">
        <v>4976</v>
      </c>
      <c r="I897" t="s">
        <v>4976</v>
      </c>
      <c r="J897" s="2" t="s">
        <v>4920</v>
      </c>
    </row>
    <row r="898" spans="1:10" x14ac:dyDescent="0.2">
      <c r="A898" t="s">
        <v>4930</v>
      </c>
      <c r="B898" t="s">
        <v>4977</v>
      </c>
      <c r="C898" t="s">
        <v>4978</v>
      </c>
      <c r="D898" t="s">
        <v>4978</v>
      </c>
      <c r="E898" t="s">
        <v>4978</v>
      </c>
      <c r="F898" t="s">
        <v>4978</v>
      </c>
      <c r="G898" t="s">
        <v>4978</v>
      </c>
      <c r="H898" t="s">
        <v>4978</v>
      </c>
      <c r="I898" t="s">
        <v>4978</v>
      </c>
      <c r="J898" s="2" t="s">
        <v>4920</v>
      </c>
    </row>
    <row r="899" spans="1:10" x14ac:dyDescent="0.2">
      <c r="A899" t="s">
        <v>4930</v>
      </c>
      <c r="B899" t="s">
        <v>4979</v>
      </c>
      <c r="C899" t="s">
        <v>4980</v>
      </c>
      <c r="D899" t="s">
        <v>4980</v>
      </c>
      <c r="E899" t="s">
        <v>4980</v>
      </c>
      <c r="F899" t="s">
        <v>4980</v>
      </c>
      <c r="G899" t="s">
        <v>4980</v>
      </c>
      <c r="H899" t="s">
        <v>4980</v>
      </c>
      <c r="I899" t="s">
        <v>4980</v>
      </c>
      <c r="J899" s="2" t="s">
        <v>4920</v>
      </c>
    </row>
    <row r="900" spans="1:10" x14ac:dyDescent="0.2">
      <c r="A900" t="s">
        <v>4930</v>
      </c>
      <c r="B900" t="s">
        <v>4981</v>
      </c>
      <c r="C900" t="s">
        <v>4982</v>
      </c>
      <c r="D900" t="s">
        <v>4982</v>
      </c>
      <c r="E900" t="s">
        <v>4982</v>
      </c>
      <c r="F900" t="s">
        <v>4982</v>
      </c>
      <c r="G900" t="s">
        <v>4982</v>
      </c>
      <c r="H900" t="s">
        <v>4982</v>
      </c>
      <c r="I900" t="s">
        <v>4982</v>
      </c>
      <c r="J900" s="2" t="s">
        <v>4920</v>
      </c>
    </row>
    <row r="901" spans="1:10" x14ac:dyDescent="0.2">
      <c r="A901" t="s">
        <v>4930</v>
      </c>
      <c r="B901" t="s">
        <v>4983</v>
      </c>
      <c r="C901" t="s">
        <v>4984</v>
      </c>
      <c r="D901" t="s">
        <v>4984</v>
      </c>
      <c r="E901" t="s">
        <v>4984</v>
      </c>
      <c r="F901" t="s">
        <v>4984</v>
      </c>
      <c r="G901" t="s">
        <v>4984</v>
      </c>
      <c r="H901" t="s">
        <v>4984</v>
      </c>
      <c r="I901" t="s">
        <v>4984</v>
      </c>
      <c r="J901" s="2" t="s">
        <v>4920</v>
      </c>
    </row>
    <row r="902" spans="1:10" x14ac:dyDescent="0.2">
      <c r="A902" t="s">
        <v>4930</v>
      </c>
      <c r="B902" t="s">
        <v>4985</v>
      </c>
      <c r="C902" t="s">
        <v>4986</v>
      </c>
      <c r="D902" t="s">
        <v>4986</v>
      </c>
      <c r="E902" t="s">
        <v>4986</v>
      </c>
      <c r="F902" t="s">
        <v>4986</v>
      </c>
      <c r="G902" t="s">
        <v>4986</v>
      </c>
      <c r="H902" t="s">
        <v>4986</v>
      </c>
      <c r="I902" t="s">
        <v>4986</v>
      </c>
      <c r="J902" s="2" t="s">
        <v>4922</v>
      </c>
    </row>
    <row r="903" spans="1:10" x14ac:dyDescent="0.2">
      <c r="A903" t="s">
        <v>4930</v>
      </c>
      <c r="B903" t="s">
        <v>4987</v>
      </c>
      <c r="C903" t="s">
        <v>4988</v>
      </c>
      <c r="D903" t="s">
        <v>4988</v>
      </c>
      <c r="E903" t="s">
        <v>4988</v>
      </c>
      <c r="F903" t="s">
        <v>4988</v>
      </c>
      <c r="G903" t="s">
        <v>4988</v>
      </c>
      <c r="H903" t="s">
        <v>4988</v>
      </c>
      <c r="I903" t="s">
        <v>4988</v>
      </c>
      <c r="J903" s="2" t="s">
        <v>4922</v>
      </c>
    </row>
    <row r="904" spans="1:10" x14ac:dyDescent="0.2">
      <c r="A904" t="s">
        <v>4930</v>
      </c>
      <c r="B904" t="s">
        <v>4989</v>
      </c>
      <c r="C904" t="s">
        <v>4990</v>
      </c>
      <c r="D904" t="s">
        <v>4990</v>
      </c>
      <c r="E904" t="s">
        <v>4990</v>
      </c>
      <c r="F904" t="s">
        <v>4990</v>
      </c>
      <c r="G904" t="s">
        <v>4990</v>
      </c>
      <c r="H904" t="s">
        <v>4990</v>
      </c>
      <c r="I904" t="s">
        <v>4990</v>
      </c>
      <c r="J904" s="2" t="s">
        <v>4922</v>
      </c>
    </row>
    <row r="905" spans="1:10" x14ac:dyDescent="0.2">
      <c r="A905" t="s">
        <v>4930</v>
      </c>
      <c r="B905" t="s">
        <v>4991</v>
      </c>
      <c r="C905" t="s">
        <v>4992</v>
      </c>
      <c r="D905" t="s">
        <v>4992</v>
      </c>
      <c r="E905" t="s">
        <v>4992</v>
      </c>
      <c r="F905" t="s">
        <v>4992</v>
      </c>
      <c r="G905" t="s">
        <v>4992</v>
      </c>
      <c r="H905" t="s">
        <v>4992</v>
      </c>
      <c r="I905" t="s">
        <v>4992</v>
      </c>
      <c r="J905" s="2" t="s">
        <v>4922</v>
      </c>
    </row>
    <row r="906" spans="1:10" x14ac:dyDescent="0.2">
      <c r="A906" t="s">
        <v>4930</v>
      </c>
      <c r="B906" t="s">
        <v>4993</v>
      </c>
      <c r="C906" t="s">
        <v>4994</v>
      </c>
      <c r="D906" t="s">
        <v>4994</v>
      </c>
      <c r="E906" t="s">
        <v>4994</v>
      </c>
      <c r="F906" t="s">
        <v>4994</v>
      </c>
      <c r="G906" t="s">
        <v>4994</v>
      </c>
      <c r="H906" t="s">
        <v>4994</v>
      </c>
      <c r="I906" t="s">
        <v>4994</v>
      </c>
      <c r="J906" s="2" t="s">
        <v>4922</v>
      </c>
    </row>
    <row r="907" spans="1:10" x14ac:dyDescent="0.2">
      <c r="A907" t="s">
        <v>4930</v>
      </c>
      <c r="B907" t="s">
        <v>4995</v>
      </c>
      <c r="C907" t="s">
        <v>4996</v>
      </c>
      <c r="D907" t="s">
        <v>4996</v>
      </c>
      <c r="E907" t="s">
        <v>4996</v>
      </c>
      <c r="F907" t="s">
        <v>4996</v>
      </c>
      <c r="G907" t="s">
        <v>4996</v>
      </c>
      <c r="H907" t="s">
        <v>4996</v>
      </c>
      <c r="I907" t="s">
        <v>4996</v>
      </c>
      <c r="J907" s="2" t="s">
        <v>4922</v>
      </c>
    </row>
    <row r="908" spans="1:10" x14ac:dyDescent="0.2">
      <c r="A908" t="s">
        <v>4930</v>
      </c>
      <c r="B908" t="s">
        <v>4997</v>
      </c>
      <c r="C908" t="s">
        <v>4998</v>
      </c>
      <c r="D908" t="s">
        <v>4998</v>
      </c>
      <c r="E908" t="s">
        <v>4998</v>
      </c>
      <c r="F908" t="s">
        <v>4998</v>
      </c>
      <c r="G908" t="s">
        <v>4998</v>
      </c>
      <c r="H908" t="s">
        <v>4998</v>
      </c>
      <c r="I908" t="s">
        <v>4998</v>
      </c>
      <c r="J908" s="2" t="s">
        <v>4922</v>
      </c>
    </row>
    <row r="909" spans="1:10" x14ac:dyDescent="0.2">
      <c r="A909" t="s">
        <v>4930</v>
      </c>
      <c r="B909" t="s">
        <v>4999</v>
      </c>
      <c r="C909" t="s">
        <v>5000</v>
      </c>
      <c r="D909" t="s">
        <v>5000</v>
      </c>
      <c r="E909" t="s">
        <v>5000</v>
      </c>
      <c r="F909" t="s">
        <v>5000</v>
      </c>
      <c r="G909" t="s">
        <v>5000</v>
      </c>
      <c r="H909" t="s">
        <v>5000</v>
      </c>
      <c r="I909" t="s">
        <v>5000</v>
      </c>
      <c r="J909" s="2" t="s">
        <v>4922</v>
      </c>
    </row>
    <row r="910" spans="1:10" x14ac:dyDescent="0.2">
      <c r="A910" t="s">
        <v>4930</v>
      </c>
      <c r="B910" t="s">
        <v>5001</v>
      </c>
      <c r="C910" t="s">
        <v>4923</v>
      </c>
      <c r="D910" t="s">
        <v>4923</v>
      </c>
      <c r="E910" t="s">
        <v>4923</v>
      </c>
      <c r="F910" t="s">
        <v>4923</v>
      </c>
      <c r="G910" t="s">
        <v>4923</v>
      </c>
      <c r="H910" t="s">
        <v>4923</v>
      </c>
      <c r="I910" t="s">
        <v>4923</v>
      </c>
      <c r="J910" s="2" t="s">
        <v>4922</v>
      </c>
    </row>
    <row r="911" spans="1:10" x14ac:dyDescent="0.2">
      <c r="A911" t="s">
        <v>4930</v>
      </c>
      <c r="B911" t="s">
        <v>5002</v>
      </c>
      <c r="C911" t="s">
        <v>5003</v>
      </c>
      <c r="D911" t="s">
        <v>5003</v>
      </c>
      <c r="E911" t="s">
        <v>5003</v>
      </c>
      <c r="F911" t="s">
        <v>5003</v>
      </c>
      <c r="G911" t="s">
        <v>5003</v>
      </c>
      <c r="H911" t="s">
        <v>5003</v>
      </c>
      <c r="I911" t="s">
        <v>5003</v>
      </c>
      <c r="J911" s="2" t="s">
        <v>4922</v>
      </c>
    </row>
    <row r="912" spans="1:10" x14ac:dyDescent="0.2">
      <c r="A912" t="s">
        <v>4930</v>
      </c>
      <c r="B912" t="s">
        <v>5004</v>
      </c>
      <c r="C912" t="s">
        <v>5005</v>
      </c>
      <c r="D912" t="s">
        <v>5005</v>
      </c>
      <c r="E912" t="s">
        <v>5005</v>
      </c>
      <c r="F912" t="s">
        <v>5005</v>
      </c>
      <c r="G912" t="s">
        <v>5005</v>
      </c>
      <c r="H912" t="s">
        <v>5005</v>
      </c>
      <c r="I912" t="s">
        <v>5005</v>
      </c>
      <c r="J912" s="2" t="s">
        <v>4922</v>
      </c>
    </row>
    <row r="913" spans="1:10" x14ac:dyDescent="0.2">
      <c r="A913" t="s">
        <v>4930</v>
      </c>
      <c r="B913" t="s">
        <v>5006</v>
      </c>
      <c r="C913" t="s">
        <v>5007</v>
      </c>
      <c r="D913" t="s">
        <v>5007</v>
      </c>
      <c r="E913" t="s">
        <v>5007</v>
      </c>
      <c r="F913" t="s">
        <v>5007</v>
      </c>
      <c r="G913" t="s">
        <v>5007</v>
      </c>
      <c r="H913" t="s">
        <v>5007</v>
      </c>
      <c r="I913" t="s">
        <v>5007</v>
      </c>
      <c r="J913" s="2" t="s">
        <v>4922</v>
      </c>
    </row>
    <row r="914" spans="1:10" x14ac:dyDescent="0.2">
      <c r="A914" t="s">
        <v>4930</v>
      </c>
      <c r="B914" t="s">
        <v>5008</v>
      </c>
      <c r="C914" t="s">
        <v>5009</v>
      </c>
      <c r="D914" t="s">
        <v>5009</v>
      </c>
      <c r="E914" t="s">
        <v>5009</v>
      </c>
      <c r="F914" t="s">
        <v>5009</v>
      </c>
      <c r="G914" t="s">
        <v>5009</v>
      </c>
      <c r="H914" t="s">
        <v>5009</v>
      </c>
      <c r="I914" t="s">
        <v>5009</v>
      </c>
      <c r="J914" s="2" t="s">
        <v>4924</v>
      </c>
    </row>
    <row r="915" spans="1:10" x14ac:dyDescent="0.2">
      <c r="A915" t="s">
        <v>4930</v>
      </c>
      <c r="B915" t="s">
        <v>5010</v>
      </c>
      <c r="C915" t="s">
        <v>5011</v>
      </c>
      <c r="D915" t="s">
        <v>5011</v>
      </c>
      <c r="E915" t="s">
        <v>5011</v>
      </c>
      <c r="F915" t="s">
        <v>5011</v>
      </c>
      <c r="G915" t="s">
        <v>5011</v>
      </c>
      <c r="H915" t="s">
        <v>5011</v>
      </c>
      <c r="I915" t="s">
        <v>5011</v>
      </c>
      <c r="J915" s="2" t="s">
        <v>4924</v>
      </c>
    </row>
    <row r="916" spans="1:10" x14ac:dyDescent="0.2">
      <c r="A916" t="s">
        <v>4930</v>
      </c>
      <c r="B916" t="s">
        <v>5012</v>
      </c>
      <c r="C916" t="s">
        <v>5013</v>
      </c>
      <c r="D916" t="s">
        <v>5013</v>
      </c>
      <c r="E916" t="s">
        <v>5013</v>
      </c>
      <c r="F916" t="s">
        <v>5013</v>
      </c>
      <c r="G916" t="s">
        <v>5013</v>
      </c>
      <c r="H916" t="s">
        <v>5013</v>
      </c>
      <c r="I916" t="s">
        <v>5013</v>
      </c>
      <c r="J916" s="2" t="s">
        <v>4924</v>
      </c>
    </row>
    <row r="917" spans="1:10" x14ac:dyDescent="0.2">
      <c r="A917" t="s">
        <v>4930</v>
      </c>
      <c r="B917" t="s">
        <v>5014</v>
      </c>
      <c r="C917" t="s">
        <v>5015</v>
      </c>
      <c r="D917" t="s">
        <v>5015</v>
      </c>
      <c r="E917" t="s">
        <v>5015</v>
      </c>
      <c r="F917" t="s">
        <v>5015</v>
      </c>
      <c r="G917" t="s">
        <v>5015</v>
      </c>
      <c r="H917" t="s">
        <v>5015</v>
      </c>
      <c r="I917" t="s">
        <v>5015</v>
      </c>
      <c r="J917" s="2" t="s">
        <v>4924</v>
      </c>
    </row>
    <row r="918" spans="1:10" x14ac:dyDescent="0.2">
      <c r="A918" t="s">
        <v>4930</v>
      </c>
      <c r="B918" t="s">
        <v>5016</v>
      </c>
      <c r="C918" t="s">
        <v>5017</v>
      </c>
      <c r="D918" t="s">
        <v>5017</v>
      </c>
      <c r="E918" t="s">
        <v>5017</v>
      </c>
      <c r="F918" t="s">
        <v>5017</v>
      </c>
      <c r="G918" t="s">
        <v>5017</v>
      </c>
      <c r="H918" t="s">
        <v>5017</v>
      </c>
      <c r="I918" t="s">
        <v>5017</v>
      </c>
      <c r="J918" s="2" t="s">
        <v>4924</v>
      </c>
    </row>
    <row r="919" spans="1:10" x14ac:dyDescent="0.2">
      <c r="A919" t="s">
        <v>4930</v>
      </c>
      <c r="B919" t="s">
        <v>5018</v>
      </c>
      <c r="C919" t="s">
        <v>5019</v>
      </c>
      <c r="D919" t="s">
        <v>5019</v>
      </c>
      <c r="E919" t="s">
        <v>5019</v>
      </c>
      <c r="F919" t="s">
        <v>5019</v>
      </c>
      <c r="G919" t="s">
        <v>5019</v>
      </c>
      <c r="H919" t="s">
        <v>5019</v>
      </c>
      <c r="I919" t="s">
        <v>5019</v>
      </c>
      <c r="J919" s="2" t="s">
        <v>4924</v>
      </c>
    </row>
    <row r="920" spans="1:10" x14ac:dyDescent="0.2">
      <c r="A920" t="s">
        <v>4930</v>
      </c>
      <c r="B920" t="s">
        <v>5020</v>
      </c>
      <c r="C920" t="s">
        <v>5021</v>
      </c>
      <c r="D920" t="s">
        <v>5021</v>
      </c>
      <c r="E920" t="s">
        <v>5021</v>
      </c>
      <c r="F920" t="s">
        <v>5021</v>
      </c>
      <c r="G920" t="s">
        <v>5021</v>
      </c>
      <c r="H920" t="s">
        <v>5021</v>
      </c>
      <c r="I920" t="s">
        <v>5021</v>
      </c>
      <c r="J920" s="2" t="s">
        <v>4924</v>
      </c>
    </row>
    <row r="921" spans="1:10" x14ac:dyDescent="0.2">
      <c r="A921" t="s">
        <v>4930</v>
      </c>
      <c r="B921" t="s">
        <v>5022</v>
      </c>
      <c r="C921" t="s">
        <v>5023</v>
      </c>
      <c r="D921" t="s">
        <v>5023</v>
      </c>
      <c r="E921" t="s">
        <v>5023</v>
      </c>
      <c r="F921" t="s">
        <v>5023</v>
      </c>
      <c r="G921" t="s">
        <v>5023</v>
      </c>
      <c r="H921" t="s">
        <v>5023</v>
      </c>
      <c r="I921" t="s">
        <v>5023</v>
      </c>
      <c r="J921" s="2" t="s">
        <v>4924</v>
      </c>
    </row>
    <row r="922" spans="1:10" x14ac:dyDescent="0.2">
      <c r="A922" t="s">
        <v>4930</v>
      </c>
      <c r="B922" t="s">
        <v>5024</v>
      </c>
      <c r="C922" t="s">
        <v>5025</v>
      </c>
      <c r="D922" t="s">
        <v>5025</v>
      </c>
      <c r="E922" t="s">
        <v>5025</v>
      </c>
      <c r="F922" t="s">
        <v>5025</v>
      </c>
      <c r="G922" t="s">
        <v>5025</v>
      </c>
      <c r="H922" t="s">
        <v>5025</v>
      </c>
      <c r="I922" t="s">
        <v>5025</v>
      </c>
      <c r="J922" s="2" t="s">
        <v>4924</v>
      </c>
    </row>
    <row r="923" spans="1:10" x14ac:dyDescent="0.2">
      <c r="A923" t="s">
        <v>4930</v>
      </c>
      <c r="B923" t="s">
        <v>5026</v>
      </c>
      <c r="C923" t="s">
        <v>5027</v>
      </c>
      <c r="D923" t="s">
        <v>5027</v>
      </c>
      <c r="E923" t="s">
        <v>5027</v>
      </c>
      <c r="F923" t="s">
        <v>5027</v>
      </c>
      <c r="G923" t="s">
        <v>5027</v>
      </c>
      <c r="H923" t="s">
        <v>5027</v>
      </c>
      <c r="I923" t="s">
        <v>5027</v>
      </c>
      <c r="J923" s="2" t="s">
        <v>4924</v>
      </c>
    </row>
    <row r="924" spans="1:10" x14ac:dyDescent="0.2">
      <c r="A924" t="s">
        <v>4930</v>
      </c>
      <c r="B924" t="s">
        <v>5028</v>
      </c>
      <c r="C924" t="s">
        <v>5029</v>
      </c>
      <c r="D924" t="s">
        <v>5029</v>
      </c>
      <c r="E924" t="s">
        <v>5029</v>
      </c>
      <c r="F924" t="s">
        <v>5029</v>
      </c>
      <c r="G924" t="s">
        <v>5029</v>
      </c>
      <c r="H924" t="s">
        <v>5029</v>
      </c>
      <c r="I924" t="s">
        <v>5029</v>
      </c>
      <c r="J924" s="2" t="s">
        <v>4924</v>
      </c>
    </row>
    <row r="925" spans="1:10" x14ac:dyDescent="0.2">
      <c r="A925" t="s">
        <v>4930</v>
      </c>
      <c r="B925" t="s">
        <v>5030</v>
      </c>
      <c r="C925" t="s">
        <v>5031</v>
      </c>
      <c r="D925" t="s">
        <v>5031</v>
      </c>
      <c r="E925" t="s">
        <v>5031</v>
      </c>
      <c r="F925" t="s">
        <v>5031</v>
      </c>
      <c r="G925" t="s">
        <v>5031</v>
      </c>
      <c r="H925" t="s">
        <v>5031</v>
      </c>
      <c r="I925" t="s">
        <v>5031</v>
      </c>
      <c r="J925" s="2" t="s">
        <v>4924</v>
      </c>
    </row>
    <row r="926" spans="1:10" x14ac:dyDescent="0.2">
      <c r="A926" t="s">
        <v>4930</v>
      </c>
      <c r="B926" t="s">
        <v>5032</v>
      </c>
      <c r="C926" t="s">
        <v>5033</v>
      </c>
      <c r="D926" t="s">
        <v>5033</v>
      </c>
      <c r="E926" t="s">
        <v>5033</v>
      </c>
      <c r="F926" t="s">
        <v>5033</v>
      </c>
      <c r="G926" t="s">
        <v>5033</v>
      </c>
      <c r="H926" t="s">
        <v>5033</v>
      </c>
      <c r="I926" t="s">
        <v>5033</v>
      </c>
      <c r="J926" s="2" t="s">
        <v>4924</v>
      </c>
    </row>
    <row r="927" spans="1:10" x14ac:dyDescent="0.2">
      <c r="A927" t="s">
        <v>4930</v>
      </c>
      <c r="B927" t="s">
        <v>5034</v>
      </c>
      <c r="C927" t="s">
        <v>5035</v>
      </c>
      <c r="D927" t="s">
        <v>5035</v>
      </c>
      <c r="E927" t="s">
        <v>5035</v>
      </c>
      <c r="F927" t="s">
        <v>5035</v>
      </c>
      <c r="G927" t="s">
        <v>5035</v>
      </c>
      <c r="H927" t="s">
        <v>5035</v>
      </c>
      <c r="I927" t="s">
        <v>5035</v>
      </c>
      <c r="J927" s="2" t="s">
        <v>4926</v>
      </c>
    </row>
    <row r="928" spans="1:10" x14ac:dyDescent="0.2">
      <c r="A928" t="s">
        <v>4930</v>
      </c>
      <c r="B928" t="s">
        <v>5036</v>
      </c>
      <c r="C928" t="s">
        <v>5037</v>
      </c>
      <c r="D928" t="s">
        <v>5037</v>
      </c>
      <c r="E928" t="s">
        <v>5037</v>
      </c>
      <c r="F928" t="s">
        <v>5037</v>
      </c>
      <c r="G928" t="s">
        <v>5037</v>
      </c>
      <c r="H928" t="s">
        <v>5037</v>
      </c>
      <c r="I928" t="s">
        <v>5037</v>
      </c>
      <c r="J928" s="2" t="s">
        <v>4926</v>
      </c>
    </row>
    <row r="929" spans="1:10" x14ac:dyDescent="0.2">
      <c r="A929" t="s">
        <v>4930</v>
      </c>
      <c r="B929" t="s">
        <v>5038</v>
      </c>
      <c r="C929" t="s">
        <v>5039</v>
      </c>
      <c r="D929" t="s">
        <v>5039</v>
      </c>
      <c r="E929" t="s">
        <v>5039</v>
      </c>
      <c r="F929" t="s">
        <v>5039</v>
      </c>
      <c r="G929" t="s">
        <v>5039</v>
      </c>
      <c r="H929" t="s">
        <v>5039</v>
      </c>
      <c r="I929" t="s">
        <v>5039</v>
      </c>
      <c r="J929" s="2" t="s">
        <v>4926</v>
      </c>
    </row>
    <row r="930" spans="1:10" x14ac:dyDescent="0.2">
      <c r="A930" t="s">
        <v>4930</v>
      </c>
      <c r="B930" t="s">
        <v>5040</v>
      </c>
      <c r="C930" t="s">
        <v>5041</v>
      </c>
      <c r="D930" t="s">
        <v>5041</v>
      </c>
      <c r="E930" t="s">
        <v>5041</v>
      </c>
      <c r="F930" t="s">
        <v>5041</v>
      </c>
      <c r="G930" t="s">
        <v>5041</v>
      </c>
      <c r="H930" t="s">
        <v>5041</v>
      </c>
      <c r="I930" t="s">
        <v>5041</v>
      </c>
      <c r="J930" s="2" t="s">
        <v>4926</v>
      </c>
    </row>
    <row r="931" spans="1:10" x14ac:dyDescent="0.2">
      <c r="A931" t="s">
        <v>4930</v>
      </c>
      <c r="B931" t="s">
        <v>5042</v>
      </c>
      <c r="C931" t="s">
        <v>5043</v>
      </c>
      <c r="D931" t="s">
        <v>5043</v>
      </c>
      <c r="E931" t="s">
        <v>5043</v>
      </c>
      <c r="F931" t="s">
        <v>5043</v>
      </c>
      <c r="G931" t="s">
        <v>5043</v>
      </c>
      <c r="H931" t="s">
        <v>5043</v>
      </c>
      <c r="I931" t="s">
        <v>5043</v>
      </c>
      <c r="J931" s="2" t="s">
        <v>4926</v>
      </c>
    </row>
    <row r="932" spans="1:10" x14ac:dyDescent="0.2">
      <c r="A932" t="s">
        <v>4930</v>
      </c>
      <c r="B932" t="s">
        <v>5044</v>
      </c>
      <c r="C932" t="s">
        <v>5045</v>
      </c>
      <c r="D932" t="s">
        <v>5045</v>
      </c>
      <c r="E932" t="s">
        <v>5045</v>
      </c>
      <c r="F932" t="s">
        <v>5045</v>
      </c>
      <c r="G932" t="s">
        <v>5045</v>
      </c>
      <c r="H932" t="s">
        <v>5045</v>
      </c>
      <c r="I932" t="s">
        <v>5045</v>
      </c>
      <c r="J932" s="2" t="s">
        <v>4926</v>
      </c>
    </row>
    <row r="933" spans="1:10" x14ac:dyDescent="0.2">
      <c r="A933" t="s">
        <v>4930</v>
      </c>
      <c r="B933" t="s">
        <v>5046</v>
      </c>
      <c r="C933" t="s">
        <v>5047</v>
      </c>
      <c r="D933" t="s">
        <v>5047</v>
      </c>
      <c r="E933" t="s">
        <v>5047</v>
      </c>
      <c r="F933" t="s">
        <v>5047</v>
      </c>
      <c r="G933" t="s">
        <v>5047</v>
      </c>
      <c r="H933" t="s">
        <v>5047</v>
      </c>
      <c r="I933" t="s">
        <v>5047</v>
      </c>
      <c r="J933" s="2" t="s">
        <v>4926</v>
      </c>
    </row>
    <row r="934" spans="1:10" x14ac:dyDescent="0.2">
      <c r="A934" t="s">
        <v>4930</v>
      </c>
      <c r="B934" t="s">
        <v>5048</v>
      </c>
      <c r="C934" t="s">
        <v>5049</v>
      </c>
      <c r="D934" t="s">
        <v>5049</v>
      </c>
      <c r="E934" t="s">
        <v>5049</v>
      </c>
      <c r="F934" t="s">
        <v>5049</v>
      </c>
      <c r="G934" t="s">
        <v>5049</v>
      </c>
      <c r="H934" t="s">
        <v>5049</v>
      </c>
      <c r="I934" t="s">
        <v>5049</v>
      </c>
      <c r="J934" s="2" t="s">
        <v>4926</v>
      </c>
    </row>
    <row r="935" spans="1:10" x14ac:dyDescent="0.2">
      <c r="A935" t="s">
        <v>4930</v>
      </c>
      <c r="B935" t="s">
        <v>5050</v>
      </c>
      <c r="C935" t="s">
        <v>5051</v>
      </c>
      <c r="D935" t="s">
        <v>5051</v>
      </c>
      <c r="E935" t="s">
        <v>5051</v>
      </c>
      <c r="F935" t="s">
        <v>5051</v>
      </c>
      <c r="G935" t="s">
        <v>5051</v>
      </c>
      <c r="H935" t="s">
        <v>5051</v>
      </c>
      <c r="I935" t="s">
        <v>5051</v>
      </c>
      <c r="J935" s="2" t="s">
        <v>4926</v>
      </c>
    </row>
    <row r="936" spans="1:10" x14ac:dyDescent="0.2">
      <c r="A936" t="s">
        <v>4930</v>
      </c>
      <c r="B936" t="s">
        <v>5052</v>
      </c>
      <c r="C936" t="s">
        <v>5053</v>
      </c>
      <c r="D936" t="s">
        <v>5053</v>
      </c>
      <c r="E936" t="s">
        <v>5053</v>
      </c>
      <c r="F936" t="s">
        <v>5053</v>
      </c>
      <c r="G936" t="s">
        <v>5053</v>
      </c>
      <c r="H936" t="s">
        <v>5053</v>
      </c>
      <c r="I936" t="s">
        <v>5053</v>
      </c>
      <c r="J936" s="2" t="s">
        <v>4926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D64"/>
  <sheetViews>
    <sheetView workbookViewId="0">
      <selection activeCell="D81" sqref="D81"/>
    </sheetView>
  </sheetViews>
  <sheetFormatPr baseColWidth="10" defaultColWidth="11.5" defaultRowHeight="15" x14ac:dyDescent="0.2"/>
  <cols>
    <col min="3" max="3" width="24.5" customWidth="1"/>
    <col min="4" max="4" width="16" customWidth="1"/>
  </cols>
  <sheetData>
    <row r="1" spans="1:4" s="220" customFormat="1" ht="16" customHeight="1" x14ac:dyDescent="0.2">
      <c r="A1" s="211" t="s">
        <v>1775</v>
      </c>
      <c r="B1" s="211" t="s">
        <v>1</v>
      </c>
      <c r="C1" s="318" t="s">
        <v>9</v>
      </c>
      <c r="D1" s="211" t="s">
        <v>1776</v>
      </c>
    </row>
    <row r="2" spans="1:4" hidden="1" x14ac:dyDescent="0.2">
      <c r="A2" t="s">
        <v>4930</v>
      </c>
      <c r="B2" t="s">
        <v>4931</v>
      </c>
      <c r="C2" t="s">
        <v>4932</v>
      </c>
      <c r="D2" s="2" t="s">
        <v>4914</v>
      </c>
    </row>
    <row r="3" spans="1:4" hidden="1" x14ac:dyDescent="0.2">
      <c r="A3" t="s">
        <v>4930</v>
      </c>
      <c r="B3" t="s">
        <v>4933</v>
      </c>
      <c r="C3" t="s">
        <v>4934</v>
      </c>
      <c r="D3" s="2" t="s">
        <v>4914</v>
      </c>
    </row>
    <row r="4" spans="1:4" hidden="1" x14ac:dyDescent="0.2">
      <c r="A4" t="s">
        <v>4930</v>
      </c>
      <c r="B4" t="s">
        <v>4935</v>
      </c>
      <c r="C4" t="s">
        <v>4936</v>
      </c>
      <c r="D4" s="2" t="s">
        <v>4914</v>
      </c>
    </row>
    <row r="5" spans="1:4" hidden="1" x14ac:dyDescent="0.2">
      <c r="A5" t="s">
        <v>4930</v>
      </c>
      <c r="B5" t="s">
        <v>4937</v>
      </c>
      <c r="C5" t="s">
        <v>4938</v>
      </c>
      <c r="D5" s="2" t="s">
        <v>4914</v>
      </c>
    </row>
    <row r="6" spans="1:4" hidden="1" x14ac:dyDescent="0.2">
      <c r="A6" t="s">
        <v>4930</v>
      </c>
      <c r="B6" t="s">
        <v>4939</v>
      </c>
      <c r="C6" t="s">
        <v>4940</v>
      </c>
      <c r="D6" s="2" t="s">
        <v>4914</v>
      </c>
    </row>
    <row r="7" spans="1:4" hidden="1" x14ac:dyDescent="0.2">
      <c r="A7" t="s">
        <v>4930</v>
      </c>
      <c r="B7" t="s">
        <v>4941</v>
      </c>
      <c r="C7" t="s">
        <v>4942</v>
      </c>
      <c r="D7" s="2" t="s">
        <v>4914</v>
      </c>
    </row>
    <row r="8" spans="1:4" hidden="1" x14ac:dyDescent="0.2">
      <c r="A8" t="s">
        <v>4930</v>
      </c>
      <c r="B8" t="s">
        <v>4943</v>
      </c>
      <c r="C8" t="s">
        <v>4944</v>
      </c>
      <c r="D8" s="2" t="s">
        <v>4916</v>
      </c>
    </row>
    <row r="9" spans="1:4" hidden="1" x14ac:dyDescent="0.2">
      <c r="A9" t="s">
        <v>4930</v>
      </c>
      <c r="B9" t="s">
        <v>4945</v>
      </c>
      <c r="C9" t="s">
        <v>4917</v>
      </c>
      <c r="D9" s="2" t="s">
        <v>4916</v>
      </c>
    </row>
    <row r="10" spans="1:4" hidden="1" x14ac:dyDescent="0.2">
      <c r="A10" t="s">
        <v>4930</v>
      </c>
      <c r="B10" t="s">
        <v>4946</v>
      </c>
      <c r="C10" t="s">
        <v>4947</v>
      </c>
      <c r="D10" s="2" t="s">
        <v>4916</v>
      </c>
    </row>
    <row r="11" spans="1:4" hidden="1" x14ac:dyDescent="0.2">
      <c r="A11" t="s">
        <v>4930</v>
      </c>
      <c r="B11" t="s">
        <v>4948</v>
      </c>
      <c r="C11" t="s">
        <v>4949</v>
      </c>
      <c r="D11" s="2" t="s">
        <v>4916</v>
      </c>
    </row>
    <row r="12" spans="1:4" hidden="1" x14ac:dyDescent="0.2">
      <c r="A12" t="s">
        <v>4930</v>
      </c>
      <c r="B12" t="s">
        <v>4950</v>
      </c>
      <c r="C12" t="s">
        <v>4951</v>
      </c>
      <c r="D12" s="2" t="s">
        <v>4916</v>
      </c>
    </row>
    <row r="13" spans="1:4" hidden="1" x14ac:dyDescent="0.2">
      <c r="A13" t="s">
        <v>4930</v>
      </c>
      <c r="B13" t="s">
        <v>4952</v>
      </c>
      <c r="C13" t="s">
        <v>4953</v>
      </c>
      <c r="D13" s="2" t="s">
        <v>4916</v>
      </c>
    </row>
    <row r="14" spans="1:4" x14ac:dyDescent="0.2">
      <c r="A14" t="s">
        <v>4930</v>
      </c>
      <c r="B14" t="s">
        <v>4954</v>
      </c>
      <c r="C14" t="s">
        <v>4955</v>
      </c>
      <c r="D14" s="2" t="s">
        <v>4918</v>
      </c>
    </row>
    <row r="15" spans="1:4" x14ac:dyDescent="0.2">
      <c r="A15" t="s">
        <v>4930</v>
      </c>
      <c r="B15" t="s">
        <v>4956</v>
      </c>
      <c r="C15" t="s">
        <v>4957</v>
      </c>
      <c r="D15" s="2" t="s">
        <v>4918</v>
      </c>
    </row>
    <row r="16" spans="1:4" x14ac:dyDescent="0.2">
      <c r="A16" t="s">
        <v>4930</v>
      </c>
      <c r="B16" t="s">
        <v>4958</v>
      </c>
      <c r="C16" t="s">
        <v>4959</v>
      </c>
      <c r="D16" s="2" t="s">
        <v>4918</v>
      </c>
    </row>
    <row r="17" spans="1:4" x14ac:dyDescent="0.2">
      <c r="A17" t="s">
        <v>4930</v>
      </c>
      <c r="B17" t="s">
        <v>4960</v>
      </c>
      <c r="C17" t="s">
        <v>4919</v>
      </c>
      <c r="D17" s="2" t="s">
        <v>4918</v>
      </c>
    </row>
    <row r="18" spans="1:4" x14ac:dyDescent="0.2">
      <c r="A18" t="s">
        <v>4930</v>
      </c>
      <c r="B18" t="s">
        <v>4961</v>
      </c>
      <c r="C18" t="s">
        <v>4962</v>
      </c>
      <c r="D18" s="2" t="s">
        <v>4918</v>
      </c>
    </row>
    <row r="19" spans="1:4" x14ac:dyDescent="0.2">
      <c r="A19" t="s">
        <v>4930</v>
      </c>
      <c r="B19" t="s">
        <v>4963</v>
      </c>
      <c r="C19" t="s">
        <v>4964</v>
      </c>
      <c r="D19" s="2" t="s">
        <v>4918</v>
      </c>
    </row>
    <row r="20" spans="1:4" x14ac:dyDescent="0.2">
      <c r="A20" t="s">
        <v>4930</v>
      </c>
      <c r="B20" t="s">
        <v>4965</v>
      </c>
      <c r="C20" t="s">
        <v>4966</v>
      </c>
      <c r="D20" s="2" t="s">
        <v>4918</v>
      </c>
    </row>
    <row r="21" spans="1:4" x14ac:dyDescent="0.2">
      <c r="A21" t="s">
        <v>4930</v>
      </c>
      <c r="B21" t="s">
        <v>4967</v>
      </c>
      <c r="C21" t="s">
        <v>4968</v>
      </c>
      <c r="D21" s="2" t="s">
        <v>4918</v>
      </c>
    </row>
    <row r="22" spans="1:4" hidden="1" x14ac:dyDescent="0.2">
      <c r="A22" t="s">
        <v>4930</v>
      </c>
      <c r="B22" t="s">
        <v>4969</v>
      </c>
      <c r="C22" t="s">
        <v>4970</v>
      </c>
      <c r="D22" s="2" t="s">
        <v>4920</v>
      </c>
    </row>
    <row r="23" spans="1:4" hidden="1" x14ac:dyDescent="0.2">
      <c r="A23" t="s">
        <v>4930</v>
      </c>
      <c r="B23" t="s">
        <v>4971</v>
      </c>
      <c r="C23" t="s">
        <v>4972</v>
      </c>
      <c r="D23" s="2" t="s">
        <v>4920</v>
      </c>
    </row>
    <row r="24" spans="1:4" hidden="1" x14ac:dyDescent="0.2">
      <c r="A24" t="s">
        <v>4930</v>
      </c>
      <c r="B24" t="s">
        <v>4973</v>
      </c>
      <c r="C24" t="s">
        <v>4974</v>
      </c>
      <c r="D24" s="2" t="s">
        <v>4920</v>
      </c>
    </row>
    <row r="25" spans="1:4" hidden="1" x14ac:dyDescent="0.2">
      <c r="A25" t="s">
        <v>4930</v>
      </c>
      <c r="B25" t="s">
        <v>4975</v>
      </c>
      <c r="C25" t="s">
        <v>4976</v>
      </c>
      <c r="D25" s="2" t="s">
        <v>4920</v>
      </c>
    </row>
    <row r="26" spans="1:4" hidden="1" x14ac:dyDescent="0.2">
      <c r="A26" t="s">
        <v>4930</v>
      </c>
      <c r="B26" t="s">
        <v>4977</v>
      </c>
      <c r="C26" t="s">
        <v>4978</v>
      </c>
      <c r="D26" s="2" t="s">
        <v>4920</v>
      </c>
    </row>
    <row r="27" spans="1:4" hidden="1" x14ac:dyDescent="0.2">
      <c r="A27" t="s">
        <v>4930</v>
      </c>
      <c r="B27" t="s">
        <v>4979</v>
      </c>
      <c r="C27" t="s">
        <v>4980</v>
      </c>
      <c r="D27" s="2" t="s">
        <v>4920</v>
      </c>
    </row>
    <row r="28" spans="1:4" hidden="1" x14ac:dyDescent="0.2">
      <c r="A28" t="s">
        <v>4930</v>
      </c>
      <c r="B28" t="s">
        <v>4981</v>
      </c>
      <c r="C28" t="s">
        <v>4982</v>
      </c>
      <c r="D28" s="2" t="s">
        <v>4920</v>
      </c>
    </row>
    <row r="29" spans="1:4" hidden="1" x14ac:dyDescent="0.2">
      <c r="A29" t="s">
        <v>4930</v>
      </c>
      <c r="B29" t="s">
        <v>4983</v>
      </c>
      <c r="C29" t="s">
        <v>4984</v>
      </c>
      <c r="D29" s="2" t="s">
        <v>4920</v>
      </c>
    </row>
    <row r="30" spans="1:4" hidden="1" x14ac:dyDescent="0.2">
      <c r="A30" t="s">
        <v>4930</v>
      </c>
      <c r="B30" t="s">
        <v>4985</v>
      </c>
      <c r="C30" t="s">
        <v>4986</v>
      </c>
      <c r="D30" s="2" t="s">
        <v>4922</v>
      </c>
    </row>
    <row r="31" spans="1:4" hidden="1" x14ac:dyDescent="0.2">
      <c r="A31" t="s">
        <v>4930</v>
      </c>
      <c r="B31" t="s">
        <v>4987</v>
      </c>
      <c r="C31" t="s">
        <v>4988</v>
      </c>
      <c r="D31" s="2" t="s">
        <v>4922</v>
      </c>
    </row>
    <row r="32" spans="1:4" hidden="1" x14ac:dyDescent="0.2">
      <c r="A32" t="s">
        <v>4930</v>
      </c>
      <c r="B32" t="s">
        <v>4989</v>
      </c>
      <c r="C32" t="s">
        <v>4990</v>
      </c>
      <c r="D32" s="2" t="s">
        <v>4922</v>
      </c>
    </row>
    <row r="33" spans="1:4" hidden="1" x14ac:dyDescent="0.2">
      <c r="A33" t="s">
        <v>4930</v>
      </c>
      <c r="B33" t="s">
        <v>4991</v>
      </c>
      <c r="C33" t="s">
        <v>4992</v>
      </c>
      <c r="D33" s="2" t="s">
        <v>4922</v>
      </c>
    </row>
    <row r="34" spans="1:4" hidden="1" x14ac:dyDescent="0.2">
      <c r="A34" t="s">
        <v>4930</v>
      </c>
      <c r="B34" t="s">
        <v>4993</v>
      </c>
      <c r="C34" t="s">
        <v>4994</v>
      </c>
      <c r="D34" s="2" t="s">
        <v>4922</v>
      </c>
    </row>
    <row r="35" spans="1:4" hidden="1" x14ac:dyDescent="0.2">
      <c r="A35" t="s">
        <v>4930</v>
      </c>
      <c r="B35" t="s">
        <v>4995</v>
      </c>
      <c r="C35" t="s">
        <v>4996</v>
      </c>
      <c r="D35" s="2" t="s">
        <v>4922</v>
      </c>
    </row>
    <row r="36" spans="1:4" hidden="1" x14ac:dyDescent="0.2">
      <c r="A36" t="s">
        <v>4930</v>
      </c>
      <c r="B36" t="s">
        <v>4997</v>
      </c>
      <c r="C36" t="s">
        <v>4998</v>
      </c>
      <c r="D36" s="2" t="s">
        <v>4922</v>
      </c>
    </row>
    <row r="37" spans="1:4" hidden="1" x14ac:dyDescent="0.2">
      <c r="A37" t="s">
        <v>4930</v>
      </c>
      <c r="B37" t="s">
        <v>4999</v>
      </c>
      <c r="C37" t="s">
        <v>5000</v>
      </c>
      <c r="D37" s="2" t="s">
        <v>4922</v>
      </c>
    </row>
    <row r="38" spans="1:4" hidden="1" x14ac:dyDescent="0.2">
      <c r="A38" t="s">
        <v>4930</v>
      </c>
      <c r="B38" t="s">
        <v>5001</v>
      </c>
      <c r="C38" t="s">
        <v>4923</v>
      </c>
      <c r="D38" s="2" t="s">
        <v>4922</v>
      </c>
    </row>
    <row r="39" spans="1:4" hidden="1" x14ac:dyDescent="0.2">
      <c r="A39" t="s">
        <v>4930</v>
      </c>
      <c r="B39" t="s">
        <v>5002</v>
      </c>
      <c r="C39" t="s">
        <v>5003</v>
      </c>
      <c r="D39" s="2" t="s">
        <v>4922</v>
      </c>
    </row>
    <row r="40" spans="1:4" hidden="1" x14ac:dyDescent="0.2">
      <c r="A40" t="s">
        <v>4930</v>
      </c>
      <c r="B40" t="s">
        <v>5004</v>
      </c>
      <c r="C40" t="s">
        <v>5005</v>
      </c>
      <c r="D40" s="2" t="s">
        <v>4922</v>
      </c>
    </row>
    <row r="41" spans="1:4" hidden="1" x14ac:dyDescent="0.2">
      <c r="A41" t="s">
        <v>4930</v>
      </c>
      <c r="B41" t="s">
        <v>5006</v>
      </c>
      <c r="C41" t="s">
        <v>5007</v>
      </c>
      <c r="D41" s="2" t="s">
        <v>4922</v>
      </c>
    </row>
    <row r="42" spans="1:4" hidden="1" x14ac:dyDescent="0.2">
      <c r="A42" t="s">
        <v>4930</v>
      </c>
      <c r="B42" t="s">
        <v>5008</v>
      </c>
      <c r="C42" t="s">
        <v>5009</v>
      </c>
      <c r="D42" s="2" t="s">
        <v>4924</v>
      </c>
    </row>
    <row r="43" spans="1:4" hidden="1" x14ac:dyDescent="0.2">
      <c r="A43" t="s">
        <v>4930</v>
      </c>
      <c r="B43" t="s">
        <v>5010</v>
      </c>
      <c r="C43" t="s">
        <v>5011</v>
      </c>
      <c r="D43" s="2" t="s">
        <v>4924</v>
      </c>
    </row>
    <row r="44" spans="1:4" hidden="1" x14ac:dyDescent="0.2">
      <c r="A44" t="s">
        <v>4930</v>
      </c>
      <c r="B44" t="s">
        <v>5012</v>
      </c>
      <c r="C44" t="s">
        <v>5013</v>
      </c>
      <c r="D44" s="2" t="s">
        <v>4924</v>
      </c>
    </row>
    <row r="45" spans="1:4" hidden="1" x14ac:dyDescent="0.2">
      <c r="A45" t="s">
        <v>4930</v>
      </c>
      <c r="B45" t="s">
        <v>5014</v>
      </c>
      <c r="C45" t="s">
        <v>5015</v>
      </c>
      <c r="D45" s="2" t="s">
        <v>4924</v>
      </c>
    </row>
    <row r="46" spans="1:4" hidden="1" x14ac:dyDescent="0.2">
      <c r="A46" t="s">
        <v>4930</v>
      </c>
      <c r="B46" t="s">
        <v>5016</v>
      </c>
      <c r="C46" t="s">
        <v>5017</v>
      </c>
      <c r="D46" s="2" t="s">
        <v>4924</v>
      </c>
    </row>
    <row r="47" spans="1:4" hidden="1" x14ac:dyDescent="0.2">
      <c r="A47" t="s">
        <v>4930</v>
      </c>
      <c r="B47" t="s">
        <v>5018</v>
      </c>
      <c r="C47" t="s">
        <v>5019</v>
      </c>
      <c r="D47" s="2" t="s">
        <v>4924</v>
      </c>
    </row>
    <row r="48" spans="1:4" hidden="1" x14ac:dyDescent="0.2">
      <c r="A48" t="s">
        <v>4930</v>
      </c>
      <c r="B48" t="s">
        <v>5020</v>
      </c>
      <c r="C48" t="s">
        <v>5021</v>
      </c>
      <c r="D48" s="2" t="s">
        <v>4924</v>
      </c>
    </row>
    <row r="49" spans="1:4" hidden="1" x14ac:dyDescent="0.2">
      <c r="A49" t="s">
        <v>4930</v>
      </c>
      <c r="B49" t="s">
        <v>5022</v>
      </c>
      <c r="C49" t="s">
        <v>5023</v>
      </c>
      <c r="D49" s="2" t="s">
        <v>4924</v>
      </c>
    </row>
    <row r="50" spans="1:4" hidden="1" x14ac:dyDescent="0.2">
      <c r="A50" t="s">
        <v>4930</v>
      </c>
      <c r="B50" t="s">
        <v>5024</v>
      </c>
      <c r="C50" t="s">
        <v>5025</v>
      </c>
      <c r="D50" s="2" t="s">
        <v>4924</v>
      </c>
    </row>
    <row r="51" spans="1:4" hidden="1" x14ac:dyDescent="0.2">
      <c r="A51" t="s">
        <v>4930</v>
      </c>
      <c r="B51" t="s">
        <v>5026</v>
      </c>
      <c r="C51" t="s">
        <v>5027</v>
      </c>
      <c r="D51" s="2" t="s">
        <v>4924</v>
      </c>
    </row>
    <row r="52" spans="1:4" hidden="1" x14ac:dyDescent="0.2">
      <c r="A52" t="s">
        <v>4930</v>
      </c>
      <c r="B52" t="s">
        <v>5028</v>
      </c>
      <c r="C52" t="s">
        <v>5029</v>
      </c>
      <c r="D52" s="2" t="s">
        <v>4924</v>
      </c>
    </row>
    <row r="53" spans="1:4" hidden="1" x14ac:dyDescent="0.2">
      <c r="A53" t="s">
        <v>4930</v>
      </c>
      <c r="B53" t="s">
        <v>5030</v>
      </c>
      <c r="C53" t="s">
        <v>5031</v>
      </c>
      <c r="D53" s="2" t="s">
        <v>4924</v>
      </c>
    </row>
    <row r="54" spans="1:4" hidden="1" x14ac:dyDescent="0.2">
      <c r="A54" t="s">
        <v>4930</v>
      </c>
      <c r="B54" t="s">
        <v>5032</v>
      </c>
      <c r="C54" t="s">
        <v>5033</v>
      </c>
      <c r="D54" s="2" t="s">
        <v>4924</v>
      </c>
    </row>
    <row r="55" spans="1:4" hidden="1" x14ac:dyDescent="0.2">
      <c r="A55" t="s">
        <v>4930</v>
      </c>
      <c r="B55" t="s">
        <v>5034</v>
      </c>
      <c r="C55" t="s">
        <v>5035</v>
      </c>
      <c r="D55" s="2" t="s">
        <v>4926</v>
      </c>
    </row>
    <row r="56" spans="1:4" hidden="1" x14ac:dyDescent="0.2">
      <c r="A56" t="s">
        <v>4930</v>
      </c>
      <c r="B56" t="s">
        <v>5036</v>
      </c>
      <c r="C56" t="s">
        <v>5037</v>
      </c>
      <c r="D56" s="2" t="s">
        <v>4926</v>
      </c>
    </row>
    <row r="57" spans="1:4" hidden="1" x14ac:dyDescent="0.2">
      <c r="A57" t="s">
        <v>4930</v>
      </c>
      <c r="B57" t="s">
        <v>5038</v>
      </c>
      <c r="C57" t="s">
        <v>5039</v>
      </c>
      <c r="D57" s="2" t="s">
        <v>4926</v>
      </c>
    </row>
    <row r="58" spans="1:4" hidden="1" x14ac:dyDescent="0.2">
      <c r="A58" t="s">
        <v>4930</v>
      </c>
      <c r="B58" t="s">
        <v>5040</v>
      </c>
      <c r="C58" t="s">
        <v>5041</v>
      </c>
      <c r="D58" s="2" t="s">
        <v>4926</v>
      </c>
    </row>
    <row r="59" spans="1:4" hidden="1" x14ac:dyDescent="0.2">
      <c r="A59" t="s">
        <v>4930</v>
      </c>
      <c r="B59" t="s">
        <v>5042</v>
      </c>
      <c r="C59" t="s">
        <v>5043</v>
      </c>
      <c r="D59" s="2" t="s">
        <v>4926</v>
      </c>
    </row>
    <row r="60" spans="1:4" hidden="1" x14ac:dyDescent="0.2">
      <c r="A60" t="s">
        <v>4930</v>
      </c>
      <c r="B60" t="s">
        <v>5044</v>
      </c>
      <c r="C60" t="s">
        <v>5045</v>
      </c>
      <c r="D60" s="2" t="s">
        <v>4926</v>
      </c>
    </row>
    <row r="61" spans="1:4" hidden="1" x14ac:dyDescent="0.2">
      <c r="A61" t="s">
        <v>4930</v>
      </c>
      <c r="B61" t="s">
        <v>5046</v>
      </c>
      <c r="C61" t="s">
        <v>5047</v>
      </c>
      <c r="D61" s="2" t="s">
        <v>4926</v>
      </c>
    </row>
    <row r="62" spans="1:4" hidden="1" x14ac:dyDescent="0.2">
      <c r="A62" t="s">
        <v>4930</v>
      </c>
      <c r="B62" t="s">
        <v>5048</v>
      </c>
      <c r="C62" t="s">
        <v>5049</v>
      </c>
      <c r="D62" s="2" t="s">
        <v>4926</v>
      </c>
    </row>
    <row r="63" spans="1:4" hidden="1" x14ac:dyDescent="0.2">
      <c r="A63" t="s">
        <v>4930</v>
      </c>
      <c r="B63" t="s">
        <v>5050</v>
      </c>
      <c r="C63" t="s">
        <v>5051</v>
      </c>
      <c r="D63" s="2" t="s">
        <v>4926</v>
      </c>
    </row>
    <row r="64" spans="1:4" hidden="1" x14ac:dyDescent="0.2">
      <c r="A64" t="s">
        <v>4930</v>
      </c>
      <c r="B64" t="s">
        <v>5052</v>
      </c>
      <c r="C64" t="s">
        <v>5053</v>
      </c>
      <c r="D64" s="2" t="s">
        <v>4926</v>
      </c>
    </row>
  </sheetData>
  <autoFilter ref="A1:D64" xr:uid="{00000000-0009-0000-0000-000002000000}">
    <filterColumn colId="3">
      <filters>
        <filter val="NE003"/>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B3" sqref="B3"/>
    </sheetView>
  </sheetViews>
  <sheetFormatPr baseColWidth="10" defaultColWidth="8.83203125" defaultRowHeight="15" x14ac:dyDescent="0.2"/>
  <cols>
    <col min="1" max="4" width="28.1640625" style="2" customWidth="1"/>
    <col min="5" max="6" width="8.83203125" style="2" customWidth="1"/>
    <col min="7" max="16384" width="8.83203125" style="2"/>
  </cols>
  <sheetData>
    <row r="1" spans="1:4" s="1" customFormat="1" x14ac:dyDescent="0.2">
      <c r="A1" s="5" t="s">
        <v>5054</v>
      </c>
      <c r="B1" s="5" t="s">
        <v>5055</v>
      </c>
      <c r="C1" s="5" t="s">
        <v>5056</v>
      </c>
      <c r="D1" s="5" t="s">
        <v>5057</v>
      </c>
    </row>
    <row r="2" spans="1:4" x14ac:dyDescent="0.2">
      <c r="A2" s="2" t="s">
        <v>5058</v>
      </c>
      <c r="B2" s="3" t="s">
        <v>5059</v>
      </c>
      <c r="C2" t="s">
        <v>53</v>
      </c>
      <c r="D2" s="2" t="s">
        <v>5060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94"/>
  <sheetViews>
    <sheetView workbookViewId="0">
      <pane ySplit="3" topLeftCell="A4" activePane="bottomLeft" state="frozen"/>
      <selection activeCell="F7" sqref="F7"/>
      <selection pane="bottomLeft" activeCell="F7" sqref="F7"/>
    </sheetView>
  </sheetViews>
  <sheetFormatPr baseColWidth="10" defaultColWidth="10.83203125" defaultRowHeight="15" x14ac:dyDescent="0.2"/>
  <cols>
    <col min="1" max="2" width="10.83203125" style="135" customWidth="1"/>
    <col min="3" max="3" width="15.1640625" style="149" customWidth="1"/>
    <col min="4" max="4" width="10.83203125" style="150" customWidth="1"/>
    <col min="5" max="5" width="28.5" style="151" customWidth="1"/>
    <col min="6" max="6" width="32" style="151" customWidth="1"/>
    <col min="7" max="8" width="10.83203125" style="135" customWidth="1"/>
    <col min="9" max="16384" width="10.83203125" style="135"/>
  </cols>
  <sheetData>
    <row r="2" spans="2:6" x14ac:dyDescent="0.2">
      <c r="C2" s="136"/>
      <c r="D2" s="137"/>
      <c r="E2" s="138"/>
      <c r="F2" s="138"/>
    </row>
    <row r="3" spans="2:6" ht="30" customHeight="1" x14ac:dyDescent="0.2">
      <c r="B3" s="139"/>
      <c r="C3" s="140" t="s">
        <v>5061</v>
      </c>
      <c r="D3" s="141" t="s">
        <v>5062</v>
      </c>
      <c r="E3" s="142" t="s">
        <v>5063</v>
      </c>
      <c r="F3" s="142" t="s">
        <v>5064</v>
      </c>
    </row>
    <row r="4" spans="2:6" ht="15.75" customHeight="1" x14ac:dyDescent="0.2">
      <c r="B4" s="139"/>
      <c r="C4" s="6" t="s">
        <v>5065</v>
      </c>
      <c r="D4" s="143" t="s">
        <v>4235</v>
      </c>
      <c r="E4" s="144" t="s">
        <v>4236</v>
      </c>
      <c r="F4" s="144" t="s">
        <v>4237</v>
      </c>
    </row>
    <row r="5" spans="2:6" ht="15.75" customHeight="1" x14ac:dyDescent="0.2">
      <c r="B5" s="139"/>
      <c r="C5" s="6"/>
      <c r="D5" s="143" t="s">
        <v>4307</v>
      </c>
      <c r="E5" s="144" t="s">
        <v>4308</v>
      </c>
      <c r="F5" s="144" t="s">
        <v>4309</v>
      </c>
    </row>
    <row r="6" spans="2:6" ht="15.75" customHeight="1" x14ac:dyDescent="0.2">
      <c r="B6" s="139"/>
      <c r="C6" s="6"/>
      <c r="D6" s="143" t="s">
        <v>4314</v>
      </c>
      <c r="E6" s="144" t="s">
        <v>4315</v>
      </c>
      <c r="F6" s="144" t="s">
        <v>4316</v>
      </c>
    </row>
    <row r="7" spans="2:6" ht="15.75" customHeight="1" x14ac:dyDescent="0.2">
      <c r="B7" s="139"/>
      <c r="C7" s="6"/>
      <c r="D7" s="143" t="s">
        <v>4322</v>
      </c>
      <c r="E7" s="144" t="s">
        <v>4323</v>
      </c>
      <c r="F7" s="144" t="s">
        <v>4324</v>
      </c>
    </row>
    <row r="8" spans="2:6" ht="15.75" customHeight="1" x14ac:dyDescent="0.2">
      <c r="B8" s="139"/>
      <c r="C8" s="6" t="s">
        <v>5065</v>
      </c>
      <c r="D8" s="143" t="s">
        <v>4243</v>
      </c>
      <c r="E8" s="144" t="s">
        <v>4244</v>
      </c>
      <c r="F8" s="144" t="s">
        <v>4245</v>
      </c>
    </row>
    <row r="9" spans="2:6" ht="15.75" customHeight="1" x14ac:dyDescent="0.2">
      <c r="B9" s="139"/>
      <c r="C9" s="6"/>
      <c r="D9" s="143" t="s">
        <v>4330</v>
      </c>
      <c r="E9" s="144" t="s">
        <v>4331</v>
      </c>
      <c r="F9" s="144" t="s">
        <v>4332</v>
      </c>
    </row>
    <row r="10" spans="2:6" ht="15.75" customHeight="1" x14ac:dyDescent="0.2">
      <c r="B10" s="139"/>
      <c r="C10" s="177"/>
      <c r="D10" s="143" t="s">
        <v>4337</v>
      </c>
      <c r="E10" s="145" t="s">
        <v>4338</v>
      </c>
      <c r="F10" s="145" t="s">
        <v>4339</v>
      </c>
    </row>
    <row r="11" spans="2:6" ht="15.75" customHeight="1" x14ac:dyDescent="0.2">
      <c r="B11" s="139"/>
      <c r="C11" s="6" t="s">
        <v>5065</v>
      </c>
      <c r="D11" s="143" t="s">
        <v>4251</v>
      </c>
      <c r="E11" s="144" t="s">
        <v>4252</v>
      </c>
      <c r="F11" s="144" t="s">
        <v>4253</v>
      </c>
    </row>
    <row r="12" spans="2:6" ht="15.75" customHeight="1" x14ac:dyDescent="0.2">
      <c r="B12" s="139"/>
      <c r="C12" s="6" t="s">
        <v>5065</v>
      </c>
      <c r="D12" s="143" t="s">
        <v>4258</v>
      </c>
      <c r="E12" s="144" t="s">
        <v>4259</v>
      </c>
      <c r="F12" s="144" t="s">
        <v>4260</v>
      </c>
    </row>
    <row r="13" spans="2:6" ht="15.75" customHeight="1" x14ac:dyDescent="0.2">
      <c r="B13" s="139"/>
      <c r="C13" s="6"/>
      <c r="D13" s="143" t="s">
        <v>4345</v>
      </c>
      <c r="E13" s="144" t="s">
        <v>4346</v>
      </c>
      <c r="F13" s="144" t="s">
        <v>4347</v>
      </c>
    </row>
    <row r="14" spans="2:6" ht="15.75" customHeight="1" x14ac:dyDescent="0.2">
      <c r="B14" s="139"/>
      <c r="C14" s="6"/>
      <c r="D14" s="143" t="s">
        <v>4353</v>
      </c>
      <c r="E14" s="144" t="s">
        <v>4354</v>
      </c>
      <c r="F14" s="144" t="s">
        <v>4355</v>
      </c>
    </row>
    <row r="15" spans="2:6" ht="15.75" customHeight="1" x14ac:dyDescent="0.2">
      <c r="B15" s="139"/>
      <c r="C15" s="6" t="s">
        <v>5065</v>
      </c>
      <c r="D15" s="143" t="s">
        <v>4266</v>
      </c>
      <c r="E15" s="144" t="s">
        <v>4267</v>
      </c>
      <c r="F15" s="144" t="s">
        <v>4268</v>
      </c>
    </row>
    <row r="16" spans="2:6" ht="15.75" customHeight="1" x14ac:dyDescent="0.2">
      <c r="B16" s="139"/>
      <c r="C16" s="6"/>
      <c r="D16" s="143" t="s">
        <v>4361</v>
      </c>
      <c r="E16" s="144" t="s">
        <v>4362</v>
      </c>
      <c r="F16" s="144" t="s">
        <v>4363</v>
      </c>
    </row>
    <row r="17" spans="2:6" ht="15.75" customHeight="1" x14ac:dyDescent="0.2">
      <c r="B17" s="139"/>
      <c r="C17" s="177"/>
      <c r="D17" s="143" t="s">
        <v>4368</v>
      </c>
      <c r="E17" s="145" t="s">
        <v>4369</v>
      </c>
      <c r="F17" s="145" t="s">
        <v>4370</v>
      </c>
    </row>
    <row r="18" spans="2:6" ht="15.75" customHeight="1" x14ac:dyDescent="0.2">
      <c r="B18" s="139"/>
      <c r="C18" s="6"/>
      <c r="D18" s="143" t="s">
        <v>4376</v>
      </c>
      <c r="E18" s="144" t="s">
        <v>4377</v>
      </c>
      <c r="F18" s="144" t="s">
        <v>4378</v>
      </c>
    </row>
    <row r="19" spans="2:6" ht="15.75" customHeight="1" x14ac:dyDescent="0.2">
      <c r="B19" s="139"/>
      <c r="C19" s="6"/>
      <c r="D19" s="143" t="s">
        <v>4379</v>
      </c>
      <c r="E19" s="144" t="s">
        <v>4380</v>
      </c>
      <c r="F19" s="144" t="s">
        <v>4381</v>
      </c>
    </row>
    <row r="20" spans="2:6" ht="15.75" customHeight="1" x14ac:dyDescent="0.2">
      <c r="B20" s="139"/>
      <c r="C20" s="6"/>
      <c r="D20" s="143" t="s">
        <v>4387</v>
      </c>
      <c r="E20" s="144" t="s">
        <v>4388</v>
      </c>
      <c r="F20" s="144" t="s">
        <v>4389</v>
      </c>
    </row>
    <row r="21" spans="2:6" ht="15.75" customHeight="1" x14ac:dyDescent="0.2">
      <c r="B21" s="139"/>
      <c r="C21" s="6"/>
      <c r="D21" s="143" t="s">
        <v>4395</v>
      </c>
      <c r="E21" s="144" t="s">
        <v>4396</v>
      </c>
      <c r="F21" s="144" t="s">
        <v>4397</v>
      </c>
    </row>
    <row r="22" spans="2:6" ht="15.75" customHeight="1" x14ac:dyDescent="0.2">
      <c r="B22" s="139"/>
      <c r="C22" s="6"/>
      <c r="D22" s="143" t="s">
        <v>4403</v>
      </c>
      <c r="E22" s="144" t="s">
        <v>4404</v>
      </c>
      <c r="F22" s="144" t="s">
        <v>4405</v>
      </c>
    </row>
    <row r="23" spans="2:6" ht="15.75" customHeight="1" x14ac:dyDescent="0.2">
      <c r="B23" s="139"/>
      <c r="C23" s="6"/>
      <c r="D23" s="143" t="s">
        <v>4411</v>
      </c>
      <c r="E23" s="144" t="s">
        <v>4412</v>
      </c>
      <c r="F23" s="144" t="s">
        <v>4413</v>
      </c>
    </row>
    <row r="24" spans="2:6" ht="15.75" customHeight="1" x14ac:dyDescent="0.2">
      <c r="B24" s="139"/>
      <c r="C24" s="6"/>
      <c r="D24" s="143" t="s">
        <v>4417</v>
      </c>
      <c r="E24" s="144" t="s">
        <v>4418</v>
      </c>
      <c r="F24" s="144" t="s">
        <v>4419</v>
      </c>
    </row>
    <row r="25" spans="2:6" ht="15.75" customHeight="1" x14ac:dyDescent="0.2">
      <c r="B25" s="139"/>
      <c r="C25" s="177"/>
      <c r="D25" s="143" t="s">
        <v>4424</v>
      </c>
      <c r="E25" s="145" t="s">
        <v>4425</v>
      </c>
      <c r="F25" s="145" t="s">
        <v>4426</v>
      </c>
    </row>
    <row r="26" spans="2:6" ht="15.75" customHeight="1" x14ac:dyDescent="0.2">
      <c r="B26" s="139"/>
      <c r="C26" s="6" t="s">
        <v>5065</v>
      </c>
      <c r="D26" s="143" t="s">
        <v>4273</v>
      </c>
      <c r="E26" s="144" t="s">
        <v>4274</v>
      </c>
      <c r="F26" s="144" t="s">
        <v>4275</v>
      </c>
    </row>
    <row r="27" spans="2:6" ht="15.75" customHeight="1" x14ac:dyDescent="0.2">
      <c r="B27" s="139"/>
      <c r="C27" s="6" t="s">
        <v>5065</v>
      </c>
      <c r="D27" s="143" t="s">
        <v>4280</v>
      </c>
      <c r="E27" s="144" t="s">
        <v>4281</v>
      </c>
      <c r="F27" s="144" t="s">
        <v>4282</v>
      </c>
    </row>
    <row r="28" spans="2:6" ht="15.75" customHeight="1" x14ac:dyDescent="0.2">
      <c r="B28" s="139"/>
      <c r="C28" s="6"/>
      <c r="D28" s="143" t="s">
        <v>4440</v>
      </c>
      <c r="E28" s="144" t="s">
        <v>4441</v>
      </c>
      <c r="F28" s="144" t="s">
        <v>4442</v>
      </c>
    </row>
    <row r="29" spans="2:6" ht="15.75" customHeight="1" x14ac:dyDescent="0.2">
      <c r="B29" s="139"/>
      <c r="C29" s="6"/>
      <c r="D29" s="143" t="s">
        <v>4448</v>
      </c>
      <c r="E29" s="144" t="s">
        <v>4449</v>
      </c>
      <c r="F29" s="144" t="s">
        <v>4450</v>
      </c>
    </row>
    <row r="30" spans="2:6" ht="15.75" customHeight="1" x14ac:dyDescent="0.2">
      <c r="B30" s="139"/>
      <c r="C30" s="6"/>
      <c r="D30" s="143" t="s">
        <v>4456</v>
      </c>
      <c r="E30" s="144" t="s">
        <v>4457</v>
      </c>
      <c r="F30" s="144" t="s">
        <v>4458</v>
      </c>
    </row>
    <row r="31" spans="2:6" ht="15.75" customHeight="1" x14ac:dyDescent="0.2">
      <c r="B31" s="139"/>
      <c r="C31" s="6" t="s">
        <v>5065</v>
      </c>
      <c r="D31" s="143" t="s">
        <v>4286</v>
      </c>
      <c r="E31" s="144" t="s">
        <v>4287</v>
      </c>
      <c r="F31" s="144" t="s">
        <v>4287</v>
      </c>
    </row>
    <row r="32" spans="2:6" ht="15.75" customHeight="1" x14ac:dyDescent="0.2">
      <c r="B32" s="139"/>
      <c r="C32" s="6"/>
      <c r="D32" s="143" t="s">
        <v>4464</v>
      </c>
      <c r="E32" s="144" t="s">
        <v>4465</v>
      </c>
      <c r="F32" s="144" t="s">
        <v>4466</v>
      </c>
    </row>
    <row r="33" spans="2:6" ht="30" customHeight="1" x14ac:dyDescent="0.2">
      <c r="B33" s="139"/>
      <c r="C33" s="6"/>
      <c r="D33" s="143" t="s">
        <v>4472</v>
      </c>
      <c r="E33" s="144" t="s">
        <v>4473</v>
      </c>
      <c r="F33" s="144" t="s">
        <v>4474</v>
      </c>
    </row>
    <row r="34" spans="2:6" ht="15.75" customHeight="1" x14ac:dyDescent="0.2">
      <c r="B34" s="139"/>
      <c r="C34" s="6"/>
      <c r="D34" s="143" t="s">
        <v>4432</v>
      </c>
      <c r="E34" s="144" t="s">
        <v>4433</v>
      </c>
      <c r="F34" s="144" t="s">
        <v>4434</v>
      </c>
    </row>
    <row r="35" spans="2:6" ht="15.75" customHeight="1" x14ac:dyDescent="0.2">
      <c r="B35" s="139"/>
      <c r="C35" s="177"/>
      <c r="D35" s="143" t="s">
        <v>4480</v>
      </c>
      <c r="E35" s="145" t="s">
        <v>4481</v>
      </c>
      <c r="F35" s="145" t="s">
        <v>4482</v>
      </c>
    </row>
    <row r="36" spans="2:6" ht="15.75" customHeight="1" x14ac:dyDescent="0.2">
      <c r="B36" s="139"/>
      <c r="C36" s="6" t="s">
        <v>5065</v>
      </c>
      <c r="D36" s="143" t="s">
        <v>4292</v>
      </c>
      <c r="E36" s="144" t="s">
        <v>4293</v>
      </c>
      <c r="F36" s="144" t="s">
        <v>4294</v>
      </c>
    </row>
    <row r="37" spans="2:6" ht="15.75" customHeight="1" x14ac:dyDescent="0.2">
      <c r="B37" s="139"/>
      <c r="C37" s="6"/>
      <c r="D37" s="143" t="s">
        <v>4504</v>
      </c>
      <c r="E37" s="144" t="s">
        <v>4505</v>
      </c>
      <c r="F37" s="144" t="s">
        <v>4506</v>
      </c>
    </row>
    <row r="38" spans="2:6" ht="15.75" customHeight="1" x14ac:dyDescent="0.2">
      <c r="B38" s="139"/>
      <c r="C38" s="6"/>
      <c r="D38" s="143" t="s">
        <v>4512</v>
      </c>
      <c r="E38" s="144" t="s">
        <v>4513</v>
      </c>
      <c r="F38" s="144" t="s">
        <v>4514</v>
      </c>
    </row>
    <row r="39" spans="2:6" ht="15.75" customHeight="1" x14ac:dyDescent="0.2">
      <c r="B39" s="139"/>
      <c r="C39" s="6"/>
      <c r="D39" s="143" t="s">
        <v>4520</v>
      </c>
      <c r="E39" s="144" t="s">
        <v>4521</v>
      </c>
      <c r="F39" s="144" t="s">
        <v>4522</v>
      </c>
    </row>
    <row r="40" spans="2:6" ht="15.75" customHeight="1" x14ac:dyDescent="0.2">
      <c r="B40" s="139"/>
      <c r="C40" s="6"/>
      <c r="D40" s="143" t="s">
        <v>4528</v>
      </c>
      <c r="E40" s="144" t="s">
        <v>4529</v>
      </c>
      <c r="F40" s="144" t="s">
        <v>4530</v>
      </c>
    </row>
    <row r="41" spans="2:6" ht="15.75" customHeight="1" x14ac:dyDescent="0.2">
      <c r="B41" s="139"/>
      <c r="C41" s="6"/>
      <c r="D41" s="143" t="s">
        <v>4535</v>
      </c>
      <c r="E41" s="144" t="s">
        <v>4536</v>
      </c>
      <c r="F41" s="144" t="s">
        <v>4536</v>
      </c>
    </row>
    <row r="42" spans="2:6" ht="15.75" customHeight="1" x14ac:dyDescent="0.2">
      <c r="B42" s="139"/>
      <c r="C42" s="6"/>
      <c r="D42" s="143" t="s">
        <v>4542</v>
      </c>
      <c r="E42" s="144" t="s">
        <v>4543</v>
      </c>
      <c r="F42" s="144" t="s">
        <v>4544</v>
      </c>
    </row>
    <row r="43" spans="2:6" ht="15.75" customHeight="1" x14ac:dyDescent="0.2">
      <c r="B43" s="139"/>
      <c r="C43" s="6"/>
      <c r="D43" s="143" t="s">
        <v>4550</v>
      </c>
      <c r="E43" s="144" t="s">
        <v>4551</v>
      </c>
      <c r="F43" s="144" t="s">
        <v>4552</v>
      </c>
    </row>
    <row r="44" spans="2:6" ht="15.75" customHeight="1" x14ac:dyDescent="0.2">
      <c r="B44" s="139"/>
      <c r="C44" s="6" t="s">
        <v>5065</v>
      </c>
      <c r="D44" s="143" t="s">
        <v>4299</v>
      </c>
      <c r="E44" s="144" t="s">
        <v>4300</v>
      </c>
      <c r="F44" s="144" t="s">
        <v>4301</v>
      </c>
    </row>
    <row r="45" spans="2:6" ht="15.75" customHeight="1" x14ac:dyDescent="0.2">
      <c r="B45" s="139"/>
      <c r="C45" s="6"/>
      <c r="D45" s="143" t="s">
        <v>4488</v>
      </c>
      <c r="E45" s="144" t="s">
        <v>4489</v>
      </c>
      <c r="F45" s="144" t="s">
        <v>4490</v>
      </c>
    </row>
    <row r="46" spans="2:6" ht="15.75" customHeight="1" x14ac:dyDescent="0.2">
      <c r="B46" s="139"/>
      <c r="C46" s="6"/>
      <c r="D46" s="143" t="s">
        <v>4496</v>
      </c>
      <c r="E46" s="144" t="s">
        <v>4497</v>
      </c>
      <c r="F46" s="144" t="s">
        <v>4498</v>
      </c>
    </row>
    <row r="47" spans="2:6" ht="15.75" customHeight="1" x14ac:dyDescent="0.2">
      <c r="B47" s="139"/>
      <c r="C47" s="177"/>
      <c r="D47" s="143" t="s">
        <v>4557</v>
      </c>
      <c r="E47" s="145" t="s">
        <v>4558</v>
      </c>
      <c r="F47" s="145" t="s">
        <v>4559</v>
      </c>
    </row>
    <row r="48" spans="2:6" ht="15.75" customHeight="1" x14ac:dyDescent="0.2">
      <c r="B48" s="139"/>
      <c r="C48" s="6"/>
      <c r="D48" s="143" t="s">
        <v>4565</v>
      </c>
      <c r="E48" s="144" t="s">
        <v>4566</v>
      </c>
      <c r="F48" s="144" t="s">
        <v>4566</v>
      </c>
    </row>
    <row r="49" spans="2:6" ht="15.75" customHeight="1" x14ac:dyDescent="0.2">
      <c r="B49" s="139"/>
      <c r="C49" s="6"/>
      <c r="D49" s="143" t="s">
        <v>4572</v>
      </c>
      <c r="E49" s="144" t="s">
        <v>4573</v>
      </c>
      <c r="F49" s="144" t="s">
        <v>4574</v>
      </c>
    </row>
    <row r="50" spans="2:6" ht="15.75" customHeight="1" x14ac:dyDescent="0.2">
      <c r="B50" s="139"/>
      <c r="C50" s="6"/>
      <c r="D50" s="143" t="s">
        <v>4580</v>
      </c>
      <c r="E50" s="144" t="s">
        <v>4581</v>
      </c>
      <c r="F50" s="144" t="s">
        <v>4582</v>
      </c>
    </row>
    <row r="51" spans="2:6" ht="15.75" customHeight="1" x14ac:dyDescent="0.2">
      <c r="B51" s="139"/>
      <c r="C51" s="6"/>
      <c r="D51" s="143" t="s">
        <v>4588</v>
      </c>
      <c r="E51" s="144" t="s">
        <v>4589</v>
      </c>
      <c r="F51" s="144" t="s">
        <v>4590</v>
      </c>
    </row>
    <row r="52" spans="2:6" ht="15.75" customHeight="1" x14ac:dyDescent="0.2">
      <c r="B52" s="139"/>
      <c r="C52" s="177"/>
      <c r="D52" s="143" t="s">
        <v>4595</v>
      </c>
      <c r="E52" s="145" t="s">
        <v>4596</v>
      </c>
      <c r="F52" s="145" t="s">
        <v>4597</v>
      </c>
    </row>
    <row r="53" spans="2:6" ht="15.75" customHeight="1" x14ac:dyDescent="0.2">
      <c r="B53" s="139"/>
      <c r="C53" s="6"/>
      <c r="D53" s="143" t="s">
        <v>4602</v>
      </c>
      <c r="E53" s="144" t="s">
        <v>4603</v>
      </c>
      <c r="F53" s="144" t="s">
        <v>4604</v>
      </c>
    </row>
    <row r="54" spans="2:6" ht="15.75" customHeight="1" x14ac:dyDescent="0.2">
      <c r="B54" s="139"/>
      <c r="C54" s="6"/>
      <c r="D54" s="143" t="s">
        <v>4671</v>
      </c>
      <c r="E54" s="144" t="s">
        <v>4672</v>
      </c>
      <c r="F54" s="144" t="s">
        <v>4673</v>
      </c>
    </row>
    <row r="55" spans="2:6" ht="15.75" customHeight="1" x14ac:dyDescent="0.2">
      <c r="B55" s="139"/>
      <c r="C55" s="6"/>
      <c r="D55" s="143" t="s">
        <v>4679</v>
      </c>
      <c r="E55" s="144" t="s">
        <v>4680</v>
      </c>
      <c r="F55" s="144" t="s">
        <v>4681</v>
      </c>
    </row>
    <row r="56" spans="2:6" ht="15.75" customHeight="1" x14ac:dyDescent="0.2">
      <c r="B56" s="139"/>
      <c r="C56" s="6"/>
      <c r="D56" s="143" t="s">
        <v>4686</v>
      </c>
      <c r="E56" s="144" t="s">
        <v>4687</v>
      </c>
      <c r="F56" s="144" t="s">
        <v>4688</v>
      </c>
    </row>
    <row r="57" spans="2:6" ht="15.75" customHeight="1" x14ac:dyDescent="0.2">
      <c r="B57" s="139"/>
      <c r="C57" s="6"/>
      <c r="D57" s="143" t="s">
        <v>4692</v>
      </c>
      <c r="E57" s="144" t="s">
        <v>4693</v>
      </c>
      <c r="F57" s="144" t="s">
        <v>4694</v>
      </c>
    </row>
    <row r="58" spans="2:6" ht="15.75" customHeight="1" x14ac:dyDescent="0.2">
      <c r="B58" s="139"/>
      <c r="C58" s="6"/>
      <c r="D58" s="143" t="s">
        <v>4700</v>
      </c>
      <c r="E58" s="144" t="s">
        <v>4701</v>
      </c>
      <c r="F58" s="144" t="s">
        <v>4702</v>
      </c>
    </row>
    <row r="59" spans="2:6" ht="15.75" customHeight="1" x14ac:dyDescent="0.2">
      <c r="B59" s="139"/>
      <c r="C59" s="6"/>
      <c r="D59" s="143" t="s">
        <v>4708</v>
      </c>
      <c r="E59" s="144" t="s">
        <v>4709</v>
      </c>
      <c r="F59" s="144" t="s">
        <v>4710</v>
      </c>
    </row>
    <row r="60" spans="2:6" ht="15.75" customHeight="1" x14ac:dyDescent="0.2">
      <c r="B60" s="139"/>
      <c r="C60" s="6"/>
      <c r="D60" s="143" t="s">
        <v>4715</v>
      </c>
      <c r="E60" s="144" t="s">
        <v>4716</v>
      </c>
      <c r="F60" s="144" t="s">
        <v>4717</v>
      </c>
    </row>
    <row r="61" spans="2:6" ht="15.75" customHeight="1" x14ac:dyDescent="0.2">
      <c r="B61" s="139"/>
      <c r="C61" s="6"/>
      <c r="D61" s="143" t="s">
        <v>4721</v>
      </c>
      <c r="E61" s="144" t="s">
        <v>4722</v>
      </c>
      <c r="F61" s="144" t="s">
        <v>4723</v>
      </c>
    </row>
    <row r="62" spans="2:6" ht="15.75" customHeight="1" x14ac:dyDescent="0.2">
      <c r="B62" s="139"/>
      <c r="C62" s="6"/>
      <c r="D62" s="143" t="s">
        <v>4610</v>
      </c>
      <c r="E62" s="144" t="s">
        <v>4611</v>
      </c>
      <c r="F62" s="144" t="s">
        <v>4612</v>
      </c>
    </row>
    <row r="63" spans="2:6" ht="15.75" customHeight="1" x14ac:dyDescent="0.2">
      <c r="B63" s="139"/>
      <c r="C63" s="6"/>
      <c r="D63" s="143" t="s">
        <v>4617</v>
      </c>
      <c r="E63" s="144" t="s">
        <v>4618</v>
      </c>
      <c r="F63" s="144" t="s">
        <v>4619</v>
      </c>
    </row>
    <row r="64" spans="2:6" ht="15.75" customHeight="1" x14ac:dyDescent="0.2">
      <c r="B64" s="139"/>
      <c r="C64" s="6"/>
      <c r="D64" s="143" t="s">
        <v>4624</v>
      </c>
      <c r="E64" s="144" t="s">
        <v>4625</v>
      </c>
      <c r="F64" s="144" t="s">
        <v>4625</v>
      </c>
    </row>
    <row r="65" spans="2:6" ht="15.75" customHeight="1" x14ac:dyDescent="0.2">
      <c r="B65" s="139"/>
      <c r="C65" s="6"/>
      <c r="D65" s="143" t="s">
        <v>4631</v>
      </c>
      <c r="E65" s="144" t="s">
        <v>4632</v>
      </c>
      <c r="F65" s="144" t="s">
        <v>4633</v>
      </c>
    </row>
    <row r="66" spans="2:6" ht="15.75" customHeight="1" x14ac:dyDescent="0.2">
      <c r="B66" s="139"/>
      <c r="C66" s="6"/>
      <c r="D66" s="143" t="s">
        <v>4637</v>
      </c>
      <c r="E66" s="144" t="s">
        <v>4638</v>
      </c>
      <c r="F66" s="144" t="s">
        <v>4639</v>
      </c>
    </row>
    <row r="67" spans="2:6" ht="15.75" customHeight="1" x14ac:dyDescent="0.2">
      <c r="B67" s="139"/>
      <c r="C67" s="6"/>
      <c r="D67" s="143" t="s">
        <v>4644</v>
      </c>
      <c r="E67" s="144" t="s">
        <v>4645</v>
      </c>
      <c r="F67" s="144" t="s">
        <v>4646</v>
      </c>
    </row>
    <row r="68" spans="2:6" ht="15.75" customHeight="1" x14ac:dyDescent="0.2">
      <c r="B68" s="139"/>
      <c r="C68" s="6"/>
      <c r="D68" s="143" t="s">
        <v>4650</v>
      </c>
      <c r="E68" s="144" t="s">
        <v>4651</v>
      </c>
      <c r="F68" s="144" t="s">
        <v>4652</v>
      </c>
    </row>
    <row r="69" spans="2:6" ht="15.75" customHeight="1" x14ac:dyDescent="0.2">
      <c r="B69" s="139"/>
      <c r="C69" s="6"/>
      <c r="D69" s="143" t="s">
        <v>4656</v>
      </c>
      <c r="E69" s="144" t="s">
        <v>4657</v>
      </c>
      <c r="F69" s="144" t="s">
        <v>4658</v>
      </c>
    </row>
    <row r="70" spans="2:6" ht="15.75" customHeight="1" x14ac:dyDescent="0.2">
      <c r="B70" s="139"/>
      <c r="C70" s="6"/>
      <c r="D70" s="143" t="s">
        <v>4663</v>
      </c>
      <c r="E70" s="144" t="s">
        <v>4664</v>
      </c>
      <c r="F70" s="144" t="s">
        <v>4665</v>
      </c>
    </row>
    <row r="71" spans="2:6" ht="15.75" customHeight="1" x14ac:dyDescent="0.2">
      <c r="B71" s="139"/>
      <c r="C71" s="177"/>
      <c r="D71" s="143" t="s">
        <v>4729</v>
      </c>
      <c r="E71" s="145" t="s">
        <v>4730</v>
      </c>
      <c r="F71" s="145" t="s">
        <v>4731</v>
      </c>
    </row>
    <row r="72" spans="2:6" ht="15.75" customHeight="1" x14ac:dyDescent="0.2">
      <c r="B72" s="139"/>
      <c r="C72" s="6"/>
      <c r="D72" s="143" t="s">
        <v>4737</v>
      </c>
      <c r="E72" s="144" t="s">
        <v>4738</v>
      </c>
      <c r="F72" s="144" t="s">
        <v>4739</v>
      </c>
    </row>
    <row r="73" spans="2:6" ht="15.75" customHeight="1" x14ac:dyDescent="0.2">
      <c r="B73" s="139"/>
      <c r="C73" s="6"/>
      <c r="D73" s="143" t="s">
        <v>4744</v>
      </c>
      <c r="E73" s="144" t="s">
        <v>4745</v>
      </c>
      <c r="F73" s="144" t="s">
        <v>4746</v>
      </c>
    </row>
    <row r="74" spans="2:6" ht="15.75" customHeight="1" x14ac:dyDescent="0.2">
      <c r="B74" s="139"/>
      <c r="C74" s="6"/>
      <c r="D74" s="143" t="s">
        <v>4752</v>
      </c>
      <c r="E74" s="144" t="s">
        <v>4753</v>
      </c>
      <c r="F74" s="144" t="s">
        <v>4754</v>
      </c>
    </row>
    <row r="75" spans="2:6" ht="15.75" customHeight="1" x14ac:dyDescent="0.2">
      <c r="B75" s="139"/>
      <c r="C75" s="6"/>
      <c r="D75" s="143" t="s">
        <v>4760</v>
      </c>
      <c r="E75" s="144" t="s">
        <v>4761</v>
      </c>
      <c r="F75" s="144" t="s">
        <v>4762</v>
      </c>
    </row>
    <row r="76" spans="2:6" ht="15.75" customHeight="1" x14ac:dyDescent="0.2">
      <c r="B76" s="139"/>
      <c r="C76" s="6"/>
      <c r="D76" s="143" t="s">
        <v>4765</v>
      </c>
      <c r="E76" s="144" t="s">
        <v>4766</v>
      </c>
      <c r="F76" s="144" t="s">
        <v>4767</v>
      </c>
    </row>
    <row r="77" spans="2:6" ht="15.75" customHeight="1" x14ac:dyDescent="0.2">
      <c r="B77" s="139"/>
      <c r="C77" s="6"/>
      <c r="D77" s="143" t="s">
        <v>4772</v>
      </c>
      <c r="E77" s="144" t="s">
        <v>4773</v>
      </c>
      <c r="F77" s="144" t="s">
        <v>4774</v>
      </c>
    </row>
    <row r="78" spans="2:6" ht="15.75" customHeight="1" x14ac:dyDescent="0.2">
      <c r="B78" s="139"/>
      <c r="C78" s="6"/>
      <c r="D78" s="143" t="s">
        <v>4780</v>
      </c>
      <c r="E78" s="144" t="s">
        <v>4781</v>
      </c>
      <c r="F78" s="144" t="s">
        <v>4782</v>
      </c>
    </row>
    <row r="79" spans="2:6" ht="15.75" customHeight="1" x14ac:dyDescent="0.2">
      <c r="B79" s="139"/>
      <c r="C79" s="6"/>
      <c r="D79" s="143" t="s">
        <v>4788</v>
      </c>
      <c r="E79" s="144" t="s">
        <v>4789</v>
      </c>
      <c r="F79" s="144" t="s">
        <v>4790</v>
      </c>
    </row>
    <row r="80" spans="2:6" ht="15.75" customHeight="1" x14ac:dyDescent="0.2">
      <c r="B80" s="139"/>
      <c r="C80" s="177"/>
      <c r="D80" s="143" t="s">
        <v>4795</v>
      </c>
      <c r="E80" s="145" t="s">
        <v>4796</v>
      </c>
      <c r="F80" s="145" t="s">
        <v>4797</v>
      </c>
    </row>
    <row r="81" spans="2:6" ht="15.75" customHeight="1" x14ac:dyDescent="0.2">
      <c r="B81" s="139"/>
      <c r="C81" s="6"/>
      <c r="D81" s="143" t="s">
        <v>4803</v>
      </c>
      <c r="E81" s="144" t="s">
        <v>4804</v>
      </c>
      <c r="F81" s="144" t="s">
        <v>4805</v>
      </c>
    </row>
    <row r="82" spans="2:6" ht="15.75" customHeight="1" x14ac:dyDescent="0.2">
      <c r="B82" s="139"/>
      <c r="C82" s="6"/>
      <c r="D82" s="143" t="s">
        <v>4808</v>
      </c>
      <c r="E82" s="144" t="s">
        <v>4809</v>
      </c>
      <c r="F82" s="144" t="s">
        <v>4810</v>
      </c>
    </row>
    <row r="83" spans="2:6" ht="15.75" customHeight="1" x14ac:dyDescent="0.2">
      <c r="B83" s="139"/>
      <c r="C83" s="6"/>
      <c r="D83" s="143" t="s">
        <v>4815</v>
      </c>
      <c r="E83" s="144" t="s">
        <v>4816</v>
      </c>
      <c r="F83" s="144" t="s">
        <v>4817</v>
      </c>
    </row>
    <row r="84" spans="2:6" ht="15.75" customHeight="1" x14ac:dyDescent="0.2">
      <c r="B84" s="139"/>
      <c r="C84" s="6"/>
      <c r="D84" s="143" t="s">
        <v>4821</v>
      </c>
      <c r="E84" s="144" t="s">
        <v>4822</v>
      </c>
      <c r="F84" s="144" t="s">
        <v>4823</v>
      </c>
    </row>
    <row r="85" spans="2:6" ht="15.75" customHeight="1" x14ac:dyDescent="0.2">
      <c r="B85" s="139"/>
      <c r="C85" s="6"/>
      <c r="D85" s="143" t="s">
        <v>4829</v>
      </c>
      <c r="E85" s="144" t="s">
        <v>4830</v>
      </c>
      <c r="F85" s="144" t="s">
        <v>4831</v>
      </c>
    </row>
    <row r="86" spans="2:6" ht="15.75" customHeight="1" x14ac:dyDescent="0.2">
      <c r="B86" s="139"/>
      <c r="C86" s="177"/>
      <c r="D86" s="143" t="s">
        <v>4836</v>
      </c>
      <c r="E86" s="145" t="s">
        <v>4837</v>
      </c>
      <c r="F86" s="145" t="s">
        <v>4838</v>
      </c>
    </row>
    <row r="87" spans="2:6" ht="15.75" customHeight="1" x14ac:dyDescent="0.2">
      <c r="B87" s="139"/>
      <c r="C87" s="6"/>
      <c r="D87" s="143" t="s">
        <v>4843</v>
      </c>
      <c r="E87" s="144" t="s">
        <v>4844</v>
      </c>
      <c r="F87" s="144" t="s">
        <v>4845</v>
      </c>
    </row>
    <row r="88" spans="2:6" ht="15.75" customHeight="1" x14ac:dyDescent="0.2">
      <c r="B88" s="139"/>
      <c r="C88" s="6"/>
      <c r="D88" s="143" t="s">
        <v>4850</v>
      </c>
      <c r="E88" s="144" t="s">
        <v>4851</v>
      </c>
      <c r="F88" s="144" t="s">
        <v>4852</v>
      </c>
    </row>
    <row r="89" spans="2:6" ht="15.75" customHeight="1" x14ac:dyDescent="0.2">
      <c r="B89" s="139"/>
      <c r="C89" s="6"/>
      <c r="D89" s="143" t="s">
        <v>4856</v>
      </c>
      <c r="E89" s="144" t="s">
        <v>4857</v>
      </c>
      <c r="F89" s="144" t="s">
        <v>4857</v>
      </c>
    </row>
    <row r="90" spans="2:6" ht="15.75" customHeight="1" x14ac:dyDescent="0.2">
      <c r="B90" s="139"/>
      <c r="C90" s="6"/>
      <c r="D90" s="143" t="s">
        <v>4860</v>
      </c>
      <c r="E90" s="144" t="s">
        <v>4861</v>
      </c>
      <c r="F90" s="144" t="s">
        <v>4862</v>
      </c>
    </row>
    <row r="91" spans="2:6" ht="15.75" customHeight="1" x14ac:dyDescent="0.2">
      <c r="B91" s="139"/>
      <c r="C91" s="6"/>
      <c r="D91" s="143" t="s">
        <v>4867</v>
      </c>
      <c r="E91" s="144" t="s">
        <v>4868</v>
      </c>
      <c r="F91" s="144" t="s">
        <v>4869</v>
      </c>
    </row>
    <row r="92" spans="2:6" ht="15.75" customHeight="1" x14ac:dyDescent="0.2">
      <c r="B92" s="139"/>
      <c r="C92" s="6"/>
      <c r="D92" s="143" t="s">
        <v>4872</v>
      </c>
      <c r="E92" s="144" t="s">
        <v>4873</v>
      </c>
      <c r="F92" s="144" t="s">
        <v>4873</v>
      </c>
    </row>
    <row r="93" spans="2:6" ht="30" customHeight="1" x14ac:dyDescent="0.2">
      <c r="B93" s="139"/>
      <c r="C93" s="177"/>
      <c r="D93" s="143" t="s">
        <v>4876</v>
      </c>
      <c r="E93" s="145" t="s">
        <v>4877</v>
      </c>
      <c r="F93" s="145" t="s">
        <v>4878</v>
      </c>
    </row>
    <row r="94" spans="2:6" x14ac:dyDescent="0.2">
      <c r="C94" s="146"/>
      <c r="D94" s="147"/>
      <c r="E94" s="148"/>
      <c r="F94" s="148"/>
    </row>
  </sheetData>
  <sheetProtection algorithmName="SHA-512" hashValue="2UPrnJvsGcft/GJTZXaKNjx8DPI7GQr9yYIKZKJjV0y/JNhJNsqQ9eZP9Xl4MYCl0m7DKUFjvB1azkWE+gXWpA==" saltValue="ERjlw+drhOAcTmHMpa+mIA==" spinCount="100000" sheet="1" selectLockedCells="1"/>
  <dataValidations count="1">
    <dataValidation type="list" allowBlank="1" showInputMessage="1" showErrorMessage="1" sqref="C87:C92 C81:C85 C72:C79 C53:C70 C48:C51 C36:C46 C26:C34 C18:C24 C4:C9 C11:C16" xr:uid="{00000000-0002-0000-0400-000000000000}">
      <formula1>"x"</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1"/>
  <sheetViews>
    <sheetView zoomScale="80" zoomScaleNormal="80" workbookViewId="0">
      <selection activeCell="D5" sqref="D5"/>
    </sheetView>
  </sheetViews>
  <sheetFormatPr baseColWidth="10" defaultColWidth="10.83203125" defaultRowHeight="16" x14ac:dyDescent="0.2"/>
  <cols>
    <col min="1" max="1" width="10.83203125" style="16" customWidth="1"/>
    <col min="2" max="2" width="8.83203125" style="16" customWidth="1"/>
    <col min="3" max="3" width="27.5" style="16" customWidth="1"/>
    <col min="4" max="5" width="20.83203125" style="16" customWidth="1"/>
    <col min="6" max="7" width="46.5" style="40" customWidth="1"/>
    <col min="8" max="8" width="20.83203125" style="235" customWidth="1"/>
    <col min="9" max="9" width="20.83203125" style="16" customWidth="1"/>
    <col min="10" max="11" width="10.83203125" style="16" customWidth="1"/>
    <col min="12" max="16384" width="10.83203125" style="16"/>
  </cols>
  <sheetData>
    <row r="1" spans="1:11" ht="16.5" customHeight="1" thickBot="1" x14ac:dyDescent="0.25">
      <c r="C1" s="17"/>
      <c r="D1" s="17"/>
      <c r="E1" s="17"/>
      <c r="F1" s="36"/>
      <c r="G1" s="36"/>
      <c r="H1" s="233"/>
      <c r="I1" s="17"/>
    </row>
    <row r="2" spans="1:11" s="40" customFormat="1" ht="16.5" customHeight="1" thickBot="1" x14ac:dyDescent="0.25">
      <c r="A2" s="59"/>
      <c r="B2" s="60"/>
      <c r="C2" s="61" t="s">
        <v>5066</v>
      </c>
      <c r="D2" s="62" t="s">
        <v>5067</v>
      </c>
      <c r="E2" s="221" t="s">
        <v>5068</v>
      </c>
      <c r="F2" s="223" t="s">
        <v>5069</v>
      </c>
      <c r="G2" s="37" t="s">
        <v>5070</v>
      </c>
      <c r="H2" s="236" t="s">
        <v>5071</v>
      </c>
      <c r="I2" s="63" t="s">
        <v>5072</v>
      </c>
      <c r="J2" s="64"/>
    </row>
    <row r="3" spans="1:11" ht="62.5" customHeight="1" x14ac:dyDescent="0.2">
      <c r="A3" s="18"/>
      <c r="B3" s="324" t="s">
        <v>5073</v>
      </c>
      <c r="C3" s="46" t="s">
        <v>5074</v>
      </c>
      <c r="D3" s="269"/>
      <c r="E3" s="247"/>
      <c r="F3" s="224" t="s">
        <v>5075</v>
      </c>
      <c r="G3" s="171" t="s">
        <v>5076</v>
      </c>
      <c r="H3" s="237" t="s">
        <v>5077</v>
      </c>
      <c r="I3" s="264" t="s">
        <v>5077</v>
      </c>
      <c r="J3" s="19"/>
    </row>
    <row r="4" spans="1:11" ht="31.75" customHeight="1" x14ac:dyDescent="0.2">
      <c r="A4" s="18"/>
      <c r="B4" s="321"/>
      <c r="C4" s="28" t="s">
        <v>5078</v>
      </c>
      <c r="D4" s="169">
        <v>18</v>
      </c>
      <c r="E4" s="248">
        <v>18</v>
      </c>
      <c r="F4" s="173" t="s">
        <v>5079</v>
      </c>
      <c r="G4" s="172" t="s">
        <v>5080</v>
      </c>
      <c r="H4" s="238">
        <v>18</v>
      </c>
      <c r="I4" s="265">
        <v>18</v>
      </c>
      <c r="J4" s="19"/>
    </row>
    <row r="5" spans="1:11" ht="43.5" customHeight="1" x14ac:dyDescent="0.2">
      <c r="A5" s="18"/>
      <c r="B5" s="321"/>
      <c r="C5" s="29" t="s">
        <v>5081</v>
      </c>
      <c r="D5" s="279" t="s">
        <v>5082</v>
      </c>
      <c r="E5" s="248" t="s">
        <v>5082</v>
      </c>
      <c r="F5" s="173" t="s">
        <v>5083</v>
      </c>
      <c r="G5" s="172" t="s">
        <v>5084</v>
      </c>
      <c r="H5" s="239" t="s">
        <v>5085</v>
      </c>
      <c r="I5" s="266" t="s">
        <v>5085</v>
      </c>
      <c r="J5" s="19"/>
    </row>
    <row r="6" spans="1:11" ht="45" customHeight="1" x14ac:dyDescent="0.2">
      <c r="A6" s="18"/>
      <c r="B6" s="321"/>
      <c r="C6" s="30" t="s">
        <v>5086</v>
      </c>
      <c r="D6" s="279" t="s">
        <v>5087</v>
      </c>
      <c r="E6" s="248" t="s">
        <v>5087</v>
      </c>
      <c r="F6" s="173" t="s">
        <v>5088</v>
      </c>
      <c r="G6" s="173" t="s">
        <v>5089</v>
      </c>
      <c r="H6" s="240" t="s">
        <v>5090</v>
      </c>
      <c r="I6" s="262" t="s">
        <v>5090</v>
      </c>
      <c r="J6" s="19"/>
    </row>
    <row r="7" spans="1:11" s="193" customFormat="1" ht="105" customHeight="1" x14ac:dyDescent="0.2">
      <c r="A7" s="189"/>
      <c r="B7" s="321"/>
      <c r="C7" s="190" t="s">
        <v>5091</v>
      </c>
      <c r="D7" s="250" t="s">
        <v>5092</v>
      </c>
      <c r="E7" s="249" t="s">
        <v>5093</v>
      </c>
      <c r="F7" s="173" t="s">
        <v>5094</v>
      </c>
      <c r="G7" s="191" t="s">
        <v>5095</v>
      </c>
      <c r="H7" s="240" t="s">
        <v>5092</v>
      </c>
      <c r="I7" s="263" t="s">
        <v>5093</v>
      </c>
      <c r="J7" s="192"/>
    </row>
    <row r="8" spans="1:11" ht="105" customHeight="1" x14ac:dyDescent="0.2">
      <c r="A8" s="18"/>
      <c r="B8" s="321"/>
      <c r="C8" s="30" t="s">
        <v>5096</v>
      </c>
      <c r="D8" s="279" t="s">
        <v>5097</v>
      </c>
      <c r="E8" s="279" t="s">
        <v>5098</v>
      </c>
      <c r="F8" s="174" t="s">
        <v>5099</v>
      </c>
      <c r="G8" s="174" t="s">
        <v>5100</v>
      </c>
      <c r="H8" s="241" t="s">
        <v>5101</v>
      </c>
      <c r="I8" s="20" t="s">
        <v>5102</v>
      </c>
      <c r="J8" s="19"/>
      <c r="K8" s="270"/>
    </row>
    <row r="9" spans="1:11" ht="105" customHeight="1" x14ac:dyDescent="0.2">
      <c r="A9" s="18"/>
      <c r="B9" s="321"/>
      <c r="C9" s="30" t="s">
        <v>5103</v>
      </c>
      <c r="D9" s="251" t="s">
        <v>5104</v>
      </c>
      <c r="E9" s="249" t="s">
        <v>5105</v>
      </c>
      <c r="F9" s="174" t="s">
        <v>5106</v>
      </c>
      <c r="G9" s="174" t="s">
        <v>5107</v>
      </c>
      <c r="H9" s="241" t="s">
        <v>5108</v>
      </c>
      <c r="I9" s="262" t="s">
        <v>5109</v>
      </c>
      <c r="J9" s="19"/>
    </row>
    <row r="10" spans="1:11" s="193" customFormat="1" ht="58" customHeight="1" x14ac:dyDescent="0.2">
      <c r="A10" s="189"/>
      <c r="B10" s="321"/>
      <c r="C10" s="198" t="s">
        <v>5110</v>
      </c>
      <c r="D10" s="271"/>
      <c r="E10" s="271"/>
      <c r="F10" s="225" t="s">
        <v>5111</v>
      </c>
      <c r="G10" s="22" t="s">
        <v>5112</v>
      </c>
      <c r="H10" s="241" t="s">
        <v>5113</v>
      </c>
      <c r="I10" s="197" t="s">
        <v>5113</v>
      </c>
      <c r="J10" s="192"/>
    </row>
    <row r="11" spans="1:11" s="193" customFormat="1" ht="50.25" customHeight="1" thickBot="1" x14ac:dyDescent="0.25">
      <c r="A11" s="189"/>
      <c r="B11" s="322"/>
      <c r="C11" s="199" t="s">
        <v>5114</v>
      </c>
      <c r="D11" s="272"/>
      <c r="E11" s="252"/>
      <c r="F11" s="226" t="s">
        <v>5115</v>
      </c>
      <c r="G11" s="21" t="s">
        <v>5116</v>
      </c>
      <c r="H11" s="242">
        <v>0.2</v>
      </c>
      <c r="I11" s="261">
        <v>0.2</v>
      </c>
      <c r="J11" s="192"/>
    </row>
    <row r="12" spans="1:11" ht="45" customHeight="1" x14ac:dyDescent="0.2">
      <c r="A12" s="18"/>
      <c r="B12" s="320" t="s">
        <v>5117</v>
      </c>
      <c r="C12" s="31" t="s">
        <v>5118</v>
      </c>
      <c r="D12" s="25" t="s">
        <v>5119</v>
      </c>
      <c r="E12" s="248" t="s">
        <v>5119</v>
      </c>
      <c r="F12" s="245" t="s">
        <v>5120</v>
      </c>
      <c r="G12" s="38" t="s">
        <v>5121</v>
      </c>
      <c r="H12" s="239" t="s">
        <v>5122</v>
      </c>
      <c r="I12" s="259" t="s">
        <v>5122</v>
      </c>
      <c r="J12" s="19"/>
    </row>
    <row r="13" spans="1:11" ht="135" customHeight="1" x14ac:dyDescent="0.2">
      <c r="A13" s="18"/>
      <c r="B13" s="321"/>
      <c r="C13" s="131" t="s">
        <v>5123</v>
      </c>
      <c r="D13" s="273">
        <v>5</v>
      </c>
      <c r="E13" s="248">
        <v>5</v>
      </c>
      <c r="F13" s="246" t="s">
        <v>5124</v>
      </c>
      <c r="G13" s="132" t="s">
        <v>5125</v>
      </c>
      <c r="H13" s="241">
        <v>5</v>
      </c>
      <c r="I13" s="260">
        <v>5</v>
      </c>
      <c r="J13" s="35"/>
      <c r="K13" s="56"/>
    </row>
    <row r="14" spans="1:11" ht="149.5" customHeight="1" x14ac:dyDescent="0.2">
      <c r="A14" s="18"/>
      <c r="B14" s="321"/>
      <c r="C14" s="131" t="s">
        <v>5126</v>
      </c>
      <c r="D14" s="273">
        <v>450000</v>
      </c>
      <c r="E14" s="248">
        <v>450000</v>
      </c>
      <c r="F14" s="246" t="s">
        <v>5127</v>
      </c>
      <c r="G14" s="22" t="s">
        <v>5128</v>
      </c>
      <c r="H14" s="241">
        <v>1200000</v>
      </c>
      <c r="I14" s="260">
        <v>1200000</v>
      </c>
      <c r="J14" s="19"/>
    </row>
    <row r="15" spans="1:11" ht="45" customHeight="1" x14ac:dyDescent="0.2">
      <c r="A15" s="18"/>
      <c r="B15" s="321"/>
      <c r="C15" s="58" t="s">
        <v>5129</v>
      </c>
      <c r="D15" s="26" t="s">
        <v>5130</v>
      </c>
      <c r="E15" s="26" t="s">
        <v>5130</v>
      </c>
      <c r="F15" s="227" t="s">
        <v>5131</v>
      </c>
      <c r="G15" s="22" t="s">
        <v>5132</v>
      </c>
      <c r="H15" s="241" t="s">
        <v>5133</v>
      </c>
      <c r="I15" s="20" t="s">
        <v>5134</v>
      </c>
      <c r="J15" s="19"/>
    </row>
    <row r="16" spans="1:11" ht="45.75" customHeight="1" thickBot="1" x14ac:dyDescent="0.25">
      <c r="A16" s="18"/>
      <c r="B16" s="322"/>
      <c r="C16" s="130" t="s">
        <v>5135</v>
      </c>
      <c r="D16" s="27" t="s">
        <v>5136</v>
      </c>
      <c r="E16" s="27" t="s">
        <v>5136</v>
      </c>
      <c r="F16" s="228" t="s">
        <v>5137</v>
      </c>
      <c r="G16" s="23" t="s">
        <v>5138</v>
      </c>
      <c r="H16" s="243" t="s">
        <v>5139</v>
      </c>
      <c r="I16" s="134" t="s">
        <v>5140</v>
      </c>
      <c r="J16" s="19"/>
    </row>
    <row r="17" spans="1:10" s="57" customFormat="1" ht="5.5" customHeight="1" thickBot="1" x14ac:dyDescent="0.25">
      <c r="A17" s="51"/>
      <c r="B17" s="52"/>
      <c r="C17" s="53"/>
      <c r="D17" s="133"/>
      <c r="E17" s="222"/>
      <c r="F17" s="229"/>
      <c r="G17" s="54"/>
      <c r="H17" s="244"/>
      <c r="I17" s="55"/>
      <c r="J17" s="56"/>
    </row>
    <row r="18" spans="1:10" ht="171" customHeight="1" x14ac:dyDescent="0.2">
      <c r="A18" s="18"/>
      <c r="B18" s="323" t="s">
        <v>5141</v>
      </c>
      <c r="C18" s="47" t="s">
        <v>5142</v>
      </c>
      <c r="D18" s="275">
        <v>0.91</v>
      </c>
      <c r="E18" s="274">
        <v>0.91</v>
      </c>
      <c r="F18" s="230" t="s">
        <v>5143</v>
      </c>
      <c r="G18" s="48" t="s">
        <v>5144</v>
      </c>
      <c r="H18" s="253">
        <v>0.91</v>
      </c>
      <c r="I18" s="254">
        <v>0.91</v>
      </c>
      <c r="J18" s="19"/>
    </row>
    <row r="19" spans="1:10" ht="171" customHeight="1" x14ac:dyDescent="0.2">
      <c r="A19" s="18"/>
      <c r="B19" s="321"/>
      <c r="C19" s="32" t="s">
        <v>5145</v>
      </c>
      <c r="D19" s="276">
        <v>0.91</v>
      </c>
      <c r="E19" s="274">
        <v>0.91</v>
      </c>
      <c r="F19" s="231" t="s">
        <v>5146</v>
      </c>
      <c r="G19" s="49" t="s">
        <v>5147</v>
      </c>
      <c r="H19" s="255">
        <v>0.91</v>
      </c>
      <c r="I19" s="256">
        <v>0.91</v>
      </c>
      <c r="J19" s="19"/>
    </row>
    <row r="20" spans="1:10" ht="141" customHeight="1" thickBot="1" x14ac:dyDescent="0.25">
      <c r="A20" s="18"/>
      <c r="B20" s="322"/>
      <c r="C20" s="33" t="s">
        <v>5148</v>
      </c>
      <c r="D20" s="277">
        <v>0.05</v>
      </c>
      <c r="E20" s="274">
        <v>0.05</v>
      </c>
      <c r="F20" s="232" t="s">
        <v>5149</v>
      </c>
      <c r="G20" s="50" t="s">
        <v>5150</v>
      </c>
      <c r="H20" s="257">
        <v>0.05</v>
      </c>
      <c r="I20" s="258">
        <v>0.05</v>
      </c>
      <c r="J20" s="19"/>
    </row>
    <row r="21" spans="1:10" x14ac:dyDescent="0.2">
      <c r="B21" s="24"/>
      <c r="C21" s="24"/>
      <c r="D21" s="24"/>
      <c r="E21" s="24"/>
      <c r="F21" s="39"/>
      <c r="G21" s="39"/>
      <c r="H21" s="234"/>
      <c r="I21" s="24"/>
    </row>
  </sheetData>
  <mergeCells count="3">
    <mergeCell ref="B12:B16"/>
    <mergeCell ref="B18:B20"/>
    <mergeCell ref="B3:B11"/>
  </mergeCells>
  <dataValidations count="3">
    <dataValidation type="list" allowBlank="1" showInputMessage="1" showErrorMessage="1" sqref="E7" xr:uid="{00000000-0002-0000-0500-000000000000}">
      <formula1>"last year,a normal year"</formula1>
    </dataValidation>
    <dataValidation type="list" allowBlank="1" showInputMessage="1" showErrorMessage="1" sqref="D7" xr:uid="{00000000-0002-0000-0500-000001000000}">
      <formula1>"une année normale, l'année dernière"</formula1>
    </dataValidation>
    <dataValidation type="list" allowBlank="1" showInputMessage="1" showErrorMessage="1" sqref="D9" xr:uid="{00000000-0002-0000-05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Feuil1</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2024-05-16T08:34:57Z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2024-05-16T08:34:01Z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d92f87b6-ff28-4d68-adba-ac6408d1922e</vt:lpwstr>
  </property>
  <property fmtid="{D5CDD505-2E9C-101B-9397-08002B2CF9AE}" pid="8" name="MSIP_Label_46ec50b2-b191-4ad7-ba82-7deb0436e358_ContentBits">
    <vt:lpwstr>0</vt:lpwstr>
  </property>
</Properties>
</file>