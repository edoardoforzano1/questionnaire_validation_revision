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IRQ/"/>
    </mc:Choice>
  </mc:AlternateContent>
  <xr:revisionPtr revIDLastSave="0" documentId="13_ncr:1_{6AFE132D-290A-3747-A9DB-81AF77E4EF0E}" xr6:coauthVersionLast="47" xr6:coauthVersionMax="47" xr10:uidLastSave="{00000000-0000-0000-0000-000000000000}"/>
  <bookViews>
    <workbookView xWindow="0" yWindow="0" windowWidth="33600" windowHeight="21000" activeTab="3" xr2:uid="{00000000-000D-0000-FFFF-FFFF00000000}"/>
  </bookViews>
  <sheets>
    <sheet name="survey" sheetId="1" r:id="rId1"/>
    <sheet name="Crop list" sheetId="2" r:id="rId2"/>
    <sheet name="Additional information" sheetId="3" state="hidden" r:id="rId3"/>
    <sheet name="Admin 1 info" sheetId="5" r:id="rId4"/>
    <sheet name="Admin 2 info" sheetId="4" r:id="rId5"/>
  </sheets>
  <definedNames>
    <definedName name="_xlnm._FilterDatabase" localSheetId="3" hidden="1">'Admin 1 info'!$A$1:$D$19</definedName>
    <definedName name="_xlnm._FilterDatabase" localSheetId="1" hidden="1">'Crop list'!$C$3:$F$93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3" l="1"/>
  <c r="D18" i="3"/>
  <c r="D17" i="3"/>
  <c r="D4" i="2" a="1"/>
  <c r="D80" i="2" s="1"/>
  <c r="Z205" i="1"/>
  <c r="Y205" i="1"/>
  <c r="G205" i="1"/>
  <c r="E205" i="1"/>
  <c r="Y204" i="1"/>
  <c r="Z204" i="1" s="1"/>
  <c r="G204" i="1"/>
  <c r="E204" i="1"/>
  <c r="Z203" i="1"/>
  <c r="Y203" i="1"/>
  <c r="Z202" i="1"/>
  <c r="Y202" i="1"/>
  <c r="G202" i="1"/>
  <c r="E202" i="1"/>
  <c r="Z201" i="1"/>
  <c r="Y201" i="1"/>
  <c r="G201" i="1"/>
  <c r="E201" i="1"/>
  <c r="Z200" i="1"/>
  <c r="Y200" i="1"/>
  <c r="G200" i="1"/>
  <c r="E200" i="1"/>
  <c r="Z199" i="1"/>
  <c r="Y199" i="1"/>
  <c r="G199" i="1"/>
  <c r="E199" i="1"/>
  <c r="Z198" i="1"/>
  <c r="Y198" i="1"/>
  <c r="G198" i="1"/>
  <c r="E198" i="1"/>
  <c r="Z197" i="1"/>
  <c r="Y197" i="1"/>
  <c r="G197" i="1"/>
  <c r="E197" i="1"/>
  <c r="Z196" i="1"/>
  <c r="Y196" i="1"/>
  <c r="G196" i="1"/>
  <c r="E196" i="1"/>
  <c r="Z195" i="1"/>
  <c r="Y195" i="1"/>
  <c r="Z194" i="1"/>
  <c r="Y194" i="1"/>
  <c r="Z193" i="1"/>
  <c r="Y193" i="1"/>
  <c r="G193" i="1"/>
  <c r="E193" i="1"/>
  <c r="Z192" i="1"/>
  <c r="Y192" i="1"/>
  <c r="Y191" i="1"/>
  <c r="Z191" i="1" s="1"/>
  <c r="G191" i="1"/>
  <c r="E191" i="1"/>
  <c r="Y190" i="1"/>
  <c r="Z190" i="1" s="1"/>
  <c r="G190" i="1"/>
  <c r="E190" i="1"/>
  <c r="Z189" i="1"/>
  <c r="Y189" i="1"/>
  <c r="Z188" i="1"/>
  <c r="Y188" i="1"/>
  <c r="G188" i="1"/>
  <c r="E188" i="1"/>
  <c r="Y187" i="1"/>
  <c r="Z187" i="1" s="1"/>
  <c r="G187" i="1"/>
  <c r="E187" i="1"/>
  <c r="A187" i="1"/>
  <c r="A188" i="1" s="1"/>
  <c r="A190" i="1" s="1"/>
  <c r="A191" i="1" s="1"/>
  <c r="Z186" i="1"/>
  <c r="Y186" i="1"/>
  <c r="Z185" i="1"/>
  <c r="Y185" i="1"/>
  <c r="G185" i="1"/>
  <c r="E185" i="1"/>
  <c r="Z184" i="1"/>
  <c r="Y184" i="1"/>
  <c r="G184" i="1"/>
  <c r="E184" i="1"/>
  <c r="Z183" i="1"/>
  <c r="Y183" i="1"/>
  <c r="G183" i="1"/>
  <c r="E183" i="1"/>
  <c r="Z182" i="1"/>
  <c r="Y182" i="1"/>
  <c r="G182" i="1"/>
  <c r="E182" i="1"/>
  <c r="Z181" i="1"/>
  <c r="Y181" i="1"/>
  <c r="G181" i="1"/>
  <c r="E181" i="1"/>
  <c r="Z180" i="1"/>
  <c r="Y180" i="1"/>
  <c r="G180" i="1"/>
  <c r="E180" i="1"/>
  <c r="Z179" i="1"/>
  <c r="Y179" i="1"/>
  <c r="G179" i="1"/>
  <c r="E179" i="1"/>
  <c r="Z178" i="1"/>
  <c r="Y178" i="1"/>
  <c r="G178" i="1"/>
  <c r="E178" i="1"/>
  <c r="Z177" i="1"/>
  <c r="Y177" i="1"/>
  <c r="G177" i="1"/>
  <c r="E177" i="1"/>
  <c r="Z176" i="1"/>
  <c r="Y176" i="1"/>
  <c r="G176" i="1"/>
  <c r="E176" i="1"/>
  <c r="A176" i="1"/>
  <c r="A177" i="1" s="1"/>
  <c r="A178" i="1" s="1"/>
  <c r="A179" i="1" s="1"/>
  <c r="A180" i="1" s="1"/>
  <c r="A181" i="1" s="1"/>
  <c r="A182" i="1" s="1"/>
  <c r="A183" i="1" s="1"/>
  <c r="A184" i="1" s="1"/>
  <c r="Y175" i="1"/>
  <c r="Z175" i="1" s="1"/>
  <c r="G175" i="1"/>
  <c r="E175" i="1"/>
  <c r="A175" i="1"/>
  <c r="Z174" i="1"/>
  <c r="Y174" i="1"/>
  <c r="G174" i="1"/>
  <c r="E174" i="1"/>
  <c r="A174" i="1"/>
  <c r="Z173" i="1"/>
  <c r="Y173" i="1"/>
  <c r="G173" i="1"/>
  <c r="E173" i="1"/>
  <c r="Z172" i="1"/>
  <c r="Y172" i="1"/>
  <c r="G172" i="1"/>
  <c r="E172" i="1"/>
  <c r="Z171" i="1"/>
  <c r="Y171" i="1"/>
  <c r="G171" i="1"/>
  <c r="E171" i="1"/>
  <c r="Z170" i="1"/>
  <c r="Y170" i="1"/>
  <c r="G170" i="1"/>
  <c r="E170" i="1"/>
  <c r="Z169" i="1"/>
  <c r="Y169" i="1"/>
  <c r="G169" i="1"/>
  <c r="E169" i="1"/>
  <c r="Z168" i="1"/>
  <c r="Y168" i="1"/>
  <c r="G168" i="1"/>
  <c r="E168" i="1"/>
  <c r="Z167" i="1"/>
  <c r="Y167" i="1"/>
  <c r="G167" i="1"/>
  <c r="E167" i="1"/>
  <c r="Z166" i="1"/>
  <c r="Y166" i="1"/>
  <c r="G166" i="1"/>
  <c r="E166" i="1"/>
  <c r="Z165" i="1"/>
  <c r="Y165" i="1"/>
  <c r="G165" i="1"/>
  <c r="E165" i="1"/>
  <c r="Z164" i="1"/>
  <c r="Y164" i="1"/>
  <c r="G164" i="1"/>
  <c r="E164" i="1"/>
  <c r="Z163" i="1"/>
  <c r="Y163" i="1"/>
  <c r="G163" i="1"/>
  <c r="E163" i="1"/>
  <c r="Y162" i="1"/>
  <c r="Z162" i="1" s="1"/>
  <c r="G162" i="1"/>
  <c r="E162" i="1"/>
  <c r="Y161" i="1"/>
  <c r="Z161" i="1" s="1"/>
  <c r="G161" i="1"/>
  <c r="E161" i="1"/>
  <c r="Y160" i="1"/>
  <c r="Z160" i="1" s="1"/>
  <c r="G160" i="1"/>
  <c r="E160" i="1"/>
  <c r="Y159" i="1"/>
  <c r="Z159" i="1" s="1"/>
  <c r="G159" i="1"/>
  <c r="E159" i="1"/>
  <c r="Y158" i="1"/>
  <c r="Z158" i="1" s="1"/>
  <c r="G158" i="1"/>
  <c r="E158" i="1"/>
  <c r="Z157" i="1"/>
  <c r="Y157" i="1"/>
  <c r="G157" i="1"/>
  <c r="E157" i="1"/>
  <c r="Z156" i="1"/>
  <c r="Y156" i="1"/>
  <c r="G156" i="1"/>
  <c r="E156" i="1"/>
  <c r="Z155" i="1"/>
  <c r="Y155" i="1"/>
  <c r="G155" i="1"/>
  <c r="E155" i="1"/>
  <c r="Z154" i="1"/>
  <c r="Y154" i="1"/>
  <c r="G154" i="1"/>
  <c r="E154" i="1"/>
  <c r="Y153" i="1"/>
  <c r="Z153" i="1" s="1"/>
  <c r="G153" i="1"/>
  <c r="E153" i="1"/>
  <c r="Z152" i="1"/>
  <c r="Y152" i="1"/>
  <c r="G152" i="1"/>
  <c r="E152" i="1"/>
  <c r="Y151" i="1"/>
  <c r="Z151" i="1" s="1"/>
  <c r="G151" i="1"/>
  <c r="E151" i="1"/>
  <c r="Z150" i="1"/>
  <c r="Y150" i="1"/>
  <c r="Z149" i="1"/>
  <c r="Y149" i="1"/>
  <c r="Q149" i="1"/>
  <c r="Y148" i="1"/>
  <c r="Z148" i="1" s="1"/>
  <c r="Q148" i="1"/>
  <c r="G148" i="1"/>
  <c r="E148" i="1"/>
  <c r="Z147" i="1"/>
  <c r="Y147" i="1"/>
  <c r="Q147" i="1"/>
  <c r="Y146" i="1"/>
  <c r="Z146" i="1" s="1"/>
  <c r="Q146" i="1"/>
  <c r="G146" i="1"/>
  <c r="E146" i="1"/>
  <c r="Q145" i="1"/>
  <c r="Y145" i="1" s="1"/>
  <c r="Z145" i="1" s="1"/>
  <c r="G145" i="1"/>
  <c r="E145" i="1"/>
  <c r="Z144" i="1"/>
  <c r="Y144" i="1"/>
  <c r="Q144" i="1"/>
  <c r="Q143" i="1"/>
  <c r="Y143" i="1" s="1"/>
  <c r="Z143" i="1" s="1"/>
  <c r="G143" i="1"/>
  <c r="E143" i="1"/>
  <c r="Z142" i="1"/>
  <c r="Y142" i="1"/>
  <c r="Z141" i="1"/>
  <c r="Y141" i="1"/>
  <c r="Q141" i="1"/>
  <c r="Z140" i="1"/>
  <c r="Q140" i="1"/>
  <c r="Y140" i="1" s="1"/>
  <c r="G140" i="1"/>
  <c r="E140" i="1"/>
  <c r="Q139" i="1"/>
  <c r="Y139" i="1" s="1"/>
  <c r="Z139" i="1" s="1"/>
  <c r="G139" i="1"/>
  <c r="E139" i="1"/>
  <c r="Q138" i="1"/>
  <c r="Y138" i="1" s="1"/>
  <c r="Z138" i="1" s="1"/>
  <c r="G138" i="1"/>
  <c r="E138" i="1"/>
  <c r="Z137" i="1"/>
  <c r="Y137" i="1"/>
  <c r="Q137" i="1"/>
  <c r="Q136" i="1"/>
  <c r="Y136" i="1" s="1"/>
  <c r="Z136" i="1" s="1"/>
  <c r="G136" i="1"/>
  <c r="E136" i="1"/>
  <c r="Z135" i="1"/>
  <c r="Y135" i="1"/>
  <c r="Q135" i="1"/>
  <c r="Z134" i="1"/>
  <c r="Y134" i="1"/>
  <c r="Q134" i="1"/>
  <c r="G134" i="1"/>
  <c r="E134" i="1"/>
  <c r="Z133" i="1"/>
  <c r="Y133" i="1"/>
  <c r="Q133" i="1"/>
  <c r="Q132" i="1"/>
  <c r="Y132" i="1" s="1"/>
  <c r="Z132" i="1" s="1"/>
  <c r="G132" i="1"/>
  <c r="E132" i="1"/>
  <c r="Z131" i="1"/>
  <c r="Y131" i="1"/>
  <c r="Z130" i="1"/>
  <c r="Y130" i="1"/>
  <c r="Q130" i="1"/>
  <c r="E130" i="1"/>
  <c r="Y129" i="1"/>
  <c r="Z129" i="1" s="1"/>
  <c r="Q129" i="1"/>
  <c r="G129" i="1"/>
  <c r="E129" i="1"/>
  <c r="Z128" i="1"/>
  <c r="Y128" i="1"/>
  <c r="Q128" i="1"/>
  <c r="E128" i="1"/>
  <c r="Y127" i="1"/>
  <c r="Z127" i="1" s="1"/>
  <c r="Q127" i="1"/>
  <c r="G127" i="1"/>
  <c r="E127" i="1"/>
  <c r="Y126" i="1"/>
  <c r="Z126" i="1" s="1"/>
  <c r="Q126" i="1"/>
  <c r="G126" i="1"/>
  <c r="E126" i="1"/>
  <c r="Z125" i="1"/>
  <c r="Y125" i="1"/>
  <c r="Q125" i="1"/>
  <c r="Q124" i="1"/>
  <c r="Y124" i="1" s="1"/>
  <c r="Z124" i="1" s="1"/>
  <c r="G124" i="1"/>
  <c r="E124" i="1"/>
  <c r="Z123" i="1"/>
  <c r="Y123" i="1"/>
  <c r="E120" i="1"/>
  <c r="E119" i="1"/>
  <c r="Z118" i="1"/>
  <c r="Y118" i="1"/>
  <c r="Q118" i="1"/>
  <c r="E118" i="1"/>
  <c r="Q117" i="1"/>
  <c r="Y117" i="1" s="1"/>
  <c r="Z117" i="1" s="1"/>
  <c r="G117" i="1"/>
  <c r="E117" i="1"/>
  <c r="A117" i="1"/>
  <c r="A124" i="1" s="1"/>
  <c r="A126" i="1" s="1"/>
  <c r="A127" i="1" s="1"/>
  <c r="A129" i="1" s="1"/>
  <c r="A132" i="1" s="1"/>
  <c r="A134" i="1" s="1"/>
  <c r="A136" i="1" s="1"/>
  <c r="A138" i="1" s="1"/>
  <c r="A139" i="1" s="1"/>
  <c r="A140" i="1" s="1"/>
  <c r="A143" i="1" s="1"/>
  <c r="A145" i="1" s="1"/>
  <c r="A146" i="1" s="1"/>
  <c r="A148"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Q116" i="1"/>
  <c r="Y116" i="1" s="1"/>
  <c r="Z116" i="1" s="1"/>
  <c r="G116" i="1"/>
  <c r="E116" i="1"/>
  <c r="A116" i="1"/>
  <c r="Z115" i="1"/>
  <c r="Y115" i="1"/>
  <c r="Q115" i="1"/>
  <c r="Z114" i="1"/>
  <c r="Y114" i="1"/>
  <c r="Q114" i="1"/>
  <c r="G114" i="1"/>
  <c r="E114" i="1"/>
  <c r="Z113" i="1"/>
  <c r="Y113" i="1"/>
  <c r="Q113" i="1"/>
  <c r="G113" i="1"/>
  <c r="E113" i="1"/>
  <c r="Y112" i="1"/>
  <c r="Z112" i="1" s="1"/>
  <c r="Q112" i="1"/>
  <c r="G112" i="1"/>
  <c r="E112" i="1"/>
  <c r="Y111" i="1"/>
  <c r="Z111" i="1" s="1"/>
  <c r="Q111" i="1"/>
  <c r="G111" i="1"/>
  <c r="E111" i="1"/>
  <c r="Z110" i="1"/>
  <c r="Y110" i="1"/>
  <c r="Q110" i="1"/>
  <c r="Q109" i="1"/>
  <c r="Y109" i="1" s="1"/>
  <c r="Z109" i="1" s="1"/>
  <c r="G109" i="1"/>
  <c r="E109" i="1"/>
  <c r="Z108" i="1"/>
  <c r="Y108" i="1"/>
  <c r="Q108" i="1"/>
  <c r="Q107" i="1"/>
  <c r="Y107" i="1" s="1"/>
  <c r="Z107" i="1" s="1"/>
  <c r="G107" i="1"/>
  <c r="E107" i="1"/>
  <c r="Z106" i="1"/>
  <c r="Y106" i="1"/>
  <c r="Z105" i="1"/>
  <c r="Y105" i="1"/>
  <c r="Q105" i="1"/>
  <c r="E105" i="1"/>
  <c r="Q104" i="1"/>
  <c r="Y104" i="1" s="1"/>
  <c r="Z104" i="1" s="1"/>
  <c r="G104" i="1"/>
  <c r="E104" i="1"/>
  <c r="Z103" i="1"/>
  <c r="Y103" i="1"/>
  <c r="Q103" i="1"/>
  <c r="Q101" i="1"/>
  <c r="Y101" i="1" s="1"/>
  <c r="Z101" i="1" s="1"/>
  <c r="G101" i="1"/>
  <c r="E101" i="1"/>
  <c r="Q100" i="1"/>
  <c r="Y100" i="1" s="1"/>
  <c r="Z100" i="1" s="1"/>
  <c r="G100" i="1"/>
  <c r="E100" i="1"/>
  <c r="Z99" i="1"/>
  <c r="Y99" i="1"/>
  <c r="Q99" i="1"/>
  <c r="Q98" i="1"/>
  <c r="Y98" i="1" s="1"/>
  <c r="Z98" i="1" s="1"/>
  <c r="G98" i="1"/>
  <c r="E98" i="1"/>
  <c r="Z97" i="1"/>
  <c r="Y97" i="1"/>
  <c r="Z93" i="1"/>
  <c r="Y93" i="1"/>
  <c r="Q93" i="1"/>
  <c r="E93" i="1"/>
  <c r="E92" i="1"/>
  <c r="Z91" i="1"/>
  <c r="Y91" i="1"/>
  <c r="Q91" i="1"/>
  <c r="E91" i="1"/>
  <c r="Q90" i="1"/>
  <c r="Y90" i="1" s="1"/>
  <c r="Z90" i="1" s="1"/>
  <c r="G90" i="1"/>
  <c r="E90" i="1"/>
  <c r="Q89" i="1"/>
  <c r="Y89" i="1" s="1"/>
  <c r="Z89" i="1" s="1"/>
  <c r="G89" i="1"/>
  <c r="E89" i="1"/>
  <c r="A89" i="1"/>
  <c r="A90" i="1" s="1"/>
  <c r="A100" i="1" s="1"/>
  <c r="A101" i="1" s="1"/>
  <c r="A104" i="1" s="1"/>
  <c r="A107" i="1" s="1"/>
  <c r="A109" i="1" s="1"/>
  <c r="A111" i="1" s="1"/>
  <c r="A112" i="1" s="1"/>
  <c r="Z88" i="1"/>
  <c r="Y88" i="1"/>
  <c r="Q88" i="1"/>
  <c r="Z87" i="1"/>
  <c r="Y87" i="1"/>
  <c r="Q87" i="1"/>
  <c r="G87" i="1"/>
  <c r="E87" i="1"/>
  <c r="Z86" i="1"/>
  <c r="Y86" i="1"/>
  <c r="Q86" i="1"/>
  <c r="E86" i="1"/>
  <c r="Q85" i="1"/>
  <c r="Y85" i="1" s="1"/>
  <c r="Z85" i="1" s="1"/>
  <c r="G85" i="1"/>
  <c r="E85" i="1"/>
  <c r="Z84" i="1"/>
  <c r="Y84" i="1"/>
  <c r="Q84" i="1"/>
  <c r="Z83" i="1"/>
  <c r="Q83" i="1"/>
  <c r="Y83" i="1" s="1"/>
  <c r="G83" i="1"/>
  <c r="E83" i="1"/>
  <c r="Z82" i="1"/>
  <c r="Y82" i="1"/>
  <c r="Q82" i="1"/>
  <c r="Q81" i="1"/>
  <c r="Y81" i="1" s="1"/>
  <c r="Z81" i="1" s="1"/>
  <c r="G81" i="1"/>
  <c r="E81" i="1"/>
  <c r="Z80" i="1"/>
  <c r="Y80" i="1"/>
  <c r="Q80" i="1"/>
  <c r="Y79" i="1"/>
  <c r="Z79" i="1" s="1"/>
  <c r="Q79" i="1"/>
  <c r="G79" i="1"/>
  <c r="E79" i="1"/>
  <c r="Q78" i="1"/>
  <c r="Y78" i="1" s="1"/>
  <c r="Z78" i="1" s="1"/>
  <c r="G78" i="1"/>
  <c r="E78" i="1"/>
  <c r="A78" i="1"/>
  <c r="A81" i="1" s="1"/>
  <c r="A83" i="1" s="1"/>
  <c r="A85" i="1" s="1"/>
  <c r="A87" i="1" s="1"/>
  <c r="Z77" i="1"/>
  <c r="Y77" i="1"/>
  <c r="Q77" i="1"/>
  <c r="G77" i="1"/>
  <c r="E77" i="1"/>
  <c r="Y76" i="1"/>
  <c r="Z76" i="1" s="1"/>
  <c r="Q76" i="1"/>
  <c r="G76" i="1"/>
  <c r="E76" i="1"/>
  <c r="Z75" i="1"/>
  <c r="Y75" i="1"/>
  <c r="Q75" i="1"/>
  <c r="Q74" i="1"/>
  <c r="Y74" i="1" s="1"/>
  <c r="Z74" i="1" s="1"/>
  <c r="G74" i="1"/>
  <c r="E74" i="1"/>
  <c r="A74" i="1"/>
  <c r="Z73" i="1"/>
  <c r="Y73" i="1"/>
  <c r="Y72" i="1"/>
  <c r="Z72" i="1" s="1"/>
  <c r="Q72" i="1"/>
  <c r="G72" i="1"/>
  <c r="E72" i="1"/>
  <c r="A72" i="1"/>
  <c r="Y71" i="1"/>
  <c r="Z71" i="1" s="1"/>
  <c r="Q71" i="1"/>
  <c r="G71" i="1"/>
  <c r="E71" i="1"/>
  <c r="A71" i="1"/>
  <c r="Q70" i="1"/>
  <c r="Y70" i="1" s="1"/>
  <c r="Z70" i="1" s="1"/>
  <c r="G70" i="1"/>
  <c r="E70" i="1"/>
  <c r="Q69" i="1"/>
  <c r="Y69" i="1" s="1"/>
  <c r="Z69" i="1" s="1"/>
  <c r="G69" i="1"/>
  <c r="E69" i="1"/>
  <c r="Y68" i="1"/>
  <c r="Z68" i="1" s="1"/>
  <c r="Q68" i="1"/>
  <c r="G68" i="1"/>
  <c r="E68" i="1"/>
  <c r="Z67" i="1"/>
  <c r="Y67" i="1"/>
  <c r="Q67" i="1"/>
  <c r="G67" i="1"/>
  <c r="E67" i="1"/>
  <c r="Z66" i="1"/>
  <c r="Y66" i="1"/>
  <c r="Q66" i="1"/>
  <c r="Q65" i="1"/>
  <c r="Y65" i="1" s="1"/>
  <c r="Z65" i="1" s="1"/>
  <c r="G65" i="1"/>
  <c r="E65" i="1"/>
  <c r="A65" i="1"/>
  <c r="A67" i="1" s="1"/>
  <c r="Z64" i="1"/>
  <c r="Y64" i="1"/>
  <c r="Q64" i="1"/>
  <c r="G64" i="1"/>
  <c r="E64" i="1"/>
  <c r="Q63" i="1"/>
  <c r="Y63" i="1" s="1"/>
  <c r="Z63" i="1" s="1"/>
  <c r="G63" i="1"/>
  <c r="E63" i="1"/>
  <c r="Q62" i="1"/>
  <c r="Y62" i="1" s="1"/>
  <c r="Z62" i="1" s="1"/>
  <c r="G62" i="1"/>
  <c r="E62" i="1"/>
  <c r="Q61" i="1"/>
  <c r="Y61" i="1" s="1"/>
  <c r="Z61" i="1" s="1"/>
  <c r="G61" i="1"/>
  <c r="E61" i="1"/>
  <c r="A61" i="1"/>
  <c r="Z60" i="1"/>
  <c r="Y60" i="1"/>
  <c r="Q60" i="1"/>
  <c r="E60" i="1"/>
  <c r="Q58" i="1"/>
  <c r="Y58" i="1" s="1"/>
  <c r="Z58" i="1" s="1"/>
  <c r="G58" i="1"/>
  <c r="E58" i="1"/>
  <c r="Q57" i="1"/>
  <c r="Y57" i="1" s="1"/>
  <c r="Z57" i="1" s="1"/>
  <c r="G57" i="1"/>
  <c r="E57" i="1"/>
  <c r="Q56" i="1"/>
  <c r="Y56" i="1" s="1"/>
  <c r="Z56" i="1" s="1"/>
  <c r="G56" i="1"/>
  <c r="E56" i="1"/>
  <c r="Q55" i="1"/>
  <c r="Y55" i="1" s="1"/>
  <c r="Z55" i="1" s="1"/>
  <c r="G55" i="1"/>
  <c r="E55" i="1"/>
  <c r="Q54" i="1"/>
  <c r="Y54" i="1" s="1"/>
  <c r="Z54" i="1" s="1"/>
  <c r="G54" i="1"/>
  <c r="E54" i="1"/>
  <c r="A54" i="1"/>
  <c r="Z53" i="1"/>
  <c r="Y53" i="1"/>
  <c r="Q53" i="1"/>
  <c r="Z52" i="1"/>
  <c r="Y52" i="1"/>
  <c r="Z51" i="1"/>
  <c r="Q51" i="1"/>
  <c r="Y51" i="1" s="1"/>
  <c r="G51" i="1"/>
  <c r="E51" i="1"/>
  <c r="A51" i="1"/>
  <c r="Z50" i="1"/>
  <c r="Q50" i="1"/>
  <c r="Y50" i="1" s="1"/>
  <c r="G50" i="1"/>
  <c r="E50" i="1"/>
  <c r="A50" i="1"/>
  <c r="Z49" i="1"/>
  <c r="Y49" i="1"/>
  <c r="Q49" i="1"/>
  <c r="Q48" i="1"/>
  <c r="Y48" i="1" s="1"/>
  <c r="Z48" i="1" s="1"/>
  <c r="G48" i="1"/>
  <c r="E48" i="1"/>
  <c r="Z47" i="1"/>
  <c r="Y47" i="1"/>
  <c r="Q47" i="1"/>
  <c r="Q46" i="1"/>
  <c r="Y46" i="1" s="1"/>
  <c r="Z46" i="1" s="1"/>
  <c r="G46" i="1"/>
  <c r="E46" i="1"/>
  <c r="Z45" i="1"/>
  <c r="Y45" i="1"/>
  <c r="Q45" i="1"/>
  <c r="Q44" i="1"/>
  <c r="Y44" i="1" s="1"/>
  <c r="Z44" i="1" s="1"/>
  <c r="G44" i="1"/>
  <c r="E44" i="1"/>
  <c r="Y43" i="1"/>
  <c r="Z43" i="1" s="1"/>
  <c r="G43" i="1"/>
  <c r="E43" i="1"/>
  <c r="Z42" i="1"/>
  <c r="Y42" i="1"/>
  <c r="Q42" i="1"/>
  <c r="Z41" i="1"/>
  <c r="Y41" i="1"/>
  <c r="Z40" i="1"/>
  <c r="Y40" i="1"/>
  <c r="Q40" i="1"/>
  <c r="Q39" i="1"/>
  <c r="Y39" i="1" s="1"/>
  <c r="Z39" i="1" s="1"/>
  <c r="G39" i="1"/>
  <c r="E39" i="1"/>
  <c r="A39" i="1"/>
  <c r="A43" i="1" s="1"/>
  <c r="A44" i="1" s="1"/>
  <c r="A46" i="1" s="1"/>
  <c r="G38" i="1"/>
  <c r="E38" i="1"/>
  <c r="Q37" i="1"/>
  <c r="Y37" i="1" s="1"/>
  <c r="Z37" i="1" s="1"/>
  <c r="G37" i="1"/>
  <c r="E37" i="1"/>
  <c r="A37" i="1"/>
  <c r="Q36" i="1"/>
  <c r="Y36" i="1" s="1"/>
  <c r="Z36" i="1" s="1"/>
  <c r="G36" i="1"/>
  <c r="E36" i="1"/>
  <c r="Z35" i="1"/>
  <c r="Y35" i="1"/>
  <c r="Q35" i="1"/>
  <c r="Z34" i="1"/>
  <c r="Y34" i="1"/>
  <c r="Q34" i="1"/>
  <c r="G34" i="1"/>
  <c r="E34" i="1"/>
  <c r="Z33" i="1"/>
  <c r="Y33" i="1"/>
  <c r="Q33" i="1"/>
  <c r="G33" i="1"/>
  <c r="E33" i="1"/>
  <c r="Z32" i="1"/>
  <c r="Q32" i="1"/>
  <c r="Y32" i="1" s="1"/>
  <c r="G32" i="1"/>
  <c r="E32" i="1"/>
  <c r="Z31" i="1"/>
  <c r="Y31" i="1"/>
  <c r="Q31" i="1"/>
  <c r="G31" i="1"/>
  <c r="E31" i="1"/>
  <c r="Z30" i="1"/>
  <c r="Q30" i="1"/>
  <c r="Y30" i="1" s="1"/>
  <c r="G30" i="1"/>
  <c r="E30" i="1"/>
  <c r="Z29" i="1"/>
  <c r="Q29" i="1"/>
  <c r="Y29" i="1" s="1"/>
  <c r="G29" i="1"/>
  <c r="E29" i="1"/>
  <c r="Z28" i="1"/>
  <c r="Q28" i="1"/>
  <c r="Y28" i="1" s="1"/>
  <c r="G28" i="1"/>
  <c r="E28" i="1"/>
  <c r="Z27" i="1"/>
  <c r="Q27" i="1"/>
  <c r="Y27" i="1" s="1"/>
  <c r="G27" i="1"/>
  <c r="E27" i="1"/>
  <c r="Z26" i="1"/>
  <c r="Y26" i="1"/>
  <c r="Q26" i="1"/>
  <c r="Y25" i="1"/>
  <c r="Z25" i="1" s="1"/>
  <c r="Q25" i="1"/>
  <c r="G25" i="1"/>
  <c r="E25" i="1"/>
  <c r="A25" i="1"/>
  <c r="Q24" i="1"/>
  <c r="Y24" i="1" s="1"/>
  <c r="Z24" i="1" s="1"/>
  <c r="G24" i="1"/>
  <c r="E24" i="1"/>
  <c r="Q23" i="1"/>
  <c r="Y23" i="1" s="1"/>
  <c r="G23" i="1"/>
  <c r="E23" i="1"/>
  <c r="Y22" i="1"/>
  <c r="Z22" i="1" s="1"/>
  <c r="Q22" i="1"/>
  <c r="G22" i="1"/>
  <c r="E22" i="1"/>
  <c r="Z21" i="1"/>
  <c r="Y21" i="1"/>
  <c r="Z20" i="1"/>
  <c r="Y20" i="1"/>
  <c r="G20" i="1"/>
  <c r="E20" i="1"/>
  <c r="Z19" i="1"/>
  <c r="Y19" i="1"/>
  <c r="G19" i="1"/>
  <c r="E19" i="1"/>
  <c r="Z18" i="1"/>
  <c r="Y18" i="1"/>
  <c r="G18" i="1"/>
  <c r="E18" i="1"/>
  <c r="Z17" i="1"/>
  <c r="Y17" i="1"/>
  <c r="G17" i="1"/>
  <c r="E17" i="1"/>
  <c r="Z16" i="1"/>
  <c r="Y16" i="1"/>
  <c r="G16" i="1"/>
  <c r="E16" i="1"/>
  <c r="G15" i="1"/>
  <c r="E15" i="1"/>
  <c r="Z14" i="1"/>
  <c r="Y14" i="1"/>
  <c r="G14" i="1"/>
  <c r="E14" i="1"/>
  <c r="Z13" i="1"/>
  <c r="Y13" i="1"/>
  <c r="G13" i="1"/>
  <c r="E13" i="1"/>
  <c r="Z12" i="1"/>
  <c r="Y12" i="1"/>
  <c r="G12" i="1"/>
  <c r="E12" i="1"/>
  <c r="Z11" i="1"/>
  <c r="Y11" i="1"/>
  <c r="G11" i="1"/>
  <c r="E11" i="1"/>
  <c r="Z10" i="1"/>
  <c r="Y10" i="1"/>
  <c r="G10" i="1"/>
  <c r="E10" i="1"/>
  <c r="Z9" i="1"/>
  <c r="Y9" i="1"/>
  <c r="G9" i="1"/>
  <c r="E9" i="1"/>
  <c r="Z8" i="1"/>
  <c r="Y8" i="1"/>
  <c r="G8" i="1"/>
  <c r="E8" i="1"/>
  <c r="Z7" i="1"/>
  <c r="Y7" i="1"/>
  <c r="G7" i="1"/>
  <c r="E7" i="1"/>
  <c r="Y6" i="1"/>
  <c r="Z6" i="1" s="1"/>
  <c r="G6" i="1"/>
  <c r="E6" i="1"/>
  <c r="Z5" i="1"/>
  <c r="Y5" i="1"/>
  <c r="G5" i="1"/>
  <c r="E5" i="1"/>
  <c r="Z4" i="1"/>
  <c r="Y4" i="1"/>
  <c r="Y208" i="1" l="1"/>
  <c r="Z23" i="1"/>
  <c r="Y210" i="1"/>
  <c r="Z208" i="1"/>
  <c r="Y209" i="1"/>
  <c r="D17" i="2"/>
  <c r="D33" i="2"/>
  <c r="D49" i="2"/>
  <c r="D65" i="2"/>
  <c r="D81" i="2"/>
  <c r="D18" i="2"/>
  <c r="D34" i="2"/>
  <c r="D50" i="2"/>
  <c r="D66" i="2"/>
  <c r="D82" i="2"/>
  <c r="D4" i="2"/>
  <c r="D19" i="2"/>
  <c r="D35" i="2"/>
  <c r="D51" i="2"/>
  <c r="D67" i="2"/>
  <c r="D83" i="2"/>
  <c r="D20" i="2"/>
  <c r="D36" i="2"/>
  <c r="D52" i="2"/>
  <c r="D68" i="2"/>
  <c r="D84" i="2"/>
  <c r="D5" i="2"/>
  <c r="D21" i="2"/>
  <c r="D37" i="2"/>
  <c r="D53" i="2"/>
  <c r="D69" i="2"/>
  <c r="D85" i="2"/>
  <c r="D6" i="2"/>
  <c r="D22" i="2"/>
  <c r="D38" i="2"/>
  <c r="D54" i="2"/>
  <c r="D70" i="2"/>
  <c r="D86" i="2"/>
  <c r="D7" i="2"/>
  <c r="D23" i="2"/>
  <c r="D39" i="2"/>
  <c r="D55" i="2"/>
  <c r="D71" i="2"/>
  <c r="D87" i="2"/>
  <c r="D8" i="2"/>
  <c r="D24" i="2"/>
  <c r="D40" i="2"/>
  <c r="D56" i="2"/>
  <c r="D72" i="2"/>
  <c r="D88" i="2"/>
  <c r="D9" i="2"/>
  <c r="D25" i="2"/>
  <c r="D41" i="2"/>
  <c r="D57" i="2"/>
  <c r="D73" i="2"/>
  <c r="D89" i="2"/>
  <c r="D10" i="2"/>
  <c r="D26" i="2"/>
  <c r="D42" i="2"/>
  <c r="D58" i="2"/>
  <c r="D74" i="2"/>
  <c r="D90" i="2"/>
  <c r="D11" i="2"/>
  <c r="D27" i="2"/>
  <c r="D43" i="2"/>
  <c r="D59" i="2"/>
  <c r="D75" i="2"/>
  <c r="D91" i="2"/>
  <c r="D92" i="2"/>
  <c r="D93" i="2"/>
  <c r="D44" i="2"/>
  <c r="D14" i="2"/>
  <c r="D30" i="2"/>
  <c r="D46" i="2"/>
  <c r="D62" i="2"/>
  <c r="D78" i="2"/>
  <c r="D12" i="2"/>
  <c r="D28" i="2"/>
  <c r="D60" i="2"/>
  <c r="D13" i="2"/>
  <c r="D29" i="2"/>
  <c r="D45" i="2"/>
  <c r="D61" i="2"/>
  <c r="D77" i="2"/>
  <c r="D15" i="2"/>
  <c r="D31" i="2"/>
  <c r="D47" i="2"/>
  <c r="D63" i="2"/>
  <c r="D79" i="2"/>
  <c r="D76" i="2"/>
  <c r="D16" i="2"/>
  <c r="D32" i="2"/>
  <c r="D48" i="2"/>
  <c r="D6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ComputerSystems</author>
  </authors>
  <commentList>
    <comment ref="L129" authorId="0" shapeId="0" xr:uid="{00000000-0006-0000-0000-000001000000}">
      <text>
        <r>
          <rPr>
            <sz val="11"/>
            <color theme="1"/>
            <rFont val="Calibri"/>
            <family val="2"/>
            <scheme val="minor"/>
          </rPr>
          <t>ComputerSystems:
4-5 = o_ls_salesprice_decrease
1-3, 6-7 = fish_intro</t>
        </r>
      </text>
    </comment>
  </commentList>
</comments>
</file>

<file path=xl/sharedStrings.xml><?xml version="1.0" encoding="utf-8"?>
<sst xmlns="http://schemas.openxmlformats.org/spreadsheetml/2006/main" count="3204" uniqueCount="1645">
  <si>
    <t>GeoPoll Submission Form</t>
  </si>
  <si>
    <t>FAO - Household Questionnaire</t>
  </si>
  <si>
    <t>Additional notes</t>
  </si>
  <si>
    <t>Q #</t>
  </si>
  <si>
    <t>Q Name</t>
  </si>
  <si>
    <t>Suggested Qname</t>
  </si>
  <si>
    <t>English</t>
  </si>
  <si>
    <t>Length</t>
  </si>
  <si>
    <t>Arabic</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</si>
  <si>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</si>
  <si>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</si>
  <si>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</si>
  <si>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</si>
  <si>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</si>
  <si>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</si>
  <si>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</si>
  <si>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</si>
  <si>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</si>
  <si>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</si>
  <si>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</si>
  <si>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</si>
  <si>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</si>
  <si>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</si>
  <si>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</si>
  <si>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</si>
  <si>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</si>
  <si>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</si>
  <si>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</si>
  <si>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</si>
  <si>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</si>
  <si>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</si>
  <si>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أدخل رقم الهاتف الذي تتصل به:</t>
  </si>
  <si>
    <t>Any Response = calldispo</t>
  </si>
  <si>
    <t>yes</t>
  </si>
  <si>
    <t>calldispo</t>
  </si>
  <si>
    <t>Phone number: #CATI_MOBILENUMBER#
1)Someone answers
2)Answering machine
3)No answer
4)Hang up or refusal
5)Call back
6)Under review
7)Disconnected</t>
  </si>
  <si>
    <t>رقم الهاتف: #CATI_MOBILENUMBER#
1) يجيب شخص ما 
2) جهاز الرد الالي
3) لا جواب
4) إنهاء المكالمة أو الرفض
5) معاودة الاتصال
6) قيد المراجعة
7) قطع الاتصال</t>
  </si>
  <si>
    <t>Single Choice</t>
  </si>
  <si>
    <t>Form Type - Buttons</t>
  </si>
  <si>
    <t>1 = resp_language
2 = AnsweringMachine
3 = NoAnswer
4 = Refusal
5 = WhenCallBack
6 = UnderReview
7 = Disconnected</t>
  </si>
  <si>
    <t>AnsweringMachine</t>
  </si>
  <si>
    <t>calldispo_answeringmachine</t>
  </si>
  <si>
    <t>Reached an answering machine.</t>
  </si>
  <si>
    <t>لقد تم توجيهك إلى جهاز الرد الالي</t>
  </si>
  <si>
    <t>End Poll AnsweringMachine</t>
  </si>
  <si>
    <t>NoAnswer</t>
  </si>
  <si>
    <t>calldispo_noanswer</t>
  </si>
  <si>
    <t>Phone rang and no one answered.</t>
  </si>
  <si>
    <t>رن الهاتف ولم يرد أحد</t>
  </si>
  <si>
    <t>End Poll NoAnswer</t>
  </si>
  <si>
    <t>UnderReview</t>
  </si>
  <si>
    <t>calldispo_underreview</t>
  </si>
  <si>
    <t>Case needs review by a supervisor.</t>
  </si>
  <si>
    <t>الحالة تحتاج إلى مراجعة من قبل مشرف</t>
  </si>
  <si>
    <t>End Poll UnderReview</t>
  </si>
  <si>
    <t>Disconnected</t>
  </si>
  <si>
    <t>calldispo_disconnected</t>
  </si>
  <si>
    <t>Phone was disconnected or out of service.</t>
  </si>
  <si>
    <t>تم فصل الهاتف أو الهاتف خارج الخدمة</t>
  </si>
  <si>
    <t>End Poll Disconnected</t>
  </si>
  <si>
    <t>resp_language</t>
  </si>
  <si>
    <t>Which language do you wish to proceed with?
[OPERATOR: READ ANSWER CHOICES. SINGLE RESPONSE.]
1)English
2)Kurdish</t>
  </si>
  <si>
    <t>ما هي اللغة التي ترغب في المتابعة بها؟
[المُشغل: اقرأ خيارات الإجابة. استجابة واحدة.]
1) عربي
2) كردي</t>
  </si>
  <si>
    <t>Any response = introduction</t>
  </si>
  <si>
    <t>For any response, go to introduction</t>
  </si>
  <si>
    <t>To be added Kurdish language</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</si>
  <si>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</si>
  <si>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</si>
  <si>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15/20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سوف تتلقى #TOPUP#! ائتمان الاتصال كحافز للمشاركة في هذه الدراسة.
يرجى الملاحظة أنه قد يتم تسجيل هذه المكالمة لغاية مراقبة الجودة.
هل لديك اسئلة؟
[المُشغل: أجب على أسئلة المُجيب ، إن وجدت.]
1) تابع</t>
  </si>
  <si>
    <t>1 = Agree</t>
  </si>
  <si>
    <t>For any response, go to Agree</t>
  </si>
  <si>
    <t>1$</t>
  </si>
  <si>
    <t>Agree</t>
  </si>
  <si>
    <t>resp_agree</t>
  </si>
  <si>
    <t xml:space="preserve">Are you interested in participating in this survey?
[OPERATOR: SINGLE RESPONSE]
1)Yes 
2)Not now but another time in the week 
3)No </t>
  </si>
  <si>
    <t>هل لديك رغبة في بالمشاركة في هذه الدراسة؟
[المشغل: استجابة واحدة]
1) نعم
2) ليس الآن ولكن في وقت آخر في الأسبوع
3) لا</t>
  </si>
  <si>
    <t>StartRecording</t>
  </si>
  <si>
    <t>1 = id_panel
2 = WhenCallBack
3 = resp_refusalwhy</t>
  </si>
  <si>
    <t>if Agree = 1, go to id_panel OR resp_firstname
if Agree = 2, go to WhenCallBack
if Agree = 3, go to resp_refusalwhy</t>
  </si>
  <si>
    <t>id_panel</t>
  </si>
  <si>
    <t>Have you or any member of your household received a call on behalf of FAO regarding this topic in the past two years?
[OPERATOR: SINGLE RESPONSE.]
1)YES
2)NO
3)DON'T KNOW</t>
  </si>
  <si>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</si>
  <si>
    <t>1-3 = resp_firstname</t>
  </si>
  <si>
    <t>For any response, go to resp_firstname</t>
  </si>
  <si>
    <t xml:space="preserve">It is highly recommended to include the question id_panel if a panelist approach is used. </t>
  </si>
  <si>
    <t>resp_refusalwhy</t>
  </si>
  <si>
    <t>Please let us know why you have REFUSED to take the survey.
[OPERATOR: SINGLE RESPONSE]
1)Not interested
2)Do not want to be recorded
3)Other [specify]</t>
  </si>
  <si>
    <t>يرجى إخبارنا سبب رفضك للمشاركة في هذه الدراسة.
[المشغل: استجابة واحدة]
1) غير مهتم
2) لا أريد أن يتم تسجيلي
3) آخر [حدد]</t>
  </si>
  <si>
    <t>Open Ended - Single Choice</t>
  </si>
  <si>
    <t>Form Type - RadioList</t>
  </si>
  <si>
    <t>Any Response = Refusal</t>
  </si>
  <si>
    <t>For any response, go to Refusal</t>
  </si>
  <si>
    <t>WhenCallBack</t>
  </si>
  <si>
    <t>resp_whencallback</t>
  </si>
  <si>
    <t>When would it be a good time to call you back?
[RECORD HH/MM/DD/MM OF CALLBACK]</t>
  </si>
  <si>
    <t>ما هو التاريخ / الوقت المناسب لمعاودة الاتصال بك؟
[RECORD HH / MM / DD / MM of CALLBACK]</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</si>
  <si>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</si>
  <si>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</si>
  <si>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</si>
  <si>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</si>
  <si>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</si>
  <si>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</si>
  <si>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</si>
  <si>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Any Response = End poll callback</t>
  </si>
  <si>
    <t>Ineligible</t>
  </si>
  <si>
    <t>You are ineligible for this survey. Thank you for your time and please look out for future surveys!</t>
  </si>
  <si>
    <t xml:space="preserve">أنت غير مؤهل للمشاركة في هذه الدراسة، شكرًا لك على وقتك. ترقب دراسات GeoPoll المستقبلية! </t>
  </si>
  <si>
    <t>End Poll Ineligible</t>
  </si>
  <si>
    <t>Refusal</t>
  </si>
  <si>
    <t>NA </t>
  </si>
  <si>
    <t>Thank you for your time, you will be removed from today's survey.</t>
  </si>
  <si>
    <t>شكراً جزيلاً على وقتك، سنقوم بحذف إسمك من دراسة اليوم.</t>
  </si>
  <si>
    <t>End poll declined</t>
  </si>
  <si>
    <t>B. GENERAL INFORMATION &amp; ELIGIBILITY CRITERIA</t>
  </si>
  <si>
    <t>resp_firstname</t>
  </si>
  <si>
    <t>What is your first name?
[OPERATOR: RECORD THE RESPONDENT'S FIRST NAME. ENTER 999 FOR REFUSED.]</t>
  </si>
  <si>
    <t>ما اسمك؟
[المُشغل: سجل اسم المجيب. أدخل 999 في حالة الرفض.]</t>
  </si>
  <si>
    <t>Any Response = resp_lastname</t>
  </si>
  <si>
    <t>For any response, go to resp_lastname</t>
  </si>
  <si>
    <t>resp_lastname</t>
  </si>
  <si>
    <t>What is your last name? 
[OPERATOR: RECORD THE RESPONDENT'S LAST NAME. ENTER 999 FOR REFUSED.]</t>
  </si>
  <si>
    <t>ما هو اسم عائلتك؟
[المُشغل: سجل اسم عائلة المجيب. أدخل 999 في حالة الرفض.]</t>
  </si>
  <si>
    <t>Any Response = resp_age</t>
  </si>
  <si>
    <t>For any response, go to resp_age</t>
  </si>
  <si>
    <t>resp_age</t>
  </si>
  <si>
    <t>How old are you? 
[OPERATOR: RECORD AGE IN NUMBER OF YEARS. ROUND UP TO NEAREST WHOLE NUMBER. IF THE RESPONDENT GIVES BIRTH YEAR, REPEAT THE QUESTION. ENTER 00 FOR DON'T KNOW.]</t>
  </si>
  <si>
    <t>كم عمرك؟
[المُشغل: سجل العمر في عدد السنوات. قم بالتقريب لأقرب رقم كامل. إذا أعطى المجيب سنة الميلاد ، فكرر السؤال. أدخل 00 للا أعرف.]</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</si>
  <si>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</si>
  <si>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</si>
  <si>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</si>
  <si>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</si>
  <si>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</si>
  <si>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ما هو جنس المجيب؟
[المُشغل: لا تطرح هذا السؤال. استمع إلى الصوت وحدد المربع الصحيح.]
1) ذكر
2) أنثى
3) لا أعرف
4) رفض الإجابة</t>
  </si>
  <si>
    <t>1-4 = phone_number_conf</t>
  </si>
  <si>
    <t>For any response, go to phone_number_conf</t>
  </si>
  <si>
    <t>phone_number_conf</t>
  </si>
  <si>
    <t>Is the phone number I am calling you on yours or a household members?
[OPERATOR: SINGLE RESPONSE.]
1)YES
2)NO
3)DON'T KNOW
4)REFUSED</t>
  </si>
  <si>
    <t>هل رقم الهاتف الذي أتصل به هو رقمك أو رقم أحد أفراد أسرتك؟
[المشغل: استجابة واحدة.]
1) نعم
2) لا
3) لا أعرف
4) رفض الإجابة</t>
  </si>
  <si>
    <t>1 = contact_2
2 = phone_number_personal
3-4 = contact_2</t>
  </si>
  <si>
    <t>if phone_number_conf = 1, go to contact_2
if phone_number_conf = 2, go to phone_number_personal
if phone_number_conf = 3-4, go to contact_2</t>
  </si>
  <si>
    <t>yes - panel</t>
  </si>
  <si>
    <t>phone_number_personal</t>
  </si>
  <si>
    <t>phone_number_pers</t>
  </si>
  <si>
    <t>What is your phone number?
[OPERATOR: RECORD THE NUMBER GIVEN]</t>
  </si>
  <si>
    <t>ما هو رقم هاتفك؟
( المشغل: قم بتسجيل الرقم المعطى لك )</t>
  </si>
  <si>
    <t>Any Response = contact_2</t>
  </si>
  <si>
    <t>For any response, go to contact_2</t>
  </si>
  <si>
    <t>contact_2</t>
  </si>
  <si>
    <t>Can you give me an additonal phone number belonging to you, a relative or a friend at which you can be reached?
[OPERATOR: SINGLE RESPONSE.]
1)YES - mine 
2)YES - other household member
3)YES - friend or relative [non-household member]
4)NO
5)DON'T KNOW
6)REFUSED</t>
  </si>
  <si>
    <t>هل يمكن أن تعطيني رقم هاتف إضافي يخصك ، أو يخص قريبًا أو صديقًا يمكن الوصول إليك من خلاله؟
[المشغل: استجابة واحدة.]
1) نعم - لي
2) نعم - فرد اخر من أفراد الأسرة
3) نعم - صديق أو أحد الأقارب [ ليس فردا من أفراد الأسرة ]
4) لا
5) لا أعرف
6) رفض الإجابة</t>
  </si>
  <si>
    <t>1-3 = phone_number_2
4-6 = hh_admin1</t>
  </si>
  <si>
    <t>if contact_2 = 1-3, go to phone_number_2
if contact_2 = 4-6, go to contact_3</t>
  </si>
  <si>
    <t>phone_number_2</t>
  </si>
  <si>
    <t>What is the additional phone number?
[OPERATOR: RECORD THE NUMBER GIVEN]</t>
  </si>
  <si>
    <t>ما هو رقم الهاتف الإضافي؟
( المشغل: قم بتسجيل الرقم المعطى لك )</t>
  </si>
  <si>
    <t>Any Response = contact_2_name</t>
  </si>
  <si>
    <t>For any response, go to contact_2_name</t>
  </si>
  <si>
    <t>contact_2_name</t>
  </si>
  <si>
    <t>What is the name of the contact?
[OPERATOR: RECORD THE NAME OF THE CONTACT FOR THE PHONE NUMBER.]</t>
  </si>
  <si>
    <t>ما هو اسم صاحب رقم الهاتف الإضافي الذي قمت بمشاركته؟
( المشغل: قم بتسجيل اسم صاحب رقم الهاتف )</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</si>
  <si>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</si>
  <si>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</si>
  <si>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</si>
  <si>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</si>
  <si>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</si>
  <si>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</si>
  <si>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</si>
  <si>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</si>
  <si>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</si>
  <si>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</si>
  <si>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</si>
  <si>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ما هو اسم صاحب رقم الهاتف الإضافي الذي قمت بمشاركته؟
(المشغل: قم بتسجيل اسم صاحب رقم الهاتف)</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</si>
  <si>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</si>
  <si>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</si>
  <si>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</si>
  <si>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</si>
  <si>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t xml:space="preserve">Currently, in which Governorate does your household reside?
[OPERATOR: SINGLE SELECTION.]
[HINT: HOUSEHOLD CONSISTS OF ALL MEMBERS LIVING TOGETHER, SHARING RESOURCES &amp; EATING FROM THE SAME POT.]
1)ADMIN1
2)DON'T KNOW
3)REFUSED </t>
  </si>
  <si>
    <t>حاليًا ، في أي المحافظة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</si>
  <si>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</si>
  <si>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</si>
  <si>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</si>
  <si>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</si>
  <si>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District does your household reside?
[OPERATOR: SINGLE RESPONSE.]
1)ADMIN2
2)DON'T KNOW
3)REFUSED </t>
  </si>
  <si>
    <t>حاليًا ، في أي القضاء تقيم أسرتك؟
[المشغل: استجابة واحدة.]
1) ADMIN 2
2) لا أعرف
3) رفض الإجابة</t>
  </si>
  <si>
    <t>Form Type - Buttons
IsDemographic - ADM2</t>
  </si>
  <si>
    <t>1 =  hh_agricactivity
2-3 = Ineligible</t>
  </si>
  <si>
    <t>quotareached</t>
  </si>
  <si>
    <t>[OPERATOR: DO NOT READ. ANSWER QUESTION BELOW.]
THIS RESPONDENT REPORTED THEY LIVE IN:
{ADM1}
{ADM2}
1)THE GOAL FOR THIS LOCATION HAS BEEN ACHIEVED - END SURVEY
2)THE GOAL FOR THIS LOCATION IS OPEN - CONTINUE SURVEY</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</si>
  <si>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</si>
  <si>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</si>
  <si>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</si>
  <si>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</si>
  <si>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</si>
  <si>
    <t>1-4 = resp_id
5-6 = Ineligible</t>
  </si>
  <si>
    <t xml:space="preserve">if hh_agricactivity = 1-4, go to resp_id. Otherwise, the respondent is ineligible. </t>
  </si>
  <si>
    <t>B. GENERAL HOUSEHOLD INFORMATION</t>
  </si>
  <si>
    <t>resp_id</t>
  </si>
  <si>
    <t xml:space="preserve">Are you the head of household? 
[OPERATOR: SINGLE RESPONSE.]
1)Yes
2)No
3)DON'T KNOW
4)REFUSED
</t>
  </si>
  <si>
    <t>هل أنت رب الأسرة ؟
[المشغل: استجابة واحدة.]
1) نعم
2) لا
3) لا أعرف
4) رفض الإجابة</t>
  </si>
  <si>
    <t>1 = hh_education 
2-4 = hh_gender</t>
  </si>
  <si>
    <t>if resp_id = 1, go to hh_education. 
Otherwise, go to hh_gender.</t>
  </si>
  <si>
    <t>hh_gender</t>
  </si>
  <si>
    <t>Is the head of your household male or female?
[OPERATOR: SINGLE RESPONSE.]
1)Male 
2)Female
3)DON'T KNOW
4)REFUSED</t>
  </si>
  <si>
    <t>هل رب أسرتك ذكر أم أنثى؟
[المشغل: استجابة واحدة.]
1) ذكر
2) أنثى
3) لا أعرف
4) رفض الإجابة</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</si>
  <si>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</si>
  <si>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</si>
  <si>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</si>
  <si>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</si>
  <si>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</si>
  <si>
    <t>1-7 = hh_wealth</t>
  </si>
  <si>
    <t>if hh_education = 1-7, go to hh_wealth.</t>
  </si>
  <si>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</si>
  <si>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</si>
  <si>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أين يذهب أفراد الأسرة عادة لاستخدام المرحاض؟
[المُشغل: استجابة واحدة.]
1) مرحاض دافق/مزود بنظام شطف [مرحاض به ماء]
2) مرحاض الحفرة التقليدي [بدون ماء]
3) حفرة مفتوحة [حفرة في الأرض للفضلات بدون ماء أو سقف أو جدار]
4) مرحاض مشترك/جماعي [بالماء أو بدون الماء]
5) لا شيء - في العراء
6) لا أعرف
7) رفض الإجابة</t>
  </si>
  <si>
    <t xml:space="preserve">
1-7, go to hh_size</t>
  </si>
  <si>
    <t>For any response, go to hh_size</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</si>
  <si>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</si>
  <si>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</si>
  <si>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</si>
  <si>
    <t>Any response = hh_age</t>
  </si>
  <si>
    <t>For any response, go to hh_age</t>
  </si>
  <si>
    <t>hh_age</t>
  </si>
  <si>
    <t>How old is the head of household? 
[OPERATOR: SINGLE RESPONSE.]
1)Under 18
2)18 to 40 
3)41 to 65 
4)Over 65
5)DON'T KNOW
6)REFUSED</t>
  </si>
  <si>
    <t>كم عمر رب الاسرة؟
[المشغل: استجابة واحدة.]
1) أقل من 18 عامًا
2) بين 18 و 40 عامًا
3) بين 41 و 65 عامًا
4) فوق 65 عامًا
5) لا أعرف
6) رفض الإجابة</t>
  </si>
  <si>
    <t>1-6 = income_main</t>
  </si>
  <si>
    <t>For any response, go to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</si>
  <si>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</si>
  <si>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</si>
  <si>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</si>
  <si>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</si>
  <si>
    <t>Form Type - Buttons
IsDemographic</t>
  </si>
  <si>
    <t>1-3 = income_main_crop_check
4 = income_main_ls_check 
5 = income_main_comp
6 = income_main_fish_check 
7-18 = income_main_comp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</si>
  <si>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</si>
  <si>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income_main_crop_check</t>
  </si>
  <si>
    <t xml:space="preserve">Are the crops that you sell also produced by you or anyone in your household?
[OPERATOR: SINGLE RESPONSE.]
1)YES
2)NO
3)DON'T KNOW
4)REFUSED </t>
  </si>
  <si>
    <t>هل المحاصيل التي تبيعها من إنتاجك أنت أو أي شخص في أسرتك؟
[المشغل: استجابة واحدة.]
1) نعم
2) لا
3) لا أعرف
4) رفض الإجابة</t>
  </si>
  <si>
    <t>1-4 = income_main_comp</t>
  </si>
  <si>
    <t>if income_main_crop_check = 1-4, go to [income_main_comp OR optional question]</t>
  </si>
  <si>
    <t>income_main_ls_check</t>
  </si>
  <si>
    <t xml:space="preserve">Are the livestock and livestock products that you sell also produced by you or anyone in your household?
[OPERATOR: SINGLE RESPONSE.]
1)YES
2)NO
3)DON'T KNOW
4)REFUSED </t>
  </si>
  <si>
    <t>هل المواشي ومنتجاتها التي تبيعها من إنتاجك أنت أو أي شخص في أسرتك؟
[المشغل: استجابة واحدة.]
1) نعم
2) لا
3) لا أعرف
4) رفض الإجابة</t>
  </si>
  <si>
    <t>if income_main_ls_check = 1-4, go to [income_main_comp OR optional question]</t>
  </si>
  <si>
    <t>income_main_fish_check</t>
  </si>
  <si>
    <t xml:space="preserve">Are the fish and/or fish products that you sell also captured or harvested by you or anyone in your household?
[OPERATOR: SINGLE RESPONSE.]
1)YES
2)NO
3)DON'T KNOW
4)REFUSED </t>
  </si>
  <si>
    <t>هل منتجات الأسماك التي تبيعها من إنتاجك أنت أو أي شخص في أسرتك؟
[المشغل: استجابة واحدة.]
1) نعم
2) لا
3) لا أعرف
4) رفض الإجابة</t>
  </si>
  <si>
    <t>if income_main_fish_check = 1-4, go to [income_main_comp OR optional question]</t>
  </si>
  <si>
    <t>income_main_comp</t>
  </si>
  <si>
    <t>Has your household's income from {income_main} changed in the last 3 months compared to the same period of last year?
[OPERATOR: SINGLE RESPONSE.]
1)A lot more [increased by more than 50%]
2)Slightly more
3)Same
4)Slightly less
5)A lot less [less than half as much]
6)DON'T KNOW
7)REFUSED</t>
  </si>
  <si>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</si>
  <si>
    <t>1-3 or 6-7= income_sec
4-5= o_income_main_comp_reason</t>
  </si>
  <si>
    <t>if income_main_comp = 1-7, go to income_sec</t>
  </si>
  <si>
    <t>o_income_main_comp_reason</t>
  </si>
  <si>
    <t>If the main income source was "Slightly less" or "A lot less", specify the reason.
[OPERATOR: RECORD THE RESPONSE GIVEN]</t>
  </si>
  <si>
    <t>إذا كان مصدر الدخل الرئيسي "أقل قليلاً" أو "أقل بكثير" ، حدد السبب
[المُشغل: تسجيل الجواب المُعطى]</t>
  </si>
  <si>
    <t>Any Response = income_sec</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</si>
  <si>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</si>
  <si>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</si>
  <si>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</si>
  <si>
    <t>Form Type - Buttons
exclude selected "income_main"
IsDemographic</t>
  </si>
  <si>
    <t>1-3 = income_sec_crop_check
4 = income_sec_ls_check
5 = income_sec_comp 
6 = income_sec_fish_check
7-18 = income_sec_comp 
19-21 = shock</t>
  </si>
  <si>
    <t>if options #1-3 selected, go to income_sec_crop_check
if options #4 selected, go to income_sec_ls_check
if options #6 selected, go to income_sec_fish_check 
if options #5, 7-18 selected, go to [income_sec_comp OR optional question]
if options #19-21 selected, go to shock</t>
  </si>
  <si>
    <t>income_sec_crop_check</t>
  </si>
  <si>
    <t xml:space="preserve">1-4 = income_sec_comp </t>
  </si>
  <si>
    <t>if income_sec_crop_check = 1-4, go to [income_sec_comp OR optional question]</t>
  </si>
  <si>
    <t>income_sec_ls_check</t>
  </si>
  <si>
    <t>if income_sec_ls_check = 1-4, go to [income_sec_comp OR optional question]</t>
  </si>
  <si>
    <t>income_sec_fish_check</t>
  </si>
  <si>
    <t>1-4 = income_sec_comp</t>
  </si>
  <si>
    <t>if income_sec_fish_check = 1-4, go to [income_sec_comp OR optional question]</t>
  </si>
  <si>
    <t>income_sec_comp</t>
  </si>
  <si>
    <t>Has your household's income from {income_sec} changed in the last 3 months compared to the same period of last year? 
[OPERATOR: SINGLE RESPONSE.]
1)A lot more [increased by more than 50%]
2)Slightly more
3)Same
4)Slightly less
5)A lot less [less than half as much]
6)DON'T KNOW
7)REFUSED</t>
  </si>
  <si>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</si>
  <si>
    <t>1-7= income_third</t>
  </si>
  <si>
    <t>if income_sec_comp = 1-7, go to income_third</t>
  </si>
  <si>
    <t>income_third</t>
  </si>
  <si>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</si>
  <si>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</si>
  <si>
    <t>Form Type - Buttons
exclude selected "income_main"
exclude selected "income_sec"
IsDemographic</t>
  </si>
  <si>
    <t>1-3 = income_third_crop_check
4 = income_third_ls_check
5 = income_third_comp 
6 = income_third_fish_check
7-18 = income_third_comp 
19-21 = shock</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</si>
  <si>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</si>
  <si>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income_third_crop_check</t>
  </si>
  <si>
    <t xml:space="preserve">1-4 = income_third_comp </t>
  </si>
  <si>
    <t>if income_third_crop_check = 1-4, go to [income_third_comp OR optional question]</t>
  </si>
  <si>
    <t>income_third_ls_check</t>
  </si>
  <si>
    <t>if income_third_ls_check = 1-4, go to [income_third_comp OR optional question]</t>
  </si>
  <si>
    <t>income_third_fish_check</t>
  </si>
  <si>
    <t>if income_third_fish_check = 1-4, go to [income_third_comp OR optional question]</t>
  </si>
  <si>
    <t>income_third_comp</t>
  </si>
  <si>
    <t>Has your household's income from {income_third} changed in the last 3 months compared to the same period of last year?
[OPERATOR: SINGLE RESPONSE.]
1)A lot more [increased by more than 50%]
2)Slightly more
3)Same
4)Slightly less
5)A lot less [less than half as much]
6)DON'T KNOW
7)REFUSED</t>
  </si>
  <si>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</si>
  <si>
    <t>1-7= shock</t>
  </si>
  <si>
    <t>if income_third_comp = 1-7,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</si>
  <si>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</si>
  <si>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</si>
  <si>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</si>
  <si>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</si>
  <si>
    <t>Select All That Apply</t>
  </si>
  <si>
    <t>Form Type - Checklist 
1,26,27 = IsNone</t>
  </si>
  <si>
    <t>1-27 = crp_intro</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</si>
  <si>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</si>
  <si>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</si>
  <si>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D. CROP PRODUCTION</t>
  </si>
  <si>
    <t>crp_intro</t>
  </si>
  <si>
    <t>We will now ask you some questions about crop production which apply to you and anyone in your household that is involved in crop production or sales. All questions refer to the crops grown during Harvest season.
1)CONTINUE</t>
  </si>
  <si>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موسم الحصاد. 
1) تابع</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</si>
  <si>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</si>
  <si>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</si>
  <si>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</si>
  <si>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</si>
  <si>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</si>
  <si>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</si>
  <si>
    <t>0-1000000 = crp_landsize_unit
8888888-8888888 = crp_main
9999999-9999999 = crp_main</t>
  </si>
  <si>
    <t>For any response, go to crp_landsize_unit. Range is between 0 and 1000000. For "Don't know" and "Refused", go to crp_main.</t>
  </si>
  <si>
    <t>crp_landsize_unit</t>
  </si>
  <si>
    <t xml:space="preserve">Unit of measurement for land size: 
[OPERATOR: DO NOT READ. SINGLE RESPONSE.]
1)Acres
2)Hectares
3)Square meters
4)Square feet
5)Donum
</t>
  </si>
  <si>
    <t>وحدة قياس مساحة الارض:
[المُشغل: لا تقرأ. استجابة واحدة.]
1) فدان
2) هكتار
3) متر مربع
4) قدم مربع
5) دونم</t>
  </si>
  <si>
    <t>1-5 = crp_main</t>
  </si>
  <si>
    <t>if crp_landsize_unit = 1-5, go to crp_main</t>
  </si>
  <si>
    <t>5= Donum</t>
  </si>
  <si>
    <t>crp_main</t>
  </si>
  <si>
    <t>What has been the main crop that your household has grown for food and income generation in Harvest season, if any? 
 [OPERATOR: SINGLE RESPONSE. "NO CROP PRODUCTION" IS IN LAST OPTIONS AT THE END.] 
1)Wheat
2)Maize
3)Barley
4)Potatoe
5)Chickpeas
6)Tomatoes
7)Cucumber
8)Eggplant/aubergine
9)Onions
10)Water Melon
11)Dates
12)Grapes
13)Olives
14)Melon [Cantaloupe]
15)Rice
16)Millet
17)Sorghum
18)Other Cereal
19)Cassava
20)Sweet Potatoes
21)Yams
22)Carrots
23)Cocoyam
24)Other tubers
25)Beans
26)Lentils
27)Peas
28)Soybeans
29)Fava beans
30)Broad beans
31)Other pulses
32)Cabbage
33)Lettuce
34)Spinach-Amaranth
35)Cassava leaves
36)Potatoe leaves
37)Moringa
38)Sorrel Hibiscus / Rosselle
39)Green salad herbs [thyme, parsley, mint, rocca, other]
40)Cauliflower
41)Other leafy vegetables
42)Pumpkin
43)Zucchini
44)Okra
45)Bell pepper
46)Haricot
47)Green peas
48)Fava beans green
49)Other non leafy vegs
50)Orange
51)Lemon
52)Grapefruit
53)Mandarins/clementines
54)Other citrus fruit
55)Sweet Banana
56)Plantains
57)Papaya
58)Mango
59)Guava
60)Pineapple
61)Avocado
62)Figs
63)Apple
64)Apricot
65)Cherries
66)Peach/nectarine
67)Strawberries
68)Other fruit
69)Coconuts
70)Groundnut/peanut
71)Cashew Nut
72)Kola Nut
73)Sesame
74)Bambara nut
75)Almond
76)Walnut
77)Other nuts
78)Cocoa
79)Coffee
80)Tea
81)Sugarcane
82)Sunflower
83)Other food cash crop
84)Cotton
85)Rubber
86)Jute
87)Fodder
88)Tobacco
89)Qat
90)Other non-food cash crop</t>
  </si>
  <si>
    <t>Form Type - Dropdown
IsDemographic</t>
  </si>
  <si>
    <t>1-90 = crp_irrig_source
91 = crp_main_check
92-93 = crp_salesmain</t>
  </si>
  <si>
    <t>$CROP CODES$</t>
  </si>
  <si>
    <t>if crp_main = any type of crop, go to crp_irrig_source;
if crp_main = "No crop production", go to crp_main_check
if crp_main = "Don't know" or "Refused", go to crp_salesmain</t>
  </si>
  <si>
    <t>crp_main_check</t>
  </si>
  <si>
    <t>Why did you not produce any crops in Harvest season?
[OPERATOR: SINGLE RESPONSE.]
1)Don’t usually produce during this season 
2)Wasn't able to produce [e.g. due to difficulties]</t>
  </si>
  <si>
    <t>لماذا لم تنتج أي محاصيل في موسم الحصاد؟
[المشغل: استجابة واحدة.]
1) لا أنتج عادة محاصيل خلال هذا الموسم
2) لم أتمكن من إنتاج المحاصيل (على سبيل المثال بسبب الصعوبات)</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</si>
  <si>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</si>
  <si>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</si>
  <si>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</si>
  <si>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</si>
  <si>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</si>
  <si>
    <t>1-8 = crp_seed_supply</t>
  </si>
  <si>
    <t>if crp_irrig_source = 1-8, go to [crp_area_change or optional question]</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</si>
  <si>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</si>
  <si>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</si>
  <si>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</si>
  <si>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</si>
  <si>
    <t xml:space="preserve">Select All That Apply </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</si>
  <si>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</si>
  <si>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</si>
  <si>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</si>
  <si>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</si>
  <si>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crp_area_change</t>
  </si>
  <si>
    <t>How did the area planted for {crp_main} from Harvest season compare to last year?
[OPERATOR: SINGLE RESPONSE.]
1)A lot more [increased by more than 50%]
2)Slightly more
3)Same
4)Slightly less
5)A lot less [less than half as much]
6)DON'T KNOW
7)REFUSED</t>
  </si>
  <si>
    <t>كيف يمكن مقارنة المساحة المزروعة ل {crp_main} في موسم الحصاد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</si>
  <si>
    <t>1-3 or 6-7 = crp_harv_change
4-5 = o_crp_area_change_reason</t>
  </si>
  <si>
    <t>if crp_area_change = 1-7, go to crp_harv_change</t>
  </si>
  <si>
    <t>o_crp_area_change_reason</t>
  </si>
  <si>
    <t>If the area planted was "slightly less" or "A lot less", please specify the reason.
[OPERATOR: RECORD THE RESPONSE GIVEN]</t>
  </si>
  <si>
    <t>إذا كانت المساحة المزروعة "أقل قليلاً" أو "أقل بكثير" ، يرجى تحديد السبب
[المُشغل: تسجيل الجواب المُعطى]</t>
  </si>
  <si>
    <t>Any response = crp_harv_change</t>
  </si>
  <si>
    <t>crp_harv_change</t>
  </si>
  <si>
    <t>How does the  harvest of {crp_main} in the Harvest season compare to last year? 
[OPERATOR: SINGLE RESPONSE.]
1)A lot more [increased by more than 50%]
2)Slightly more
3)Same
4)Slightly less
5)A lot less [less than half as much]
6)DON'T KNOW
7)REFUSED</t>
  </si>
  <si>
    <t>كيف يمكن مقارنة الحصاد   لـ {crp_main} في موسم الحصاد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</si>
  <si>
    <t>1-7 = crp_proddif</t>
  </si>
  <si>
    <t>if crp_harv_change = 1-7, go to [crp_proddif or crp_harv_vol]</t>
  </si>
  <si>
    <t>crp_proddif</t>
  </si>
  <si>
    <t>Has your household faced any significant difficulty in terms of crop production in Harvest season?
[OPERATOR: SINGLE RESPONSE.]
1)YES
2)NO
3)DON'T KNOW
4)REFUSED</t>
  </si>
  <si>
    <t>هل واجهت أسرتك أي صعوبة في إنتاج المحاصيل في موسم الحصاد؟
[المشغل: استجابة واحدة.]
1) نعم
2) لا
3) لا أعرف
4) رفض الإجابة</t>
  </si>
  <si>
    <t>1 = crp_proddif_2
2-4 = o_climate_change_crop</t>
  </si>
  <si>
    <t>if crp_proddif = 1, go to crp_proddif_2 ; 
if crp_proddif = 2-4, go to [crp_salesmain or optional question]</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</si>
  <si>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</si>
  <si>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</si>
  <si>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Harvest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</si>
  <si>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ما الصعوبات التي واجهتها أسرتك في إنتاج المحاصيل في موسم الحصاد؟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</si>
  <si>
    <t>Form Type - Checklist
17,18 = IsNone</t>
  </si>
  <si>
    <t>1-3, 6 or 8-18 =o_climate_change_crop
4=o_crp_prodiff_reason1
5=o_crp_prodiff_reason2
7=o_crp_prodiff_reason3</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</si>
  <si>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</si>
  <si>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</si>
  <si>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o_crp_proddif_reason1</t>
  </si>
  <si>
    <t>What is the main reason why you could not access your plot?
[OPERATOR: MULTIPLE RESPONSES POSSIBLE.]
1)Far roads or offroads [including bad roads]
2)Do not have transportation means [car…]
3)Conflicts
4)Other
5)DON'T KNOW
6)REFUSED</t>
  </si>
  <si>
    <t>ما هو السبب الرئيسي لعدم تمكنك من الوصول إلى قطعة الأرض الخاصة بك؟
[المُشغل: احتمال وجود عدة استجابات.]
1) الطرق البعيدة أو الطرق الوعرة [بما في ذلك الطرق السيئة]
2) ليس لديك وسيلة نقل [سيارة …]
3) الصراعات
4) آخر
5) لا أعرف
6) رفض الإجابة</t>
  </si>
  <si>
    <t>Send if "crp_proddif_2" "Contains" "Access to plot" if not satisfied go to "o_crp_proddif_reason2"</t>
  </si>
  <si>
    <t>Form Type - Checklist
5,6 = IsNone</t>
  </si>
  <si>
    <t>1-6 = o_climate_change_crop</t>
  </si>
  <si>
    <t>o_crp_proddif_reason2</t>
  </si>
  <si>
    <t>What is the main reason why you could not access fertilizers?
[OPERATOR: MULTIPLE RESPONSES POSSIBLE.]
1)High price
2)Bad quality of fertilizers
3)No support from government
4)Other
5)DON'T KNOW
6)REFUSED</t>
  </si>
  <si>
    <t>ما هو السبب الرئيسي لعدم تمكنك من الوصول إلى الأسمدة؟
[المُشغل: احتمال وجود عدة استجابات.]
1) سعر مرتفع
2) سوء جودة الأسمدة
3) لا يوجد دعم من الحكومة
4) آخر
5) لا أعرف
6) رفض الإجابة</t>
  </si>
  <si>
    <t>Send if "crp_proddif_2" "Contains" "Access to fertilizer [not available on markets or prices too high]" if not satisfied go to "o_crp_proddif_reason3"</t>
  </si>
  <si>
    <t>o_crp_proddif_reason3</t>
  </si>
  <si>
    <t>What is the main reason why you could not access enough seeds?
[OPERATOR: MULTIPLE RESPONSES POSSIBLE.]
1)High price
2)Bad quality of seeds
3)No support from government
4)Other
5)DON'T KNOW
6)REFUSED</t>
  </si>
  <si>
    <t>ما هو السبب الرئيسي لعدم تمكنك من الحصول على ما يكفي من البذور؟
[المُشغل: احتمال وجود عدة استجابات.]
1) سعر مرتفع
2) سوء جودة الأسمدة
3) لا يوجد دعم من الحكومة
4) آخر
5) لا أعرف
6) رفض الإجابة</t>
  </si>
  <si>
    <t>Send if "crp_proddif_2" "Contains" "Access to enough seeds [not available on markets or prices too high]" if not satisfied go to "crp_salesmain"</t>
  </si>
  <si>
    <t>o_climate_change_crop</t>
  </si>
  <si>
    <t>Have you changed your cropping pattern as a result of recent climatic events? 
[OPERATOR: SINGLE RESPONSE]
1)YES
2)NO
3)DON'T KNOW
4)REFUSED'</t>
  </si>
  <si>
    <t xml:space="preserve"> هل قمت بتغيير نمط المحاصيل الخاص بك نتيجة للأحداث المناخية الأخيرة؟
[المشغل: استجابة واحدة]
1) نعم
2) لا
3) لا أعرف
4) رفض الإجابة</t>
  </si>
  <si>
    <t>1 = o_climate_change_croptype
2-4 = crp_salesmain</t>
  </si>
  <si>
    <t>o_climate_change_croptype</t>
  </si>
  <si>
    <t>If so, what was the crop that you typically grew, instead of {crp_main} ?
[OPERATOR: SINGLE RESPONSE]</t>
  </si>
  <si>
    <t>إذا كان الأمر كذلك ، فما هو المحصول الذي تزرعه عادةً بدلاً من {crp_main}؟
[المشغل: استجابة واحدة]</t>
  </si>
  <si>
    <t>Any response = o_climate_change_crop_reason</t>
  </si>
  <si>
    <t>o_climate_change_crop_reason</t>
  </si>
  <si>
    <t>What were the reasons for changing the crop type you are cultivating?
[OPERATOR: MULTIPLE RESPONSES POSSIBLE.]
1)Lack of available inputs for usual crops
2)Lack of money to buy usual crop inputs
3)Fuel needs for usual crop too high [due to higher prices at current]
4)New crop inputs cheaper
5)New crops use less work on field
6)New crops use less fuel to cultivate
7)New crops need less water on field
8)New crops have higher value for sale
9)New crops are growing faster
10)New crops need less maintenance and work
11)The climate in my area has changed and the new crop is more adapted 
12)DON'T KNOW
13)REFUSED</t>
  </si>
  <si>
    <t>ما هي أسباب تغيير نوع المحصول الذي تزرعه؟
[المُشغل: إمكانية الحصول على إجابات متعددة.]
1) نقص المدخلات المتاحة للمحاصيل المعتادة
2) قلة المال لشراء مدخلات المحاصيل المعتادة
3) احتياجات الوقود للمحاصيل المعتادة مرتفعة للغاية [بسبب ارتفاع الأسعار في الوقت الحالي]
4) مدخلات المحاصيل الجديدة أرخص
5) المحاصيل الجديدة تستخدم القليل من العمل في الحقل
6) المحاصيل الجديدة تستخدم وقودًا أقل للزراعة
7) تحتاج المحاصيل الجديدة إلى كميات أقل من المياه في الحقل
8) المحاصيل الجديدة لها قيمة أعلى للبيع
9) تنمو المحاصيل الجديدة بشكل أسرع
10) المحاصيل الجديدة تحتاج إلى صيانة وعمل أقل
11) تغير المناخ في منطقتي وأصبح المحصول الجديد أكثر تكيفًا
12) لا أعرف
13) رفض</t>
  </si>
  <si>
    <t>Multiple Choice</t>
  </si>
  <si>
    <t>1-13 = crp_salesmain</t>
  </si>
  <si>
    <t>D. CROP MARKETING</t>
  </si>
  <si>
    <t>crp_salesmain</t>
  </si>
  <si>
    <t>What has been the main crop that you have sold over the last 3 months?
[OPERATOR: SELECT ALL CROPS LISTED BY THE RESPONDENT.]
1)Wheat
2)Maize
3)Barley
4)Potatoe
5)Chickpeas
6)Tomatoes
7)Cucumber
8)Eggplant/aubergine
9)Onions
10)Water Melon
11)Dates
12)Grapes
13)Olives
14)Melon [Cantaloupe]
15)Rice
16)Millet
17)Sorghum
18)Other Cereal
19)Cassava
20)Sweet Potatoes
21)Yams
22)Carrots
23)Cocoyam
24)Other tubers
25)Beans
26)Lentils
27)Peas
28)Soybeans
29)Fava beans
30)Broad beans
31)Other pulses
32)Cabbage
33)Lettuce
34)Spinach-Amaranth
35)Cassava leaves
36)Potatoe leaves
37)Moringa
38)Sorrel Hibiscus / Rosselle
39)Green salad herbs [thyme, parsley, mint, rocca, other]
40)Cauliflower
41)Other leafy vegetables
42)Pumpkin
43)Zucchini
44)Okra
45)Bell pepper
46)Haricot
47)Green peas
48)Fava beans green
49)Other non leafy vegs
50)Orange
51)Lemon
52)Grapefruit
53)Mandarins/clementines
54)Other citrus fruit
55)Sweet Banana
56)Plantains
57)Papaya
58)Mango
59)Guava
60)Pineapple
61)Avocado
62)Figs
63)Apple
64)Apricot
65)Cherries
66)Peach/nectarine
67)Strawberries
68)Other fruit
69)Coconuts
70)Groundnut/peanut
71)Cashew Nut
72)Kola Nut
73)Sesame
74)Bambara nut
75)Almond
76)Walnut
77)Other nuts
78)Cocoa
79)Coffee
80)Tea
81)Sugarcane
82)Sunflower
83)Other food cash crop
84)Cotton
85)Rubber
86)Jute
87)Fodder
88)Tobacco
89)Qat
90)Other non-food cash crop
92)DON'T KNOW
93)REFUSED</t>
  </si>
  <si>
    <t>ما هو المحصول الرئيسي الذي بعته خلال الأشهر الثلاثة الماضية؟ 
 [حدد جميع المحاصيل التي سجلها المجيب.] 
1)القمح
2)الذرة
3)الشعير
4)البطاطا
5)الحمص
6)الطماطم
7)الخيار
8)الباذنجان
9)بصل
10)البطيخ الأحمر
11)التمر
12)العنب
13)الزيتون
14)الشمام
15)الرز
16)الدخن
17)الذرة الرفيعة
18)الحبوب الأخرى
19)الكسافا
20)البطاطا الحلوة
21)اليام
22)الجزر
23)القلقاس
24)الدرنات الأخرى
25)الفاصوليا
26)العدس
27)البازيلاء
28)فول الصويا
29)الفول
30)الفاصوليا العريضة
31)البقول الاخرى
32)الملفوف
33)الخس
34)السبانخ - القطيفة
35)أوراق الكسافا
36)أوراق البطاطا
37)المورينجا
38)الكركديه
39)أعشاب السلطة الخضراء [زعتر ، بقدونس ، نعناع ، جرجير ، أنواع أخرى]
40)القرنبيط
41)الخضار الورقية الأخرى
42)اليقطين
43)الكوسة
44)البامية
45)الفلفل حلو
46)اللوبياء
47)البازلاء الخضراء
48)الفول الأخضر
49)الخضار غير الورقية الأخرى
50)البرتقال
51)الليمون
52)الجريب فروت
53)اليوسفي / الكليمنتين
54)الحمضيات الأخرى
55)الموز
56)موز الجنة
57)البابايا
58)المانجو
59)الجوافة
60)الأناناس
61)الأفوكادو
62)التين
63)التفاح
64)المشمش
65)الكرز
66)الدراق / النكتارين
67)الفراولة
68)الفواكه الأخرى
69)جوز الهند
70)الفول السوداني
71)الكاجو
72)جوز الكولا
73)السمسم
74)جوز البامبارا
75)اللوز
76)الجوز
77)المكسرات الأخرى
78)الكاكاو
79)القهوة
80)الشاي
81)قصب السكر
82)دوار الشمس
83)المحاصيل الغذائية النقدية الأخرى 
84)القطن
85)المطاط
86)الجوت
87)العلف
88)التبغ
89)القات
90) المحاصيل النقدية غير الغذائية الأخرى 
92) لا اعرف
93)رفض الإجابة</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</si>
  <si>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</si>
  <si>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
91-92 = ls_intro</t>
  </si>
  <si>
    <t>$CROP SOLD CODES$</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</si>
  <si>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</si>
  <si>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</si>
  <si>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</si>
  <si>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هل واجهت أسرتك أي صعوبة خلال الأشهر الثلاثة الماضية في بيع {crp_salesmain}؟
[المشغل: استجابة واحدة.]
1) نعم
2) لا
3) لا أعرف
4) رفض الإجابة</t>
  </si>
  <si>
    <t>1 = crp_salesdif_2
2-4 = crp_salesprice</t>
  </si>
  <si>
    <t>if crp_salesdif = 1, go to crp_salesdif_2 ; 
if crp_salesdif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</si>
  <si>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</si>
  <si>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</si>
  <si>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</si>
  <si>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 </t>
  </si>
  <si>
    <t>1-10 = o_crp_salesdif_2_lowprice</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</si>
  <si>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</si>
  <si>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</si>
  <si>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o_crp_salesdif_2_lowprice</t>
  </si>
  <si>
    <t>If you faced "Low selling price" difficulties in the last 3 months, please state the reason.
[OPERATOR: RECORD THE RESPONSE GIVEN]</t>
  </si>
  <si>
    <t>في حال واجهتك صعوبات "انخفاض سعر البيع" في آخر 3 أشهر، يرجى توضيح السبب.
[المُشغل: سجل الاستجابة المُعطاة]</t>
  </si>
  <si>
    <t>Send if "crp_salesdif_2" "Contains" "Low selling prices [e.g. compared to input prices / inflation]" if not satisfied go to "crp_salesprice"</t>
  </si>
  <si>
    <t>Any response=crp_salesprice</t>
  </si>
  <si>
    <t>Any Response = crp_salesprice</t>
  </si>
  <si>
    <t>crp_salesprice</t>
  </si>
  <si>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</si>
  <si>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</si>
  <si>
    <t>1-3, 6-7 = ls_intro 
4-5=o_crp_salesprice_decrease</t>
  </si>
  <si>
    <t>if crp_salesprice = 1-7, go to ls_intro</t>
  </si>
  <si>
    <t>o_crp_salesprice_decrease</t>
  </si>
  <si>
    <t>If the price of crops "Slightly decreased" or "significantly decreased", state the reason?
[OPERATOR: RECORD THE RESPONSE GIVEN]</t>
  </si>
  <si>
    <t>إذا كان سعر المحاصيل "انخفض قليلاً" أو "انخفض بشكل ملحوظ" ، أذكر السبب؟
[المُشغل: تسجيل الجواب المُعطى]</t>
  </si>
  <si>
    <t>Any response=ls_intro</t>
  </si>
  <si>
    <t>Any Response = ls_intro</t>
  </si>
  <si>
    <t>E. LIVESTOCK PRODUCTION</t>
  </si>
  <si>
    <t>ls_intro</t>
  </si>
  <si>
    <t>We will now ask you some questions about livestock production which apply to you and anyone in your household that is involved in livestock production or sales. 
1)CONTINUE</t>
  </si>
  <si>
    <t>سنطرح عليك الآن بعض الأسئلة حول إنتاج الماشية التي تنطبق عليك وعلى أي شخص في أسرتك يشارك في إنتاج الماشية أو بيعها.
1) تابع</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</si>
  <si>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</si>
  <si>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</si>
  <si>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</si>
  <si>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</si>
  <si>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</si>
  <si>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ما هو الحيوان الرئيسي الذي قامت أسرتك بتربيته من أجل الغذاء وتوليد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</si>
  <si>
    <t>Form Type - Buttons
set demographic</t>
  </si>
  <si>
    <t>1-9 = ls_num_lastyr
10-11 = ls_proddif</t>
  </si>
  <si>
    <t>if ls_main = 1-9, go to ls_num_lastyr ; 
If ls_main = 10-11, go to ls_proddif</t>
  </si>
  <si>
    <t>ls_num_lastyr</t>
  </si>
  <si>
    <t>How many {ls_main] did you have at the same time last year?
[OPERATOR: RECORD THE NUMBER OF ANIMALS. ENTER 88888 FOR DON'T KNOW AND 99999 FOR REFUSED.]</t>
  </si>
  <si>
    <t>كم {ls_main] كان لديك في نفس الوقت من العام الماضي؟
[المُشغل: سجل عدد الحيوانات. أدخل 88888 للا أعرف و 99999 في حالة الرفض.]</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</si>
  <si>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</si>
  <si>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</si>
  <si>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</si>
  <si>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</si>
  <si>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كم {ls_main} لديك الآن؟
[المُشغل: سجل عدد الحيوانات. أدخل 88888 للا أعرف و 99999 في حالة الرفض.]</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</si>
  <si>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</si>
  <si>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</si>
  <si>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</si>
  <si>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</si>
  <si>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</si>
  <si>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</si>
  <si>
    <t>Form Type - Checklist
1,13,14 = IsNone</t>
  </si>
  <si>
    <t>1-14 = ls_feed</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</si>
  <si>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</si>
  <si>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</si>
  <si>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</si>
  <si>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</si>
  <si>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</si>
  <si>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</si>
  <si>
    <t>Form Type - Checklist
7,8 = IsNone</t>
  </si>
  <si>
    <t>1-8 = ls_proddif</t>
  </si>
  <si>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</si>
  <si>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</si>
  <si>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</si>
  <si>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</si>
  <si>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هل واجهت أسرتك أي صعوبة في إنتاج الماشية خلال الأشهر الثلاثة الماضية؟
[المشغل: استجابة واحدة.]
1) نعم
2) لا
3) لا أعرف
4) رفض الإجابة</t>
  </si>
  <si>
    <t>1=ls_proddif_2
2-4= o_climate_change_herd</t>
  </si>
  <si>
    <t>if ls_proddif = 1, go to ls_proddif_2 ; 
if ls_proddif = 2-4, go to [ls_salesmain OR optional question]</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</si>
  <si>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</si>
  <si>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</si>
  <si>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</si>
  <si>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</si>
  <si>
    <t>Form Type - Checklist
12,13 = IsNone</t>
  </si>
  <si>
    <t>1=o_prodiff_reason1
2=o_prodiff_reason2
3=o_prodiff_reason3
4-13 = o_climate_change_herd</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</si>
  <si>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</si>
  <si>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 OR optional question</t>
  </si>
  <si>
    <t>o_proddif_reason1</t>
  </si>
  <si>
    <t>What is the main reason why you had difficulty purchasing feed?
[OPERATOR: MULTIPLE RESPONSES POSSIBLE.]
1)High price
2)Other [specify]
3)DON'T KNOW
4)REFUSED</t>
  </si>
  <si>
    <t>ا السبب الرئيسي الذي جعلك تواجه صعوبة في شراء العلف؟
[المُشغل: احتمال وجود عدة استجابات.]
1) سعر مرتفع
2) آخر [حدد]
3) لا أعرف
4) رفض الإجابة</t>
  </si>
  <si>
    <t xml:space="preserve">Open Ended-Select All That Apply </t>
  </si>
  <si>
    <t>Send if "ls_proddif_2" "Contains" "Difficulty to purchase feed [e.g. prices or access to market]" if not satisfied go to "o_proddif_reason2"</t>
  </si>
  <si>
    <t>Form Type - Checklist
3,4 = IsNone</t>
  </si>
  <si>
    <t>1-4 = o_climate_change_herd</t>
  </si>
  <si>
    <t>o_proddif_reason2</t>
  </si>
  <si>
    <t>What is the main reason why you had difficulty accessing pasture?
[OPERATOR: MULTIPLE RESPONSES POSSIBLE.]
1)Drought [Less waterfall]
2)Distance [it is far]
3)Unavailability of transportation
4)Other [specify]
5)DON'T KNOW
6)REFUSED</t>
  </si>
  <si>
    <t>ما هو السبب الرئيسي الذي جعلك تواجه صعوبة في الوصول إلى المراعي؟
[المُشغل: احتمال وجود عدة استجابات.]
1) الجفاف [المطر قليل او قليل الماء]
2) المسافة بعيدة
3) عدم وجود وسائل النقل
4) آخر [حدد]
5) لا أعرف
6) رفض الإجابة</t>
  </si>
  <si>
    <t>Send if "ls_proddif_2" "Contains" "Access to pasture" if not satisfied go to "o_proddif_reason3"</t>
  </si>
  <si>
    <t>1-6 = o_climate_change_herd</t>
  </si>
  <si>
    <t>o_proddif_reason3</t>
  </si>
  <si>
    <t>What is the main reason why you had difficulty accessing water?
[OPERATOR: MULTIPLE RESPONSES POSSIBLE.]
1)Drought [due to less waterfall]
2)No electricity [high cost of fuel to run generators]
3)The place of water is far
4)Other [specify]
5)DON'T KNOW
6)REFUSED</t>
  </si>
  <si>
    <t>ما هو السبب الرئيسي الذي جعلك تواجه صعوبة في الحصول على المياه؟
[المُشغل: احتمال وجود عدة استجابات.]
1) الجفاف [بسبب قلة الامطار او الماء]
2) لا كهرباء [لا وقود لتشغيل المولدات]
3) مكان الماء بعيد
4) آخر [حدد]
5) لا أعرف
6) رفض الإجابة</t>
  </si>
  <si>
    <t>Send if "ls_proddif_2" "Contains" "Access to water" if not satisfied go to "ls_salesmain"</t>
  </si>
  <si>
    <t>o_climate_change_herd</t>
  </si>
  <si>
    <t>Have you changed the composition of your herd/flock as a result of recent climatic events?
[OPERATOR: SINGLE RESPONSE]
1)YES
2)NO
3)DON'T KNOW
4)REFUSED</t>
  </si>
  <si>
    <t>هل غيرت تكوين قطيعك / قطيعك نتيجة للأحداث المناخية الأخيرة؟
[المشغل: استجابة واحدة]
1) نعم
2) لا
3) لا أعرف
4) رفض الإجابة</t>
  </si>
  <si>
    <t>1 = o_climate_change_livestock_reason
2-4 = ls_salesmain</t>
  </si>
  <si>
    <t>o_climate_change_livestock_reason</t>
  </si>
  <si>
    <t>If so, for what reason? 
[OPERATOR: MULTIPLE RESPONSES POSSIBLE.]
1) The natural environment around me (ex. Pasture) has become more appropriate to the new species
2) The economic environment (ex. availability of inputs) has become more appropriate to the new species
3) Disinvestment: the new species immobilizes less capital
4) Investment: the new species requires more capital, for higher returns
5) New species use less work
6 )New species sells more
7)DON'T KNOW
8)REFUSED</t>
  </si>
  <si>
    <t>إذا كان الأمر كذلك ، فما السبب؟
[المُشغل: إمكانية الحصول على إجابات متعددة.]
1) أصبحت البيئة الطبيعية من حولي (مثل المراعي) أكثر ملاءمة للأنواع الجديدة
2) أصبحت البيئة الاقتصادية (مثل توافر المدخلات) أكثر ملاءمة للأنواع الجديدة
3) سحب الاستثمار: الأنواع الجديدة تشل حركة رأس مال أقل
4) الاستثمار: تتطلب الأنواع الجديدة المزيد من رأس المال لتحقيق عوائد أعلى
5) الأنواع الجديدة تستهلك عملاً أقل
6) الأنواع الجديدة تبيع أكثر
7) لا أعرف
8) رفض</t>
  </si>
  <si>
    <t>1-8 = ls_salesmain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</si>
  <si>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</si>
  <si>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</si>
  <si>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</si>
  <si>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</si>
  <si>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</si>
  <si>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IsDemographic</t>
  </si>
  <si>
    <t>1-11 = ls_salesdif
12-13 = fish_intro</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</si>
  <si>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</si>
  <si>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ls_salesdif</t>
  </si>
  <si>
    <t>Has your household faced any significant difficulty in the last 3 months selling your {ls_salesmain}?
[OPERATOR: SINGLE RESPONSE.]
1)YES
2)NO
3)DON'T KNOW
4)REFUSED</t>
  </si>
  <si>
    <t>هل واجهت أسرتك أي صعوبة خلال الأشهر الثلاثة الماضية في بيع {ls_salesmain}؟
[المشغل: استجابة واحدة.]
1) نعم
2) لا
3) لا أعرف
4) رفض الإجابة</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</si>
  <si>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</si>
  <si>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</si>
  <si>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</si>
  <si>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</si>
  <si>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</si>
  <si>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</si>
  <si>
    <t>Form Type - Checklist
10,11 = IsNone</t>
  </si>
  <si>
    <t>1-4 and 6-11 = ls_salesprice
5=o_ls_salesdif_2_lowprice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</si>
  <si>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</si>
  <si>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</si>
  <si>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o_ls_salesdif_2_lowprice</t>
  </si>
  <si>
    <t>Send if "ls_salesdif_2" "Contains" "Low selling prices [e.g. compared to input prices / inflation]" if not satisfied go to "ls_salesprice"</t>
  </si>
  <si>
    <t>Any Response = ls_salesprice</t>
  </si>
  <si>
    <t>ls_salesprice</t>
  </si>
  <si>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</si>
  <si>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</si>
  <si>
    <t>1-3, 6-7 = fish_intro
4-5=o_ls_salesprice_decrease</t>
  </si>
  <si>
    <t>For options #1-7, go to fish_intro</t>
  </si>
  <si>
    <t>o_ls_salesprice_decrease</t>
  </si>
  <si>
    <t>If the price of livestock "Slightly decreased" or "significantly decreased", state the reason?
[OPERATOR: RECORD THE RESPONSE GIVEN]</t>
  </si>
  <si>
    <t>إذا كان سعر الماشية "انخفض قليلاً" أو "انخفض بشكل ملحوظ" ، أذكر السبب؟
[المُشغل: تسجيل الجواب المُعطى]</t>
  </si>
  <si>
    <t>Any Response = fish_intro</t>
  </si>
  <si>
    <t>F. FISHERIES PRODUCTION</t>
  </si>
  <si>
    <t>fish_intro</t>
  </si>
  <si>
    <t>We will now ask you some questions about fishing and aquaculture production which apply to you and anyone in your household that is involved in the capture, culture, processing or sales of fish.
1)CONTINUE</t>
  </si>
  <si>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
1) تابع</t>
  </si>
  <si>
    <t>Send if "income_main_fish_check" "Equals" "YES" Or "income_sec_fish_check" "Equals" "YES Or "income_third_fish_check" "Equals" "YES", if not satisfied go to "fies"</t>
  </si>
  <si>
    <t>1 = fish_main</t>
  </si>
  <si>
    <t>If the respondent reported production and sales of fish in one of the three main income sources and confirmed that they are involved in production, then this section will be administered to respondents. Otherwise, skip to fies</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</si>
  <si>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</si>
  <si>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</si>
  <si>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</si>
  <si>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</si>
  <si>
    <t>Form Type - Checklist
5,6 = IsNone</t>
  </si>
  <si>
    <t>1-6 = fish_change</t>
  </si>
  <si>
    <t>1)fish_main_coastal
2)fish_main_offshore_sea
3)fish_main_freshwater
4)fish_main_aquaculture
5)fish_main_dk
6)fish_main_ref</t>
  </si>
  <si>
    <t>if fish_main = 1-6, go to fish_change</t>
  </si>
  <si>
    <t>fish_change</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</si>
  <si>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</si>
  <si>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كيف يتم صيد الأسماك [الصيد] في الأشهر الثلاثة الماضية [أو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</si>
  <si>
    <t>1-7 = fish_proddif</t>
  </si>
  <si>
    <t>if fish_change = 1-7, go to fish_proddif</t>
  </si>
  <si>
    <t>fish_proddif</t>
  </si>
  <si>
    <t>Has your household faced any significant difficulty with fish catch and/or harvest in the last 3 months?
[OPERATOR: SINGLE RESPONSE.]
1)YES
2)NO
3)DON'T KNOW
4)REFUSED</t>
  </si>
  <si>
    <t>هل واجهت أسرتك أي صعوبة في صيد الأسماك و / أو حصادها في الأشهر الثلاثة الماضية؟
[المشغل: استجابة واحدة.]
1) نعم
2) لا
3) لا أعرف
4) رفض الإجابة</t>
  </si>
  <si>
    <t>1=fish_proddif_2
2-4= fish_salesmain</t>
  </si>
  <si>
    <t>if fish_proddif = 1, go to fish_proddif_2 ; 
if fish_proddif = 2-4, go to fish_salesmain OR optional question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</si>
  <si>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</si>
  <si>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</si>
  <si>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</si>
  <si>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ما الصعوبات التي واجهتها أسرتك في صيد الأسماك و / أو حصادها في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</si>
  <si>
    <t>1-4,6-11 = fish_salesmain 
5=fish_inputdif</t>
  </si>
  <si>
    <t>1)fish_proddif_find_fish
2)fish_proddif_pests
3)fish_proddif_access_area
4)fish_proddif_fuel
5)fish_proddif_input_access
6)fish_proddif_labour
7)fish_proddif_infrastructure
8)fish_proddif_damage_equip
9)fish_proddif_other
10)fish_proddif_dk
11)fish_proddif_ref</t>
  </si>
  <si>
    <t>If fish_proddif_2 = 1-11, go to fish_salesmain OR optional question</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</si>
  <si>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</si>
  <si>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</si>
  <si>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</si>
  <si>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</si>
  <si>
    <t xml:space="preserve">Open Ended - Select All That Apply </t>
  </si>
  <si>
    <t>Send if "fish_proddif_2" "Contains" "Access to other fishing or culture inputs [prices higher or not available]" if not satisfied go to "fish_salesmain"</t>
  </si>
  <si>
    <t>Form Type - Checklist
9,10= IsNone</t>
  </si>
  <si>
    <t>1-10 = [fish_salesmain]</t>
  </si>
  <si>
    <t>1)fish_inputdif_bait_feed
2)fish_inputdif_fingerling
3)fish_inputdif_gear
4)fish_inputdif_ice
5)fish_inputdif_fuel
6)fish_inputdif_repairs
7)fish_inputdif_labour
8)fish_inputdif_other 
9)fish_inputdif_dk
10) fish_inputdif_ref</t>
  </si>
  <si>
    <t>Asked only to respondents that answered fish_proddif_2 = 4.
if fish_inputdif = 1-10, go to fish_salesmain</t>
  </si>
  <si>
    <t>F. FISHERIES MARKETING</t>
  </si>
  <si>
    <t>fish_salesmain</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</si>
  <si>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</si>
  <si>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ما هو المنتج السمكي الرئيسي الذي باعته أسرتك في الأشهر الثلاثة الماضية؟
[المشغل: استجابة واحدة.]
1) السمك الطازج [أي نوع بما في ذلك اللافقاريات]
2) الاسماك المحفوظة [بما في ذلك الاسماك الجافة / الاسماك المدخنة / الاسماك المملحة]
3) الاسماك المجمدة
4) الاسماك المعلبة
5) آخر [حدد]
6) لا أعرف
7) رفض الإجابة</t>
  </si>
  <si>
    <t>Form Type - RadioList
IsDemographic</t>
  </si>
  <si>
    <t>1-5 = fish_salesdif
6-7 = fies</t>
  </si>
  <si>
    <t>if fish_salesmain = 1-5, go to fish_salesdif
if fish_salesmain = 6-7, go to fies</t>
  </si>
  <si>
    <t>fish_salesdif</t>
  </si>
  <si>
    <t>Has your household faced any significant difficulty marketing / selling your {fish_salesmain} in the last 3 months?
[OPERATOR: SINGLE RESPONSE]
1)YES
2)NO
3)DON'T KNOW
4)REFUSED</t>
  </si>
  <si>
    <t>هل واجهت أسرتك أي صعوبة خلال الأشهر الثلاثة الماضية في بيع  و تسويق  {fish_salesmain}؟
[المشغل: استجابة واحدة]
1) نعم
2) لا
3) لا أعرف
4) رفض الإجابة</t>
  </si>
  <si>
    <t>1 = fish_salesdif_2
2-4 = fish_salesprice</t>
  </si>
  <si>
    <t>if fish_salesdif = 1, go to fish_salesdif_2 ;
if fish_salesdif = 2-4, go to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</si>
  <si>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</si>
  <si>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</si>
  <si>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</si>
  <si>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</si>
  <si>
    <t>1-10 = fish_salesprice</t>
  </si>
  <si>
    <t>1)fish_saledif_marketing_cost
2)fish_saledif_damage_losses
3)fish_saledif_low_demand
4)fish_saledif_pay_delay
5)fish_saledif_low_prices
6)fish_saledif_processing
7)fish_saledif_competition
8)fish_saledif_other
9)fish_saledif_dk
10)fish_saledif_ref</t>
  </si>
  <si>
    <t>if fish_salesdif = 1-10, go to fish_salesprice</t>
  </si>
  <si>
    <t>fish_salesprice</t>
  </si>
  <si>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</si>
  <si>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</si>
  <si>
    <t>1-7 = fies</t>
  </si>
  <si>
    <t>if fish_salesprice = 1-7, go to fies</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</si>
  <si>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</si>
  <si>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</si>
  <si>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</si>
  <si>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</si>
  <si>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</si>
  <si>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</si>
  <si>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</si>
  <si>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</si>
  <si>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</si>
  <si>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</si>
  <si>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</si>
  <si>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</si>
  <si>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</si>
  <si>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</si>
  <si>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</si>
  <si>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</si>
  <si>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</si>
  <si>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</si>
  <si>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</si>
  <si>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</si>
  <si>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</si>
  <si>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</si>
  <si>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</si>
  <si>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</si>
  <si>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</si>
  <si>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</si>
  <si>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</si>
  <si>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</si>
  <si>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</si>
  <si>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</si>
  <si>
    <t>1-4 = fies_ranout</t>
  </si>
  <si>
    <t>if fies_ateless = 1-4, go to fies_ranout</t>
  </si>
  <si>
    <t>fies_ranout</t>
  </si>
  <si>
    <t>In the past 30 days, was there ever no food to eat of any kind in your house because of lack of resources to get food?
[OPERATOR: SINGLE RESPONSE]
1)YES
2)NO
3)DON'T KNOW
4)REFUSED</t>
  </si>
  <si>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</si>
  <si>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</si>
  <si>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</si>
  <si>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</si>
  <si>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</si>
  <si>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</si>
  <si>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</si>
  <si>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</si>
  <si>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</si>
  <si>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</si>
  <si>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</si>
  <si>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</si>
  <si>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</si>
  <si>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</si>
  <si>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</si>
  <si>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</si>
  <si>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</si>
  <si>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</si>
  <si>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</si>
  <si>
    <t>1=fies_whlday_hhs
2-4 = [lcsi_intro]</t>
  </si>
  <si>
    <t>if fies_whlday = 1, go to fies_whlday_hhs. Otherwise, go to lcsi_intro OR hdds</t>
  </si>
  <si>
    <t>fies_whlday_hhs</t>
  </si>
  <si>
    <t>1-5 = [lcsi_intro]</t>
  </si>
  <si>
    <t>if fies_whlday_hhs = 1-5, go to lcsi_intro OR hdds</t>
  </si>
  <si>
    <t>lcsi_intro</t>
  </si>
  <si>
    <t>Now I would like to ask you another set of questions on coping strategies, referring to the past 30 days.
[OPERATOR: SINGLE RESPONSE]
1)NEXT</t>
  </si>
  <si>
    <t>الآن أود أن أسألك عن المجموعة الثانية من الأسئلة حول استراتيجيات المواجهة ، بالإشارة إلى الثلاثين يومًا الماضية.
[المشغل: استجابة واحدة]
1) التالي</t>
  </si>
  <si>
    <t>1 = cs_stress_hh_assets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</si>
  <si>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</si>
  <si>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</si>
  <si>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</si>
  <si>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</si>
  <si>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</si>
  <si>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cs_stress_spent_savings</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</si>
  <si>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</si>
  <si>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</si>
  <si>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</si>
  <si>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</si>
  <si>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cs_stress_borrowed_or_helped</t>
  </si>
  <si>
    <t>cs_stress_borrowed_or_helped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</si>
  <si>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</si>
  <si>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اقتراض الطعام أو الاعتماد على مساعدة الأصدقاء أو الأقارب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</si>
  <si>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cs_stress_reduced_health_exp</t>
  </si>
  <si>
    <t>cs_stress_reduced_health_exp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</si>
  <si>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</si>
  <si>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</si>
  <si>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cs_crisis_sold_prod_assets</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</si>
  <si>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</si>
  <si>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</si>
  <si>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بيع أصول منتجة أو وسائل نقل (ماكينة خياطة ، عربة يد ، دراجة ، سيارة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</si>
  <si>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cs_crisis_work_children</t>
  </si>
  <si>
    <t>cs_crisis_work_children</t>
  </si>
  <si>
    <t>Over the past 30 days, did any child under 18 year in your household have to work to provide resources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</si>
  <si>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كان على أي طفل في أسرتك أقل من 18 عامًا أن يعمل لتوفير الموارد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</si>
  <si>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cs_crisis_change_residence</t>
  </si>
  <si>
    <t>cs_crisis_change_residence</t>
  </si>
  <si>
    <t>Over the past 30 days, did your household have to change place of residence and accommodation to reduce expenses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</si>
  <si>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اضطرت أسرتك إلى تغيير مكان الإقامة  و السكن لتقليل النفقات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</si>
  <si>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cs_emergency_sold_house</t>
  </si>
  <si>
    <t>cs_emergency_sold_house</t>
  </si>
  <si>
    <t>Over the past 30 days, did anyone in your household have to sell house or land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</si>
  <si>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</si>
  <si>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cs_emergency_no_school</t>
  </si>
  <si>
    <t>cs_emergency_no_school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</si>
  <si>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</si>
  <si>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</si>
  <si>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cs_emergency_hh_migration</t>
  </si>
  <si>
    <t>cs_emergency_hh_migration</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</si>
  <si>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</si>
  <si>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اضطرت أسرتك بأكملها إلى الهجرة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</si>
  <si>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hdds</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</si>
  <si>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</si>
  <si>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</si>
  <si>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</si>
  <si>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</si>
  <si>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</si>
  <si>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</si>
  <si>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</si>
  <si>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</si>
  <si>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</si>
  <si>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</si>
  <si>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</si>
  <si>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t>1 = fcs_intro</t>
  </si>
  <si>
    <t>if hdds_confirmation = 1, go to need or optional question</t>
  </si>
  <si>
    <t>fcs_intro</t>
  </si>
  <si>
    <t xml:space="preserve">Now I would like to ask you about the foods and drinks your household ate or drank in the last 7 days during the day and at night [breakfast, lunch, dinner, snacks]. 
1)CONTINUE
</t>
  </si>
  <si>
    <t>الآن أود أن أسألك عن الأطعمة والمشروبات التي أكلتها أو شربتها أسرتك في آخر 7 أيام خلال النهار والليل [الإفطار ، والغداء ، والعشاء ، والوجبات الخفيفة]
1) تابع</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</si>
  <si>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</si>
  <si>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</si>
  <si>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</si>
  <si>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</si>
  <si>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</si>
  <si>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</si>
  <si>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</si>
  <si>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</si>
  <si>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</si>
  <si>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</si>
  <si>
    <t>0-7 = fcs_vegetables_days</t>
  </si>
  <si>
    <t>For any response, go to fcs_vegetables_days</t>
  </si>
  <si>
    <t>fcs_vegetables_days</t>
  </si>
  <si>
    <t>How many days over the last 7 days, did members of your household eat vegetables or leaves such as Tomato, cucumber, eggplant, onion, potato,… and/or other leaves/vegetables?
[OPERATOR: RECORD NUMBER OF DAYS 0 - 7] 
[HINT: IF CONSUMED ONLY IN SMALL QUANTITY, DO NOT INCLUDE.]</t>
  </si>
  <si>
    <t>كم يومًا خلال السبعة أيام الماضية ، أكل أفراد أسرتك خضروات أو خضار ورقية مثل  طماطم, خيار, باذنجان,  بصل, بطاطا و / أو خضار ورقية / خضروات أخرى؟
[المُشغل: سجل عدد الأيام من صفر إلى 7]
[ملحوظة: إذا تم تناول هذه الأطعمة بكميات صغيرة فقط ، فلا تقم بتضمينها.]</t>
  </si>
  <si>
    <t>0-7 = fcs_fruit_days</t>
  </si>
  <si>
    <t>For any response, go to fcs_fruit_days</t>
  </si>
  <si>
    <t>fcs_fruit_days</t>
  </si>
  <si>
    <t>How many days over the last 7 days, did members of your household eat fruit such as apple, orange, grape, pomegranate, date, watermelon and/or other fruits?
[OPERATOR: RECORD NUMBER OF DAYS 0 - 7]
[HINT: IF CONSUMED ONLY IN SMALL QUANTITY, DO NOT INCLUDE.]</t>
  </si>
  <si>
    <t>كم يومًا خلال السبعة أيام الماضية ، تناول أفراد أسرتك فواكه مثل تفاح, برتقال, عنب, رمان, تمر, بطيخ و / أو غيرها من الفواكه؟
[المُشغل: سجل عدد الأيام من صفر إلى 7]
[ملحوظة: إذا تم تناول هذه الأطعمة بكميات صغيرة فقط ، فلا تقم بتضمينها.]</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</si>
  <si>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</si>
  <si>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</si>
  <si>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</si>
  <si>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</si>
  <si>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</si>
  <si>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</si>
  <si>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</si>
  <si>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</si>
  <si>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</si>
  <si>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</si>
  <si>
    <t>0-7 = fcs_sugar_days</t>
  </si>
  <si>
    <t>For any response, go to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</si>
  <si>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</si>
  <si>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</si>
  <si>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</si>
  <si>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</si>
  <si>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</si>
  <si>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</si>
  <si>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</si>
  <si>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</si>
  <si>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</si>
  <si>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</si>
  <si>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</si>
  <si>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</si>
  <si>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</si>
  <si>
    <t>0-7 = need</t>
  </si>
  <si>
    <t>For any response, go to rcsi_intro</t>
  </si>
  <si>
    <t>H. NEEDS ASSISTANCE</t>
  </si>
  <si>
    <t>need</t>
  </si>
  <si>
    <t>Does your household need assistance for agricultural activities [including crop, livestock and fisheries/aquaculture activities] over the next 3 to 6 months?
[OPERATOR: SINGLE RESPONSE.]
1)YES
2)NO
3)DON'T KNOW
4)REFUSED</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</si>
  <si>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</si>
  <si>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</si>
  <si>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1 = need_2
2-4= need_received</t>
  </si>
  <si>
    <t>Only administered to agricultural households.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</si>
  <si>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</si>
  <si>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</si>
  <si>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</si>
  <si>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</si>
  <si>
    <t>Form Type - Checklist
18,19 = IsNone</t>
  </si>
  <si>
    <t>1-19 = need_received</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</si>
  <si>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</si>
  <si>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if need_2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</si>
  <si>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</si>
  <si>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</si>
  <si>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</si>
  <si>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</si>
  <si>
    <t>Form Type - Checklist
10,11,12 = IsNone</t>
  </si>
  <si>
    <t>1-9 = assistance_quality 
10-12 = callback</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</si>
  <si>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</si>
  <si>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</si>
  <si>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</si>
  <si>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</si>
  <si>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</si>
  <si>
    <t>1-8 = assistance_provider</t>
  </si>
  <si>
    <t>if assistance_quality = 1-8, go to callback or assistance_provider</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</si>
  <si>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</si>
  <si>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</si>
  <si>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</si>
  <si>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</si>
  <si>
    <t>Form Type - Checklist
6,7 = IsNone</t>
  </si>
  <si>
    <t>1-7 = callback</t>
  </si>
  <si>
    <t>1)assistance_fao
2)assistance_wfp
3)assistance_otherun
4)assistance_gov
5)assistance_ngo
6)assistance_dk
7)assistance_ref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</si>
  <si>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</si>
  <si>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</si>
  <si>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</si>
  <si>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</si>
  <si>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ستساعدنا إجاباتك على فهم احتياجات مجتمعك والاستجابة لها. هل يمكننا الاتصال بك مرة أخرى في غضون بضعة أشهر؟
[المشغل: استجابة واحدة.]
1) نعم
2) لا</t>
  </si>
  <si>
    <t>1 = leader_contact
2 = language2</t>
  </si>
  <si>
    <t>if callback = 1, go to leader_contact
if 2, go to language2</t>
  </si>
  <si>
    <t>leader_contact</t>
  </si>
  <si>
    <t>Can you provide me with the contact information of a leader in your community?
[OPERATOR: SINGLE RESPONSE.]
1)YES 
2)NO
3)DON'T KNOW
4)REFUSED</t>
  </si>
  <si>
    <t>هل يمكنك تزويدي بمعلومات الاتصال الخاصة بقائد/شخص مسؤول في مجتمعك؟
[المشغل: استجابة واحدة.]
1) نعم
2) لا
3) لا أعرف
4) رفض الإجابة</t>
  </si>
  <si>
    <t>1 = leader_type
2-4 = future_int_day</t>
  </si>
  <si>
    <t>if leader_contact = 1, go to leader_type;
if leader_contact = 2-4, go to future_int_day</t>
  </si>
  <si>
    <t>no - panel</t>
  </si>
  <si>
    <t>leader_type</t>
  </si>
  <si>
    <t>What type of community leader can you provide information for?
[OPERATOR: SINGLE RESPONSE.]
1)Village / town administrator
2)Agricultural extension officer
3)Health extension officer
4)Teacher
5)Other [specify]
6)DON'T KNOW
7)REFUSED</t>
  </si>
  <si>
    <t>ما وظيفة هذا القائد/الشخص المسؤول لمن يمكنك تزويد المعلومات ؟
[المشغل: استجابة واحدة.]
1) مدير قرية / بلدة
2) مرشد زراعي
3) اخصائي إرشاد صحي
4) مدرس
5) آخر (حدد)
6) لا أعرف
7) رفض الإجابة</t>
  </si>
  <si>
    <t>1-7 = phone_number_leader</t>
  </si>
  <si>
    <t>if leader_type = 1-7, go to phone_number_leader</t>
  </si>
  <si>
    <t>phone_number_leader</t>
  </si>
  <si>
    <t>What is the leader's phone number?
[OPERATOR: RECORD THE NUMBER GIVEN]</t>
  </si>
  <si>
    <t>ما هو رقم هاتف هذا القائد / الشخص المسؤول؟
[المُشغل: سجل الرقم المُعطى]</t>
  </si>
  <si>
    <t>Any Response = leader_name</t>
  </si>
  <si>
    <t>For any response, go to leader_name</t>
  </si>
  <si>
    <t>leader_name</t>
  </si>
  <si>
    <t>What is the leader's name?
[OPERATOR: RECORD THE NAME OF THE CONTACT FOR THE PHONE NUMBER.]</t>
  </si>
  <si>
    <t>ما هو اسم هذا القائد / الشخص المسؤول؟
[المُشغل: سجل اسم صاحب رقم الهاتف.]</t>
  </si>
  <si>
    <t>Any Response = future_int_day</t>
  </si>
  <si>
    <t>For any response, go to future_int_day</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</si>
  <si>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</si>
  <si>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</si>
  <si>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</si>
  <si>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</si>
  <si>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1-7 = future_int_time</t>
  </si>
  <si>
    <t>if l_future_int_day = 1-7, go to future_int_time</t>
  </si>
  <si>
    <t>future_int_time</t>
  </si>
  <si>
    <t>future_int_time_ 
1) future_int_time_morn
2) future_int_time_aft
3) future_int_time_eve</t>
  </si>
  <si>
    <t>For future interviews, at what time[s] can I call you?
[OPERATOR: MULTIPLE ANSWERS POSSIBLE.]
1)Mornings
2)Afternoons
3)Evenings</t>
  </si>
  <si>
    <t>للمقابلات المستقبلية ، في أي وقت (أوقات) يمكنني الاتصال بك؟
[المُشغل: إمكانية الحصول على إجابات متعددة.]
1) الصباح
2) بعد الظهر
3) المساء</t>
  </si>
  <si>
    <t>1-3 = language2</t>
  </si>
  <si>
    <t>if future_int_time = 1-3, go to language2</t>
  </si>
  <si>
    <t>language2</t>
  </si>
  <si>
    <t>Select the language that was mostly used to complete the interview.
[OPERATOR: SINGLE RESPONSE.]
1)English
2)Kurdish</t>
  </si>
  <si>
    <t>حدد اللغة التي تم استخدامها في الغالب لإكمال المقابلة.
[المشغل: استجابة واحدة.]
1) العربية
2) الكردية</t>
  </si>
  <si>
    <t>1-2 = closeout</t>
  </si>
  <si>
    <t>closeout</t>
  </si>
  <si>
    <t>Thank you for your time. The interview has come to an end. You will receive your #TOPUP# airtime credit on this phone within the next 2 days.</t>
  </si>
  <si>
    <t>شكرا لك على وقتك. انتهت المقابلة. ستتلقى رصيدك #TOPUP# على هذا الهاتف في غضون اليومين المقبلين.</t>
  </si>
  <si>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</si>
  <si>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</si>
  <si>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</si>
  <si>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</si>
  <si>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</si>
  <si>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</si>
  <si>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</si>
  <si>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Label (AR)</t>
  </si>
  <si>
    <t>x</t>
  </si>
  <si>
    <t>1.1</t>
  </si>
  <si>
    <t>Rice</t>
  </si>
  <si>
    <t>الرز</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</si>
  <si>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</si>
  <si>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</si>
  <si>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</si>
  <si>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</si>
  <si>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</si>
  <si>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</si>
  <si>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</si>
  <si>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</si>
  <si>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</si>
  <si>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</si>
  <si>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</si>
  <si>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</si>
  <si>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</si>
  <si>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</si>
  <si>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</si>
  <si>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</si>
  <si>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</si>
  <si>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</si>
  <si>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</si>
  <si>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</si>
  <si>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</si>
  <si>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</si>
  <si>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</si>
  <si>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</si>
  <si>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</si>
  <si>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</si>
  <si>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</si>
  <si>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</si>
  <si>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</si>
  <si>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</si>
  <si>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</si>
  <si>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</si>
  <si>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</si>
  <si>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</si>
  <si>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</si>
  <si>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</si>
  <si>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</si>
  <si>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</si>
  <si>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</si>
  <si>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</si>
  <si>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</si>
  <si>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</si>
  <si>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</si>
  <si>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</si>
  <si>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</si>
  <si>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</si>
  <si>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</si>
  <si>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</si>
  <si>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</si>
  <si>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</si>
  <si>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</si>
  <si>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</si>
  <si>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</si>
  <si>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</si>
  <si>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</si>
  <si>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</si>
  <si>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</si>
  <si>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</si>
  <si>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</si>
  <si>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</si>
  <si>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</si>
  <si>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</si>
  <si>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</si>
  <si>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</si>
  <si>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</si>
  <si>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</si>
  <si>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</si>
  <si>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</si>
  <si>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</si>
  <si>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</si>
  <si>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</si>
  <si>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</si>
  <si>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</si>
  <si>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</si>
  <si>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</si>
  <si>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</si>
  <si>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</si>
  <si>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</si>
  <si>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</si>
  <si>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</si>
  <si>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</si>
  <si>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</si>
  <si>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</si>
  <si>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</si>
  <si>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</si>
  <si>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</si>
  <si>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</si>
  <si>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</si>
  <si>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</si>
  <si>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</si>
  <si>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</si>
  <si>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</si>
  <si>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</si>
  <si>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</si>
  <si>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</si>
  <si>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</si>
  <si>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</si>
  <si>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</si>
  <si>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</si>
  <si>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</si>
  <si>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</si>
  <si>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</si>
  <si>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</si>
  <si>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</si>
  <si>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</si>
  <si>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</si>
  <si>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</si>
  <si>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</si>
  <si>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</si>
  <si>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</si>
  <si>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</si>
  <si>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</si>
  <si>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</si>
  <si>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</si>
  <si>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</si>
  <si>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</si>
  <si>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</si>
  <si>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</si>
  <si>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</si>
  <si>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</si>
  <si>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</si>
  <si>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</si>
  <si>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</si>
  <si>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</si>
  <si>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</si>
  <si>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</si>
  <si>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</si>
  <si>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</si>
  <si>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</si>
  <si>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</si>
  <si>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</si>
  <si>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</si>
  <si>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</si>
  <si>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</si>
  <si>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</si>
  <si>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</si>
  <si>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</si>
  <si>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</si>
  <si>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</si>
  <si>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</si>
  <si>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</si>
  <si>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</si>
  <si>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</si>
  <si>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</si>
  <si>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</si>
  <si>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</si>
  <si>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</si>
  <si>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</si>
  <si>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</si>
  <si>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</si>
  <si>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</si>
  <si>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</si>
  <si>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</si>
  <si>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</si>
  <si>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</si>
  <si>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</si>
  <si>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</si>
  <si>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</si>
  <si>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</si>
  <si>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</si>
  <si>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</si>
  <si>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</si>
  <si>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</si>
  <si>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</si>
  <si>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</si>
  <si>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</si>
  <si>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</si>
  <si>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</si>
  <si>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</si>
  <si>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</si>
  <si>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</si>
  <si>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</si>
  <si>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</si>
  <si>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</si>
  <si>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</si>
  <si>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</si>
  <si>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</si>
  <si>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</si>
  <si>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</si>
  <si>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</si>
  <si>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</si>
  <si>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</si>
  <si>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</si>
  <si>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</si>
  <si>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</si>
  <si>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</si>
  <si>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</si>
  <si>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</si>
  <si>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</si>
  <si>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</si>
  <si>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</si>
  <si>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</si>
  <si>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</si>
  <si>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</si>
  <si>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</si>
  <si>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</si>
  <si>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</si>
  <si>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</si>
  <si>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</si>
  <si>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</si>
  <si>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</si>
  <si>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</si>
  <si>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</si>
  <si>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</si>
  <si>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</si>
  <si>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</si>
  <si>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</si>
  <si>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</si>
  <si>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</si>
  <si>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</si>
  <si>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</si>
  <si>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</si>
  <si>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</si>
  <si>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</si>
  <si>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</si>
  <si>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</si>
  <si>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</si>
  <si>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</si>
  <si>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</si>
  <si>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</si>
  <si>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</si>
  <si>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</si>
  <si>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</si>
  <si>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</si>
  <si>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</si>
  <si>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</si>
  <si>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</si>
  <si>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</si>
  <si>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</si>
  <si>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</si>
  <si>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</si>
  <si>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</si>
  <si>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</si>
  <si>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</si>
  <si>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</si>
  <si>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</si>
  <si>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</si>
  <si>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</si>
  <si>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</si>
  <si>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</si>
  <si>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</si>
  <si>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</si>
  <si>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</si>
  <si>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</si>
  <si>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</si>
  <si>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</si>
  <si>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</si>
  <si>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</si>
  <si>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</si>
  <si>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</si>
  <si>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</si>
  <si>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</si>
  <si>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</si>
  <si>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</si>
  <si>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</si>
  <si>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</si>
  <si>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</si>
  <si>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</si>
  <si>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</si>
  <si>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</si>
  <si>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</si>
  <si>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</si>
  <si>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</si>
  <si>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</si>
  <si>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</si>
  <si>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</si>
  <si>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</si>
  <si>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Original</t>
  </si>
  <si>
    <t>Replacement (EN)</t>
  </si>
  <si>
    <t>Replacement (AR)</t>
  </si>
  <si>
    <t>Comment (EN)</t>
  </si>
  <si>
    <t>Comment (AR)</t>
  </si>
  <si>
    <t>Example (EN)</t>
  </si>
  <si>
    <t>Example (AR)</t>
  </si>
  <si>
    <t>FOR CORE QUESTIONS    .
(Mandatory to fill out)    .</t>
  </si>
  <si>
    <t>ADMIN1</t>
  </si>
  <si>
    <t>Governorate</t>
  </si>
  <si>
    <t>المحافظة</t>
  </si>
  <si>
    <t>The first subdivision of the country, after national level; region; province; governorate; etc.</t>
  </si>
  <si>
    <t>التقسيم الأول للبلاد ، بعد المستوى الوطني ؛ منطقة؛ محافظة؛ ولاية ؛ إلخ.</t>
  </si>
  <si>
    <t>region</t>
  </si>
  <si>
    <t>منطقة</t>
  </si>
  <si>
    <t>ADMIN2</t>
  </si>
  <si>
    <t>District</t>
  </si>
  <si>
    <t>القضاء</t>
  </si>
  <si>
    <t>The second subdivision of the country; district; municipality; LGA; etc.</t>
  </si>
  <si>
    <t>التقسيم الثاني للبلاد ؛ قضاء؛ بلدية؛ إلخ.</t>
  </si>
  <si>
    <t>district</t>
  </si>
  <si>
    <t>قضاء</t>
  </si>
  <si>
    <t>reference year</t>
  </si>
  <si>
    <t>last year</t>
  </si>
  <si>
    <t>العام الماضي</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</si>
  <si>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</si>
  <si>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</si>
  <si>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a normal year</t>
  </si>
  <si>
    <t>العام العادي</t>
  </si>
  <si>
    <t>season</t>
  </si>
  <si>
    <t>Harvest season</t>
  </si>
  <si>
    <t>موسم الحصاد</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</si>
  <si>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</si>
  <si>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</si>
  <si>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</si>
  <si>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</si>
  <si>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season phase</t>
  </si>
  <si>
    <t>Harvesting</t>
  </si>
  <si>
    <t>الحصاد</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</si>
  <si>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</si>
  <si>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</si>
  <si>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local measurement unit</t>
  </si>
  <si>
    <t>Donum</t>
  </si>
  <si>
    <t>دونم</t>
  </si>
  <si>
    <t xml:space="preserve">Specify the local measurement unit for land size, other than acres, hectares, square meters and square feet. If no other unit of measurement is needed, keep this cell blank. </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</si>
  <si>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</si>
  <si>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Jeribs</t>
  </si>
  <si>
    <t>جريب</t>
  </si>
  <si>
    <t>local measurement unit conversion</t>
  </si>
  <si>
    <t>Include the conversion of the local measurement unit to hectares. In other words, how many local measurement units are in 1 ha. Only digits in Latin numbers should be inputted.</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</si>
  <si>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</si>
  <si>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FOR OPTIONAL QUESTIONS    .
(Fill out if applicable)    .</t>
  </si>
  <si>
    <t>currency</t>
  </si>
  <si>
    <t>Dinar</t>
  </si>
  <si>
    <t>دينار</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</si>
  <si>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</si>
  <si>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</si>
  <si>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</si>
  <si>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</si>
  <si>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</si>
  <si>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</si>
  <si>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</si>
  <si>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</si>
  <si>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</si>
  <si>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</si>
  <si>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</si>
  <si>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</si>
  <si>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</si>
  <si>
    <t>local vegetables</t>
  </si>
  <si>
    <t>Tomato, cucumber, eggplant, onion, potato,…</t>
  </si>
  <si>
    <t>طماطم, خيار, باذنجان,  بصل, بطاطا</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</si>
  <si>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</si>
  <si>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</si>
  <si>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</si>
  <si>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</si>
  <si>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local fruits</t>
  </si>
  <si>
    <t>apple, orange, grape, pomegranate, date, watermelon</t>
  </si>
  <si>
    <t>تفاح, برتقال, عنب, رمان, تمر, بطيخ</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</si>
  <si>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</si>
  <si>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</si>
  <si>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</si>
  <si>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</si>
  <si>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</si>
  <si>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</si>
  <si>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</si>
  <si>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</si>
  <si>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</si>
  <si>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</si>
  <si>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</si>
  <si>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</si>
  <si>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</si>
  <si>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</si>
  <si>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adm2_name</t>
  </si>
  <si>
    <t>adm2_name_local</t>
  </si>
  <si>
    <t>adm2_pcode</t>
  </si>
  <si>
    <t>adm1_name</t>
  </si>
  <si>
    <t>adm1_pcode</t>
  </si>
  <si>
    <t>adm0_name</t>
  </si>
  <si>
    <t>adm0_ISO3</t>
  </si>
  <si>
    <t>Al-Azezia</t>
  </si>
  <si>
    <t xml:space="preserve"> العزيزية</t>
  </si>
  <si>
    <t>IQG18Q06</t>
  </si>
  <si>
    <t>Wasit</t>
  </si>
  <si>
    <t>IQG18</t>
  </si>
  <si>
    <t>Iraq</t>
  </si>
  <si>
    <t>IRQ</t>
  </si>
  <si>
    <t>Kirkuk</t>
  </si>
  <si>
    <t>كركوك</t>
  </si>
  <si>
    <t>IQG13Q04</t>
  </si>
  <si>
    <t>IQG13</t>
  </si>
  <si>
    <t>Ru'ua</t>
  </si>
  <si>
    <t>راوة</t>
  </si>
  <si>
    <t>IQG01Q09</t>
  </si>
  <si>
    <t>Anbar</t>
  </si>
  <si>
    <t>IQG01</t>
  </si>
  <si>
    <t>Ana</t>
  </si>
  <si>
    <t>عنه</t>
  </si>
  <si>
    <t>IQG01Q06</t>
  </si>
  <si>
    <t>Djel</t>
  </si>
  <si>
    <t>دجيل</t>
  </si>
  <si>
    <t>IQG16Q08</t>
  </si>
  <si>
    <t>Salah al-deen</t>
  </si>
  <si>
    <t>IQG16</t>
  </si>
  <si>
    <t>Al-Sadir1</t>
  </si>
  <si>
    <t>الثورة 1</t>
  </si>
  <si>
    <t>IQG08Q07</t>
  </si>
  <si>
    <t>Baghdad</t>
  </si>
  <si>
    <t>IQG08</t>
  </si>
  <si>
    <t>Al-Sadir2</t>
  </si>
  <si>
    <t>الثورة 2</t>
  </si>
  <si>
    <t>IQG08Q08</t>
  </si>
  <si>
    <t>Abu Ghraib</t>
  </si>
  <si>
    <t>أبو غريب</t>
  </si>
  <si>
    <t>IQG08Q09</t>
  </si>
  <si>
    <t>Darbandihkan</t>
  </si>
  <si>
    <t>دربندخان</t>
  </si>
  <si>
    <t>IQG06Q03</t>
  </si>
  <si>
    <t>Sulaimaniyah</t>
  </si>
  <si>
    <t>IQG06</t>
  </si>
  <si>
    <t>Penjwin</t>
  </si>
  <si>
    <t>بنجوين</t>
  </si>
  <si>
    <t>IQG06Q07</t>
  </si>
  <si>
    <t>Halabja</t>
  </si>
  <si>
    <t>حلبجة</t>
  </si>
  <si>
    <t>IQG06Q05</t>
  </si>
  <si>
    <t>Sharbazher</t>
  </si>
  <si>
    <t>شهربازار</t>
  </si>
  <si>
    <t>IQG06Q10</t>
  </si>
  <si>
    <t>Sulaymaniya</t>
  </si>
  <si>
    <t>السليمانية</t>
  </si>
  <si>
    <t>IQG06Q01</t>
  </si>
  <si>
    <t>Dokan</t>
  </si>
  <si>
    <t>دوكان</t>
  </si>
  <si>
    <t>IQG06Q04</t>
  </si>
  <si>
    <t>Koisnjaq</t>
  </si>
  <si>
    <t>كويسنجق</t>
  </si>
  <si>
    <t>IQG11Q03</t>
  </si>
  <si>
    <t>Erbil</t>
  </si>
  <si>
    <t>IQG11</t>
  </si>
  <si>
    <t>Shaqlawa</t>
  </si>
  <si>
    <t>شقلاوة</t>
  </si>
  <si>
    <t>IQG11Q05</t>
  </si>
  <si>
    <t>Rania</t>
  </si>
  <si>
    <t>رانية</t>
  </si>
  <si>
    <t>IQG06Q09</t>
  </si>
  <si>
    <t>Pshdar</t>
  </si>
  <si>
    <t>بشدر</t>
  </si>
  <si>
    <t>IQG06Q08</t>
  </si>
  <si>
    <t>Choman</t>
  </si>
  <si>
    <t>جومان</t>
  </si>
  <si>
    <t>IQG11Q09</t>
  </si>
  <si>
    <t>Soran</t>
  </si>
  <si>
    <t>سوران</t>
  </si>
  <si>
    <t>IQG11Q08</t>
  </si>
  <si>
    <t>Al-Amedi</t>
  </si>
  <si>
    <t>العمادية</t>
  </si>
  <si>
    <t>IQG09Q01</t>
  </si>
  <si>
    <t>Dohuk</t>
  </si>
  <si>
    <t>IQG09</t>
  </si>
  <si>
    <t>Mergasur</t>
  </si>
  <si>
    <t>ميركسور</t>
  </si>
  <si>
    <t>IQG11Q01</t>
  </si>
  <si>
    <t>Chamchamal</t>
  </si>
  <si>
    <t>جمجمال</t>
  </si>
  <si>
    <t>IQG06Q02</t>
  </si>
  <si>
    <t>Makhmur</t>
  </si>
  <si>
    <t>مخمور</t>
  </si>
  <si>
    <t>IQG15Q08</t>
  </si>
  <si>
    <t>Nainawa</t>
  </si>
  <si>
    <t>IQG15</t>
  </si>
  <si>
    <t>Al-Musayab</t>
  </si>
  <si>
    <t>المسيب</t>
  </si>
  <si>
    <t>IQG07Q04</t>
  </si>
  <si>
    <t>Babylon</t>
  </si>
  <si>
    <t>IQG07</t>
  </si>
  <si>
    <t>Daquq</t>
  </si>
  <si>
    <t>داقوق</t>
  </si>
  <si>
    <t>IQG13Q02</t>
  </si>
  <si>
    <t>Al-Hawiga</t>
  </si>
  <si>
    <t>الحويجة</t>
  </si>
  <si>
    <t>IQG13Q01</t>
  </si>
  <si>
    <t>Al-Shatra</t>
  </si>
  <si>
    <t>الشطرة</t>
  </si>
  <si>
    <t>IQG17Q09</t>
  </si>
  <si>
    <t>Thi-Qar</t>
  </si>
  <si>
    <t>IQG17</t>
  </si>
  <si>
    <t>Mada'in</t>
  </si>
  <si>
    <t>المدائن</t>
  </si>
  <si>
    <t>IQG08Q04</t>
  </si>
  <si>
    <t>Fao</t>
  </si>
  <si>
    <t>الفاو</t>
  </si>
  <si>
    <t>IQG02Q05</t>
  </si>
  <si>
    <t>Basrah</t>
  </si>
  <si>
    <t>IQG02</t>
  </si>
  <si>
    <t>Abu Al-Khaseeb</t>
  </si>
  <si>
    <t>ابي الخصيب</t>
  </si>
  <si>
    <t>IQG02Q01</t>
  </si>
  <si>
    <t>البصرة</t>
  </si>
  <si>
    <t>IQG02Q02</t>
  </si>
  <si>
    <t>Shatt Al-Arab</t>
  </si>
  <si>
    <t>شط العرب</t>
  </si>
  <si>
    <t>IQG02Q06</t>
  </si>
  <si>
    <t>Al-Zubair</t>
  </si>
  <si>
    <t>الزبير</t>
  </si>
  <si>
    <t>IQG02Q07</t>
  </si>
  <si>
    <t>Al-Chibayish</t>
  </si>
  <si>
    <t>الجبايش</t>
  </si>
  <si>
    <t>IQG17Q01</t>
  </si>
  <si>
    <t>Suq Al-Shoyokh</t>
  </si>
  <si>
    <t>سوق الشيوخ</t>
  </si>
  <si>
    <t>IQG17Q06</t>
  </si>
  <si>
    <t>Nassriya</t>
  </si>
  <si>
    <t>الناصرية</t>
  </si>
  <si>
    <t>IQG17Q04</t>
  </si>
  <si>
    <t>Al-Khidhir</t>
  </si>
  <si>
    <t>الخضر</t>
  </si>
  <si>
    <t>IQG03Q01</t>
  </si>
  <si>
    <t>Muthanna</t>
  </si>
  <si>
    <t>IQG03</t>
  </si>
  <si>
    <t>Al-Samawa</t>
  </si>
  <si>
    <t>السماوة</t>
  </si>
  <si>
    <t>IQG03Q03</t>
  </si>
  <si>
    <t>Al-Midaina</t>
  </si>
  <si>
    <t>المدينة</t>
  </si>
  <si>
    <t>IQG02Q03</t>
  </si>
  <si>
    <t>Qal'at Saleh</t>
  </si>
  <si>
    <t>قلعة صالح</t>
  </si>
  <si>
    <t>IQG14Q04</t>
  </si>
  <si>
    <t>Maysan</t>
  </si>
  <si>
    <t>IQG14</t>
  </si>
  <si>
    <t>Al-Maimouna</t>
  </si>
  <si>
    <t>الميمونة</t>
  </si>
  <si>
    <t>IQG14Q02</t>
  </si>
  <si>
    <t>Al-Mejar Al-Kabir</t>
  </si>
  <si>
    <t>المجر الكبير</t>
  </si>
  <si>
    <t>IQG14Q06</t>
  </si>
  <si>
    <t>Al-Rumaitha</t>
  </si>
  <si>
    <t>الرميثة</t>
  </si>
  <si>
    <t>IQG03Q04</t>
  </si>
  <si>
    <t>Al-Hindiya</t>
  </si>
  <si>
    <t>الهندية</t>
  </si>
  <si>
    <t>IQG12Q02</t>
  </si>
  <si>
    <t>Kerbela</t>
  </si>
  <si>
    <t>IQG12</t>
  </si>
  <si>
    <t>Al-Salman</t>
  </si>
  <si>
    <t>السلمان</t>
  </si>
  <si>
    <t>IQG03Q02</t>
  </si>
  <si>
    <t>Hamza</t>
  </si>
  <si>
    <t>الحمزة</t>
  </si>
  <si>
    <t>IQG05Q03</t>
  </si>
  <si>
    <t>Qadisiya</t>
  </si>
  <si>
    <t>IQG05</t>
  </si>
  <si>
    <t>Hilla</t>
  </si>
  <si>
    <t>الحلة</t>
  </si>
  <si>
    <t>IQG07Q03</t>
  </si>
  <si>
    <t>Al-Meshkab</t>
  </si>
  <si>
    <t>المشخاب</t>
  </si>
  <si>
    <t>IQG04Q02</t>
  </si>
  <si>
    <t>Najaf</t>
  </si>
  <si>
    <t>IQG04</t>
  </si>
  <si>
    <t>Kufa</t>
  </si>
  <si>
    <t>الكوفة</t>
  </si>
  <si>
    <t>IQG04Q01</t>
  </si>
  <si>
    <t>Hashimiya</t>
  </si>
  <si>
    <t>الهاشمية</t>
  </si>
  <si>
    <t>IQG07Q01</t>
  </si>
  <si>
    <t>Al-Diwaniya</t>
  </si>
  <si>
    <t>الديوانية</t>
  </si>
  <si>
    <t>IQG05Q02</t>
  </si>
  <si>
    <t>Afaq</t>
  </si>
  <si>
    <t>عفك</t>
  </si>
  <si>
    <t>IQG05Q01</t>
  </si>
  <si>
    <t>Al-Hai</t>
  </si>
  <si>
    <t>الحي</t>
  </si>
  <si>
    <t>IQG18Q01</t>
  </si>
  <si>
    <t>Al-Rifa'i</t>
  </si>
  <si>
    <t>الرفاعي</t>
  </si>
  <si>
    <t>IQG17Q02</t>
  </si>
  <si>
    <t>Amara</t>
  </si>
  <si>
    <t>العمارة</t>
  </si>
  <si>
    <t>IQG14Q01</t>
  </si>
  <si>
    <t>Ali Al-Gharbi</t>
  </si>
  <si>
    <t>علي الغربي</t>
  </si>
  <si>
    <t>IQG14Q03</t>
  </si>
  <si>
    <t>Mahmoudiya</t>
  </si>
  <si>
    <t>المحمودية</t>
  </si>
  <si>
    <t>IQG08Q06</t>
  </si>
  <si>
    <t>Al-Mahawil</t>
  </si>
  <si>
    <t>المحاويل</t>
  </si>
  <si>
    <t>IQG07Q02</t>
  </si>
  <si>
    <t>Al-Na'maniya</t>
  </si>
  <si>
    <t>النعمانية</t>
  </si>
  <si>
    <t>IQG18Q05</t>
  </si>
  <si>
    <t>Kut</t>
  </si>
  <si>
    <t>الكوت</t>
  </si>
  <si>
    <t>IQG18Q02</t>
  </si>
  <si>
    <t>Badra</t>
  </si>
  <si>
    <t>بدرة</t>
  </si>
  <si>
    <t>IQG18Q04</t>
  </si>
  <si>
    <t>Tikrit</t>
  </si>
  <si>
    <t>تكريت</t>
  </si>
  <si>
    <t>IQG16Q05</t>
  </si>
  <si>
    <t>النجف</t>
  </si>
  <si>
    <t>IQG04Q03</t>
  </si>
  <si>
    <t>Kerbala</t>
  </si>
  <si>
    <t>كربلاء</t>
  </si>
  <si>
    <t>IQG12Q03</t>
  </si>
  <si>
    <t>Ain Al-Tamur</t>
  </si>
  <si>
    <t>عين تمر</t>
  </si>
  <si>
    <t>IQG12Q01</t>
  </si>
  <si>
    <t>Falluja</t>
  </si>
  <si>
    <t>الفلوجة</t>
  </si>
  <si>
    <t>IQG01Q01</t>
  </si>
  <si>
    <t>Ramadi</t>
  </si>
  <si>
    <t>الرمادي</t>
  </si>
  <si>
    <t>IQG01Q05</t>
  </si>
  <si>
    <t>Al-Ka'im</t>
  </si>
  <si>
    <t>القائم</t>
  </si>
  <si>
    <t>IQG01Q04</t>
  </si>
  <si>
    <t>Al-Rutba</t>
  </si>
  <si>
    <t>الرطبة</t>
  </si>
  <si>
    <t>IQG01Q03</t>
  </si>
  <si>
    <t>Heet</t>
  </si>
  <si>
    <t>هيت</t>
  </si>
  <si>
    <t>IQG01Q08</t>
  </si>
  <si>
    <t>Tarmia</t>
  </si>
  <si>
    <t>الطارمية</t>
  </si>
  <si>
    <t>IQG08Q10</t>
  </si>
  <si>
    <t>Kalar</t>
  </si>
  <si>
    <t>كلار</t>
  </si>
  <si>
    <t>IQG06Q06</t>
  </si>
  <si>
    <t>Tooz</t>
  </si>
  <si>
    <t>طوز خورماتو</t>
  </si>
  <si>
    <t>IQG16Q07</t>
  </si>
  <si>
    <t>Khalis</t>
  </si>
  <si>
    <t>الخالص</t>
  </si>
  <si>
    <t>IQG10Q01</t>
  </si>
  <si>
    <t>Diyala</t>
  </si>
  <si>
    <t>IQG10</t>
  </si>
  <si>
    <t>Baquba</t>
  </si>
  <si>
    <t>بعقوبة</t>
  </si>
  <si>
    <t>IQG10Q04</t>
  </si>
  <si>
    <t>Baladrooz</t>
  </si>
  <si>
    <t>بلدروز</t>
  </si>
  <si>
    <t>IQG10Q03</t>
  </si>
  <si>
    <t>Khanaqin</t>
  </si>
  <si>
    <t>خانقين</t>
  </si>
  <si>
    <t>IQG10Q05</t>
  </si>
  <si>
    <t>Haditha</t>
  </si>
  <si>
    <t>حديثة</t>
  </si>
  <si>
    <t>IQG01Q07</t>
  </si>
  <si>
    <t>Baiji</t>
  </si>
  <si>
    <t>بيجي</t>
  </si>
  <si>
    <t>IQG16Q02</t>
  </si>
  <si>
    <t>Al-Shirqat</t>
  </si>
  <si>
    <t>الشرقاط</t>
  </si>
  <si>
    <t>IQG16Q01</t>
  </si>
  <si>
    <t>Zakho</t>
  </si>
  <si>
    <t>زاخو</t>
  </si>
  <si>
    <t>IQG09Q04</t>
  </si>
  <si>
    <t>Hatra</t>
  </si>
  <si>
    <t>الحضر</t>
  </si>
  <si>
    <t>IQG15Q02</t>
  </si>
  <si>
    <t>Sinjar</t>
  </si>
  <si>
    <t>سنجار</t>
  </si>
  <si>
    <t>IQG15Q04</t>
  </si>
  <si>
    <t>Al-Ba'aj</t>
  </si>
  <si>
    <t>البعاج</t>
  </si>
  <si>
    <t>IQG15Q07</t>
  </si>
  <si>
    <t>Benslawa</t>
  </si>
  <si>
    <t>بنصلاوة</t>
  </si>
  <si>
    <t>IQG11Q07</t>
  </si>
  <si>
    <t>Akre</t>
  </si>
  <si>
    <t>عقرة</t>
  </si>
  <si>
    <t>IQG09Q05</t>
  </si>
  <si>
    <t>Dahuk</t>
  </si>
  <si>
    <t>دهوك</t>
  </si>
  <si>
    <t>IQG09Q02</t>
  </si>
  <si>
    <t>Sumel</t>
  </si>
  <si>
    <t>سميل</t>
  </si>
  <si>
    <t>IQG09Q03</t>
  </si>
  <si>
    <t>Mosul</t>
  </si>
  <si>
    <t>الموصل</t>
  </si>
  <si>
    <t>IQG15Q03</t>
  </si>
  <si>
    <t>Al-Hamdaniya</t>
  </si>
  <si>
    <t>الحمدانية</t>
  </si>
  <si>
    <t>IQG15Q01</t>
  </si>
  <si>
    <t>Tilkaif</t>
  </si>
  <si>
    <t>تلكيف</t>
  </si>
  <si>
    <t>IQG15Q06</t>
  </si>
  <si>
    <t>Al-Manathera</t>
  </si>
  <si>
    <t>المناذرة</t>
  </si>
  <si>
    <t>IQG04Q04</t>
  </si>
  <si>
    <t>Al fohod</t>
  </si>
  <si>
    <t>الفهود</t>
  </si>
  <si>
    <t>IQG17Q03</t>
  </si>
  <si>
    <t>Al Islah</t>
  </si>
  <si>
    <t>الاصلاح</t>
  </si>
  <si>
    <t>IQG17Q05</t>
  </si>
  <si>
    <t>Said dekhel</t>
  </si>
  <si>
    <t>سيد دخيل</t>
  </si>
  <si>
    <t>IQG17Q10</t>
  </si>
  <si>
    <t>Al Dawaea</t>
  </si>
  <si>
    <t>الدواية</t>
  </si>
  <si>
    <t>IQG17Q08</t>
  </si>
  <si>
    <t>Qalat Sukar</t>
  </si>
  <si>
    <t>قلعة سكر</t>
  </si>
  <si>
    <t>IQG17Q07</t>
  </si>
  <si>
    <t>Al-Warkaa</t>
  </si>
  <si>
    <t>الوركاء</t>
  </si>
  <si>
    <t>IQG03Q05</t>
  </si>
  <si>
    <t>Al-shamiya</t>
  </si>
  <si>
    <t>الشامية</t>
  </si>
  <si>
    <t>IQG05Q04</t>
  </si>
  <si>
    <t>Al-Muqdadiya</t>
  </si>
  <si>
    <t>المقدادية</t>
  </si>
  <si>
    <t>IQG10Q02</t>
  </si>
  <si>
    <t>Kufry</t>
  </si>
  <si>
    <t>كفري</t>
  </si>
  <si>
    <t>IQG10Q06</t>
  </si>
  <si>
    <t>Khanaqin/S</t>
  </si>
  <si>
    <t>IQG06Q16</t>
  </si>
  <si>
    <t>Kifri/S</t>
  </si>
  <si>
    <t>IQG06Q15</t>
  </si>
  <si>
    <t>Balad</t>
  </si>
  <si>
    <t>بلد</t>
  </si>
  <si>
    <t>IQG16Q03</t>
  </si>
  <si>
    <t>Alkahlaa</t>
  </si>
  <si>
    <t>الكحلاء</t>
  </si>
  <si>
    <t>IQG14Q05</t>
  </si>
  <si>
    <t>Sharazur</t>
  </si>
  <si>
    <t>شارةزوور</t>
  </si>
  <si>
    <t>IQG06Q14</t>
  </si>
  <si>
    <t>Al-Qurna</t>
  </si>
  <si>
    <t>القرنة</t>
  </si>
  <si>
    <t>IQG02Q04</t>
  </si>
  <si>
    <t>Qaradagh</t>
  </si>
  <si>
    <t>قةرةداغ</t>
  </si>
  <si>
    <t>IQG06Q13</t>
  </si>
  <si>
    <t>Said Sadiq</t>
  </si>
  <si>
    <t>سيد صادق</t>
  </si>
  <si>
    <t>IQG06Q12</t>
  </si>
  <si>
    <t>Mawat</t>
  </si>
  <si>
    <t>ماوةت</t>
  </si>
  <si>
    <t>IQG06Q11</t>
  </si>
  <si>
    <t>Rawanduz</t>
  </si>
  <si>
    <t>راوة ندوز</t>
  </si>
  <si>
    <t>IQG11Q04</t>
  </si>
  <si>
    <t>Telefar</t>
  </si>
  <si>
    <t>تلعفر</t>
  </si>
  <si>
    <t>IQG15Q05</t>
  </si>
  <si>
    <t>Debes</t>
  </si>
  <si>
    <t>دبس</t>
  </si>
  <si>
    <t>IQG13Q03</t>
  </si>
  <si>
    <t>اربيل</t>
  </si>
  <si>
    <t>IQG11Q02</t>
  </si>
  <si>
    <t>Khabat</t>
  </si>
  <si>
    <t>خه بات</t>
  </si>
  <si>
    <t>IQG11Q06</t>
  </si>
  <si>
    <t>Bardrash</t>
  </si>
  <si>
    <t>بردرش</t>
  </si>
  <si>
    <t>IQG09Q07</t>
  </si>
  <si>
    <t>Al-Resafa</t>
  </si>
  <si>
    <t>الرصافة</t>
  </si>
  <si>
    <t>IQG08Q05</t>
  </si>
  <si>
    <t>Adhamia</t>
  </si>
  <si>
    <t>الاعظمية</t>
  </si>
  <si>
    <t>IQG08Q01</t>
  </si>
  <si>
    <t>Karkh</t>
  </si>
  <si>
    <t>الكرخ</t>
  </si>
  <si>
    <t>IQG08Q03</t>
  </si>
  <si>
    <t>Kadhimia</t>
  </si>
  <si>
    <t>الكاظمية</t>
  </si>
  <si>
    <t>IQG08Q02</t>
  </si>
  <si>
    <t>Samra</t>
  </si>
  <si>
    <t>سامرا</t>
  </si>
  <si>
    <t>IQG16Q04</t>
  </si>
  <si>
    <t>Al-Daur</t>
  </si>
  <si>
    <t>الدور</t>
  </si>
  <si>
    <t>IQG16Q06</t>
  </si>
  <si>
    <t>Al-Shikhan</t>
  </si>
  <si>
    <t>الشيخان</t>
  </si>
  <si>
    <t>IQG09Q06</t>
  </si>
  <si>
    <t>Al-Suwaira</t>
  </si>
  <si>
    <t>الصويرة</t>
  </si>
  <si>
    <t>IQG18Q03</t>
  </si>
  <si>
    <t xml:space="preserve">ما هو المحصول الرئيسي الذي تزرعه أسرتك من أجل الغذاء وتوليد الدخل في موسم  الحصاد ، إن وجد؟ 
 [المشغل: استجابة واحدة. 'لا إنتاج للمحصول' في آخر الخيارات في النهاية.] 
1)القمح
2)الذرة
3)الشعير
4)البطاطا
5)الحمص
6)الطماطم
7)الخيار
8)الباذنجان
9)بصل
10)البطيخ الأحمر
11)التمر
12)العنب
13)الزيتون
14)الشمام
15)الرز
16)الدخن
17)الذرة الرفيعة
18)الحبوب الأخرى
19)الكسافا
20)البطاطا الحلوة
21)اليام
22)الجزر
23)القلقاس
24)الدرنات الأخرى
25)الفاصوليا
26)العدس
27)البازيلاء
28)فول الصويا
29)الفول
30)الفاصوليا العريضة
31)البقول الاخرى
32)الملفوف
33)الخس
34)السبانخ - القطيفة
35)أوراق الكسافا
36)أوراق البطاطا
37)المورينجا
38)الكركديه
39)أعشاب السلطة الخضراء [زعتر ، بقدونس ، نعناع ، جرجير ، أنواع أخرى]
40)القرنبيط
41)الخضار الورقية الأخرى
42)اليقطين
43)الكوسة
44)البامية
45)الفلفل حلو
46)اللوبياء
47)البازلاء الخضراء
48)الفول الأخضر
49)الخضار غير الورقية الأخرى
50)البرتقال
51)الليمون
52)الجريب فروت
53)اليوسفي / الكليمنتين
54)الحمضيات الأخرى
55)الموز
56)موز الجنة
57)البابايا
58)المانجو
59)الجوافة
60)الأناناس
61)الأفوكادو
62)التين
63)التفاح
64)المشمش
65)الكرز
66)الدراق / النكتارين
67)الفراولة
68)الفواكه الأخرى
69)جوز الهند
70)الفول السوداني
71)الكاجو
72)جوز الكولا
73)السمسم
74)جوز البامبارا
75)اللوز
76)الجوز
77)المكسرات الأخرى
78)الكاكاو
79)القهوة
80)الشاي
81)قصب السكر
82)دوار الشمس
83)المحاصيل الغذائية النقدية الأخرى 
84)القطن
85)المطاط
86)الجوت
87)العلف
88)التبغ
89)القات
90) المحاصيل النقدية غير الغذائية الأخرى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</si>
</sst>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1170000]B2dd/mm/yyyy;@"/>
  </numFmts>
  <fonts count="52">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sz val="10.5"/>
      <name val="Calibri"/>
      <family val="2"/>
      <scheme val="minor"/>
    </font>
    <font>
      <sz val="12"/>
      <color rgb="FF00B050"/>
      <name val="Calibri"/>
      <family val="2"/>
      <scheme val="minor"/>
    </font>
    <font>
      <b/>
      <sz val="12"/>
      <color theme="9" tint="-0.499984740745262"/>
      <name val="Calibri"/>
      <family val="2"/>
      <scheme val="minor"/>
    </font>
    <font>
      <sz val="12"/>
      <color theme="9" tint="-0.499984740745262"/>
      <name val="Calibri"/>
      <family val="2"/>
      <scheme val="minor"/>
    </font>
    <font>
      <sz val="12"/>
      <color theme="9" tint="-0.499984740745262"/>
      <name val="Calibri (Body)"/>
    </font>
    <font>
      <b/>
      <sz val="12"/>
      <color theme="9" tint="-0.499984740745262"/>
      <name val="Calibri (Body)"/>
    </font>
    <font>
      <sz val="11"/>
      <color theme="9" tint="-0.499984740745262"/>
      <name val="Calibri (Body)"/>
    </font>
    <font>
      <sz val="12"/>
      <name val="Calibri (Body)"/>
    </font>
    <font>
      <sz val="12"/>
      <name val="Calibri"/>
      <family val="2"/>
    </font>
    <font>
      <b/>
      <sz val="12"/>
      <color theme="4"/>
      <name val="Calibri (Body)"/>
    </font>
    <font>
      <sz val="11"/>
      <name val="Calibri (Body)"/>
    </font>
    <font>
      <b/>
      <sz val="12"/>
      <name val="Calibri (Body)"/>
    </font>
    <font>
      <sz val="14"/>
      <name val="Calibri"/>
      <family val="2"/>
      <scheme val="minor"/>
    </font>
    <font>
      <sz val="14"/>
      <color theme="9" tint="-0.499984740745262"/>
      <name val="Inherit"/>
    </font>
    <font>
      <i/>
      <sz val="10.5"/>
      <name val="Calibri"/>
      <family val="2"/>
    </font>
    <font>
      <sz val="12"/>
      <color rgb="FF000000"/>
      <name val="Calibri"/>
      <family val="2"/>
    </font>
    <font>
      <sz val="12"/>
      <color theme="1"/>
      <name val="Calibri"/>
      <family val="2"/>
    </font>
    <font>
      <sz val="12"/>
      <color rgb="FF000000"/>
      <name val="Calibri"/>
      <family val="2"/>
    </font>
    <font>
      <sz val="11"/>
      <color rgb="FF000000"/>
      <name val="Calibri"/>
      <family val="2"/>
    </font>
    <font>
      <sz val="14"/>
      <color theme="1"/>
      <name val="Calibri"/>
      <family val="2"/>
      <scheme val="minor"/>
    </font>
    <font>
      <b/>
      <sz val="14"/>
      <color theme="1"/>
      <name val="Calibri"/>
      <family val="2"/>
      <scheme val="minor"/>
    </font>
    <font>
      <sz val="14"/>
      <color theme="1" tint="0.34998626667073579"/>
      <name val="Calibri"/>
      <family val="2"/>
      <scheme val="minor"/>
    </font>
    <font>
      <sz val="14"/>
      <name val="Calibri"/>
      <family val="2"/>
      <scheme val="minor"/>
    </font>
    <font>
      <b/>
      <sz val="14"/>
      <name val="Calibri"/>
      <family val="2"/>
      <scheme val="minor"/>
    </font>
    <font>
      <b/>
      <sz val="11"/>
      <name val="Calibri"/>
      <family val="2"/>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0" tint="-0.14999847407452621"/>
        <bgColor rgb="FF000000"/>
      </patternFill>
    </fill>
    <fill>
      <patternFill patternType="solid">
        <fgColor rgb="FFFFFF00"/>
        <bgColor indexed="64"/>
      </patternFill>
    </fill>
    <fill>
      <patternFill patternType="solid">
        <fgColor theme="9" tint="0.39997558519241921"/>
        <bgColor indexed="64"/>
      </patternFill>
    </fill>
  </fills>
  <borders count="8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bottom/>
      <diagonal/>
    </border>
    <border>
      <left style="thin">
        <color auto="1"/>
      </left>
      <right style="thin">
        <color auto="1"/>
      </right>
      <top style="thin">
        <color auto="1"/>
      </top>
      <bottom style="thin">
        <color auto="1"/>
      </bottom>
      <diagonal/>
    </border>
  </borders>
  <cellStyleXfs count="19">
    <xf numFmtId="0" fontId="0" fillId="0" borderId="0"/>
    <xf numFmtId="0" fontId="6" fillId="0" borderId="0"/>
    <xf numFmtId="0" fontId="7" fillId="0" borderId="0"/>
    <xf numFmtId="0" fontId="5" fillId="0" borderId="0"/>
    <xf numFmtId="0" fontId="6" fillId="0" borderId="0"/>
    <xf numFmtId="0" fontId="5" fillId="0" borderId="0"/>
    <xf numFmtId="0" fontId="5" fillId="0" borderId="0"/>
    <xf numFmtId="0" fontId="10" fillId="7" borderId="21"/>
    <xf numFmtId="0" fontId="6" fillId="0" borderId="0"/>
    <xf numFmtId="0" fontId="6" fillId="0" borderId="0"/>
    <xf numFmtId="0" fontId="6" fillId="0" borderId="0"/>
    <xf numFmtId="9"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665">
    <xf numFmtId="0" fontId="0" fillId="0" borderId="0" xfId="0"/>
    <xf numFmtId="0" fontId="0" fillId="0" borderId="22" xfId="0" applyBorder="1"/>
    <xf numFmtId="0" fontId="8" fillId="0" borderId="22" xfId="0" applyFont="1" applyBorder="1" applyAlignment="1">
      <alignment horizontal="center" vertical="center"/>
    </xf>
    <xf numFmtId="0" fontId="0" fillId="0" borderId="23" xfId="0" applyBorder="1"/>
    <xf numFmtId="0" fontId="8" fillId="0" borderId="25" xfId="0" applyFont="1" applyBorder="1" applyAlignment="1">
      <alignment horizontal="center" vertical="center"/>
    </xf>
    <xf numFmtId="0" fontId="0" fillId="0" borderId="25" xfId="0" applyBorder="1"/>
    <xf numFmtId="0" fontId="8" fillId="0" borderId="26" xfId="0" applyFont="1" applyBorder="1" applyAlignment="1">
      <alignment horizontal="center" vertical="center"/>
    </xf>
    <xf numFmtId="0" fontId="0" fillId="0" borderId="26" xfId="0" applyBorder="1"/>
    <xf numFmtId="0" fontId="8" fillId="0" borderId="1" xfId="0" applyFont="1" applyBorder="1"/>
    <xf numFmtId="0" fontId="9" fillId="0" borderId="35" xfId="3" applyFont="1" applyBorder="1" applyAlignment="1" applyProtection="1">
      <alignment horizontal="left" vertical="center" wrapText="1"/>
      <protection locked="0"/>
    </xf>
    <xf numFmtId="0" fontId="9" fillId="0" borderId="36" xfId="3" applyFont="1" applyBorder="1" applyAlignment="1" applyProtection="1">
      <alignment horizontal="left" vertical="center" wrapText="1"/>
      <protection locked="0"/>
    </xf>
    <xf numFmtId="0" fontId="9" fillId="0" borderId="36" xfId="5" applyFont="1" applyBorder="1" applyAlignment="1" applyProtection="1">
      <alignment horizontal="left" vertical="center" wrapText="1"/>
      <protection locked="0"/>
    </xf>
    <xf numFmtId="0" fontId="14" fillId="8" borderId="36" xfId="3" applyFont="1" applyFill="1" applyBorder="1" applyAlignment="1" applyProtection="1">
      <alignment horizontal="left" vertical="center" wrapText="1"/>
      <protection locked="0"/>
    </xf>
    <xf numFmtId="0" fontId="9" fillId="0" borderId="37" xfId="3" applyFont="1" applyBorder="1" applyAlignment="1" applyProtection="1">
      <alignment horizontal="left" vertical="center" wrapText="1"/>
      <protection locked="0"/>
    </xf>
    <xf numFmtId="0" fontId="9" fillId="6" borderId="8" xfId="2" applyFont="1" applyFill="1" applyBorder="1" applyAlignment="1" applyProtection="1">
      <alignment horizontal="center" vertical="center"/>
      <protection locked="0"/>
    </xf>
    <xf numFmtId="0" fontId="9" fillId="6" borderId="3" xfId="2" applyFont="1" applyFill="1" applyBorder="1" applyAlignment="1" applyProtection="1">
      <alignment horizontal="center" vertical="center" wrapText="1"/>
      <protection locked="0"/>
    </xf>
    <xf numFmtId="0" fontId="9" fillId="6" borderId="3" xfId="0" applyFont="1" applyFill="1" applyBorder="1" applyAlignment="1" applyProtection="1">
      <alignment horizontal="center" vertical="center" wrapText="1"/>
      <protection locked="0"/>
    </xf>
    <xf numFmtId="0" fontId="9" fillId="6" borderId="1" xfId="0" applyFont="1" applyFill="1" applyBorder="1" applyAlignment="1" applyProtection="1">
      <alignment horizontal="left" vertical="center" wrapText="1"/>
      <protection locked="0"/>
    </xf>
    <xf numFmtId="0" fontId="9" fillId="6" borderId="1" xfId="2" applyFont="1" applyFill="1" applyBorder="1" applyAlignment="1" applyProtection="1">
      <alignment horizontal="center" vertical="center" wrapText="1"/>
      <protection locked="0"/>
    </xf>
    <xf numFmtId="0" fontId="9" fillId="6" borderId="1" xfId="0" applyFont="1" applyFill="1" applyBorder="1" applyAlignment="1" applyProtection="1">
      <alignment horizontal="center" vertical="center" wrapText="1"/>
      <protection locked="0"/>
    </xf>
    <xf numFmtId="0" fontId="9" fillId="6" borderId="1" xfId="3" applyFont="1" applyFill="1" applyBorder="1" applyAlignment="1" applyProtection="1">
      <alignment horizontal="left" vertical="center" wrapText="1"/>
      <protection locked="0"/>
    </xf>
    <xf numFmtId="0" fontId="9" fillId="6" borderId="2" xfId="2" applyFont="1" applyFill="1" applyBorder="1" applyAlignment="1" applyProtection="1">
      <alignment horizontal="center" vertical="center" wrapText="1"/>
      <protection locked="0"/>
    </xf>
    <xf numFmtId="0" fontId="9" fillId="0" borderId="34" xfId="3" applyFont="1" applyBorder="1" applyAlignment="1" applyProtection="1">
      <alignment horizontal="left" vertical="center" wrapText="1"/>
      <protection locked="0"/>
    </xf>
    <xf numFmtId="0" fontId="9" fillId="6" borderId="2" xfId="0" applyFont="1" applyFill="1" applyBorder="1" applyAlignment="1" applyProtection="1">
      <alignment horizontal="left" vertical="center" wrapText="1"/>
      <protection locked="0"/>
    </xf>
    <xf numFmtId="0" fontId="9" fillId="9" borderId="17" xfId="0" applyFont="1" applyFill="1" applyBorder="1" applyAlignment="1" applyProtection="1">
      <alignment horizontal="left" vertical="center" wrapText="1"/>
      <protection locked="0"/>
    </xf>
    <xf numFmtId="0" fontId="9" fillId="6" borderId="14" xfId="3" applyFont="1" applyFill="1" applyBorder="1" applyAlignment="1" applyProtection="1">
      <alignment horizontal="left" vertical="center" wrapText="1"/>
      <protection locked="0"/>
    </xf>
    <xf numFmtId="0" fontId="9" fillId="6" borderId="1" xfId="3" applyFont="1" applyFill="1" applyBorder="1" applyAlignment="1" applyProtection="1">
      <alignment horizontal="center" vertical="center" wrapText="1"/>
      <protection locked="0"/>
    </xf>
    <xf numFmtId="0" fontId="9" fillId="6" borderId="1" xfId="3" applyFont="1" applyFill="1" applyBorder="1" applyAlignment="1" applyProtection="1">
      <alignment vertical="center" wrapText="1"/>
      <protection locked="0"/>
    </xf>
    <xf numFmtId="0" fontId="11" fillId="6" borderId="1" xfId="2" applyFont="1" applyFill="1" applyBorder="1" applyAlignment="1" applyProtection="1">
      <alignment horizontal="center" vertical="center" wrapText="1"/>
      <protection locked="0"/>
    </xf>
    <xf numFmtId="0" fontId="9" fillId="6" borderId="6" xfId="2" applyFont="1" applyFill="1" applyBorder="1" applyAlignment="1" applyProtection="1">
      <alignment horizontal="center" vertical="center"/>
      <protection locked="0"/>
    </xf>
    <xf numFmtId="0" fontId="9" fillId="6" borderId="15" xfId="3" applyFont="1" applyFill="1" applyBorder="1" applyAlignment="1" applyProtection="1">
      <alignment horizontal="left" vertical="center" wrapText="1"/>
      <protection locked="0"/>
    </xf>
    <xf numFmtId="0" fontId="9" fillId="8" borderId="14" xfId="0" applyFont="1" applyFill="1" applyBorder="1" applyAlignment="1" applyProtection="1">
      <alignment horizontal="left" vertical="center" wrapText="1"/>
      <protection locked="0"/>
    </xf>
    <xf numFmtId="0" fontId="9" fillId="8" borderId="17" xfId="3" applyFont="1" applyFill="1" applyBorder="1" applyAlignment="1" applyProtection="1">
      <alignment horizontal="left" vertical="center" wrapText="1"/>
      <protection locked="0"/>
    </xf>
    <xf numFmtId="0" fontId="9" fillId="8" borderId="20" xfId="3" applyFont="1" applyFill="1" applyBorder="1" applyAlignment="1" applyProtection="1">
      <alignment horizontal="left" vertical="center" wrapText="1"/>
      <protection locked="0"/>
    </xf>
    <xf numFmtId="0" fontId="9" fillId="0" borderId="8" xfId="2" applyFont="1" applyBorder="1" applyAlignment="1" applyProtection="1">
      <alignment horizontal="center" vertical="center"/>
      <protection locked="0"/>
    </xf>
    <xf numFmtId="0" fontId="9" fillId="0" borderId="1" xfId="0" applyFont="1" applyBorder="1" applyAlignment="1" applyProtection="1">
      <alignment horizontal="left" vertical="center" wrapText="1"/>
      <protection locked="0"/>
    </xf>
    <xf numFmtId="0" fontId="9" fillId="0" borderId="1" xfId="2"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24" fillId="0" borderId="1" xfId="0" applyFont="1" applyBorder="1"/>
    <xf numFmtId="0" fontId="9" fillId="0" borderId="49" xfId="3" applyFont="1" applyBorder="1" applyAlignment="1" applyProtection="1">
      <alignment horizontal="left" vertical="center" wrapText="1"/>
      <protection locked="0"/>
    </xf>
    <xf numFmtId="0" fontId="22" fillId="9" borderId="17" xfId="0" applyFont="1" applyFill="1" applyBorder="1" applyAlignment="1" applyProtection="1">
      <alignment horizontal="left" vertical="center" wrapText="1"/>
      <protection locked="0"/>
    </xf>
    <xf numFmtId="0" fontId="11" fillId="6" borderId="48" xfId="0" applyFont="1" applyFill="1" applyBorder="1" applyAlignment="1" applyProtection="1">
      <alignment horizontal="center" vertical="center"/>
      <protection locked="0"/>
    </xf>
    <xf numFmtId="0" fontId="9" fillId="0" borderId="14" xfId="2" applyFont="1" applyBorder="1" applyAlignment="1" applyProtection="1">
      <alignment horizontal="left" vertical="center" wrapText="1"/>
      <protection locked="0"/>
    </xf>
    <xf numFmtId="0" fontId="9" fillId="8" borderId="14" xfId="3" applyFont="1" applyFill="1" applyBorder="1" applyAlignment="1" applyProtection="1">
      <alignment horizontal="left" vertical="center" wrapText="1"/>
      <protection locked="0"/>
    </xf>
    <xf numFmtId="0" fontId="9" fillId="6" borderId="17" xfId="3" applyFont="1" applyFill="1" applyBorder="1" applyAlignment="1" applyProtection="1">
      <alignment horizontal="center" vertical="center" wrapText="1"/>
      <protection locked="0"/>
    </xf>
    <xf numFmtId="0" fontId="16" fillId="11" borderId="17" xfId="0" applyFont="1" applyFill="1" applyBorder="1" applyAlignment="1" applyProtection="1">
      <alignment horizontal="center" vertical="center" wrapText="1"/>
      <protection locked="0"/>
    </xf>
    <xf numFmtId="0" fontId="9" fillId="8" borderId="14" xfId="3" applyFont="1" applyFill="1" applyBorder="1" applyAlignment="1" applyProtection="1">
      <alignment vertical="center" wrapText="1"/>
      <protection locked="0"/>
    </xf>
    <xf numFmtId="0" fontId="16" fillId="6" borderId="20" xfId="3" applyFont="1" applyFill="1" applyBorder="1" applyAlignment="1" applyProtection="1">
      <alignment horizontal="center" vertical="center" wrapText="1"/>
      <protection locked="0"/>
    </xf>
    <xf numFmtId="0" fontId="9" fillId="0" borderId="49" xfId="3" applyFont="1" applyBorder="1" applyAlignment="1" applyProtection="1">
      <alignment horizontal="left" vertical="center"/>
      <protection locked="0"/>
    </xf>
    <xf numFmtId="0" fontId="5" fillId="8" borderId="52" xfId="2" applyFont="1" applyFill="1" applyBorder="1" applyAlignment="1" applyProtection="1">
      <alignment horizontal="left" vertical="center" wrapText="1"/>
      <protection locked="0"/>
    </xf>
    <xf numFmtId="0" fontId="28" fillId="4" borderId="36" xfId="3" applyFont="1" applyFill="1" applyBorder="1" applyAlignment="1" applyProtection="1">
      <alignment horizontal="left" vertical="center" wrapText="1"/>
      <protection locked="0"/>
    </xf>
    <xf numFmtId="0" fontId="14" fillId="0" borderId="36" xfId="3" applyFont="1" applyBorder="1" applyAlignment="1" applyProtection="1">
      <alignment horizontal="left" vertical="center" wrapText="1"/>
      <protection locked="0"/>
    </xf>
    <xf numFmtId="0" fontId="9" fillId="0" borderId="29" xfId="3" applyFont="1" applyBorder="1" applyAlignment="1" applyProtection="1">
      <alignment horizontal="left" vertical="center" wrapText="1"/>
      <protection locked="0"/>
    </xf>
    <xf numFmtId="0" fontId="28" fillId="4" borderId="7" xfId="2" applyFont="1" applyFill="1" applyBorder="1" applyAlignment="1" applyProtection="1">
      <alignment horizontal="center" vertical="center"/>
      <protection locked="0"/>
    </xf>
    <xf numFmtId="0" fontId="30" fillId="4" borderId="3" xfId="2" applyFont="1" applyFill="1" applyBorder="1" applyAlignment="1" applyProtection="1">
      <alignment horizontal="center" vertical="center" wrapText="1"/>
      <protection locked="0"/>
    </xf>
    <xf numFmtId="0" fontId="30" fillId="4" borderId="3" xfId="3" applyFont="1" applyFill="1" applyBorder="1" applyAlignment="1" applyProtection="1">
      <alignment horizontal="center" vertical="center" wrapText="1"/>
      <protection locked="0"/>
    </xf>
    <xf numFmtId="0" fontId="30" fillId="4" borderId="17" xfId="3" applyFont="1" applyFill="1" applyBorder="1" applyAlignment="1" applyProtection="1">
      <alignment horizontal="left" vertical="center" wrapText="1"/>
      <protection locked="0"/>
    </xf>
    <xf numFmtId="49" fontId="30" fillId="4" borderId="60" xfId="0" applyNumberFormat="1" applyFont="1" applyFill="1" applyBorder="1" applyAlignment="1" applyProtection="1">
      <alignment vertical="center" wrapText="1"/>
      <protection locked="0"/>
    </xf>
    <xf numFmtId="0" fontId="30" fillId="4" borderId="3" xfId="3" applyFont="1" applyFill="1" applyBorder="1" applyAlignment="1" applyProtection="1">
      <alignment horizontal="left" vertical="center" wrapText="1"/>
      <protection locked="0"/>
    </xf>
    <xf numFmtId="0" fontId="28" fillId="4" borderId="3" xfId="3" applyFont="1" applyFill="1" applyBorder="1" applyAlignment="1" applyProtection="1">
      <alignment horizontal="left" vertical="center" wrapText="1"/>
      <protection locked="0"/>
    </xf>
    <xf numFmtId="0" fontId="9" fillId="0" borderId="1" xfId="3" applyFont="1" applyBorder="1" applyAlignment="1" applyProtection="1">
      <alignment horizontal="left" vertical="center" wrapText="1"/>
      <protection locked="0"/>
    </xf>
    <xf numFmtId="0" fontId="9" fillId="0" borderId="17" xfId="3" applyFont="1" applyBorder="1" applyAlignment="1" applyProtection="1">
      <alignment horizontal="center" vertical="center" wrapText="1"/>
      <protection locked="0"/>
    </xf>
    <xf numFmtId="0" fontId="9" fillId="0" borderId="14" xfId="3" applyFont="1" applyBorder="1" applyAlignment="1" applyProtection="1">
      <alignment horizontal="center" vertical="center" wrapText="1"/>
      <protection locked="0"/>
    </xf>
    <xf numFmtId="0" fontId="9" fillId="0" borderId="14" xfId="5" applyFont="1" applyBorder="1" applyAlignment="1" applyProtection="1">
      <alignment horizontal="center" vertical="center" wrapText="1"/>
      <protection locked="0"/>
    </xf>
    <xf numFmtId="0" fontId="14" fillId="0" borderId="14" xfId="3" applyFont="1" applyBorder="1" applyAlignment="1" applyProtection="1">
      <alignment horizontal="left" vertical="center" wrapText="1"/>
      <protection locked="0"/>
    </xf>
    <xf numFmtId="0" fontId="9" fillId="0" borderId="14" xfId="3" applyFont="1" applyBorder="1" applyAlignment="1" applyProtection="1">
      <alignment horizontal="left" vertical="center" wrapText="1"/>
      <protection locked="0"/>
    </xf>
    <xf numFmtId="0" fontId="9" fillId="0" borderId="15" xfId="3" applyFont="1" applyBorder="1" applyAlignment="1" applyProtection="1">
      <alignment horizontal="center" vertical="center" wrapText="1"/>
      <protection locked="0"/>
    </xf>
    <xf numFmtId="0" fontId="9" fillId="0" borderId="17" xfId="3" applyFont="1" applyBorder="1" applyAlignment="1" applyProtection="1">
      <alignment horizontal="left" vertical="center" wrapText="1"/>
      <protection locked="0"/>
    </xf>
    <xf numFmtId="0" fontId="9" fillId="0" borderId="20" xfId="3" applyFont="1" applyBorder="1" applyAlignment="1" applyProtection="1">
      <alignment horizontal="left" vertical="center" wrapText="1"/>
      <protection locked="0"/>
    </xf>
    <xf numFmtId="0" fontId="9" fillId="0" borderId="2" xfId="3" applyFont="1" applyBorder="1" applyAlignment="1" applyProtection="1">
      <alignment horizontal="left" vertical="center" wrapText="1"/>
      <protection locked="0"/>
    </xf>
    <xf numFmtId="0" fontId="9" fillId="8" borderId="14" xfId="2" applyFont="1" applyFill="1" applyBorder="1" applyAlignment="1" applyProtection="1">
      <alignment horizontal="left" vertical="center" wrapText="1"/>
      <protection locked="0"/>
    </xf>
    <xf numFmtId="0" fontId="9" fillId="0" borderId="17" xfId="2" applyFont="1" applyBorder="1" applyAlignment="1" applyProtection="1">
      <alignment horizontal="left" vertical="center" wrapText="1"/>
      <protection locked="0"/>
    </xf>
    <xf numFmtId="0" fontId="9" fillId="0" borderId="17" xfId="0" applyFont="1" applyBorder="1" applyAlignment="1" applyProtection="1">
      <alignment vertical="center"/>
      <protection locked="0"/>
    </xf>
    <xf numFmtId="0" fontId="9" fillId="0" borderId="44" xfId="3" applyFont="1" applyBorder="1" applyAlignment="1" applyProtection="1">
      <alignment horizontal="left" vertical="center" wrapText="1"/>
      <protection locked="0"/>
    </xf>
    <xf numFmtId="0" fontId="9" fillId="0" borderId="15" xfId="0" applyFont="1" applyBorder="1" applyAlignment="1" applyProtection="1">
      <alignment horizontal="left" vertical="center" wrapText="1"/>
      <protection locked="0"/>
    </xf>
    <xf numFmtId="0" fontId="9" fillId="0" borderId="15" xfId="3" applyFont="1" applyBorder="1" applyAlignment="1" applyProtection="1">
      <alignment horizontal="left" vertical="center" wrapText="1"/>
      <protection locked="0"/>
    </xf>
    <xf numFmtId="0" fontId="9" fillId="0" borderId="14" xfId="0" applyFont="1" applyBorder="1" applyAlignment="1" applyProtection="1">
      <alignment horizontal="left" vertical="center" wrapText="1"/>
      <protection locked="0"/>
    </xf>
    <xf numFmtId="0" fontId="9" fillId="0" borderId="16" xfId="2" applyFont="1" applyBorder="1" applyAlignment="1" applyProtection="1">
      <alignment horizontal="center" vertical="center" wrapText="1"/>
      <protection locked="0"/>
    </xf>
    <xf numFmtId="0" fontId="9" fillId="0" borderId="28" xfId="3" applyFont="1" applyBorder="1" applyAlignment="1" applyProtection="1">
      <alignment horizontal="left" vertical="center" wrapText="1"/>
      <protection locked="0"/>
    </xf>
    <xf numFmtId="0" fontId="9" fillId="0" borderId="7" xfId="2" applyFont="1" applyBorder="1" applyAlignment="1" applyProtection="1">
      <alignment horizontal="center" vertical="center"/>
      <protection locked="0"/>
    </xf>
    <xf numFmtId="0" fontId="9" fillId="0" borderId="3" xfId="0" applyFont="1" applyBorder="1" applyAlignment="1" applyProtection="1">
      <alignment horizontal="center" vertical="center" wrapText="1"/>
      <protection locked="0"/>
    </xf>
    <xf numFmtId="0" fontId="9" fillId="0" borderId="1" xfId="3" applyFont="1" applyBorder="1" applyAlignment="1" applyProtection="1">
      <alignment horizontal="center" vertical="center" wrapText="1"/>
      <protection locked="0"/>
    </xf>
    <xf numFmtId="0" fontId="9" fillId="0" borderId="2" xfId="2" applyFont="1" applyBorder="1" applyAlignment="1" applyProtection="1">
      <alignment horizontal="center" vertical="center"/>
      <protection locked="0"/>
    </xf>
    <xf numFmtId="0" fontId="9" fillId="0" borderId="2" xfId="2" applyFont="1" applyBorder="1" applyAlignment="1" applyProtection="1">
      <alignment horizontal="center" vertical="center" wrapText="1"/>
      <protection locked="0"/>
    </xf>
    <xf numFmtId="0" fontId="9" fillId="0" borderId="2" xfId="3" applyFont="1" applyBorder="1" applyAlignment="1" applyProtection="1">
      <alignment horizontal="center" vertical="center" wrapText="1"/>
      <protection locked="0"/>
    </xf>
    <xf numFmtId="0" fontId="9" fillId="0" borderId="3" xfId="0" applyFont="1" applyBorder="1" applyAlignment="1" applyProtection="1">
      <alignment horizontal="left" vertical="center" wrapText="1"/>
      <protection locked="0"/>
    </xf>
    <xf numFmtId="0" fontId="9" fillId="0" borderId="3" xfId="2" applyFont="1" applyBorder="1" applyAlignment="1" applyProtection="1">
      <alignment horizontal="center" vertical="center" wrapText="1"/>
      <protection locked="0"/>
    </xf>
    <xf numFmtId="0" fontId="11" fillId="0" borderId="3" xfId="0" applyFont="1" applyBorder="1" applyAlignment="1" applyProtection="1">
      <alignment horizontal="center" vertical="center" wrapText="1"/>
      <protection locked="0"/>
    </xf>
    <xf numFmtId="0" fontId="9" fillId="0" borderId="3" xfId="3" applyFont="1" applyBorder="1" applyAlignment="1" applyProtection="1">
      <alignment vertical="center" wrapText="1"/>
      <protection locked="0"/>
    </xf>
    <xf numFmtId="0" fontId="9" fillId="0" borderId="3" xfId="3" applyFont="1" applyBorder="1" applyAlignment="1" applyProtection="1">
      <alignment horizontal="center" vertical="center" wrapText="1"/>
      <protection locked="0"/>
    </xf>
    <xf numFmtId="0" fontId="9" fillId="0" borderId="1" xfId="3" applyFont="1" applyBorder="1" applyAlignment="1" applyProtection="1">
      <alignment horizontal="center" vertical="center"/>
      <protection locked="0"/>
    </xf>
    <xf numFmtId="0" fontId="9" fillId="0" borderId="6" xfId="2" applyFont="1" applyBorder="1" applyAlignment="1" applyProtection="1">
      <alignment horizontal="center" vertical="center"/>
      <protection locked="0"/>
    </xf>
    <xf numFmtId="0" fontId="9" fillId="0" borderId="2" xfId="0" applyFont="1" applyBorder="1" applyAlignment="1" applyProtection="1">
      <alignment horizontal="center" vertical="center" wrapText="1"/>
      <protection locked="0"/>
    </xf>
    <xf numFmtId="0" fontId="9" fillId="0" borderId="13" xfId="0" applyFont="1" applyBorder="1" applyAlignment="1" applyProtection="1">
      <alignment horizontal="center" vertical="center" wrapText="1"/>
      <protection locked="0"/>
    </xf>
    <xf numFmtId="9" fontId="20" fillId="0" borderId="42" xfId="11" applyFont="1" applyBorder="1" applyAlignment="1">
      <alignment horizontal="center" vertical="center" wrapText="1"/>
    </xf>
    <xf numFmtId="9" fontId="20" fillId="0" borderId="47" xfId="11" applyFont="1" applyBorder="1" applyAlignment="1">
      <alignment horizontal="center" vertical="center" wrapText="1"/>
    </xf>
    <xf numFmtId="0" fontId="15" fillId="0" borderId="3" xfId="3" applyFont="1" applyBorder="1" applyAlignment="1" applyProtection="1">
      <alignment vertical="center" wrapText="1"/>
      <protection locked="0"/>
    </xf>
    <xf numFmtId="0" fontId="27" fillId="0" borderId="2" xfId="3" applyFont="1" applyBorder="1" applyAlignment="1" applyProtection="1">
      <alignment horizontal="left" vertical="center" wrapText="1"/>
      <protection locked="0"/>
    </xf>
    <xf numFmtId="0" fontId="9" fillId="0" borderId="20" xfId="3" applyFont="1" applyBorder="1" applyAlignment="1" applyProtection="1">
      <alignment horizontal="center" vertical="center" wrapText="1"/>
      <protection locked="0"/>
    </xf>
    <xf numFmtId="0" fontId="16" fillId="8" borderId="36" xfId="3" applyFont="1" applyFill="1" applyBorder="1" applyAlignment="1" applyProtection="1">
      <alignment horizontal="left" vertical="center" wrapText="1"/>
      <protection locked="0"/>
    </xf>
    <xf numFmtId="0" fontId="14" fillId="11" borderId="17" xfId="0" applyFont="1" applyFill="1" applyBorder="1" applyAlignment="1" applyProtection="1">
      <alignment horizontal="left" vertical="center" wrapText="1"/>
      <protection locked="0"/>
    </xf>
    <xf numFmtId="0" fontId="9" fillId="6" borderId="17" xfId="2" applyFont="1" applyFill="1" applyBorder="1" applyAlignment="1" applyProtection="1">
      <alignment horizontal="left" vertical="center" wrapText="1"/>
      <protection locked="0"/>
    </xf>
    <xf numFmtId="0" fontId="9" fillId="0" borderId="36" xfId="3" applyFont="1" applyBorder="1" applyAlignment="1" applyProtection="1">
      <alignment horizontal="center" vertical="center" wrapText="1"/>
      <protection locked="0"/>
    </xf>
    <xf numFmtId="0" fontId="9" fillId="0" borderId="49" xfId="3" applyFont="1" applyBorder="1" applyAlignment="1" applyProtection="1">
      <alignment horizontal="center" vertical="center" wrapText="1"/>
      <protection locked="0"/>
    </xf>
    <xf numFmtId="0" fontId="9" fillId="0" borderId="0" xfId="3" applyFont="1" applyAlignment="1" applyProtection="1">
      <alignment horizontal="left" vertical="center" wrapText="1"/>
      <protection locked="0"/>
    </xf>
    <xf numFmtId="0" fontId="9" fillId="0" borderId="16" xfId="2" applyFont="1" applyBorder="1" applyAlignment="1">
      <alignment horizontal="center" vertical="center" wrapText="1"/>
    </xf>
    <xf numFmtId="0" fontId="9" fillId="0" borderId="16" xfId="2" applyFont="1" applyBorder="1" applyAlignment="1">
      <alignment horizontal="left" vertical="center" wrapText="1"/>
    </xf>
    <xf numFmtId="0" fontId="9" fillId="0" borderId="4" xfId="2" applyFont="1" applyBorder="1" applyAlignment="1">
      <alignment horizontal="center" vertical="center" wrapText="1"/>
    </xf>
    <xf numFmtId="0" fontId="9" fillId="0" borderId="4" xfId="3" applyFont="1" applyBorder="1" applyAlignment="1">
      <alignment horizontal="left" vertical="center" wrapText="1"/>
    </xf>
    <xf numFmtId="0" fontId="9" fillId="0" borderId="4" xfId="0" applyFont="1" applyBorder="1" applyAlignment="1">
      <alignment horizontal="center" vertical="center" wrapText="1"/>
    </xf>
    <xf numFmtId="0" fontId="9" fillId="0" borderId="2" xfId="2" applyFont="1" applyBorder="1" applyAlignment="1">
      <alignment horizontal="center" vertical="center" wrapText="1"/>
    </xf>
    <xf numFmtId="0" fontId="9" fillId="0" borderId="13" xfId="2" applyFont="1" applyBorder="1" applyAlignment="1">
      <alignment horizontal="center" vertical="center" wrapText="1"/>
    </xf>
    <xf numFmtId="0" fontId="9" fillId="0" borderId="13" xfId="0" applyFont="1" applyBorder="1" applyAlignment="1">
      <alignment horizontal="center" vertical="center" wrapText="1"/>
    </xf>
    <xf numFmtId="0" fontId="28" fillId="0" borderId="0" xfId="3" applyFont="1" applyProtection="1">
      <protection locked="0"/>
    </xf>
    <xf numFmtId="0" fontId="28" fillId="0" borderId="0" xfId="0" applyFont="1" applyProtection="1">
      <protection locked="0"/>
    </xf>
    <xf numFmtId="0" fontId="29" fillId="0" borderId="0" xfId="3" applyFont="1" applyAlignment="1" applyProtection="1">
      <alignment horizontal="center" vertical="center" wrapText="1"/>
      <protection locked="0"/>
    </xf>
    <xf numFmtId="0" fontId="9" fillId="0" borderId="0" xfId="0" applyFont="1" applyAlignment="1" applyProtection="1">
      <alignment horizontal="center" vertical="center"/>
      <protection locked="0"/>
    </xf>
    <xf numFmtId="0" fontId="9" fillId="0" borderId="0" xfId="0" applyFont="1" applyAlignment="1" applyProtection="1">
      <alignment horizontal="center" vertical="center" wrapText="1"/>
      <protection locked="0"/>
    </xf>
    <xf numFmtId="0" fontId="9" fillId="0" borderId="17" xfId="3" applyFont="1" applyBorder="1" applyAlignment="1">
      <alignment horizontal="left" vertical="center" wrapText="1"/>
    </xf>
    <xf numFmtId="0" fontId="9" fillId="0" borderId="3" xfId="2" applyFont="1" applyBorder="1" applyAlignment="1">
      <alignment horizontal="center" vertical="center" wrapText="1"/>
    </xf>
    <xf numFmtId="0" fontId="9" fillId="0" borderId="3" xfId="3" applyFont="1" applyBorder="1" applyAlignment="1">
      <alignment horizontal="left" vertical="center" wrapText="1"/>
    </xf>
    <xf numFmtId="0" fontId="9" fillId="0" borderId="3" xfId="0" applyFont="1" applyBorder="1" applyAlignment="1">
      <alignment horizontal="center" vertical="center" wrapText="1"/>
    </xf>
    <xf numFmtId="0" fontId="9" fillId="0" borderId="0" xfId="3" applyFont="1" applyProtection="1">
      <protection locked="0"/>
    </xf>
    <xf numFmtId="0" fontId="9" fillId="0" borderId="0" xfId="0" applyFont="1" applyProtection="1">
      <protection locked="0"/>
    </xf>
    <xf numFmtId="0" fontId="11" fillId="0" borderId="0" xfId="3" applyFont="1" applyAlignment="1" applyProtection="1">
      <alignment horizontal="center" vertical="center"/>
      <protection locked="0"/>
    </xf>
    <xf numFmtId="0" fontId="9" fillId="0" borderId="17" xfId="0" applyFont="1" applyBorder="1" applyAlignment="1">
      <alignment horizontal="left" vertical="center" wrapText="1"/>
    </xf>
    <xf numFmtId="0" fontId="9" fillId="0" borderId="14" xfId="3" applyFont="1" applyBorder="1" applyAlignment="1">
      <alignment horizontal="left" vertical="center" wrapText="1"/>
    </xf>
    <xf numFmtId="0" fontId="9" fillId="0" borderId="1" xfId="2" applyFont="1" applyBorder="1" applyAlignment="1">
      <alignment horizontal="center" vertical="center" wrapText="1"/>
    </xf>
    <xf numFmtId="0" fontId="9" fillId="0" borderId="1" xfId="0" applyFont="1" applyBorder="1" applyAlignment="1">
      <alignment horizontal="center" vertical="center" wrapText="1"/>
    </xf>
    <xf numFmtId="0" fontId="9" fillId="0" borderId="3" xfId="3" applyFont="1" applyBorder="1" applyAlignment="1">
      <alignment horizontal="center" vertical="center" wrapText="1"/>
    </xf>
    <xf numFmtId="0" fontId="9" fillId="0" borderId="0" xfId="3" applyFont="1" applyAlignment="1" applyProtection="1">
      <alignment vertical="center" wrapText="1"/>
      <protection locked="0"/>
    </xf>
    <xf numFmtId="0" fontId="9" fillId="0" borderId="49" xfId="3" applyFont="1" applyBorder="1" applyAlignment="1" applyProtection="1">
      <alignment vertical="center" wrapText="1"/>
      <protection locked="0"/>
    </xf>
    <xf numFmtId="0" fontId="9" fillId="0" borderId="20" xfId="3" applyFont="1" applyBorder="1" applyAlignment="1">
      <alignment horizontal="left" vertical="center" wrapText="1"/>
    </xf>
    <xf numFmtId="0" fontId="9" fillId="0" borderId="13" xfId="3" applyFont="1" applyBorder="1" applyAlignment="1">
      <alignment horizontal="center" vertical="center" wrapText="1"/>
    </xf>
    <xf numFmtId="0" fontId="9" fillId="0" borderId="2" xfId="3" applyFont="1" applyBorder="1" applyAlignment="1">
      <alignment horizontal="left" vertical="center" wrapText="1"/>
    </xf>
    <xf numFmtId="0" fontId="9" fillId="0" borderId="36" xfId="3" applyFont="1" applyBorder="1" applyAlignment="1" applyProtection="1">
      <alignment vertical="center" wrapText="1"/>
      <protection locked="0"/>
    </xf>
    <xf numFmtId="0" fontId="9" fillId="0" borderId="1" xfId="3" applyFont="1" applyBorder="1" applyAlignment="1">
      <alignment horizontal="center" vertical="center" wrapText="1"/>
    </xf>
    <xf numFmtId="0" fontId="5" fillId="0" borderId="0" xfId="0" applyFont="1" applyProtection="1">
      <protection locked="0"/>
    </xf>
    <xf numFmtId="0" fontId="9" fillId="0" borderId="14" xfId="0" applyFont="1" applyBorder="1" applyAlignment="1">
      <alignment horizontal="left" vertical="center" wrapText="1"/>
    </xf>
    <xf numFmtId="0" fontId="8" fillId="0" borderId="48" xfId="6" applyFont="1" applyBorder="1" applyAlignment="1">
      <alignment vertical="center" wrapText="1"/>
    </xf>
    <xf numFmtId="0" fontId="8" fillId="0" borderId="48" xfId="3" applyFont="1" applyBorder="1" applyAlignment="1">
      <alignment vertical="center" wrapText="1"/>
    </xf>
    <xf numFmtId="0" fontId="9" fillId="0" borderId="1" xfId="3" applyFont="1" applyBorder="1" applyAlignment="1">
      <alignment vertical="center" wrapText="1"/>
    </xf>
    <xf numFmtId="0" fontId="9" fillId="0" borderId="1" xfId="3" applyFont="1" applyBorder="1" applyAlignment="1">
      <alignment horizontal="left" vertical="center" wrapText="1"/>
    </xf>
    <xf numFmtId="0" fontId="11" fillId="0" borderId="1" xfId="2" applyFont="1" applyBorder="1" applyAlignment="1">
      <alignment horizontal="center" vertical="center" wrapText="1"/>
    </xf>
    <xf numFmtId="0" fontId="9" fillId="0" borderId="17" xfId="2" applyFont="1" applyBorder="1" applyAlignment="1">
      <alignment horizontal="left" vertical="center" wrapText="1"/>
    </xf>
    <xf numFmtId="0" fontId="9" fillId="0" borderId="3" xfId="3" applyFont="1" applyBorder="1" applyAlignment="1">
      <alignment vertical="center" wrapText="1"/>
    </xf>
    <xf numFmtId="0" fontId="9" fillId="0" borderId="14" xfId="0" applyFont="1" applyBorder="1" applyAlignment="1" applyProtection="1">
      <alignment vertical="center"/>
      <protection locked="0"/>
    </xf>
    <xf numFmtId="0" fontId="9" fillId="0" borderId="3" xfId="0" applyFont="1" applyBorder="1" applyAlignment="1" applyProtection="1">
      <alignment horizontal="center" vertical="center"/>
      <protection locked="0"/>
    </xf>
    <xf numFmtId="0" fontId="9" fillId="0" borderId="3" xfId="3" applyFont="1" applyBorder="1" applyAlignment="1" applyProtection="1">
      <alignment horizontal="left" vertical="center" wrapText="1"/>
      <protection locked="0"/>
    </xf>
    <xf numFmtId="0" fontId="11" fillId="0" borderId="3" xfId="0" applyFont="1" applyBorder="1" applyAlignment="1" applyProtection="1">
      <alignment horizontal="center" vertical="center"/>
      <protection locked="0"/>
    </xf>
    <xf numFmtId="0" fontId="9" fillId="0" borderId="17" xfId="0" applyFont="1" applyBorder="1" applyAlignment="1" applyProtection="1">
      <alignment horizontal="left" vertical="center" wrapText="1"/>
      <protection locked="0"/>
    </xf>
    <xf numFmtId="0" fontId="9" fillId="0" borderId="14" xfId="2" applyFont="1" applyBorder="1" applyAlignment="1">
      <alignment horizontal="left" vertical="center" wrapText="1"/>
    </xf>
    <xf numFmtId="0" fontId="9" fillId="0" borderId="1" xfId="3" applyFont="1" applyBorder="1" applyAlignment="1">
      <alignment horizontal="center" vertical="center"/>
    </xf>
    <xf numFmtId="0" fontId="26" fillId="8" borderId="0" xfId="0" applyFont="1" applyFill="1" applyAlignment="1" applyProtection="1">
      <alignment horizontal="left" vertical="center" wrapText="1"/>
      <protection locked="0"/>
    </xf>
    <xf numFmtId="0" fontId="26" fillId="0" borderId="50" xfId="0" applyFont="1" applyBorder="1" applyAlignment="1">
      <alignment horizontal="left" vertical="center" wrapText="1"/>
    </xf>
    <xf numFmtId="0" fontId="9" fillId="0" borderId="1" xfId="2" applyFont="1" applyBorder="1" applyAlignment="1" applyProtection="1">
      <alignment horizontal="left" vertical="center" wrapText="1"/>
      <protection locked="0"/>
    </xf>
    <xf numFmtId="0" fontId="9" fillId="0" borderId="0" xfId="2" applyFont="1" applyAlignment="1" applyProtection="1">
      <alignment horizontal="left" vertical="center" wrapText="1"/>
      <protection locked="0"/>
    </xf>
    <xf numFmtId="0" fontId="9" fillId="0" borderId="1" xfId="3" applyFont="1" applyBorder="1" applyAlignment="1" applyProtection="1">
      <alignment vertical="center" wrapText="1"/>
      <protection locked="0"/>
    </xf>
    <xf numFmtId="0" fontId="9" fillId="0" borderId="1" xfId="14" applyFont="1" applyBorder="1" applyAlignment="1" applyProtection="1">
      <alignment horizontal="center" vertical="center" wrapText="1"/>
      <protection locked="0"/>
    </xf>
    <xf numFmtId="0" fontId="11" fillId="0" borderId="1" xfId="14" applyFont="1" applyBorder="1" applyAlignment="1" applyProtection="1">
      <alignment horizontal="center" vertical="center" wrapText="1"/>
      <protection locked="0"/>
    </xf>
    <xf numFmtId="0" fontId="9" fillId="0" borderId="1" xfId="14" applyFont="1" applyBorder="1" applyAlignment="1">
      <alignment horizontal="center" vertical="center" wrapText="1"/>
    </xf>
    <xf numFmtId="0" fontId="11" fillId="0" borderId="1" xfId="14" applyFont="1" applyBorder="1" applyAlignment="1">
      <alignment horizontal="center" vertical="center" wrapText="1"/>
    </xf>
    <xf numFmtId="0" fontId="5" fillId="0" borderId="52" xfId="2" applyFont="1" applyBorder="1" applyAlignment="1" applyProtection="1">
      <alignment horizontal="left" vertical="center" wrapText="1"/>
      <protection locked="0"/>
    </xf>
    <xf numFmtId="0" fontId="0" fillId="0" borderId="48" xfId="2" applyFont="1" applyBorder="1" applyAlignment="1">
      <alignment horizontal="left" vertical="center" wrapText="1"/>
    </xf>
    <xf numFmtId="0" fontId="14" fillId="0" borderId="36" xfId="3" applyFont="1" applyBorder="1" applyAlignment="1" applyProtection="1">
      <alignment vertical="center" wrapText="1"/>
      <protection locked="0"/>
    </xf>
    <xf numFmtId="0" fontId="16" fillId="0" borderId="17" xfId="0" applyFont="1" applyBorder="1" applyAlignment="1" applyProtection="1">
      <alignment horizontal="center" vertical="center" wrapText="1"/>
      <protection locked="0"/>
    </xf>
    <xf numFmtId="0" fontId="11" fillId="0" borderId="36" xfId="3" applyFont="1" applyBorder="1" applyAlignment="1" applyProtection="1">
      <alignment horizontal="center" vertical="center" wrapText="1"/>
      <protection locked="0"/>
    </xf>
    <xf numFmtId="0" fontId="11" fillId="0" borderId="3" xfId="0" applyFont="1" applyBorder="1" applyAlignment="1">
      <alignment horizontal="center" vertical="center" wrapText="1"/>
    </xf>
    <xf numFmtId="0" fontId="9" fillId="0" borderId="1" xfId="0" applyFont="1" applyBorder="1" applyAlignment="1">
      <alignment vertical="center" wrapText="1"/>
    </xf>
    <xf numFmtId="0" fontId="9" fillId="0" borderId="3" xfId="2" applyFont="1" applyBorder="1" applyAlignment="1" applyProtection="1">
      <alignment horizontal="center" vertical="center"/>
      <protection locked="0"/>
    </xf>
    <xf numFmtId="0" fontId="9" fillId="0" borderId="1" xfId="0" applyFont="1" applyBorder="1" applyAlignment="1">
      <alignment horizontal="left" vertical="center" wrapText="1"/>
    </xf>
    <xf numFmtId="0" fontId="9" fillId="0" borderId="3" xfId="0" applyFont="1" applyBorder="1" applyAlignment="1">
      <alignment horizontal="left" vertical="center" wrapText="1"/>
    </xf>
    <xf numFmtId="0" fontId="11" fillId="0" borderId="0" xfId="0" applyFont="1" applyAlignment="1" applyProtection="1">
      <alignment horizontal="center" vertical="center"/>
      <protection locked="0"/>
    </xf>
    <xf numFmtId="0" fontId="9" fillId="0" borderId="0" xfId="3" applyFont="1" applyAlignment="1" applyProtection="1">
      <alignment horizontal="left" vertical="center"/>
      <protection locked="0"/>
    </xf>
    <xf numFmtId="0" fontId="14" fillId="0" borderId="17" xfId="3" applyFont="1" applyBorder="1" applyAlignment="1" applyProtection="1">
      <alignment horizontal="left" vertical="center"/>
      <protection locked="0"/>
    </xf>
    <xf numFmtId="0" fontId="14" fillId="0" borderId="17" xfId="3" applyFont="1" applyBorder="1" applyAlignment="1">
      <alignment horizontal="left" vertical="center" wrapText="1"/>
    </xf>
    <xf numFmtId="0" fontId="9" fillId="0" borderId="3" xfId="2" applyFont="1" applyBorder="1" applyAlignment="1">
      <alignment horizontal="center" vertical="center"/>
    </xf>
    <xf numFmtId="0" fontId="9" fillId="0" borderId="3" xfId="0" applyFont="1" applyBorder="1" applyAlignment="1">
      <alignment horizontal="center" vertical="center"/>
    </xf>
    <xf numFmtId="0" fontId="9" fillId="0" borderId="17" xfId="2" applyFont="1" applyBorder="1" applyAlignment="1" applyProtection="1">
      <alignment horizontal="left" vertical="center"/>
      <protection locked="0"/>
    </xf>
    <xf numFmtId="0" fontId="9" fillId="0" borderId="17" xfId="2" applyFont="1" applyBorder="1" applyAlignment="1">
      <alignment horizontal="left" vertical="center"/>
    </xf>
    <xf numFmtId="0" fontId="9" fillId="0" borderId="1" xfId="2" applyFont="1" applyBorder="1" applyAlignment="1">
      <alignment horizontal="center" vertical="center"/>
    </xf>
    <xf numFmtId="0" fontId="9" fillId="0" borderId="3" xfId="2" applyFont="1" applyBorder="1" applyAlignment="1">
      <alignment horizontal="left" vertical="center" wrapText="1"/>
    </xf>
    <xf numFmtId="0" fontId="11" fillId="0" borderId="3" xfId="2" applyFont="1" applyBorder="1" applyAlignment="1">
      <alignment horizontal="center" vertical="center"/>
    </xf>
    <xf numFmtId="0" fontId="9" fillId="0" borderId="14" xfId="3" applyFont="1" applyBorder="1" applyAlignment="1">
      <alignment horizontal="center" vertical="center" wrapText="1"/>
    </xf>
    <xf numFmtId="0" fontId="9" fillId="0" borderId="18" xfId="3" applyFont="1" applyBorder="1" applyAlignment="1">
      <alignment horizontal="left" vertical="center" wrapText="1"/>
    </xf>
    <xf numFmtId="0" fontId="9" fillId="0" borderId="10" xfId="2" applyFont="1" applyBorder="1" applyAlignment="1">
      <alignment horizontal="center" vertical="center" wrapText="1"/>
    </xf>
    <xf numFmtId="0" fontId="9" fillId="0" borderId="10" xfId="3" applyFont="1" applyBorder="1" applyAlignment="1">
      <alignment horizontal="center" vertical="center" wrapText="1"/>
    </xf>
    <xf numFmtId="0" fontId="9" fillId="0" borderId="10" xfId="3" applyFont="1" applyBorder="1" applyAlignment="1">
      <alignment horizontal="left" vertical="center" wrapText="1"/>
    </xf>
    <xf numFmtId="0" fontId="9" fillId="0" borderId="12" xfId="0" applyFont="1" applyBorder="1" applyAlignment="1">
      <alignment horizontal="center" vertical="center" wrapText="1"/>
    </xf>
    <xf numFmtId="0" fontId="11" fillId="0" borderId="10" xfId="14" applyFont="1" applyBorder="1" applyAlignment="1">
      <alignment horizontal="center" vertical="center" wrapText="1"/>
    </xf>
    <xf numFmtId="0" fontId="14" fillId="0" borderId="14" xfId="3" applyFont="1" applyBorder="1" applyAlignment="1">
      <alignment horizontal="left" vertical="center" wrapText="1"/>
    </xf>
    <xf numFmtId="0" fontId="9" fillId="0" borderId="14" xfId="5" applyFont="1" applyBorder="1" applyAlignment="1">
      <alignment horizontal="center" vertical="center" wrapText="1"/>
    </xf>
    <xf numFmtId="0" fontId="9" fillId="0" borderId="14" xfId="5" applyFont="1" applyBorder="1" applyAlignment="1">
      <alignment horizontal="left" vertical="center" wrapText="1"/>
    </xf>
    <xf numFmtId="0" fontId="9" fillId="0" borderId="1" xfId="5" applyFont="1" applyBorder="1" applyAlignment="1">
      <alignment horizontal="left" vertical="center" wrapText="1"/>
    </xf>
    <xf numFmtId="0" fontId="9" fillId="0" borderId="17" xfId="3" applyFont="1" applyBorder="1" applyAlignment="1">
      <alignment horizontal="center" vertical="center" wrapText="1"/>
    </xf>
    <xf numFmtId="0" fontId="11" fillId="3" borderId="15" xfId="2" applyFont="1" applyFill="1" applyBorder="1" applyAlignment="1">
      <alignment horizontal="center" vertical="center" wrapText="1"/>
    </xf>
    <xf numFmtId="0" fontId="11" fillId="0" borderId="15" xfId="2" applyFont="1" applyBorder="1" applyAlignment="1">
      <alignment horizontal="center" vertical="center" wrapText="1"/>
    </xf>
    <xf numFmtId="0" fontId="11" fillId="0" borderId="2" xfId="2" applyFont="1" applyBorder="1" applyAlignment="1">
      <alignment horizontal="center" vertical="center" wrapText="1"/>
    </xf>
    <xf numFmtId="0" fontId="11" fillId="4" borderId="2" xfId="2" applyFont="1" applyFill="1" applyBorder="1" applyAlignment="1">
      <alignment horizontal="center" vertical="center" wrapText="1"/>
    </xf>
    <xf numFmtId="0" fontId="11" fillId="3" borderId="2" xfId="2" applyFont="1" applyFill="1" applyBorder="1" applyAlignment="1">
      <alignment horizontal="center" vertical="center" wrapText="1"/>
    </xf>
    <xf numFmtId="0" fontId="11" fillId="0" borderId="6" xfId="2" applyFont="1" applyBorder="1" applyAlignment="1">
      <alignment horizontal="center" vertical="center"/>
    </xf>
    <xf numFmtId="0" fontId="9" fillId="0" borderId="0" xfId="0" applyFont="1" applyAlignment="1" applyProtection="1">
      <alignment wrapText="1"/>
      <protection locked="0"/>
    </xf>
    <xf numFmtId="0" fontId="9" fillId="0" borderId="0" xfId="0" applyFont="1" applyAlignment="1" applyProtection="1">
      <alignment horizontal="center"/>
      <protection locked="0"/>
    </xf>
    <xf numFmtId="0" fontId="11" fillId="0" borderId="0" xfId="0" applyFont="1" applyProtection="1">
      <protection locked="0"/>
    </xf>
    <xf numFmtId="0" fontId="11" fillId="0" borderId="32" xfId="0" applyFont="1" applyBorder="1" applyProtection="1">
      <protection locked="0"/>
    </xf>
    <xf numFmtId="0" fontId="11" fillId="0" borderId="31" xfId="0" applyFont="1" applyBorder="1" applyAlignment="1" applyProtection="1">
      <alignment wrapText="1"/>
      <protection locked="0"/>
    </xf>
    <xf numFmtId="0" fontId="11" fillId="0" borderId="4" xfId="14" applyFont="1" applyBorder="1" applyAlignment="1">
      <alignment horizontal="center" vertical="center" wrapText="1"/>
    </xf>
    <xf numFmtId="0" fontId="9" fillId="0" borderId="0" xfId="3" applyFont="1" applyAlignment="1" applyProtection="1">
      <alignment wrapText="1"/>
      <protection locked="0"/>
    </xf>
    <xf numFmtId="0" fontId="11" fillId="0" borderId="13" xfId="14" applyFont="1" applyBorder="1" applyAlignment="1">
      <alignment horizontal="center" vertical="center" wrapText="1"/>
    </xf>
    <xf numFmtId="0" fontId="11" fillId="0" borderId="3" xfId="14" applyFont="1" applyBorder="1" applyAlignment="1">
      <alignment horizontal="center" vertical="center" wrapText="1"/>
    </xf>
    <xf numFmtId="0" fontId="11" fillId="6" borderId="1" xfId="14" applyFont="1" applyFill="1" applyBorder="1" applyAlignment="1" applyProtection="1">
      <alignment horizontal="center" vertical="center" wrapText="1"/>
      <protection locked="0"/>
    </xf>
    <xf numFmtId="0" fontId="11" fillId="0" borderId="2" xfId="14" applyFont="1" applyBorder="1" applyAlignment="1">
      <alignment horizontal="center" vertical="center" wrapText="1"/>
    </xf>
    <xf numFmtId="0" fontId="11" fillId="6" borderId="2" xfId="14" applyFont="1" applyFill="1" applyBorder="1" applyAlignment="1" applyProtection="1">
      <alignment horizontal="center" vertical="center" wrapText="1"/>
      <protection locked="0"/>
    </xf>
    <xf numFmtId="0" fontId="9" fillId="6" borderId="2" xfId="14" applyFont="1" applyFill="1" applyBorder="1" applyAlignment="1" applyProtection="1">
      <alignment horizontal="center" vertical="center" wrapText="1"/>
      <protection locked="0"/>
    </xf>
    <xf numFmtId="0" fontId="11" fillId="0" borderId="1" xfId="2" applyFont="1" applyBorder="1" applyAlignment="1" applyProtection="1">
      <alignment horizontal="center" vertical="center" wrapText="1"/>
      <protection locked="0"/>
    </xf>
    <xf numFmtId="0" fontId="12" fillId="0" borderId="0" xfId="3" applyFont="1" applyProtection="1">
      <protection locked="0"/>
    </xf>
    <xf numFmtId="0" fontId="9" fillId="6" borderId="1" xfId="14" applyFont="1" applyFill="1" applyBorder="1" applyAlignment="1" applyProtection="1">
      <alignment horizontal="center" vertical="center" wrapText="1"/>
      <protection locked="0"/>
    </xf>
    <xf numFmtId="0" fontId="9" fillId="0" borderId="3" xfId="14" applyFont="1" applyBorder="1" applyAlignment="1">
      <alignment horizontal="center" vertical="center" wrapText="1"/>
    </xf>
    <xf numFmtId="0" fontId="15" fillId="0" borderId="2" xfId="3" applyFont="1" applyBorder="1" applyAlignment="1" applyProtection="1">
      <alignment vertical="center" wrapText="1"/>
      <protection locked="0"/>
    </xf>
    <xf numFmtId="0" fontId="29" fillId="4" borderId="3" xfId="14" applyFont="1" applyFill="1" applyBorder="1" applyAlignment="1" applyProtection="1">
      <alignment horizontal="center" vertical="center" wrapText="1"/>
      <protection locked="0"/>
    </xf>
    <xf numFmtId="0" fontId="11" fillId="0" borderId="3" xfId="14" applyFont="1" applyBorder="1" applyAlignment="1">
      <alignment horizontal="center" vertical="center"/>
    </xf>
    <xf numFmtId="0" fontId="11" fillId="0" borderId="0" xfId="0" applyFont="1" applyAlignment="1" applyProtection="1">
      <alignment horizontal="center" vertical="center" wrapText="1"/>
      <protection locked="0"/>
    </xf>
    <xf numFmtId="0" fontId="9" fillId="0" borderId="29" xfId="3" applyFont="1" applyBorder="1" applyAlignment="1" applyProtection="1">
      <alignment horizontal="center" vertical="center" wrapText="1"/>
      <protection locked="0"/>
    </xf>
    <xf numFmtId="0" fontId="9" fillId="0" borderId="20" xfId="3" applyFont="1" applyBorder="1" applyAlignment="1">
      <alignment horizontal="center" vertical="center" wrapText="1"/>
    </xf>
    <xf numFmtId="0" fontId="28" fillId="0" borderId="36" xfId="3" applyFont="1" applyBorder="1" applyAlignment="1" applyProtection="1">
      <alignment horizontal="left" vertical="center" wrapText="1"/>
      <protection locked="0"/>
    </xf>
    <xf numFmtId="0" fontId="28" fillId="0" borderId="17" xfId="3" applyFont="1" applyBorder="1" applyAlignment="1" applyProtection="1">
      <alignment horizontal="left" vertical="center" wrapText="1"/>
      <protection locked="0"/>
    </xf>
    <xf numFmtId="0" fontId="30" fillId="0" borderId="14" xfId="3" applyFont="1" applyBorder="1" applyAlignment="1" applyProtection="1">
      <alignment horizontal="left" vertical="center" wrapText="1"/>
      <protection locked="0"/>
    </xf>
    <xf numFmtId="0" fontId="30" fillId="0" borderId="1" xfId="2" applyFont="1" applyBorder="1" applyAlignment="1" applyProtection="1">
      <alignment horizontal="center" vertical="center" wrapText="1"/>
      <protection locked="0"/>
    </xf>
    <xf numFmtId="0" fontId="30" fillId="0" borderId="3" xfId="2" applyFont="1" applyBorder="1" applyAlignment="1" applyProtection="1">
      <alignment horizontal="center" vertical="center" wrapText="1"/>
      <protection locked="0"/>
    </xf>
    <xf numFmtId="49" fontId="30" fillId="0" borderId="60" xfId="0" applyNumberFormat="1" applyFont="1" applyBorder="1" applyAlignment="1" applyProtection="1">
      <alignment horizontal="left" vertical="center" wrapText="1"/>
      <protection locked="0"/>
    </xf>
    <xf numFmtId="0" fontId="30" fillId="0" borderId="3" xfId="0" applyFont="1" applyBorder="1" applyAlignment="1" applyProtection="1">
      <alignment horizontal="center" vertical="center" wrapText="1"/>
      <protection locked="0"/>
    </xf>
    <xf numFmtId="0" fontId="29" fillId="0" borderId="3" xfId="0" applyFont="1" applyBorder="1" applyAlignment="1" applyProtection="1">
      <alignment horizontal="center" vertical="center" wrapText="1"/>
      <protection locked="0"/>
    </xf>
    <xf numFmtId="0" fontId="28" fillId="0" borderId="6" xfId="2" applyFont="1" applyBorder="1" applyAlignment="1" applyProtection="1">
      <alignment horizontal="center" vertical="center"/>
      <protection locked="0"/>
    </xf>
    <xf numFmtId="0" fontId="9" fillId="0" borderId="20" xfId="0" applyFont="1" applyBorder="1" applyAlignment="1" applyProtection="1">
      <alignment horizontal="left" vertical="center" wrapText="1"/>
      <protection locked="0"/>
    </xf>
    <xf numFmtId="0" fontId="11" fillId="0" borderId="3" xfId="14" applyFont="1" applyBorder="1" applyAlignment="1" applyProtection="1">
      <alignment horizontal="center" vertical="center" wrapText="1"/>
      <protection locked="0"/>
    </xf>
    <xf numFmtId="0" fontId="11" fillId="0" borderId="2" xfId="14" applyFont="1" applyBorder="1" applyAlignment="1" applyProtection="1">
      <alignment horizontal="center" vertical="center" wrapText="1"/>
      <protection locked="0"/>
    </xf>
    <xf numFmtId="0" fontId="9" fillId="0" borderId="60" xfId="2" applyFont="1" applyBorder="1" applyAlignment="1" applyProtection="1">
      <alignment horizontal="left" vertical="center" wrapText="1"/>
      <protection locked="0"/>
    </xf>
    <xf numFmtId="0" fontId="9" fillId="0" borderId="3" xfId="14" applyFont="1" applyBorder="1" applyAlignment="1" applyProtection="1">
      <alignment horizontal="center" vertical="center" wrapText="1"/>
      <protection locked="0"/>
    </xf>
    <xf numFmtId="0" fontId="9" fillId="0" borderId="17" xfId="3" applyFont="1" applyBorder="1" applyAlignment="1" applyProtection="1">
      <alignment vertical="center" wrapText="1"/>
      <protection locked="0"/>
    </xf>
    <xf numFmtId="0" fontId="9" fillId="0" borderId="2" xfId="14" applyFont="1" applyBorder="1" applyAlignment="1" applyProtection="1">
      <alignment horizontal="center" vertical="center" wrapText="1"/>
      <protection locked="0"/>
    </xf>
    <xf numFmtId="9" fontId="20" fillId="0" borderId="0" xfId="11" applyFont="1" applyAlignment="1">
      <alignment horizontal="center" vertical="center"/>
    </xf>
    <xf numFmtId="0" fontId="23" fillId="3" borderId="4" xfId="2" applyFont="1" applyFill="1" applyBorder="1" applyAlignment="1">
      <alignment horizontal="center" vertical="center" wrapText="1"/>
    </xf>
    <xf numFmtId="0" fontId="23" fillId="3" borderId="33" xfId="2" applyFont="1" applyFill="1" applyBorder="1" applyAlignment="1">
      <alignment horizontal="center" vertical="center" wrapText="1"/>
    </xf>
    <xf numFmtId="164" fontId="20" fillId="0" borderId="0" xfId="0" applyNumberFormat="1" applyFont="1" applyAlignment="1">
      <alignment horizontal="center" vertical="center"/>
    </xf>
    <xf numFmtId="164" fontId="20" fillId="0" borderId="0" xfId="0" applyNumberFormat="1" applyFont="1" applyAlignment="1" applyProtection="1">
      <alignment horizontal="center" vertical="center"/>
      <protection locked="0"/>
    </xf>
    <xf numFmtId="9" fontId="20" fillId="0" borderId="0" xfId="11" applyFont="1" applyAlignment="1" applyProtection="1">
      <alignment horizontal="center" vertical="center"/>
      <protection locked="0"/>
    </xf>
    <xf numFmtId="0" fontId="20" fillId="0" borderId="0" xfId="0" applyFont="1" applyAlignment="1" applyProtection="1">
      <alignment horizontal="center" vertical="center"/>
      <protection locked="0"/>
    </xf>
    <xf numFmtId="164" fontId="20" fillId="0" borderId="0" xfId="0" applyNumberFormat="1" applyFont="1" applyAlignment="1">
      <alignment horizontal="center" vertical="center" wrapText="1"/>
    </xf>
    <xf numFmtId="164" fontId="20" fillId="0" borderId="0" xfId="0" applyNumberFormat="1" applyFont="1" applyAlignment="1" applyProtection="1">
      <alignment horizontal="center" vertical="center" wrapText="1"/>
      <protection locked="0"/>
    </xf>
    <xf numFmtId="164" fontId="20" fillId="0" borderId="0" xfId="0" applyNumberFormat="1" applyFont="1" applyAlignment="1">
      <alignment horizontal="right" vertical="center"/>
    </xf>
    <xf numFmtId="0" fontId="9" fillId="0" borderId="62" xfId="3" applyFont="1" applyBorder="1" applyAlignment="1" applyProtection="1">
      <alignment horizontal="left" vertical="center" wrapText="1"/>
      <protection locked="0"/>
    </xf>
    <xf numFmtId="0" fontId="31" fillId="4" borderId="7" xfId="2" applyFont="1" applyFill="1" applyBorder="1" applyAlignment="1" applyProtection="1">
      <alignment horizontal="center" vertical="center" wrapText="1"/>
      <protection locked="0"/>
    </xf>
    <xf numFmtId="0" fontId="31" fillId="4" borderId="17" xfId="3" applyFont="1" applyFill="1" applyBorder="1" applyAlignment="1" applyProtection="1">
      <alignment horizontal="left" vertical="center" wrapText="1"/>
      <protection locked="0"/>
    </xf>
    <xf numFmtId="0" fontId="31" fillId="4" borderId="49" xfId="3" applyFont="1" applyFill="1" applyBorder="1" applyAlignment="1" applyProtection="1">
      <alignment horizontal="left" vertical="center" wrapText="1"/>
      <protection locked="0"/>
    </xf>
    <xf numFmtId="164" fontId="33" fillId="0" borderId="0" xfId="0" applyNumberFormat="1" applyFont="1" applyAlignment="1" applyProtection="1">
      <alignment horizontal="center" vertical="center" wrapText="1"/>
      <protection locked="0"/>
    </xf>
    <xf numFmtId="9" fontId="33" fillId="0" borderId="0" xfId="11" applyFont="1" applyAlignment="1">
      <alignment horizontal="center" vertical="center"/>
    </xf>
    <xf numFmtId="164" fontId="33" fillId="0" borderId="0" xfId="0" applyNumberFormat="1" applyFont="1" applyAlignment="1">
      <alignment horizontal="center" vertical="center"/>
    </xf>
    <xf numFmtId="0" fontId="31" fillId="0" borderId="0" xfId="0" applyFont="1" applyAlignment="1" applyProtection="1">
      <alignment horizontal="center" vertical="center" wrapText="1"/>
      <protection locked="0"/>
    </xf>
    <xf numFmtId="0" fontId="31" fillId="0" borderId="0" xfId="3" applyFont="1" applyAlignment="1" applyProtection="1">
      <alignment wrapText="1"/>
      <protection locked="0"/>
    </xf>
    <xf numFmtId="0" fontId="32" fillId="0" borderId="0" xfId="3" applyFont="1" applyAlignment="1" applyProtection="1">
      <alignment horizontal="center" vertical="center" wrapText="1"/>
      <protection locked="0"/>
    </xf>
    <xf numFmtId="0" fontId="31" fillId="0" borderId="0" xfId="0" applyFont="1" applyAlignment="1" applyProtection="1">
      <alignment wrapText="1"/>
      <protection locked="0"/>
    </xf>
    <xf numFmtId="0" fontId="31" fillId="4" borderId="7" xfId="2" applyFont="1" applyFill="1" applyBorder="1" applyAlignment="1" applyProtection="1">
      <alignment horizontal="center" vertical="center"/>
      <protection locked="0"/>
    </xf>
    <xf numFmtId="0" fontId="31" fillId="0" borderId="0" xfId="0" applyFont="1" applyAlignment="1" applyProtection="1">
      <alignment horizontal="center" vertical="center"/>
      <protection locked="0"/>
    </xf>
    <xf numFmtId="0" fontId="31" fillId="0" borderId="0" xfId="3" applyFont="1" applyProtection="1">
      <protection locked="0"/>
    </xf>
    <xf numFmtId="0" fontId="31" fillId="0" borderId="0" xfId="0" applyFont="1" applyProtection="1">
      <protection locked="0"/>
    </xf>
    <xf numFmtId="0" fontId="32" fillId="4" borderId="1" xfId="0" applyFont="1" applyFill="1" applyBorder="1" applyAlignment="1">
      <alignment horizontal="center" vertical="center" wrapText="1"/>
    </xf>
    <xf numFmtId="0" fontId="31" fillId="4" borderId="1" xfId="0" applyFont="1" applyFill="1" applyBorder="1" applyAlignment="1">
      <alignment horizontal="center" vertical="center" wrapText="1"/>
    </xf>
    <xf numFmtId="49" fontId="31" fillId="4" borderId="38" xfId="0" applyNumberFormat="1" applyFont="1" applyFill="1" applyBorder="1" applyAlignment="1">
      <alignment horizontal="left" vertical="center" wrapText="1"/>
    </xf>
    <xf numFmtId="0" fontId="31" fillId="4" borderId="3" xfId="2" applyFont="1" applyFill="1" applyBorder="1" applyAlignment="1">
      <alignment horizontal="center" vertical="center" wrapText="1"/>
    </xf>
    <xf numFmtId="0" fontId="31" fillId="4" borderId="14" xfId="3" applyFont="1" applyFill="1" applyBorder="1" applyAlignment="1">
      <alignment horizontal="left" vertical="center" wrapText="1"/>
    </xf>
    <xf numFmtId="0" fontId="31" fillId="4" borderId="17" xfId="3" applyFont="1" applyFill="1" applyBorder="1" applyAlignment="1">
      <alignment horizontal="left" vertical="center" wrapText="1"/>
    </xf>
    <xf numFmtId="0" fontId="31" fillId="4" borderId="36" xfId="3" applyFont="1" applyFill="1" applyBorder="1" applyAlignment="1" applyProtection="1">
      <alignment horizontal="left" vertical="center" wrapText="1"/>
      <protection locked="0"/>
    </xf>
    <xf numFmtId="0" fontId="31" fillId="4" borderId="1" xfId="2" applyFont="1" applyFill="1" applyBorder="1" applyAlignment="1">
      <alignment horizontal="center" vertical="center" wrapText="1"/>
    </xf>
    <xf numFmtId="0" fontId="32" fillId="0" borderId="3" xfId="14" applyFont="1" applyBorder="1" applyAlignment="1">
      <alignment horizontal="center" vertical="center" wrapText="1"/>
    </xf>
    <xf numFmtId="0" fontId="31" fillId="0" borderId="3" xfId="14" applyFont="1" applyBorder="1" applyAlignment="1">
      <alignment horizontal="center" vertical="center" wrapText="1"/>
    </xf>
    <xf numFmtId="49" fontId="31" fillId="0" borderId="38" xfId="0" applyNumberFormat="1" applyFont="1" applyBorder="1" applyAlignment="1">
      <alignment vertical="center" wrapText="1"/>
    </xf>
    <xf numFmtId="0" fontId="31" fillId="0" borderId="1" xfId="2" applyFont="1" applyBorder="1" applyAlignment="1">
      <alignment horizontal="center" vertical="center" wrapText="1"/>
    </xf>
    <xf numFmtId="0" fontId="31" fillId="0" borderId="1" xfId="3" applyFont="1" applyBorder="1" applyAlignment="1">
      <alignment horizontal="center" vertical="center" wrapText="1"/>
    </xf>
    <xf numFmtId="0" fontId="31" fillId="0" borderId="17" xfId="3" applyFont="1" applyBorder="1" applyAlignment="1">
      <alignment horizontal="left" vertical="center" wrapText="1"/>
    </xf>
    <xf numFmtId="0" fontId="31" fillId="0" borderId="17" xfId="3" applyFont="1" applyBorder="1" applyAlignment="1" applyProtection="1">
      <alignment horizontal="left" vertical="center" wrapText="1"/>
      <protection locked="0"/>
    </xf>
    <xf numFmtId="0" fontId="31" fillId="0" borderId="36" xfId="3" applyFont="1" applyBorder="1" applyAlignment="1" applyProtection="1">
      <alignment horizontal="left" vertical="center" wrapText="1"/>
      <protection locked="0"/>
    </xf>
    <xf numFmtId="0" fontId="31" fillId="0" borderId="1" xfId="3" applyFont="1" applyBorder="1" applyAlignment="1">
      <alignment horizontal="left" vertical="center" wrapText="1"/>
    </xf>
    <xf numFmtId="0" fontId="31" fillId="0" borderId="14" xfId="3" applyFont="1" applyBorder="1" applyAlignment="1" applyProtection="1">
      <alignment horizontal="left" vertical="center" wrapText="1"/>
      <protection locked="0"/>
    </xf>
    <xf numFmtId="0" fontId="32" fillId="4" borderId="3" xfId="14" applyFont="1" applyFill="1" applyBorder="1" applyAlignment="1">
      <alignment horizontal="center" vertical="center" wrapText="1"/>
    </xf>
    <xf numFmtId="0" fontId="31" fillId="4" borderId="3" xfId="14" applyFont="1" applyFill="1" applyBorder="1" applyAlignment="1">
      <alignment horizontal="center" vertical="center" wrapText="1"/>
    </xf>
    <xf numFmtId="49" fontId="31" fillId="4" borderId="38" xfId="0" applyNumberFormat="1" applyFont="1" applyFill="1" applyBorder="1" applyAlignment="1">
      <alignment vertical="center" wrapText="1"/>
    </xf>
    <xf numFmtId="0" fontId="31" fillId="4" borderId="1" xfId="3" applyFont="1" applyFill="1" applyBorder="1" applyAlignment="1">
      <alignment horizontal="center" vertical="center" wrapText="1"/>
    </xf>
    <xf numFmtId="0" fontId="31" fillId="4" borderId="17" xfId="0" applyFont="1" applyFill="1" applyBorder="1" applyAlignment="1">
      <alignment horizontal="left" vertical="center" wrapText="1"/>
    </xf>
    <xf numFmtId="0" fontId="31" fillId="4" borderId="17" xfId="0" applyFont="1" applyFill="1" applyBorder="1" applyAlignment="1" applyProtection="1">
      <alignment horizontal="left" vertical="center" wrapText="1"/>
      <protection locked="0"/>
    </xf>
    <xf numFmtId="0" fontId="31" fillId="4" borderId="1" xfId="3" applyFont="1" applyFill="1" applyBorder="1" applyAlignment="1">
      <alignment horizontal="left" vertical="center" wrapText="1"/>
    </xf>
    <xf numFmtId="0" fontId="31" fillId="4" borderId="14" xfId="3" applyFont="1" applyFill="1" applyBorder="1" applyAlignment="1" applyProtection="1">
      <alignment horizontal="left" vertical="center" wrapText="1"/>
      <protection locked="0"/>
    </xf>
    <xf numFmtId="0" fontId="5" fillId="0" borderId="48" xfId="2" applyFont="1" applyBorder="1" applyAlignment="1" applyProtection="1">
      <alignment horizontal="left" vertical="center" wrapText="1"/>
      <protection locked="0"/>
    </xf>
    <xf numFmtId="0" fontId="24" fillId="0" borderId="1" xfId="0" applyFont="1" applyBorder="1" applyAlignment="1">
      <alignment horizontal="center" vertical="center"/>
    </xf>
    <xf numFmtId="0" fontId="8" fillId="0" borderId="1" xfId="0" applyFont="1" applyBorder="1" applyAlignment="1">
      <alignment horizontal="center"/>
    </xf>
    <xf numFmtId="0" fontId="8" fillId="0" borderId="25" xfId="0" applyFont="1" applyBorder="1"/>
    <xf numFmtId="0" fontId="24" fillId="0" borderId="1" xfId="0" applyFont="1" applyBorder="1" applyAlignment="1">
      <alignment horizontal="center" vertical="center" wrapText="1"/>
    </xf>
    <xf numFmtId="0" fontId="8" fillId="0" borderId="26" xfId="0" applyFont="1" applyBorder="1"/>
    <xf numFmtId="0" fontId="8" fillId="0" borderId="22" xfId="0" applyFont="1" applyBorder="1"/>
    <xf numFmtId="0" fontId="9" fillId="4" borderId="8" xfId="2" applyFont="1" applyFill="1" applyBorder="1" applyAlignment="1" applyProtection="1">
      <alignment horizontal="center" vertical="center"/>
      <protection locked="0"/>
    </xf>
    <xf numFmtId="0" fontId="20" fillId="0" borderId="0" xfId="0" applyFont="1" applyAlignment="1" applyProtection="1">
      <alignment horizontal="right" vertical="center"/>
      <protection locked="0"/>
    </xf>
    <xf numFmtId="9" fontId="20" fillId="0" borderId="0" xfId="11" applyFont="1" applyAlignment="1" applyProtection="1">
      <alignment horizontal="right" vertical="center"/>
      <protection locked="0"/>
    </xf>
    <xf numFmtId="9" fontId="23" fillId="0" borderId="32" xfId="11" applyFont="1" applyBorder="1" applyAlignment="1" applyProtection="1">
      <alignment horizontal="right" vertical="center"/>
      <protection locked="0"/>
    </xf>
    <xf numFmtId="0" fontId="23" fillId="0" borderId="32" xfId="0" applyFont="1" applyBorder="1" applyAlignment="1" applyProtection="1">
      <alignment horizontal="right" vertical="center"/>
      <protection locked="0"/>
    </xf>
    <xf numFmtId="9" fontId="23" fillId="0" borderId="65" xfId="11" applyFont="1" applyBorder="1" applyAlignment="1" applyProtection="1">
      <alignment horizontal="right" vertical="center"/>
      <protection locked="0"/>
    </xf>
    <xf numFmtId="0" fontId="23" fillId="0" borderId="65" xfId="0" applyFont="1" applyBorder="1" applyAlignment="1" applyProtection="1">
      <alignment horizontal="right" vertical="center"/>
      <protection locked="0"/>
    </xf>
    <xf numFmtId="0" fontId="11" fillId="0" borderId="65" xfId="0" applyFont="1" applyBorder="1" applyProtection="1">
      <protection locked="0"/>
    </xf>
    <xf numFmtId="0" fontId="11" fillId="0" borderId="66" xfId="0" applyFont="1" applyBorder="1" applyAlignment="1" applyProtection="1">
      <alignment wrapText="1"/>
      <protection locked="0"/>
    </xf>
    <xf numFmtId="164" fontId="20" fillId="0" borderId="0" xfId="0" applyNumberFormat="1" applyFont="1" applyAlignment="1" applyProtection="1">
      <alignment horizontal="right" vertical="center"/>
      <protection locked="0"/>
    </xf>
    <xf numFmtId="0" fontId="9" fillId="0" borderId="5" xfId="2" applyFont="1" applyBorder="1" applyAlignment="1" applyProtection="1">
      <alignment horizontal="center" vertical="center"/>
      <protection locked="0"/>
    </xf>
    <xf numFmtId="0" fontId="9" fillId="0" borderId="6" xfId="2" applyFont="1" applyBorder="1" applyAlignment="1" applyProtection="1">
      <alignment horizontal="center" vertical="center" wrapText="1"/>
      <protection locked="0"/>
    </xf>
    <xf numFmtId="0" fontId="31" fillId="4" borderId="8" xfId="2" applyFont="1" applyFill="1" applyBorder="1" applyAlignment="1" applyProtection="1">
      <alignment horizontal="center" vertical="center"/>
      <protection locked="0"/>
    </xf>
    <xf numFmtId="9" fontId="33" fillId="0" borderId="0" xfId="11" applyFont="1" applyAlignment="1" applyProtection="1">
      <alignment horizontal="center" vertical="center"/>
      <protection locked="0"/>
    </xf>
    <xf numFmtId="0" fontId="9" fillId="0" borderId="7" xfId="2" applyFont="1" applyBorder="1" applyAlignment="1" applyProtection="1">
      <alignment horizontal="center" vertical="center" wrapText="1"/>
      <protection locked="0"/>
    </xf>
    <xf numFmtId="0" fontId="9" fillId="0" borderId="19" xfId="2" applyFont="1" applyBorder="1" applyAlignment="1" applyProtection="1">
      <alignment horizontal="center" vertical="center"/>
      <protection locked="0"/>
    </xf>
    <xf numFmtId="0" fontId="11" fillId="0" borderId="0" xfId="3" applyFont="1" applyProtection="1">
      <protection locked="0"/>
    </xf>
    <xf numFmtId="0" fontId="16" fillId="0" borderId="49" xfId="3" applyFont="1" applyBorder="1" applyAlignment="1" applyProtection="1">
      <alignment horizontal="center" vertical="center" wrapText="1"/>
      <protection locked="0"/>
    </xf>
    <xf numFmtId="0" fontId="31" fillId="0" borderId="7" xfId="2" applyFont="1" applyBorder="1" applyAlignment="1" applyProtection="1">
      <alignment horizontal="center" vertical="center"/>
      <protection locked="0"/>
    </xf>
    <xf numFmtId="0" fontId="9" fillId="0" borderId="43" xfId="2" applyFont="1" applyBorder="1" applyAlignment="1" applyProtection="1">
      <alignment horizontal="center" vertical="center"/>
      <protection locked="0"/>
    </xf>
    <xf numFmtId="0" fontId="9" fillId="0" borderId="9" xfId="2" applyFont="1" applyBorder="1" applyAlignment="1" applyProtection="1">
      <alignment horizontal="center" vertical="center"/>
      <protection locked="0"/>
    </xf>
    <xf numFmtId="0" fontId="11" fillId="3" borderId="28" xfId="0" applyFont="1" applyFill="1" applyBorder="1" applyAlignment="1" applyProtection="1">
      <alignment horizontal="center" vertical="center" wrapText="1"/>
      <protection locked="0"/>
    </xf>
    <xf numFmtId="0" fontId="16" fillId="6" borderId="2" xfId="3" applyFont="1" applyFill="1" applyBorder="1" applyAlignment="1" applyProtection="1">
      <alignment vertical="center" wrapText="1"/>
      <protection locked="0"/>
    </xf>
    <xf numFmtId="0" fontId="16" fillId="6" borderId="15" xfId="3" applyFont="1" applyFill="1" applyBorder="1" applyAlignment="1" applyProtection="1">
      <alignment vertical="center" wrapText="1"/>
      <protection locked="0"/>
    </xf>
    <xf numFmtId="0" fontId="11" fillId="0" borderId="1" xfId="7" applyFont="1" applyFill="1" applyBorder="1" applyAlignment="1">
      <alignment horizontal="center" vertical="center"/>
    </xf>
    <xf numFmtId="0" fontId="9" fillId="0" borderId="6" xfId="2" applyFont="1" applyBorder="1" applyAlignment="1">
      <alignment horizontal="center" vertical="center"/>
    </xf>
    <xf numFmtId="0" fontId="22" fillId="0" borderId="1" xfId="2" applyFont="1" applyBorder="1" applyAlignment="1">
      <alignment horizontal="center" vertical="center" wrapText="1"/>
    </xf>
    <xf numFmtId="0" fontId="9" fillId="0" borderId="67" xfId="0" applyFont="1" applyBorder="1" applyAlignment="1" applyProtection="1">
      <alignment horizontal="left" vertical="center" wrapText="1"/>
      <protection locked="0"/>
    </xf>
    <xf numFmtId="0" fontId="9" fillId="6" borderId="67" xfId="3" applyFont="1" applyFill="1" applyBorder="1" applyAlignment="1" applyProtection="1">
      <alignment horizontal="left" vertical="center" wrapText="1"/>
      <protection locked="0"/>
    </xf>
    <xf numFmtId="49" fontId="30" fillId="0" borderId="38" xfId="0" applyNumberFormat="1" applyFont="1" applyBorder="1" applyAlignment="1">
      <alignment vertical="center" wrapText="1"/>
    </xf>
    <xf numFmtId="9" fontId="37" fillId="0" borderId="0" xfId="11" applyFont="1" applyAlignment="1" applyProtection="1">
      <alignment horizontal="center" vertical="center"/>
      <protection locked="0"/>
    </xf>
    <xf numFmtId="0" fontId="34" fillId="0" borderId="7" xfId="2" applyFont="1" applyBorder="1" applyAlignment="1" applyProtection="1">
      <alignment horizontal="center" vertical="center"/>
      <protection locked="0"/>
    </xf>
    <xf numFmtId="0" fontId="34" fillId="0" borderId="17" xfId="2" applyFont="1" applyBorder="1" applyAlignment="1" applyProtection="1">
      <alignment horizontal="center" vertical="center"/>
      <protection locked="0"/>
    </xf>
    <xf numFmtId="0" fontId="34" fillId="0" borderId="49" xfId="3" applyFont="1" applyBorder="1" applyAlignment="1" applyProtection="1">
      <alignment horizontal="left" vertical="center" wrapText="1"/>
      <protection locked="0"/>
    </xf>
    <xf numFmtId="0" fontId="34" fillId="0" borderId="0" xfId="0" applyFont="1" applyAlignment="1" applyProtection="1">
      <alignment horizontal="center" vertical="center"/>
      <protection locked="0"/>
    </xf>
    <xf numFmtId="0" fontId="34" fillId="0" borderId="0" xfId="3" applyFont="1" applyProtection="1">
      <protection locked="0"/>
    </xf>
    <xf numFmtId="0" fontId="34" fillId="0" borderId="0" xfId="0" applyFont="1" applyProtection="1">
      <protection locked="0"/>
    </xf>
    <xf numFmtId="0" fontId="22" fillId="0" borderId="3" xfId="0" applyFont="1" applyBorder="1" applyAlignment="1">
      <alignment horizontal="center" vertical="center" wrapText="1"/>
    </xf>
    <xf numFmtId="0" fontId="8" fillId="0" borderId="1" xfId="3" applyFont="1" applyBorder="1" applyAlignment="1">
      <alignment vertical="top" wrapText="1"/>
    </xf>
    <xf numFmtId="0" fontId="9" fillId="11" borderId="3" xfId="0" applyFont="1" applyFill="1" applyBorder="1" applyAlignment="1" applyProtection="1">
      <alignment horizontal="center" vertical="center" wrapText="1"/>
      <protection locked="0"/>
    </xf>
    <xf numFmtId="0" fontId="9" fillId="6" borderId="48" xfId="3" applyFont="1" applyFill="1" applyBorder="1" applyAlignment="1" applyProtection="1">
      <alignment horizontal="left" vertical="center" wrapText="1"/>
      <protection locked="0"/>
    </xf>
    <xf numFmtId="0" fontId="16" fillId="8" borderId="35" xfId="3" applyFont="1" applyFill="1" applyBorder="1" applyAlignment="1" applyProtection="1">
      <alignment horizontal="left" vertical="center" wrapText="1"/>
      <protection locked="0"/>
    </xf>
    <xf numFmtId="49" fontId="30" fillId="0" borderId="38" xfId="0" applyNumberFormat="1" applyFont="1" applyBorder="1" applyAlignment="1">
      <alignment horizontal="left" vertical="center" wrapText="1"/>
    </xf>
    <xf numFmtId="0" fontId="9" fillId="6" borderId="2" xfId="0" applyFont="1" applyFill="1" applyBorder="1" applyAlignment="1" applyProtection="1">
      <alignment horizontal="center" vertical="center" wrapText="1"/>
      <protection locked="0"/>
    </xf>
    <xf numFmtId="0" fontId="8" fillId="0" borderId="48" xfId="2" applyFont="1" applyBorder="1" applyAlignment="1">
      <alignment horizontal="left" vertical="center" wrapText="1"/>
    </xf>
    <xf numFmtId="0" fontId="9" fillId="0" borderId="67" xfId="3" applyFont="1" applyBorder="1" applyAlignment="1" applyProtection="1">
      <alignment horizontal="center" vertical="center" wrapText="1"/>
      <protection locked="0"/>
    </xf>
    <xf numFmtId="9" fontId="20" fillId="0" borderId="0" xfId="11" applyFont="1" applyAlignment="1">
      <alignment horizontal="center" vertical="center" wrapText="1"/>
    </xf>
    <xf numFmtId="0" fontId="16" fillId="0" borderId="36" xfId="3" applyFont="1" applyBorder="1" applyAlignment="1" applyProtection="1">
      <alignment horizontal="left" vertical="center" wrapText="1"/>
      <protection locked="0"/>
    </xf>
    <xf numFmtId="0" fontId="17" fillId="0" borderId="17" xfId="3" applyFont="1" applyBorder="1" applyAlignment="1">
      <alignment horizontal="center" vertical="center" wrapText="1"/>
    </xf>
    <xf numFmtId="0" fontId="38" fillId="0" borderId="3" xfId="2" applyFont="1" applyBorder="1" applyAlignment="1">
      <alignment horizontal="center" vertical="center"/>
    </xf>
    <xf numFmtId="0" fontId="34" fillId="0" borderId="3" xfId="2" applyFont="1" applyBorder="1" applyAlignment="1">
      <alignment horizontal="center" vertical="center"/>
    </xf>
    <xf numFmtId="0" fontId="34" fillId="0" borderId="48" xfId="0" applyFont="1" applyBorder="1" applyAlignment="1">
      <alignment wrapText="1"/>
    </xf>
    <xf numFmtId="0" fontId="34" fillId="0" borderId="17" xfId="2" applyFont="1" applyBorder="1" applyAlignment="1">
      <alignment horizontal="left" vertical="center" wrapText="1"/>
    </xf>
    <xf numFmtId="0" fontId="36" fillId="0" borderId="17" xfId="3" applyFont="1" applyBorder="1" applyAlignment="1">
      <alignment horizontal="left" vertical="center" wrapText="1"/>
    </xf>
    <xf numFmtId="0" fontId="9" fillId="0" borderId="2" xfId="0" applyFont="1" applyBorder="1" applyAlignment="1">
      <alignment horizontal="left" vertical="center" wrapText="1"/>
    </xf>
    <xf numFmtId="0" fontId="15" fillId="0" borderId="14" xfId="3" applyFont="1" applyBorder="1" applyAlignment="1">
      <alignment horizontal="left" vertical="center" wrapText="1"/>
    </xf>
    <xf numFmtId="0" fontId="39" fillId="0" borderId="1" xfId="2" applyFont="1" applyBorder="1" applyAlignment="1">
      <alignment horizontal="center" vertical="center" wrapText="1"/>
    </xf>
    <xf numFmtId="0" fontId="9" fillId="0" borderId="2" xfId="14" applyFont="1" applyBorder="1" applyAlignment="1">
      <alignment horizontal="center" vertical="center" wrapText="1"/>
    </xf>
    <xf numFmtId="0" fontId="9" fillId="0" borderId="2" xfId="3" applyFont="1" applyBorder="1" applyAlignment="1">
      <alignment horizontal="center" vertical="center" wrapText="1"/>
    </xf>
    <xf numFmtId="0" fontId="9" fillId="0" borderId="15" xfId="3" applyFont="1" applyBorder="1" applyAlignment="1">
      <alignment horizontal="left" vertical="center" wrapText="1"/>
    </xf>
    <xf numFmtId="0" fontId="9" fillId="0" borderId="48" xfId="3" applyFont="1" applyBorder="1" applyAlignment="1">
      <alignment horizontal="left" vertical="center" wrapText="1"/>
    </xf>
    <xf numFmtId="0" fontId="11" fillId="0" borderId="3" xfId="2" applyFont="1" applyBorder="1" applyAlignment="1">
      <alignment horizontal="center" vertical="center" wrapText="1"/>
    </xf>
    <xf numFmtId="0" fontId="25" fillId="0" borderId="48" xfId="0" applyFont="1" applyBorder="1" applyAlignment="1">
      <alignment horizontal="center" vertical="center"/>
    </xf>
    <xf numFmtId="0" fontId="9" fillId="0" borderId="48" xfId="0" applyFont="1" applyBorder="1" applyAlignment="1">
      <alignment vertical="center" wrapText="1"/>
    </xf>
    <xf numFmtId="0" fontId="9" fillId="0" borderId="48" xfId="0" applyFont="1" applyBorder="1" applyAlignment="1">
      <alignment horizontal="center" vertical="center" wrapText="1"/>
    </xf>
    <xf numFmtId="0" fontId="11" fillId="0" borderId="1" xfId="0" applyFont="1" applyBorder="1" applyAlignment="1">
      <alignment horizontal="center" vertical="center"/>
    </xf>
    <xf numFmtId="0" fontId="9" fillId="0" borderId="1" xfId="0" applyFont="1" applyBorder="1" applyAlignment="1">
      <alignment horizontal="center" vertical="center"/>
    </xf>
    <xf numFmtId="0" fontId="9" fillId="0" borderId="14" xfId="0" applyFont="1" applyBorder="1" applyAlignment="1">
      <alignment vertical="center"/>
    </xf>
    <xf numFmtId="0" fontId="13" fillId="0" borderId="14" xfId="3" applyFont="1" applyBorder="1" applyAlignment="1">
      <alignment horizontal="left" vertical="center" wrapText="1"/>
    </xf>
    <xf numFmtId="0" fontId="9" fillId="0" borderId="48" xfId="3" applyFont="1" applyBorder="1" applyAlignment="1">
      <alignment vertical="center" wrapText="1"/>
    </xf>
    <xf numFmtId="0" fontId="9" fillId="0" borderId="59" xfId="3" applyFont="1" applyBorder="1" applyAlignment="1">
      <alignment horizontal="left" vertical="center" wrapText="1"/>
    </xf>
    <xf numFmtId="0" fontId="9" fillId="0" borderId="15" xfId="0" applyFont="1" applyBorder="1" applyAlignment="1">
      <alignment horizontal="left" vertical="center" wrapText="1"/>
    </xf>
    <xf numFmtId="0" fontId="12" fillId="0" borderId="48" xfId="3" applyFont="1" applyBorder="1" applyAlignment="1">
      <alignment horizontal="left" vertical="center" wrapText="1"/>
    </xf>
    <xf numFmtId="0" fontId="35" fillId="0" borderId="3" xfId="0" applyFont="1" applyBorder="1" applyAlignment="1">
      <alignment horizontal="center" vertical="center" wrapText="1"/>
    </xf>
    <xf numFmtId="0" fontId="9" fillId="0" borderId="2" xfId="0" applyFont="1" applyBorder="1" applyAlignment="1">
      <alignment horizontal="center" vertical="center" wrapText="1"/>
    </xf>
    <xf numFmtId="0" fontId="11" fillId="0" borderId="48" xfId="0" applyFont="1" applyBorder="1" applyAlignment="1">
      <alignment horizontal="center" vertical="center"/>
    </xf>
    <xf numFmtId="0" fontId="9" fillId="0" borderId="48" xfId="0" applyFont="1" applyBorder="1" applyAlignment="1">
      <alignment horizontal="center" vertical="center"/>
    </xf>
    <xf numFmtId="0" fontId="34" fillId="0" borderId="2" xfId="2" applyFont="1" applyBorder="1" applyAlignment="1">
      <alignment horizontal="center" vertical="center" wrapText="1"/>
    </xf>
    <xf numFmtId="0" fontId="9" fillId="0" borderId="0" xfId="3" applyFont="1"/>
    <xf numFmtId="0" fontId="9" fillId="6" borderId="48" xfId="0" applyFont="1" applyFill="1" applyBorder="1" applyAlignment="1" applyProtection="1">
      <alignment horizontal="center" vertical="center" wrapText="1"/>
      <protection locked="0"/>
    </xf>
    <xf numFmtId="0" fontId="34" fillId="6" borderId="2" xfId="2" applyFont="1" applyFill="1" applyBorder="1" applyAlignment="1" applyProtection="1">
      <alignment horizontal="center" vertical="center" wrapText="1"/>
      <protection locked="0"/>
    </xf>
    <xf numFmtId="0" fontId="32" fillId="4" borderId="1" xfId="0" applyFont="1" applyFill="1" applyBorder="1" applyAlignment="1" applyProtection="1">
      <alignment horizontal="center" vertical="center" wrapText="1"/>
      <protection locked="0"/>
    </xf>
    <xf numFmtId="0" fontId="31" fillId="4" borderId="1" xfId="0" applyFont="1" applyFill="1" applyBorder="1" applyAlignment="1" applyProtection="1">
      <alignment horizontal="center" vertical="center" wrapText="1"/>
      <protection locked="0"/>
    </xf>
    <xf numFmtId="49" fontId="31" fillId="4" borderId="38" xfId="0" applyNumberFormat="1" applyFont="1" applyFill="1" applyBorder="1" applyAlignment="1" applyProtection="1">
      <alignment horizontal="left" vertical="center" wrapText="1"/>
      <protection locked="0"/>
    </xf>
    <xf numFmtId="0" fontId="31" fillId="4" borderId="3" xfId="2" applyFont="1" applyFill="1" applyBorder="1" applyAlignment="1" applyProtection="1">
      <alignment horizontal="center" vertical="center" wrapText="1"/>
      <protection locked="0"/>
    </xf>
    <xf numFmtId="49" fontId="30" fillId="0" borderId="38" xfId="0" applyNumberFormat="1" applyFont="1" applyBorder="1" applyAlignment="1" applyProtection="1">
      <alignment horizontal="left" vertical="center" wrapText="1"/>
      <protection locked="0"/>
    </xf>
    <xf numFmtId="0" fontId="31" fillId="4" borderId="1" xfId="2" applyFont="1" applyFill="1" applyBorder="1" applyAlignment="1" applyProtection="1">
      <alignment horizontal="center" vertical="center" wrapText="1"/>
      <protection locked="0"/>
    </xf>
    <xf numFmtId="0" fontId="11" fillId="0" borderId="0" xfId="3" applyFont="1" applyAlignment="1">
      <alignment horizontal="center" vertical="center"/>
    </xf>
    <xf numFmtId="0" fontId="32" fillId="0" borderId="0" xfId="3" applyFont="1" applyAlignment="1">
      <alignment horizontal="center" vertical="center" wrapText="1"/>
    </xf>
    <xf numFmtId="0" fontId="9" fillId="0" borderId="0" xfId="0" applyFont="1" applyAlignment="1">
      <alignment horizontal="center" vertical="center"/>
    </xf>
    <xf numFmtId="0" fontId="9" fillId="0" borderId="0" xfId="0" applyFont="1"/>
    <xf numFmtId="0" fontId="11" fillId="0" borderId="0" xfId="3" applyFont="1" applyAlignment="1">
      <alignment horizontal="center" vertical="center" wrapText="1"/>
    </xf>
    <xf numFmtId="0" fontId="38" fillId="0" borderId="0" xfId="3" applyFont="1" applyAlignment="1">
      <alignment horizontal="center" vertical="center"/>
    </xf>
    <xf numFmtId="0" fontId="11" fillId="0" borderId="0" xfId="0" applyFont="1" applyAlignment="1">
      <alignment horizontal="center" vertical="center"/>
    </xf>
    <xf numFmtId="2" fontId="9" fillId="0" borderId="0" xfId="0" applyNumberFormat="1" applyFont="1" applyProtection="1">
      <protection locked="0"/>
    </xf>
    <xf numFmtId="2" fontId="23" fillId="0" borderId="33" xfId="0" applyNumberFormat="1" applyFont="1" applyBorder="1" applyAlignment="1" applyProtection="1">
      <alignment horizontal="right" vertical="center"/>
      <protection locked="0"/>
    </xf>
    <xf numFmtId="2" fontId="23" fillId="0" borderId="64" xfId="0" applyNumberFormat="1" applyFont="1" applyBorder="1" applyAlignment="1" applyProtection="1">
      <alignment horizontal="right" vertical="center"/>
      <protection locked="0"/>
    </xf>
    <xf numFmtId="2" fontId="23" fillId="0" borderId="11" xfId="0" applyNumberFormat="1" applyFont="1" applyBorder="1" applyAlignment="1" applyProtection="1">
      <alignment horizontal="right" vertical="center"/>
      <protection locked="0"/>
    </xf>
    <xf numFmtId="164" fontId="33" fillId="0" borderId="0" xfId="0" applyNumberFormat="1" applyFont="1" applyAlignment="1">
      <alignment horizontal="center" vertical="center" wrapText="1"/>
    </xf>
    <xf numFmtId="164" fontId="37" fillId="0" borderId="0" xfId="0" applyNumberFormat="1" applyFont="1" applyAlignment="1">
      <alignment horizontal="center" vertical="center"/>
    </xf>
    <xf numFmtId="49" fontId="30" fillId="4" borderId="38" xfId="0" applyNumberFormat="1" applyFont="1" applyFill="1" applyBorder="1" applyAlignment="1">
      <alignment vertical="center" wrapText="1"/>
    </xf>
    <xf numFmtId="0" fontId="26" fillId="0" borderId="1" xfId="0" applyFont="1" applyBorder="1" applyAlignment="1" applyProtection="1">
      <alignment horizontal="left" vertical="center" wrapText="1"/>
      <protection locked="0"/>
    </xf>
    <xf numFmtId="9" fontId="20" fillId="0" borderId="2" xfId="11" applyFont="1" applyBorder="1" applyAlignment="1">
      <alignment horizontal="center" vertical="center" wrapText="1"/>
    </xf>
    <xf numFmtId="9" fontId="20" fillId="0" borderId="10" xfId="11" applyFont="1" applyBorder="1" applyAlignment="1">
      <alignment horizontal="center" vertical="center" wrapText="1"/>
    </xf>
    <xf numFmtId="9" fontId="20" fillId="0" borderId="74" xfId="11" applyFont="1" applyBorder="1" applyAlignment="1">
      <alignment horizontal="center" vertical="center" wrapText="1"/>
    </xf>
    <xf numFmtId="0" fontId="2" fillId="8" borderId="1" xfId="16" applyFont="1" applyFill="1" applyBorder="1" applyAlignment="1" applyProtection="1">
      <alignment horizontal="center" vertical="center"/>
      <protection locked="0"/>
    </xf>
    <xf numFmtId="2" fontId="2" fillId="8" borderId="68" xfId="16" applyNumberFormat="1" applyFont="1" applyFill="1" applyBorder="1" applyAlignment="1" applyProtection="1">
      <alignment horizontal="center" vertical="center" wrapText="1"/>
      <protection locked="0"/>
    </xf>
    <xf numFmtId="0" fontId="4" fillId="0" borderId="22" xfId="10" applyFont="1" applyBorder="1"/>
    <xf numFmtId="0" fontId="4" fillId="0" borderId="25" xfId="10" applyFont="1" applyBorder="1"/>
    <xf numFmtId="0" fontId="4" fillId="0" borderId="25" xfId="10" applyFont="1" applyBorder="1" applyAlignment="1">
      <alignment horizontal="left" vertical="center"/>
    </xf>
    <xf numFmtId="0" fontId="4" fillId="0" borderId="23" xfId="10" applyFont="1" applyBorder="1"/>
    <xf numFmtId="0" fontId="4" fillId="0" borderId="54" xfId="10" applyFont="1" applyBorder="1"/>
    <xf numFmtId="0" fontId="18" fillId="0" borderId="5" xfId="10" applyFont="1" applyBorder="1" applyAlignment="1">
      <alignment horizontal="center"/>
    </xf>
    <xf numFmtId="0" fontId="18" fillId="0" borderId="4" xfId="10" applyFont="1" applyBorder="1" applyAlignment="1">
      <alignment horizontal="center"/>
    </xf>
    <xf numFmtId="0" fontId="18" fillId="0" borderId="16" xfId="10" applyFont="1" applyBorder="1" applyAlignment="1">
      <alignment horizontal="center"/>
    </xf>
    <xf numFmtId="0" fontId="18" fillId="0" borderId="39" xfId="10" applyFont="1" applyBorder="1" applyAlignment="1">
      <alignment horizontal="center" vertical="center"/>
    </xf>
    <xf numFmtId="0" fontId="18" fillId="0" borderId="69" xfId="16" applyFont="1" applyBorder="1" applyAlignment="1">
      <alignment horizontal="center" vertical="center"/>
    </xf>
    <xf numFmtId="0" fontId="18" fillId="0" borderId="33" xfId="10" applyFont="1" applyBorder="1" applyAlignment="1">
      <alignment horizontal="center"/>
    </xf>
    <xf numFmtId="0" fontId="4" fillId="0" borderId="24" xfId="10" applyFont="1" applyBorder="1"/>
    <xf numFmtId="0" fontId="19" fillId="0" borderId="43" xfId="10" applyFont="1" applyBorder="1" applyAlignment="1">
      <alignment vertical="center"/>
    </xf>
    <xf numFmtId="0" fontId="19" fillId="0" borderId="45" xfId="10" applyFont="1" applyBorder="1" applyAlignment="1">
      <alignment horizontal="left" vertical="center" wrapText="1"/>
    </xf>
    <xf numFmtId="0" fontId="19" fillId="0" borderId="1" xfId="16" applyFont="1" applyBorder="1" applyAlignment="1">
      <alignment vertical="center" wrapText="1"/>
    </xf>
    <xf numFmtId="0" fontId="19" fillId="0" borderId="44" xfId="10" applyFont="1" applyBorder="1" applyAlignment="1">
      <alignment horizontal="center" vertical="center" wrapText="1"/>
    </xf>
    <xf numFmtId="0" fontId="19" fillId="0" borderId="8" xfId="10" applyFont="1" applyBorder="1" applyAlignment="1">
      <alignment vertical="center"/>
    </xf>
    <xf numFmtId="0" fontId="19" fillId="0" borderId="41" xfId="10" applyFont="1" applyBorder="1" applyAlignment="1">
      <alignment horizontal="left" vertical="center" wrapText="1"/>
    </xf>
    <xf numFmtId="0" fontId="19" fillId="0" borderId="1" xfId="10" applyFont="1" applyBorder="1" applyAlignment="1">
      <alignment horizontal="center" vertical="center" wrapText="1"/>
    </xf>
    <xf numFmtId="0" fontId="20" fillId="0" borderId="41" xfId="10" applyFont="1" applyBorder="1" applyAlignment="1">
      <alignment horizontal="left" vertical="center" wrapText="1"/>
    </xf>
    <xf numFmtId="0" fontId="20" fillId="0" borderId="1" xfId="10" applyFont="1" applyBorder="1" applyAlignment="1">
      <alignment horizontal="center" vertical="center" wrapText="1"/>
    </xf>
    <xf numFmtId="0" fontId="21" fillId="0" borderId="8" xfId="10" applyFont="1" applyBorder="1" applyAlignment="1">
      <alignment vertical="center"/>
    </xf>
    <xf numFmtId="0" fontId="20" fillId="0" borderId="41" xfId="12" applyFont="1" applyBorder="1" applyAlignment="1">
      <alignment vertical="center" wrapText="1"/>
    </xf>
    <xf numFmtId="0" fontId="21" fillId="0" borderId="55" xfId="10" applyFont="1" applyBorder="1" applyAlignment="1">
      <alignment vertical="center"/>
    </xf>
    <xf numFmtId="2" fontId="2" fillId="4" borderId="10" xfId="16" applyNumberFormat="1" applyFont="1" applyFill="1" applyBorder="1" applyAlignment="1">
      <alignment horizontal="center" vertical="center"/>
    </xf>
    <xf numFmtId="0" fontId="20" fillId="0" borderId="56" xfId="12" applyFont="1" applyBorder="1" applyAlignment="1">
      <alignment vertical="center" wrapText="1"/>
    </xf>
    <xf numFmtId="2" fontId="20" fillId="0" borderId="12" xfId="10" applyNumberFormat="1" applyFont="1" applyBorder="1" applyAlignment="1">
      <alignment horizontal="center" vertical="center" wrapText="1"/>
    </xf>
    <xf numFmtId="2" fontId="20" fillId="0" borderId="51" xfId="16" applyNumberFormat="1" applyFont="1" applyBorder="1" applyAlignment="1">
      <alignment horizontal="center" vertical="center" wrapText="1"/>
    </xf>
    <xf numFmtId="0" fontId="19" fillId="0" borderId="7" xfId="10" applyFont="1" applyBorder="1" applyAlignment="1">
      <alignment vertical="center"/>
    </xf>
    <xf numFmtId="0" fontId="19" fillId="0" borderId="57" xfId="10" applyFont="1" applyBorder="1" applyAlignment="1">
      <alignment horizontal="left" vertical="center" wrapText="1"/>
    </xf>
    <xf numFmtId="0" fontId="19" fillId="0" borderId="3" xfId="10" applyFont="1" applyBorder="1" applyAlignment="1">
      <alignment horizontal="center" vertical="center" wrapText="1"/>
    </xf>
    <xf numFmtId="0" fontId="19" fillId="0" borderId="8" xfId="12" applyFont="1" applyBorder="1" applyAlignment="1">
      <alignment horizontal="left" vertical="center"/>
    </xf>
    <xf numFmtId="0" fontId="20" fillId="0" borderId="41" xfId="10" applyFont="1" applyBorder="1" applyAlignment="1">
      <alignment vertical="center" wrapText="1"/>
    </xf>
    <xf numFmtId="0" fontId="20" fillId="4" borderId="0" xfId="10" applyFont="1" applyFill="1" applyAlignment="1">
      <alignment wrapText="1"/>
    </xf>
    <xf numFmtId="0" fontId="4" fillId="0" borderId="26" xfId="10" applyFont="1" applyBorder="1"/>
    <xf numFmtId="0" fontId="21" fillId="0" borderId="9" xfId="10" applyFont="1" applyBorder="1" applyAlignment="1">
      <alignment vertical="center"/>
    </xf>
    <xf numFmtId="0" fontId="20" fillId="0" borderId="53" xfId="10" applyFont="1" applyBorder="1" applyAlignment="1">
      <alignment horizontal="left" vertical="center" wrapText="1"/>
    </xf>
    <xf numFmtId="0" fontId="20" fillId="0" borderId="10" xfId="10" applyFont="1" applyBorder="1" applyAlignment="1">
      <alignment horizontal="center" vertical="center" wrapText="1"/>
    </xf>
    <xf numFmtId="0" fontId="4" fillId="0" borderId="28" xfId="10" applyFont="1" applyBorder="1" applyAlignment="1">
      <alignment wrapText="1"/>
    </xf>
    <xf numFmtId="0" fontId="19" fillId="0" borderId="55" xfId="10" applyFont="1" applyBorder="1" applyAlignment="1">
      <alignment vertical="center"/>
    </xf>
    <xf numFmtId="0" fontId="20" fillId="0" borderId="56" xfId="10" applyFont="1" applyBorder="1" applyAlignment="1">
      <alignment horizontal="left" vertical="center" wrapText="1"/>
    </xf>
    <xf numFmtId="0" fontId="20" fillId="4" borderId="71" xfId="16" applyFont="1" applyFill="1" applyBorder="1" applyAlignment="1">
      <alignment vertical="center" wrapText="1"/>
    </xf>
    <xf numFmtId="0" fontId="20" fillId="0" borderId="12" xfId="10" applyFont="1" applyBorder="1" applyAlignment="1">
      <alignment horizontal="center" vertical="center" wrapText="1"/>
    </xf>
    <xf numFmtId="0" fontId="20" fillId="4" borderId="51" xfId="16" applyFont="1" applyFill="1" applyBorder="1" applyAlignment="1">
      <alignment horizontal="center" vertical="center" wrapText="1"/>
    </xf>
    <xf numFmtId="165" fontId="2" fillId="0" borderId="44" xfId="16" applyNumberFormat="1" applyFont="1" applyBorder="1" applyAlignment="1">
      <alignment horizontal="center" vertical="center"/>
    </xf>
    <xf numFmtId="0" fontId="21" fillId="0" borderId="8" xfId="10" applyFont="1" applyBorder="1" applyAlignment="1">
      <alignment horizontal="left" vertical="center" wrapText="1"/>
    </xf>
    <xf numFmtId="165" fontId="2" fillId="0" borderId="13" xfId="16" applyNumberFormat="1" applyFont="1" applyBorder="1" applyAlignment="1">
      <alignment horizontal="center" vertical="center"/>
    </xf>
    <xf numFmtId="0" fontId="21" fillId="0" borderId="9" xfId="10" applyFont="1" applyBorder="1" applyAlignment="1">
      <alignment horizontal="left" vertical="center" wrapText="1"/>
    </xf>
    <xf numFmtId="165" fontId="2" fillId="0" borderId="10" xfId="16" applyNumberFormat="1" applyFont="1" applyBorder="1" applyAlignment="1">
      <alignment horizontal="center" vertical="center"/>
    </xf>
    <xf numFmtId="0" fontId="4" fillId="0" borderId="26" xfId="10" applyFont="1" applyBorder="1" applyAlignment="1">
      <alignment horizontal="left" vertical="center"/>
    </xf>
    <xf numFmtId="0" fontId="4" fillId="0" borderId="22" xfId="10" applyFont="1" applyBorder="1" applyAlignment="1">
      <alignment horizontal="left" vertical="center"/>
    </xf>
    <xf numFmtId="0" fontId="0" fillId="0" borderId="25" xfId="0" applyBorder="1" applyAlignment="1">
      <alignment wrapText="1"/>
    </xf>
    <xf numFmtId="0" fontId="0" fillId="0" borderId="26" xfId="0" applyBorder="1" applyAlignment="1">
      <alignment wrapText="1"/>
    </xf>
    <xf numFmtId="0" fontId="0" fillId="0" borderId="22" xfId="0" applyBorder="1" applyAlignment="1">
      <alignment wrapText="1"/>
    </xf>
    <xf numFmtId="0" fontId="8" fillId="0" borderId="1" xfId="0" applyFont="1" applyBorder="1" applyAlignment="1">
      <alignment readingOrder="2"/>
    </xf>
    <xf numFmtId="0" fontId="8" fillId="0" borderId="3" xfId="0" applyFont="1" applyBorder="1" applyAlignment="1">
      <alignment readingOrder="2"/>
    </xf>
    <xf numFmtId="0" fontId="24" fillId="0" borderId="3" xfId="0" applyFont="1" applyBorder="1" applyAlignment="1">
      <alignment readingOrder="2"/>
    </xf>
    <xf numFmtId="0" fontId="20" fillId="0" borderId="70" xfId="10" applyFont="1" applyBorder="1" applyAlignment="1">
      <alignment vertical="center" wrapText="1"/>
    </xf>
    <xf numFmtId="0" fontId="20" fillId="0" borderId="75" xfId="10" applyFont="1" applyBorder="1" applyAlignment="1">
      <alignment vertical="center" wrapText="1"/>
    </xf>
    <xf numFmtId="0" fontId="20" fillId="0" borderId="72" xfId="10" applyFont="1" applyBorder="1" applyAlignment="1">
      <alignment vertical="center" wrapText="1"/>
    </xf>
    <xf numFmtId="0" fontId="20" fillId="0" borderId="73" xfId="10" applyFont="1" applyBorder="1" applyAlignment="1">
      <alignment vertical="center" wrapText="1"/>
    </xf>
    <xf numFmtId="0" fontId="19" fillId="0" borderId="46" xfId="10" applyFont="1" applyBorder="1" applyAlignment="1">
      <alignment horizontal="center" vertical="center" wrapText="1"/>
    </xf>
    <xf numFmtId="0" fontId="19" fillId="0" borderId="40" xfId="10" applyFont="1" applyBorder="1" applyAlignment="1">
      <alignment horizontal="center" vertical="center" wrapText="1"/>
    </xf>
    <xf numFmtId="0" fontId="20" fillId="0" borderId="40" xfId="10" applyFont="1" applyBorder="1" applyAlignment="1">
      <alignment horizontal="center" vertical="center" wrapText="1"/>
    </xf>
    <xf numFmtId="0" fontId="20" fillId="0" borderId="42" xfId="10" applyFont="1" applyBorder="1" applyAlignment="1">
      <alignment horizontal="center" vertical="center" wrapText="1"/>
    </xf>
    <xf numFmtId="0" fontId="20" fillId="0" borderId="67" xfId="10" applyFont="1" applyBorder="1" applyAlignment="1">
      <alignment horizontal="center" vertical="center" wrapText="1"/>
    </xf>
    <xf numFmtId="0" fontId="20" fillId="0" borderId="47" xfId="10" applyFont="1" applyBorder="1" applyAlignment="1">
      <alignment horizontal="center" vertical="center" wrapText="1"/>
    </xf>
    <xf numFmtId="0" fontId="19" fillId="0" borderId="58" xfId="10" applyFont="1" applyBorder="1" applyAlignment="1">
      <alignment horizontal="center" vertical="center" wrapText="1"/>
    </xf>
    <xf numFmtId="3" fontId="20" fillId="0" borderId="1" xfId="12" applyNumberFormat="1" applyFont="1" applyBorder="1" applyAlignment="1">
      <alignment horizontal="center" vertical="center" wrapText="1"/>
    </xf>
    <xf numFmtId="3" fontId="2" fillId="4" borderId="67" xfId="16" applyNumberFormat="1" applyFont="1" applyFill="1" applyBorder="1" applyAlignment="1">
      <alignment horizontal="center" vertical="center"/>
    </xf>
    <xf numFmtId="3" fontId="20" fillId="0" borderId="1" xfId="10" applyNumberFormat="1" applyFont="1" applyBorder="1" applyAlignment="1">
      <alignment horizontal="center" vertical="center" wrapText="1"/>
    </xf>
    <xf numFmtId="1" fontId="3" fillId="0" borderId="1" xfId="12" applyNumberFormat="1" applyFont="1" applyBorder="1" applyAlignment="1">
      <alignment horizontal="center" vertical="center"/>
    </xf>
    <xf numFmtId="0" fontId="11" fillId="8" borderId="1" xfId="7" applyFont="1" applyFill="1" applyBorder="1" applyAlignment="1" applyProtection="1">
      <alignment horizontal="center" vertical="center"/>
      <protection locked="0"/>
    </xf>
    <xf numFmtId="0" fontId="9" fillId="0" borderId="1" xfId="3" applyFont="1" applyBorder="1" applyAlignment="1">
      <alignment horizontal="right" vertical="center" wrapText="1"/>
    </xf>
    <xf numFmtId="0" fontId="9" fillId="0" borderId="1" xfId="5" applyFont="1" applyBorder="1" applyAlignment="1">
      <alignment horizontal="right" vertical="center" wrapText="1"/>
    </xf>
    <xf numFmtId="0" fontId="0" fillId="0" borderId="48" xfId="3" applyFont="1" applyBorder="1" applyAlignment="1">
      <alignment horizontal="right" vertical="center" wrapText="1"/>
    </xf>
    <xf numFmtId="0" fontId="9" fillId="0" borderId="1" xfId="0" applyFont="1" applyBorder="1" applyAlignment="1" applyProtection="1">
      <alignment horizontal="right" vertical="center" wrapText="1"/>
      <protection locked="0"/>
    </xf>
    <xf numFmtId="0" fontId="9" fillId="0" borderId="1" xfId="0" applyFont="1" applyBorder="1" applyAlignment="1">
      <alignment horizontal="right" vertical="center" wrapText="1"/>
    </xf>
    <xf numFmtId="0" fontId="9" fillId="0" borderId="10" xfId="3" applyFont="1" applyBorder="1" applyAlignment="1">
      <alignment horizontal="right" vertical="center" wrapText="1"/>
    </xf>
    <xf numFmtId="0" fontId="9" fillId="0" borderId="3" xfId="2" applyFont="1" applyBorder="1" applyAlignment="1">
      <alignment horizontal="right" vertical="center" wrapText="1"/>
    </xf>
    <xf numFmtId="0" fontId="9" fillId="0" borderId="3" xfId="3" applyFont="1" applyBorder="1" applyAlignment="1">
      <alignment horizontal="right" vertical="center" wrapText="1"/>
    </xf>
    <xf numFmtId="0" fontId="40" fillId="0" borderId="0" xfId="0" applyFont="1" applyAlignment="1">
      <alignment horizontal="right" vertical="center" wrapText="1"/>
    </xf>
    <xf numFmtId="0" fontId="9" fillId="0" borderId="2" xfId="0" applyFont="1" applyBorder="1" applyAlignment="1">
      <alignment horizontal="right" vertical="center" wrapText="1"/>
    </xf>
    <xf numFmtId="166" fontId="9" fillId="0" borderId="2" xfId="0" applyNumberFormat="1" applyFont="1" applyBorder="1" applyAlignment="1">
      <alignment horizontal="right" vertical="center" wrapText="1"/>
    </xf>
    <xf numFmtId="0" fontId="9" fillId="0" borderId="3" xfId="0" applyFont="1" applyBorder="1" applyAlignment="1">
      <alignment horizontal="right" vertical="center" wrapText="1"/>
    </xf>
    <xf numFmtId="0" fontId="9" fillId="6" borderId="1" xfId="0" applyFont="1" applyFill="1" applyBorder="1" applyAlignment="1" applyProtection="1">
      <alignment horizontal="right" vertical="center" wrapText="1"/>
      <protection locked="0"/>
    </xf>
    <xf numFmtId="0" fontId="9" fillId="6" borderId="2" xfId="0" applyFont="1" applyFill="1" applyBorder="1" applyAlignment="1" applyProtection="1">
      <alignment horizontal="right" vertical="center" wrapText="1"/>
      <protection locked="0"/>
    </xf>
    <xf numFmtId="0" fontId="9" fillId="6" borderId="1" xfId="3" applyFont="1" applyFill="1" applyBorder="1" applyAlignment="1" applyProtection="1">
      <alignment horizontal="right" vertical="center" wrapText="1"/>
      <protection locked="0"/>
    </xf>
    <xf numFmtId="0" fontId="9" fillId="0" borderId="2" xfId="3" applyFont="1" applyBorder="1" applyAlignment="1">
      <alignment horizontal="right" vertical="center" wrapText="1"/>
    </xf>
    <xf numFmtId="0" fontId="9" fillId="0" borderId="3" xfId="3" applyFont="1" applyBorder="1" applyAlignment="1" applyProtection="1">
      <alignment horizontal="right" vertical="center" wrapText="1"/>
      <protection locked="0"/>
    </xf>
    <xf numFmtId="49" fontId="30" fillId="4" borderId="38" xfId="0" applyNumberFormat="1" applyFont="1" applyFill="1" applyBorder="1" applyAlignment="1" applyProtection="1">
      <alignment horizontal="right" vertical="center" wrapText="1"/>
      <protection locked="0"/>
    </xf>
    <xf numFmtId="0" fontId="9" fillId="0" borderId="4" xfId="3" applyFont="1" applyBorder="1" applyAlignment="1">
      <alignment horizontal="right" vertical="center" wrapText="1"/>
    </xf>
    <xf numFmtId="0" fontId="9" fillId="6" borderId="48" xfId="3" applyFont="1" applyFill="1" applyBorder="1" applyAlignment="1" applyProtection="1">
      <alignment horizontal="right" vertical="center" wrapText="1"/>
      <protection locked="0"/>
    </xf>
    <xf numFmtId="0" fontId="9" fillId="0" borderId="48" xfId="3" applyFont="1" applyBorder="1" applyAlignment="1">
      <alignment horizontal="right" vertical="center" wrapText="1"/>
    </xf>
    <xf numFmtId="166" fontId="9" fillId="0" borderId="1" xfId="0" applyNumberFormat="1" applyFont="1" applyBorder="1" applyAlignment="1">
      <alignment horizontal="right" vertical="center" wrapText="1"/>
    </xf>
    <xf numFmtId="0" fontId="21" fillId="0" borderId="43" xfId="10" applyFont="1" applyBorder="1" applyAlignment="1">
      <alignment horizontal="left" vertical="center" wrapText="1"/>
    </xf>
    <xf numFmtId="0" fontId="20" fillId="0" borderId="78" xfId="10" applyFont="1" applyBorder="1" applyAlignment="1">
      <alignment vertical="center" wrapText="1"/>
    </xf>
    <xf numFmtId="9" fontId="20" fillId="0" borderId="79" xfId="11" applyFont="1" applyBorder="1" applyAlignment="1">
      <alignment horizontal="center" vertical="center" wrapText="1"/>
    </xf>
    <xf numFmtId="0" fontId="20" fillId="0" borderId="1" xfId="16" applyFont="1" applyBorder="1" applyAlignment="1">
      <alignment vertical="center" wrapText="1"/>
    </xf>
    <xf numFmtId="0" fontId="20" fillId="0" borderId="70" xfId="16" applyFont="1" applyBorder="1" applyAlignment="1">
      <alignment vertical="center" wrapText="1"/>
    </xf>
    <xf numFmtId="0" fontId="20" fillId="0" borderId="76" xfId="10" applyFont="1" applyBorder="1" applyAlignment="1">
      <alignment vertical="center" wrapText="1"/>
    </xf>
    <xf numFmtId="0" fontId="19" fillId="0" borderId="77" xfId="10" applyFont="1" applyBorder="1" applyAlignment="1">
      <alignment wrapText="1"/>
    </xf>
    <xf numFmtId="0" fontId="41" fillId="0" borderId="44" xfId="12" applyFont="1" applyBorder="1" applyAlignment="1">
      <alignment vertical="center" wrapText="1"/>
    </xf>
    <xf numFmtId="0" fontId="41" fillId="0" borderId="1" xfId="12" applyFont="1" applyBorder="1" applyAlignment="1">
      <alignment vertical="center" wrapText="1"/>
    </xf>
    <xf numFmtId="0" fontId="41" fillId="0" borderId="10" xfId="12" applyFont="1" applyBorder="1" applyAlignment="1">
      <alignment vertical="center" wrapText="1"/>
    </xf>
    <xf numFmtId="0" fontId="42" fillId="6" borderId="1" xfId="3" applyFont="1" applyFill="1" applyBorder="1" applyAlignment="1" applyProtection="1">
      <alignment vertical="center" wrapText="1"/>
      <protection locked="0"/>
    </xf>
    <xf numFmtId="0" fontId="43" fillId="6" borderId="1" xfId="3" applyFont="1" applyFill="1" applyBorder="1" applyAlignment="1" applyProtection="1">
      <alignment vertical="center" wrapText="1"/>
      <protection locked="0"/>
    </xf>
    <xf numFmtId="0" fontId="44" fillId="0" borderId="1" xfId="3" applyFont="1" applyBorder="1" applyAlignment="1">
      <alignment vertical="center" wrapText="1"/>
    </xf>
    <xf numFmtId="0" fontId="45" fillId="0" borderId="48" xfId="3" applyFont="1" applyBorder="1" applyAlignment="1">
      <alignment vertical="center" wrapText="1"/>
    </xf>
    <xf numFmtId="0" fontId="1" fillId="6" borderId="1" xfId="0" applyFont="1" applyFill="1" applyBorder="1" applyAlignment="1" applyProtection="1">
      <alignment horizontal="right" vertical="center" wrapText="1"/>
      <protection locked="0"/>
    </xf>
    <xf numFmtId="0" fontId="1" fillId="4" borderId="1" xfId="0" applyFont="1" applyFill="1" applyBorder="1" applyAlignment="1">
      <alignment horizontal="left" vertical="center" wrapText="1"/>
    </xf>
    <xf numFmtId="0" fontId="1" fillId="4" borderId="1" xfId="0" applyFont="1" applyFill="1" applyBorder="1" applyAlignment="1">
      <alignment horizontal="right" vertical="center" wrapText="1"/>
    </xf>
    <xf numFmtId="0" fontId="1" fillId="0" borderId="1" xfId="0" applyFont="1" applyBorder="1" applyAlignment="1" applyProtection="1">
      <alignment horizontal="left" vertical="center" wrapText="1"/>
      <protection locked="0"/>
    </xf>
    <xf numFmtId="0" fontId="35" fillId="0" borderId="1" xfId="3" applyFont="1" applyBorder="1" applyAlignment="1">
      <alignment horizontal="right" vertical="center" wrapText="1"/>
    </xf>
    <xf numFmtId="0" fontId="1" fillId="0" borderId="0" xfId="0" applyFont="1" applyAlignment="1">
      <alignment horizontal="left" vertical="center" wrapText="1"/>
    </xf>
    <xf numFmtId="0" fontId="1" fillId="0" borderId="1" xfId="3" applyFont="1" applyBorder="1" applyAlignment="1" applyProtection="1">
      <alignment horizontal="left" vertical="center" wrapText="1"/>
      <protection locked="0"/>
    </xf>
    <xf numFmtId="0" fontId="1" fillId="0" borderId="1" xfId="3" applyFont="1" applyBorder="1" applyAlignment="1">
      <alignment horizontal="right" vertical="center" wrapText="1"/>
    </xf>
    <xf numFmtId="0" fontId="1" fillId="0" borderId="48" xfId="0" applyFont="1" applyBorder="1" applyAlignment="1">
      <alignment horizontal="center" vertical="center"/>
    </xf>
    <xf numFmtId="0" fontId="1" fillId="0" borderId="48" xfId="0" applyFont="1" applyBorder="1" applyAlignment="1">
      <alignment vertical="center" wrapText="1"/>
    </xf>
    <xf numFmtId="0" fontId="1" fillId="0" borderId="3" xfId="3" applyFont="1" applyBorder="1" applyAlignment="1">
      <alignment horizontal="right" vertical="center" wrapText="1"/>
    </xf>
    <xf numFmtId="0" fontId="1" fillId="0" borderId="3" xfId="3" applyFont="1" applyBorder="1" applyAlignment="1" applyProtection="1">
      <alignment horizontal="left" vertical="center" wrapText="1"/>
      <protection locked="0"/>
    </xf>
    <xf numFmtId="0" fontId="1" fillId="0" borderId="2" xfId="3" applyFont="1" applyBorder="1" applyAlignment="1" applyProtection="1">
      <alignment horizontal="left" vertical="center" wrapText="1"/>
      <protection locked="0"/>
    </xf>
    <xf numFmtId="0" fontId="1" fillId="0" borderId="1" xfId="3" applyFont="1" applyBorder="1" applyAlignment="1">
      <alignment vertical="center" wrapText="1"/>
    </xf>
    <xf numFmtId="0" fontId="1" fillId="6" borderId="1" xfId="3" applyFont="1" applyFill="1" applyBorder="1" applyAlignment="1" applyProtection="1">
      <alignment vertical="center" wrapText="1"/>
      <protection locked="0"/>
    </xf>
    <xf numFmtId="0" fontId="1" fillId="0" borderId="63" xfId="3" applyFont="1" applyBorder="1" applyAlignment="1">
      <alignment horizontal="left" vertical="center" wrapText="1"/>
    </xf>
    <xf numFmtId="0" fontId="1" fillId="8" borderId="59" xfId="10" applyFont="1" applyFill="1" applyBorder="1" applyAlignment="1" applyProtection="1">
      <alignment horizontal="center" vertical="center"/>
      <protection locked="0"/>
    </xf>
    <xf numFmtId="0" fontId="1" fillId="8" borderId="14" xfId="10" applyFont="1" applyFill="1" applyBorder="1" applyAlignment="1" applyProtection="1">
      <alignment horizontal="center" vertical="center"/>
      <protection locked="0"/>
    </xf>
    <xf numFmtId="0" fontId="1" fillId="0" borderId="1" xfId="10" applyFont="1" applyBorder="1" applyAlignment="1">
      <alignment horizontal="center" vertical="center"/>
    </xf>
    <xf numFmtId="0" fontId="1" fillId="8" borderId="1" xfId="10" applyFont="1" applyFill="1" applyBorder="1" applyAlignment="1" applyProtection="1">
      <alignment horizontal="center" vertical="center"/>
      <protection locked="0"/>
    </xf>
    <xf numFmtId="0" fontId="1" fillId="0" borderId="22" xfId="10" applyFont="1" applyBorder="1"/>
    <xf numFmtId="0" fontId="1" fillId="8" borderId="17" xfId="10" applyFont="1" applyFill="1" applyBorder="1" applyAlignment="1" applyProtection="1">
      <alignment horizontal="center" vertical="center"/>
      <protection locked="0"/>
    </xf>
    <xf numFmtId="1" fontId="1" fillId="8" borderId="14" xfId="10" applyNumberFormat="1" applyFont="1" applyFill="1" applyBorder="1" applyAlignment="1" applyProtection="1">
      <alignment horizontal="center" vertical="center"/>
      <protection locked="0"/>
    </xf>
    <xf numFmtId="0" fontId="1" fillId="8" borderId="10" xfId="10" applyFont="1" applyFill="1" applyBorder="1" applyAlignment="1" applyProtection="1">
      <alignment horizontal="center" vertical="center"/>
      <protection locked="0"/>
    </xf>
    <xf numFmtId="0" fontId="1" fillId="8" borderId="18" xfId="10" applyFont="1" applyFill="1" applyBorder="1" applyAlignment="1" applyProtection="1">
      <alignment horizontal="center" vertical="center"/>
      <protection locked="0"/>
    </xf>
    <xf numFmtId="0" fontId="1" fillId="0" borderId="12" xfId="10" applyFont="1" applyBorder="1" applyAlignment="1">
      <alignment horizontal="center" vertical="center"/>
    </xf>
    <xf numFmtId="0" fontId="1" fillId="0" borderId="68" xfId="10" applyFont="1" applyBorder="1" applyAlignment="1">
      <alignment horizontal="center" vertical="center"/>
    </xf>
    <xf numFmtId="165" fontId="1" fillId="8" borderId="44" xfId="10" applyNumberFormat="1" applyFont="1" applyFill="1" applyBorder="1" applyAlignment="1" applyProtection="1">
      <alignment horizontal="center" vertical="center"/>
      <protection locked="0"/>
    </xf>
    <xf numFmtId="165" fontId="1" fillId="8" borderId="1" xfId="10" applyNumberFormat="1" applyFont="1" applyFill="1" applyBorder="1" applyAlignment="1" applyProtection="1">
      <alignment horizontal="center" vertical="center"/>
      <protection locked="0"/>
    </xf>
    <xf numFmtId="165" fontId="1" fillId="8" borderId="10" xfId="10" applyNumberFormat="1" applyFont="1" applyFill="1" applyBorder="1" applyAlignment="1" applyProtection="1">
      <alignment horizontal="center" vertical="center"/>
      <protection locked="0"/>
    </xf>
    <xf numFmtId="0" fontId="16" fillId="0" borderId="29" xfId="3" applyFont="1" applyBorder="1" applyAlignment="1" applyProtection="1">
      <alignment horizontal="center" vertical="center" wrapText="1"/>
      <protection locked="0"/>
    </xf>
    <xf numFmtId="0" fontId="46" fillId="12" borderId="1" xfId="14" applyFont="1" applyFill="1" applyBorder="1" applyAlignment="1" applyProtection="1">
      <alignment horizontal="center" vertical="center" wrapText="1"/>
      <protection locked="0"/>
    </xf>
    <xf numFmtId="0" fontId="46" fillId="12" borderId="3" xfId="0" applyFont="1" applyFill="1" applyBorder="1" applyAlignment="1" applyProtection="1">
      <alignment horizontal="center" vertical="center" wrapText="1"/>
      <protection locked="0"/>
    </xf>
    <xf numFmtId="0" fontId="46" fillId="12" borderId="1" xfId="3" applyFont="1" applyFill="1" applyBorder="1" applyAlignment="1" applyProtection="1">
      <alignment vertical="center" wrapText="1"/>
      <protection locked="0"/>
    </xf>
    <xf numFmtId="0" fontId="46" fillId="12" borderId="1" xfId="2" applyFont="1" applyFill="1" applyBorder="1" applyAlignment="1" applyProtection="1">
      <alignment horizontal="center" vertical="center" wrapText="1"/>
      <protection locked="0"/>
    </xf>
    <xf numFmtId="0" fontId="46" fillId="12" borderId="0" xfId="3" applyFont="1" applyFill="1" applyAlignment="1" applyProtection="1">
      <alignment vertical="center" wrapText="1"/>
      <protection locked="0"/>
    </xf>
    <xf numFmtId="0" fontId="46" fillId="0" borderId="17" xfId="2" applyFont="1" applyBorder="1" applyAlignment="1" applyProtection="1">
      <alignment horizontal="left" vertical="center" wrapText="1"/>
      <protection locked="0"/>
    </xf>
    <xf numFmtId="0" fontId="46" fillId="12" borderId="17" xfId="2" applyFont="1" applyFill="1" applyBorder="1" applyAlignment="1" applyProtection="1">
      <alignment horizontal="left" vertical="center" wrapText="1"/>
      <protection locked="0"/>
    </xf>
    <xf numFmtId="0" fontId="9" fillId="12" borderId="14" xfId="2" applyFont="1" applyFill="1" applyBorder="1" applyAlignment="1">
      <alignment horizontal="left" vertical="center" wrapText="1"/>
    </xf>
    <xf numFmtId="0" fontId="14" fillId="12" borderId="49" xfId="3" applyFont="1" applyFill="1" applyBorder="1" applyAlignment="1" applyProtection="1">
      <alignment vertical="center" wrapText="1"/>
      <protection locked="0"/>
    </xf>
    <xf numFmtId="0" fontId="0" fillId="12" borderId="48" xfId="2" applyFont="1" applyFill="1" applyBorder="1" applyAlignment="1">
      <alignment horizontal="left" vertical="center" wrapText="1"/>
    </xf>
    <xf numFmtId="0" fontId="46" fillId="4" borderId="3" xfId="0" applyFont="1" applyFill="1" applyBorder="1" applyAlignment="1" applyProtection="1">
      <alignment horizontal="center" vertical="center" wrapText="1"/>
      <protection locked="0"/>
    </xf>
    <xf numFmtId="0" fontId="46" fillId="4" borderId="1" xfId="2" applyFont="1" applyFill="1" applyBorder="1" applyAlignment="1" applyProtection="1">
      <alignment horizontal="center" vertical="center" wrapText="1"/>
      <protection locked="0"/>
    </xf>
    <xf numFmtId="0" fontId="47" fillId="12" borderId="1" xfId="14" applyFont="1" applyFill="1" applyBorder="1" applyAlignment="1" applyProtection="1">
      <alignment horizontal="center" vertical="center" wrapText="1"/>
      <protection locked="0"/>
    </xf>
    <xf numFmtId="0" fontId="48" fillId="12" borderId="1" xfId="3" applyFont="1" applyFill="1" applyBorder="1" applyAlignment="1" applyProtection="1">
      <alignment vertical="center" wrapText="1"/>
      <protection locked="0"/>
    </xf>
    <xf numFmtId="0" fontId="39" fillId="12" borderId="0" xfId="3" applyFont="1" applyFill="1" applyAlignment="1" applyProtection="1">
      <alignment vertical="center" wrapText="1"/>
      <protection locked="0"/>
    </xf>
    <xf numFmtId="0" fontId="9" fillId="12" borderId="1" xfId="3" applyFont="1" applyFill="1" applyBorder="1" applyAlignment="1" applyProtection="1">
      <alignment horizontal="center" vertical="center" wrapText="1"/>
      <protection locked="0"/>
    </xf>
    <xf numFmtId="0" fontId="9" fillId="12" borderId="1" xfId="2" applyFont="1" applyFill="1" applyBorder="1" applyAlignment="1" applyProtection="1">
      <alignment horizontal="left" vertical="center" wrapText="1"/>
      <protection locked="0"/>
    </xf>
    <xf numFmtId="0" fontId="9" fillId="12" borderId="14" xfId="3" applyFont="1" applyFill="1" applyBorder="1" applyAlignment="1">
      <alignment horizontal="left" vertical="center" wrapText="1"/>
    </xf>
    <xf numFmtId="0" fontId="46" fillId="4" borderId="1" xfId="3" applyFont="1" applyFill="1" applyBorder="1" applyAlignment="1" applyProtection="1">
      <alignment horizontal="left" vertical="center" wrapText="1"/>
      <protection locked="0"/>
    </xf>
    <xf numFmtId="0" fontId="47" fillId="12" borderId="2" xfId="14" applyFont="1" applyFill="1" applyBorder="1" applyAlignment="1" applyProtection="1">
      <alignment horizontal="center" vertical="center" wrapText="1"/>
      <protection locked="0"/>
    </xf>
    <xf numFmtId="0" fontId="46" fillId="12" borderId="1" xfId="3" applyFont="1" applyFill="1" applyBorder="1" applyAlignment="1" applyProtection="1">
      <alignment horizontal="left" vertical="center" wrapText="1"/>
      <protection locked="0"/>
    </xf>
    <xf numFmtId="0" fontId="39" fillId="12" borderId="1" xfId="0" applyFont="1" applyFill="1" applyBorder="1" applyAlignment="1" applyProtection="1">
      <alignment vertical="center" wrapText="1"/>
      <protection locked="0"/>
    </xf>
    <xf numFmtId="0" fontId="47" fillId="12" borderId="2" xfId="2" applyFont="1" applyFill="1" applyBorder="1" applyAlignment="1" applyProtection="1">
      <alignment horizontal="center" vertical="center" wrapText="1"/>
      <protection locked="0"/>
    </xf>
    <xf numFmtId="0" fontId="46" fillId="12" borderId="13" xfId="0" applyFont="1" applyFill="1" applyBorder="1" applyAlignment="1" applyProtection="1">
      <alignment horizontal="center" vertical="center" wrapText="1"/>
      <protection locked="0"/>
    </xf>
    <xf numFmtId="0" fontId="46" fillId="4" borderId="1" xfId="3" applyFont="1" applyFill="1" applyBorder="1" applyAlignment="1" applyProtection="1">
      <alignment horizontal="center" vertical="center" wrapText="1"/>
      <protection locked="0"/>
    </xf>
    <xf numFmtId="0" fontId="46" fillId="4" borderId="2" xfId="2" applyFont="1" applyFill="1" applyBorder="1" applyAlignment="1" applyProtection="1">
      <alignment horizontal="center" vertical="center" wrapText="1"/>
      <protection locked="0"/>
    </xf>
    <xf numFmtId="0" fontId="46" fillId="4" borderId="2" xfId="3" applyFont="1" applyFill="1" applyBorder="1" applyAlignment="1" applyProtection="1">
      <alignment horizontal="left" vertical="center" wrapText="1"/>
      <protection locked="0"/>
    </xf>
    <xf numFmtId="0" fontId="46" fillId="4" borderId="10" xfId="3" applyFont="1" applyFill="1" applyBorder="1" applyAlignment="1" applyProtection="1">
      <alignment horizontal="left" vertical="center" wrapText="1"/>
      <protection locked="0"/>
    </xf>
    <xf numFmtId="0" fontId="9" fillId="0" borderId="0" xfId="3" applyFont="1" applyAlignment="1">
      <alignment horizontal="left" vertical="center" wrapText="1"/>
    </xf>
    <xf numFmtId="0" fontId="9" fillId="0" borderId="0" xfId="3" applyFont="1" applyAlignment="1">
      <alignment horizontal="center" vertical="center"/>
    </xf>
    <xf numFmtId="0" fontId="9" fillId="12" borderId="3" xfId="0" applyFont="1" applyFill="1" applyBorder="1" applyAlignment="1" applyProtection="1">
      <alignment horizontal="center" vertical="center" wrapText="1"/>
      <protection locked="0"/>
    </xf>
    <xf numFmtId="0" fontId="9" fillId="12" borderId="3" xfId="2" applyFont="1" applyFill="1" applyBorder="1" applyAlignment="1" applyProtection="1">
      <alignment horizontal="center" vertical="center" wrapText="1"/>
      <protection locked="0"/>
    </xf>
    <xf numFmtId="0" fontId="46" fillId="4" borderId="3" xfId="2" applyFont="1" applyFill="1" applyBorder="1" applyAlignment="1" applyProtection="1">
      <alignment horizontal="left" vertical="center" wrapText="1"/>
      <protection locked="0"/>
    </xf>
    <xf numFmtId="0" fontId="46" fillId="4" borderId="17" xfId="2" applyFont="1" applyFill="1" applyBorder="1" applyAlignment="1" applyProtection="1">
      <alignment horizontal="center" vertical="center" wrapText="1"/>
      <protection locked="0"/>
    </xf>
    <xf numFmtId="0" fontId="46" fillId="4" borderId="2" xfId="0" applyFont="1" applyFill="1" applyBorder="1" applyAlignment="1" applyProtection="1">
      <alignment horizontal="center" vertical="center" wrapText="1"/>
      <protection locked="0"/>
    </xf>
    <xf numFmtId="0" fontId="46" fillId="4" borderId="12" xfId="2" applyFont="1" applyFill="1" applyBorder="1" applyAlignment="1" applyProtection="1">
      <alignment horizontal="left" vertical="center" wrapText="1"/>
      <protection locked="0"/>
    </xf>
    <xf numFmtId="0" fontId="9" fillId="0" borderId="27" xfId="2" applyFont="1" applyBorder="1" applyAlignment="1" applyProtection="1">
      <alignment horizontal="center" vertical="center"/>
      <protection locked="0"/>
    </xf>
    <xf numFmtId="0" fontId="9" fillId="0" borderId="0" xfId="2" applyFont="1" applyAlignment="1" applyProtection="1">
      <alignment horizontal="center" vertical="center" wrapText="1"/>
      <protection locked="0"/>
    </xf>
    <xf numFmtId="0" fontId="9" fillId="0" borderId="80" xfId="3" applyFont="1" applyBorder="1" applyAlignment="1" applyProtection="1">
      <alignment horizontal="left" vertical="center" wrapText="1"/>
      <protection locked="0"/>
    </xf>
    <xf numFmtId="0" fontId="46" fillId="4" borderId="1" xfId="0" applyFont="1" applyFill="1" applyBorder="1" applyAlignment="1" applyProtection="1">
      <alignment horizontal="center" vertical="center" wrapText="1"/>
      <protection locked="0"/>
    </xf>
    <xf numFmtId="0" fontId="46" fillId="4" borderId="14" xfId="3" applyFont="1" applyFill="1" applyBorder="1" applyAlignment="1" applyProtection="1">
      <alignment horizontal="left" vertical="center" wrapText="1"/>
      <protection locked="0"/>
    </xf>
    <xf numFmtId="0" fontId="47" fillId="12" borderId="1" xfId="2" applyFont="1" applyFill="1" applyBorder="1" applyAlignment="1" applyProtection="1">
      <alignment horizontal="center" vertical="center" wrapText="1"/>
      <protection locked="0"/>
    </xf>
    <xf numFmtId="0" fontId="46" fillId="12" borderId="1" xfId="0" applyFont="1" applyFill="1" applyBorder="1" applyAlignment="1" applyProtection="1">
      <alignment vertical="center" wrapText="1"/>
      <protection locked="0"/>
    </xf>
    <xf numFmtId="0" fontId="9" fillId="12" borderId="1" xfId="0" applyFont="1" applyFill="1" applyBorder="1" applyAlignment="1" applyProtection="1">
      <alignment horizontal="center" vertical="center" wrapText="1"/>
      <protection locked="0"/>
    </xf>
    <xf numFmtId="0" fontId="49" fillId="12" borderId="1" xfId="14" applyFont="1" applyFill="1" applyBorder="1" applyAlignment="1" applyProtection="1">
      <alignment horizontal="center" vertical="center" wrapText="1"/>
      <protection locked="0"/>
    </xf>
    <xf numFmtId="0" fontId="49" fillId="12" borderId="3" xfId="0" applyFont="1" applyFill="1" applyBorder="1" applyAlignment="1" applyProtection="1">
      <alignment horizontal="center" vertical="center" wrapText="1"/>
      <protection locked="0"/>
    </xf>
    <xf numFmtId="0" fontId="49" fillId="12" borderId="1" xfId="3" applyFont="1" applyFill="1" applyBorder="1" applyAlignment="1" applyProtection="1">
      <alignment vertical="center" wrapText="1"/>
      <protection locked="0"/>
    </xf>
    <xf numFmtId="0" fontId="49" fillId="12" borderId="1" xfId="2" applyFont="1" applyFill="1" applyBorder="1" applyAlignment="1" applyProtection="1">
      <alignment horizontal="center" vertical="center" wrapText="1"/>
      <protection locked="0"/>
    </xf>
    <xf numFmtId="0" fontId="49" fillId="0" borderId="12" xfId="2" applyFont="1" applyBorder="1" applyAlignment="1" applyProtection="1">
      <alignment horizontal="left" vertical="center" wrapText="1"/>
      <protection locked="0"/>
    </xf>
    <xf numFmtId="0" fontId="50" fillId="4" borderId="1" xfId="0" applyFont="1" applyFill="1" applyBorder="1" applyAlignment="1" applyProtection="1">
      <alignment horizontal="center" vertical="center" wrapText="1"/>
      <protection locked="0"/>
    </xf>
    <xf numFmtId="0" fontId="49" fillId="4" borderId="1" xfId="0" applyFont="1" applyFill="1" applyBorder="1" applyAlignment="1" applyProtection="1">
      <alignment horizontal="center" vertical="center" wrapText="1"/>
      <protection locked="0"/>
    </xf>
    <xf numFmtId="0" fontId="49" fillId="4" borderId="1" xfId="3" applyFont="1" applyFill="1" applyBorder="1" applyAlignment="1" applyProtection="1">
      <alignment horizontal="left" vertical="center" wrapText="1"/>
      <protection locked="0"/>
    </xf>
    <xf numFmtId="0" fontId="49" fillId="4" borderId="1" xfId="2" applyFont="1" applyFill="1" applyBorder="1" applyAlignment="1" applyProtection="1">
      <alignment horizontal="center" vertical="center" wrapText="1"/>
      <protection locked="0"/>
    </xf>
    <xf numFmtId="0" fontId="49" fillId="4" borderId="1" xfId="3" applyFont="1" applyFill="1" applyBorder="1" applyAlignment="1" applyProtection="1">
      <alignment horizontal="right" vertical="center" wrapText="1"/>
      <protection locked="0"/>
    </xf>
    <xf numFmtId="0" fontId="50" fillId="4" borderId="3" xfId="0" applyFont="1" applyFill="1" applyBorder="1" applyAlignment="1" applyProtection="1">
      <alignment horizontal="center" vertical="center" wrapText="1"/>
      <protection locked="0"/>
    </xf>
    <xf numFmtId="0" fontId="49" fillId="4" borderId="3" xfId="0" applyFont="1" applyFill="1" applyBorder="1" applyAlignment="1" applyProtection="1">
      <alignment horizontal="center" vertical="center" wrapText="1"/>
      <protection locked="0"/>
    </xf>
    <xf numFmtId="0" fontId="49" fillId="4" borderId="3" xfId="3" applyFont="1" applyFill="1" applyBorder="1" applyAlignment="1" applyProtection="1">
      <alignment horizontal="left" vertical="center" wrapText="1"/>
      <protection locked="0"/>
    </xf>
    <xf numFmtId="0" fontId="49" fillId="4" borderId="3" xfId="3" applyFont="1" applyFill="1" applyBorder="1" applyAlignment="1" applyProtection="1">
      <alignment horizontal="right" vertical="center" wrapText="1"/>
      <protection locked="0"/>
    </xf>
    <xf numFmtId="0" fontId="50" fillId="0" borderId="3" xfId="0" applyFont="1" applyBorder="1" applyAlignment="1" applyProtection="1">
      <alignment horizontal="center" vertical="center" wrapText="1"/>
      <protection locked="0"/>
    </xf>
    <xf numFmtId="0" fontId="47" fillId="4" borderId="3" xfId="0" applyFont="1" applyFill="1" applyBorder="1" applyAlignment="1" applyProtection="1">
      <alignment horizontal="center" vertical="center" wrapText="1"/>
      <protection locked="0"/>
    </xf>
    <xf numFmtId="0" fontId="46" fillId="4" borderId="1" xfId="3" applyFont="1" applyFill="1" applyBorder="1" applyAlignment="1" applyProtection="1">
      <alignment horizontal="right" vertical="center" wrapText="1"/>
      <protection locked="0"/>
    </xf>
    <xf numFmtId="0" fontId="50" fillId="4" borderId="10" xfId="0" applyFont="1" applyFill="1" applyBorder="1" applyAlignment="1" applyProtection="1">
      <alignment horizontal="center" vertical="center" wrapText="1"/>
      <protection locked="0"/>
    </xf>
    <xf numFmtId="0" fontId="49" fillId="4" borderId="10" xfId="0" applyFont="1" applyFill="1" applyBorder="1" applyAlignment="1" applyProtection="1">
      <alignment horizontal="center" vertical="center" wrapText="1"/>
      <protection locked="0"/>
    </xf>
    <xf numFmtId="0" fontId="49" fillId="4" borderId="10" xfId="3" applyFont="1" applyFill="1" applyBorder="1" applyAlignment="1" applyProtection="1">
      <alignment horizontal="left" vertical="center" wrapText="1"/>
      <protection locked="0"/>
    </xf>
    <xf numFmtId="0" fontId="49" fillId="4" borderId="10" xfId="2" applyFont="1" applyFill="1" applyBorder="1" applyAlignment="1" applyProtection="1">
      <alignment horizontal="center" vertical="center" wrapText="1"/>
      <protection locked="0"/>
    </xf>
    <xf numFmtId="0" fontId="49" fillId="4" borderId="10" xfId="3" applyFont="1" applyFill="1" applyBorder="1" applyAlignment="1" applyProtection="1">
      <alignment horizontal="right" vertical="center" wrapText="1"/>
      <protection locked="0"/>
    </xf>
    <xf numFmtId="0" fontId="49" fillId="0" borderId="1" xfId="3" applyFont="1" applyBorder="1" applyAlignment="1" applyProtection="1">
      <alignment horizontal="left" vertical="center" wrapText="1"/>
      <protection locked="0"/>
    </xf>
    <xf numFmtId="0" fontId="49" fillId="0" borderId="3" xfId="3" applyFont="1" applyBorder="1" applyAlignment="1" applyProtection="1">
      <alignment horizontal="left" vertical="center" wrapText="1"/>
      <protection locked="0"/>
    </xf>
    <xf numFmtId="0" fontId="49" fillId="0" borderId="10" xfId="3" applyFont="1" applyBorder="1" applyAlignment="1" applyProtection="1">
      <alignment horizontal="left" vertical="center" wrapText="1"/>
      <protection locked="0"/>
    </xf>
    <xf numFmtId="0" fontId="9" fillId="0" borderId="0" xfId="3" applyFont="1" applyAlignment="1" applyProtection="1">
      <alignment horizontal="center" vertical="center" wrapText="1"/>
      <protection locked="0"/>
    </xf>
    <xf numFmtId="0" fontId="11" fillId="13" borderId="0" xfId="14" applyFont="1" applyFill="1" applyAlignment="1" applyProtection="1">
      <alignment horizontal="center" vertical="center" wrapText="1"/>
      <protection locked="0"/>
    </xf>
    <xf numFmtId="0" fontId="9" fillId="13" borderId="0" xfId="0" applyFont="1" applyFill="1" applyAlignment="1" applyProtection="1">
      <alignment horizontal="center" vertical="center" wrapText="1"/>
      <protection locked="0"/>
    </xf>
    <xf numFmtId="0" fontId="9" fillId="13" borderId="0" xfId="3" applyFont="1" applyFill="1" applyAlignment="1" applyProtection="1">
      <alignment horizontal="left" vertical="center" wrapText="1"/>
      <protection locked="0"/>
    </xf>
    <xf numFmtId="0" fontId="9" fillId="13" borderId="0" xfId="2" applyFont="1" applyFill="1" applyAlignment="1" applyProtection="1">
      <alignment horizontal="center" vertical="center" wrapText="1"/>
      <protection locked="0"/>
    </xf>
    <xf numFmtId="0" fontId="9" fillId="13" borderId="1" xfId="3" applyFont="1" applyFill="1" applyBorder="1" applyAlignment="1" applyProtection="1">
      <alignment horizontal="right" vertical="center" wrapText="1"/>
      <protection locked="0"/>
    </xf>
    <xf numFmtId="0" fontId="9" fillId="13" borderId="0" xfId="3" applyFont="1" applyFill="1" applyAlignment="1" applyProtection="1">
      <alignment horizontal="right" vertical="center" wrapText="1"/>
      <protection locked="0"/>
    </xf>
    <xf numFmtId="0" fontId="1" fillId="8" borderId="1" xfId="16" applyFont="1" applyFill="1" applyBorder="1" applyAlignment="1" applyProtection="1">
      <alignment horizontal="center" vertical="center" wrapText="1"/>
      <protection locked="0"/>
    </xf>
    <xf numFmtId="0" fontId="1" fillId="8" borderId="14" xfId="16" applyFont="1" applyFill="1" applyBorder="1" applyAlignment="1" applyProtection="1">
      <alignment horizontal="center" vertical="center" wrapText="1"/>
      <protection locked="0"/>
    </xf>
    <xf numFmtId="0" fontId="1" fillId="8" borderId="1" xfId="12" applyFont="1" applyFill="1" applyBorder="1" applyAlignment="1" applyProtection="1">
      <alignment horizontal="center" vertical="center"/>
      <protection locked="0"/>
    </xf>
    <xf numFmtId="1" fontId="1" fillId="8" borderId="14" xfId="12" applyNumberFormat="1" applyFont="1" applyFill="1" applyBorder="1" applyAlignment="1" applyProtection="1">
      <alignment horizontal="center" vertical="center"/>
      <protection locked="0"/>
    </xf>
    <xf numFmtId="0" fontId="0" fillId="0" borderId="48" xfId="3" applyFont="1" applyBorder="1" applyAlignment="1">
      <alignment horizontal="left" vertical="center" wrapText="1"/>
    </xf>
    <xf numFmtId="0" fontId="9" fillId="4" borderId="1" xfId="3" applyFont="1" applyFill="1" applyBorder="1" applyAlignment="1">
      <alignment vertical="center" wrapText="1"/>
    </xf>
    <xf numFmtId="0" fontId="9" fillId="4" borderId="14" xfId="2" applyFont="1" applyFill="1" applyBorder="1" applyAlignment="1">
      <alignment horizontal="left" vertical="center" wrapText="1"/>
    </xf>
    <xf numFmtId="0" fontId="9" fillId="12" borderId="1" xfId="2" applyFont="1" applyFill="1" applyBorder="1" applyAlignment="1" applyProtection="1">
      <alignment horizontal="center" vertical="center" wrapText="1"/>
      <protection locked="0"/>
    </xf>
    <xf numFmtId="0" fontId="9" fillId="13" borderId="27" xfId="2" applyFont="1" applyFill="1" applyBorder="1" applyAlignment="1" applyProtection="1">
      <alignment horizontal="center" vertical="center"/>
      <protection locked="0"/>
    </xf>
    <xf numFmtId="0" fontId="9" fillId="13" borderId="0" xfId="3" applyFont="1" applyFill="1" applyAlignment="1" applyProtection="1">
      <alignment horizontal="center" vertical="center" wrapText="1"/>
      <protection locked="0"/>
    </xf>
    <xf numFmtId="0" fontId="9" fillId="13" borderId="0" xfId="2" applyFont="1" applyFill="1" applyAlignment="1" applyProtection="1">
      <alignment horizontal="left" vertical="center" wrapText="1"/>
      <protection locked="0"/>
    </xf>
    <xf numFmtId="0" fontId="9" fillId="13" borderId="80" xfId="3" applyFont="1" applyFill="1" applyBorder="1" applyAlignment="1" applyProtection="1">
      <alignment horizontal="left" vertical="center" wrapText="1"/>
      <protection locked="0"/>
    </xf>
    <xf numFmtId="9" fontId="20" fillId="13" borderId="0" xfId="11" applyFont="1" applyFill="1" applyAlignment="1" applyProtection="1">
      <alignment horizontal="center" vertical="center"/>
      <protection locked="0"/>
    </xf>
    <xf numFmtId="0" fontId="9" fillId="13" borderId="0" xfId="0" applyFont="1" applyFill="1" applyAlignment="1" applyProtection="1">
      <alignment horizontal="center" vertical="center"/>
      <protection locked="0"/>
    </xf>
    <xf numFmtId="0" fontId="9" fillId="13" borderId="0" xfId="3" applyFont="1" applyFill="1" applyProtection="1">
      <protection locked="0"/>
    </xf>
    <xf numFmtId="0" fontId="11" fillId="13" borderId="0" xfId="3" applyFont="1" applyFill="1" applyAlignment="1" applyProtection="1">
      <alignment horizontal="center" vertical="center"/>
      <protection locked="0"/>
    </xf>
    <xf numFmtId="0" fontId="9" fillId="13" borderId="0" xfId="0" applyFont="1" applyFill="1" applyProtection="1">
      <protection locked="0"/>
    </xf>
    <xf numFmtId="164" fontId="20" fillId="13" borderId="0" xfId="0" applyNumberFormat="1" applyFont="1" applyFill="1" applyAlignment="1" applyProtection="1">
      <alignment horizontal="center" vertical="center"/>
      <protection locked="0"/>
    </xf>
    <xf numFmtId="0" fontId="9" fillId="4" borderId="15" xfId="3" applyFont="1" applyFill="1" applyBorder="1" applyAlignment="1">
      <alignment horizontal="left" vertical="center" wrapText="1"/>
    </xf>
    <xf numFmtId="0" fontId="9" fillId="4" borderId="14" xfId="3" applyFont="1" applyFill="1" applyBorder="1" applyAlignment="1">
      <alignment horizontal="left" vertical="center" wrapText="1"/>
    </xf>
    <xf numFmtId="0" fontId="9" fillId="4" borderId="14" xfId="3" applyFont="1" applyFill="1" applyBorder="1" applyAlignment="1" applyProtection="1">
      <alignment horizontal="left" vertical="center" wrapText="1"/>
      <protection locked="0"/>
    </xf>
    <xf numFmtId="0" fontId="9" fillId="4" borderId="17" xfId="3" applyFont="1" applyFill="1" applyBorder="1" applyAlignment="1">
      <alignment horizontal="left" vertical="center" wrapText="1"/>
    </xf>
    <xf numFmtId="0" fontId="9" fillId="12" borderId="1" xfId="2" applyFont="1" applyFill="1" applyBorder="1" applyAlignment="1">
      <alignment horizontal="right" vertical="center" wrapText="1"/>
    </xf>
    <xf numFmtId="0" fontId="13" fillId="4" borderId="1" xfId="3" applyFont="1" applyFill="1" applyBorder="1" applyAlignment="1">
      <alignment horizontal="left" vertical="center" wrapText="1"/>
    </xf>
    <xf numFmtId="0" fontId="1" fillId="4" borderId="48" xfId="3" applyFont="1" applyFill="1" applyBorder="1" applyAlignment="1">
      <alignment horizontal="right" vertical="center" wrapText="1"/>
    </xf>
    <xf numFmtId="1" fontId="1" fillId="8" borderId="1" xfId="12" applyNumberFormat="1" applyFont="1" applyFill="1" applyBorder="1" applyAlignment="1">
      <alignment horizontal="center" vertical="center"/>
    </xf>
    <xf numFmtId="0" fontId="51" fillId="0" borderId="81" xfId="0" applyFont="1" applyBorder="1" applyAlignment="1">
      <alignment horizontal="center" vertical="top"/>
    </xf>
    <xf numFmtId="0" fontId="9" fillId="5" borderId="28" xfId="2" applyFont="1" applyFill="1" applyBorder="1" applyAlignment="1">
      <alignment horizontal="center" vertical="center"/>
    </xf>
    <xf numFmtId="0" fontId="0" fillId="0" borderId="32" xfId="0" applyBorder="1"/>
    <xf numFmtId="0" fontId="0" fillId="0" borderId="33" xfId="0" applyBorder="1"/>
    <xf numFmtId="0" fontId="14" fillId="10" borderId="1" xfId="3" applyFont="1" applyFill="1" applyBorder="1" applyAlignment="1">
      <alignment horizontal="center" vertical="center" wrapText="1"/>
    </xf>
    <xf numFmtId="0" fontId="0" fillId="0" borderId="3" xfId="0" applyBorder="1"/>
    <xf numFmtId="0" fontId="9" fillId="2" borderId="27" xfId="14" applyFont="1" applyFill="1" applyBorder="1" applyAlignment="1">
      <alignment horizontal="center" vertical="center" wrapText="1"/>
    </xf>
    <xf numFmtId="0" fontId="11" fillId="0" borderId="0" xfId="0" applyFont="1" applyProtection="1">
      <protection locked="0"/>
    </xf>
    <xf numFmtId="0" fontId="9" fillId="0" borderId="0" xfId="0" applyFont="1" applyAlignment="1" applyProtection="1">
      <alignment horizontal="center"/>
      <protection locked="0"/>
    </xf>
    <xf numFmtId="0" fontId="9" fillId="0" borderId="0" xfId="0" applyFont="1" applyAlignment="1" applyProtection="1">
      <alignment wrapText="1"/>
      <protection locked="0"/>
    </xf>
    <xf numFmtId="0" fontId="9" fillId="0" borderId="0" xfId="0" applyFont="1" applyProtection="1">
      <protection locked="0"/>
    </xf>
    <xf numFmtId="0" fontId="9" fillId="3" borderId="61" xfId="14" applyFont="1" applyFill="1" applyBorder="1" applyAlignment="1">
      <alignment horizontal="center" vertical="center" wrapText="1"/>
    </xf>
    <xf numFmtId="0" fontId="0" fillId="0" borderId="62" xfId="0" applyBorder="1"/>
    <xf numFmtId="0" fontId="11" fillId="3" borderId="28" xfId="2" applyFont="1" applyFill="1" applyBorder="1" applyAlignment="1">
      <alignment horizontal="center" vertical="center" wrapText="1"/>
    </xf>
    <xf numFmtId="0" fontId="0" fillId="0" borderId="30" xfId="0" applyBorder="1"/>
    <xf numFmtId="0" fontId="1" fillId="0" borderId="28" xfId="10" applyFont="1" applyBorder="1" applyAlignment="1">
      <alignment horizontal="center" vertical="top" textRotation="90"/>
    </xf>
    <xf numFmtId="0" fontId="0" fillId="0" borderId="29" xfId="0" applyBorder="1"/>
    <xf numFmtId="0" fontId="1" fillId="0" borderId="28" xfId="10" applyFont="1" applyBorder="1" applyAlignment="1">
      <alignment horizontal="center" vertical="top" textRotation="90" wrapText="1"/>
    </xf>
  </cellXfs>
  <cellStyles count="19">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2 3 3" xfId="17" xr:uid="{00000000-0005-0000-0000-000011000000}"/>
    <cellStyle name="Normal 2 2 3 4" xfId="18" xr:uid="{00000000-0005-0000-0000-000012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4 2 2 2" xfId="16" xr:uid="{00000000-0005-0000-0000-000010000000}"/>
    <cellStyle name="Normal 5" xfId="2" xr:uid="{00000000-0005-0000-0000-000002000000}"/>
    <cellStyle name="Percent" xfId="11" builtinId="5"/>
  </cellStyles>
  <dxfs count="20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AA210"/>
  <sheetViews>
    <sheetView zoomScale="60" zoomScaleNormal="60" workbookViewId="0">
      <pane xSplit="4" ySplit="3" topLeftCell="F73" activePane="bottomRight" state="frozen"/>
      <selection pane="topRight" activeCell="B3" sqref="B3"/>
      <selection pane="bottomLeft" activeCell="B3" sqref="B3"/>
      <selection pane="bottomRight" activeCell="D78" sqref="D78"/>
    </sheetView>
  </sheetViews>
  <sheetFormatPr baseColWidth="10" defaultColWidth="8.6640625" defaultRowHeight="16" outlineLevelCol="1"/>
  <cols>
    <col min="1" max="1" width="7.5" style="123" hidden="1" customWidth="1"/>
    <col min="2" max="2" width="26" style="203" customWidth="1"/>
    <col min="3" max="3" width="36.6640625" style="202" hidden="1" customWidth="1"/>
    <col min="4" max="4" width="72.6640625" style="201" customWidth="1"/>
    <col min="5" max="5" width="9.6640625" style="123" hidden="1" customWidth="1"/>
    <col min="6" max="6" width="72.6640625" style="201" customWidth="1"/>
    <col min="7" max="7" width="9.6640625" style="123" hidden="1" customWidth="1"/>
    <col min="8" max="8" width="15.6640625" style="123" customWidth="1"/>
    <col min="9" max="9" width="12.33203125" style="123" customWidth="1"/>
    <col min="10" max="10" width="41" style="123" customWidth="1"/>
    <col min="11" max="11" width="33" style="123" customWidth="1"/>
    <col min="12" max="12" width="41.6640625" style="123" customWidth="1"/>
    <col min="13" max="13" width="33.1640625" style="123" customWidth="1"/>
    <col min="14" max="14" width="47.33203125" style="123" customWidth="1"/>
    <col min="15" max="15" width="22.33203125" style="123" customWidth="1"/>
    <col min="16" max="16" width="40.6640625" style="123" customWidth="1"/>
    <col min="17" max="17" width="15" style="300" hidden="1" customWidth="1"/>
    <col min="18" max="18" width="8.6640625" style="137" hidden="1" customWidth="1"/>
    <col min="19" max="19" width="8.6640625" style="123" hidden="1" customWidth="1"/>
    <col min="20" max="20" width="20.6640625" style="172" hidden="1" customWidth="1"/>
    <col min="21" max="21" width="8.6640625" style="123" hidden="1" customWidth="1" outlineLevel="1"/>
    <col min="22" max="22" width="8.6640625" style="123" hidden="1" customWidth="1" collapsed="1"/>
    <col min="23" max="23" width="8.6640625" style="123" hidden="1" customWidth="1"/>
    <col min="24" max="24" width="15.33203125" style="299" hidden="1" customWidth="1"/>
    <col min="25" max="25" width="11.5" style="299" customWidth="1"/>
    <col min="26" max="26" width="10.6640625" style="123" hidden="1" customWidth="1" outlineLevel="1"/>
    <col min="27" max="27" width="8.6640625" style="123" customWidth="1" collapsed="1"/>
    <col min="28" max="28" width="8.6640625" style="123" customWidth="1"/>
    <col min="29" max="16384" width="8.6640625" style="123"/>
  </cols>
  <sheetData>
    <row r="1" spans="1:26" ht="18.75" customHeight="1" thickBot="1">
      <c r="A1" s="653" t="s">
        <v>0</v>
      </c>
      <c r="B1" s="654"/>
      <c r="C1" s="655"/>
      <c r="D1" s="656"/>
      <c r="E1" s="657"/>
      <c r="F1" s="656"/>
      <c r="G1" s="657"/>
      <c r="H1" s="657"/>
      <c r="I1" s="657"/>
      <c r="J1" s="657"/>
      <c r="K1" s="657"/>
      <c r="L1" s="657"/>
      <c r="M1" s="657"/>
      <c r="N1" s="657"/>
      <c r="O1" s="657"/>
      <c r="P1" s="657"/>
      <c r="Q1" s="245"/>
      <c r="R1" s="116"/>
      <c r="T1" s="116"/>
      <c r="X1" s="246"/>
      <c r="Y1" s="246"/>
    </row>
    <row r="2" spans="1:26" ht="15" customHeight="1" thickBot="1">
      <c r="A2" s="658" t="s">
        <v>1</v>
      </c>
      <c r="B2" s="659"/>
      <c r="C2" s="659"/>
      <c r="D2" s="659"/>
      <c r="E2" s="659"/>
      <c r="F2" s="659"/>
      <c r="G2" s="659"/>
      <c r="H2" s="659"/>
      <c r="I2" s="659"/>
      <c r="J2" s="659"/>
      <c r="K2" s="659"/>
      <c r="L2" s="659"/>
      <c r="M2" s="659"/>
      <c r="N2" s="659"/>
      <c r="O2" s="659"/>
      <c r="P2" s="660" t="s">
        <v>2</v>
      </c>
      <c r="Q2" s="245"/>
      <c r="R2" s="116"/>
      <c r="X2" s="246"/>
      <c r="Y2" s="246"/>
    </row>
    <row r="3" spans="1:26" s="203" customFormat="1" ht="61.5" customHeight="1" thickBot="1">
      <c r="A3" s="200" t="s">
        <v>3</v>
      </c>
      <c r="B3" s="199" t="s">
        <v>4</v>
      </c>
      <c r="C3" s="197" t="s">
        <v>5</v>
      </c>
      <c r="D3" s="199" t="s">
        <v>6</v>
      </c>
      <c r="E3" s="198" t="s">
        <v>7</v>
      </c>
      <c r="F3" s="199" t="s">
        <v>8</v>
      </c>
      <c r="G3" s="198" t="s">
        <v>7</v>
      </c>
      <c r="H3" s="199" t="s">
        <v>9</v>
      </c>
      <c r="I3" s="198" t="s">
        <v>10</v>
      </c>
      <c r="J3" s="197" t="s">
        <v>11</v>
      </c>
      <c r="K3" s="197" t="s">
        <v>12</v>
      </c>
      <c r="L3" s="196" t="s">
        <v>13</v>
      </c>
      <c r="M3" s="196" t="s">
        <v>14</v>
      </c>
      <c r="N3" s="195" t="s">
        <v>15</v>
      </c>
      <c r="O3" s="195" t="s">
        <v>16</v>
      </c>
      <c r="P3" s="661"/>
      <c r="Q3" s="241" t="s">
        <v>17</v>
      </c>
      <c r="R3" s="221"/>
      <c r="T3" s="319" t="s">
        <v>18</v>
      </c>
      <c r="X3" s="241" t="s">
        <v>19</v>
      </c>
      <c r="Y3" s="242" t="s">
        <v>20</v>
      </c>
      <c r="Z3" s="242" t="s">
        <v>21</v>
      </c>
    </row>
    <row r="4" spans="1:26" ht="18" customHeight="1" thickBot="1">
      <c r="A4" s="648" t="s">
        <v>22</v>
      </c>
      <c r="B4" s="649"/>
      <c r="C4" s="649"/>
      <c r="D4" s="649"/>
      <c r="E4" s="649"/>
      <c r="F4" s="649"/>
      <c r="G4" s="649"/>
      <c r="H4" s="649"/>
      <c r="I4" s="649"/>
      <c r="J4" s="649"/>
      <c r="K4" s="649"/>
      <c r="L4" s="649"/>
      <c r="M4" s="649"/>
      <c r="N4" s="649"/>
      <c r="O4" s="649"/>
      <c r="P4" s="650"/>
      <c r="Q4" s="245"/>
      <c r="R4" s="116"/>
      <c r="T4" s="172" t="s">
        <v>23</v>
      </c>
      <c r="X4" s="246"/>
      <c r="Y4" s="243" t="str">
        <f>IF(X4="","",X4*V4)</f>
        <v/>
      </c>
      <c r="Z4" s="116" t="str">
        <f t="shared" ref="Z4:Z14" si="0">IF(T4="yes",Y4,"")</f>
        <v/>
      </c>
    </row>
    <row r="5" spans="1:26" ht="26.25" customHeight="1">
      <c r="A5" s="79" t="s">
        <v>24</v>
      </c>
      <c r="B5" s="209" t="s">
        <v>25</v>
      </c>
      <c r="C5" s="217"/>
      <c r="D5" s="120" t="s">
        <v>25</v>
      </c>
      <c r="E5" s="119">
        <f t="shared" ref="E5:E20" si="1">LEN(D5)</f>
        <v>5</v>
      </c>
      <c r="F5" s="120" t="s">
        <v>25</v>
      </c>
      <c r="G5" s="119">
        <f t="shared" ref="G5:G20" si="2">LEN(F5)</f>
        <v>5</v>
      </c>
      <c r="H5" s="119" t="s">
        <v>26</v>
      </c>
      <c r="I5" s="119" t="s">
        <v>24</v>
      </c>
      <c r="J5" s="119" t="s">
        <v>24</v>
      </c>
      <c r="K5" s="119" t="s">
        <v>27</v>
      </c>
      <c r="L5" s="118" t="s">
        <v>28</v>
      </c>
      <c r="M5" s="194" t="s">
        <v>24</v>
      </c>
      <c r="N5" s="194" t="s">
        <v>24</v>
      </c>
      <c r="O5" s="61"/>
      <c r="P5" s="9"/>
      <c r="Q5" s="245"/>
      <c r="R5" s="116"/>
      <c r="T5" s="172" t="s">
        <v>23</v>
      </c>
      <c r="X5" s="244">
        <v>0</v>
      </c>
      <c r="Y5" s="243">
        <f t="shared" ref="Y5:Y14" si="3">IF(X5="","",X5*Q5)</f>
        <v>0</v>
      </c>
      <c r="Z5" s="116" t="str">
        <f t="shared" si="0"/>
        <v/>
      </c>
    </row>
    <row r="6" spans="1:26" ht="17" customHeight="1">
      <c r="A6" s="79" t="s">
        <v>24</v>
      </c>
      <c r="B6" s="167" t="s">
        <v>29</v>
      </c>
      <c r="C6" s="121" t="s">
        <v>29</v>
      </c>
      <c r="D6" s="142" t="s">
        <v>30</v>
      </c>
      <c r="E6" s="119">
        <f t="shared" si="1"/>
        <v>48</v>
      </c>
      <c r="F6" s="478" t="s">
        <v>31</v>
      </c>
      <c r="G6" s="119">
        <f t="shared" si="2"/>
        <v>29</v>
      </c>
      <c r="H6" s="119" t="s">
        <v>26</v>
      </c>
      <c r="I6" s="119" t="s">
        <v>24</v>
      </c>
      <c r="J6" s="119" t="s">
        <v>24</v>
      </c>
      <c r="K6" s="119" t="s">
        <v>27</v>
      </c>
      <c r="L6" s="118" t="s">
        <v>32</v>
      </c>
      <c r="M6" s="194" t="s">
        <v>24</v>
      </c>
      <c r="N6" s="194" t="s">
        <v>24</v>
      </c>
      <c r="O6" s="61"/>
      <c r="P6" s="39"/>
      <c r="Q6" s="245"/>
      <c r="R6" s="116"/>
      <c r="T6" s="172" t="s">
        <v>33</v>
      </c>
      <c r="X6" s="244">
        <v>0</v>
      </c>
      <c r="Y6" s="243">
        <f t="shared" si="3"/>
        <v>0</v>
      </c>
      <c r="Z6" s="116">
        <f t="shared" si="0"/>
        <v>0</v>
      </c>
    </row>
    <row r="7" spans="1:26" ht="136" customHeight="1">
      <c r="A7" s="34" t="s">
        <v>24</v>
      </c>
      <c r="B7" s="161" t="s">
        <v>34</v>
      </c>
      <c r="C7" s="121" t="s">
        <v>34</v>
      </c>
      <c r="D7" s="142" t="s">
        <v>35</v>
      </c>
      <c r="E7" s="127">
        <f t="shared" si="1"/>
        <v>146</v>
      </c>
      <c r="F7" s="478" t="s">
        <v>36</v>
      </c>
      <c r="G7" s="127">
        <f t="shared" si="2"/>
        <v>153</v>
      </c>
      <c r="H7" s="136" t="s">
        <v>37</v>
      </c>
      <c r="I7" s="127" t="s">
        <v>24</v>
      </c>
      <c r="J7" s="127" t="s">
        <v>24</v>
      </c>
      <c r="K7" s="127" t="s">
        <v>38</v>
      </c>
      <c r="L7" s="126" t="s">
        <v>39</v>
      </c>
      <c r="M7" s="194" t="s">
        <v>24</v>
      </c>
      <c r="N7" s="183" t="s">
        <v>24</v>
      </c>
      <c r="O7" s="62"/>
      <c r="P7" s="10"/>
      <c r="Q7" s="245"/>
      <c r="R7" s="116"/>
      <c r="T7" s="172" t="s">
        <v>23</v>
      </c>
      <c r="X7" s="244">
        <v>14.69530773162842</v>
      </c>
      <c r="Y7" s="243">
        <f t="shared" si="3"/>
        <v>0</v>
      </c>
      <c r="Z7" s="116" t="str">
        <f t="shared" si="0"/>
        <v/>
      </c>
    </row>
    <row r="8" spans="1:26" ht="37.5" customHeight="1">
      <c r="A8" s="34" t="s">
        <v>24</v>
      </c>
      <c r="B8" s="161" t="s">
        <v>40</v>
      </c>
      <c r="C8" s="121" t="s">
        <v>41</v>
      </c>
      <c r="D8" s="193" t="s">
        <v>42</v>
      </c>
      <c r="E8" s="127">
        <f t="shared" si="1"/>
        <v>29</v>
      </c>
      <c r="F8" s="479" t="s">
        <v>43</v>
      </c>
      <c r="G8" s="127">
        <f t="shared" si="2"/>
        <v>33</v>
      </c>
      <c r="H8" s="136" t="s">
        <v>24</v>
      </c>
      <c r="I8" s="136" t="s">
        <v>24</v>
      </c>
      <c r="J8" s="136" t="s">
        <v>24</v>
      </c>
      <c r="K8" s="136" t="s">
        <v>24</v>
      </c>
      <c r="L8" s="192" t="s">
        <v>44</v>
      </c>
      <c r="M8" s="194" t="s">
        <v>24</v>
      </c>
      <c r="N8" s="191" t="s">
        <v>24</v>
      </c>
      <c r="O8" s="63"/>
      <c r="P8" s="11"/>
      <c r="Q8" s="245"/>
      <c r="R8" s="116"/>
      <c r="T8" s="172" t="s">
        <v>23</v>
      </c>
      <c r="X8" s="244">
        <v>0</v>
      </c>
      <c r="Y8" s="243">
        <f t="shared" si="3"/>
        <v>0</v>
      </c>
      <c r="Z8" s="116" t="str">
        <f t="shared" si="0"/>
        <v/>
      </c>
    </row>
    <row r="9" spans="1:26" ht="37.5" customHeight="1">
      <c r="A9" s="34" t="s">
        <v>24</v>
      </c>
      <c r="B9" s="161" t="s">
        <v>45</v>
      </c>
      <c r="C9" s="121" t="s">
        <v>46</v>
      </c>
      <c r="D9" s="193" t="s">
        <v>47</v>
      </c>
      <c r="E9" s="127">
        <f t="shared" si="1"/>
        <v>31</v>
      </c>
      <c r="F9" s="479" t="s">
        <v>48</v>
      </c>
      <c r="G9" s="127">
        <f t="shared" si="2"/>
        <v>21</v>
      </c>
      <c r="H9" s="136" t="s">
        <v>24</v>
      </c>
      <c r="I9" s="136" t="s">
        <v>24</v>
      </c>
      <c r="J9" s="136" t="s">
        <v>24</v>
      </c>
      <c r="K9" s="136" t="s">
        <v>24</v>
      </c>
      <c r="L9" s="192" t="s">
        <v>49</v>
      </c>
      <c r="M9" s="194" t="s">
        <v>24</v>
      </c>
      <c r="N9" s="191" t="s">
        <v>24</v>
      </c>
      <c r="O9" s="63"/>
      <c r="P9" s="11"/>
      <c r="Q9" s="245"/>
      <c r="R9" s="116"/>
      <c r="T9" s="172" t="s">
        <v>23</v>
      </c>
      <c r="X9" s="244">
        <v>0</v>
      </c>
      <c r="Y9" s="243">
        <f t="shared" si="3"/>
        <v>0</v>
      </c>
      <c r="Z9" s="116" t="str">
        <f t="shared" si="0"/>
        <v/>
      </c>
    </row>
    <row r="10" spans="1:26" ht="37.5" customHeight="1">
      <c r="A10" s="34" t="s">
        <v>24</v>
      </c>
      <c r="B10" s="161" t="s">
        <v>50</v>
      </c>
      <c r="C10" s="121" t="s">
        <v>51</v>
      </c>
      <c r="D10" s="193" t="s">
        <v>52</v>
      </c>
      <c r="E10" s="127">
        <f t="shared" si="1"/>
        <v>34</v>
      </c>
      <c r="F10" s="479" t="s">
        <v>53</v>
      </c>
      <c r="G10" s="127">
        <f t="shared" si="2"/>
        <v>35</v>
      </c>
      <c r="H10" s="136" t="s">
        <v>24</v>
      </c>
      <c r="I10" s="136" t="s">
        <v>24</v>
      </c>
      <c r="J10" s="136" t="s">
        <v>24</v>
      </c>
      <c r="K10" s="136" t="s">
        <v>24</v>
      </c>
      <c r="L10" s="192" t="s">
        <v>54</v>
      </c>
      <c r="M10" s="194" t="s">
        <v>24</v>
      </c>
      <c r="N10" s="191" t="s">
        <v>24</v>
      </c>
      <c r="O10" s="63"/>
      <c r="P10" s="11"/>
      <c r="Q10" s="245"/>
      <c r="R10" s="116"/>
      <c r="T10" s="172" t="s">
        <v>23</v>
      </c>
      <c r="X10" s="244">
        <v>0</v>
      </c>
      <c r="Y10" s="243">
        <f t="shared" si="3"/>
        <v>0</v>
      </c>
      <c r="Z10" s="116" t="str">
        <f t="shared" si="0"/>
        <v/>
      </c>
    </row>
    <row r="11" spans="1:26" ht="37.5" customHeight="1">
      <c r="A11" s="34" t="s">
        <v>24</v>
      </c>
      <c r="B11" s="161" t="s">
        <v>55</v>
      </c>
      <c r="C11" s="121" t="s">
        <v>56</v>
      </c>
      <c r="D11" s="193" t="s">
        <v>57</v>
      </c>
      <c r="E11" s="127">
        <f t="shared" si="1"/>
        <v>41</v>
      </c>
      <c r="F11" s="479" t="s">
        <v>58</v>
      </c>
      <c r="G11" s="127">
        <f t="shared" si="2"/>
        <v>35</v>
      </c>
      <c r="H11" s="136" t="s">
        <v>24</v>
      </c>
      <c r="I11" s="136" t="s">
        <v>24</v>
      </c>
      <c r="J11" s="136" t="s">
        <v>24</v>
      </c>
      <c r="K11" s="136" t="s">
        <v>24</v>
      </c>
      <c r="L11" s="192" t="s">
        <v>59</v>
      </c>
      <c r="M11" s="194" t="s">
        <v>24</v>
      </c>
      <c r="N11" s="191" t="s">
        <v>24</v>
      </c>
      <c r="O11" s="63"/>
      <c r="P11" s="11"/>
      <c r="Q11" s="245"/>
      <c r="R11" s="116"/>
      <c r="T11" s="172" t="s">
        <v>23</v>
      </c>
      <c r="X11" s="244">
        <v>0</v>
      </c>
      <c r="Y11" s="243">
        <f t="shared" si="3"/>
        <v>0</v>
      </c>
      <c r="Z11" s="116" t="str">
        <f t="shared" si="0"/>
        <v/>
      </c>
    </row>
    <row r="12" spans="1:26" ht="98" customHeight="1">
      <c r="A12" s="34" t="s">
        <v>24</v>
      </c>
      <c r="B12" s="161" t="s">
        <v>60</v>
      </c>
      <c r="C12" s="121" t="s">
        <v>60</v>
      </c>
      <c r="D12" s="625" t="s">
        <v>61</v>
      </c>
      <c r="E12" s="127">
        <f t="shared" si="1"/>
        <v>115</v>
      </c>
      <c r="F12" s="480" t="s">
        <v>62</v>
      </c>
      <c r="G12" s="127">
        <f t="shared" si="2"/>
        <v>103</v>
      </c>
      <c r="H12" s="136" t="s">
        <v>37</v>
      </c>
      <c r="I12" s="127" t="s">
        <v>24</v>
      </c>
      <c r="J12" s="127" t="s">
        <v>24</v>
      </c>
      <c r="K12" s="127" t="s">
        <v>38</v>
      </c>
      <c r="L12" s="126" t="s">
        <v>63</v>
      </c>
      <c r="M12" s="194" t="s">
        <v>24</v>
      </c>
      <c r="N12" s="190" t="s">
        <v>64</v>
      </c>
      <c r="O12" s="64"/>
      <c r="P12" s="12" t="s">
        <v>65</v>
      </c>
      <c r="Q12" s="245"/>
      <c r="R12" s="116"/>
      <c r="T12" s="172" t="s">
        <v>23</v>
      </c>
      <c r="X12" s="244">
        <v>3.103272438049316</v>
      </c>
      <c r="Y12" s="243">
        <f t="shared" si="3"/>
        <v>0</v>
      </c>
      <c r="Z12" s="116" t="str">
        <f t="shared" si="0"/>
        <v/>
      </c>
    </row>
    <row r="13" spans="1:26" ht="408.5" customHeight="1">
      <c r="A13" s="34" t="s">
        <v>24</v>
      </c>
      <c r="B13" s="161" t="s">
        <v>66</v>
      </c>
      <c r="C13" s="121" t="s">
        <v>66</v>
      </c>
      <c r="D13" s="35" t="s">
        <v>67</v>
      </c>
      <c r="E13" s="127">
        <f t="shared" si="1"/>
        <v>1098</v>
      </c>
      <c r="F13" s="480" t="s">
        <v>68</v>
      </c>
      <c r="G13" s="127">
        <f t="shared" si="2"/>
        <v>823</v>
      </c>
      <c r="H13" s="136" t="s">
        <v>37</v>
      </c>
      <c r="I13" s="127" t="s">
        <v>24</v>
      </c>
      <c r="J13" s="127" t="s">
        <v>24</v>
      </c>
      <c r="K13" s="127" t="s">
        <v>38</v>
      </c>
      <c r="L13" s="126" t="s">
        <v>69</v>
      </c>
      <c r="M13" s="194" t="s">
        <v>24</v>
      </c>
      <c r="N13" s="190" t="s">
        <v>70</v>
      </c>
      <c r="O13" s="64"/>
      <c r="P13" s="12" t="s">
        <v>71</v>
      </c>
      <c r="Q13" s="245"/>
      <c r="R13" s="116"/>
      <c r="T13" s="172" t="s">
        <v>23</v>
      </c>
      <c r="X13" s="244">
        <v>37.418449401855469</v>
      </c>
      <c r="Y13" s="243">
        <f t="shared" si="3"/>
        <v>0</v>
      </c>
      <c r="Z13" s="116" t="str">
        <f t="shared" si="0"/>
        <v/>
      </c>
    </row>
    <row r="14" spans="1:26" s="122" customFormat="1" ht="119" customHeight="1">
      <c r="A14" s="34" t="s">
        <v>24</v>
      </c>
      <c r="B14" s="161" t="s">
        <v>72</v>
      </c>
      <c r="C14" s="121" t="s">
        <v>73</v>
      </c>
      <c r="D14" s="142" t="s">
        <v>74</v>
      </c>
      <c r="E14" s="127">
        <f t="shared" si="1"/>
        <v>134</v>
      </c>
      <c r="F14" s="480" t="s">
        <v>75</v>
      </c>
      <c r="G14" s="127">
        <f t="shared" si="2"/>
        <v>119</v>
      </c>
      <c r="H14" s="136" t="s">
        <v>76</v>
      </c>
      <c r="I14" s="127" t="s">
        <v>24</v>
      </c>
      <c r="J14" s="127" t="s">
        <v>24</v>
      </c>
      <c r="K14" s="127" t="s">
        <v>38</v>
      </c>
      <c r="L14" s="126" t="s">
        <v>77</v>
      </c>
      <c r="M14" s="194" t="s">
        <v>24</v>
      </c>
      <c r="N14" s="126" t="s">
        <v>78</v>
      </c>
      <c r="O14" s="43"/>
      <c r="P14" s="10"/>
      <c r="Q14" s="245">
        <v>1</v>
      </c>
      <c r="R14" s="116"/>
      <c r="T14" s="172" t="s">
        <v>23</v>
      </c>
      <c r="U14" s="123"/>
      <c r="X14" s="244">
        <v>3.805951595306396</v>
      </c>
      <c r="Y14" s="243">
        <f t="shared" si="3"/>
        <v>3.805951595306396</v>
      </c>
      <c r="Z14" s="116" t="str">
        <f t="shared" si="0"/>
        <v/>
      </c>
    </row>
    <row r="15" spans="1:26" s="122" customFormat="1" ht="136" customHeight="1">
      <c r="A15" s="14" t="s">
        <v>24</v>
      </c>
      <c r="B15" s="210" t="s">
        <v>79</v>
      </c>
      <c r="C15" s="16" t="s">
        <v>79</v>
      </c>
      <c r="D15" s="20" t="s">
        <v>80</v>
      </c>
      <c r="E15" s="18">
        <f t="shared" si="1"/>
        <v>172</v>
      </c>
      <c r="F15" s="514" t="s">
        <v>81</v>
      </c>
      <c r="G15" s="15">
        <f t="shared" si="2"/>
        <v>185</v>
      </c>
      <c r="H15" s="26" t="s">
        <v>37</v>
      </c>
      <c r="I15" s="18" t="s">
        <v>24</v>
      </c>
      <c r="J15" s="18" t="s">
        <v>24</v>
      </c>
      <c r="K15" s="18" t="s">
        <v>38</v>
      </c>
      <c r="L15" s="25" t="s">
        <v>82</v>
      </c>
      <c r="M15" s="61" t="s">
        <v>24</v>
      </c>
      <c r="N15" s="25" t="s">
        <v>83</v>
      </c>
      <c r="O15" s="25"/>
      <c r="P15" s="51" t="s">
        <v>84</v>
      </c>
      <c r="Q15" s="245">
        <v>1</v>
      </c>
      <c r="R15" s="116"/>
      <c r="T15" s="172" t="s">
        <v>23</v>
      </c>
      <c r="U15" s="123"/>
      <c r="X15" s="244"/>
      <c r="Y15" s="244"/>
      <c r="Z15" s="116"/>
    </row>
    <row r="16" spans="1:26" s="122" customFormat="1" ht="119" customHeight="1">
      <c r="A16" s="34" t="s">
        <v>24</v>
      </c>
      <c r="B16" s="161" t="s">
        <v>85</v>
      </c>
      <c r="C16" s="121" t="s">
        <v>85</v>
      </c>
      <c r="D16" s="170" t="s">
        <v>86</v>
      </c>
      <c r="E16" s="127">
        <f t="shared" si="1"/>
        <v>153</v>
      </c>
      <c r="F16" s="482" t="s">
        <v>87</v>
      </c>
      <c r="G16" s="127">
        <f t="shared" si="2"/>
        <v>122</v>
      </c>
      <c r="H16" s="136" t="s">
        <v>88</v>
      </c>
      <c r="I16" s="127" t="s">
        <v>24</v>
      </c>
      <c r="J16" s="127" t="s">
        <v>24</v>
      </c>
      <c r="K16" s="127" t="s">
        <v>89</v>
      </c>
      <c r="L16" s="126" t="s">
        <v>90</v>
      </c>
      <c r="M16" s="194" t="s">
        <v>24</v>
      </c>
      <c r="N16" s="126" t="s">
        <v>91</v>
      </c>
      <c r="O16" s="65"/>
      <c r="P16" s="10"/>
      <c r="Q16" s="245">
        <v>1</v>
      </c>
      <c r="R16" s="116"/>
      <c r="T16" s="124" t="s">
        <v>23</v>
      </c>
      <c r="U16" s="123"/>
      <c r="X16" s="244">
        <v>0</v>
      </c>
      <c r="Y16" s="243">
        <f t="shared" ref="Y16:Y37" si="4">IF(X16="","",X16*Q16)</f>
        <v>0</v>
      </c>
      <c r="Z16" s="116" t="str">
        <f t="shared" ref="Z16:Z37" si="5">IF(T16="yes",Y16,"")</f>
        <v/>
      </c>
    </row>
    <row r="17" spans="1:26" s="122" customFormat="1" ht="51" customHeight="1">
      <c r="A17" s="34" t="s">
        <v>24</v>
      </c>
      <c r="B17" s="161" t="s">
        <v>92</v>
      </c>
      <c r="C17" s="121" t="s">
        <v>93</v>
      </c>
      <c r="D17" s="142" t="s">
        <v>94</v>
      </c>
      <c r="E17" s="127">
        <f t="shared" si="1"/>
        <v>80</v>
      </c>
      <c r="F17" s="141" t="s">
        <v>95</v>
      </c>
      <c r="G17" s="127">
        <f t="shared" si="2"/>
        <v>89</v>
      </c>
      <c r="H17" s="136" t="s">
        <v>26</v>
      </c>
      <c r="I17" s="127" t="s">
        <v>24</v>
      </c>
      <c r="J17" s="127" t="s">
        <v>24</v>
      </c>
      <c r="K17" s="127" t="s">
        <v>96</v>
      </c>
      <c r="L17" s="126" t="s">
        <v>97</v>
      </c>
      <c r="M17" s="194" t="s">
        <v>24</v>
      </c>
      <c r="N17" s="126" t="s">
        <v>98</v>
      </c>
      <c r="O17" s="65"/>
      <c r="P17" s="10"/>
      <c r="Q17" s="245">
        <v>1</v>
      </c>
      <c r="R17" s="116"/>
      <c r="T17" s="124" t="s">
        <v>23</v>
      </c>
      <c r="U17" s="123"/>
      <c r="X17" s="244">
        <v>0</v>
      </c>
      <c r="Y17" s="243">
        <f t="shared" si="4"/>
        <v>0</v>
      </c>
      <c r="Z17" s="116" t="str">
        <f t="shared" si="5"/>
        <v/>
      </c>
    </row>
    <row r="18" spans="1:26" s="122" customFormat="1" ht="85" customHeight="1">
      <c r="A18" s="34" t="s">
        <v>24</v>
      </c>
      <c r="B18" s="161" t="s">
        <v>99</v>
      </c>
      <c r="C18" s="121" t="s">
        <v>100</v>
      </c>
      <c r="D18" s="142" t="s">
        <v>101</v>
      </c>
      <c r="E18" s="127">
        <f t="shared" si="1"/>
        <v>176</v>
      </c>
      <c r="F18" s="478" t="s">
        <v>102</v>
      </c>
      <c r="G18" s="127">
        <f t="shared" si="2"/>
        <v>164</v>
      </c>
      <c r="H18" s="136" t="s">
        <v>26</v>
      </c>
      <c r="I18" s="127" t="s">
        <v>24</v>
      </c>
      <c r="J18" s="127" t="s">
        <v>24</v>
      </c>
      <c r="K18" s="127" t="s">
        <v>27</v>
      </c>
      <c r="L18" s="126" t="s">
        <v>103</v>
      </c>
      <c r="M18" s="194" t="s">
        <v>24</v>
      </c>
      <c r="N18" s="183" t="s">
        <v>24</v>
      </c>
      <c r="O18" s="62"/>
      <c r="P18" s="10"/>
      <c r="Q18" s="245">
        <v>1</v>
      </c>
      <c r="R18" s="116"/>
      <c r="T18" s="124" t="s">
        <v>23</v>
      </c>
      <c r="U18" s="123"/>
      <c r="X18" s="244">
        <v>0</v>
      </c>
      <c r="Y18" s="243">
        <f t="shared" si="4"/>
        <v>0</v>
      </c>
      <c r="Z18" s="116" t="str">
        <f t="shared" si="5"/>
        <v/>
      </c>
    </row>
    <row r="19" spans="1:26" s="122" customFormat="1" ht="50.25" customHeight="1">
      <c r="A19" s="34" t="s">
        <v>24</v>
      </c>
      <c r="B19" s="161" t="s">
        <v>104</v>
      </c>
      <c r="C19" s="121" t="s">
        <v>24</v>
      </c>
      <c r="D19" s="142" t="s">
        <v>105</v>
      </c>
      <c r="E19" s="127">
        <f t="shared" si="1"/>
        <v>99</v>
      </c>
      <c r="F19" s="478" t="s">
        <v>106</v>
      </c>
      <c r="G19" s="127">
        <f t="shared" si="2"/>
        <v>89</v>
      </c>
      <c r="H19" s="136" t="s">
        <v>24</v>
      </c>
      <c r="I19" s="127" t="s">
        <v>24</v>
      </c>
      <c r="J19" s="127" t="s">
        <v>24</v>
      </c>
      <c r="K19" s="127" t="s">
        <v>24</v>
      </c>
      <c r="L19" s="126" t="s">
        <v>107</v>
      </c>
      <c r="M19" s="194" t="s">
        <v>24</v>
      </c>
      <c r="N19" s="183" t="s">
        <v>24</v>
      </c>
      <c r="O19" s="62"/>
      <c r="P19" s="10"/>
      <c r="Q19" s="245">
        <v>1</v>
      </c>
      <c r="R19" s="116"/>
      <c r="T19" s="124" t="s">
        <v>23</v>
      </c>
      <c r="U19" s="123"/>
      <c r="X19" s="244">
        <v>0</v>
      </c>
      <c r="Y19" s="243">
        <f t="shared" si="4"/>
        <v>0</v>
      </c>
      <c r="Z19" s="116" t="str">
        <f t="shared" si="5"/>
        <v/>
      </c>
    </row>
    <row r="20" spans="1:26" s="122" customFormat="1" ht="50.25" customHeight="1" thickBot="1">
      <c r="A20" s="318" t="s">
        <v>24</v>
      </c>
      <c r="B20" s="189" t="s">
        <v>108</v>
      </c>
      <c r="C20" s="188" t="s">
        <v>109</v>
      </c>
      <c r="D20" s="187" t="s">
        <v>110</v>
      </c>
      <c r="E20" s="185">
        <f t="shared" si="1"/>
        <v>65</v>
      </c>
      <c r="F20" s="483" t="s">
        <v>111</v>
      </c>
      <c r="G20" s="185">
        <f t="shared" si="2"/>
        <v>54</v>
      </c>
      <c r="H20" s="186" t="s">
        <v>24</v>
      </c>
      <c r="I20" s="185" t="s">
        <v>24</v>
      </c>
      <c r="J20" s="185" t="s">
        <v>24</v>
      </c>
      <c r="K20" s="185" t="s">
        <v>24</v>
      </c>
      <c r="L20" s="184" t="s">
        <v>112</v>
      </c>
      <c r="M20" s="194" t="s">
        <v>24</v>
      </c>
      <c r="N20" s="183" t="s">
        <v>24</v>
      </c>
      <c r="O20" s="66"/>
      <c r="P20" s="13"/>
      <c r="Q20" s="245">
        <v>1</v>
      </c>
      <c r="R20" s="116"/>
      <c r="T20" s="124" t="s">
        <v>23</v>
      </c>
      <c r="U20" s="123"/>
      <c r="X20" s="244">
        <v>0</v>
      </c>
      <c r="Y20" s="243">
        <f t="shared" si="4"/>
        <v>0</v>
      </c>
      <c r="Z20" s="116" t="str">
        <f t="shared" si="5"/>
        <v/>
      </c>
    </row>
    <row r="21" spans="1:26" s="376" customFormat="1" ht="17" customHeight="1" thickBot="1">
      <c r="A21" s="648" t="s">
        <v>113</v>
      </c>
      <c r="B21" s="649"/>
      <c r="C21" s="649"/>
      <c r="D21" s="649"/>
      <c r="E21" s="649"/>
      <c r="F21" s="649"/>
      <c r="G21" s="649"/>
      <c r="H21" s="649"/>
      <c r="I21" s="649"/>
      <c r="J21" s="649"/>
      <c r="K21" s="649"/>
      <c r="L21" s="649"/>
      <c r="M21" s="649"/>
      <c r="N21" s="649"/>
      <c r="O21" s="649"/>
      <c r="P21" s="650"/>
      <c r="Q21" s="240"/>
      <c r="R21" s="387"/>
      <c r="T21" s="385"/>
      <c r="U21" s="388"/>
      <c r="X21" s="243"/>
      <c r="Y21" s="243" t="str">
        <f t="shared" si="4"/>
        <v/>
      </c>
      <c r="Z21" s="387" t="str">
        <f t="shared" si="5"/>
        <v/>
      </c>
    </row>
    <row r="22" spans="1:26" s="122" customFormat="1" ht="68.25" customHeight="1">
      <c r="A22" s="317" t="s">
        <v>24</v>
      </c>
      <c r="B22" s="182" t="s">
        <v>114</v>
      </c>
      <c r="C22" s="176" t="s">
        <v>114</v>
      </c>
      <c r="D22" s="181" t="s">
        <v>115</v>
      </c>
      <c r="E22" s="180">
        <f>LEN(D22)</f>
        <v>96</v>
      </c>
      <c r="F22" s="484" t="s">
        <v>116</v>
      </c>
      <c r="G22" s="180">
        <f>LEN(F22)</f>
        <v>60</v>
      </c>
      <c r="H22" s="152" t="s">
        <v>26</v>
      </c>
      <c r="I22" s="180" t="s">
        <v>24</v>
      </c>
      <c r="J22" s="180" t="s">
        <v>24</v>
      </c>
      <c r="K22" s="180" t="s">
        <v>27</v>
      </c>
      <c r="L22" s="179" t="s">
        <v>117</v>
      </c>
      <c r="M22" s="194" t="s">
        <v>24</v>
      </c>
      <c r="N22" s="181" t="s">
        <v>118</v>
      </c>
      <c r="O22" s="178"/>
      <c r="P22" s="48"/>
      <c r="Q22" s="240">
        <f>1</f>
        <v>1</v>
      </c>
      <c r="R22" s="116"/>
      <c r="T22" s="385" t="s">
        <v>33</v>
      </c>
      <c r="U22" s="123"/>
      <c r="X22" s="243">
        <v>25.874027252197269</v>
      </c>
      <c r="Y22" s="243">
        <f t="shared" si="4"/>
        <v>25.874027252197269</v>
      </c>
      <c r="Z22" s="116">
        <f t="shared" si="5"/>
        <v>25.874027252197269</v>
      </c>
    </row>
    <row r="23" spans="1:26" s="122" customFormat="1" ht="51" customHeight="1">
      <c r="A23" s="34" t="s">
        <v>24</v>
      </c>
      <c r="B23" s="182" t="s">
        <v>119</v>
      </c>
      <c r="C23" s="176" t="s">
        <v>119</v>
      </c>
      <c r="D23" s="181" t="s">
        <v>120</v>
      </c>
      <c r="E23" s="180">
        <f>LEN(D23)</f>
        <v>95</v>
      </c>
      <c r="F23" s="484" t="s">
        <v>121</v>
      </c>
      <c r="G23" s="180">
        <f>LEN(F23)</f>
        <v>75</v>
      </c>
      <c r="H23" s="152" t="s">
        <v>26</v>
      </c>
      <c r="I23" s="180" t="s">
        <v>24</v>
      </c>
      <c r="J23" s="180" t="s">
        <v>24</v>
      </c>
      <c r="K23" s="180" t="s">
        <v>27</v>
      </c>
      <c r="L23" s="179" t="s">
        <v>122</v>
      </c>
      <c r="M23" s="194" t="s">
        <v>24</v>
      </c>
      <c r="N23" s="144" t="s">
        <v>123</v>
      </c>
      <c r="O23" s="178"/>
      <c r="P23" s="48"/>
      <c r="Q23" s="240">
        <f>1</f>
        <v>1</v>
      </c>
      <c r="R23" s="116"/>
      <c r="T23" s="385" t="s">
        <v>33</v>
      </c>
      <c r="U23" s="123"/>
      <c r="X23" s="243">
        <v>8.5994815826416016</v>
      </c>
      <c r="Y23" s="243">
        <f t="shared" si="4"/>
        <v>8.5994815826416016</v>
      </c>
      <c r="Z23" s="116">
        <f t="shared" si="5"/>
        <v>8.5994815826416016</v>
      </c>
    </row>
    <row r="24" spans="1:26" s="122" customFormat="1" ht="85" customHeight="1">
      <c r="A24" s="79">
        <v>1</v>
      </c>
      <c r="B24" s="220" t="s">
        <v>124</v>
      </c>
      <c r="C24" s="177" t="s">
        <v>124</v>
      </c>
      <c r="D24" s="120" t="s">
        <v>125</v>
      </c>
      <c r="E24" s="176">
        <f>LEN(D24)</f>
        <v>177</v>
      </c>
      <c r="F24" s="485" t="s">
        <v>126</v>
      </c>
      <c r="G24" s="176">
        <f>LEN(F24)</f>
        <v>135</v>
      </c>
      <c r="H24" s="176" t="s">
        <v>127</v>
      </c>
      <c r="I24" s="176" t="s">
        <v>24</v>
      </c>
      <c r="J24" s="176" t="s">
        <v>24</v>
      </c>
      <c r="K24" s="176" t="s">
        <v>27</v>
      </c>
      <c r="L24" s="118" t="s">
        <v>128</v>
      </c>
      <c r="M24" s="194" t="s">
        <v>24</v>
      </c>
      <c r="N24" s="175" t="s">
        <v>129</v>
      </c>
      <c r="O24" s="174"/>
      <c r="P24" s="48"/>
      <c r="Q24" s="240">
        <f>1</f>
        <v>1</v>
      </c>
      <c r="R24" s="116"/>
      <c r="T24" s="391" t="s">
        <v>33</v>
      </c>
      <c r="U24" s="123"/>
      <c r="X24" s="243">
        <v>9.8907184600830078</v>
      </c>
      <c r="Y24" s="243">
        <f t="shared" si="4"/>
        <v>9.8907184600830078</v>
      </c>
      <c r="Z24" s="116">
        <f t="shared" si="5"/>
        <v>9.8907184600830078</v>
      </c>
    </row>
    <row r="25" spans="1:26" s="122" customFormat="1" ht="153" customHeight="1">
      <c r="A25" s="79">
        <f>A24+1</f>
        <v>2</v>
      </c>
      <c r="B25" s="161" t="s">
        <v>130</v>
      </c>
      <c r="C25" s="121" t="s">
        <v>130</v>
      </c>
      <c r="D25" s="142" t="s">
        <v>131</v>
      </c>
      <c r="E25" s="127">
        <f>LEN(D25)</f>
        <v>168</v>
      </c>
      <c r="F25" s="478" t="s">
        <v>132</v>
      </c>
      <c r="G25" s="127">
        <f>LEN(F25)</f>
        <v>127</v>
      </c>
      <c r="H25" s="136" t="s">
        <v>37</v>
      </c>
      <c r="I25" s="127" t="s">
        <v>24</v>
      </c>
      <c r="J25" s="127" t="s">
        <v>24</v>
      </c>
      <c r="K25" s="127" t="s">
        <v>38</v>
      </c>
      <c r="L25" s="126" t="s">
        <v>133</v>
      </c>
      <c r="M25" s="194" t="s">
        <v>24</v>
      </c>
      <c r="N25" s="118" t="s">
        <v>134</v>
      </c>
      <c r="O25" s="67"/>
      <c r="P25" s="10"/>
      <c r="Q25" s="240">
        <f>1</f>
        <v>1</v>
      </c>
      <c r="R25" s="116"/>
      <c r="T25" s="391" t="s">
        <v>33</v>
      </c>
      <c r="U25" s="123"/>
      <c r="X25" s="243">
        <v>1.7156481742858889</v>
      </c>
      <c r="Y25" s="243">
        <f t="shared" si="4"/>
        <v>1.7156481742858889</v>
      </c>
      <c r="Z25" s="116">
        <f t="shared" si="5"/>
        <v>1.7156481742858889</v>
      </c>
    </row>
    <row r="26" spans="1:26" s="122" customFormat="1">
      <c r="A26" s="79"/>
      <c r="B26" s="234"/>
      <c r="C26" s="80"/>
      <c r="D26" s="104"/>
      <c r="E26" s="36"/>
      <c r="F26" s="36"/>
      <c r="G26" s="36"/>
      <c r="H26" s="81"/>
      <c r="I26" s="36"/>
      <c r="J26" s="36"/>
      <c r="K26" s="36"/>
      <c r="L26" s="67"/>
      <c r="M26" s="67"/>
      <c r="N26" s="67"/>
      <c r="O26" s="67"/>
      <c r="P26" s="10"/>
      <c r="Q26" s="245">
        <f>1</f>
        <v>1</v>
      </c>
      <c r="R26" s="116"/>
      <c r="T26" s="172"/>
      <c r="U26" s="123"/>
      <c r="X26" s="244"/>
      <c r="Y26" s="244" t="str">
        <f t="shared" si="4"/>
        <v/>
      </c>
      <c r="Z26" s="116" t="str">
        <f t="shared" si="5"/>
        <v/>
      </c>
    </row>
    <row r="27" spans="1:26" s="263" customFormat="1" ht="136" customHeight="1">
      <c r="A27" s="316"/>
      <c r="B27" s="273" t="s">
        <v>135</v>
      </c>
      <c r="C27" s="274" t="s">
        <v>135</v>
      </c>
      <c r="D27" s="275" t="s">
        <v>136</v>
      </c>
      <c r="E27" s="276">
        <f t="shared" ref="E27:E34" si="6">LEN(D27)</f>
        <v>134</v>
      </c>
      <c r="F27" s="327" t="s">
        <v>137</v>
      </c>
      <c r="G27" s="276">
        <f t="shared" ref="G27:G34" si="7">LEN(F27)</f>
        <v>124</v>
      </c>
      <c r="H27" s="277" t="s">
        <v>37</v>
      </c>
      <c r="I27" s="276" t="s">
        <v>24</v>
      </c>
      <c r="J27" s="276" t="s">
        <v>24</v>
      </c>
      <c r="K27" s="276" t="s">
        <v>38</v>
      </c>
      <c r="L27" s="278" t="s">
        <v>138</v>
      </c>
      <c r="M27" s="194" t="s">
        <v>24</v>
      </c>
      <c r="N27" s="278" t="s">
        <v>139</v>
      </c>
      <c r="O27" s="279"/>
      <c r="P27" s="280"/>
      <c r="Q27" s="255">
        <f>1</f>
        <v>1</v>
      </c>
      <c r="R27" s="262"/>
      <c r="T27" s="386" t="s">
        <v>140</v>
      </c>
      <c r="U27" s="264"/>
      <c r="X27" s="256">
        <v>6.375236988067627</v>
      </c>
      <c r="Y27" s="243">
        <f t="shared" si="4"/>
        <v>6.375236988067627</v>
      </c>
      <c r="Z27" s="116" t="str">
        <f t="shared" si="5"/>
        <v/>
      </c>
    </row>
    <row r="28" spans="1:26" s="263" customFormat="1" ht="51" customHeight="1">
      <c r="A28" s="316"/>
      <c r="B28" s="273" t="s">
        <v>141</v>
      </c>
      <c r="C28" s="274" t="s">
        <v>142</v>
      </c>
      <c r="D28" s="327" t="s">
        <v>143</v>
      </c>
      <c r="E28" s="276">
        <f t="shared" si="6"/>
        <v>63</v>
      </c>
      <c r="F28" s="486" t="s">
        <v>144</v>
      </c>
      <c r="G28" s="276">
        <f t="shared" si="7"/>
        <v>54</v>
      </c>
      <c r="H28" s="277" t="s">
        <v>26</v>
      </c>
      <c r="I28" s="276" t="s">
        <v>24</v>
      </c>
      <c r="J28" s="276" t="s">
        <v>24</v>
      </c>
      <c r="K28" s="276" t="s">
        <v>27</v>
      </c>
      <c r="L28" s="278" t="s">
        <v>145</v>
      </c>
      <c r="M28" s="194" t="s">
        <v>24</v>
      </c>
      <c r="N28" s="281" t="s">
        <v>146</v>
      </c>
      <c r="O28" s="282"/>
      <c r="P28" s="280"/>
      <c r="Q28" s="255">
        <f>1</f>
        <v>1</v>
      </c>
      <c r="R28" s="262"/>
      <c r="T28" s="386" t="s">
        <v>140</v>
      </c>
      <c r="U28" s="264"/>
      <c r="X28" s="256">
        <v>28.70000076293945</v>
      </c>
      <c r="Y28" s="243">
        <f t="shared" si="4"/>
        <v>28.70000076293945</v>
      </c>
      <c r="Z28" s="116" t="str">
        <f t="shared" si="5"/>
        <v/>
      </c>
    </row>
    <row r="29" spans="1:26" s="263" customFormat="1" ht="187" customHeight="1">
      <c r="A29" s="261"/>
      <c r="B29" s="283" t="s">
        <v>147</v>
      </c>
      <c r="C29" s="284" t="s">
        <v>147</v>
      </c>
      <c r="D29" s="285" t="s">
        <v>148</v>
      </c>
      <c r="E29" s="272">
        <f t="shared" si="6"/>
        <v>265</v>
      </c>
      <c r="F29" s="285" t="s">
        <v>149</v>
      </c>
      <c r="G29" s="272">
        <f t="shared" si="7"/>
        <v>252</v>
      </c>
      <c r="H29" s="286" t="s">
        <v>37</v>
      </c>
      <c r="I29" s="272" t="s">
        <v>24</v>
      </c>
      <c r="J29" s="272" t="s">
        <v>24</v>
      </c>
      <c r="K29" s="272" t="s">
        <v>38</v>
      </c>
      <c r="L29" s="270" t="s">
        <v>150</v>
      </c>
      <c r="M29" s="194" t="s">
        <v>24</v>
      </c>
      <c r="N29" s="287" t="s">
        <v>151</v>
      </c>
      <c r="O29" s="288"/>
      <c r="P29" s="271"/>
      <c r="Q29" s="255">
        <f>1</f>
        <v>1</v>
      </c>
      <c r="R29" s="262"/>
      <c r="T29" s="386" t="s">
        <v>140</v>
      </c>
      <c r="U29" s="264"/>
      <c r="X29" s="256">
        <v>10.14181709289551</v>
      </c>
      <c r="Y29" s="243">
        <f t="shared" si="4"/>
        <v>10.14181709289551</v>
      </c>
      <c r="Z29" s="116" t="str">
        <f t="shared" si="5"/>
        <v/>
      </c>
    </row>
    <row r="30" spans="1:26" s="263" customFormat="1" ht="51" customHeight="1">
      <c r="A30" s="261"/>
      <c r="B30" s="283" t="s">
        <v>152</v>
      </c>
      <c r="C30" s="284" t="s">
        <v>152</v>
      </c>
      <c r="D30" s="327" t="s">
        <v>153</v>
      </c>
      <c r="E30" s="272">
        <f t="shared" si="6"/>
        <v>73</v>
      </c>
      <c r="F30" s="486" t="s">
        <v>154</v>
      </c>
      <c r="G30" s="272">
        <f t="shared" si="7"/>
        <v>63</v>
      </c>
      <c r="H30" s="286" t="s">
        <v>26</v>
      </c>
      <c r="I30" s="272" t="s">
        <v>24</v>
      </c>
      <c r="J30" s="272" t="s">
        <v>24</v>
      </c>
      <c r="K30" s="272" t="s">
        <v>27</v>
      </c>
      <c r="L30" s="270" t="s">
        <v>155</v>
      </c>
      <c r="M30" s="194" t="s">
        <v>24</v>
      </c>
      <c r="N30" s="289" t="s">
        <v>156</v>
      </c>
      <c r="O30" s="290"/>
      <c r="P30" s="271"/>
      <c r="Q30" s="255">
        <f>1</f>
        <v>1</v>
      </c>
      <c r="R30" s="262"/>
      <c r="T30" s="386" t="s">
        <v>140</v>
      </c>
      <c r="U30" s="264"/>
      <c r="X30" s="256">
        <v>21.659982681274411</v>
      </c>
      <c r="Y30" s="243">
        <f t="shared" si="4"/>
        <v>21.659982681274411</v>
      </c>
      <c r="Z30" s="116" t="str">
        <f t="shared" si="5"/>
        <v/>
      </c>
    </row>
    <row r="31" spans="1:26" s="263" customFormat="1" ht="102" customHeight="1">
      <c r="A31" s="261"/>
      <c r="B31" s="283" t="s">
        <v>157</v>
      </c>
      <c r="C31" s="284" t="s">
        <v>157</v>
      </c>
      <c r="D31" s="327" t="s">
        <v>158</v>
      </c>
      <c r="E31" s="272">
        <f t="shared" si="6"/>
        <v>98</v>
      </c>
      <c r="F31" s="398" t="s">
        <v>159</v>
      </c>
      <c r="G31" s="272">
        <f t="shared" si="7"/>
        <v>94</v>
      </c>
      <c r="H31" s="286" t="s">
        <v>26</v>
      </c>
      <c r="I31" s="272" t="s">
        <v>24</v>
      </c>
      <c r="J31" s="272" t="s">
        <v>160</v>
      </c>
      <c r="K31" s="272" t="s">
        <v>27</v>
      </c>
      <c r="L31" s="270" t="s">
        <v>161</v>
      </c>
      <c r="M31" s="194" t="s">
        <v>24</v>
      </c>
      <c r="N31" s="289" t="s">
        <v>162</v>
      </c>
      <c r="O31" s="252"/>
      <c r="P31" s="271"/>
      <c r="Q31" s="255">
        <f>1</f>
        <v>1</v>
      </c>
      <c r="R31" s="262"/>
      <c r="T31" s="386" t="s">
        <v>140</v>
      </c>
      <c r="U31" s="264"/>
      <c r="X31" s="256">
        <v>11.82179641723633</v>
      </c>
      <c r="Y31" s="243">
        <f t="shared" si="4"/>
        <v>11.82179641723633</v>
      </c>
      <c r="Z31" s="116" t="str">
        <f t="shared" si="5"/>
        <v/>
      </c>
    </row>
    <row r="32" spans="1:26" s="263" customFormat="1" ht="187" customHeight="1">
      <c r="A32" s="261"/>
      <c r="B32" s="283" t="s">
        <v>163</v>
      </c>
      <c r="C32" s="284" t="s">
        <v>163</v>
      </c>
      <c r="D32" s="285" t="s">
        <v>148</v>
      </c>
      <c r="E32" s="272">
        <f t="shared" si="6"/>
        <v>265</v>
      </c>
      <c r="F32" s="285" t="s">
        <v>149</v>
      </c>
      <c r="G32" s="272">
        <f t="shared" si="7"/>
        <v>252</v>
      </c>
      <c r="H32" s="286" t="s">
        <v>37</v>
      </c>
      <c r="I32" s="272" t="s">
        <v>24</v>
      </c>
      <c r="J32" s="272" t="s">
        <v>24</v>
      </c>
      <c r="K32" s="272" t="s">
        <v>38</v>
      </c>
      <c r="L32" s="270" t="s">
        <v>164</v>
      </c>
      <c r="M32" s="194" t="s">
        <v>24</v>
      </c>
      <c r="N32" s="287" t="s">
        <v>165</v>
      </c>
      <c r="O32" s="288"/>
      <c r="P32" s="271"/>
      <c r="Q32" s="255">
        <f>1</f>
        <v>1</v>
      </c>
      <c r="R32" s="262"/>
      <c r="T32" s="386" t="s">
        <v>140</v>
      </c>
      <c r="U32" s="264"/>
      <c r="X32" s="256">
        <v>3.163594007492065</v>
      </c>
      <c r="Y32" s="243">
        <f t="shared" si="4"/>
        <v>3.163594007492065</v>
      </c>
      <c r="Z32" s="116" t="str">
        <f t="shared" si="5"/>
        <v/>
      </c>
    </row>
    <row r="33" spans="1:27" s="263" customFormat="1" ht="51" customHeight="1">
      <c r="A33" s="261"/>
      <c r="B33" s="283" t="s">
        <v>166</v>
      </c>
      <c r="C33" s="284" t="s">
        <v>166</v>
      </c>
      <c r="D33" s="327" t="s">
        <v>153</v>
      </c>
      <c r="E33" s="272">
        <f t="shared" si="6"/>
        <v>73</v>
      </c>
      <c r="F33" s="486" t="s">
        <v>154</v>
      </c>
      <c r="G33" s="272">
        <f t="shared" si="7"/>
        <v>63</v>
      </c>
      <c r="H33" s="286" t="s">
        <v>26</v>
      </c>
      <c r="I33" s="272" t="s">
        <v>24</v>
      </c>
      <c r="J33" s="272" t="s">
        <v>24</v>
      </c>
      <c r="K33" s="272" t="s">
        <v>27</v>
      </c>
      <c r="L33" s="270" t="s">
        <v>167</v>
      </c>
      <c r="M33" s="194" t="s">
        <v>24</v>
      </c>
      <c r="N33" s="289" t="s">
        <v>168</v>
      </c>
      <c r="O33" s="290"/>
      <c r="P33" s="271"/>
      <c r="Q33" s="255">
        <f>1</f>
        <v>1</v>
      </c>
      <c r="R33" s="262"/>
      <c r="T33" s="386" t="s">
        <v>140</v>
      </c>
      <c r="U33" s="264"/>
      <c r="X33" s="256">
        <v>10.83014392852783</v>
      </c>
      <c r="Y33" s="243">
        <f t="shared" si="4"/>
        <v>10.83014392852783</v>
      </c>
      <c r="Z33" s="116" t="str">
        <f t="shared" si="5"/>
        <v/>
      </c>
    </row>
    <row r="34" spans="1:27" s="263" customFormat="1" ht="102" customHeight="1">
      <c r="A34" s="261"/>
      <c r="B34" s="283" t="s">
        <v>169</v>
      </c>
      <c r="C34" s="283" t="s">
        <v>170</v>
      </c>
      <c r="D34" s="327" t="s">
        <v>158</v>
      </c>
      <c r="E34" s="272">
        <f t="shared" si="6"/>
        <v>98</v>
      </c>
      <c r="F34" s="398" t="s">
        <v>171</v>
      </c>
      <c r="G34" s="272">
        <f t="shared" si="7"/>
        <v>92</v>
      </c>
      <c r="H34" s="286" t="s">
        <v>26</v>
      </c>
      <c r="I34" s="272" t="s">
        <v>24</v>
      </c>
      <c r="J34" s="272" t="s">
        <v>172</v>
      </c>
      <c r="K34" s="272" t="s">
        <v>27</v>
      </c>
      <c r="L34" s="270" t="s">
        <v>173</v>
      </c>
      <c r="M34" s="194" t="s">
        <v>24</v>
      </c>
      <c r="N34" s="289" t="s">
        <v>174</v>
      </c>
      <c r="O34" s="252"/>
      <c r="P34" s="271"/>
      <c r="Q34" s="255">
        <f>1</f>
        <v>1</v>
      </c>
      <c r="R34" s="262"/>
      <c r="T34" s="386" t="s">
        <v>140</v>
      </c>
      <c r="U34" s="264"/>
      <c r="X34" s="256">
        <v>11.260416984558111</v>
      </c>
      <c r="Y34" s="243">
        <f t="shared" si="4"/>
        <v>11.260416984558111</v>
      </c>
      <c r="Z34" s="116" t="str">
        <f t="shared" si="5"/>
        <v/>
      </c>
    </row>
    <row r="35" spans="1:27" s="113" customFormat="1">
      <c r="A35" s="53"/>
      <c r="B35" s="219"/>
      <c r="C35" s="219"/>
      <c r="D35" s="57"/>
      <c r="E35" s="54"/>
      <c r="F35" s="54"/>
      <c r="G35" s="54"/>
      <c r="H35" s="55"/>
      <c r="I35" s="54"/>
      <c r="J35" s="54"/>
      <c r="K35" s="54"/>
      <c r="L35" s="56"/>
      <c r="M35" s="61"/>
      <c r="N35" s="58"/>
      <c r="O35" s="59"/>
      <c r="P35" s="50"/>
      <c r="Q35" s="245">
        <f>1</f>
        <v>1</v>
      </c>
      <c r="R35" s="116"/>
      <c r="T35" s="115"/>
      <c r="U35" s="114"/>
      <c r="X35" s="244"/>
      <c r="Y35" s="244" t="str">
        <f t="shared" si="4"/>
        <v/>
      </c>
      <c r="Z35" s="116" t="str">
        <f t="shared" si="5"/>
        <v/>
      </c>
    </row>
    <row r="36" spans="1:27" s="122" customFormat="1" ht="153" customHeight="1">
      <c r="A36" s="79">
        <v>3</v>
      </c>
      <c r="B36" s="209" t="s">
        <v>175</v>
      </c>
      <c r="C36" s="121" t="s">
        <v>175</v>
      </c>
      <c r="D36" s="120" t="s">
        <v>176</v>
      </c>
      <c r="E36" s="119">
        <f>LEN(D36)</f>
        <v>229</v>
      </c>
      <c r="F36" s="485" t="s">
        <v>177</v>
      </c>
      <c r="G36" s="119">
        <f>LEN(F36)</f>
        <v>198</v>
      </c>
      <c r="H36" s="129" t="s">
        <v>37</v>
      </c>
      <c r="I36" s="119" t="s">
        <v>24</v>
      </c>
      <c r="J36" s="119" t="s">
        <v>24</v>
      </c>
      <c r="K36" s="119" t="s">
        <v>178</v>
      </c>
      <c r="L36" s="351" t="s">
        <v>179</v>
      </c>
      <c r="M36" s="194" t="s">
        <v>24</v>
      </c>
      <c r="N36" s="651" t="s">
        <v>180</v>
      </c>
      <c r="O36" s="250"/>
      <c r="P36" s="10"/>
      <c r="Q36" s="240">
        <f>1</f>
        <v>1</v>
      </c>
      <c r="R36" s="116"/>
      <c r="T36" s="391" t="s">
        <v>33</v>
      </c>
      <c r="U36" s="123"/>
      <c r="X36" s="243">
        <v>13.957258919109851</v>
      </c>
      <c r="Y36" s="243">
        <f t="shared" si="4"/>
        <v>13.957258919109851</v>
      </c>
      <c r="Z36" s="116">
        <f t="shared" si="5"/>
        <v>13.957258919109851</v>
      </c>
    </row>
    <row r="37" spans="1:27" s="122" customFormat="1" ht="136" customHeight="1">
      <c r="A37" s="34">
        <f>A36+1</f>
        <v>4</v>
      </c>
      <c r="B37" s="161" t="s">
        <v>181</v>
      </c>
      <c r="C37" s="121" t="s">
        <v>181</v>
      </c>
      <c r="D37" s="352" t="s">
        <v>182</v>
      </c>
      <c r="E37" s="127">
        <f>LEN(D37)</f>
        <v>120</v>
      </c>
      <c r="F37" s="487" t="s">
        <v>183</v>
      </c>
      <c r="G37" s="127">
        <f>LEN(F37)</f>
        <v>98</v>
      </c>
      <c r="H37" s="136" t="s">
        <v>37</v>
      </c>
      <c r="I37" s="127" t="s">
        <v>24</v>
      </c>
      <c r="J37" s="127" t="s">
        <v>24</v>
      </c>
      <c r="K37" s="127" t="s">
        <v>184</v>
      </c>
      <c r="L37" s="353" t="s">
        <v>185</v>
      </c>
      <c r="M37" s="194" t="s">
        <v>24</v>
      </c>
      <c r="N37" s="652"/>
      <c r="O37" s="343"/>
      <c r="P37" s="102"/>
      <c r="Q37" s="240">
        <f>1</f>
        <v>1</v>
      </c>
      <c r="R37" s="116"/>
      <c r="T37" s="391" t="s">
        <v>33</v>
      </c>
      <c r="U37" s="123"/>
      <c r="X37" s="243">
        <v>7.9549989700317383</v>
      </c>
      <c r="Y37" s="243">
        <f t="shared" si="4"/>
        <v>7.9549989700317383</v>
      </c>
      <c r="Z37" s="116">
        <f t="shared" si="5"/>
        <v>7.9549989700317383</v>
      </c>
    </row>
    <row r="38" spans="1:27" s="122" customFormat="1" ht="153" customHeight="1">
      <c r="A38" s="91"/>
      <c r="B38" s="211" t="s">
        <v>186</v>
      </c>
      <c r="C38" s="112" t="s">
        <v>186</v>
      </c>
      <c r="D38" s="142" t="s">
        <v>187</v>
      </c>
      <c r="E38" s="354">
        <f>LEN(D38)</f>
        <v>218</v>
      </c>
      <c r="F38" s="488" t="s">
        <v>188</v>
      </c>
      <c r="G38" s="354">
        <f>LEN(F38)</f>
        <v>190</v>
      </c>
      <c r="H38" s="136" t="s">
        <v>37</v>
      </c>
      <c r="I38" s="136" t="s">
        <v>24</v>
      </c>
      <c r="J38" s="136" t="s">
        <v>24</v>
      </c>
      <c r="K38" s="136" t="s">
        <v>38</v>
      </c>
      <c r="L38" s="126" t="s">
        <v>189</v>
      </c>
      <c r="M38" s="194" t="s">
        <v>24</v>
      </c>
      <c r="N38" s="350"/>
      <c r="O38" s="330"/>
      <c r="P38" s="331"/>
      <c r="Q38" s="243"/>
      <c r="R38" s="243"/>
      <c r="S38" s="116"/>
      <c r="U38" s="172"/>
      <c r="V38" s="123"/>
      <c r="Y38" s="243"/>
      <c r="Z38" s="243"/>
      <c r="AA38" s="116"/>
    </row>
    <row r="39" spans="1:27" s="122" customFormat="1" ht="272" customHeight="1">
      <c r="A39" s="91" t="e">
        <f>#REF!+1</f>
        <v>#REF!</v>
      </c>
      <c r="B39" s="211" t="s">
        <v>190</v>
      </c>
      <c r="C39" s="355" t="s">
        <v>190</v>
      </c>
      <c r="D39" s="134" t="s">
        <v>191</v>
      </c>
      <c r="E39" s="110">
        <f>LEN(D39)</f>
        <v>658</v>
      </c>
      <c r="F39" s="488" t="s">
        <v>192</v>
      </c>
      <c r="G39" s="110">
        <f>LEN(F39)</f>
        <v>600</v>
      </c>
      <c r="H39" s="356" t="s">
        <v>37</v>
      </c>
      <c r="I39" s="110" t="s">
        <v>24</v>
      </c>
      <c r="J39" s="110" t="s">
        <v>24</v>
      </c>
      <c r="K39" s="110" t="s">
        <v>38</v>
      </c>
      <c r="L39" s="357" t="s">
        <v>193</v>
      </c>
      <c r="M39" s="194" t="s">
        <v>24</v>
      </c>
      <c r="N39" s="132" t="s">
        <v>194</v>
      </c>
      <c r="O39" s="68"/>
      <c r="P39" s="22"/>
      <c r="Q39" s="240">
        <f>1</f>
        <v>1</v>
      </c>
      <c r="R39" s="116"/>
      <c r="T39" s="391" t="s">
        <v>33</v>
      </c>
      <c r="U39" s="123"/>
      <c r="X39" s="243">
        <v>24.41083908081055</v>
      </c>
      <c r="Y39" s="243">
        <f t="shared" ref="Y39:Y58" si="8">IF(X39="","",X39*Q39)</f>
        <v>24.41083908081055</v>
      </c>
      <c r="Z39" s="116">
        <f t="shared" ref="Z39:Z58" si="9">IF(T39="yes",Y39,"")</f>
        <v>24.41083908081055</v>
      </c>
    </row>
    <row r="40" spans="1:27" s="122" customFormat="1" ht="17" customHeight="1" thickBot="1">
      <c r="A40" s="82"/>
      <c r="B40" s="235"/>
      <c r="C40" s="239"/>
      <c r="D40" s="69"/>
      <c r="E40" s="83"/>
      <c r="F40" s="83"/>
      <c r="G40" s="83"/>
      <c r="H40" s="84"/>
      <c r="I40" s="83"/>
      <c r="J40" s="83"/>
      <c r="K40" s="83"/>
      <c r="L40" s="69"/>
      <c r="M40" s="69"/>
      <c r="N40" s="69"/>
      <c r="O40" s="69"/>
      <c r="P40" s="22"/>
      <c r="Q40" s="245">
        <f>1</f>
        <v>1</v>
      </c>
      <c r="R40" s="116"/>
      <c r="T40" s="172"/>
      <c r="U40" s="123"/>
      <c r="X40" s="244"/>
      <c r="Y40" s="244" t="str">
        <f t="shared" si="8"/>
        <v/>
      </c>
      <c r="Z40" s="116" t="str">
        <f t="shared" si="9"/>
        <v/>
      </c>
    </row>
    <row r="41" spans="1:27" s="122" customFormat="1" ht="17" customHeight="1" thickBot="1">
      <c r="A41" s="648" t="s">
        <v>195</v>
      </c>
      <c r="B41" s="649"/>
      <c r="C41" s="649"/>
      <c r="D41" s="649"/>
      <c r="E41" s="649"/>
      <c r="F41" s="649"/>
      <c r="G41" s="649"/>
      <c r="H41" s="649"/>
      <c r="I41" s="649"/>
      <c r="J41" s="649"/>
      <c r="K41" s="649"/>
      <c r="L41" s="649"/>
      <c r="M41" s="649"/>
      <c r="N41" s="649"/>
      <c r="O41" s="649"/>
      <c r="P41" s="650"/>
      <c r="Q41" s="245"/>
      <c r="R41" s="116"/>
      <c r="T41" s="124"/>
      <c r="U41" s="123"/>
      <c r="X41" s="244"/>
      <c r="Y41" s="243" t="str">
        <f t="shared" si="8"/>
        <v/>
      </c>
      <c r="Z41" s="116" t="str">
        <f t="shared" si="9"/>
        <v/>
      </c>
    </row>
    <row r="42" spans="1:27" s="122" customFormat="1">
      <c r="A42" s="169"/>
      <c r="B42" s="169"/>
      <c r="C42" s="169"/>
      <c r="D42" s="86"/>
      <c r="E42" s="169"/>
      <c r="F42" s="86"/>
      <c r="G42" s="169"/>
      <c r="H42" s="169"/>
      <c r="I42" s="169"/>
      <c r="J42" s="169"/>
      <c r="K42" s="169"/>
      <c r="L42" s="169"/>
      <c r="M42" s="169"/>
      <c r="N42" s="169"/>
      <c r="O42" s="169"/>
      <c r="P42" s="39"/>
      <c r="Q42" s="245">
        <f>1</f>
        <v>1</v>
      </c>
      <c r="R42" s="116"/>
      <c r="T42" s="124"/>
      <c r="U42" s="123"/>
      <c r="X42" s="244"/>
      <c r="Y42" s="244" t="str">
        <f t="shared" si="8"/>
        <v/>
      </c>
      <c r="Z42" s="116" t="str">
        <f t="shared" si="9"/>
        <v/>
      </c>
    </row>
    <row r="43" spans="1:27" s="333" customFormat="1" ht="153" customHeight="1">
      <c r="A43" s="329" t="e">
        <f>A39+1</f>
        <v>#REF!</v>
      </c>
      <c r="B43" s="347" t="s">
        <v>196</v>
      </c>
      <c r="C43" s="348" t="s">
        <v>196</v>
      </c>
      <c r="D43" s="349" t="s">
        <v>197</v>
      </c>
      <c r="E43" s="348">
        <f>LEN(D43)</f>
        <v>97</v>
      </c>
      <c r="F43" s="499" t="s">
        <v>198</v>
      </c>
      <c r="G43" s="348">
        <f>LEN(F43)</f>
        <v>84</v>
      </c>
      <c r="H43" s="348" t="s">
        <v>37</v>
      </c>
      <c r="I43" s="348" t="s">
        <v>24</v>
      </c>
      <c r="J43" s="348" t="s">
        <v>24</v>
      </c>
      <c r="K43" s="348" t="s">
        <v>38</v>
      </c>
      <c r="L43" s="350" t="s">
        <v>199</v>
      </c>
      <c r="M43" s="194" t="s">
        <v>24</v>
      </c>
      <c r="N43" s="350" t="s">
        <v>200</v>
      </c>
      <c r="O43" s="330"/>
      <c r="P43" s="331"/>
      <c r="Q43" s="328">
        <v>1</v>
      </c>
      <c r="R43" s="332"/>
      <c r="T43" s="390" t="s">
        <v>33</v>
      </c>
      <c r="U43" s="334"/>
      <c r="X43" s="397">
        <v>10.5</v>
      </c>
      <c r="Y43" s="243">
        <f t="shared" si="8"/>
        <v>10.5</v>
      </c>
      <c r="Z43" s="332">
        <f t="shared" si="9"/>
        <v>10.5</v>
      </c>
    </row>
    <row r="44" spans="1:27" s="122" customFormat="1" ht="136" customHeight="1">
      <c r="A44" s="79" t="e">
        <f>A43+1</f>
        <v>#REF!</v>
      </c>
      <c r="B44" s="209" t="s">
        <v>201</v>
      </c>
      <c r="C44" s="121" t="s">
        <v>201</v>
      </c>
      <c r="D44" s="171" t="s">
        <v>202</v>
      </c>
      <c r="E44" s="119">
        <f>LEN(D44)</f>
        <v>116</v>
      </c>
      <c r="F44" s="489" t="s">
        <v>203</v>
      </c>
      <c r="G44" s="119">
        <f>LEN(F44)</f>
        <v>92</v>
      </c>
      <c r="H44" s="121" t="s">
        <v>37</v>
      </c>
      <c r="I44" s="119" t="s">
        <v>24</v>
      </c>
      <c r="J44" s="119" t="s">
        <v>24</v>
      </c>
      <c r="K44" s="119" t="s">
        <v>38</v>
      </c>
      <c r="L44" s="118" t="s">
        <v>204</v>
      </c>
      <c r="M44" s="194" t="s">
        <v>24</v>
      </c>
      <c r="N44" s="118" t="s">
        <v>205</v>
      </c>
      <c r="O44" s="67"/>
      <c r="P44" s="39"/>
      <c r="Q44" s="240">
        <f>1</f>
        <v>1</v>
      </c>
      <c r="R44" s="116"/>
      <c r="T44" s="385" t="s">
        <v>33</v>
      </c>
      <c r="U44" s="123"/>
      <c r="X44" s="243">
        <v>10.504533767700201</v>
      </c>
      <c r="Y44" s="243">
        <f t="shared" si="8"/>
        <v>10.504533767700201</v>
      </c>
      <c r="Z44" s="116">
        <f t="shared" si="9"/>
        <v>10.504533767700201</v>
      </c>
    </row>
    <row r="45" spans="1:27" s="122" customFormat="1">
      <c r="A45" s="79"/>
      <c r="B45" s="234"/>
      <c r="C45" s="80"/>
      <c r="D45" s="85"/>
      <c r="E45" s="86"/>
      <c r="F45" s="86"/>
      <c r="G45" s="86"/>
      <c r="H45" s="80"/>
      <c r="I45" s="86"/>
      <c r="J45" s="86"/>
      <c r="K45" s="86"/>
      <c r="L45" s="67"/>
      <c r="M45" s="67"/>
      <c r="N45" s="67"/>
      <c r="O45" s="67"/>
      <c r="P45" s="39"/>
      <c r="Q45" s="245">
        <f>1</f>
        <v>1</v>
      </c>
      <c r="R45" s="116"/>
      <c r="T45" s="124"/>
      <c r="U45" s="123"/>
      <c r="X45" s="244"/>
      <c r="Y45" s="244" t="str">
        <f t="shared" si="8"/>
        <v/>
      </c>
      <c r="Z45" s="116" t="str">
        <f t="shared" si="9"/>
        <v/>
      </c>
    </row>
    <row r="46" spans="1:27" s="122" customFormat="1" ht="187" customHeight="1">
      <c r="A46" s="34" t="e">
        <f>A44+1</f>
        <v>#REF!</v>
      </c>
      <c r="B46" s="161" t="s">
        <v>206</v>
      </c>
      <c r="C46" s="121" t="s">
        <v>206</v>
      </c>
      <c r="D46" s="515" t="s">
        <v>207</v>
      </c>
      <c r="E46" s="127">
        <f>LEN(D46)</f>
        <v>314</v>
      </c>
      <c r="F46" s="516" t="s">
        <v>208</v>
      </c>
      <c r="G46" s="127">
        <f>LEN(F46)</f>
        <v>263</v>
      </c>
      <c r="H46" s="128" t="s">
        <v>37</v>
      </c>
      <c r="I46" s="127" t="s">
        <v>24</v>
      </c>
      <c r="J46" s="127" t="s">
        <v>24</v>
      </c>
      <c r="K46" s="127" t="s">
        <v>38</v>
      </c>
      <c r="L46" s="126" t="s">
        <v>209</v>
      </c>
      <c r="M46" s="194" t="s">
        <v>24</v>
      </c>
      <c r="N46" s="118" t="s">
        <v>210</v>
      </c>
      <c r="O46" s="67"/>
      <c r="P46" s="22"/>
      <c r="Q46" s="240">
        <f>1</f>
        <v>1</v>
      </c>
      <c r="R46" s="116"/>
      <c r="T46" s="385" t="s">
        <v>33</v>
      </c>
      <c r="U46" s="123"/>
      <c r="X46" s="243">
        <v>12.42189884185791</v>
      </c>
      <c r="Y46" s="243">
        <f t="shared" si="8"/>
        <v>12.42189884185791</v>
      </c>
      <c r="Z46" s="116">
        <f t="shared" si="9"/>
        <v>12.42189884185791</v>
      </c>
    </row>
    <row r="47" spans="1:27" s="122" customFormat="1">
      <c r="A47" s="34"/>
      <c r="B47" s="159"/>
      <c r="C47" s="80"/>
      <c r="D47" s="35"/>
      <c r="E47" s="36"/>
      <c r="F47" s="35"/>
      <c r="G47" s="36"/>
      <c r="H47" s="37"/>
      <c r="I47" s="36"/>
      <c r="J47" s="36"/>
      <c r="K47" s="36"/>
      <c r="L47" s="75"/>
      <c r="M47" s="67"/>
      <c r="N47" s="67"/>
      <c r="O47" s="67"/>
      <c r="P47" s="22"/>
      <c r="Q47" s="245">
        <f>1</f>
        <v>1</v>
      </c>
      <c r="R47" s="116"/>
      <c r="T47" s="124"/>
      <c r="U47" s="123"/>
      <c r="X47" s="244"/>
      <c r="Y47" s="244" t="str">
        <f t="shared" si="8"/>
        <v/>
      </c>
      <c r="Z47" s="116" t="str">
        <f t="shared" si="9"/>
        <v/>
      </c>
    </row>
    <row r="48" spans="1:27" s="122" customFormat="1" ht="187" customHeight="1">
      <c r="A48" s="34">
        <v>10</v>
      </c>
      <c r="B48" s="159" t="s">
        <v>211</v>
      </c>
      <c r="C48" s="158" t="s">
        <v>211</v>
      </c>
      <c r="D48" s="35" t="s">
        <v>212</v>
      </c>
      <c r="E48" s="36">
        <f>LEN(D48)</f>
        <v>312</v>
      </c>
      <c r="F48" s="481" t="s">
        <v>213</v>
      </c>
      <c r="G48" s="36">
        <f>LEN(F48)</f>
        <v>307</v>
      </c>
      <c r="H48" s="37" t="s">
        <v>37</v>
      </c>
      <c r="I48" s="36" t="s">
        <v>24</v>
      </c>
      <c r="J48" s="36" t="s">
        <v>24</v>
      </c>
      <c r="K48" s="36" t="s">
        <v>38</v>
      </c>
      <c r="L48" s="218" t="s">
        <v>214</v>
      </c>
      <c r="M48" s="61" t="s">
        <v>24</v>
      </c>
      <c r="N48" s="157" t="s">
        <v>215</v>
      </c>
      <c r="O48" s="46"/>
      <c r="P48" s="544"/>
      <c r="Q48" s="245">
        <f>1</f>
        <v>1</v>
      </c>
      <c r="R48" s="116"/>
      <c r="T48" s="124" t="s">
        <v>33</v>
      </c>
      <c r="U48" s="123"/>
      <c r="X48" s="244">
        <v>12.600021362304689</v>
      </c>
      <c r="Y48" s="244">
        <f t="shared" si="8"/>
        <v>12.600021362304689</v>
      </c>
      <c r="Z48" s="116">
        <f t="shared" si="9"/>
        <v>12.600021362304689</v>
      </c>
    </row>
    <row r="49" spans="1:26" s="122" customFormat="1">
      <c r="A49" s="34"/>
      <c r="B49" s="159"/>
      <c r="C49" s="237"/>
      <c r="D49" s="517"/>
      <c r="E49" s="86"/>
      <c r="F49" s="86"/>
      <c r="G49" s="86"/>
      <c r="H49" s="80"/>
      <c r="I49" s="86"/>
      <c r="J49" s="86"/>
      <c r="K49" s="86"/>
      <c r="L49" s="96"/>
      <c r="M49" s="67"/>
      <c r="N49" s="238"/>
      <c r="O49" s="238"/>
      <c r="P49" s="315"/>
      <c r="Q49" s="245">
        <f>1</f>
        <v>1</v>
      </c>
      <c r="R49" s="116"/>
      <c r="T49" s="124"/>
      <c r="U49" s="123"/>
      <c r="X49" s="244"/>
      <c r="Y49" s="244" t="str">
        <f t="shared" si="8"/>
        <v/>
      </c>
      <c r="Z49" s="116" t="str">
        <f t="shared" si="9"/>
        <v/>
      </c>
    </row>
    <row r="50" spans="1:26" s="122" customFormat="1" ht="102" customHeight="1">
      <c r="A50" s="14" t="e">
        <f>#REF!+1</f>
        <v>#REF!</v>
      </c>
      <c r="B50" s="210" t="s">
        <v>216</v>
      </c>
      <c r="C50" s="19" t="s">
        <v>216</v>
      </c>
      <c r="D50" s="17" t="s">
        <v>217</v>
      </c>
      <c r="E50" s="18">
        <f>LEN(D50)</f>
        <v>269</v>
      </c>
      <c r="F50" s="490" t="s">
        <v>218</v>
      </c>
      <c r="G50" s="18">
        <f>LEN(F50)</f>
        <v>247</v>
      </c>
      <c r="H50" s="19" t="s">
        <v>127</v>
      </c>
      <c r="I50" s="18" t="s">
        <v>24</v>
      </c>
      <c r="J50" s="18" t="s">
        <v>24</v>
      </c>
      <c r="K50" s="18" t="s">
        <v>27</v>
      </c>
      <c r="L50" s="20" t="s">
        <v>219</v>
      </c>
      <c r="M50" s="61" t="s">
        <v>24</v>
      </c>
      <c r="N50" s="27" t="s">
        <v>220</v>
      </c>
      <c r="O50" s="44"/>
      <c r="P50" s="10"/>
      <c r="Q50" s="245">
        <f>1</f>
        <v>1</v>
      </c>
      <c r="R50" s="116"/>
      <c r="T50" s="124" t="s">
        <v>23</v>
      </c>
      <c r="U50" s="123"/>
      <c r="X50" s="244">
        <v>16.90229415893555</v>
      </c>
      <c r="Y50" s="244">
        <f t="shared" si="8"/>
        <v>16.90229415893555</v>
      </c>
      <c r="Z50" s="116" t="str">
        <f t="shared" si="9"/>
        <v/>
      </c>
    </row>
    <row r="51" spans="1:26" s="122" customFormat="1" ht="171" customHeight="1" thickBot="1">
      <c r="A51" s="14" t="e">
        <f>#REF!+1</f>
        <v>#REF!</v>
      </c>
      <c r="B51" s="212" t="s">
        <v>221</v>
      </c>
      <c r="C51" s="213" t="s">
        <v>221</v>
      </c>
      <c r="D51" s="23" t="s">
        <v>222</v>
      </c>
      <c r="E51" s="21">
        <f>LEN(D51)</f>
        <v>133</v>
      </c>
      <c r="F51" s="491" t="s">
        <v>223</v>
      </c>
      <c r="G51" s="21">
        <f>LEN(F51)</f>
        <v>147</v>
      </c>
      <c r="H51" s="19" t="s">
        <v>37</v>
      </c>
      <c r="I51" s="21" t="s">
        <v>24</v>
      </c>
      <c r="J51" s="21" t="s">
        <v>24</v>
      </c>
      <c r="K51" s="18" t="s">
        <v>38</v>
      </c>
      <c r="L51" s="20" t="s">
        <v>224</v>
      </c>
      <c r="M51" s="61" t="s">
        <v>24</v>
      </c>
      <c r="N51" s="27" t="s">
        <v>225</v>
      </c>
      <c r="O51" s="47"/>
      <c r="P51" s="10"/>
      <c r="Q51" s="245">
        <f>1</f>
        <v>1</v>
      </c>
      <c r="R51" s="116"/>
      <c r="T51" s="124" t="s">
        <v>23</v>
      </c>
      <c r="U51" s="123"/>
      <c r="X51" s="244">
        <v>7.02484130859375</v>
      </c>
      <c r="Y51" s="244">
        <f t="shared" si="8"/>
        <v>7.02484130859375</v>
      </c>
      <c r="Z51" s="116" t="str">
        <f t="shared" si="9"/>
        <v/>
      </c>
    </row>
    <row r="52" spans="1:26" s="376" customFormat="1" ht="17" customHeight="1" thickBot="1">
      <c r="A52" s="648" t="s">
        <v>226</v>
      </c>
      <c r="B52" s="649"/>
      <c r="C52" s="649"/>
      <c r="D52" s="649"/>
      <c r="E52" s="649"/>
      <c r="F52" s="649"/>
      <c r="G52" s="649"/>
      <c r="H52" s="649"/>
      <c r="I52" s="649"/>
      <c r="J52" s="649"/>
      <c r="K52" s="649"/>
      <c r="L52" s="649"/>
      <c r="M52" s="649"/>
      <c r="N52" s="649"/>
      <c r="O52" s="649"/>
      <c r="P52" s="650"/>
      <c r="Q52" s="240"/>
      <c r="R52" s="387"/>
      <c r="T52" s="385"/>
      <c r="U52" s="388"/>
      <c r="X52" s="243"/>
      <c r="Y52" s="243" t="str">
        <f t="shared" si="8"/>
        <v/>
      </c>
      <c r="Z52" s="387" t="str">
        <f t="shared" si="9"/>
        <v/>
      </c>
    </row>
    <row r="53" spans="1:26" s="122" customFormat="1">
      <c r="A53" s="169"/>
      <c r="B53" s="169"/>
      <c r="C53" s="169"/>
      <c r="D53" s="86"/>
      <c r="E53" s="169"/>
      <c r="F53" s="169"/>
      <c r="G53" s="169"/>
      <c r="H53" s="169"/>
      <c r="I53" s="169"/>
      <c r="J53" s="169"/>
      <c r="K53" s="169"/>
      <c r="L53" s="169"/>
      <c r="M53" s="67"/>
      <c r="N53" s="169"/>
      <c r="O53" s="169"/>
      <c r="P53" s="39"/>
      <c r="Q53" s="245">
        <f>1</f>
        <v>1</v>
      </c>
      <c r="R53" s="116"/>
      <c r="T53" s="124"/>
      <c r="U53" s="123"/>
      <c r="X53" s="244"/>
      <c r="Y53" s="244" t="str">
        <f t="shared" si="8"/>
        <v/>
      </c>
      <c r="Z53" s="116" t="str">
        <f t="shared" si="9"/>
        <v/>
      </c>
    </row>
    <row r="54" spans="1:26" s="122" customFormat="1" ht="409.5" customHeight="1">
      <c r="A54" s="79" t="e">
        <f>A51+1</f>
        <v>#REF!</v>
      </c>
      <c r="B54" s="209" t="s">
        <v>227</v>
      </c>
      <c r="C54" s="121" t="s">
        <v>227</v>
      </c>
      <c r="D54" s="120" t="s">
        <v>228</v>
      </c>
      <c r="E54" s="119">
        <f>LEN(D54)</f>
        <v>1204</v>
      </c>
      <c r="F54" s="367" t="s">
        <v>229</v>
      </c>
      <c r="G54" s="119">
        <f>LEN(F54)</f>
        <v>1108</v>
      </c>
      <c r="H54" s="121" t="s">
        <v>37</v>
      </c>
      <c r="I54" s="119" t="s">
        <v>24</v>
      </c>
      <c r="J54" s="119" t="s">
        <v>24</v>
      </c>
      <c r="K54" s="119" t="s">
        <v>230</v>
      </c>
      <c r="L54" s="642" t="s">
        <v>231</v>
      </c>
      <c r="M54" s="194" t="s">
        <v>24</v>
      </c>
      <c r="N54" s="125" t="s">
        <v>232</v>
      </c>
      <c r="O54" s="40"/>
      <c r="P54" s="39"/>
      <c r="Q54" s="240">
        <f>1</f>
        <v>1</v>
      </c>
      <c r="R54" s="116"/>
      <c r="T54" s="385" t="s">
        <v>33</v>
      </c>
      <c r="U54" s="123"/>
      <c r="X54" s="243">
        <v>31.888334274291989</v>
      </c>
      <c r="Y54" s="243">
        <f t="shared" si="8"/>
        <v>31.888334274291989</v>
      </c>
      <c r="Z54" s="116">
        <f t="shared" si="9"/>
        <v>31.888334274291989</v>
      </c>
    </row>
    <row r="55" spans="1:26" s="122" customFormat="1" ht="136" customHeight="1">
      <c r="A55" s="79"/>
      <c r="B55" s="209" t="s">
        <v>233</v>
      </c>
      <c r="C55" s="217" t="s">
        <v>233</v>
      </c>
      <c r="D55" s="126" t="s">
        <v>234</v>
      </c>
      <c r="E55" s="119">
        <f>LEN(D55)</f>
        <v>143</v>
      </c>
      <c r="F55" s="367" t="s">
        <v>235</v>
      </c>
      <c r="G55" s="119">
        <f>LEN(F55)</f>
        <v>123</v>
      </c>
      <c r="H55" s="121" t="s">
        <v>37</v>
      </c>
      <c r="I55" s="119" t="s">
        <v>24</v>
      </c>
      <c r="J55" s="119" t="s">
        <v>24</v>
      </c>
      <c r="K55" s="119" t="s">
        <v>38</v>
      </c>
      <c r="L55" s="118" t="s">
        <v>236</v>
      </c>
      <c r="M55" s="194" t="s">
        <v>24</v>
      </c>
      <c r="N55" s="125" t="s">
        <v>237</v>
      </c>
      <c r="O55" s="40"/>
      <c r="P55" s="39"/>
      <c r="Q55" s="240">
        <f>1</f>
        <v>1</v>
      </c>
      <c r="R55" s="116"/>
      <c r="T55" s="385" t="s">
        <v>33</v>
      </c>
      <c r="U55" s="123"/>
      <c r="X55" s="243">
        <v>8</v>
      </c>
      <c r="Y55" s="243">
        <f t="shared" si="8"/>
        <v>8</v>
      </c>
      <c r="Z55" s="116">
        <f t="shared" si="9"/>
        <v>8</v>
      </c>
    </row>
    <row r="56" spans="1:26" s="122" customFormat="1" ht="153" customHeight="1">
      <c r="A56" s="79"/>
      <c r="B56" s="209" t="s">
        <v>238</v>
      </c>
      <c r="C56" s="217" t="s">
        <v>238</v>
      </c>
      <c r="D56" s="126" t="s">
        <v>239</v>
      </c>
      <c r="E56" s="119">
        <f>LEN(D56)</f>
        <v>170</v>
      </c>
      <c r="F56" s="367" t="s">
        <v>240</v>
      </c>
      <c r="G56" s="119">
        <f>LEN(F56)</f>
        <v>132</v>
      </c>
      <c r="H56" s="121" t="s">
        <v>37</v>
      </c>
      <c r="I56" s="119" t="s">
        <v>24</v>
      </c>
      <c r="J56" s="119" t="s">
        <v>24</v>
      </c>
      <c r="K56" s="119" t="s">
        <v>38</v>
      </c>
      <c r="L56" s="118" t="s">
        <v>236</v>
      </c>
      <c r="M56" s="194" t="s">
        <v>24</v>
      </c>
      <c r="N56" s="125" t="s">
        <v>241</v>
      </c>
      <c r="O56" s="40"/>
      <c r="P56" s="39"/>
      <c r="Q56" s="240">
        <f>1</f>
        <v>1</v>
      </c>
      <c r="R56" s="116"/>
      <c r="T56" s="385" t="s">
        <v>33</v>
      </c>
      <c r="U56" s="123"/>
      <c r="X56" s="243">
        <v>8</v>
      </c>
      <c r="Y56" s="243">
        <f t="shared" si="8"/>
        <v>8</v>
      </c>
      <c r="Z56" s="116">
        <f t="shared" si="9"/>
        <v>8</v>
      </c>
    </row>
    <row r="57" spans="1:26" s="122" customFormat="1" ht="153" customHeight="1">
      <c r="A57" s="79"/>
      <c r="B57" s="209" t="s">
        <v>242</v>
      </c>
      <c r="C57" s="217" t="s">
        <v>242</v>
      </c>
      <c r="D57" s="126" t="s">
        <v>243</v>
      </c>
      <c r="E57" s="119">
        <f>LEN(D57)</f>
        <v>176</v>
      </c>
      <c r="F57" s="367" t="s">
        <v>244</v>
      </c>
      <c r="G57" s="119" t="e">
        <f>LEN(#REF!)</f>
        <v>#REF!</v>
      </c>
      <c r="H57" s="121" t="s">
        <v>37</v>
      </c>
      <c r="I57" s="119" t="s">
        <v>24</v>
      </c>
      <c r="J57" s="119" t="s">
        <v>24</v>
      </c>
      <c r="K57" s="119" t="s">
        <v>38</v>
      </c>
      <c r="L57" s="118" t="s">
        <v>236</v>
      </c>
      <c r="M57" s="194" t="s">
        <v>24</v>
      </c>
      <c r="N57" s="125" t="s">
        <v>245</v>
      </c>
      <c r="O57" s="40"/>
      <c r="P57" s="39"/>
      <c r="Q57" s="240">
        <f>1</f>
        <v>1</v>
      </c>
      <c r="R57" s="116"/>
      <c r="T57" s="385" t="s">
        <v>33</v>
      </c>
      <c r="U57" s="123"/>
      <c r="X57" s="243">
        <v>8</v>
      </c>
      <c r="Y57" s="243">
        <f t="shared" si="8"/>
        <v>8</v>
      </c>
      <c r="Z57" s="116">
        <f t="shared" si="9"/>
        <v>8</v>
      </c>
    </row>
    <row r="58" spans="1:26" s="122" customFormat="1" ht="204" customHeight="1">
      <c r="A58" s="34">
        <v>21</v>
      </c>
      <c r="B58" s="161" t="s">
        <v>246</v>
      </c>
      <c r="C58" s="121" t="s">
        <v>246</v>
      </c>
      <c r="D58" s="141" t="s">
        <v>247</v>
      </c>
      <c r="E58" s="127">
        <f>LEN(D58)</f>
        <v>290</v>
      </c>
      <c r="F58" s="141" t="s">
        <v>248</v>
      </c>
      <c r="G58" s="127">
        <f>LEN(F61)</f>
        <v>1080</v>
      </c>
      <c r="H58" s="136" t="s">
        <v>37</v>
      </c>
      <c r="I58" s="127" t="s">
        <v>24</v>
      </c>
      <c r="J58" s="127" t="s">
        <v>24</v>
      </c>
      <c r="K58" s="127" t="s">
        <v>38</v>
      </c>
      <c r="L58" s="627" t="s">
        <v>249</v>
      </c>
      <c r="M58" s="194" t="s">
        <v>24</v>
      </c>
      <c r="N58" s="151" t="s">
        <v>250</v>
      </c>
      <c r="O58" s="42"/>
      <c r="P58" s="10"/>
      <c r="Q58" s="240">
        <f>1</f>
        <v>1</v>
      </c>
      <c r="R58" s="116"/>
      <c r="T58" s="385" t="s">
        <v>33</v>
      </c>
      <c r="U58" s="123"/>
      <c r="X58" s="243">
        <v>22.126214981079102</v>
      </c>
      <c r="Y58" s="243">
        <f t="shared" si="8"/>
        <v>22.126214981079102</v>
      </c>
      <c r="Z58" s="116">
        <f t="shared" si="9"/>
        <v>22.126214981079102</v>
      </c>
    </row>
    <row r="59" spans="1:26" s="122" customFormat="1">
      <c r="A59" s="34"/>
      <c r="B59" s="161"/>
      <c r="C59" s="121"/>
      <c r="D59" s="141"/>
      <c r="E59" s="127"/>
      <c r="F59" s="141"/>
      <c r="G59" s="127"/>
      <c r="H59" s="136"/>
      <c r="I59" s="127"/>
      <c r="J59" s="127"/>
      <c r="K59" s="127"/>
      <c r="L59" s="144"/>
      <c r="M59" s="194"/>
      <c r="N59" s="144"/>
      <c r="O59" s="71"/>
      <c r="P59" s="10"/>
      <c r="Q59" s="240"/>
      <c r="R59" s="116"/>
      <c r="T59" s="385"/>
      <c r="U59" s="123"/>
      <c r="X59" s="243"/>
      <c r="Y59" s="243"/>
      <c r="Z59" s="116"/>
    </row>
    <row r="60" spans="1:26" s="122" customFormat="1" ht="80" customHeight="1">
      <c r="A60" s="34"/>
      <c r="B60" s="545" t="s">
        <v>251</v>
      </c>
      <c r="C60" s="546"/>
      <c r="D60" s="547" t="s">
        <v>252</v>
      </c>
      <c r="E60" s="548">
        <f t="shared" ref="E60:E65" si="10">LEN(D60)</f>
        <v>121</v>
      </c>
      <c r="F60" s="549" t="s">
        <v>253</v>
      </c>
      <c r="G60" s="36"/>
      <c r="H60" s="81" t="s">
        <v>26</v>
      </c>
      <c r="I60" s="36" t="s">
        <v>24</v>
      </c>
      <c r="J60" s="36" t="s">
        <v>24</v>
      </c>
      <c r="K60" s="36" t="s">
        <v>38</v>
      </c>
      <c r="L60" s="551" t="s">
        <v>254</v>
      </c>
      <c r="M60" s="42" t="s">
        <v>24</v>
      </c>
      <c r="N60" s="550" t="s">
        <v>254</v>
      </c>
      <c r="O60" s="71"/>
      <c r="P60" s="10"/>
      <c r="Q60" s="245">
        <f>1</f>
        <v>1</v>
      </c>
      <c r="R60" s="116"/>
      <c r="T60" s="124"/>
      <c r="U60" s="123"/>
      <c r="X60" s="244"/>
      <c r="Y60" s="244" t="str">
        <f t="shared" ref="Y60:Y91" si="11">IF(X60="","",X60*Q60)</f>
        <v/>
      </c>
      <c r="Z60" s="116" t="str">
        <f t="shared" ref="Z60:Z91" si="12">IF(T60="yes",Y60,"")</f>
        <v/>
      </c>
    </row>
    <row r="61" spans="1:26" s="122" customFormat="1" ht="409.25" customHeight="1">
      <c r="A61" s="34">
        <f>A58+1</f>
        <v>22</v>
      </c>
      <c r="B61" s="161" t="s">
        <v>255</v>
      </c>
      <c r="C61" s="121" t="s">
        <v>255</v>
      </c>
      <c r="D61" s="141" t="s">
        <v>256</v>
      </c>
      <c r="E61" s="127">
        <f t="shared" si="10"/>
        <v>1218</v>
      </c>
      <c r="F61" s="141" t="s">
        <v>257</v>
      </c>
      <c r="G61" s="127" t="e">
        <f>LEN(#REF!)</f>
        <v>#REF!</v>
      </c>
      <c r="H61" s="136" t="s">
        <v>37</v>
      </c>
      <c r="I61" s="127" t="s">
        <v>24</v>
      </c>
      <c r="J61" s="127" t="s">
        <v>24</v>
      </c>
      <c r="K61" s="127" t="s">
        <v>258</v>
      </c>
      <c r="L61" s="642" t="s">
        <v>259</v>
      </c>
      <c r="M61" s="194" t="s">
        <v>24</v>
      </c>
      <c r="N61" s="125" t="s">
        <v>260</v>
      </c>
      <c r="O61" s="40"/>
      <c r="P61" s="10"/>
      <c r="Q61" s="240">
        <f>1</f>
        <v>1</v>
      </c>
      <c r="R61" s="116"/>
      <c r="T61" s="385" t="s">
        <v>33</v>
      </c>
      <c r="U61" s="123"/>
      <c r="X61" s="243">
        <v>18.710653305053711</v>
      </c>
      <c r="Y61" s="243">
        <f t="shared" si="11"/>
        <v>18.710653305053711</v>
      </c>
      <c r="Z61" s="116">
        <f t="shared" si="12"/>
        <v>18.710653305053711</v>
      </c>
    </row>
    <row r="62" spans="1:26" s="207" customFormat="1" ht="182" customHeight="1">
      <c r="A62" s="34"/>
      <c r="B62" s="209" t="s">
        <v>261</v>
      </c>
      <c r="C62" s="217" t="s">
        <v>261</v>
      </c>
      <c r="D62" s="126" t="s">
        <v>234</v>
      </c>
      <c r="E62" s="119">
        <f t="shared" si="10"/>
        <v>143</v>
      </c>
      <c r="F62" s="367" t="s">
        <v>235</v>
      </c>
      <c r="G62" s="119" t="e">
        <f>LEN(#REF!)</f>
        <v>#REF!</v>
      </c>
      <c r="H62" s="121" t="s">
        <v>37</v>
      </c>
      <c r="I62" s="119" t="s">
        <v>24</v>
      </c>
      <c r="J62" s="119" t="s">
        <v>24</v>
      </c>
      <c r="K62" s="119" t="s">
        <v>38</v>
      </c>
      <c r="L62" s="118" t="s">
        <v>262</v>
      </c>
      <c r="M62" s="194" t="s">
        <v>24</v>
      </c>
      <c r="N62" s="125" t="s">
        <v>263</v>
      </c>
      <c r="O62" s="40"/>
      <c r="P62" s="39"/>
      <c r="Q62" s="344">
        <f>1</f>
        <v>1</v>
      </c>
      <c r="R62" s="117"/>
      <c r="T62" s="389" t="s">
        <v>33</v>
      </c>
      <c r="U62" s="201"/>
      <c r="X62" s="247">
        <v>8</v>
      </c>
      <c r="Y62" s="247">
        <f t="shared" si="11"/>
        <v>8</v>
      </c>
      <c r="Z62" s="117">
        <f t="shared" si="12"/>
        <v>8</v>
      </c>
    </row>
    <row r="63" spans="1:26" s="207" customFormat="1" ht="182" customHeight="1">
      <c r="A63" s="34"/>
      <c r="B63" s="209" t="s">
        <v>264</v>
      </c>
      <c r="C63" s="217" t="s">
        <v>264</v>
      </c>
      <c r="D63" s="126" t="s">
        <v>239</v>
      </c>
      <c r="E63" s="119">
        <f t="shared" si="10"/>
        <v>170</v>
      </c>
      <c r="F63" s="367" t="s">
        <v>240</v>
      </c>
      <c r="G63" s="119" t="e">
        <f>LEN(#REF!)</f>
        <v>#REF!</v>
      </c>
      <c r="H63" s="121" t="s">
        <v>37</v>
      </c>
      <c r="I63" s="119" t="s">
        <v>24</v>
      </c>
      <c r="J63" s="119" t="s">
        <v>24</v>
      </c>
      <c r="K63" s="119" t="s">
        <v>38</v>
      </c>
      <c r="L63" s="118" t="s">
        <v>262</v>
      </c>
      <c r="M63" s="194" t="s">
        <v>24</v>
      </c>
      <c r="N63" s="125" t="s">
        <v>265</v>
      </c>
      <c r="O63" s="40"/>
      <c r="P63" s="39"/>
      <c r="Q63" s="344">
        <f>1</f>
        <v>1</v>
      </c>
      <c r="R63" s="117"/>
      <c r="T63" s="389" t="s">
        <v>33</v>
      </c>
      <c r="U63" s="201"/>
      <c r="X63" s="247">
        <v>8</v>
      </c>
      <c r="Y63" s="247">
        <f t="shared" si="11"/>
        <v>8</v>
      </c>
      <c r="Z63" s="117">
        <f t="shared" si="12"/>
        <v>8</v>
      </c>
    </row>
    <row r="64" spans="1:26" s="122" customFormat="1" ht="182" customHeight="1">
      <c r="A64" s="34"/>
      <c r="B64" s="209" t="s">
        <v>266</v>
      </c>
      <c r="C64" s="217" t="s">
        <v>266</v>
      </c>
      <c r="D64" s="126" t="s">
        <v>243</v>
      </c>
      <c r="E64" s="119">
        <f t="shared" si="10"/>
        <v>176</v>
      </c>
      <c r="F64" s="367" t="s">
        <v>244</v>
      </c>
      <c r="G64" s="119" t="e">
        <f>LEN(#REF!)</f>
        <v>#REF!</v>
      </c>
      <c r="H64" s="121" t="s">
        <v>37</v>
      </c>
      <c r="I64" s="119" t="s">
        <v>24</v>
      </c>
      <c r="J64" s="119" t="s">
        <v>24</v>
      </c>
      <c r="K64" s="119" t="s">
        <v>38</v>
      </c>
      <c r="L64" s="118" t="s">
        <v>267</v>
      </c>
      <c r="M64" s="194" t="s">
        <v>24</v>
      </c>
      <c r="N64" s="125" t="s">
        <v>268</v>
      </c>
      <c r="O64" s="40"/>
      <c r="P64" s="39"/>
      <c r="Q64" s="240">
        <f>1</f>
        <v>1</v>
      </c>
      <c r="R64" s="116"/>
      <c r="T64" s="385" t="s">
        <v>33</v>
      </c>
      <c r="U64" s="123"/>
      <c r="X64" s="243">
        <v>8</v>
      </c>
      <c r="Y64" s="243">
        <f t="shared" si="11"/>
        <v>8</v>
      </c>
      <c r="Z64" s="116">
        <f t="shared" si="12"/>
        <v>8</v>
      </c>
    </row>
    <row r="65" spans="1:26" s="122" customFormat="1" ht="204" customHeight="1">
      <c r="A65" s="34" t="e">
        <f>#REF!+1</f>
        <v>#REF!</v>
      </c>
      <c r="B65" s="161" t="s">
        <v>269</v>
      </c>
      <c r="C65" s="121" t="s">
        <v>269</v>
      </c>
      <c r="D65" s="141" t="s">
        <v>270</v>
      </c>
      <c r="E65" s="127">
        <f t="shared" si="10"/>
        <v>290</v>
      </c>
      <c r="F65" s="141" t="s">
        <v>271</v>
      </c>
      <c r="G65" s="127">
        <f>LEN(F69)</f>
        <v>132</v>
      </c>
      <c r="H65" s="136" t="s">
        <v>37</v>
      </c>
      <c r="I65" s="127" t="s">
        <v>24</v>
      </c>
      <c r="J65" s="127" t="s">
        <v>24</v>
      </c>
      <c r="K65" s="127" t="s">
        <v>38</v>
      </c>
      <c r="L65" s="151" t="s">
        <v>272</v>
      </c>
      <c r="M65" s="194" t="s">
        <v>24</v>
      </c>
      <c r="N65" s="151" t="s">
        <v>273</v>
      </c>
      <c r="O65" s="42"/>
      <c r="P65" s="10"/>
      <c r="Q65" s="240">
        <f>1</f>
        <v>1</v>
      </c>
      <c r="R65" s="116"/>
      <c r="T65" s="385" t="s">
        <v>33</v>
      </c>
      <c r="U65" s="123"/>
      <c r="X65" s="243">
        <v>17.26140213012695</v>
      </c>
      <c r="Y65" s="243">
        <f t="shared" si="11"/>
        <v>17.26140213012695</v>
      </c>
      <c r="Z65" s="116">
        <f t="shared" si="12"/>
        <v>17.26140213012695</v>
      </c>
    </row>
    <row r="66" spans="1:26" s="122" customFormat="1">
      <c r="A66" s="34"/>
      <c r="B66" s="159"/>
      <c r="C66" s="80"/>
      <c r="D66" s="157"/>
      <c r="E66" s="36"/>
      <c r="F66" s="36"/>
      <c r="G66" s="36"/>
      <c r="H66" s="81"/>
      <c r="I66" s="36"/>
      <c r="J66" s="36"/>
      <c r="K66" s="36"/>
      <c r="L66" s="71"/>
      <c r="M66" s="42"/>
      <c r="N66" s="71"/>
      <c r="O66" s="71"/>
      <c r="P66" s="10"/>
      <c r="Q66" s="245">
        <f>1</f>
        <v>1</v>
      </c>
      <c r="R66" s="116"/>
      <c r="T66" s="124"/>
      <c r="U66" s="123"/>
      <c r="X66" s="244"/>
      <c r="Y66" s="244" t="str">
        <f t="shared" si="11"/>
        <v/>
      </c>
      <c r="Z66" s="116" t="str">
        <f t="shared" si="12"/>
        <v/>
      </c>
    </row>
    <row r="67" spans="1:26" s="122" customFormat="1" ht="409.5" customHeight="1">
      <c r="A67" s="34" t="e">
        <f>A65+1</f>
        <v>#REF!</v>
      </c>
      <c r="B67" s="161" t="s">
        <v>274</v>
      </c>
      <c r="C67" s="121" t="s">
        <v>274</v>
      </c>
      <c r="D67" s="141" t="s">
        <v>275</v>
      </c>
      <c r="E67" s="127">
        <f t="shared" ref="E67:E72" si="13">LEN(D67)</f>
        <v>1217</v>
      </c>
      <c r="F67" s="141" t="s">
        <v>276</v>
      </c>
      <c r="G67" s="127" t="e">
        <f>LEN(#REF!)</f>
        <v>#REF!</v>
      </c>
      <c r="H67" s="136" t="s">
        <v>37</v>
      </c>
      <c r="I67" s="127" t="s">
        <v>24</v>
      </c>
      <c r="J67" s="127" t="s">
        <v>24</v>
      </c>
      <c r="K67" s="127" t="s">
        <v>277</v>
      </c>
      <c r="L67" s="642" t="s">
        <v>278</v>
      </c>
      <c r="M67" s="194" t="s">
        <v>24</v>
      </c>
      <c r="N67" s="125" t="s">
        <v>279</v>
      </c>
      <c r="O67" s="40"/>
      <c r="P67" s="10"/>
      <c r="Q67" s="240">
        <f>1</f>
        <v>1</v>
      </c>
      <c r="R67" s="116"/>
      <c r="T67" s="385" t="s">
        <v>33</v>
      </c>
      <c r="U67" s="123"/>
      <c r="X67" s="243">
        <v>14.47539234161377</v>
      </c>
      <c r="Y67" s="243">
        <f t="shared" si="11"/>
        <v>14.47539234161377</v>
      </c>
      <c r="Z67" s="116">
        <f t="shared" si="12"/>
        <v>14.47539234161377</v>
      </c>
    </row>
    <row r="68" spans="1:26" s="207" customFormat="1" ht="182" customHeight="1">
      <c r="A68" s="312"/>
      <c r="B68" s="209" t="s">
        <v>280</v>
      </c>
      <c r="C68" s="217" t="s">
        <v>280</v>
      </c>
      <c r="D68" s="126" t="s">
        <v>234</v>
      </c>
      <c r="E68" s="119">
        <f t="shared" si="13"/>
        <v>143</v>
      </c>
      <c r="F68" s="367" t="s">
        <v>235</v>
      </c>
      <c r="G68" s="119" t="e">
        <f>LEN(#REF!)</f>
        <v>#REF!</v>
      </c>
      <c r="H68" s="121" t="s">
        <v>37</v>
      </c>
      <c r="I68" s="119" t="s">
        <v>24</v>
      </c>
      <c r="J68" s="119" t="s">
        <v>24</v>
      </c>
      <c r="K68" s="119" t="s">
        <v>38</v>
      </c>
      <c r="L68" s="118" t="s">
        <v>281</v>
      </c>
      <c r="M68" s="194" t="s">
        <v>24</v>
      </c>
      <c r="N68" s="125" t="s">
        <v>282</v>
      </c>
      <c r="O68" s="40"/>
      <c r="P68" s="39"/>
      <c r="Q68" s="344">
        <f>1</f>
        <v>1</v>
      </c>
      <c r="R68" s="117"/>
      <c r="T68" s="389" t="s">
        <v>33</v>
      </c>
      <c r="U68" s="201"/>
      <c r="X68" s="247">
        <v>8</v>
      </c>
      <c r="Y68" s="247">
        <f t="shared" si="11"/>
        <v>8</v>
      </c>
      <c r="Z68" s="117">
        <f t="shared" si="12"/>
        <v>8</v>
      </c>
    </row>
    <row r="69" spans="1:26" s="207" customFormat="1" ht="182" customHeight="1">
      <c r="A69" s="312"/>
      <c r="B69" s="209" t="s">
        <v>283</v>
      </c>
      <c r="C69" s="217" t="s">
        <v>283</v>
      </c>
      <c r="D69" s="126" t="s">
        <v>239</v>
      </c>
      <c r="E69" s="119">
        <f t="shared" si="13"/>
        <v>170</v>
      </c>
      <c r="F69" s="367" t="s">
        <v>240</v>
      </c>
      <c r="G69" s="119" t="e">
        <f>LEN(#REF!)</f>
        <v>#REF!</v>
      </c>
      <c r="H69" s="121" t="s">
        <v>37</v>
      </c>
      <c r="I69" s="119" t="s">
        <v>24</v>
      </c>
      <c r="J69" s="119" t="s">
        <v>24</v>
      </c>
      <c r="K69" s="119" t="s">
        <v>38</v>
      </c>
      <c r="L69" s="118" t="s">
        <v>281</v>
      </c>
      <c r="M69" s="194" t="s">
        <v>24</v>
      </c>
      <c r="N69" s="125" t="s">
        <v>284</v>
      </c>
      <c r="O69" s="40"/>
      <c r="P69" s="39"/>
      <c r="Q69" s="344">
        <f>1</f>
        <v>1</v>
      </c>
      <c r="R69" s="117"/>
      <c r="T69" s="389" t="s">
        <v>33</v>
      </c>
      <c r="U69" s="201"/>
      <c r="X69" s="247">
        <v>8</v>
      </c>
      <c r="Y69" s="247">
        <f t="shared" si="11"/>
        <v>8</v>
      </c>
      <c r="Z69" s="117">
        <f t="shared" si="12"/>
        <v>8</v>
      </c>
    </row>
    <row r="70" spans="1:26" s="122" customFormat="1" ht="182" customHeight="1">
      <c r="A70" s="312"/>
      <c r="B70" s="209" t="s">
        <v>285</v>
      </c>
      <c r="C70" s="217" t="s">
        <v>285</v>
      </c>
      <c r="D70" s="126" t="s">
        <v>243</v>
      </c>
      <c r="E70" s="119">
        <f t="shared" si="13"/>
        <v>176</v>
      </c>
      <c r="F70" s="367" t="s">
        <v>244</v>
      </c>
      <c r="G70" s="119" t="e">
        <f>LEN(#REF!)</f>
        <v>#REF!</v>
      </c>
      <c r="H70" s="121" t="s">
        <v>37</v>
      </c>
      <c r="I70" s="119" t="s">
        <v>24</v>
      </c>
      <c r="J70" s="119" t="s">
        <v>24</v>
      </c>
      <c r="K70" s="119" t="s">
        <v>38</v>
      </c>
      <c r="L70" s="118" t="s">
        <v>281</v>
      </c>
      <c r="M70" s="194" t="s">
        <v>24</v>
      </c>
      <c r="N70" s="125" t="s">
        <v>286</v>
      </c>
      <c r="O70" s="40"/>
      <c r="P70" s="39"/>
      <c r="Q70" s="240">
        <f>1</f>
        <v>1</v>
      </c>
      <c r="R70" s="116"/>
      <c r="T70" s="385" t="s">
        <v>33</v>
      </c>
      <c r="U70" s="123"/>
      <c r="X70" s="243">
        <v>8</v>
      </c>
      <c r="Y70" s="243">
        <f t="shared" si="11"/>
        <v>8</v>
      </c>
      <c r="Z70" s="116">
        <f t="shared" si="12"/>
        <v>8</v>
      </c>
    </row>
    <row r="71" spans="1:26" s="122" customFormat="1" ht="204" customHeight="1">
      <c r="A71" s="34" t="e">
        <f>#REF!+1</f>
        <v>#REF!</v>
      </c>
      <c r="B71" s="161" t="s">
        <v>287</v>
      </c>
      <c r="C71" s="121" t="s">
        <v>287</v>
      </c>
      <c r="D71" s="168" t="s">
        <v>288</v>
      </c>
      <c r="E71" s="127">
        <f t="shared" si="13"/>
        <v>291</v>
      </c>
      <c r="F71" s="168" t="s">
        <v>289</v>
      </c>
      <c r="G71" s="127" t="e">
        <f>LEN(#REF!)</f>
        <v>#REF!</v>
      </c>
      <c r="H71" s="136" t="s">
        <v>37</v>
      </c>
      <c r="I71" s="127" t="s">
        <v>24</v>
      </c>
      <c r="J71" s="127" t="s">
        <v>24</v>
      </c>
      <c r="K71" s="127" t="s">
        <v>38</v>
      </c>
      <c r="L71" s="151" t="s">
        <v>290</v>
      </c>
      <c r="M71" s="194" t="s">
        <v>24</v>
      </c>
      <c r="N71" s="151" t="s">
        <v>291</v>
      </c>
      <c r="O71" s="42"/>
      <c r="P71" s="10"/>
      <c r="Q71" s="240">
        <f>1</f>
        <v>1</v>
      </c>
      <c r="R71" s="116"/>
      <c r="T71" s="385" t="s">
        <v>33</v>
      </c>
      <c r="U71" s="123"/>
      <c r="X71" s="243">
        <v>15.87650299072266</v>
      </c>
      <c r="Y71" s="243">
        <f t="shared" si="11"/>
        <v>15.87650299072266</v>
      </c>
      <c r="Z71" s="116">
        <f t="shared" si="12"/>
        <v>15.87650299072266</v>
      </c>
    </row>
    <row r="72" spans="1:26" s="122" customFormat="1" ht="409.25" customHeight="1" thickBot="1">
      <c r="A72" s="34" t="e">
        <f>#REF!+1</f>
        <v>#REF!</v>
      </c>
      <c r="B72" s="161" t="s">
        <v>292</v>
      </c>
      <c r="C72" s="335" t="s">
        <v>293</v>
      </c>
      <c r="D72" s="336" t="s">
        <v>294</v>
      </c>
      <c r="E72" s="127">
        <f t="shared" si="13"/>
        <v>1440</v>
      </c>
      <c r="F72" s="168" t="s">
        <v>295</v>
      </c>
      <c r="G72" s="127" t="e">
        <f>LEN(#REF!)</f>
        <v>#REF!</v>
      </c>
      <c r="H72" s="136" t="s">
        <v>296</v>
      </c>
      <c r="I72" s="127" t="s">
        <v>24</v>
      </c>
      <c r="J72" s="127" t="s">
        <v>24</v>
      </c>
      <c r="K72" s="324" t="s">
        <v>297</v>
      </c>
      <c r="L72" s="627" t="s">
        <v>298</v>
      </c>
      <c r="M72" s="194" t="s">
        <v>299</v>
      </c>
      <c r="N72" s="151" t="s">
        <v>300</v>
      </c>
      <c r="O72" s="70"/>
      <c r="P72" s="10"/>
      <c r="Q72" s="240">
        <f>1</f>
        <v>1</v>
      </c>
      <c r="R72" s="116"/>
      <c r="T72" s="385" t="s">
        <v>33</v>
      </c>
      <c r="U72" s="123"/>
      <c r="X72" s="243">
        <v>37.853630065917969</v>
      </c>
      <c r="Y72" s="243">
        <f t="shared" si="11"/>
        <v>37.853630065917969</v>
      </c>
      <c r="Z72" s="116">
        <f t="shared" si="12"/>
        <v>37.853630065917969</v>
      </c>
    </row>
    <row r="73" spans="1:26" s="376" customFormat="1" ht="17" customHeight="1" thickBot="1">
      <c r="A73" s="648" t="s">
        <v>301</v>
      </c>
      <c r="B73" s="649"/>
      <c r="C73" s="649"/>
      <c r="D73" s="649"/>
      <c r="E73" s="649"/>
      <c r="F73" s="649"/>
      <c r="G73" s="649"/>
      <c r="H73" s="649"/>
      <c r="I73" s="649"/>
      <c r="J73" s="649"/>
      <c r="K73" s="649"/>
      <c r="L73" s="649"/>
      <c r="M73" s="649"/>
      <c r="N73" s="649"/>
      <c r="O73" s="649"/>
      <c r="P73" s="650"/>
      <c r="Q73" s="240"/>
      <c r="R73" s="387"/>
      <c r="T73" s="385"/>
      <c r="U73" s="388"/>
      <c r="X73" s="243"/>
      <c r="Y73" s="243" t="str">
        <f t="shared" si="11"/>
        <v/>
      </c>
      <c r="Z73" s="387" t="str">
        <f t="shared" si="12"/>
        <v/>
      </c>
    </row>
    <row r="74" spans="1:26" s="122" customFormat="1" ht="153" customHeight="1">
      <c r="A74" s="79" t="e">
        <f>#REF!+1</f>
        <v>#REF!</v>
      </c>
      <c r="B74" s="167" t="s">
        <v>302</v>
      </c>
      <c r="C74" s="121" t="s">
        <v>302</v>
      </c>
      <c r="D74" s="145" t="s">
        <v>303</v>
      </c>
      <c r="E74" s="119">
        <f>LEN(D74)</f>
        <v>224</v>
      </c>
      <c r="F74" s="145" t="s">
        <v>304</v>
      </c>
      <c r="G74" s="119">
        <f>LEN(F74)</f>
        <v>185</v>
      </c>
      <c r="H74" s="129" t="s">
        <v>37</v>
      </c>
      <c r="I74" s="119" t="s">
        <v>24</v>
      </c>
      <c r="J74" s="119" t="s">
        <v>305</v>
      </c>
      <c r="K74" s="127" t="s">
        <v>38</v>
      </c>
      <c r="L74" s="144" t="s">
        <v>306</v>
      </c>
      <c r="M74" s="194" t="s">
        <v>24</v>
      </c>
      <c r="N74" s="125" t="s">
        <v>307</v>
      </c>
      <c r="O74" s="150"/>
      <c r="P74" s="166"/>
      <c r="Q74" s="245">
        <f>'Additional information'!$D$17</f>
        <v>0.81</v>
      </c>
      <c r="R74" s="116"/>
      <c r="T74" s="385" t="s">
        <v>33</v>
      </c>
      <c r="U74" s="123"/>
      <c r="X74" s="243">
        <v>7.3040728569030762</v>
      </c>
      <c r="Y74" s="243">
        <f t="shared" si="11"/>
        <v>5.9162990140914919</v>
      </c>
      <c r="Z74" s="116">
        <f t="shared" si="12"/>
        <v>5.9162990140914919</v>
      </c>
    </row>
    <row r="75" spans="1:26" s="122" customFormat="1">
      <c r="A75" s="79"/>
      <c r="B75" s="87"/>
      <c r="C75" s="80"/>
      <c r="D75" s="88"/>
      <c r="E75" s="86"/>
      <c r="F75" s="88"/>
      <c r="G75" s="86"/>
      <c r="H75" s="89"/>
      <c r="I75" s="86"/>
      <c r="J75" s="86"/>
      <c r="K75" s="36"/>
      <c r="L75" s="71"/>
      <c r="M75" s="60"/>
      <c r="N75" s="150"/>
      <c r="O75" s="150"/>
      <c r="P75" s="166"/>
      <c r="Q75" s="245">
        <f>'Additional information'!$D$17</f>
        <v>0.81</v>
      </c>
      <c r="R75" s="116"/>
      <c r="T75" s="124"/>
      <c r="U75" s="123"/>
      <c r="X75" s="244"/>
      <c r="Y75" s="244" t="str">
        <f t="shared" si="11"/>
        <v/>
      </c>
      <c r="Z75" s="116" t="str">
        <f t="shared" si="12"/>
        <v/>
      </c>
    </row>
    <row r="76" spans="1:26" s="215" customFormat="1" ht="85" customHeight="1">
      <c r="A76" s="298"/>
      <c r="B76" s="143" t="s">
        <v>308</v>
      </c>
      <c r="C76" s="127" t="s">
        <v>308</v>
      </c>
      <c r="D76" s="141" t="s">
        <v>309</v>
      </c>
      <c r="E76" s="127">
        <f>LEN(D76)</f>
        <v>237</v>
      </c>
      <c r="F76" s="141" t="s">
        <v>310</v>
      </c>
      <c r="G76" s="127">
        <f>LEN(F76)</f>
        <v>185</v>
      </c>
      <c r="H76" s="128" t="s">
        <v>127</v>
      </c>
      <c r="I76" s="127" t="s">
        <v>24</v>
      </c>
      <c r="J76" s="127" t="s">
        <v>24</v>
      </c>
      <c r="K76" s="127" t="s">
        <v>27</v>
      </c>
      <c r="L76" s="151" t="s">
        <v>311</v>
      </c>
      <c r="M76" s="194" t="s">
        <v>24</v>
      </c>
      <c r="N76" s="125" t="s">
        <v>312</v>
      </c>
      <c r="O76" s="165"/>
      <c r="P76" s="164"/>
      <c r="Q76" s="245">
        <f>'Additional information'!$D$17</f>
        <v>0.81</v>
      </c>
      <c r="R76" s="116"/>
      <c r="T76" s="385" t="s">
        <v>33</v>
      </c>
      <c r="U76" s="123"/>
      <c r="X76" s="243">
        <v>23.93990516662598</v>
      </c>
      <c r="Y76" s="243">
        <f t="shared" si="11"/>
        <v>19.391323184967046</v>
      </c>
      <c r="Z76" s="116">
        <f t="shared" si="12"/>
        <v>19.391323184967046</v>
      </c>
    </row>
    <row r="77" spans="1:26" s="215" customFormat="1" ht="187" customHeight="1">
      <c r="A77" s="298"/>
      <c r="B77" s="143" t="s">
        <v>313</v>
      </c>
      <c r="C77" s="127" t="s">
        <v>313</v>
      </c>
      <c r="D77" s="626" t="s">
        <v>314</v>
      </c>
      <c r="E77" s="127">
        <f>LEN(D77)</f>
        <v>138</v>
      </c>
      <c r="F77" s="141" t="s">
        <v>315</v>
      </c>
      <c r="G77" s="127">
        <f>LEN(F77)</f>
        <v>108</v>
      </c>
      <c r="H77" s="128" t="s">
        <v>37</v>
      </c>
      <c r="I77" s="127" t="s">
        <v>24</v>
      </c>
      <c r="J77" s="127" t="s">
        <v>24</v>
      </c>
      <c r="K77" s="127" t="s">
        <v>38</v>
      </c>
      <c r="L77" s="151" t="s">
        <v>316</v>
      </c>
      <c r="M77" s="194" t="s">
        <v>24</v>
      </c>
      <c r="N77" s="125" t="s">
        <v>317</v>
      </c>
      <c r="O77" s="150"/>
      <c r="P77" s="553" t="s">
        <v>318</v>
      </c>
      <c r="Q77" s="245">
        <f>'Additional information'!$D$17</f>
        <v>0.81</v>
      </c>
      <c r="R77" s="116"/>
      <c r="T77" s="385" t="s">
        <v>33</v>
      </c>
      <c r="U77" s="123"/>
      <c r="X77" s="243">
        <v>2.2494626045227051</v>
      </c>
      <c r="Y77" s="243">
        <f t="shared" si="11"/>
        <v>1.8220647096633913</v>
      </c>
      <c r="Z77" s="116">
        <f t="shared" si="12"/>
        <v>1.8220647096633913</v>
      </c>
    </row>
    <row r="78" spans="1:26" s="122" customFormat="1" ht="119" customHeight="1">
      <c r="A78" s="79" t="e">
        <f>A74+1</f>
        <v>#REF!</v>
      </c>
      <c r="B78" s="209" t="s">
        <v>319</v>
      </c>
      <c r="C78" s="121" t="s">
        <v>319</v>
      </c>
      <c r="D78" s="145" t="s">
        <v>320</v>
      </c>
      <c r="E78" s="119">
        <f>LEN(D78)</f>
        <v>1432</v>
      </c>
      <c r="F78" s="145" t="s">
        <v>1644</v>
      </c>
      <c r="G78" s="119">
        <f>LEN(F78)</f>
        <v>1417</v>
      </c>
      <c r="H78" s="129" t="s">
        <v>37</v>
      </c>
      <c r="I78" s="119" t="s">
        <v>24</v>
      </c>
      <c r="J78" s="119" t="s">
        <v>24</v>
      </c>
      <c r="K78" s="121" t="s">
        <v>321</v>
      </c>
      <c r="L78" s="144" t="s">
        <v>322</v>
      </c>
      <c r="M78" s="346" t="s">
        <v>323</v>
      </c>
      <c r="N78" s="342" t="s">
        <v>324</v>
      </c>
      <c r="O78" s="162"/>
      <c r="P78" s="39"/>
      <c r="Q78" s="245">
        <f>'Additional information'!$D$17</f>
        <v>0.81</v>
      </c>
      <c r="R78" s="116"/>
      <c r="T78" s="385" t="s">
        <v>33</v>
      </c>
      <c r="U78" s="123"/>
      <c r="X78" s="243">
        <v>23.440116882324219</v>
      </c>
      <c r="Y78" s="243">
        <f t="shared" si="11"/>
        <v>18.986494674682618</v>
      </c>
      <c r="Z78" s="116">
        <f t="shared" si="12"/>
        <v>18.986494674682618</v>
      </c>
    </row>
    <row r="79" spans="1:26" s="122" customFormat="1" ht="102" customHeight="1">
      <c r="A79" s="79"/>
      <c r="B79" s="209" t="s">
        <v>325</v>
      </c>
      <c r="C79" s="121" t="s">
        <v>325</v>
      </c>
      <c r="D79" s="145" t="s">
        <v>326</v>
      </c>
      <c r="E79" s="119">
        <f>LEN(D79)</f>
        <v>179</v>
      </c>
      <c r="F79" s="145" t="s">
        <v>327</v>
      </c>
      <c r="G79" s="119">
        <f>LEN(F79)</f>
        <v>167</v>
      </c>
      <c r="H79" s="129" t="s">
        <v>37</v>
      </c>
      <c r="I79" s="119" t="s">
        <v>24</v>
      </c>
      <c r="J79" s="119" t="s">
        <v>24</v>
      </c>
      <c r="K79" s="121" t="s">
        <v>38</v>
      </c>
      <c r="L79" s="144" t="s">
        <v>328</v>
      </c>
      <c r="M79" s="194" t="s">
        <v>24</v>
      </c>
      <c r="N79" s="163" t="s">
        <v>329</v>
      </c>
      <c r="O79" s="162"/>
      <c r="P79" s="39"/>
      <c r="Q79" s="245">
        <f>'Additional information'!$D$17</f>
        <v>0.81</v>
      </c>
      <c r="R79" s="116"/>
      <c r="T79" s="385" t="s">
        <v>33</v>
      </c>
      <c r="U79" s="123"/>
      <c r="X79" s="243">
        <v>7.7659573554992676</v>
      </c>
      <c r="Y79" s="243">
        <f t="shared" si="11"/>
        <v>6.2904254579544068</v>
      </c>
      <c r="Z79" s="116">
        <f t="shared" si="12"/>
        <v>6.2904254579544068</v>
      </c>
    </row>
    <row r="80" spans="1:26" s="122" customFormat="1">
      <c r="A80" s="79"/>
      <c r="B80" s="234"/>
      <c r="C80" s="80"/>
      <c r="D80" s="88"/>
      <c r="E80" s="86"/>
      <c r="F80" s="86"/>
      <c r="G80" s="86"/>
      <c r="H80" s="89"/>
      <c r="I80" s="86"/>
      <c r="J80" s="86"/>
      <c r="K80" s="80"/>
      <c r="L80" s="71"/>
      <c r="M80" s="60"/>
      <c r="N80" s="291"/>
      <c r="O80" s="162"/>
      <c r="P80" s="39"/>
      <c r="Q80" s="245">
        <f>'Additional information'!$D$17</f>
        <v>0.81</v>
      </c>
      <c r="R80" s="116"/>
      <c r="T80" s="124"/>
      <c r="U80" s="123"/>
      <c r="X80" s="244"/>
      <c r="Y80" s="244" t="str">
        <f t="shared" si="11"/>
        <v/>
      </c>
      <c r="Z80" s="116" t="str">
        <f t="shared" si="12"/>
        <v/>
      </c>
    </row>
    <row r="81" spans="1:26" s="122" customFormat="1" ht="204" customHeight="1">
      <c r="A81" s="34" t="e">
        <f>A78+1</f>
        <v>#REF!</v>
      </c>
      <c r="B81" s="143" t="s">
        <v>330</v>
      </c>
      <c r="C81" s="127" t="s">
        <v>330</v>
      </c>
      <c r="D81" s="141" t="s">
        <v>331</v>
      </c>
      <c r="E81" s="127">
        <f>LEN(D81)</f>
        <v>331</v>
      </c>
      <c r="F81" s="145" t="s">
        <v>332</v>
      </c>
      <c r="G81" s="127">
        <f>LEN(F81)</f>
        <v>306</v>
      </c>
      <c r="H81" s="128" t="s">
        <v>88</v>
      </c>
      <c r="I81" s="127" t="s">
        <v>24</v>
      </c>
      <c r="J81" s="127" t="s">
        <v>24</v>
      </c>
      <c r="K81" s="127" t="s">
        <v>89</v>
      </c>
      <c r="L81" s="627" t="s">
        <v>333</v>
      </c>
      <c r="M81" s="194" t="s">
        <v>24</v>
      </c>
      <c r="N81" s="554" t="s">
        <v>334</v>
      </c>
      <c r="O81" s="49"/>
      <c r="P81" s="10"/>
      <c r="Q81" s="245">
        <f>'Additional information'!$D$17</f>
        <v>0.81</v>
      </c>
      <c r="R81" s="116"/>
      <c r="T81" s="385" t="s">
        <v>33</v>
      </c>
      <c r="U81" s="123"/>
      <c r="X81" s="243">
        <v>16.481756210327148</v>
      </c>
      <c r="Y81" s="243">
        <f t="shared" si="11"/>
        <v>13.350222530364992</v>
      </c>
      <c r="Z81" s="116">
        <f t="shared" si="12"/>
        <v>13.350222530364992</v>
      </c>
    </row>
    <row r="82" spans="1:26" s="122" customFormat="1" ht="14" customHeight="1">
      <c r="A82" s="34"/>
      <c r="B82" s="159"/>
      <c r="C82" s="158"/>
      <c r="D82" s="157"/>
      <c r="E82" s="36"/>
      <c r="F82" s="36"/>
      <c r="G82" s="36"/>
      <c r="H82" s="81"/>
      <c r="I82" s="36"/>
      <c r="J82" s="36"/>
      <c r="K82" s="36"/>
      <c r="L82" s="155"/>
      <c r="M82" s="60"/>
      <c r="N82" s="236"/>
      <c r="O82" s="155"/>
      <c r="P82" s="10"/>
      <c r="Q82" s="245">
        <f>'Additional information'!$D$17</f>
        <v>0.81</v>
      </c>
      <c r="R82" s="116"/>
      <c r="T82" s="124"/>
      <c r="U82" s="123"/>
      <c r="X82" s="244"/>
      <c r="Y82" s="244" t="str">
        <f t="shared" si="11"/>
        <v/>
      </c>
      <c r="Z82" s="116" t="str">
        <f t="shared" si="12"/>
        <v/>
      </c>
    </row>
    <row r="83" spans="1:26" s="122" customFormat="1" ht="238" customHeight="1">
      <c r="A83" s="14" t="e">
        <f>A81+1</f>
        <v>#REF!</v>
      </c>
      <c r="B83" s="28" t="s">
        <v>335</v>
      </c>
      <c r="C83" s="18" t="s">
        <v>336</v>
      </c>
      <c r="D83" s="27" t="s">
        <v>337</v>
      </c>
      <c r="E83" s="18">
        <f>LEN(D83)</f>
        <v>326</v>
      </c>
      <c r="F83" s="27" t="s">
        <v>338</v>
      </c>
      <c r="G83" s="18">
        <f>LEN(F83)</f>
        <v>336</v>
      </c>
      <c r="H83" s="16" t="s">
        <v>339</v>
      </c>
      <c r="I83" s="15" t="s">
        <v>24</v>
      </c>
      <c r="J83" s="15" t="s">
        <v>24</v>
      </c>
      <c r="K83" s="15" t="s">
        <v>340</v>
      </c>
      <c r="L83" s="101" t="s">
        <v>341</v>
      </c>
      <c r="M83" s="61" t="s">
        <v>342</v>
      </c>
      <c r="N83" s="100" t="s">
        <v>343</v>
      </c>
      <c r="O83" s="45"/>
      <c r="P83" s="10"/>
      <c r="Q83" s="245">
        <f>'Additional information'!$D$17</f>
        <v>0.81</v>
      </c>
      <c r="R83" s="116"/>
      <c r="T83" s="124" t="s">
        <v>23</v>
      </c>
      <c r="U83" s="123"/>
      <c r="X83" s="244">
        <v>18.511110305786129</v>
      </c>
      <c r="Y83" s="244">
        <f t="shared" si="11"/>
        <v>14.993999347686765</v>
      </c>
      <c r="Z83" s="116" t="str">
        <f t="shared" si="12"/>
        <v/>
      </c>
    </row>
    <row r="84" spans="1:26" s="122" customFormat="1">
      <c r="A84" s="34"/>
      <c r="B84" s="159"/>
      <c r="C84" s="158"/>
      <c r="D84" s="157"/>
      <c r="E84" s="36"/>
      <c r="F84" s="36"/>
      <c r="G84" s="36"/>
      <c r="H84" s="81"/>
      <c r="I84" s="36"/>
      <c r="J84" s="36"/>
      <c r="K84" s="36"/>
      <c r="L84" s="155"/>
      <c r="M84" s="60"/>
      <c r="N84" s="156"/>
      <c r="O84" s="155"/>
      <c r="P84" s="10"/>
      <c r="Q84" s="245">
        <f>'Additional information'!$D$17</f>
        <v>0.81</v>
      </c>
      <c r="R84" s="116"/>
      <c r="T84" s="124"/>
      <c r="U84" s="123"/>
      <c r="X84" s="244"/>
      <c r="Y84" s="244" t="str">
        <f t="shared" si="11"/>
        <v/>
      </c>
      <c r="Z84" s="116" t="str">
        <f t="shared" si="12"/>
        <v/>
      </c>
    </row>
    <row r="85" spans="1:26" s="122" customFormat="1" ht="204" customHeight="1">
      <c r="A85" s="34" t="e">
        <f>A83+1</f>
        <v>#REF!</v>
      </c>
      <c r="B85" s="161" t="s">
        <v>344</v>
      </c>
      <c r="C85" s="160" t="s">
        <v>344</v>
      </c>
      <c r="D85" s="141" t="s">
        <v>345</v>
      </c>
      <c r="E85" s="127">
        <f>LEN(D85)</f>
        <v>254</v>
      </c>
      <c r="F85" s="141" t="s">
        <v>346</v>
      </c>
      <c r="G85" s="127">
        <f>LEN(F85)</f>
        <v>248</v>
      </c>
      <c r="H85" s="136" t="s">
        <v>37</v>
      </c>
      <c r="I85" s="127" t="s">
        <v>24</v>
      </c>
      <c r="J85" s="127" t="s">
        <v>24</v>
      </c>
      <c r="K85" s="127" t="s">
        <v>38</v>
      </c>
      <c r="L85" s="627" t="s">
        <v>347</v>
      </c>
      <c r="M85" s="194" t="s">
        <v>24</v>
      </c>
      <c r="N85" s="151" t="s">
        <v>348</v>
      </c>
      <c r="O85" s="42"/>
      <c r="P85" s="10"/>
      <c r="Q85" s="245">
        <f>'Additional information'!$D$17</f>
        <v>0.81</v>
      </c>
      <c r="R85" s="116"/>
      <c r="T85" s="385" t="s">
        <v>33</v>
      </c>
      <c r="U85" s="123"/>
      <c r="X85" s="243">
        <v>20.308681488037109</v>
      </c>
      <c r="Y85" s="243">
        <f t="shared" si="11"/>
        <v>16.45003200531006</v>
      </c>
      <c r="Z85" s="116">
        <f t="shared" si="12"/>
        <v>16.45003200531006</v>
      </c>
    </row>
    <row r="86" spans="1:26" s="122" customFormat="1" ht="80" customHeight="1">
      <c r="A86" s="34"/>
      <c r="B86" s="557" t="s">
        <v>349</v>
      </c>
      <c r="C86" s="546"/>
      <c r="D86" s="558" t="s">
        <v>350</v>
      </c>
      <c r="E86" s="548">
        <f>LEN(D86)</f>
        <v>122</v>
      </c>
      <c r="F86" s="559" t="s">
        <v>351</v>
      </c>
      <c r="G86" s="36"/>
      <c r="H86" s="560" t="s">
        <v>26</v>
      </c>
      <c r="I86" s="628" t="s">
        <v>24</v>
      </c>
      <c r="J86" s="628" t="s">
        <v>24</v>
      </c>
      <c r="K86" s="628" t="s">
        <v>38</v>
      </c>
      <c r="L86" s="561" t="s">
        <v>352</v>
      </c>
      <c r="M86" s="60"/>
      <c r="N86" s="156"/>
      <c r="O86" s="155"/>
      <c r="P86" s="10"/>
      <c r="Q86" s="245">
        <f>'Additional information'!$D$17</f>
        <v>0.81</v>
      </c>
      <c r="R86" s="116"/>
      <c r="T86" s="124"/>
      <c r="U86" s="123"/>
      <c r="X86" s="244"/>
      <c r="Y86" s="244" t="str">
        <f t="shared" si="11"/>
        <v/>
      </c>
      <c r="Z86" s="116" t="str">
        <f t="shared" si="12"/>
        <v/>
      </c>
    </row>
    <row r="87" spans="1:26" s="122" customFormat="1" ht="204" customHeight="1">
      <c r="A87" s="34" t="e">
        <f>A85+1</f>
        <v>#REF!</v>
      </c>
      <c r="B87" s="143" t="s">
        <v>353</v>
      </c>
      <c r="C87" s="127" t="s">
        <v>353</v>
      </c>
      <c r="D87" s="141" t="s">
        <v>354</v>
      </c>
      <c r="E87" s="127">
        <f>LEN(D87)</f>
        <v>253</v>
      </c>
      <c r="F87" s="141" t="s">
        <v>355</v>
      </c>
      <c r="G87" s="127">
        <f>LEN(F87)</f>
        <v>241</v>
      </c>
      <c r="H87" s="136" t="s">
        <v>37</v>
      </c>
      <c r="I87" s="127" t="s">
        <v>24</v>
      </c>
      <c r="J87" s="127" t="s">
        <v>24</v>
      </c>
      <c r="K87" s="127" t="s">
        <v>38</v>
      </c>
      <c r="L87" s="640" t="s">
        <v>356</v>
      </c>
      <c r="M87" s="194" t="s">
        <v>24</v>
      </c>
      <c r="N87" s="154" t="s">
        <v>357</v>
      </c>
      <c r="O87" s="153"/>
      <c r="P87" s="102"/>
      <c r="Q87" s="245">
        <f>'Additional information'!$D$17</f>
        <v>0.81</v>
      </c>
      <c r="R87" s="116"/>
      <c r="T87" s="385" t="s">
        <v>33</v>
      </c>
      <c r="U87" s="123"/>
      <c r="X87" s="243">
        <v>15.448612213134769</v>
      </c>
      <c r="Y87" s="243">
        <f t="shared" si="11"/>
        <v>12.513375892639164</v>
      </c>
      <c r="Z87" s="116">
        <f t="shared" si="12"/>
        <v>12.513375892639164</v>
      </c>
    </row>
    <row r="88" spans="1:26" s="122" customFormat="1">
      <c r="A88" s="34"/>
      <c r="B88" s="214"/>
      <c r="C88" s="80"/>
      <c r="D88" s="60"/>
      <c r="E88" s="36"/>
      <c r="F88" s="36"/>
      <c r="G88" s="36"/>
      <c r="H88" s="81"/>
      <c r="I88" s="36"/>
      <c r="J88" s="36"/>
      <c r="K88" s="36"/>
      <c r="L88" s="641"/>
      <c r="M88" s="65"/>
      <c r="N88" s="65"/>
      <c r="O88" s="65"/>
      <c r="P88" s="10"/>
      <c r="Q88" s="245">
        <f>'Additional information'!$D$17</f>
        <v>0.81</v>
      </c>
      <c r="R88" s="116"/>
      <c r="T88" s="124"/>
      <c r="U88" s="123"/>
      <c r="X88" s="244"/>
      <c r="Y88" s="244" t="str">
        <f t="shared" si="11"/>
        <v/>
      </c>
      <c r="Z88" s="116" t="str">
        <f t="shared" si="12"/>
        <v/>
      </c>
    </row>
    <row r="89" spans="1:26" s="122" customFormat="1" ht="153" customHeight="1">
      <c r="A89" s="34" t="e">
        <f>#REF!+1</f>
        <v>#REF!</v>
      </c>
      <c r="B89" s="143" t="s">
        <v>358</v>
      </c>
      <c r="C89" s="121" t="s">
        <v>358</v>
      </c>
      <c r="D89" s="142" t="s">
        <v>359</v>
      </c>
      <c r="E89" s="127">
        <f>LEN(D89)</f>
        <v>163</v>
      </c>
      <c r="F89" s="518" t="s">
        <v>360</v>
      </c>
      <c r="G89" s="127">
        <f>LEN(F89)</f>
        <v>123</v>
      </c>
      <c r="H89" s="136" t="s">
        <v>37</v>
      </c>
      <c r="I89" s="127" t="s">
        <v>24</v>
      </c>
      <c r="J89" s="127" t="s">
        <v>24</v>
      </c>
      <c r="K89" s="127" t="s">
        <v>38</v>
      </c>
      <c r="L89" s="640" t="s">
        <v>361</v>
      </c>
      <c r="M89" s="194" t="s">
        <v>24</v>
      </c>
      <c r="N89" s="126" t="s">
        <v>362</v>
      </c>
      <c r="O89" s="43"/>
      <c r="P89" s="10"/>
      <c r="Q89" s="245">
        <f>'Additional information'!$D$17</f>
        <v>0.81</v>
      </c>
      <c r="R89" s="116"/>
      <c r="T89" s="385" t="s">
        <v>33</v>
      </c>
      <c r="U89" s="123"/>
      <c r="X89" s="243">
        <v>11.37532997131348</v>
      </c>
      <c r="Y89" s="243">
        <f t="shared" si="11"/>
        <v>9.2140172767639203</v>
      </c>
      <c r="Z89" s="116">
        <f t="shared" si="12"/>
        <v>9.2140172767639203</v>
      </c>
    </row>
    <row r="90" spans="1:26" s="122" customFormat="1" ht="388" customHeight="1">
      <c r="A90" s="91" t="e">
        <f>A89+1</f>
        <v>#REF!</v>
      </c>
      <c r="B90" s="211" t="s">
        <v>363</v>
      </c>
      <c r="C90" s="128" t="s">
        <v>364</v>
      </c>
      <c r="D90" s="358" t="s">
        <v>365</v>
      </c>
      <c r="E90" s="110">
        <f>LEN(D90)</f>
        <v>779</v>
      </c>
      <c r="F90" s="478" t="s">
        <v>366</v>
      </c>
      <c r="G90" s="110">
        <f>LEN(F90)</f>
        <v>754</v>
      </c>
      <c r="H90" s="121" t="s">
        <v>339</v>
      </c>
      <c r="I90" s="110" t="s">
        <v>24</v>
      </c>
      <c r="J90" s="110" t="s">
        <v>24</v>
      </c>
      <c r="K90" s="110" t="s">
        <v>367</v>
      </c>
      <c r="L90" s="639" t="s">
        <v>368</v>
      </c>
      <c r="M90" s="194" t="s">
        <v>369</v>
      </c>
      <c r="N90" s="142" t="s">
        <v>370</v>
      </c>
      <c r="O90" s="43"/>
      <c r="P90" s="10"/>
      <c r="Q90" s="245">
        <f>'Additional information'!$D$17</f>
        <v>0.81</v>
      </c>
      <c r="R90" s="116"/>
      <c r="T90" s="385" t="s">
        <v>33</v>
      </c>
      <c r="U90" s="123"/>
      <c r="X90" s="243">
        <v>25.844999313354489</v>
      </c>
      <c r="Y90" s="243">
        <f t="shared" si="11"/>
        <v>20.934449443817137</v>
      </c>
      <c r="Z90" s="116">
        <f t="shared" si="12"/>
        <v>20.934449443817137</v>
      </c>
    </row>
    <row r="91" spans="1:26" s="122" customFormat="1" ht="200" customHeight="1">
      <c r="A91" s="34"/>
      <c r="B91" s="564" t="s">
        <v>371</v>
      </c>
      <c r="C91" s="546"/>
      <c r="D91" s="565" t="s">
        <v>372</v>
      </c>
      <c r="E91" s="548">
        <f>LEN(D91)</f>
        <v>233</v>
      </c>
      <c r="F91" s="566" t="s">
        <v>373</v>
      </c>
      <c r="G91" s="36"/>
      <c r="H91" s="569" t="s">
        <v>296</v>
      </c>
      <c r="I91" s="570" t="s">
        <v>24</v>
      </c>
      <c r="J91" s="570" t="s">
        <v>374</v>
      </c>
      <c r="K91" s="570" t="s">
        <v>375</v>
      </c>
      <c r="L91" s="571" t="s">
        <v>376</v>
      </c>
      <c r="M91" s="65"/>
      <c r="N91" s="65"/>
      <c r="O91" s="65"/>
      <c r="P91" s="10"/>
      <c r="Q91" s="245">
        <f>'Additional information'!$D$17</f>
        <v>0.81</v>
      </c>
      <c r="R91" s="116"/>
      <c r="T91" s="124"/>
      <c r="U91" s="123"/>
      <c r="X91" s="244"/>
      <c r="Y91" s="244" t="str">
        <f t="shared" si="11"/>
        <v/>
      </c>
      <c r="Z91" s="116" t="str">
        <f t="shared" si="12"/>
        <v/>
      </c>
    </row>
    <row r="92" spans="1:26" s="122" customFormat="1" ht="200" customHeight="1">
      <c r="A92" s="91"/>
      <c r="B92" s="564" t="s">
        <v>377</v>
      </c>
      <c r="C92" s="546"/>
      <c r="D92" s="565" t="s">
        <v>378</v>
      </c>
      <c r="E92" s="548">
        <f>LEN(D92)</f>
        <v>206</v>
      </c>
      <c r="F92" s="566" t="s">
        <v>379</v>
      </c>
      <c r="G92" s="83"/>
      <c r="H92" s="569" t="s">
        <v>296</v>
      </c>
      <c r="I92" s="570" t="s">
        <v>24</v>
      </c>
      <c r="J92" s="570" t="s">
        <v>380</v>
      </c>
      <c r="K92" s="570" t="s">
        <v>375</v>
      </c>
      <c r="L92" s="571" t="s">
        <v>376</v>
      </c>
      <c r="M92" s="65"/>
      <c r="N92" s="75"/>
      <c r="O92" s="75"/>
      <c r="P92" s="52"/>
      <c r="Q92" s="245"/>
      <c r="R92" s="116"/>
      <c r="T92" s="124"/>
      <c r="U92" s="123"/>
      <c r="X92" s="244"/>
      <c r="Y92" s="244"/>
      <c r="Z92" s="116"/>
    </row>
    <row r="93" spans="1:26" s="122" customFormat="1" ht="201" customHeight="1" thickBot="1">
      <c r="A93" s="91"/>
      <c r="B93" s="567" t="s">
        <v>381</v>
      </c>
      <c r="C93" s="568"/>
      <c r="D93" s="565" t="s">
        <v>382</v>
      </c>
      <c r="E93" s="548">
        <f>LEN(D93)</f>
        <v>201</v>
      </c>
      <c r="F93" s="566" t="s">
        <v>383</v>
      </c>
      <c r="G93" s="83"/>
      <c r="H93" s="569" t="s">
        <v>296</v>
      </c>
      <c r="I93" s="570" t="s">
        <v>24</v>
      </c>
      <c r="J93" s="570" t="s">
        <v>384</v>
      </c>
      <c r="K93" s="570" t="s">
        <v>375</v>
      </c>
      <c r="L93" s="572" t="s">
        <v>376</v>
      </c>
      <c r="M93" s="65"/>
      <c r="N93" s="69"/>
      <c r="O93" s="75"/>
      <c r="P93" s="52"/>
      <c r="Q93" s="245">
        <f>'Additional information'!$D$17</f>
        <v>0.81</v>
      </c>
      <c r="R93" s="116"/>
      <c r="T93" s="124"/>
      <c r="U93" s="123"/>
      <c r="X93" s="244"/>
      <c r="Y93" s="244" t="str">
        <f>IF(X93="","",X93*Q93)</f>
        <v/>
      </c>
      <c r="Z93" s="116" t="str">
        <f>IF(T93="yes",Y93,"")</f>
        <v/>
      </c>
    </row>
    <row r="94" spans="1:26" s="635" customFormat="1" ht="119" customHeight="1">
      <c r="A94" s="629"/>
      <c r="B94" s="615" t="s">
        <v>385</v>
      </c>
      <c r="C94" s="616"/>
      <c r="D94" s="617" t="s">
        <v>386</v>
      </c>
      <c r="E94" s="618"/>
      <c r="F94" s="619" t="s">
        <v>387</v>
      </c>
      <c r="G94" s="618"/>
      <c r="H94" s="630" t="s">
        <v>37</v>
      </c>
      <c r="I94" s="618" t="s">
        <v>24</v>
      </c>
      <c r="J94" s="618"/>
      <c r="K94" s="618"/>
      <c r="L94" s="631" t="s">
        <v>388</v>
      </c>
      <c r="M94" s="631"/>
      <c r="N94" s="631"/>
      <c r="O94" s="631"/>
      <c r="P94" s="632"/>
      <c r="Q94" s="633"/>
      <c r="R94" s="634"/>
      <c r="T94" s="636"/>
      <c r="U94" s="637"/>
      <c r="X94" s="638"/>
      <c r="Y94" s="638"/>
      <c r="Z94" s="634"/>
    </row>
    <row r="95" spans="1:26" s="635" customFormat="1" ht="46.25" customHeight="1">
      <c r="A95" s="629"/>
      <c r="B95" s="615" t="s">
        <v>389</v>
      </c>
      <c r="C95" s="616"/>
      <c r="D95" s="617" t="s">
        <v>390</v>
      </c>
      <c r="E95" s="618"/>
      <c r="F95" s="620" t="s">
        <v>391</v>
      </c>
      <c r="G95" s="618"/>
      <c r="H95" s="630" t="s">
        <v>37</v>
      </c>
      <c r="I95" s="618"/>
      <c r="J95" s="618"/>
      <c r="K95" s="618"/>
      <c r="L95" s="631" t="s">
        <v>392</v>
      </c>
      <c r="M95" s="631"/>
      <c r="N95" s="631"/>
      <c r="O95" s="631"/>
      <c r="P95" s="632"/>
      <c r="Q95" s="633"/>
      <c r="R95" s="634"/>
      <c r="T95" s="636"/>
      <c r="U95" s="637"/>
      <c r="X95" s="638"/>
      <c r="Y95" s="638"/>
      <c r="Z95" s="634"/>
    </row>
    <row r="96" spans="1:26" s="635" customFormat="1" ht="285" customHeight="1" thickBot="1">
      <c r="A96" s="629"/>
      <c r="B96" s="615" t="s">
        <v>393</v>
      </c>
      <c r="C96" s="616"/>
      <c r="D96" s="617" t="s">
        <v>394</v>
      </c>
      <c r="E96" s="618"/>
      <c r="F96" s="620" t="s">
        <v>395</v>
      </c>
      <c r="G96" s="618"/>
      <c r="H96" s="630" t="s">
        <v>396</v>
      </c>
      <c r="I96" s="618" t="s">
        <v>24</v>
      </c>
      <c r="J96" s="618"/>
      <c r="K96" s="618"/>
      <c r="L96" s="631" t="s">
        <v>397</v>
      </c>
      <c r="M96" s="631"/>
      <c r="N96" s="631"/>
      <c r="O96" s="631"/>
      <c r="P96" s="632"/>
      <c r="Q96" s="633"/>
      <c r="R96" s="634"/>
      <c r="T96" s="636"/>
      <c r="U96" s="637"/>
      <c r="X96" s="638"/>
      <c r="Y96" s="638"/>
      <c r="Z96" s="634"/>
    </row>
    <row r="97" spans="1:26" s="376" customFormat="1" ht="17" customHeight="1" thickBot="1">
      <c r="A97" s="648" t="s">
        <v>398</v>
      </c>
      <c r="B97" s="649"/>
      <c r="C97" s="649"/>
      <c r="D97" s="649"/>
      <c r="E97" s="649"/>
      <c r="F97" s="649"/>
      <c r="G97" s="649"/>
      <c r="H97" s="649"/>
      <c r="I97" s="649"/>
      <c r="J97" s="649"/>
      <c r="K97" s="649"/>
      <c r="L97" s="649"/>
      <c r="M97" s="649"/>
      <c r="N97" s="649"/>
      <c r="O97" s="649"/>
      <c r="P97" s="650"/>
      <c r="Q97" s="240"/>
      <c r="R97" s="387"/>
      <c r="T97" s="385"/>
      <c r="U97" s="388"/>
      <c r="X97" s="243"/>
      <c r="Y97" s="243" t="str">
        <f>IF(X97="","",X97*Q97)</f>
        <v/>
      </c>
      <c r="Z97" s="387" t="str">
        <f>IF(T97="yes",Y97,"")</f>
        <v/>
      </c>
    </row>
    <row r="98" spans="1:26" s="122" customFormat="1" ht="255" customHeight="1">
      <c r="A98" s="34"/>
      <c r="B98" s="161" t="s">
        <v>399</v>
      </c>
      <c r="C98" s="160" t="s">
        <v>399</v>
      </c>
      <c r="D98" s="519" t="s">
        <v>400</v>
      </c>
      <c r="E98" s="119">
        <f>LEN(D98)</f>
        <v>1382</v>
      </c>
      <c r="F98" s="485" t="s">
        <v>401</v>
      </c>
      <c r="G98" s="119">
        <f>LEN(F98)</f>
        <v>1380</v>
      </c>
      <c r="H98" s="129" t="s">
        <v>37</v>
      </c>
      <c r="I98" s="127" t="s">
        <v>24</v>
      </c>
      <c r="J98" s="121" t="s">
        <v>402</v>
      </c>
      <c r="K98" s="119" t="s">
        <v>38</v>
      </c>
      <c r="L98" s="126" t="s">
        <v>403</v>
      </c>
      <c r="M98" s="346" t="s">
        <v>404</v>
      </c>
      <c r="N98" s="126" t="s">
        <v>405</v>
      </c>
      <c r="O98" s="65"/>
      <c r="P98" s="10"/>
      <c r="Q98" s="245">
        <f>'Additional information'!$D$17</f>
        <v>0.81</v>
      </c>
      <c r="R98" s="116"/>
      <c r="T98" s="385" t="s">
        <v>33</v>
      </c>
      <c r="U98" s="123"/>
      <c r="X98" s="243">
        <v>17.612014770507809</v>
      </c>
      <c r="Y98" s="243">
        <f>IF(X98="","",X98*Q98)</f>
        <v>14.265731964111326</v>
      </c>
      <c r="Z98" s="116">
        <f>IF(T98="yes",Y98,"")</f>
        <v>14.265731964111326</v>
      </c>
    </row>
    <row r="99" spans="1:26" s="122" customFormat="1">
      <c r="A99" s="34"/>
      <c r="B99" s="159"/>
      <c r="C99" s="80"/>
      <c r="D99" s="520"/>
      <c r="E99" s="86"/>
      <c r="F99" s="520"/>
      <c r="G99" s="86"/>
      <c r="H99" s="37"/>
      <c r="I99" s="36"/>
      <c r="J99" s="90"/>
      <c r="K99" s="36"/>
      <c r="L99" s="65"/>
      <c r="M99" s="65"/>
      <c r="N99" s="67"/>
      <c r="O99" s="67"/>
      <c r="P99" s="10"/>
      <c r="Q99" s="245">
        <f>'Additional information'!$D$17</f>
        <v>0.81</v>
      </c>
      <c r="R99" s="124"/>
      <c r="S99" s="123"/>
      <c r="V99" s="130"/>
      <c r="W99" s="173"/>
      <c r="X99" s="244"/>
      <c r="Y99" s="244" t="str">
        <f>IF(X99="","",X99*Q99)</f>
        <v/>
      </c>
      <c r="Z99" s="116" t="str">
        <f>IF(T99="yes",Y99,"")</f>
        <v/>
      </c>
    </row>
    <row r="100" spans="1:26" s="122" customFormat="1" ht="222" customHeight="1">
      <c r="A100" s="79" t="e">
        <f>A90+1</f>
        <v>#REF!</v>
      </c>
      <c r="B100" s="359" t="s">
        <v>406</v>
      </c>
      <c r="C100" s="121" t="s">
        <v>406</v>
      </c>
      <c r="D100" s="120" t="s">
        <v>407</v>
      </c>
      <c r="E100" s="119">
        <f>LEN(D100)</f>
        <v>167</v>
      </c>
      <c r="F100" s="485" t="s">
        <v>408</v>
      </c>
      <c r="G100" s="119">
        <f>LEN(F100)</f>
        <v>141</v>
      </c>
      <c r="H100" s="129" t="s">
        <v>37</v>
      </c>
      <c r="I100" s="119" t="s">
        <v>24</v>
      </c>
      <c r="J100" s="121" t="s">
        <v>24</v>
      </c>
      <c r="K100" s="119" t="s">
        <v>38</v>
      </c>
      <c r="L100" s="118" t="s">
        <v>409</v>
      </c>
      <c r="M100" s="194" t="s">
        <v>24</v>
      </c>
      <c r="N100" s="118" t="s">
        <v>410</v>
      </c>
      <c r="O100" s="67"/>
      <c r="P100" s="39"/>
      <c r="Q100" s="245">
        <f>'Additional information'!$D$17</f>
        <v>0.81</v>
      </c>
      <c r="R100" s="116"/>
      <c r="T100" s="385" t="s">
        <v>33</v>
      </c>
      <c r="U100" s="123"/>
      <c r="X100" s="243">
        <v>10.457156181335449</v>
      </c>
      <c r="Y100" s="243">
        <f>IF(X100="","",X100*Q100)</f>
        <v>8.4702965068817146</v>
      </c>
      <c r="Z100" s="116">
        <f>IF(T100="yes",Y100,"")</f>
        <v>8.4702965068817146</v>
      </c>
    </row>
    <row r="101" spans="1:26" s="122" customFormat="1" ht="289" customHeight="1">
      <c r="A101" s="34" t="e">
        <f>A100+1</f>
        <v>#REF!</v>
      </c>
      <c r="B101" s="161" t="s">
        <v>411</v>
      </c>
      <c r="C101" s="121" t="s">
        <v>412</v>
      </c>
      <c r="D101" s="358" t="s">
        <v>413</v>
      </c>
      <c r="E101" s="119">
        <f>LEN(D101)</f>
        <v>684</v>
      </c>
      <c r="F101" s="485" t="s">
        <v>414</v>
      </c>
      <c r="G101" s="119">
        <f>LEN(F101)</f>
        <v>622</v>
      </c>
      <c r="H101" s="121" t="s">
        <v>339</v>
      </c>
      <c r="I101" s="127" t="s">
        <v>24</v>
      </c>
      <c r="J101" s="152" t="s">
        <v>24</v>
      </c>
      <c r="K101" s="127" t="s">
        <v>340</v>
      </c>
      <c r="L101" s="126" t="s">
        <v>415</v>
      </c>
      <c r="M101" s="194" t="s">
        <v>416</v>
      </c>
      <c r="N101" s="126" t="s">
        <v>417</v>
      </c>
      <c r="O101" s="65"/>
      <c r="P101" s="10"/>
      <c r="Q101" s="245">
        <f>'Additional information'!$D$17</f>
        <v>0.81</v>
      </c>
      <c r="R101" s="116"/>
      <c r="T101" s="385" t="s">
        <v>33</v>
      </c>
      <c r="U101" s="123"/>
      <c r="X101" s="243">
        <v>20.769962310791019</v>
      </c>
      <c r="Y101" s="243">
        <f>IF(X101="","",X101*Q101)</f>
        <v>16.823669471740725</v>
      </c>
      <c r="Z101" s="116">
        <f>IF(T101="yes",Y101,"")</f>
        <v>16.823669471740725</v>
      </c>
    </row>
    <row r="102" spans="1:26" s="122" customFormat="1">
      <c r="A102" s="34"/>
      <c r="B102" s="161"/>
      <c r="C102" s="121"/>
      <c r="D102" s="573"/>
      <c r="E102" s="119"/>
      <c r="F102" s="485"/>
      <c r="G102" s="119"/>
      <c r="H102" s="121"/>
      <c r="I102" s="127"/>
      <c r="J102" s="574"/>
      <c r="K102" s="127"/>
      <c r="L102" s="126"/>
      <c r="M102" s="194"/>
      <c r="N102" s="118"/>
      <c r="O102" s="67"/>
      <c r="P102" s="10"/>
      <c r="Q102" s="245"/>
      <c r="R102" s="116"/>
      <c r="T102" s="385"/>
      <c r="U102" s="123"/>
      <c r="X102" s="243"/>
      <c r="Y102" s="243"/>
      <c r="Z102" s="116"/>
    </row>
    <row r="103" spans="1:26" s="122" customFormat="1" ht="80" customHeight="1">
      <c r="A103" s="34"/>
      <c r="B103" s="557" t="s">
        <v>418</v>
      </c>
      <c r="C103" s="575"/>
      <c r="D103" s="547" t="s">
        <v>419</v>
      </c>
      <c r="E103" s="576"/>
      <c r="F103" s="643" t="s">
        <v>420</v>
      </c>
      <c r="G103" s="86"/>
      <c r="H103" s="37" t="s">
        <v>26</v>
      </c>
      <c r="I103" s="36"/>
      <c r="J103" s="570" t="s">
        <v>421</v>
      </c>
      <c r="K103" s="570" t="s">
        <v>27</v>
      </c>
      <c r="L103" s="578" t="s">
        <v>422</v>
      </c>
      <c r="M103" s="577" t="s">
        <v>423</v>
      </c>
      <c r="N103" s="67"/>
      <c r="O103" s="67"/>
      <c r="P103" s="10"/>
      <c r="Q103" s="245">
        <f>'Additional information'!$D$17</f>
        <v>0.81</v>
      </c>
      <c r="R103" s="116"/>
      <c r="T103" s="124"/>
      <c r="U103" s="123"/>
      <c r="X103" s="244"/>
      <c r="Y103" s="244" t="str">
        <f t="shared" ref="Y103:Y118" si="14">IF(X103="","",X103*Q103)</f>
        <v/>
      </c>
      <c r="Z103" s="116" t="str">
        <f t="shared" ref="Z103:Z118" si="15">IF(T103="yes",Y103,"")</f>
        <v/>
      </c>
    </row>
    <row r="104" spans="1:26" s="122" customFormat="1" ht="261" customHeight="1">
      <c r="A104" s="34" t="e">
        <f>A101+1</f>
        <v>#REF!</v>
      </c>
      <c r="B104" s="161" t="s">
        <v>424</v>
      </c>
      <c r="C104" s="121" t="s">
        <v>424</v>
      </c>
      <c r="D104" s="142" t="s">
        <v>425</v>
      </c>
      <c r="E104" s="127">
        <f>LEN(D104)</f>
        <v>336</v>
      </c>
      <c r="F104" s="521" t="s">
        <v>426</v>
      </c>
      <c r="G104" s="127">
        <f>LEN(F104)</f>
        <v>299</v>
      </c>
      <c r="H104" s="136" t="s">
        <v>37</v>
      </c>
      <c r="I104" s="127" t="s">
        <v>24</v>
      </c>
      <c r="J104" s="127" t="s">
        <v>24</v>
      </c>
      <c r="K104" s="127" t="s">
        <v>38</v>
      </c>
      <c r="L104" s="627" t="s">
        <v>427</v>
      </c>
      <c r="M104" s="194" t="s">
        <v>24</v>
      </c>
      <c r="N104" s="125" t="s">
        <v>428</v>
      </c>
      <c r="O104" s="150"/>
      <c r="P104" s="10"/>
      <c r="Q104" s="245">
        <f>'Additional information'!$D$17</f>
        <v>0.81</v>
      </c>
      <c r="R104" s="116"/>
      <c r="T104" s="385" t="s">
        <v>33</v>
      </c>
      <c r="U104" s="123"/>
      <c r="X104" s="243">
        <v>23.569721221923832</v>
      </c>
      <c r="Y104" s="243">
        <f t="shared" si="14"/>
        <v>19.091474189758305</v>
      </c>
      <c r="Z104" s="116">
        <f t="shared" si="15"/>
        <v>19.091474189758305</v>
      </c>
    </row>
    <row r="105" spans="1:26" s="122" customFormat="1" ht="81" customHeight="1" thickBot="1">
      <c r="A105" s="34"/>
      <c r="B105" s="557" t="s">
        <v>429</v>
      </c>
      <c r="C105" s="546"/>
      <c r="D105" s="547" t="s">
        <v>430</v>
      </c>
      <c r="E105" s="548">
        <f>LEN(D105)</f>
        <v>129</v>
      </c>
      <c r="F105" s="559" t="s">
        <v>431</v>
      </c>
      <c r="G105" s="86"/>
      <c r="H105" s="579" t="s">
        <v>26</v>
      </c>
      <c r="I105" s="570" t="s">
        <v>24</v>
      </c>
      <c r="J105" s="570"/>
      <c r="K105" s="570" t="s">
        <v>27</v>
      </c>
      <c r="L105" s="578" t="s">
        <v>432</v>
      </c>
      <c r="M105" s="580" t="s">
        <v>433</v>
      </c>
      <c r="N105" s="67"/>
      <c r="O105" s="67"/>
      <c r="P105" s="10"/>
      <c r="Q105" s="245">
        <f>'Additional information'!$D$17</f>
        <v>0.81</v>
      </c>
      <c r="R105" s="116"/>
      <c r="T105" s="124"/>
      <c r="U105" s="123"/>
      <c r="X105" s="244"/>
      <c r="Y105" s="244" t="str">
        <f t="shared" si="14"/>
        <v/>
      </c>
      <c r="Z105" s="116" t="str">
        <f t="shared" si="15"/>
        <v/>
      </c>
    </row>
    <row r="106" spans="1:26" s="376" customFormat="1" ht="17" customHeight="1" thickBot="1">
      <c r="A106" s="648" t="s">
        <v>434</v>
      </c>
      <c r="B106" s="649"/>
      <c r="C106" s="649"/>
      <c r="D106" s="649"/>
      <c r="E106" s="649"/>
      <c r="F106" s="649"/>
      <c r="G106" s="649"/>
      <c r="H106" s="649"/>
      <c r="I106" s="649"/>
      <c r="J106" s="649"/>
      <c r="K106" s="649"/>
      <c r="L106" s="649"/>
      <c r="M106" s="649"/>
      <c r="N106" s="649"/>
      <c r="O106" s="649"/>
      <c r="P106" s="650"/>
      <c r="Q106" s="240"/>
      <c r="R106" s="387"/>
      <c r="T106" s="385"/>
      <c r="U106" s="388"/>
      <c r="X106" s="243"/>
      <c r="Y106" s="243" t="str">
        <f t="shared" si="14"/>
        <v/>
      </c>
      <c r="Z106" s="387" t="str">
        <f t="shared" si="15"/>
        <v/>
      </c>
    </row>
    <row r="107" spans="1:26" s="122" customFormat="1" ht="136" customHeight="1">
      <c r="A107" s="79" t="e">
        <f>A104+1</f>
        <v>#REF!</v>
      </c>
      <c r="B107" s="360" t="s">
        <v>435</v>
      </c>
      <c r="C107" s="522" t="s">
        <v>435</v>
      </c>
      <c r="D107" s="523" t="s">
        <v>436</v>
      </c>
      <c r="E107" s="119">
        <f>LEN(D107)</f>
        <v>173</v>
      </c>
      <c r="F107" s="523" t="s">
        <v>437</v>
      </c>
      <c r="G107" s="119">
        <f>LEN(F107)</f>
        <v>124</v>
      </c>
      <c r="H107" s="119" t="s">
        <v>37</v>
      </c>
      <c r="I107" s="119" t="s">
        <v>24</v>
      </c>
      <c r="J107" s="119" t="s">
        <v>438</v>
      </c>
      <c r="K107" s="119" t="s">
        <v>38</v>
      </c>
      <c r="L107" s="118" t="s">
        <v>439</v>
      </c>
      <c r="M107" s="194" t="s">
        <v>24</v>
      </c>
      <c r="N107" s="125" t="s">
        <v>440</v>
      </c>
      <c r="O107" s="150"/>
      <c r="P107" s="9"/>
      <c r="Q107" s="240">
        <f>'Additional information'!$D$18</f>
        <v>0.56000000000000005</v>
      </c>
      <c r="R107" s="116"/>
      <c r="T107" s="385" t="s">
        <v>33</v>
      </c>
      <c r="U107" s="123"/>
      <c r="X107" s="243">
        <v>4.5019583702087402</v>
      </c>
      <c r="Y107" s="243">
        <f t="shared" si="14"/>
        <v>2.521096687316895</v>
      </c>
      <c r="Z107" s="116">
        <f t="shared" si="15"/>
        <v>2.521096687316895</v>
      </c>
    </row>
    <row r="108" spans="1:26" s="122" customFormat="1">
      <c r="A108" s="34"/>
      <c r="B108" s="159"/>
      <c r="C108" s="80"/>
      <c r="D108" s="520"/>
      <c r="E108" s="86"/>
      <c r="F108" s="399"/>
      <c r="G108" s="86"/>
      <c r="H108" s="37"/>
      <c r="I108" s="36"/>
      <c r="J108" s="90"/>
      <c r="K108" s="36"/>
      <c r="L108" s="65"/>
      <c r="M108" s="65"/>
      <c r="N108" s="67"/>
      <c r="O108" s="67"/>
      <c r="P108" s="10"/>
      <c r="Q108" s="245">
        <f>'Additional information'!$D$18</f>
        <v>0.56000000000000005</v>
      </c>
      <c r="R108" s="116"/>
      <c r="T108" s="124"/>
      <c r="U108" s="123"/>
      <c r="X108" s="244"/>
      <c r="Y108" s="244" t="str">
        <f t="shared" si="14"/>
        <v/>
      </c>
      <c r="Z108" s="116" t="str">
        <f t="shared" si="15"/>
        <v/>
      </c>
    </row>
    <row r="109" spans="1:26" s="122" customFormat="1" ht="306" customHeight="1">
      <c r="A109" s="79" t="e">
        <f>A107+1</f>
        <v>#REF!</v>
      </c>
      <c r="B109" s="209" t="s">
        <v>441</v>
      </c>
      <c r="C109" s="121" t="s">
        <v>441</v>
      </c>
      <c r="D109" s="120" t="s">
        <v>442</v>
      </c>
      <c r="E109" s="119">
        <f>LEN(D109)</f>
        <v>579</v>
      </c>
      <c r="F109" s="485" t="s">
        <v>443</v>
      </c>
      <c r="G109" s="119">
        <f>LEN(F109)</f>
        <v>542</v>
      </c>
      <c r="H109" s="119" t="s">
        <v>37</v>
      </c>
      <c r="I109" s="119" t="s">
        <v>24</v>
      </c>
      <c r="J109" s="119" t="s">
        <v>24</v>
      </c>
      <c r="K109" s="121" t="s">
        <v>444</v>
      </c>
      <c r="L109" s="118" t="s">
        <v>445</v>
      </c>
      <c r="M109" s="194" t="s">
        <v>24</v>
      </c>
      <c r="N109" s="125" t="s">
        <v>446</v>
      </c>
      <c r="O109" s="150"/>
      <c r="P109" s="39"/>
      <c r="Q109" s="240">
        <f>'Additional information'!$D$18</f>
        <v>0.56000000000000005</v>
      </c>
      <c r="R109" s="116"/>
      <c r="T109" s="385" t="s">
        <v>33</v>
      </c>
      <c r="U109" s="123"/>
      <c r="X109" s="243">
        <v>17.402484893798832</v>
      </c>
      <c r="Y109" s="243">
        <f t="shared" si="14"/>
        <v>9.745391540527347</v>
      </c>
      <c r="Z109" s="116">
        <f t="shared" si="15"/>
        <v>9.745391540527347</v>
      </c>
    </row>
    <row r="110" spans="1:26" s="122" customFormat="1">
      <c r="A110" s="79"/>
      <c r="B110" s="234"/>
      <c r="C110" s="80"/>
      <c r="D110" s="148"/>
      <c r="E110" s="86"/>
      <c r="F110" s="85"/>
      <c r="G110" s="86"/>
      <c r="H110" s="86"/>
      <c r="I110" s="86"/>
      <c r="J110" s="86"/>
      <c r="K110" s="80"/>
      <c r="L110" s="67"/>
      <c r="M110" s="65"/>
      <c r="N110" s="150"/>
      <c r="O110" s="150"/>
      <c r="P110" s="39"/>
      <c r="Q110" s="245">
        <f>'Additional information'!$D$18</f>
        <v>0.56000000000000005</v>
      </c>
      <c r="R110" s="116"/>
      <c r="T110" s="124"/>
      <c r="U110" s="123"/>
      <c r="X110" s="244"/>
      <c r="Y110" s="244" t="str">
        <f t="shared" si="14"/>
        <v/>
      </c>
      <c r="Z110" s="116" t="str">
        <f t="shared" si="15"/>
        <v/>
      </c>
    </row>
    <row r="111" spans="1:26" s="122" customFormat="1" ht="68" customHeight="1">
      <c r="A111" s="34" t="e">
        <f>A109+1</f>
        <v>#REF!</v>
      </c>
      <c r="B111" s="161" t="s">
        <v>447</v>
      </c>
      <c r="C111" s="121" t="s">
        <v>447</v>
      </c>
      <c r="D111" s="142" t="s">
        <v>448</v>
      </c>
      <c r="E111" s="127">
        <f>LEN(D111)</f>
        <v>152</v>
      </c>
      <c r="F111" s="478" t="s">
        <v>449</v>
      </c>
      <c r="G111" s="127">
        <f>LEN(F111)</f>
        <v>125</v>
      </c>
      <c r="H111" s="136" t="s">
        <v>127</v>
      </c>
      <c r="I111" s="127" t="s">
        <v>24</v>
      </c>
      <c r="J111" s="127" t="s">
        <v>24</v>
      </c>
      <c r="K111" s="127" t="s">
        <v>27</v>
      </c>
      <c r="L111" s="126" t="s">
        <v>450</v>
      </c>
      <c r="M111" s="194" t="s">
        <v>24</v>
      </c>
      <c r="N111" s="126" t="s">
        <v>451</v>
      </c>
      <c r="O111" s="67"/>
      <c r="P111" s="10"/>
      <c r="Q111" s="240">
        <f>'Additional information'!$D$18</f>
        <v>0.56000000000000005</v>
      </c>
      <c r="R111" s="116"/>
      <c r="T111" s="385" t="s">
        <v>33</v>
      </c>
      <c r="U111" s="123"/>
      <c r="X111" s="243">
        <v>16.332881927490231</v>
      </c>
      <c r="Y111" s="243">
        <f t="shared" si="14"/>
        <v>9.1464138793945295</v>
      </c>
      <c r="Z111" s="116">
        <f t="shared" si="15"/>
        <v>9.1464138793945295</v>
      </c>
    </row>
    <row r="112" spans="1:26" s="122" customFormat="1" ht="68" customHeight="1">
      <c r="A112" s="34" t="e">
        <f>A111+1</f>
        <v>#REF!</v>
      </c>
      <c r="B112" s="161" t="s">
        <v>452</v>
      </c>
      <c r="C112" s="121" t="s">
        <v>452</v>
      </c>
      <c r="D112" s="141" t="s">
        <v>453</v>
      </c>
      <c r="E112" s="127">
        <f>LEN(D112)</f>
        <v>128</v>
      </c>
      <c r="F112" s="141" t="s">
        <v>454</v>
      </c>
      <c r="G112" s="127">
        <f>LEN(F112)</f>
        <v>97</v>
      </c>
      <c r="H112" s="136" t="s">
        <v>127</v>
      </c>
      <c r="I112" s="127" t="s">
        <v>24</v>
      </c>
      <c r="J112" s="127" t="s">
        <v>24</v>
      </c>
      <c r="K112" s="127" t="s">
        <v>27</v>
      </c>
      <c r="L112" s="126" t="s">
        <v>455</v>
      </c>
      <c r="M112" s="194" t="s">
        <v>24</v>
      </c>
      <c r="N112" s="126" t="s">
        <v>456</v>
      </c>
      <c r="O112" s="67"/>
      <c r="P112" s="10"/>
      <c r="Q112" s="240">
        <f>'Additional information'!$D$18</f>
        <v>0.56000000000000005</v>
      </c>
      <c r="R112" s="116"/>
      <c r="T112" s="385" t="s">
        <v>33</v>
      </c>
      <c r="U112" s="123"/>
      <c r="X112" s="243">
        <v>7.4144525527954102</v>
      </c>
      <c r="Y112" s="243">
        <f t="shared" si="14"/>
        <v>4.1520934295654301</v>
      </c>
      <c r="Z112" s="116">
        <f t="shared" si="15"/>
        <v>4.1520934295654301</v>
      </c>
    </row>
    <row r="113" spans="1:26" s="122" customFormat="1" ht="400.25" customHeight="1">
      <c r="A113" s="34">
        <v>44</v>
      </c>
      <c r="B113" s="161" t="s">
        <v>457</v>
      </c>
      <c r="C113" s="121" t="s">
        <v>458</v>
      </c>
      <c r="D113" s="358" t="s">
        <v>459</v>
      </c>
      <c r="E113" s="127">
        <f>LEN(D113)</f>
        <v>787</v>
      </c>
      <c r="F113" s="141" t="s">
        <v>460</v>
      </c>
      <c r="G113" s="127">
        <f>LEN(F113)</f>
        <v>774</v>
      </c>
      <c r="H113" s="121" t="s">
        <v>339</v>
      </c>
      <c r="I113" s="127" t="s">
        <v>24</v>
      </c>
      <c r="J113" s="127" t="s">
        <v>24</v>
      </c>
      <c r="K113" s="127" t="s">
        <v>461</v>
      </c>
      <c r="L113" s="126" t="s">
        <v>462</v>
      </c>
      <c r="M113" s="194" t="s">
        <v>463</v>
      </c>
      <c r="N113" s="125" t="s">
        <v>464</v>
      </c>
      <c r="O113" s="24"/>
      <c r="P113" s="10"/>
      <c r="Q113" s="240">
        <f>'Additional information'!$D$18</f>
        <v>0.56000000000000005</v>
      </c>
      <c r="R113" s="116"/>
      <c r="T113" s="385" t="s">
        <v>33</v>
      </c>
      <c r="U113" s="123"/>
      <c r="X113" s="243">
        <v>17.791135787963871</v>
      </c>
      <c r="Y113" s="243">
        <f t="shared" si="14"/>
        <v>9.9630360412597678</v>
      </c>
      <c r="Z113" s="116">
        <f t="shared" si="15"/>
        <v>9.9630360412597678</v>
      </c>
    </row>
    <row r="114" spans="1:26" s="122" customFormat="1" ht="238.25" customHeight="1">
      <c r="A114" s="14">
        <v>45</v>
      </c>
      <c r="B114" s="210" t="s">
        <v>465</v>
      </c>
      <c r="C114" s="16" t="s">
        <v>466</v>
      </c>
      <c r="D114" s="20" t="s">
        <v>467</v>
      </c>
      <c r="E114" s="18">
        <f>LEN(D114)</f>
        <v>285</v>
      </c>
      <c r="F114" s="492" t="s">
        <v>468</v>
      </c>
      <c r="G114" s="18">
        <f>LEN(F114)</f>
        <v>262</v>
      </c>
      <c r="H114" s="337" t="s">
        <v>339</v>
      </c>
      <c r="I114" s="18" t="s">
        <v>24</v>
      </c>
      <c r="J114" s="18" t="s">
        <v>24</v>
      </c>
      <c r="K114" s="18" t="s">
        <v>469</v>
      </c>
      <c r="L114" s="25" t="s">
        <v>470</v>
      </c>
      <c r="M114" s="61" t="s">
        <v>471</v>
      </c>
      <c r="N114" s="100" t="s">
        <v>472</v>
      </c>
      <c r="O114" s="45"/>
      <c r="P114" s="10"/>
      <c r="Q114" s="245">
        <f>'Additional information'!$D$18</f>
        <v>0.56000000000000005</v>
      </c>
      <c r="R114" s="116"/>
      <c r="T114" s="124" t="s">
        <v>23</v>
      </c>
      <c r="U114" s="123"/>
      <c r="X114" s="244">
        <v>18.08681678771973</v>
      </c>
      <c r="Y114" s="244">
        <f t="shared" si="14"/>
        <v>10.12861740112305</v>
      </c>
      <c r="Z114" s="116" t="str">
        <f t="shared" si="15"/>
        <v/>
      </c>
    </row>
    <row r="115" spans="1:26" s="122" customFormat="1">
      <c r="A115" s="34"/>
      <c r="B115" s="159"/>
      <c r="C115" s="80"/>
      <c r="D115" s="60"/>
      <c r="E115" s="36"/>
      <c r="G115" s="36"/>
      <c r="H115" s="81"/>
      <c r="I115" s="36"/>
      <c r="J115" s="36"/>
      <c r="K115" s="36"/>
      <c r="L115" s="65"/>
      <c r="M115" s="65"/>
      <c r="N115" s="65"/>
      <c r="O115" s="67"/>
      <c r="P115" s="10"/>
      <c r="Q115" s="245">
        <f>'Additional information'!$D$18</f>
        <v>0.56000000000000005</v>
      </c>
      <c r="R115" s="116"/>
      <c r="T115" s="124"/>
      <c r="U115" s="123"/>
      <c r="X115" s="244"/>
      <c r="Y115" s="244" t="str">
        <f t="shared" si="14"/>
        <v/>
      </c>
      <c r="Z115" s="116" t="str">
        <f t="shared" si="15"/>
        <v/>
      </c>
    </row>
    <row r="116" spans="1:26" s="122" customFormat="1" ht="153" customHeight="1">
      <c r="A116" s="34">
        <f>A114+1</f>
        <v>46</v>
      </c>
      <c r="B116" s="161" t="s">
        <v>473</v>
      </c>
      <c r="C116" s="121" t="s">
        <v>473</v>
      </c>
      <c r="D116" s="142" t="s">
        <v>474</v>
      </c>
      <c r="E116" s="127">
        <f>LEN(D116)</f>
        <v>167</v>
      </c>
      <c r="F116" s="478" t="s">
        <v>475</v>
      </c>
      <c r="G116" s="127">
        <f>LEN(F116)</f>
        <v>135</v>
      </c>
      <c r="H116" s="136" t="s">
        <v>37</v>
      </c>
      <c r="I116" s="127" t="s">
        <v>24</v>
      </c>
      <c r="J116" s="127" t="s">
        <v>24</v>
      </c>
      <c r="K116" s="127" t="s">
        <v>38</v>
      </c>
      <c r="L116" s="126" t="s">
        <v>476</v>
      </c>
      <c r="M116" s="194" t="s">
        <v>24</v>
      </c>
      <c r="N116" s="126" t="s">
        <v>477</v>
      </c>
      <c r="O116" s="32"/>
      <c r="P116" s="10"/>
      <c r="Q116" s="240">
        <f>'Additional information'!$D$18</f>
        <v>0.56000000000000005</v>
      </c>
      <c r="R116" s="116"/>
      <c r="T116" s="385" t="s">
        <v>33</v>
      </c>
      <c r="U116" s="123"/>
      <c r="X116" s="243">
        <v>10.37455940246582</v>
      </c>
      <c r="Y116" s="243">
        <f t="shared" si="14"/>
        <v>5.8097532653808601</v>
      </c>
      <c r="Z116" s="116">
        <f t="shared" si="15"/>
        <v>5.8097532653808601</v>
      </c>
    </row>
    <row r="117" spans="1:26" s="122" customFormat="1" ht="323" customHeight="1">
      <c r="A117" s="91">
        <f>A116+1</f>
        <v>47</v>
      </c>
      <c r="B117" s="211" t="s">
        <v>478</v>
      </c>
      <c r="C117" s="112" t="s">
        <v>479</v>
      </c>
      <c r="D117" s="142" t="s">
        <v>480</v>
      </c>
      <c r="E117" s="127">
        <f>LEN(D117)</f>
        <v>662</v>
      </c>
      <c r="F117" s="478" t="s">
        <v>481</v>
      </c>
      <c r="G117" s="127">
        <f>LEN(F117)</f>
        <v>596</v>
      </c>
      <c r="H117" s="121" t="s">
        <v>339</v>
      </c>
      <c r="I117" s="127" t="s">
        <v>24</v>
      </c>
      <c r="J117" s="127" t="s">
        <v>24</v>
      </c>
      <c r="K117" s="127" t="s">
        <v>482</v>
      </c>
      <c r="L117" s="644" t="s">
        <v>483</v>
      </c>
      <c r="M117" s="194" t="s">
        <v>484</v>
      </c>
      <c r="N117" s="142" t="s">
        <v>485</v>
      </c>
      <c r="O117" s="43"/>
      <c r="P117" s="10"/>
      <c r="Q117" s="240">
        <f>'Additional information'!$D$18</f>
        <v>0.56000000000000005</v>
      </c>
      <c r="R117" s="116"/>
      <c r="T117" s="385" t="s">
        <v>33</v>
      </c>
      <c r="U117" s="123"/>
      <c r="X117" s="243">
        <v>19.616762161254879</v>
      </c>
      <c r="Y117" s="243">
        <f t="shared" si="14"/>
        <v>10.985386810302733</v>
      </c>
      <c r="Z117" s="116">
        <f t="shared" si="15"/>
        <v>10.985386810302733</v>
      </c>
    </row>
    <row r="118" spans="1:26" s="122" customFormat="1" ht="160" customHeight="1">
      <c r="A118" s="34"/>
      <c r="B118" s="586" t="s">
        <v>486</v>
      </c>
      <c r="C118" s="546"/>
      <c r="D118" s="587" t="s">
        <v>487</v>
      </c>
      <c r="E118" s="548">
        <f>LEN(D118)</f>
        <v>160</v>
      </c>
      <c r="F118" s="566" t="s">
        <v>488</v>
      </c>
      <c r="G118" s="36"/>
      <c r="H118" s="584" t="s">
        <v>489</v>
      </c>
      <c r="I118" s="556" t="s">
        <v>24</v>
      </c>
      <c r="J118" s="570" t="s">
        <v>490</v>
      </c>
      <c r="K118" s="570" t="s">
        <v>491</v>
      </c>
      <c r="L118" s="585" t="s">
        <v>492</v>
      </c>
      <c r="N118" s="65"/>
      <c r="O118" s="67"/>
      <c r="P118" s="39"/>
      <c r="Q118" s="245">
        <f>'Additional information'!$D$18</f>
        <v>0.56000000000000005</v>
      </c>
      <c r="R118" s="116"/>
      <c r="T118" s="124"/>
      <c r="U118" s="123"/>
      <c r="X118" s="244"/>
      <c r="Y118" s="244" t="str">
        <f t="shared" si="14"/>
        <v/>
      </c>
      <c r="Z118" s="116" t="str">
        <f t="shared" si="15"/>
        <v/>
      </c>
    </row>
    <row r="119" spans="1:26" s="122" customFormat="1" ht="200" customHeight="1">
      <c r="A119" s="581"/>
      <c r="B119" s="586" t="s">
        <v>493</v>
      </c>
      <c r="C119" s="546"/>
      <c r="D119" s="587" t="s">
        <v>494</v>
      </c>
      <c r="E119" s="548">
        <f>LEN(D119)</f>
        <v>234</v>
      </c>
      <c r="F119" s="566" t="s">
        <v>495</v>
      </c>
      <c r="G119" s="582"/>
      <c r="H119" s="584" t="s">
        <v>489</v>
      </c>
      <c r="I119" s="556" t="s">
        <v>24</v>
      </c>
      <c r="J119" s="570" t="s">
        <v>496</v>
      </c>
      <c r="K119" s="570" t="s">
        <v>375</v>
      </c>
      <c r="L119" s="585" t="s">
        <v>497</v>
      </c>
      <c r="N119" s="104"/>
      <c r="O119" s="104"/>
      <c r="P119" s="583"/>
      <c r="Q119" s="245"/>
      <c r="R119" s="116"/>
      <c r="T119" s="124"/>
      <c r="U119" s="123"/>
      <c r="X119" s="244"/>
      <c r="Y119" s="244"/>
      <c r="Z119" s="116"/>
    </row>
    <row r="120" spans="1:26" s="122" customFormat="1" ht="200" customHeight="1">
      <c r="A120" s="581"/>
      <c r="B120" s="586" t="s">
        <v>498</v>
      </c>
      <c r="C120" s="546"/>
      <c r="D120" s="587" t="s">
        <v>499</v>
      </c>
      <c r="E120" s="548">
        <f>LEN(D120)</f>
        <v>264</v>
      </c>
      <c r="F120" s="566" t="s">
        <v>500</v>
      </c>
      <c r="G120" s="582"/>
      <c r="H120" s="584" t="s">
        <v>489</v>
      </c>
      <c r="I120" s="556" t="s">
        <v>24</v>
      </c>
      <c r="J120" s="570" t="s">
        <v>501</v>
      </c>
      <c r="K120" s="570" t="s">
        <v>375</v>
      </c>
      <c r="L120" s="585" t="s">
        <v>497</v>
      </c>
      <c r="N120" s="104"/>
      <c r="O120" s="104"/>
      <c r="P120" s="583"/>
      <c r="Q120" s="245"/>
      <c r="R120" s="116"/>
      <c r="T120" s="124"/>
      <c r="U120" s="123"/>
      <c r="X120" s="244"/>
      <c r="Y120" s="244"/>
      <c r="Z120" s="116"/>
    </row>
    <row r="121" spans="1:26" s="122" customFormat="1" ht="136" customHeight="1">
      <c r="A121" s="581"/>
      <c r="B121" s="615" t="s">
        <v>502</v>
      </c>
      <c r="C121" s="616"/>
      <c r="D121" s="617" t="s">
        <v>503</v>
      </c>
      <c r="E121" s="618"/>
      <c r="F121" s="620" t="s">
        <v>504</v>
      </c>
      <c r="G121" s="582"/>
      <c r="H121" s="614" t="s">
        <v>37</v>
      </c>
      <c r="I121" s="582" t="s">
        <v>24</v>
      </c>
      <c r="J121" s="582"/>
      <c r="K121" s="582"/>
      <c r="L121" s="156" t="s">
        <v>505</v>
      </c>
      <c r="M121" s="156"/>
      <c r="N121" s="156"/>
      <c r="O121" s="156"/>
      <c r="P121" s="583"/>
      <c r="Q121" s="245"/>
      <c r="R121" s="116"/>
      <c r="T121" s="124"/>
      <c r="U121" s="123"/>
      <c r="X121" s="244"/>
      <c r="Y121" s="244"/>
      <c r="Z121" s="116"/>
    </row>
    <row r="122" spans="1:26" s="122" customFormat="1" ht="222" customHeight="1" thickBot="1">
      <c r="A122" s="581"/>
      <c r="B122" s="615" t="s">
        <v>506</v>
      </c>
      <c r="C122" s="616"/>
      <c r="D122" s="617" t="s">
        <v>507</v>
      </c>
      <c r="E122" s="618"/>
      <c r="F122" s="620" t="s">
        <v>508</v>
      </c>
      <c r="G122" s="582"/>
      <c r="H122" s="614" t="s">
        <v>396</v>
      </c>
      <c r="I122" s="582" t="s">
        <v>24</v>
      </c>
      <c r="J122" s="582"/>
      <c r="K122" s="582"/>
      <c r="L122" s="156" t="s">
        <v>509</v>
      </c>
      <c r="M122" s="156"/>
      <c r="N122" s="156"/>
      <c r="O122" s="156"/>
      <c r="P122" s="583"/>
      <c r="Q122" s="245"/>
      <c r="R122" s="116"/>
      <c r="T122" s="124"/>
      <c r="U122" s="123"/>
      <c r="X122" s="244"/>
      <c r="Y122" s="244"/>
      <c r="Z122" s="116"/>
    </row>
    <row r="123" spans="1:26" s="376" customFormat="1" ht="17" customHeight="1" thickBot="1">
      <c r="A123" s="648" t="s">
        <v>510</v>
      </c>
      <c r="B123" s="649"/>
      <c r="C123" s="649"/>
      <c r="D123" s="649"/>
      <c r="E123" s="649"/>
      <c r="F123" s="649"/>
      <c r="G123" s="649"/>
      <c r="H123" s="649"/>
      <c r="I123" s="649"/>
      <c r="J123" s="649"/>
      <c r="K123" s="649"/>
      <c r="L123" s="649"/>
      <c r="M123" s="649"/>
      <c r="N123" s="649"/>
      <c r="O123" s="649"/>
      <c r="P123" s="650"/>
      <c r="Q123" s="240"/>
      <c r="R123" s="387"/>
      <c r="T123" s="385"/>
      <c r="U123" s="388"/>
      <c r="X123" s="243"/>
      <c r="Y123" s="243" t="str">
        <f t="shared" ref="Y123:Y154" si="16">IF(X123="","",X123*Q123)</f>
        <v/>
      </c>
      <c r="Z123" s="387" t="str">
        <f t="shared" ref="Z123:Z154" si="17">IF(T123="yes",Y123,"")</f>
        <v/>
      </c>
    </row>
    <row r="124" spans="1:26" s="122" customFormat="1" ht="306" customHeight="1">
      <c r="A124" s="79">
        <f>A117+1</f>
        <v>48</v>
      </c>
      <c r="B124" s="209" t="s">
        <v>511</v>
      </c>
      <c r="C124" s="121" t="s">
        <v>511</v>
      </c>
      <c r="D124" s="145" t="s">
        <v>512</v>
      </c>
      <c r="E124" s="119">
        <f>LEN(D124)</f>
        <v>503</v>
      </c>
      <c r="F124" s="145" t="s">
        <v>513</v>
      </c>
      <c r="G124" s="119">
        <f>LEN(F124)</f>
        <v>491</v>
      </c>
      <c r="H124" s="129" t="s">
        <v>37</v>
      </c>
      <c r="I124" s="119" t="s">
        <v>24</v>
      </c>
      <c r="J124" s="119" t="s">
        <v>514</v>
      </c>
      <c r="K124" s="121" t="s">
        <v>515</v>
      </c>
      <c r="L124" s="118" t="s">
        <v>516</v>
      </c>
      <c r="M124" s="194" t="s">
        <v>24</v>
      </c>
      <c r="N124" s="118" t="s">
        <v>517</v>
      </c>
      <c r="O124" s="67"/>
      <c r="P124" s="9"/>
      <c r="Q124" s="240">
        <f>'Additional information'!$D$18</f>
        <v>0.56000000000000005</v>
      </c>
      <c r="R124" s="116"/>
      <c r="T124" s="385" t="s">
        <v>33</v>
      </c>
      <c r="U124" s="123"/>
      <c r="X124" s="243">
        <v>12.992362976074221</v>
      </c>
      <c r="Y124" s="243">
        <f t="shared" si="16"/>
        <v>7.2757232666015641</v>
      </c>
      <c r="Z124" s="116">
        <f t="shared" si="17"/>
        <v>7.2757232666015641</v>
      </c>
    </row>
    <row r="125" spans="1:26" s="122" customFormat="1">
      <c r="A125" s="79"/>
      <c r="B125" s="234"/>
      <c r="C125" s="80"/>
      <c r="D125" s="88"/>
      <c r="E125" s="86"/>
      <c r="F125" s="86"/>
      <c r="G125" s="86"/>
      <c r="H125" s="89"/>
      <c r="I125" s="86"/>
      <c r="J125" s="86"/>
      <c r="K125" s="80"/>
      <c r="L125" s="67"/>
      <c r="M125" s="65"/>
      <c r="N125" s="67"/>
      <c r="O125" s="67"/>
      <c r="P125" s="39"/>
      <c r="Q125" s="245">
        <f>'Additional information'!$D$18</f>
        <v>0.56000000000000005</v>
      </c>
      <c r="R125" s="116"/>
      <c r="T125" s="124"/>
      <c r="U125" s="123"/>
      <c r="X125" s="244"/>
      <c r="Y125" s="244" t="str">
        <f t="shared" si="16"/>
        <v/>
      </c>
      <c r="Z125" s="116" t="str">
        <f t="shared" si="17"/>
        <v/>
      </c>
    </row>
    <row r="126" spans="1:26" s="122" customFormat="1" ht="153" customHeight="1">
      <c r="A126" s="34">
        <f>A124+1</f>
        <v>49</v>
      </c>
      <c r="B126" s="143" t="s">
        <v>518</v>
      </c>
      <c r="C126" s="121" t="s">
        <v>518</v>
      </c>
      <c r="D126" s="142" t="s">
        <v>519</v>
      </c>
      <c r="E126" s="127">
        <f>LEN(D126)</f>
        <v>166</v>
      </c>
      <c r="F126" s="478" t="s">
        <v>520</v>
      </c>
      <c r="G126" s="127">
        <f>LEN(F126)</f>
        <v>140</v>
      </c>
      <c r="H126" s="136" t="s">
        <v>37</v>
      </c>
      <c r="I126" s="127" t="s">
        <v>24</v>
      </c>
      <c r="J126" s="127" t="s">
        <v>24</v>
      </c>
      <c r="K126" s="127" t="s">
        <v>38</v>
      </c>
      <c r="L126" s="126" t="s">
        <v>521</v>
      </c>
      <c r="M126" s="194" t="s">
        <v>24</v>
      </c>
      <c r="N126" s="126" t="s">
        <v>522</v>
      </c>
      <c r="O126" s="65"/>
      <c r="P126" s="10"/>
      <c r="Q126" s="240">
        <f>'Additional information'!$D$18</f>
        <v>0.56000000000000005</v>
      </c>
      <c r="R126" s="116"/>
      <c r="T126" s="385" t="s">
        <v>33</v>
      </c>
      <c r="U126" s="123"/>
      <c r="X126" s="243">
        <v>8.6295709609985352</v>
      </c>
      <c r="Y126" s="243">
        <f t="shared" si="16"/>
        <v>4.8325597381591798</v>
      </c>
      <c r="Z126" s="116">
        <f t="shared" si="17"/>
        <v>4.8325597381591798</v>
      </c>
    </row>
    <row r="127" spans="1:26" s="122" customFormat="1" ht="306" customHeight="1">
      <c r="A127" s="34">
        <f>A126+1</f>
        <v>50</v>
      </c>
      <c r="B127" s="161" t="s">
        <v>523</v>
      </c>
      <c r="C127" s="121" t="s">
        <v>524</v>
      </c>
      <c r="D127" s="358" t="s">
        <v>525</v>
      </c>
      <c r="E127" s="127">
        <f>LEN(D127)</f>
        <v>751</v>
      </c>
      <c r="F127" s="498" t="s">
        <v>526</v>
      </c>
      <c r="G127" s="127">
        <f>LEN(F127)</f>
        <v>636</v>
      </c>
      <c r="H127" s="121" t="s">
        <v>339</v>
      </c>
      <c r="I127" s="127" t="s">
        <v>24</v>
      </c>
      <c r="J127" s="127" t="s">
        <v>24</v>
      </c>
      <c r="K127" s="127" t="s">
        <v>527</v>
      </c>
      <c r="L127" s="562" t="s">
        <v>528</v>
      </c>
      <c r="M127" s="194" t="s">
        <v>529</v>
      </c>
      <c r="N127" s="126" t="s">
        <v>530</v>
      </c>
      <c r="O127" s="65"/>
      <c r="P127" s="10"/>
      <c r="Q127" s="240">
        <f>'Additional information'!$D$18</f>
        <v>0.56000000000000005</v>
      </c>
      <c r="R127" s="116"/>
      <c r="T127" s="385" t="s">
        <v>33</v>
      </c>
      <c r="U127" s="123"/>
      <c r="X127" s="243">
        <v>18.256172180175781</v>
      </c>
      <c r="Y127" s="243">
        <f t="shared" si="16"/>
        <v>10.223456420898438</v>
      </c>
      <c r="Z127" s="116">
        <f t="shared" si="17"/>
        <v>10.223456420898438</v>
      </c>
    </row>
    <row r="128" spans="1:26" s="122" customFormat="1" ht="80" customHeight="1">
      <c r="A128" s="34"/>
      <c r="B128" s="557" t="s">
        <v>531</v>
      </c>
      <c r="C128" s="546"/>
      <c r="D128" s="547" t="s">
        <v>419</v>
      </c>
      <c r="E128" s="548">
        <f>LEN(D128)</f>
        <v>131</v>
      </c>
      <c r="F128" s="559" t="s">
        <v>420</v>
      </c>
      <c r="G128" s="36"/>
      <c r="H128" s="588" t="s">
        <v>26</v>
      </c>
      <c r="I128" s="36"/>
      <c r="J128" s="570" t="s">
        <v>532</v>
      </c>
      <c r="K128" s="570" t="s">
        <v>27</v>
      </c>
      <c r="L128" s="577" t="s">
        <v>533</v>
      </c>
      <c r="N128" s="65"/>
      <c r="O128" s="65"/>
      <c r="P128" s="10"/>
      <c r="Q128" s="245">
        <f>'Additional information'!$D$18</f>
        <v>0.56000000000000005</v>
      </c>
      <c r="R128" s="116"/>
      <c r="T128" s="124"/>
      <c r="U128" s="123"/>
      <c r="X128" s="244"/>
      <c r="Y128" s="244" t="str">
        <f t="shared" si="16"/>
        <v/>
      </c>
      <c r="Z128" s="116" t="str">
        <f t="shared" si="17"/>
        <v/>
      </c>
    </row>
    <row r="129" spans="1:26" s="122" customFormat="1" ht="204" customHeight="1">
      <c r="A129" s="34">
        <f>A127+1</f>
        <v>51</v>
      </c>
      <c r="B129" s="161" t="s">
        <v>534</v>
      </c>
      <c r="C129" s="121" t="s">
        <v>534</v>
      </c>
      <c r="D129" s="142" t="s">
        <v>535</v>
      </c>
      <c r="E129" s="127">
        <f>LEN(D129)</f>
        <v>334</v>
      </c>
      <c r="F129" s="478" t="s">
        <v>536</v>
      </c>
      <c r="G129" s="127">
        <f>LEN(F129)</f>
        <v>299</v>
      </c>
      <c r="H129" s="136" t="s">
        <v>37</v>
      </c>
      <c r="I129" s="127" t="s">
        <v>24</v>
      </c>
      <c r="J129" s="127" t="s">
        <v>24</v>
      </c>
      <c r="K129" s="127" t="s">
        <v>38</v>
      </c>
      <c r="L129" s="552" t="s">
        <v>537</v>
      </c>
      <c r="M129" s="194" t="s">
        <v>24</v>
      </c>
      <c r="N129" s="151" t="s">
        <v>538</v>
      </c>
      <c r="O129" s="42"/>
      <c r="P129" s="10"/>
      <c r="Q129" s="240">
        <f>'Additional information'!$D$18</f>
        <v>0.56000000000000005</v>
      </c>
      <c r="R129" s="116"/>
      <c r="T129" s="385" t="s">
        <v>33</v>
      </c>
      <c r="U129" s="123"/>
      <c r="X129" s="243">
        <v>15.45627975463867</v>
      </c>
      <c r="Y129" s="243">
        <f t="shared" si="16"/>
        <v>8.6555166625976554</v>
      </c>
      <c r="Z129" s="116">
        <f t="shared" si="17"/>
        <v>8.6555166625976554</v>
      </c>
    </row>
    <row r="130" spans="1:26" s="122" customFormat="1" ht="81" customHeight="1" thickBot="1">
      <c r="A130" s="34"/>
      <c r="B130" s="589" t="s">
        <v>539</v>
      </c>
      <c r="C130" s="590"/>
      <c r="D130" s="591" t="s">
        <v>540</v>
      </c>
      <c r="E130" s="592">
        <f>LEN(D130)</f>
        <v>133</v>
      </c>
      <c r="F130" s="559" t="s">
        <v>541</v>
      </c>
      <c r="G130" s="36"/>
      <c r="H130" s="560" t="s">
        <v>26</v>
      </c>
      <c r="I130" s="36"/>
      <c r="J130" s="36" t="s">
        <v>24</v>
      </c>
      <c r="K130" s="36" t="s">
        <v>38</v>
      </c>
      <c r="L130" s="593" t="s">
        <v>542</v>
      </c>
      <c r="M130" s="65"/>
      <c r="N130" s="42"/>
      <c r="O130" s="42"/>
      <c r="P130" s="10"/>
      <c r="Q130" s="245">
        <f>'Additional information'!$D$18</f>
        <v>0.56000000000000005</v>
      </c>
      <c r="R130" s="116"/>
      <c r="T130" s="124"/>
      <c r="U130" s="123"/>
      <c r="X130" s="244"/>
      <c r="Y130" s="244" t="str">
        <f t="shared" si="16"/>
        <v/>
      </c>
      <c r="Z130" s="116" t="str">
        <f t="shared" si="17"/>
        <v/>
      </c>
    </row>
    <row r="131" spans="1:26" s="376" customFormat="1" ht="17" customHeight="1" thickBot="1">
      <c r="A131" s="648" t="s">
        <v>543</v>
      </c>
      <c r="B131" s="649"/>
      <c r="C131" s="649"/>
      <c r="D131" s="649"/>
      <c r="E131" s="649"/>
      <c r="F131" s="649"/>
      <c r="G131" s="649"/>
      <c r="H131" s="649"/>
      <c r="I131" s="649"/>
      <c r="J131" s="649"/>
      <c r="K131" s="649"/>
      <c r="L131" s="649"/>
      <c r="M131" s="649"/>
      <c r="N131" s="649"/>
      <c r="O131" s="649"/>
      <c r="P131" s="650"/>
      <c r="Q131" s="240"/>
      <c r="R131" s="387"/>
      <c r="T131" s="385"/>
      <c r="U131" s="388"/>
      <c r="X131" s="243"/>
      <c r="Y131" s="243" t="str">
        <f t="shared" si="16"/>
        <v/>
      </c>
      <c r="Z131" s="387" t="str">
        <f t="shared" si="17"/>
        <v/>
      </c>
    </row>
    <row r="132" spans="1:26" s="122" customFormat="1" ht="120" customHeight="1">
      <c r="A132" s="79">
        <f>A129+1</f>
        <v>52</v>
      </c>
      <c r="B132" s="209" t="s">
        <v>544</v>
      </c>
      <c r="C132" s="121" t="s">
        <v>544</v>
      </c>
      <c r="D132" s="361" t="s">
        <v>545</v>
      </c>
      <c r="E132" s="119">
        <f>LEN(D132)</f>
        <v>206</v>
      </c>
      <c r="F132" s="524" t="s">
        <v>546</v>
      </c>
      <c r="G132" s="119">
        <f>LEN(F132)</f>
        <v>188</v>
      </c>
      <c r="H132" s="119" t="s">
        <v>37</v>
      </c>
      <c r="I132" s="119" t="s">
        <v>24</v>
      </c>
      <c r="J132" s="119" t="s">
        <v>547</v>
      </c>
      <c r="K132" s="127" t="s">
        <v>38</v>
      </c>
      <c r="L132" s="118" t="s">
        <v>548</v>
      </c>
      <c r="M132" s="194" t="s">
        <v>24</v>
      </c>
      <c r="N132" s="125" t="s">
        <v>549</v>
      </c>
      <c r="O132" s="150"/>
      <c r="P132" s="9"/>
      <c r="Q132" s="240">
        <f>'Additional information'!$D$19</f>
        <v>0</v>
      </c>
      <c r="R132" s="116"/>
      <c r="T132" s="385" t="s">
        <v>33</v>
      </c>
      <c r="U132" s="123"/>
      <c r="X132" s="243">
        <v>2.4801323413848881</v>
      </c>
      <c r="Y132" s="243">
        <f t="shared" si="16"/>
        <v>0</v>
      </c>
      <c r="Z132" s="116">
        <f t="shared" si="17"/>
        <v>0</v>
      </c>
    </row>
    <row r="133" spans="1:26" s="122" customFormat="1">
      <c r="A133" s="34"/>
      <c r="B133" s="159"/>
      <c r="C133" s="80"/>
      <c r="D133" s="60"/>
      <c r="E133" s="36"/>
      <c r="F133" s="60"/>
      <c r="G133" s="36"/>
      <c r="H133" s="81"/>
      <c r="I133" s="36"/>
      <c r="J133" s="36"/>
      <c r="K133" s="36"/>
      <c r="L133" s="42"/>
      <c r="M133" s="72"/>
      <c r="N133" s="42"/>
      <c r="O133" s="42"/>
      <c r="P133" s="10"/>
      <c r="Q133" s="245">
        <f>'Additional information'!$D$19</f>
        <v>0</v>
      </c>
      <c r="R133" s="116"/>
      <c r="T133" s="124"/>
      <c r="U133" s="123"/>
      <c r="X133" s="244"/>
      <c r="Y133" s="244" t="str">
        <f t="shared" si="16"/>
        <v/>
      </c>
      <c r="Z133" s="116" t="str">
        <f t="shared" si="17"/>
        <v/>
      </c>
    </row>
    <row r="134" spans="1:26" s="122" customFormat="1" ht="170" customHeight="1">
      <c r="A134" s="79">
        <f>A132+1</f>
        <v>53</v>
      </c>
      <c r="B134" s="209" t="s">
        <v>550</v>
      </c>
      <c r="C134" s="362" t="s">
        <v>551</v>
      </c>
      <c r="D134" s="358" t="s">
        <v>552</v>
      </c>
      <c r="E134" s="119">
        <f>LEN(D134)</f>
        <v>282</v>
      </c>
      <c r="F134" s="524" t="s">
        <v>553</v>
      </c>
      <c r="G134" s="119">
        <f>LEN(F134)</f>
        <v>288</v>
      </c>
      <c r="H134" s="121" t="s">
        <v>296</v>
      </c>
      <c r="I134" s="119" t="s">
        <v>24</v>
      </c>
      <c r="J134" s="119" t="s">
        <v>24</v>
      </c>
      <c r="K134" s="119" t="s">
        <v>554</v>
      </c>
      <c r="L134" s="118" t="s">
        <v>555</v>
      </c>
      <c r="M134" s="194" t="s">
        <v>556</v>
      </c>
      <c r="N134" s="118" t="s">
        <v>557</v>
      </c>
      <c r="O134" s="67"/>
      <c r="P134" s="39"/>
      <c r="Q134" s="240">
        <f>'Additional information'!$D$19</f>
        <v>0</v>
      </c>
      <c r="R134" s="116"/>
      <c r="T134" s="385" t="s">
        <v>33</v>
      </c>
      <c r="U134" s="123"/>
      <c r="X134" s="243">
        <v>12.71689510345459</v>
      </c>
      <c r="Y134" s="243">
        <f t="shared" si="16"/>
        <v>0</v>
      </c>
      <c r="Z134" s="116">
        <f t="shared" si="17"/>
        <v>0</v>
      </c>
    </row>
    <row r="135" spans="1:26" s="122" customFormat="1">
      <c r="A135" s="79"/>
      <c r="B135" s="234"/>
      <c r="C135" s="80"/>
      <c r="D135" s="525"/>
      <c r="E135" s="86"/>
      <c r="F135" s="525"/>
      <c r="G135" s="86"/>
      <c r="H135" s="80"/>
      <c r="I135" s="86"/>
      <c r="J135" s="86"/>
      <c r="K135" s="86"/>
      <c r="L135" s="67"/>
      <c r="M135" s="72"/>
      <c r="N135" s="67"/>
      <c r="O135" s="67"/>
      <c r="P135" s="39"/>
      <c r="Q135" s="245">
        <f>'Additional information'!$D$19</f>
        <v>0</v>
      </c>
      <c r="R135" s="116"/>
      <c r="T135" s="124"/>
      <c r="U135" s="123"/>
      <c r="X135" s="244"/>
      <c r="Y135" s="244" t="str">
        <f t="shared" si="16"/>
        <v/>
      </c>
      <c r="Z135" s="116" t="str">
        <f t="shared" si="17"/>
        <v/>
      </c>
    </row>
    <row r="136" spans="1:26" ht="204" customHeight="1">
      <c r="A136" s="79">
        <f>A134+1</f>
        <v>54</v>
      </c>
      <c r="B136" s="363" t="s">
        <v>558</v>
      </c>
      <c r="C136" s="364" t="s">
        <v>558</v>
      </c>
      <c r="D136" s="358" t="s">
        <v>559</v>
      </c>
      <c r="E136" s="119">
        <f>LEN(D136)</f>
        <v>302</v>
      </c>
      <c r="F136" s="478" t="s">
        <v>560</v>
      </c>
      <c r="G136" s="119">
        <f>LEN(F136)</f>
        <v>278</v>
      </c>
      <c r="H136" s="364" t="s">
        <v>37</v>
      </c>
      <c r="I136" s="364" t="s">
        <v>24</v>
      </c>
      <c r="J136" s="364" t="s">
        <v>24</v>
      </c>
      <c r="K136" s="364" t="s">
        <v>38</v>
      </c>
      <c r="L136" s="365" t="s">
        <v>561</v>
      </c>
      <c r="M136" s="194" t="s">
        <v>24</v>
      </c>
      <c r="N136" s="365" t="s">
        <v>562</v>
      </c>
      <c r="O136" s="72"/>
      <c r="P136" s="10"/>
      <c r="Q136" s="240">
        <f>'Additional information'!$D$19</f>
        <v>0</v>
      </c>
      <c r="R136" s="116"/>
      <c r="T136" s="385" t="s">
        <v>33</v>
      </c>
      <c r="X136" s="243">
        <v>10.51750373840332</v>
      </c>
      <c r="Y136" s="243">
        <f t="shared" si="16"/>
        <v>0</v>
      </c>
      <c r="Z136" s="116">
        <f t="shared" si="17"/>
        <v>0</v>
      </c>
    </row>
    <row r="137" spans="1:26">
      <c r="A137" s="79"/>
      <c r="B137" s="149"/>
      <c r="C137" s="147"/>
      <c r="D137" s="148"/>
      <c r="E137" s="86"/>
      <c r="F137" s="148"/>
      <c r="G137" s="86"/>
      <c r="H137" s="147"/>
      <c r="I137" s="147"/>
      <c r="J137" s="147"/>
      <c r="K137" s="147"/>
      <c r="L137" s="72"/>
      <c r="M137" s="72"/>
      <c r="N137" s="146"/>
      <c r="O137" s="72"/>
      <c r="P137" s="10"/>
      <c r="Q137" s="245">
        <f>'Additional information'!$D$19</f>
        <v>0</v>
      </c>
      <c r="R137" s="116"/>
      <c r="T137" s="124"/>
      <c r="X137" s="244"/>
      <c r="Y137" s="244" t="str">
        <f t="shared" si="16"/>
        <v/>
      </c>
      <c r="Z137" s="116" t="str">
        <f t="shared" si="17"/>
        <v/>
      </c>
    </row>
    <row r="138" spans="1:26" s="122" customFormat="1" ht="153" customHeight="1">
      <c r="A138" s="79">
        <f>A136+1</f>
        <v>55</v>
      </c>
      <c r="B138" s="209" t="s">
        <v>563</v>
      </c>
      <c r="C138" s="121" t="s">
        <v>563</v>
      </c>
      <c r="D138" s="358" t="s">
        <v>564</v>
      </c>
      <c r="E138" s="119">
        <f>LEN(D138)</f>
        <v>169</v>
      </c>
      <c r="F138" s="485" t="s">
        <v>565</v>
      </c>
      <c r="G138" s="119">
        <f>LEN(F138)</f>
        <v>145</v>
      </c>
      <c r="H138" s="129" t="s">
        <v>37</v>
      </c>
      <c r="I138" s="119" t="s">
        <v>24</v>
      </c>
      <c r="J138" s="119" t="s">
        <v>24</v>
      </c>
      <c r="K138" s="119" t="s">
        <v>38</v>
      </c>
      <c r="L138" s="118" t="s">
        <v>566</v>
      </c>
      <c r="M138" s="194" t="s">
        <v>24</v>
      </c>
      <c r="N138" s="126" t="s">
        <v>567</v>
      </c>
      <c r="O138" s="32"/>
      <c r="P138" s="10"/>
      <c r="Q138" s="240">
        <f>'Additional information'!$D$19</f>
        <v>0</v>
      </c>
      <c r="R138" s="116"/>
      <c r="T138" s="385" t="s">
        <v>33</v>
      </c>
      <c r="U138" s="123"/>
      <c r="X138" s="243">
        <v>6.4824962615966797</v>
      </c>
      <c r="Y138" s="243">
        <f t="shared" si="16"/>
        <v>0</v>
      </c>
      <c r="Z138" s="116">
        <f t="shared" si="17"/>
        <v>0</v>
      </c>
    </row>
    <row r="139" spans="1:26" s="122" customFormat="1" ht="289" customHeight="1">
      <c r="A139" s="34">
        <f>A138+1</f>
        <v>56</v>
      </c>
      <c r="B139" s="209" t="s">
        <v>568</v>
      </c>
      <c r="C139" s="121" t="s">
        <v>569</v>
      </c>
      <c r="D139" s="358" t="s">
        <v>570</v>
      </c>
      <c r="E139" s="127">
        <f>LEN(D139)</f>
        <v>762</v>
      </c>
      <c r="F139" s="485" t="s">
        <v>571</v>
      </c>
      <c r="G139" s="127">
        <f>LEN(F139)</f>
        <v>728</v>
      </c>
      <c r="H139" s="121" t="s">
        <v>339</v>
      </c>
      <c r="I139" s="127" t="s">
        <v>24</v>
      </c>
      <c r="J139" s="127" t="s">
        <v>24</v>
      </c>
      <c r="K139" s="127" t="s">
        <v>527</v>
      </c>
      <c r="L139" s="366" t="s">
        <v>572</v>
      </c>
      <c r="M139" s="194" t="s">
        <v>573</v>
      </c>
      <c r="N139" s="126" t="s">
        <v>574</v>
      </c>
      <c r="O139" s="43"/>
      <c r="P139" s="10"/>
      <c r="Q139" s="240">
        <f>'Additional information'!$D$19</f>
        <v>0</v>
      </c>
      <c r="R139" s="116"/>
      <c r="T139" s="385" t="s">
        <v>33</v>
      </c>
      <c r="U139" s="123"/>
      <c r="X139" s="243">
        <v>23.642156600952148</v>
      </c>
      <c r="Y139" s="243">
        <f t="shared" si="16"/>
        <v>0</v>
      </c>
      <c r="Z139" s="116">
        <f t="shared" si="17"/>
        <v>0</v>
      </c>
    </row>
    <row r="140" spans="1:26" s="122" customFormat="1" ht="255" customHeight="1">
      <c r="A140" s="14">
        <f>A139+1</f>
        <v>57</v>
      </c>
      <c r="B140" s="210" t="s">
        <v>575</v>
      </c>
      <c r="C140" s="19" t="s">
        <v>576</v>
      </c>
      <c r="D140" s="338" t="s">
        <v>577</v>
      </c>
      <c r="E140" s="18">
        <f>LEN(D140)</f>
        <v>334</v>
      </c>
      <c r="F140" s="497" t="s">
        <v>578</v>
      </c>
      <c r="G140" s="18">
        <f>LEN(F140)</f>
        <v>374</v>
      </c>
      <c r="H140" s="19" t="s">
        <v>579</v>
      </c>
      <c r="I140" s="18" t="s">
        <v>24</v>
      </c>
      <c r="J140" s="18" t="s">
        <v>580</v>
      </c>
      <c r="K140" s="18" t="s">
        <v>581</v>
      </c>
      <c r="L140" s="25" t="s">
        <v>582</v>
      </c>
      <c r="M140" s="61" t="s">
        <v>583</v>
      </c>
      <c r="N140" s="25" t="s">
        <v>584</v>
      </c>
      <c r="O140" s="25"/>
      <c r="P140" s="345"/>
      <c r="Q140" s="245">
        <f>'Additional information'!$D$19</f>
        <v>0</v>
      </c>
      <c r="R140" s="116"/>
      <c r="T140" s="124" t="s">
        <v>23</v>
      </c>
      <c r="U140" s="123"/>
      <c r="X140" s="244">
        <v>19.20000076293945</v>
      </c>
      <c r="Y140" s="244">
        <f t="shared" si="16"/>
        <v>0</v>
      </c>
      <c r="Z140" s="116" t="str">
        <f t="shared" si="17"/>
        <v/>
      </c>
    </row>
    <row r="141" spans="1:26" s="122" customFormat="1" ht="17" customHeight="1" thickBot="1">
      <c r="A141" s="79"/>
      <c r="B141" s="234"/>
      <c r="C141" s="80"/>
      <c r="D141" s="148"/>
      <c r="E141" s="86"/>
      <c r="F141" s="86"/>
      <c r="G141" s="86"/>
      <c r="H141" s="89"/>
      <c r="I141" s="86"/>
      <c r="J141" s="86"/>
      <c r="K141" s="86"/>
      <c r="L141" s="67"/>
      <c r="M141" s="72"/>
      <c r="N141" s="67"/>
      <c r="O141" s="67"/>
      <c r="P141" s="39"/>
      <c r="Q141" s="245">
        <f>'Additional information'!$D$19</f>
        <v>0</v>
      </c>
      <c r="R141" s="116"/>
      <c r="T141" s="124"/>
      <c r="U141" s="123"/>
      <c r="X141" s="244"/>
      <c r="Y141" s="244" t="str">
        <f t="shared" si="16"/>
        <v/>
      </c>
      <c r="Z141" s="116" t="str">
        <f t="shared" si="17"/>
        <v/>
      </c>
    </row>
    <row r="142" spans="1:26" s="376" customFormat="1" ht="17" customHeight="1" thickBot="1">
      <c r="A142" s="648" t="s">
        <v>585</v>
      </c>
      <c r="B142" s="649"/>
      <c r="C142" s="649"/>
      <c r="D142" s="649"/>
      <c r="E142" s="649"/>
      <c r="F142" s="649"/>
      <c r="G142" s="649"/>
      <c r="H142" s="649"/>
      <c r="I142" s="649"/>
      <c r="J142" s="649"/>
      <c r="K142" s="649"/>
      <c r="L142" s="649"/>
      <c r="M142" s="649"/>
      <c r="N142" s="649"/>
      <c r="O142" s="649"/>
      <c r="P142" s="650"/>
      <c r="Q142" s="240"/>
      <c r="R142" s="387"/>
      <c r="T142" s="385"/>
      <c r="U142" s="388"/>
      <c r="X142" s="243"/>
      <c r="Y142" s="243" t="str">
        <f t="shared" si="16"/>
        <v/>
      </c>
      <c r="Z142" s="387" t="str">
        <f t="shared" si="17"/>
        <v/>
      </c>
    </row>
    <row r="143" spans="1:26" s="122" customFormat="1" ht="187" customHeight="1">
      <c r="A143" s="79">
        <f>A140+1</f>
        <v>58</v>
      </c>
      <c r="B143" s="209" t="s">
        <v>586</v>
      </c>
      <c r="C143" s="121" t="s">
        <v>586</v>
      </c>
      <c r="D143" s="367" t="s">
        <v>587</v>
      </c>
      <c r="E143" s="119">
        <f>LEN(D143)</f>
        <v>302</v>
      </c>
      <c r="F143" s="478" t="s">
        <v>588</v>
      </c>
      <c r="G143" s="119">
        <f>LEN(F143)</f>
        <v>307</v>
      </c>
      <c r="H143" s="129" t="s">
        <v>88</v>
      </c>
      <c r="I143" s="119" t="s">
        <v>24</v>
      </c>
      <c r="J143" s="119" t="s">
        <v>24</v>
      </c>
      <c r="K143" s="119" t="s">
        <v>589</v>
      </c>
      <c r="L143" s="144" t="s">
        <v>590</v>
      </c>
      <c r="M143" s="194" t="s">
        <v>24</v>
      </c>
      <c r="N143" s="368" t="s">
        <v>591</v>
      </c>
      <c r="O143" s="73"/>
      <c r="P143" s="9"/>
      <c r="Q143" s="240">
        <f>'Additional information'!$D$19</f>
        <v>0</v>
      </c>
      <c r="R143" s="116"/>
      <c r="T143" s="385" t="s">
        <v>33</v>
      </c>
      <c r="U143" s="123"/>
      <c r="X143" s="243">
        <v>9.2754945755004883</v>
      </c>
      <c r="Y143" s="243">
        <f t="shared" si="16"/>
        <v>0</v>
      </c>
      <c r="Z143" s="116">
        <f t="shared" si="17"/>
        <v>0</v>
      </c>
    </row>
    <row r="144" spans="1:26" s="122" customFormat="1">
      <c r="A144" s="79"/>
      <c r="B144" s="234"/>
      <c r="C144" s="80"/>
      <c r="D144" s="88"/>
      <c r="E144" s="86"/>
      <c r="F144" s="88"/>
      <c r="G144" s="86"/>
      <c r="H144" s="89"/>
      <c r="I144" s="86"/>
      <c r="J144" s="86"/>
      <c r="K144" s="86"/>
      <c r="L144" s="71"/>
      <c r="M144" s="60"/>
      <c r="N144" s="68"/>
      <c r="O144" s="68"/>
      <c r="P144" s="39"/>
      <c r="Q144" s="245">
        <f>'Additional information'!$D$19</f>
        <v>0</v>
      </c>
      <c r="R144" s="116"/>
      <c r="T144" s="124"/>
      <c r="U144" s="123"/>
      <c r="X144" s="244"/>
      <c r="Y144" s="244" t="str">
        <f t="shared" si="16"/>
        <v/>
      </c>
      <c r="Z144" s="116" t="str">
        <f t="shared" si="17"/>
        <v/>
      </c>
    </row>
    <row r="145" spans="1:26" s="122" customFormat="1" ht="153" customHeight="1">
      <c r="A145" s="34">
        <f>A143+1</f>
        <v>59</v>
      </c>
      <c r="B145" s="143" t="s">
        <v>592</v>
      </c>
      <c r="C145" s="127" t="s">
        <v>592</v>
      </c>
      <c r="D145" s="358" t="s">
        <v>593</v>
      </c>
      <c r="E145" s="127">
        <f>LEN(D145)</f>
        <v>179</v>
      </c>
      <c r="F145" s="478" t="s">
        <v>594</v>
      </c>
      <c r="G145" s="127">
        <f>LEN(F145)</f>
        <v>151</v>
      </c>
      <c r="H145" s="136" t="s">
        <v>37</v>
      </c>
      <c r="I145" s="127" t="s">
        <v>24</v>
      </c>
      <c r="J145" s="127" t="s">
        <v>24</v>
      </c>
      <c r="K145" s="127" t="s">
        <v>38</v>
      </c>
      <c r="L145" s="126" t="s">
        <v>595</v>
      </c>
      <c r="M145" s="194" t="s">
        <v>24</v>
      </c>
      <c r="N145" s="369" t="s">
        <v>596</v>
      </c>
      <c r="O145" s="74"/>
      <c r="P145" s="10"/>
      <c r="Q145" s="240">
        <f>'Additional information'!$D$19</f>
        <v>0</v>
      </c>
      <c r="R145" s="116"/>
      <c r="T145" s="385" t="s">
        <v>33</v>
      </c>
      <c r="U145" s="123"/>
      <c r="X145" s="243">
        <v>6.4158415794372559</v>
      </c>
      <c r="Y145" s="243">
        <f t="shared" si="16"/>
        <v>0</v>
      </c>
      <c r="Z145" s="116">
        <f t="shared" si="17"/>
        <v>0</v>
      </c>
    </row>
    <row r="146" spans="1:26" s="122" customFormat="1" ht="306" customHeight="1">
      <c r="A146" s="34">
        <f>A145+1</f>
        <v>60</v>
      </c>
      <c r="B146" s="161" t="s">
        <v>597</v>
      </c>
      <c r="C146" s="121" t="s">
        <v>598</v>
      </c>
      <c r="D146" s="358" t="s">
        <v>599</v>
      </c>
      <c r="E146" s="127">
        <f>LEN(D146)</f>
        <v>666</v>
      </c>
      <c r="F146" s="478" t="s">
        <v>600</v>
      </c>
      <c r="G146" s="127">
        <f>LEN(F146)</f>
        <v>609</v>
      </c>
      <c r="H146" s="121" t="s">
        <v>339</v>
      </c>
      <c r="I146" s="127" t="s">
        <v>24</v>
      </c>
      <c r="J146" s="127" t="s">
        <v>24</v>
      </c>
      <c r="K146" s="127" t="s">
        <v>340</v>
      </c>
      <c r="L146" s="126" t="s">
        <v>601</v>
      </c>
      <c r="M146" s="194" t="s">
        <v>602</v>
      </c>
      <c r="N146" s="357" t="s">
        <v>603</v>
      </c>
      <c r="O146" s="75"/>
      <c r="P146" s="10"/>
      <c r="Q146" s="240">
        <f>'Additional information'!$D$19</f>
        <v>0</v>
      </c>
      <c r="R146" s="116"/>
      <c r="T146" s="385" t="s">
        <v>33</v>
      </c>
      <c r="U146" s="123"/>
      <c r="X146" s="243">
        <v>20.53435134887695</v>
      </c>
      <c r="Y146" s="243">
        <f t="shared" si="16"/>
        <v>0</v>
      </c>
      <c r="Z146" s="116">
        <f t="shared" si="17"/>
        <v>0</v>
      </c>
    </row>
    <row r="147" spans="1:26" s="122" customFormat="1">
      <c r="A147" s="91"/>
      <c r="B147" s="235"/>
      <c r="C147" s="37"/>
      <c r="D147" s="526"/>
      <c r="E147" s="83"/>
      <c r="F147" s="83"/>
      <c r="G147" s="83"/>
      <c r="H147" s="92"/>
      <c r="I147" s="83"/>
      <c r="J147" s="83"/>
      <c r="K147" s="83"/>
      <c r="L147" s="75"/>
      <c r="M147" s="60"/>
      <c r="N147" s="75"/>
      <c r="O147" s="75"/>
      <c r="P147" s="22"/>
      <c r="Q147" s="245">
        <f>'Additional information'!$D$19</f>
        <v>0</v>
      </c>
      <c r="R147" s="116"/>
      <c r="T147" s="124"/>
      <c r="U147" s="123"/>
      <c r="X147" s="244"/>
      <c r="Y147" s="244" t="str">
        <f t="shared" si="16"/>
        <v/>
      </c>
      <c r="Z147" s="116" t="str">
        <f t="shared" si="17"/>
        <v/>
      </c>
    </row>
    <row r="148" spans="1:26" s="122" customFormat="1" ht="204" customHeight="1">
      <c r="A148" s="91">
        <f>A146+1</f>
        <v>61</v>
      </c>
      <c r="B148" s="211" t="s">
        <v>604</v>
      </c>
      <c r="C148" s="128" t="s">
        <v>604</v>
      </c>
      <c r="D148" s="370" t="s">
        <v>605</v>
      </c>
      <c r="E148" s="110">
        <f>LEN(D148)</f>
        <v>350</v>
      </c>
      <c r="F148" s="493" t="s">
        <v>606</v>
      </c>
      <c r="G148" s="110">
        <f>LEN(F148)</f>
        <v>305</v>
      </c>
      <c r="H148" s="356" t="s">
        <v>37</v>
      </c>
      <c r="I148" s="110" t="s">
        <v>24</v>
      </c>
      <c r="J148" s="110" t="s">
        <v>24</v>
      </c>
      <c r="K148" s="110" t="s">
        <v>38</v>
      </c>
      <c r="L148" s="357" t="s">
        <v>607</v>
      </c>
      <c r="M148" s="194" t="s">
        <v>24</v>
      </c>
      <c r="N148" s="357" t="s">
        <v>608</v>
      </c>
      <c r="O148" s="75"/>
      <c r="P148" s="10"/>
      <c r="Q148" s="240">
        <f>'Additional information'!$D$19</f>
        <v>0</v>
      </c>
      <c r="R148" s="116"/>
      <c r="T148" s="385" t="s">
        <v>33</v>
      </c>
      <c r="U148" s="123"/>
      <c r="X148" s="243">
        <v>8.3069305419921875</v>
      </c>
      <c r="Y148" s="243">
        <f t="shared" si="16"/>
        <v>0</v>
      </c>
      <c r="Z148" s="116">
        <f t="shared" si="17"/>
        <v>0</v>
      </c>
    </row>
    <row r="149" spans="1:26" s="122" customFormat="1" ht="17" customHeight="1" thickBot="1">
      <c r="A149" s="91"/>
      <c r="B149" s="235"/>
      <c r="C149" s="93"/>
      <c r="D149" s="526"/>
      <c r="E149" s="83"/>
      <c r="F149" s="83"/>
      <c r="G149" s="83"/>
      <c r="H149" s="92"/>
      <c r="I149" s="83"/>
      <c r="J149" s="83"/>
      <c r="K149" s="83"/>
      <c r="L149" s="75"/>
      <c r="M149" s="75"/>
      <c r="N149" s="75"/>
      <c r="O149" s="75"/>
      <c r="P149" s="52"/>
      <c r="Q149" s="245">
        <f>'Additional information'!$D$19</f>
        <v>0</v>
      </c>
      <c r="R149" s="116"/>
      <c r="T149" s="124"/>
      <c r="U149" s="123"/>
      <c r="X149" s="244"/>
      <c r="Y149" s="244" t="str">
        <f t="shared" si="16"/>
        <v/>
      </c>
      <c r="Z149" s="116" t="str">
        <f t="shared" si="17"/>
        <v/>
      </c>
    </row>
    <row r="150" spans="1:26" s="376" customFormat="1" ht="17" customHeight="1" thickBot="1">
      <c r="A150" s="648" t="s">
        <v>609</v>
      </c>
      <c r="B150" s="649"/>
      <c r="C150" s="649"/>
      <c r="D150" s="649"/>
      <c r="E150" s="649"/>
      <c r="F150" s="649"/>
      <c r="G150" s="649"/>
      <c r="H150" s="649"/>
      <c r="I150" s="649"/>
      <c r="J150" s="649"/>
      <c r="K150" s="649"/>
      <c r="L150" s="649"/>
      <c r="M150" s="649"/>
      <c r="N150" s="649"/>
      <c r="O150" s="649"/>
      <c r="P150" s="650"/>
      <c r="Q150" s="240"/>
      <c r="R150" s="387"/>
      <c r="T150" s="385"/>
      <c r="U150" s="388"/>
      <c r="X150" s="243"/>
      <c r="Y150" s="243" t="str">
        <f t="shared" si="16"/>
        <v/>
      </c>
      <c r="Z150" s="387" t="str">
        <f t="shared" si="17"/>
        <v/>
      </c>
    </row>
    <row r="151" spans="1:26" s="122" customFormat="1" ht="136" customHeight="1">
      <c r="A151" s="79">
        <f>A148+1</f>
        <v>62</v>
      </c>
      <c r="B151" s="209" t="s">
        <v>610</v>
      </c>
      <c r="C151" s="217" t="s">
        <v>610</v>
      </c>
      <c r="D151" s="120" t="s">
        <v>611</v>
      </c>
      <c r="E151" s="119">
        <f t="shared" ref="E151:E185" si="18">LEN(D151)</f>
        <v>335</v>
      </c>
      <c r="F151" s="485" t="s">
        <v>612</v>
      </c>
      <c r="G151" s="119">
        <f t="shared" ref="G151:G185" si="19">LEN(F151)</f>
        <v>310</v>
      </c>
      <c r="H151" s="129" t="s">
        <v>37</v>
      </c>
      <c r="I151" s="119" t="s">
        <v>24</v>
      </c>
      <c r="J151" s="119" t="s">
        <v>24</v>
      </c>
      <c r="K151" s="119" t="s">
        <v>38</v>
      </c>
      <c r="L151" s="118" t="s">
        <v>613</v>
      </c>
      <c r="M151" s="194" t="s">
        <v>24</v>
      </c>
      <c r="N151" s="118" t="s">
        <v>614</v>
      </c>
      <c r="O151" s="67"/>
      <c r="P151" s="339" t="s">
        <v>615</v>
      </c>
      <c r="Q151" s="240">
        <v>1</v>
      </c>
      <c r="R151" s="116"/>
      <c r="T151" s="385" t="s">
        <v>33</v>
      </c>
      <c r="U151" s="123"/>
      <c r="X151" s="243">
        <v>8.0881662368774414</v>
      </c>
      <c r="Y151" s="243">
        <f t="shared" si="16"/>
        <v>8.0881662368774414</v>
      </c>
      <c r="Z151" s="116">
        <f t="shared" si="17"/>
        <v>8.0881662368774414</v>
      </c>
    </row>
    <row r="152" spans="1:26" s="122" customFormat="1" ht="170" customHeight="1">
      <c r="A152" s="34">
        <f t="shared" ref="A152:A173" si="20">A151+1</f>
        <v>63</v>
      </c>
      <c r="B152" s="161" t="s">
        <v>616</v>
      </c>
      <c r="C152" s="121" t="s">
        <v>616</v>
      </c>
      <c r="D152" s="141" t="s">
        <v>617</v>
      </c>
      <c r="E152" s="127">
        <f t="shared" si="18"/>
        <v>236</v>
      </c>
      <c r="F152" s="512" t="s">
        <v>618</v>
      </c>
      <c r="G152" s="127">
        <f t="shared" si="19"/>
        <v>213</v>
      </c>
      <c r="H152" s="136" t="s">
        <v>37</v>
      </c>
      <c r="I152" s="127" t="s">
        <v>24</v>
      </c>
      <c r="J152" s="127" t="s">
        <v>24</v>
      </c>
      <c r="K152" s="127" t="s">
        <v>38</v>
      </c>
      <c r="L152" s="126" t="s">
        <v>619</v>
      </c>
      <c r="M152" s="194" t="s">
        <v>24</v>
      </c>
      <c r="N152" s="138" t="s">
        <v>620</v>
      </c>
      <c r="O152" s="76"/>
      <c r="P152" s="10"/>
      <c r="Q152" s="240">
        <v>1</v>
      </c>
      <c r="R152" s="116"/>
      <c r="T152" s="385" t="s">
        <v>33</v>
      </c>
      <c r="U152" s="123"/>
      <c r="X152" s="243">
        <v>20.224567413330082</v>
      </c>
      <c r="Y152" s="243">
        <f t="shared" si="16"/>
        <v>20.224567413330082</v>
      </c>
      <c r="Z152" s="116">
        <f t="shared" si="17"/>
        <v>20.224567413330082</v>
      </c>
    </row>
    <row r="153" spans="1:26" s="122" customFormat="1" ht="170" customHeight="1">
      <c r="A153" s="34">
        <f t="shared" si="20"/>
        <v>64</v>
      </c>
      <c r="B153" s="161" t="s">
        <v>621</v>
      </c>
      <c r="C153" s="121" t="s">
        <v>621</v>
      </c>
      <c r="D153" s="141" t="s">
        <v>622</v>
      </c>
      <c r="E153" s="127">
        <f t="shared" si="18"/>
        <v>234</v>
      </c>
      <c r="F153" s="512" t="s">
        <v>623</v>
      </c>
      <c r="G153" s="127">
        <f t="shared" si="19"/>
        <v>199</v>
      </c>
      <c r="H153" s="136" t="s">
        <v>37</v>
      </c>
      <c r="I153" s="127" t="s">
        <v>24</v>
      </c>
      <c r="J153" s="127" t="s">
        <v>24</v>
      </c>
      <c r="K153" s="127" t="s">
        <v>38</v>
      </c>
      <c r="L153" s="126" t="s">
        <v>624</v>
      </c>
      <c r="M153" s="194" t="s">
        <v>24</v>
      </c>
      <c r="N153" s="138" t="s">
        <v>625</v>
      </c>
      <c r="O153" s="76"/>
      <c r="P153" s="10"/>
      <c r="Q153" s="240">
        <v>1</v>
      </c>
      <c r="R153" s="116"/>
      <c r="T153" s="385" t="s">
        <v>33</v>
      </c>
      <c r="U153" s="123"/>
      <c r="X153" s="243">
        <v>14.02606105804443</v>
      </c>
      <c r="Y153" s="243">
        <f t="shared" si="16"/>
        <v>14.02606105804443</v>
      </c>
      <c r="Z153" s="116">
        <f t="shared" si="17"/>
        <v>14.02606105804443</v>
      </c>
    </row>
    <row r="154" spans="1:26" s="122" customFormat="1" ht="153" customHeight="1">
      <c r="A154" s="34">
        <f t="shared" si="20"/>
        <v>65</v>
      </c>
      <c r="B154" s="161" t="s">
        <v>626</v>
      </c>
      <c r="C154" s="121" t="s">
        <v>626</v>
      </c>
      <c r="D154" s="141" t="s">
        <v>627</v>
      </c>
      <c r="E154" s="127">
        <f t="shared" si="18"/>
        <v>217</v>
      </c>
      <c r="F154" s="512" t="s">
        <v>628</v>
      </c>
      <c r="G154" s="127">
        <f t="shared" si="19"/>
        <v>197</v>
      </c>
      <c r="H154" s="136" t="s">
        <v>37</v>
      </c>
      <c r="I154" s="127" t="s">
        <v>24</v>
      </c>
      <c r="J154" s="127" t="s">
        <v>24</v>
      </c>
      <c r="K154" s="127" t="s">
        <v>38</v>
      </c>
      <c r="L154" s="126" t="s">
        <v>629</v>
      </c>
      <c r="M154" s="194" t="s">
        <v>24</v>
      </c>
      <c r="N154" s="138" t="s">
        <v>630</v>
      </c>
      <c r="O154" s="76"/>
      <c r="P154" s="10"/>
      <c r="Q154" s="240">
        <v>1</v>
      </c>
      <c r="R154" s="116"/>
      <c r="T154" s="385" t="s">
        <v>33</v>
      </c>
      <c r="U154" s="123"/>
      <c r="X154" s="243">
        <v>11.558505058288571</v>
      </c>
      <c r="Y154" s="243">
        <f t="shared" si="16"/>
        <v>11.558505058288571</v>
      </c>
      <c r="Z154" s="116">
        <f t="shared" si="17"/>
        <v>11.558505058288571</v>
      </c>
    </row>
    <row r="155" spans="1:26" s="122" customFormat="1" ht="153" customHeight="1">
      <c r="A155" s="34">
        <f t="shared" si="20"/>
        <v>66</v>
      </c>
      <c r="B155" s="161" t="s">
        <v>631</v>
      </c>
      <c r="C155" s="121" t="s">
        <v>631</v>
      </c>
      <c r="D155" s="141" t="s">
        <v>632</v>
      </c>
      <c r="E155" s="127">
        <f t="shared" si="18"/>
        <v>218</v>
      </c>
      <c r="F155" s="512" t="s">
        <v>633</v>
      </c>
      <c r="G155" s="127">
        <f t="shared" si="19"/>
        <v>207</v>
      </c>
      <c r="H155" s="136" t="s">
        <v>37</v>
      </c>
      <c r="I155" s="127" t="s">
        <v>24</v>
      </c>
      <c r="J155" s="127" t="s">
        <v>24</v>
      </c>
      <c r="K155" s="127" t="s">
        <v>38</v>
      </c>
      <c r="L155" s="126" t="s">
        <v>634</v>
      </c>
      <c r="M155" s="194" t="s">
        <v>24</v>
      </c>
      <c r="N155" s="126" t="s">
        <v>635</v>
      </c>
      <c r="O155" s="65"/>
      <c r="P155" s="10"/>
      <c r="Q155" s="240">
        <v>1</v>
      </c>
      <c r="R155" s="116"/>
      <c r="T155" s="385" t="s">
        <v>33</v>
      </c>
      <c r="U155" s="123"/>
      <c r="X155" s="243">
        <v>11.379257202148439</v>
      </c>
      <c r="Y155" s="243">
        <f t="shared" ref="Y155:Y186" si="21">IF(X155="","",X155*Q155)</f>
        <v>11.379257202148439</v>
      </c>
      <c r="Z155" s="116">
        <f t="shared" ref="Z155:Z186" si="22">IF(T155="yes",Y155,"")</f>
        <v>11.379257202148439</v>
      </c>
    </row>
    <row r="156" spans="1:26" s="122" customFormat="1" ht="153" customHeight="1">
      <c r="A156" s="34">
        <f t="shared" si="20"/>
        <v>67</v>
      </c>
      <c r="B156" s="161" t="s">
        <v>636</v>
      </c>
      <c r="C156" s="121" t="s">
        <v>636</v>
      </c>
      <c r="D156" s="141" t="s">
        <v>637</v>
      </c>
      <c r="E156" s="127">
        <f t="shared" si="18"/>
        <v>224</v>
      </c>
      <c r="F156" s="512" t="s">
        <v>638</v>
      </c>
      <c r="G156" s="127">
        <f t="shared" si="19"/>
        <v>203</v>
      </c>
      <c r="H156" s="136" t="s">
        <v>37</v>
      </c>
      <c r="I156" s="127" t="s">
        <v>24</v>
      </c>
      <c r="J156" s="127" t="s">
        <v>24</v>
      </c>
      <c r="K156" s="127" t="s">
        <v>38</v>
      </c>
      <c r="L156" s="126" t="s">
        <v>639</v>
      </c>
      <c r="M156" s="194" t="s">
        <v>24</v>
      </c>
      <c r="N156" s="126" t="s">
        <v>640</v>
      </c>
      <c r="O156" s="65"/>
      <c r="P156" s="10"/>
      <c r="Q156" s="240">
        <v>1</v>
      </c>
      <c r="R156" s="116"/>
      <c r="T156" s="385" t="s">
        <v>33</v>
      </c>
      <c r="U156" s="123"/>
      <c r="X156" s="243">
        <v>10.443217277526861</v>
      </c>
      <c r="Y156" s="243">
        <f t="shared" si="21"/>
        <v>10.443217277526861</v>
      </c>
      <c r="Z156" s="116">
        <f t="shared" si="22"/>
        <v>10.443217277526861</v>
      </c>
    </row>
    <row r="157" spans="1:26" s="122" customFormat="1" ht="146" customHeight="1">
      <c r="A157" s="34">
        <f t="shared" si="20"/>
        <v>68</v>
      </c>
      <c r="B157" s="161" t="s">
        <v>641</v>
      </c>
      <c r="C157" s="160" t="s">
        <v>641</v>
      </c>
      <c r="D157" s="140" t="s">
        <v>642</v>
      </c>
      <c r="E157" s="127">
        <f t="shared" si="18"/>
        <v>182</v>
      </c>
      <c r="F157" s="513" t="s">
        <v>643</v>
      </c>
      <c r="G157" s="127">
        <f t="shared" si="19"/>
        <v>211</v>
      </c>
      <c r="H157" s="136" t="s">
        <v>37</v>
      </c>
      <c r="I157" s="127" t="s">
        <v>24</v>
      </c>
      <c r="J157" s="127" t="s">
        <v>24</v>
      </c>
      <c r="K157" s="127" t="s">
        <v>38</v>
      </c>
      <c r="L157" s="126" t="s">
        <v>644</v>
      </c>
      <c r="M157" s="194" t="s">
        <v>24</v>
      </c>
      <c r="N157" s="138" t="s">
        <v>645</v>
      </c>
      <c r="O157" s="76"/>
      <c r="P157" s="10"/>
      <c r="Q157" s="240">
        <v>1</v>
      </c>
      <c r="R157" s="116"/>
      <c r="T157" s="385" t="s">
        <v>33</v>
      </c>
      <c r="U157" s="123"/>
      <c r="X157" s="243">
        <v>10.732010841369631</v>
      </c>
      <c r="Y157" s="243">
        <f t="shared" si="21"/>
        <v>10.732010841369631</v>
      </c>
      <c r="Z157" s="116">
        <f t="shared" si="22"/>
        <v>10.732010841369631</v>
      </c>
    </row>
    <row r="158" spans="1:26" s="314" customFormat="1" ht="147" customHeight="1">
      <c r="A158" s="34">
        <f t="shared" si="20"/>
        <v>69</v>
      </c>
      <c r="B158" s="161" t="s">
        <v>646</v>
      </c>
      <c r="C158" s="160" t="s">
        <v>646</v>
      </c>
      <c r="D158" s="139" t="s">
        <v>647</v>
      </c>
      <c r="E158" s="127">
        <f t="shared" si="18"/>
        <v>214</v>
      </c>
      <c r="F158" s="139" t="s">
        <v>648</v>
      </c>
      <c r="G158" s="127">
        <f t="shared" si="19"/>
        <v>231</v>
      </c>
      <c r="H158" s="136" t="s">
        <v>37</v>
      </c>
      <c r="I158" s="127" t="s">
        <v>24</v>
      </c>
      <c r="J158" s="127" t="s">
        <v>24</v>
      </c>
      <c r="K158" s="127" t="s">
        <v>38</v>
      </c>
      <c r="L158" s="126" t="s">
        <v>649</v>
      </c>
      <c r="M158" s="194" t="s">
        <v>24</v>
      </c>
      <c r="N158" s="126" t="s">
        <v>650</v>
      </c>
      <c r="O158" s="65"/>
      <c r="P158" s="10"/>
      <c r="Q158" s="240">
        <v>1</v>
      </c>
      <c r="R158" s="116"/>
      <c r="T158" s="385" t="s">
        <v>33</v>
      </c>
      <c r="U158" s="123"/>
      <c r="X158" s="243">
        <v>11.58613967895508</v>
      </c>
      <c r="Y158" s="243">
        <f t="shared" si="21"/>
        <v>11.58613967895508</v>
      </c>
      <c r="Z158" s="116">
        <f t="shared" si="22"/>
        <v>11.58613967895508</v>
      </c>
    </row>
    <row r="159" spans="1:26" s="122" customFormat="1" ht="146" customHeight="1">
      <c r="A159" s="34">
        <f t="shared" si="20"/>
        <v>70</v>
      </c>
      <c r="B159" s="161" t="s">
        <v>651</v>
      </c>
      <c r="C159" s="121" t="s">
        <v>651</v>
      </c>
      <c r="D159" s="140" t="s">
        <v>652</v>
      </c>
      <c r="E159" s="127">
        <f t="shared" si="18"/>
        <v>184</v>
      </c>
      <c r="F159" s="513" t="s">
        <v>653</v>
      </c>
      <c r="G159" s="127">
        <f t="shared" si="19"/>
        <v>190</v>
      </c>
      <c r="H159" s="136" t="s">
        <v>37</v>
      </c>
      <c r="I159" s="127" t="s">
        <v>24</v>
      </c>
      <c r="J159" s="127" t="s">
        <v>24</v>
      </c>
      <c r="K159" s="127" t="s">
        <v>38</v>
      </c>
      <c r="L159" s="126" t="s">
        <v>654</v>
      </c>
      <c r="M159" s="194" t="s">
        <v>24</v>
      </c>
      <c r="N159" s="138" t="s">
        <v>655</v>
      </c>
      <c r="O159" s="76"/>
      <c r="P159" s="10"/>
      <c r="Q159" s="240">
        <v>1</v>
      </c>
      <c r="R159" s="116"/>
      <c r="T159" s="385" t="s">
        <v>33</v>
      </c>
      <c r="U159" s="123"/>
      <c r="X159" s="243">
        <v>9.7552013397216797</v>
      </c>
      <c r="Y159" s="243">
        <f t="shared" si="21"/>
        <v>9.7552013397216797</v>
      </c>
      <c r="Z159" s="116">
        <f t="shared" si="22"/>
        <v>9.7552013397216797</v>
      </c>
    </row>
    <row r="160" spans="1:26" s="122" customFormat="1" ht="147" customHeight="1">
      <c r="A160" s="34">
        <f t="shared" si="20"/>
        <v>71</v>
      </c>
      <c r="B160" s="161" t="s">
        <v>656</v>
      </c>
      <c r="C160" s="160" t="s">
        <v>656</v>
      </c>
      <c r="D160" s="139" t="s">
        <v>647</v>
      </c>
      <c r="E160" s="127">
        <f t="shared" si="18"/>
        <v>214</v>
      </c>
      <c r="F160" s="139" t="s">
        <v>648</v>
      </c>
      <c r="G160" s="127">
        <f t="shared" si="19"/>
        <v>231</v>
      </c>
      <c r="H160" s="136" t="s">
        <v>37</v>
      </c>
      <c r="I160" s="127" t="s">
        <v>24</v>
      </c>
      <c r="J160" s="127" t="s">
        <v>24</v>
      </c>
      <c r="K160" s="127" t="s">
        <v>38</v>
      </c>
      <c r="L160" s="126" t="s">
        <v>657</v>
      </c>
      <c r="M160" s="194" t="s">
        <v>24</v>
      </c>
      <c r="N160" s="126" t="s">
        <v>658</v>
      </c>
      <c r="O160" s="65"/>
      <c r="P160" s="10"/>
      <c r="Q160" s="240">
        <v>1</v>
      </c>
      <c r="R160" s="116"/>
      <c r="T160" s="385" t="s">
        <v>33</v>
      </c>
      <c r="U160" s="123"/>
      <c r="X160" s="243">
        <v>7.9447951316833496</v>
      </c>
      <c r="Y160" s="243">
        <f t="shared" si="21"/>
        <v>7.9447951316833496</v>
      </c>
      <c r="Z160" s="116">
        <f t="shared" si="22"/>
        <v>7.9447951316833496</v>
      </c>
    </row>
    <row r="161" spans="1:26" s="122" customFormat="1" ht="146" customHeight="1">
      <c r="A161" s="34">
        <f t="shared" si="20"/>
        <v>72</v>
      </c>
      <c r="B161" s="161" t="s">
        <v>659</v>
      </c>
      <c r="C161" s="121" t="s">
        <v>659</v>
      </c>
      <c r="D161" s="140" t="s">
        <v>660</v>
      </c>
      <c r="E161" s="127">
        <f t="shared" si="18"/>
        <v>212</v>
      </c>
      <c r="F161" s="513" t="s">
        <v>661</v>
      </c>
      <c r="G161" s="127">
        <f t="shared" si="19"/>
        <v>221</v>
      </c>
      <c r="H161" s="136" t="s">
        <v>37</v>
      </c>
      <c r="I161" s="127" t="s">
        <v>24</v>
      </c>
      <c r="J161" s="127" t="s">
        <v>24</v>
      </c>
      <c r="K161" s="127" t="s">
        <v>38</v>
      </c>
      <c r="L161" s="126" t="s">
        <v>662</v>
      </c>
      <c r="M161" s="194" t="s">
        <v>24</v>
      </c>
      <c r="N161" s="138" t="s">
        <v>663</v>
      </c>
      <c r="O161" s="31"/>
      <c r="P161" s="10"/>
      <c r="Q161" s="240">
        <v>1</v>
      </c>
      <c r="R161" s="116"/>
      <c r="T161" s="385" t="s">
        <v>33</v>
      </c>
      <c r="U161" s="123"/>
      <c r="X161" s="243">
        <v>7.9312248229980469</v>
      </c>
      <c r="Y161" s="243">
        <f t="shared" si="21"/>
        <v>7.9312248229980469</v>
      </c>
      <c r="Z161" s="116">
        <f t="shared" si="22"/>
        <v>7.9312248229980469</v>
      </c>
    </row>
    <row r="162" spans="1:26" s="122" customFormat="1" ht="147" customHeight="1">
      <c r="A162" s="34">
        <f t="shared" si="20"/>
        <v>73</v>
      </c>
      <c r="B162" s="161" t="s">
        <v>664</v>
      </c>
      <c r="C162" s="160" t="s">
        <v>664</v>
      </c>
      <c r="D162" s="139" t="s">
        <v>647</v>
      </c>
      <c r="E162" s="127">
        <f t="shared" si="18"/>
        <v>214</v>
      </c>
      <c r="F162" s="139" t="s">
        <v>648</v>
      </c>
      <c r="G162" s="127">
        <f t="shared" si="19"/>
        <v>231</v>
      </c>
      <c r="H162" s="136" t="s">
        <v>37</v>
      </c>
      <c r="I162" s="127" t="s">
        <v>24</v>
      </c>
      <c r="J162" s="127" t="s">
        <v>24</v>
      </c>
      <c r="K162" s="127" t="s">
        <v>38</v>
      </c>
      <c r="L162" s="126" t="s">
        <v>665</v>
      </c>
      <c r="M162" s="194" t="s">
        <v>24</v>
      </c>
      <c r="N162" s="138" t="s">
        <v>666</v>
      </c>
      <c r="O162" s="31"/>
      <c r="P162" s="10"/>
      <c r="Q162" s="240">
        <v>1</v>
      </c>
      <c r="R162" s="116"/>
      <c r="T162" s="385" t="s">
        <v>33</v>
      </c>
      <c r="U162" s="123"/>
      <c r="X162" s="243">
        <v>5.3390059471130371</v>
      </c>
      <c r="Y162" s="243">
        <f t="shared" si="21"/>
        <v>5.3390059471130371</v>
      </c>
      <c r="Z162" s="116">
        <f t="shared" si="22"/>
        <v>5.3390059471130371</v>
      </c>
    </row>
    <row r="163" spans="1:26" s="122" customFormat="1" ht="153" customHeight="1">
      <c r="A163" s="14">
        <f t="shared" si="20"/>
        <v>74</v>
      </c>
      <c r="B163" s="210" t="s">
        <v>667</v>
      </c>
      <c r="C163" s="16" t="s">
        <v>667</v>
      </c>
      <c r="D163" s="27" t="s">
        <v>668</v>
      </c>
      <c r="E163" s="18">
        <f t="shared" si="18"/>
        <v>142</v>
      </c>
      <c r="F163" s="27" t="s">
        <v>669</v>
      </c>
      <c r="G163" s="18">
        <f t="shared" si="19"/>
        <v>148</v>
      </c>
      <c r="H163" s="26" t="s">
        <v>37</v>
      </c>
      <c r="I163" s="18" t="s">
        <v>24</v>
      </c>
      <c r="J163" s="18" t="s">
        <v>24</v>
      </c>
      <c r="K163" s="18" t="s">
        <v>38</v>
      </c>
      <c r="L163" s="25" t="s">
        <v>670</v>
      </c>
      <c r="M163" s="61" t="s">
        <v>24</v>
      </c>
      <c r="N163" s="320"/>
      <c r="O163" s="321"/>
      <c r="P163" s="99" t="s">
        <v>671</v>
      </c>
      <c r="Q163" s="245">
        <v>1</v>
      </c>
      <c r="R163" s="116"/>
      <c r="T163" s="124" t="s">
        <v>23</v>
      </c>
      <c r="U163" s="123"/>
      <c r="X163" s="244">
        <v>3.816555500030518</v>
      </c>
      <c r="Y163" s="244">
        <f t="shared" si="21"/>
        <v>3.816555500030518</v>
      </c>
      <c r="Z163" s="116" t="str">
        <f t="shared" si="22"/>
        <v/>
      </c>
    </row>
    <row r="164" spans="1:26" s="122" customFormat="1" ht="260" customHeight="1">
      <c r="A164" s="14">
        <f t="shared" si="20"/>
        <v>75</v>
      </c>
      <c r="B164" s="594" t="s">
        <v>672</v>
      </c>
      <c r="C164" s="595" t="s">
        <v>673</v>
      </c>
      <c r="D164" s="596" t="s">
        <v>674</v>
      </c>
      <c r="E164" s="597">
        <f t="shared" si="18"/>
        <v>406</v>
      </c>
      <c r="F164" s="598" t="s">
        <v>675</v>
      </c>
      <c r="G164" s="18">
        <f t="shared" si="19"/>
        <v>375</v>
      </c>
      <c r="H164" s="26" t="s">
        <v>37</v>
      </c>
      <c r="I164" s="18" t="s">
        <v>24</v>
      </c>
      <c r="J164" s="18" t="s">
        <v>24</v>
      </c>
      <c r="K164" s="18" t="s">
        <v>38</v>
      </c>
      <c r="L164" s="611" t="s">
        <v>676</v>
      </c>
      <c r="M164" s="61" t="s">
        <v>24</v>
      </c>
      <c r="N164" s="30"/>
      <c r="O164" s="30"/>
      <c r="P164" s="10"/>
      <c r="Q164" s="245">
        <v>1</v>
      </c>
      <c r="R164" s="116"/>
      <c r="T164" s="124" t="s">
        <v>23</v>
      </c>
      <c r="U164" s="123"/>
      <c r="X164" s="244">
        <v>16.827030181884769</v>
      </c>
      <c r="Y164" s="244">
        <f t="shared" si="21"/>
        <v>16.827030181884769</v>
      </c>
      <c r="Z164" s="116" t="str">
        <f t="shared" si="22"/>
        <v/>
      </c>
    </row>
    <row r="165" spans="1:26" s="122" customFormat="1" ht="240" customHeight="1">
      <c r="A165" s="14">
        <f t="shared" si="20"/>
        <v>76</v>
      </c>
      <c r="B165" s="599" t="s">
        <v>677</v>
      </c>
      <c r="C165" s="600" t="s">
        <v>678</v>
      </c>
      <c r="D165" s="601" t="s">
        <v>679</v>
      </c>
      <c r="E165" s="597">
        <f t="shared" si="18"/>
        <v>344</v>
      </c>
      <c r="F165" s="602" t="s">
        <v>680</v>
      </c>
      <c r="G165" s="18">
        <f t="shared" si="19"/>
        <v>328</v>
      </c>
      <c r="H165" s="26" t="s">
        <v>37</v>
      </c>
      <c r="I165" s="18" t="s">
        <v>24</v>
      </c>
      <c r="J165" s="18" t="s">
        <v>24</v>
      </c>
      <c r="K165" s="18" t="s">
        <v>38</v>
      </c>
      <c r="L165" s="612" t="s">
        <v>681</v>
      </c>
      <c r="M165" s="61" t="s">
        <v>24</v>
      </c>
      <c r="N165" s="30"/>
      <c r="O165" s="30"/>
      <c r="P165" s="10"/>
      <c r="Q165" s="245">
        <v>1</v>
      </c>
      <c r="R165" s="116"/>
      <c r="T165" s="124" t="s">
        <v>23</v>
      </c>
      <c r="U165" s="123"/>
      <c r="X165" s="244">
        <v>12.211404800415041</v>
      </c>
      <c r="Y165" s="244">
        <f t="shared" si="21"/>
        <v>12.211404800415041</v>
      </c>
      <c r="Z165" s="116" t="str">
        <f t="shared" si="22"/>
        <v/>
      </c>
    </row>
    <row r="166" spans="1:26" s="122" customFormat="1" ht="240" customHeight="1">
      <c r="A166" s="14">
        <f t="shared" si="20"/>
        <v>77</v>
      </c>
      <c r="B166" s="599" t="s">
        <v>682</v>
      </c>
      <c r="C166" s="600" t="s">
        <v>682</v>
      </c>
      <c r="D166" s="596" t="s">
        <v>683</v>
      </c>
      <c r="E166" s="597">
        <f t="shared" si="18"/>
        <v>384</v>
      </c>
      <c r="F166" s="598" t="s">
        <v>684</v>
      </c>
      <c r="G166" s="18">
        <f t="shared" si="19"/>
        <v>372</v>
      </c>
      <c r="H166" s="26" t="s">
        <v>37</v>
      </c>
      <c r="I166" s="18" t="s">
        <v>24</v>
      </c>
      <c r="J166" s="18" t="s">
        <v>24</v>
      </c>
      <c r="K166" s="18" t="s">
        <v>38</v>
      </c>
      <c r="L166" s="611" t="s">
        <v>685</v>
      </c>
      <c r="M166" s="61" t="s">
        <v>24</v>
      </c>
      <c r="N166" s="30"/>
      <c r="O166" s="30"/>
      <c r="P166" s="10"/>
      <c r="Q166" s="245">
        <v>1</v>
      </c>
      <c r="R166" s="116"/>
      <c r="T166" s="124" t="s">
        <v>23</v>
      </c>
      <c r="U166" s="123"/>
      <c r="X166" s="244">
        <v>10.39294910430908</v>
      </c>
      <c r="Y166" s="244">
        <f t="shared" si="21"/>
        <v>10.39294910430908</v>
      </c>
      <c r="Z166" s="116" t="str">
        <f t="shared" si="22"/>
        <v/>
      </c>
    </row>
    <row r="167" spans="1:26" s="122" customFormat="1" ht="240" customHeight="1">
      <c r="A167" s="14">
        <f t="shared" si="20"/>
        <v>78</v>
      </c>
      <c r="B167" s="603" t="s">
        <v>686</v>
      </c>
      <c r="C167" s="603" t="s">
        <v>686</v>
      </c>
      <c r="D167" s="596" t="s">
        <v>687</v>
      </c>
      <c r="E167" s="597">
        <f t="shared" si="18"/>
        <v>374</v>
      </c>
      <c r="F167" s="598" t="s">
        <v>688</v>
      </c>
      <c r="G167" s="18">
        <f t="shared" si="19"/>
        <v>360</v>
      </c>
      <c r="H167" s="26" t="s">
        <v>37</v>
      </c>
      <c r="I167" s="18" t="s">
        <v>24</v>
      </c>
      <c r="J167" s="18" t="s">
        <v>24</v>
      </c>
      <c r="K167" s="18" t="s">
        <v>38</v>
      </c>
      <c r="L167" s="611" t="s">
        <v>689</v>
      </c>
      <c r="M167" s="61" t="s">
        <v>24</v>
      </c>
      <c r="N167" s="30"/>
      <c r="O167" s="30"/>
      <c r="P167" s="10"/>
      <c r="Q167" s="245">
        <v>1</v>
      </c>
      <c r="R167" s="116"/>
      <c r="T167" s="124" t="s">
        <v>23</v>
      </c>
      <c r="U167" s="123"/>
      <c r="X167" s="244">
        <v>11.91341400146484</v>
      </c>
      <c r="Y167" s="244">
        <f t="shared" si="21"/>
        <v>11.91341400146484</v>
      </c>
      <c r="Z167" s="116" t="str">
        <f t="shared" si="22"/>
        <v/>
      </c>
    </row>
    <row r="168" spans="1:26" s="122" customFormat="1" ht="260" customHeight="1">
      <c r="A168" s="14">
        <f t="shared" si="20"/>
        <v>79</v>
      </c>
      <c r="B168" s="604" t="s">
        <v>690</v>
      </c>
      <c r="C168" s="555" t="s">
        <v>690</v>
      </c>
      <c r="D168" s="563" t="s">
        <v>691</v>
      </c>
      <c r="E168" s="556">
        <f t="shared" si="18"/>
        <v>425</v>
      </c>
      <c r="F168" s="605" t="s">
        <v>692</v>
      </c>
      <c r="G168" s="18">
        <f t="shared" si="19"/>
        <v>390</v>
      </c>
      <c r="H168" s="26" t="s">
        <v>37</v>
      </c>
      <c r="I168" s="18" t="s">
        <v>24</v>
      </c>
      <c r="J168" s="18" t="s">
        <v>24</v>
      </c>
      <c r="K168" s="18" t="s">
        <v>38</v>
      </c>
      <c r="L168" s="563" t="s">
        <v>693</v>
      </c>
      <c r="M168" s="61" t="s">
        <v>24</v>
      </c>
      <c r="N168" s="30"/>
      <c r="O168" s="30"/>
      <c r="P168" s="10"/>
      <c r="Q168" s="245">
        <v>1</v>
      </c>
      <c r="R168" s="116"/>
      <c r="T168" s="124" t="s">
        <v>23</v>
      </c>
      <c r="U168" s="123"/>
      <c r="X168" s="244">
        <v>11.45889282226562</v>
      </c>
      <c r="Y168" s="244">
        <f t="shared" si="21"/>
        <v>11.45889282226562</v>
      </c>
      <c r="Z168" s="116" t="str">
        <f t="shared" si="22"/>
        <v/>
      </c>
    </row>
    <row r="169" spans="1:26" s="122" customFormat="1" ht="240" customHeight="1">
      <c r="A169" s="14">
        <f t="shared" si="20"/>
        <v>80</v>
      </c>
      <c r="B169" s="604" t="s">
        <v>694</v>
      </c>
      <c r="C169" s="604" t="s">
        <v>694</v>
      </c>
      <c r="D169" s="563" t="s">
        <v>695</v>
      </c>
      <c r="E169" s="556">
        <f t="shared" si="18"/>
        <v>372</v>
      </c>
      <c r="F169" s="605" t="s">
        <v>696</v>
      </c>
      <c r="G169" s="18">
        <f t="shared" si="19"/>
        <v>353</v>
      </c>
      <c r="H169" s="26" t="s">
        <v>37</v>
      </c>
      <c r="I169" s="18" t="s">
        <v>24</v>
      </c>
      <c r="J169" s="18" t="s">
        <v>24</v>
      </c>
      <c r="K169" s="18" t="s">
        <v>38</v>
      </c>
      <c r="L169" s="563" t="s">
        <v>697</v>
      </c>
      <c r="M169" s="61" t="s">
        <v>24</v>
      </c>
      <c r="N169" s="30"/>
      <c r="O169" s="30"/>
      <c r="P169" s="10"/>
      <c r="Q169" s="245">
        <v>1</v>
      </c>
      <c r="R169" s="116"/>
      <c r="T169" s="124" t="s">
        <v>23</v>
      </c>
      <c r="U169" s="123"/>
      <c r="X169" s="244">
        <v>10.84387874603271</v>
      </c>
      <c r="Y169" s="244">
        <f t="shared" si="21"/>
        <v>10.84387874603271</v>
      </c>
      <c r="Z169" s="116" t="str">
        <f t="shared" si="22"/>
        <v/>
      </c>
    </row>
    <row r="170" spans="1:26" s="122" customFormat="1" ht="260" customHeight="1">
      <c r="A170" s="14">
        <f t="shared" si="20"/>
        <v>81</v>
      </c>
      <c r="B170" s="604" t="s">
        <v>698</v>
      </c>
      <c r="C170" s="604" t="s">
        <v>698</v>
      </c>
      <c r="D170" s="563" t="s">
        <v>699</v>
      </c>
      <c r="E170" s="556">
        <f t="shared" si="18"/>
        <v>382</v>
      </c>
      <c r="F170" s="605" t="s">
        <v>700</v>
      </c>
      <c r="G170" s="18">
        <f t="shared" si="19"/>
        <v>349</v>
      </c>
      <c r="H170" s="26" t="s">
        <v>37</v>
      </c>
      <c r="I170" s="18" t="s">
        <v>24</v>
      </c>
      <c r="J170" s="18" t="s">
        <v>24</v>
      </c>
      <c r="K170" s="18" t="s">
        <v>38</v>
      </c>
      <c r="L170" s="563" t="s">
        <v>701</v>
      </c>
      <c r="M170" s="61" t="s">
        <v>24</v>
      </c>
      <c r="N170" s="30"/>
      <c r="O170" s="30"/>
      <c r="P170" s="10"/>
      <c r="Q170" s="245">
        <v>1</v>
      </c>
      <c r="R170" s="116"/>
      <c r="T170" s="124" t="s">
        <v>23</v>
      </c>
      <c r="U170" s="123"/>
      <c r="X170" s="244">
        <v>8.2318143844604492</v>
      </c>
      <c r="Y170" s="244">
        <f t="shared" si="21"/>
        <v>8.2318143844604492</v>
      </c>
      <c r="Z170" s="116" t="str">
        <f t="shared" si="22"/>
        <v/>
      </c>
    </row>
    <row r="171" spans="1:26" s="122" customFormat="1" ht="240" customHeight="1">
      <c r="A171" s="14">
        <f t="shared" si="20"/>
        <v>82</v>
      </c>
      <c r="B171" s="604" t="s">
        <v>702</v>
      </c>
      <c r="C171" s="555" t="s">
        <v>702</v>
      </c>
      <c r="D171" s="563" t="s">
        <v>703</v>
      </c>
      <c r="E171" s="556">
        <f t="shared" si="18"/>
        <v>349</v>
      </c>
      <c r="F171" s="605" t="s">
        <v>704</v>
      </c>
      <c r="G171" s="18">
        <f t="shared" si="19"/>
        <v>331</v>
      </c>
      <c r="H171" s="26" t="s">
        <v>37</v>
      </c>
      <c r="I171" s="18" t="s">
        <v>24</v>
      </c>
      <c r="J171" s="18" t="s">
        <v>24</v>
      </c>
      <c r="K171" s="18" t="s">
        <v>38</v>
      </c>
      <c r="L171" s="563" t="s">
        <v>705</v>
      </c>
      <c r="M171" s="61" t="s">
        <v>24</v>
      </c>
      <c r="N171" s="30"/>
      <c r="O171" s="30"/>
      <c r="P171" s="10"/>
      <c r="Q171" s="245">
        <v>1</v>
      </c>
      <c r="R171" s="116"/>
      <c r="T171" s="124" t="s">
        <v>23</v>
      </c>
      <c r="U171" s="123"/>
      <c r="X171" s="244">
        <v>12.454976081848139</v>
      </c>
      <c r="Y171" s="244">
        <f t="shared" si="21"/>
        <v>12.454976081848139</v>
      </c>
      <c r="Z171" s="116" t="str">
        <f t="shared" si="22"/>
        <v/>
      </c>
    </row>
    <row r="172" spans="1:26" s="122" customFormat="1" ht="240" customHeight="1">
      <c r="A172" s="14">
        <f t="shared" si="20"/>
        <v>83</v>
      </c>
      <c r="B172" s="604" t="s">
        <v>706</v>
      </c>
      <c r="C172" s="604" t="s">
        <v>706</v>
      </c>
      <c r="D172" s="563" t="s">
        <v>707</v>
      </c>
      <c r="E172" s="556">
        <f t="shared" si="18"/>
        <v>360</v>
      </c>
      <c r="F172" s="605" t="s">
        <v>708</v>
      </c>
      <c r="G172" s="18">
        <f t="shared" si="19"/>
        <v>337</v>
      </c>
      <c r="H172" s="26" t="s">
        <v>37</v>
      </c>
      <c r="I172" s="18" t="s">
        <v>24</v>
      </c>
      <c r="J172" s="18" t="s">
        <v>24</v>
      </c>
      <c r="K172" s="18" t="s">
        <v>38</v>
      </c>
      <c r="L172" s="563" t="s">
        <v>709</v>
      </c>
      <c r="M172" s="61" t="s">
        <v>24</v>
      </c>
      <c r="N172" s="30"/>
      <c r="O172" s="30"/>
      <c r="P172" s="10"/>
      <c r="Q172" s="245">
        <v>1</v>
      </c>
      <c r="R172" s="116"/>
      <c r="T172" s="124" t="s">
        <v>23</v>
      </c>
      <c r="U172" s="123"/>
      <c r="X172" s="244">
        <v>11.934056282043461</v>
      </c>
      <c r="Y172" s="244">
        <f t="shared" si="21"/>
        <v>11.934056282043461</v>
      </c>
      <c r="Z172" s="116" t="str">
        <f t="shared" si="22"/>
        <v/>
      </c>
    </row>
    <row r="173" spans="1:26" s="122" customFormat="1" ht="241" customHeight="1" thickBot="1">
      <c r="A173" s="14">
        <f t="shared" si="20"/>
        <v>84</v>
      </c>
      <c r="B173" s="606" t="s">
        <v>710</v>
      </c>
      <c r="C173" s="607" t="s">
        <v>710</v>
      </c>
      <c r="D173" s="608" t="s">
        <v>711</v>
      </c>
      <c r="E173" s="609">
        <f t="shared" si="18"/>
        <v>335</v>
      </c>
      <c r="F173" s="610" t="s">
        <v>712</v>
      </c>
      <c r="G173" s="18">
        <f t="shared" si="19"/>
        <v>321</v>
      </c>
      <c r="H173" s="26" t="s">
        <v>37</v>
      </c>
      <c r="I173" s="18" t="s">
        <v>24</v>
      </c>
      <c r="J173" s="18" t="s">
        <v>24</v>
      </c>
      <c r="K173" s="18" t="s">
        <v>38</v>
      </c>
      <c r="L173" s="613" t="s">
        <v>713</v>
      </c>
      <c r="M173" s="61" t="s">
        <v>24</v>
      </c>
      <c r="N173" s="20"/>
      <c r="O173" s="25"/>
      <c r="P173" s="10"/>
      <c r="Q173" s="245">
        <v>1</v>
      </c>
      <c r="R173" s="116"/>
      <c r="T173" s="124" t="s">
        <v>23</v>
      </c>
      <c r="U173" s="123"/>
      <c r="X173" s="244">
        <v>11.36098480224609</v>
      </c>
      <c r="Y173" s="244">
        <f t="shared" si="21"/>
        <v>11.36098480224609</v>
      </c>
      <c r="Z173" s="116" t="str">
        <f t="shared" si="22"/>
        <v/>
      </c>
    </row>
    <row r="174" spans="1:26" s="122" customFormat="1" ht="409.5" customHeight="1">
      <c r="A174" s="34" t="e">
        <f>#REF!+1</f>
        <v>#REF!</v>
      </c>
      <c r="B174" s="161" t="s">
        <v>714</v>
      </c>
      <c r="C174" s="121" t="s">
        <v>715</v>
      </c>
      <c r="D174" s="527" t="s">
        <v>716</v>
      </c>
      <c r="E174" s="127">
        <f t="shared" si="18"/>
        <v>1361</v>
      </c>
      <c r="F174" s="527" t="s">
        <v>717</v>
      </c>
      <c r="G174" s="127">
        <f t="shared" si="19"/>
        <v>1385</v>
      </c>
      <c r="H174" s="136" t="s">
        <v>296</v>
      </c>
      <c r="I174" s="127" t="s">
        <v>24</v>
      </c>
      <c r="J174" s="127" t="s">
        <v>24</v>
      </c>
      <c r="K174" s="127" t="s">
        <v>718</v>
      </c>
      <c r="L174" s="126" t="s">
        <v>719</v>
      </c>
      <c r="M174" s="194" t="s">
        <v>720</v>
      </c>
      <c r="N174" s="126" t="s">
        <v>721</v>
      </c>
      <c r="O174" s="65"/>
      <c r="P174" s="135"/>
      <c r="Q174" s="240">
        <v>1</v>
      </c>
      <c r="R174" s="116"/>
      <c r="T174" s="385" t="s">
        <v>33</v>
      </c>
      <c r="U174" s="123"/>
      <c r="X174" s="243">
        <v>52.174358367919922</v>
      </c>
      <c r="Y174" s="243">
        <f t="shared" si="21"/>
        <v>52.174358367919922</v>
      </c>
      <c r="Z174" s="116">
        <f t="shared" si="22"/>
        <v>52.174358367919922</v>
      </c>
    </row>
    <row r="175" spans="1:26" s="122" customFormat="1" ht="153" customHeight="1">
      <c r="A175" s="313" t="e">
        <f t="shared" ref="A175:A184" si="23">A174+1</f>
        <v>#REF!</v>
      </c>
      <c r="B175" s="211" t="s">
        <v>722</v>
      </c>
      <c r="C175" s="160" t="s">
        <v>722</v>
      </c>
      <c r="D175" s="134" t="s">
        <v>723</v>
      </c>
      <c r="E175" s="110">
        <f t="shared" si="18"/>
        <v>327</v>
      </c>
      <c r="F175" s="493" t="s">
        <v>724</v>
      </c>
      <c r="G175" s="110">
        <f t="shared" si="19"/>
        <v>326</v>
      </c>
      <c r="H175" s="133" t="s">
        <v>37</v>
      </c>
      <c r="I175" s="111" t="s">
        <v>24</v>
      </c>
      <c r="J175" s="111" t="s">
        <v>24</v>
      </c>
      <c r="K175" s="111" t="s">
        <v>38</v>
      </c>
      <c r="L175" s="132" t="s">
        <v>725</v>
      </c>
      <c r="M175" s="194" t="s">
        <v>24</v>
      </c>
      <c r="N175" s="132" t="s">
        <v>726</v>
      </c>
      <c r="O175" s="33"/>
      <c r="P175" s="131"/>
      <c r="Q175" s="240">
        <v>1</v>
      </c>
      <c r="R175" s="116"/>
      <c r="T175" s="385" t="s">
        <v>33</v>
      </c>
      <c r="U175" s="123"/>
      <c r="X175" s="243">
        <v>1.2871023416519169</v>
      </c>
      <c r="Y175" s="243">
        <f t="shared" si="21"/>
        <v>1.2871023416519169</v>
      </c>
      <c r="Z175" s="116">
        <f t="shared" si="22"/>
        <v>1.2871023416519169</v>
      </c>
    </row>
    <row r="176" spans="1:26" s="122" customFormat="1" ht="85" customHeight="1">
      <c r="A176" s="14" t="e">
        <f t="shared" si="23"/>
        <v>#REF!</v>
      </c>
      <c r="B176" s="210" t="s">
        <v>727</v>
      </c>
      <c r="C176" s="216" t="s">
        <v>727</v>
      </c>
      <c r="D176" s="528" t="s">
        <v>728</v>
      </c>
      <c r="E176" s="18">
        <f t="shared" si="18"/>
        <v>179</v>
      </c>
      <c r="F176" s="528" t="s">
        <v>729</v>
      </c>
      <c r="G176" s="18">
        <f t="shared" si="19"/>
        <v>158</v>
      </c>
      <c r="H176" s="26" t="s">
        <v>37</v>
      </c>
      <c r="I176" s="18" t="s">
        <v>24</v>
      </c>
      <c r="J176" s="18" t="s">
        <v>24</v>
      </c>
      <c r="K176" s="18" t="s">
        <v>38</v>
      </c>
      <c r="L176" s="25" t="s">
        <v>730</v>
      </c>
      <c r="M176" s="61" t="s">
        <v>24</v>
      </c>
      <c r="N176" s="25" t="s">
        <v>731</v>
      </c>
      <c r="O176" s="25"/>
      <c r="P176" s="103"/>
      <c r="Q176" s="245">
        <v>1</v>
      </c>
      <c r="R176" s="116"/>
      <c r="T176" s="124" t="s">
        <v>23</v>
      </c>
      <c r="U176" s="123"/>
      <c r="X176" s="244">
        <v>5.6449732780456543</v>
      </c>
      <c r="Y176" s="244">
        <f t="shared" si="21"/>
        <v>5.6449732780456543</v>
      </c>
      <c r="Z176" s="116" t="str">
        <f t="shared" si="22"/>
        <v/>
      </c>
    </row>
    <row r="177" spans="1:26" s="122" customFormat="1" ht="102" customHeight="1">
      <c r="A177" s="14" t="e">
        <f t="shared" si="23"/>
        <v>#REF!</v>
      </c>
      <c r="B177" s="210" t="s">
        <v>732</v>
      </c>
      <c r="C177" s="216" t="s">
        <v>732</v>
      </c>
      <c r="D177" s="528" t="s">
        <v>733</v>
      </c>
      <c r="E177" s="18">
        <f t="shared" si="18"/>
        <v>292</v>
      </c>
      <c r="F177" s="528" t="s">
        <v>734</v>
      </c>
      <c r="G177" s="18">
        <f t="shared" si="19"/>
        <v>291</v>
      </c>
      <c r="H177" s="26" t="s">
        <v>127</v>
      </c>
      <c r="I177" s="18" t="s">
        <v>24</v>
      </c>
      <c r="J177" s="18" t="s">
        <v>24</v>
      </c>
      <c r="K177" s="18" t="s">
        <v>27</v>
      </c>
      <c r="L177" s="25" t="s">
        <v>735</v>
      </c>
      <c r="M177" s="61" t="s">
        <v>24</v>
      </c>
      <c r="N177" s="25" t="s">
        <v>736</v>
      </c>
      <c r="O177" s="25"/>
      <c r="P177" s="102"/>
      <c r="Q177" s="245">
        <v>1</v>
      </c>
      <c r="R177" s="116"/>
      <c r="T177" s="124" t="s">
        <v>23</v>
      </c>
      <c r="U177" s="123"/>
      <c r="X177" s="244">
        <v>26.998960494995121</v>
      </c>
      <c r="Y177" s="244">
        <f t="shared" si="21"/>
        <v>26.998960494995121</v>
      </c>
      <c r="Z177" s="116" t="str">
        <f t="shared" si="22"/>
        <v/>
      </c>
    </row>
    <row r="178" spans="1:26" s="122" customFormat="1" ht="102" customHeight="1">
      <c r="A178" s="14" t="e">
        <f t="shared" si="23"/>
        <v>#REF!</v>
      </c>
      <c r="B178" s="210" t="s">
        <v>737</v>
      </c>
      <c r="C178" s="216" t="s">
        <v>737</v>
      </c>
      <c r="D178" s="510" t="s">
        <v>738</v>
      </c>
      <c r="E178" s="18">
        <f t="shared" si="18"/>
        <v>267</v>
      </c>
      <c r="F178" s="510" t="s">
        <v>739</v>
      </c>
      <c r="G178" s="18">
        <f t="shared" si="19"/>
        <v>269</v>
      </c>
      <c r="H178" s="26" t="s">
        <v>127</v>
      </c>
      <c r="I178" s="18" t="s">
        <v>24</v>
      </c>
      <c r="J178" s="18" t="s">
        <v>24</v>
      </c>
      <c r="K178" s="18" t="s">
        <v>27</v>
      </c>
      <c r="L178" s="25" t="s">
        <v>740</v>
      </c>
      <c r="M178" s="61" t="s">
        <v>24</v>
      </c>
      <c r="N178" s="25" t="s">
        <v>741</v>
      </c>
      <c r="O178" s="25"/>
      <c r="P178" s="102"/>
      <c r="Q178" s="245">
        <v>1</v>
      </c>
      <c r="R178" s="116"/>
      <c r="T178" s="124" t="s">
        <v>23</v>
      </c>
      <c r="U178" s="123"/>
      <c r="X178" s="244">
        <v>18.273832321166989</v>
      </c>
      <c r="Y178" s="244">
        <f t="shared" si="21"/>
        <v>18.273832321166989</v>
      </c>
      <c r="Z178" s="116" t="str">
        <f t="shared" si="22"/>
        <v/>
      </c>
    </row>
    <row r="179" spans="1:26" s="122" customFormat="1" ht="85" customHeight="1">
      <c r="A179" s="14" t="e">
        <f t="shared" si="23"/>
        <v>#REF!</v>
      </c>
      <c r="B179" s="210" t="s">
        <v>742</v>
      </c>
      <c r="C179" s="216" t="s">
        <v>742</v>
      </c>
      <c r="D179" s="528" t="s">
        <v>743</v>
      </c>
      <c r="E179" s="18">
        <f t="shared" si="18"/>
        <v>276</v>
      </c>
      <c r="F179" s="511" t="s">
        <v>744</v>
      </c>
      <c r="G179" s="18">
        <f t="shared" si="19"/>
        <v>256</v>
      </c>
      <c r="H179" s="26" t="s">
        <v>127</v>
      </c>
      <c r="I179" s="18" t="s">
        <v>24</v>
      </c>
      <c r="J179" s="18" t="s">
        <v>24</v>
      </c>
      <c r="K179" s="18" t="s">
        <v>27</v>
      </c>
      <c r="L179" s="25" t="s">
        <v>745</v>
      </c>
      <c r="M179" s="61" t="s">
        <v>24</v>
      </c>
      <c r="N179" s="25" t="s">
        <v>746</v>
      </c>
      <c r="O179" s="25"/>
      <c r="P179" s="102"/>
      <c r="Q179" s="245">
        <v>1</v>
      </c>
      <c r="R179" s="116"/>
      <c r="T179" s="124" t="s">
        <v>23</v>
      </c>
      <c r="U179" s="123"/>
      <c r="X179" s="244">
        <v>16.352115631103519</v>
      </c>
      <c r="Y179" s="244">
        <f t="shared" si="21"/>
        <v>16.352115631103519</v>
      </c>
      <c r="Z179" s="116" t="str">
        <f t="shared" si="22"/>
        <v/>
      </c>
    </row>
    <row r="180" spans="1:26" s="122" customFormat="1" ht="85" customHeight="1">
      <c r="A180" s="14" t="e">
        <f t="shared" si="23"/>
        <v>#REF!</v>
      </c>
      <c r="B180" s="210" t="s">
        <v>747</v>
      </c>
      <c r="C180" s="216" t="s">
        <v>747</v>
      </c>
      <c r="D180" s="528" t="s">
        <v>748</v>
      </c>
      <c r="E180" s="18">
        <f t="shared" si="18"/>
        <v>257</v>
      </c>
      <c r="F180" s="511" t="s">
        <v>749</v>
      </c>
      <c r="G180" s="18">
        <f t="shared" si="19"/>
        <v>235</v>
      </c>
      <c r="H180" s="26" t="s">
        <v>127</v>
      </c>
      <c r="I180" s="18" t="s">
        <v>24</v>
      </c>
      <c r="J180" s="18" t="s">
        <v>24</v>
      </c>
      <c r="K180" s="18" t="s">
        <v>27</v>
      </c>
      <c r="L180" s="25" t="s">
        <v>750</v>
      </c>
      <c r="M180" s="61" t="s">
        <v>24</v>
      </c>
      <c r="N180" s="25" t="s">
        <v>751</v>
      </c>
      <c r="O180" s="25"/>
      <c r="P180" s="102"/>
      <c r="Q180" s="245">
        <v>1</v>
      </c>
      <c r="R180" s="116"/>
      <c r="T180" s="124" t="s">
        <v>23</v>
      </c>
      <c r="U180" s="123"/>
      <c r="X180" s="244">
        <v>14.01507568359375</v>
      </c>
      <c r="Y180" s="244">
        <f t="shared" si="21"/>
        <v>14.01507568359375</v>
      </c>
      <c r="Z180" s="116" t="str">
        <f t="shared" si="22"/>
        <v/>
      </c>
    </row>
    <row r="181" spans="1:26" s="122" customFormat="1" ht="102" customHeight="1">
      <c r="A181" s="14" t="e">
        <f t="shared" si="23"/>
        <v>#REF!</v>
      </c>
      <c r="B181" s="210" t="s">
        <v>752</v>
      </c>
      <c r="C181" s="216" t="s">
        <v>752</v>
      </c>
      <c r="D181" s="510" t="s">
        <v>753</v>
      </c>
      <c r="E181" s="18">
        <f t="shared" si="18"/>
        <v>273</v>
      </c>
      <c r="F181" s="528" t="s">
        <v>754</v>
      </c>
      <c r="G181" s="18">
        <f t="shared" si="19"/>
        <v>315</v>
      </c>
      <c r="H181" s="26" t="s">
        <v>127</v>
      </c>
      <c r="I181" s="18" t="s">
        <v>24</v>
      </c>
      <c r="J181" s="18" t="s">
        <v>24</v>
      </c>
      <c r="K181" s="18" t="s">
        <v>27</v>
      </c>
      <c r="L181" s="25" t="s">
        <v>755</v>
      </c>
      <c r="M181" s="61" t="s">
        <v>24</v>
      </c>
      <c r="N181" s="25" t="s">
        <v>756</v>
      </c>
      <c r="O181" s="25"/>
      <c r="P181" s="102"/>
      <c r="Q181" s="245">
        <v>1</v>
      </c>
      <c r="R181" s="116"/>
      <c r="T181" s="124" t="s">
        <v>23</v>
      </c>
      <c r="U181" s="123"/>
      <c r="X181" s="244">
        <v>17.22746658325195</v>
      </c>
      <c r="Y181" s="244">
        <f t="shared" si="21"/>
        <v>17.22746658325195</v>
      </c>
      <c r="Z181" s="116" t="str">
        <f t="shared" si="22"/>
        <v/>
      </c>
    </row>
    <row r="182" spans="1:26" s="122" customFormat="1" ht="102" customHeight="1">
      <c r="A182" s="14" t="e">
        <f t="shared" si="23"/>
        <v>#REF!</v>
      </c>
      <c r="B182" s="210" t="s">
        <v>757</v>
      </c>
      <c r="C182" s="216" t="s">
        <v>757</v>
      </c>
      <c r="D182" s="528" t="s">
        <v>758</v>
      </c>
      <c r="E182" s="18">
        <f t="shared" si="18"/>
        <v>307</v>
      </c>
      <c r="F182" s="528" t="s">
        <v>759</v>
      </c>
      <c r="G182" s="18">
        <f t="shared" si="19"/>
        <v>312</v>
      </c>
      <c r="H182" s="26" t="s">
        <v>127</v>
      </c>
      <c r="I182" s="18" t="s">
        <v>24</v>
      </c>
      <c r="J182" s="18" t="s">
        <v>24</v>
      </c>
      <c r="K182" s="18" t="s">
        <v>27</v>
      </c>
      <c r="L182" s="25" t="s">
        <v>760</v>
      </c>
      <c r="M182" s="61" t="s">
        <v>24</v>
      </c>
      <c r="N182" s="25" t="s">
        <v>761</v>
      </c>
      <c r="O182" s="25"/>
      <c r="P182" s="102"/>
      <c r="Q182" s="245">
        <v>1</v>
      </c>
      <c r="R182" s="116"/>
      <c r="T182" s="124" t="s">
        <v>23</v>
      </c>
      <c r="U182" s="123"/>
      <c r="X182" s="244">
        <v>19.492774716706521</v>
      </c>
      <c r="Y182" s="244">
        <f t="shared" si="21"/>
        <v>19.492774716706521</v>
      </c>
      <c r="Z182" s="116" t="str">
        <f t="shared" si="22"/>
        <v/>
      </c>
    </row>
    <row r="183" spans="1:26" s="122" customFormat="1" ht="102" customHeight="1">
      <c r="A183" s="14" t="e">
        <f t="shared" si="23"/>
        <v>#REF!</v>
      </c>
      <c r="B183" s="210" t="s">
        <v>762</v>
      </c>
      <c r="C183" s="216" t="s">
        <v>762</v>
      </c>
      <c r="D183" s="528" t="s">
        <v>763</v>
      </c>
      <c r="E183" s="18">
        <f t="shared" si="18"/>
        <v>292</v>
      </c>
      <c r="F183" s="528" t="s">
        <v>764</v>
      </c>
      <c r="G183" s="18">
        <f t="shared" si="19"/>
        <v>268</v>
      </c>
      <c r="H183" s="26" t="s">
        <v>127</v>
      </c>
      <c r="I183" s="18" t="s">
        <v>24</v>
      </c>
      <c r="J183" s="18" t="s">
        <v>24</v>
      </c>
      <c r="K183" s="18" t="s">
        <v>27</v>
      </c>
      <c r="L183" s="25" t="s">
        <v>765</v>
      </c>
      <c r="M183" s="61" t="s">
        <v>24</v>
      </c>
      <c r="N183" s="25" t="s">
        <v>766</v>
      </c>
      <c r="O183" s="25"/>
      <c r="P183" s="102"/>
      <c r="Q183" s="245">
        <v>1</v>
      </c>
      <c r="R183" s="116"/>
      <c r="T183" s="124" t="s">
        <v>23</v>
      </c>
      <c r="U183" s="123"/>
      <c r="X183" s="244">
        <v>14.17413425445557</v>
      </c>
      <c r="Y183" s="244">
        <f t="shared" si="21"/>
        <v>14.17413425445557</v>
      </c>
      <c r="Z183" s="116" t="str">
        <f t="shared" si="22"/>
        <v/>
      </c>
    </row>
    <row r="184" spans="1:26" s="122" customFormat="1" ht="102" customHeight="1">
      <c r="A184" s="14" t="e">
        <f t="shared" si="23"/>
        <v>#REF!</v>
      </c>
      <c r="B184" s="210" t="s">
        <v>767</v>
      </c>
      <c r="C184" s="216" t="s">
        <v>767</v>
      </c>
      <c r="D184" s="528" t="s">
        <v>768</v>
      </c>
      <c r="E184" s="18">
        <f t="shared" si="18"/>
        <v>262</v>
      </c>
      <c r="F184" s="528" t="s">
        <v>769</v>
      </c>
      <c r="G184" s="18">
        <f t="shared" si="19"/>
        <v>279</v>
      </c>
      <c r="H184" s="26" t="s">
        <v>127</v>
      </c>
      <c r="I184" s="18" t="s">
        <v>24</v>
      </c>
      <c r="J184" s="18" t="s">
        <v>24</v>
      </c>
      <c r="K184" s="18" t="s">
        <v>27</v>
      </c>
      <c r="L184" s="25" t="s">
        <v>770</v>
      </c>
      <c r="M184" s="61" t="s">
        <v>24</v>
      </c>
      <c r="N184" s="25" t="s">
        <v>771</v>
      </c>
      <c r="O184" s="25"/>
      <c r="P184" s="102"/>
      <c r="Q184" s="245">
        <v>1</v>
      </c>
      <c r="R184" s="116"/>
      <c r="T184" s="124" t="s">
        <v>23</v>
      </c>
      <c r="U184" s="123"/>
      <c r="X184" s="244">
        <v>13.37862586975098</v>
      </c>
      <c r="Y184" s="244">
        <f t="shared" si="21"/>
        <v>13.37862586975098</v>
      </c>
      <c r="Z184" s="116" t="str">
        <f t="shared" si="22"/>
        <v/>
      </c>
    </row>
    <row r="185" spans="1:26" s="122" customFormat="1" ht="103" customHeight="1" thickBot="1">
      <c r="A185" s="14"/>
      <c r="B185" s="210" t="s">
        <v>772</v>
      </c>
      <c r="C185" s="216" t="s">
        <v>772</v>
      </c>
      <c r="D185" s="528" t="s">
        <v>773</v>
      </c>
      <c r="E185" s="18">
        <f t="shared" si="18"/>
        <v>257</v>
      </c>
      <c r="F185" s="528" t="s">
        <v>774</v>
      </c>
      <c r="G185" s="18">
        <f t="shared" si="19"/>
        <v>325</v>
      </c>
      <c r="H185" s="26" t="s">
        <v>127</v>
      </c>
      <c r="I185" s="18" t="s">
        <v>24</v>
      </c>
      <c r="J185" s="18" t="s">
        <v>24</v>
      </c>
      <c r="K185" s="18" t="s">
        <v>27</v>
      </c>
      <c r="L185" s="25" t="s">
        <v>775</v>
      </c>
      <c r="M185" s="61" t="s">
        <v>24</v>
      </c>
      <c r="N185" s="25" t="s">
        <v>776</v>
      </c>
      <c r="O185" s="25"/>
      <c r="P185" s="102"/>
      <c r="Q185" s="245">
        <v>1</v>
      </c>
      <c r="R185" s="116"/>
      <c r="T185" s="124" t="s">
        <v>23</v>
      </c>
      <c r="U185" s="123"/>
      <c r="X185" s="244">
        <v>12.756523132324221</v>
      </c>
      <c r="Y185" s="244">
        <f t="shared" si="21"/>
        <v>12.756523132324221</v>
      </c>
      <c r="Z185" s="116" t="str">
        <f t="shared" si="22"/>
        <v/>
      </c>
    </row>
    <row r="186" spans="1:26" s="376" customFormat="1" ht="17" customHeight="1" thickBot="1">
      <c r="A186" s="648" t="s">
        <v>777</v>
      </c>
      <c r="B186" s="649"/>
      <c r="C186" s="649"/>
      <c r="D186" s="649"/>
      <c r="E186" s="649"/>
      <c r="F186" s="649"/>
      <c r="G186" s="649"/>
      <c r="H186" s="649"/>
      <c r="I186" s="649"/>
      <c r="J186" s="649"/>
      <c r="K186" s="649"/>
      <c r="L186" s="649"/>
      <c r="M186" s="649"/>
      <c r="N186" s="649"/>
      <c r="O186" s="649"/>
      <c r="P186" s="650"/>
      <c r="Q186" s="240"/>
      <c r="R186" s="387"/>
      <c r="T186" s="385"/>
      <c r="U186" s="388"/>
      <c r="X186" s="243"/>
      <c r="Y186" s="243" t="str">
        <f t="shared" si="21"/>
        <v/>
      </c>
      <c r="Z186" s="387" t="str">
        <f t="shared" si="22"/>
        <v/>
      </c>
    </row>
    <row r="187" spans="1:26" s="207" customFormat="1" ht="255" customHeight="1">
      <c r="A187" s="312" t="e">
        <f>#REF!+1</f>
        <v>#REF!</v>
      </c>
      <c r="B187" s="209" t="s">
        <v>778</v>
      </c>
      <c r="C187" s="121" t="s">
        <v>778</v>
      </c>
      <c r="D187" s="120" t="s">
        <v>779</v>
      </c>
      <c r="E187" s="119">
        <f>LEN(D187)</f>
        <v>222</v>
      </c>
      <c r="F187" s="485" t="s">
        <v>780</v>
      </c>
      <c r="G187" s="119">
        <f>LEN(F187)</f>
        <v>241</v>
      </c>
      <c r="H187" s="129" t="s">
        <v>37</v>
      </c>
      <c r="I187" s="119" t="s">
        <v>24</v>
      </c>
      <c r="J187" s="127" t="s">
        <v>781</v>
      </c>
      <c r="K187" s="127" t="s">
        <v>38</v>
      </c>
      <c r="L187" s="118" t="s">
        <v>782</v>
      </c>
      <c r="M187" s="194" t="s">
        <v>24</v>
      </c>
      <c r="N187" s="118" t="s">
        <v>783</v>
      </c>
      <c r="O187" s="67"/>
      <c r="P187" s="9"/>
      <c r="Q187" s="240">
        <v>1</v>
      </c>
      <c r="R187" s="117"/>
      <c r="T187" s="389" t="s">
        <v>33</v>
      </c>
      <c r="U187" s="201"/>
      <c r="X187" s="247">
        <v>14.47277355194092</v>
      </c>
      <c r="Y187" s="243">
        <f t="shared" ref="Y187:Y218" si="24">IF(X187="","",X187*Q187)</f>
        <v>14.47277355194092</v>
      </c>
      <c r="Z187" s="116">
        <f t="shared" ref="Z187:Z218" si="25">IF(T187="yes",Y187,"")</f>
        <v>14.47277355194092</v>
      </c>
    </row>
    <row r="188" spans="1:26" s="122" customFormat="1" ht="409.5" customHeight="1">
      <c r="A188" s="34" t="e">
        <f>A187+1</f>
        <v>#REF!</v>
      </c>
      <c r="B188" s="209" t="s">
        <v>784</v>
      </c>
      <c r="C188" s="371" t="s">
        <v>785</v>
      </c>
      <c r="D188" s="358" t="s">
        <v>786</v>
      </c>
      <c r="E188" s="127">
        <f>LEN(D188)</f>
        <v>1207</v>
      </c>
      <c r="F188" s="485" t="s">
        <v>787</v>
      </c>
      <c r="G188" s="127">
        <f>LEN(F188)</f>
        <v>1246</v>
      </c>
      <c r="H188" s="128" t="s">
        <v>579</v>
      </c>
      <c r="I188" s="127" t="s">
        <v>24</v>
      </c>
      <c r="J188" s="127" t="s">
        <v>24</v>
      </c>
      <c r="K188" s="127" t="s">
        <v>788</v>
      </c>
      <c r="L188" s="126" t="s">
        <v>789</v>
      </c>
      <c r="M188" s="194" t="s">
        <v>790</v>
      </c>
      <c r="N188" s="125" t="s">
        <v>791</v>
      </c>
      <c r="O188" s="150"/>
      <c r="P188" s="10"/>
      <c r="Q188" s="240">
        <v>1</v>
      </c>
      <c r="R188" s="116"/>
      <c r="T188" s="385" t="s">
        <v>33</v>
      </c>
      <c r="U188" s="123"/>
      <c r="X188" s="243">
        <v>33.740764617919922</v>
      </c>
      <c r="Y188" s="243">
        <f t="shared" si="24"/>
        <v>33.740764617919922</v>
      </c>
      <c r="Z188" s="116">
        <f t="shared" si="25"/>
        <v>33.740764617919922</v>
      </c>
    </row>
    <row r="189" spans="1:26" s="122" customFormat="1">
      <c r="A189" s="91"/>
      <c r="B189" s="234"/>
      <c r="C189" s="80"/>
      <c r="D189" s="97"/>
      <c r="E189" s="83"/>
      <c r="F189" s="36"/>
      <c r="G189" s="83"/>
      <c r="H189" s="92"/>
      <c r="I189" s="83"/>
      <c r="J189" s="83"/>
      <c r="K189" s="83"/>
      <c r="L189" s="75"/>
      <c r="M189" s="60"/>
      <c r="N189" s="233"/>
      <c r="O189" s="233"/>
      <c r="P189" s="10"/>
      <c r="Q189" s="245">
        <v>1</v>
      </c>
      <c r="R189" s="116"/>
      <c r="T189" s="124"/>
      <c r="U189" s="123"/>
      <c r="X189" s="244"/>
      <c r="Y189" s="244" t="str">
        <f t="shared" si="24"/>
        <v/>
      </c>
      <c r="Z189" s="116" t="str">
        <f t="shared" si="25"/>
        <v/>
      </c>
    </row>
    <row r="190" spans="1:26" s="122" customFormat="1" ht="289" customHeight="1">
      <c r="A190" s="323" t="e">
        <f>A188+1</f>
        <v>#REF!</v>
      </c>
      <c r="B190" s="161" t="s">
        <v>792</v>
      </c>
      <c r="C190" s="128" t="s">
        <v>793</v>
      </c>
      <c r="D190" s="358" t="s">
        <v>794</v>
      </c>
      <c r="E190" s="110">
        <f>LEN(D190)</f>
        <v>497</v>
      </c>
      <c r="F190" s="485" t="s">
        <v>795</v>
      </c>
      <c r="G190" s="110">
        <f>LEN(F190)</f>
        <v>482</v>
      </c>
      <c r="H190" s="372" t="s">
        <v>579</v>
      </c>
      <c r="I190" s="110" t="s">
        <v>24</v>
      </c>
      <c r="J190" s="110" t="s">
        <v>24</v>
      </c>
      <c r="K190" s="110" t="s">
        <v>796</v>
      </c>
      <c r="L190" s="357" t="s">
        <v>797</v>
      </c>
      <c r="M190" s="194" t="s">
        <v>798</v>
      </c>
      <c r="N190" s="357" t="s">
        <v>799</v>
      </c>
      <c r="O190" s="75"/>
      <c r="P190" s="10"/>
      <c r="Q190" s="245">
        <v>1</v>
      </c>
      <c r="R190" s="116"/>
      <c r="T190" s="385" t="s">
        <v>33</v>
      </c>
      <c r="U190" s="123"/>
      <c r="X190" s="243">
        <v>14.55059909820557</v>
      </c>
      <c r="Y190" s="243">
        <f t="shared" si="24"/>
        <v>14.55059909820557</v>
      </c>
      <c r="Z190" s="116">
        <f t="shared" si="25"/>
        <v>14.55059909820557</v>
      </c>
    </row>
    <row r="191" spans="1:26" s="122" customFormat="1" ht="255" customHeight="1">
      <c r="A191" s="323" t="e">
        <f>A190+1</f>
        <v>#REF!</v>
      </c>
      <c r="B191" s="373" t="s">
        <v>800</v>
      </c>
      <c r="C191" s="374" t="s">
        <v>800</v>
      </c>
      <c r="D191" s="358" t="s">
        <v>801</v>
      </c>
      <c r="E191" s="110">
        <f>LEN(D191)</f>
        <v>460</v>
      </c>
      <c r="F191" s="498" t="s">
        <v>802</v>
      </c>
      <c r="G191" s="110">
        <f>LEN(F191)</f>
        <v>383</v>
      </c>
      <c r="H191" s="372" t="s">
        <v>37</v>
      </c>
      <c r="I191" s="110" t="s">
        <v>24</v>
      </c>
      <c r="J191" s="375" t="s">
        <v>24</v>
      </c>
      <c r="K191" s="110" t="s">
        <v>38</v>
      </c>
      <c r="L191" s="357" t="s">
        <v>803</v>
      </c>
      <c r="M191" s="194" t="s">
        <v>24</v>
      </c>
      <c r="N191" s="126" t="s">
        <v>804</v>
      </c>
      <c r="O191" s="60"/>
      <c r="P191" s="10"/>
      <c r="Q191" s="245">
        <v>1</v>
      </c>
      <c r="R191" s="116"/>
      <c r="T191" s="385" t="s">
        <v>33</v>
      </c>
      <c r="U191" s="123"/>
      <c r="X191" s="243">
        <v>10.812456130981451</v>
      </c>
      <c r="Y191" s="243">
        <f t="shared" si="24"/>
        <v>10.812456130981451</v>
      </c>
      <c r="Z191" s="116">
        <f t="shared" si="25"/>
        <v>10.812456130981451</v>
      </c>
    </row>
    <row r="192" spans="1:26" s="122" customFormat="1">
      <c r="A192" s="91"/>
      <c r="B192" s="234"/>
      <c r="C192" s="80"/>
      <c r="D192" s="97"/>
      <c r="E192" s="83"/>
      <c r="F192" s="83"/>
      <c r="G192" s="83"/>
      <c r="H192" s="92"/>
      <c r="I192" s="83"/>
      <c r="J192" s="83"/>
      <c r="K192" s="83"/>
      <c r="L192" s="75"/>
      <c r="M192" s="60"/>
      <c r="N192" s="233"/>
      <c r="O192" s="325"/>
      <c r="P192" s="39"/>
      <c r="Q192" s="245">
        <v>1</v>
      </c>
      <c r="R192" s="116"/>
      <c r="T192" s="124"/>
      <c r="U192" s="123"/>
      <c r="X192" s="244"/>
      <c r="Y192" s="244" t="str">
        <f t="shared" si="24"/>
        <v/>
      </c>
      <c r="Z192" s="116" t="str">
        <f t="shared" si="25"/>
        <v/>
      </c>
    </row>
    <row r="193" spans="1:26" s="122" customFormat="1" ht="187" customHeight="1">
      <c r="A193" s="29"/>
      <c r="B193" s="41" t="s">
        <v>805</v>
      </c>
      <c r="C193" s="377" t="s">
        <v>806</v>
      </c>
      <c r="D193" s="338" t="s">
        <v>807</v>
      </c>
      <c r="E193" s="21">
        <f>LEN(D193)</f>
        <v>188</v>
      </c>
      <c r="F193" s="497" t="s">
        <v>808</v>
      </c>
      <c r="G193" s="21">
        <f>LEN(F193)</f>
        <v>247</v>
      </c>
      <c r="H193" s="341" t="s">
        <v>296</v>
      </c>
      <c r="I193" s="21" t="s">
        <v>24</v>
      </c>
      <c r="J193" s="378" t="s">
        <v>24</v>
      </c>
      <c r="K193" s="21" t="s">
        <v>809</v>
      </c>
      <c r="L193" s="30" t="s">
        <v>810</v>
      </c>
      <c r="M193" s="61" t="s">
        <v>811</v>
      </c>
      <c r="N193" s="25" t="s">
        <v>812</v>
      </c>
      <c r="O193" s="326"/>
      <c r="P193" s="52"/>
      <c r="Q193" s="245">
        <v>1</v>
      </c>
      <c r="R193" s="116"/>
      <c r="T193" s="124" t="s">
        <v>23</v>
      </c>
      <c r="U193" s="123"/>
      <c r="X193" s="244">
        <v>10.812456130981451</v>
      </c>
      <c r="Y193" s="244">
        <f t="shared" si="24"/>
        <v>10.812456130981451</v>
      </c>
      <c r="Z193" s="116" t="str">
        <f t="shared" si="25"/>
        <v/>
      </c>
    </row>
    <row r="194" spans="1:26" s="122" customFormat="1" ht="17" customHeight="1" thickBot="1">
      <c r="A194" s="91"/>
      <c r="B194" s="234"/>
      <c r="C194" s="80"/>
      <c r="D194" s="97"/>
      <c r="E194" s="83"/>
      <c r="F194" s="83"/>
      <c r="G194" s="83"/>
      <c r="H194" s="92"/>
      <c r="I194" s="83"/>
      <c r="J194" s="83"/>
      <c r="K194" s="83"/>
      <c r="L194" s="75"/>
      <c r="M194" s="60"/>
      <c r="N194" s="233"/>
      <c r="O194" s="233"/>
      <c r="P194" s="10"/>
      <c r="Q194" s="245">
        <v>1</v>
      </c>
      <c r="R194" s="116"/>
      <c r="T194" s="124"/>
      <c r="U194" s="123"/>
      <c r="X194" s="244"/>
      <c r="Y194" s="244" t="str">
        <f t="shared" si="24"/>
        <v/>
      </c>
      <c r="Z194" s="116" t="str">
        <f t="shared" si="25"/>
        <v/>
      </c>
    </row>
    <row r="195" spans="1:26" s="376" customFormat="1" ht="17" customHeight="1" thickBot="1">
      <c r="A195" s="648" t="s">
        <v>813</v>
      </c>
      <c r="B195" s="649"/>
      <c r="C195" s="649"/>
      <c r="D195" s="649"/>
      <c r="E195" s="649"/>
      <c r="F195" s="649"/>
      <c r="G195" s="649"/>
      <c r="H195" s="649"/>
      <c r="I195" s="649"/>
      <c r="J195" s="649"/>
      <c r="K195" s="649"/>
      <c r="L195" s="649"/>
      <c r="M195" s="649"/>
      <c r="N195" s="649"/>
      <c r="O195" s="649"/>
      <c r="P195" s="650"/>
      <c r="Q195" s="240"/>
      <c r="R195" s="387"/>
      <c r="T195" s="385"/>
      <c r="U195" s="388"/>
      <c r="X195" s="243"/>
      <c r="Y195" s="243" t="str">
        <f t="shared" si="24"/>
        <v/>
      </c>
      <c r="Z195" s="387" t="str">
        <f t="shared" si="25"/>
        <v/>
      </c>
    </row>
    <row r="196" spans="1:26" s="122" customFormat="1" ht="119" customHeight="1">
      <c r="A196" s="79" t="s">
        <v>24</v>
      </c>
      <c r="B196" s="209" t="s">
        <v>814</v>
      </c>
      <c r="C196" s="121" t="s">
        <v>814</v>
      </c>
      <c r="D196" s="120" t="s">
        <v>815</v>
      </c>
      <c r="E196" s="119">
        <f t="shared" ref="E196:E202" si="26">LEN(D196)</f>
        <v>162</v>
      </c>
      <c r="F196" s="494" t="s">
        <v>816</v>
      </c>
      <c r="G196" s="119">
        <f t="shared" ref="G196:G202" si="27">LEN(F196)</f>
        <v>145</v>
      </c>
      <c r="H196" s="119" t="s">
        <v>37</v>
      </c>
      <c r="I196" s="119" t="s">
        <v>24</v>
      </c>
      <c r="J196" s="119" t="s">
        <v>24</v>
      </c>
      <c r="K196" s="119" t="s">
        <v>38</v>
      </c>
      <c r="L196" s="118" t="s">
        <v>817</v>
      </c>
      <c r="M196" s="194" t="s">
        <v>24</v>
      </c>
      <c r="N196" s="118" t="s">
        <v>818</v>
      </c>
      <c r="O196" s="67"/>
      <c r="P196" s="9"/>
      <c r="Q196" s="240">
        <v>1</v>
      </c>
      <c r="R196" s="116"/>
      <c r="T196" s="385" t="s">
        <v>33</v>
      </c>
      <c r="U196" s="123"/>
      <c r="X196" s="243">
        <v>14.946464538574221</v>
      </c>
      <c r="Y196" s="243">
        <f t="shared" si="24"/>
        <v>14.946464538574221</v>
      </c>
      <c r="Z196" s="116">
        <f t="shared" si="25"/>
        <v>14.946464538574221</v>
      </c>
    </row>
    <row r="197" spans="1:26" s="258" customFormat="1" ht="137.25" customHeight="1">
      <c r="A197" s="251"/>
      <c r="B197" s="379" t="s">
        <v>819</v>
      </c>
      <c r="C197" s="380" t="s">
        <v>819</v>
      </c>
      <c r="D197" s="381" t="s">
        <v>820</v>
      </c>
      <c r="E197" s="382">
        <f t="shared" si="26"/>
        <v>144</v>
      </c>
      <c r="F197" s="495" t="s">
        <v>821</v>
      </c>
      <c r="G197" s="382">
        <f t="shared" si="27"/>
        <v>132</v>
      </c>
      <c r="H197" s="382" t="s">
        <v>37</v>
      </c>
      <c r="I197" s="382" t="s">
        <v>24</v>
      </c>
      <c r="J197" s="382" t="s">
        <v>24</v>
      </c>
      <c r="K197" s="382" t="s">
        <v>38</v>
      </c>
      <c r="L197" s="252" t="s">
        <v>822</v>
      </c>
      <c r="M197" s="61" t="s">
        <v>24</v>
      </c>
      <c r="N197" s="252" t="s">
        <v>823</v>
      </c>
      <c r="O197" s="252"/>
      <c r="P197" s="253"/>
      <c r="Q197" s="311">
        <v>1</v>
      </c>
      <c r="R197" s="257"/>
      <c r="T197" s="259" t="s">
        <v>824</v>
      </c>
      <c r="U197" s="260"/>
      <c r="X197" s="254">
        <v>16.684934616088871</v>
      </c>
      <c r="Y197" s="244">
        <f t="shared" si="24"/>
        <v>16.684934616088871</v>
      </c>
      <c r="Z197" s="116" t="str">
        <f t="shared" si="25"/>
        <v/>
      </c>
    </row>
    <row r="198" spans="1:26" s="263" customFormat="1" ht="187" customHeight="1">
      <c r="A198" s="261"/>
      <c r="B198" s="379" t="s">
        <v>825</v>
      </c>
      <c r="C198" s="380" t="s">
        <v>825</v>
      </c>
      <c r="D198" s="381" t="s">
        <v>826</v>
      </c>
      <c r="E198" s="382">
        <f t="shared" si="26"/>
        <v>235</v>
      </c>
      <c r="F198" s="495" t="s">
        <v>827</v>
      </c>
      <c r="G198" s="382">
        <f t="shared" si="27"/>
        <v>189</v>
      </c>
      <c r="H198" s="382" t="s">
        <v>88</v>
      </c>
      <c r="I198" s="382" t="s">
        <v>24</v>
      </c>
      <c r="J198" s="382" t="s">
        <v>24</v>
      </c>
      <c r="K198" s="382" t="s">
        <v>89</v>
      </c>
      <c r="L198" s="252" t="s">
        <v>828</v>
      </c>
      <c r="M198" s="61" t="s">
        <v>24</v>
      </c>
      <c r="N198" s="252" t="s">
        <v>829</v>
      </c>
      <c r="O198" s="252"/>
      <c r="P198" s="253"/>
      <c r="Q198" s="311">
        <v>1</v>
      </c>
      <c r="R198" s="262"/>
      <c r="T198" s="259" t="s">
        <v>824</v>
      </c>
      <c r="U198" s="264"/>
      <c r="X198" s="254">
        <v>15.116804122924799</v>
      </c>
      <c r="Y198" s="244">
        <f t="shared" si="24"/>
        <v>15.116804122924799</v>
      </c>
      <c r="Z198" s="116" t="str">
        <f t="shared" si="25"/>
        <v/>
      </c>
    </row>
    <row r="199" spans="1:26" s="263" customFormat="1" ht="51" customHeight="1">
      <c r="A199" s="261"/>
      <c r="B199" s="379" t="s">
        <v>830</v>
      </c>
      <c r="C199" s="380" t="s">
        <v>830</v>
      </c>
      <c r="D199" s="383" t="s">
        <v>831</v>
      </c>
      <c r="E199" s="382">
        <f t="shared" si="26"/>
        <v>71</v>
      </c>
      <c r="F199" s="495" t="s">
        <v>832</v>
      </c>
      <c r="G199" s="382">
        <f t="shared" si="27"/>
        <v>72</v>
      </c>
      <c r="H199" s="382" t="s">
        <v>26</v>
      </c>
      <c r="I199" s="384" t="s">
        <v>24</v>
      </c>
      <c r="J199" s="384" t="s">
        <v>24</v>
      </c>
      <c r="K199" s="384" t="s">
        <v>89</v>
      </c>
      <c r="L199" s="252" t="s">
        <v>833</v>
      </c>
      <c r="M199" s="61" t="s">
        <v>24</v>
      </c>
      <c r="N199" s="252" t="s">
        <v>834</v>
      </c>
      <c r="O199" s="252"/>
      <c r="P199" s="253"/>
      <c r="Q199" s="311">
        <v>1</v>
      </c>
      <c r="R199" s="262"/>
      <c r="T199" s="259" t="s">
        <v>824</v>
      </c>
      <c r="U199" s="264"/>
      <c r="X199" s="254">
        <v>25.539003372192379</v>
      </c>
      <c r="Y199" s="244">
        <f t="shared" si="24"/>
        <v>25.539003372192379</v>
      </c>
      <c r="Z199" s="116" t="str">
        <f t="shared" si="25"/>
        <v/>
      </c>
    </row>
    <row r="200" spans="1:26" s="263" customFormat="1" ht="51" customHeight="1">
      <c r="A200" s="261"/>
      <c r="B200" s="379" t="s">
        <v>835</v>
      </c>
      <c r="C200" s="380" t="s">
        <v>835</v>
      </c>
      <c r="D200" s="383" t="s">
        <v>836</v>
      </c>
      <c r="E200" s="382">
        <f t="shared" si="26"/>
        <v>92</v>
      </c>
      <c r="F200" s="495" t="s">
        <v>837</v>
      </c>
      <c r="G200" s="382">
        <f t="shared" si="27"/>
        <v>74</v>
      </c>
      <c r="H200" s="382" t="s">
        <v>26</v>
      </c>
      <c r="I200" s="382" t="s">
        <v>24</v>
      </c>
      <c r="J200" s="382" t="s">
        <v>24</v>
      </c>
      <c r="K200" s="384" t="s">
        <v>27</v>
      </c>
      <c r="L200" s="252" t="s">
        <v>838</v>
      </c>
      <c r="M200" s="61" t="s">
        <v>24</v>
      </c>
      <c r="N200" s="252" t="s">
        <v>839</v>
      </c>
      <c r="O200" s="252"/>
      <c r="P200" s="253"/>
      <c r="Q200" s="311">
        <v>1</v>
      </c>
      <c r="R200" s="262"/>
      <c r="T200" s="259" t="s">
        <v>824</v>
      </c>
      <c r="U200" s="264"/>
      <c r="X200" s="254">
        <v>13.714834213256839</v>
      </c>
      <c r="Y200" s="244">
        <f t="shared" si="24"/>
        <v>13.714834213256839</v>
      </c>
      <c r="Z200" s="116" t="str">
        <f t="shared" si="25"/>
        <v/>
      </c>
    </row>
    <row r="201" spans="1:26" s="264" customFormat="1" ht="187" customHeight="1">
      <c r="A201" s="310"/>
      <c r="B201" s="265" t="s">
        <v>840</v>
      </c>
      <c r="C201" s="266" t="s">
        <v>841</v>
      </c>
      <c r="D201" s="340" t="s">
        <v>842</v>
      </c>
      <c r="E201" s="268">
        <f t="shared" si="26"/>
        <v>166</v>
      </c>
      <c r="F201" s="495" t="s">
        <v>843</v>
      </c>
      <c r="G201" s="268">
        <f t="shared" si="27"/>
        <v>178</v>
      </c>
      <c r="H201" s="268" t="s">
        <v>296</v>
      </c>
      <c r="I201" s="268" t="s">
        <v>24</v>
      </c>
      <c r="J201" s="268" t="s">
        <v>24</v>
      </c>
      <c r="K201" s="268" t="s">
        <v>718</v>
      </c>
      <c r="L201" s="269" t="s">
        <v>844</v>
      </c>
      <c r="M201" s="194" t="s">
        <v>24</v>
      </c>
      <c r="N201" s="270" t="s">
        <v>845</v>
      </c>
      <c r="O201" s="252"/>
      <c r="P201" s="271"/>
      <c r="Q201" s="255">
        <v>1</v>
      </c>
      <c r="R201" s="262"/>
      <c r="T201" s="386" t="s">
        <v>140</v>
      </c>
      <c r="X201" s="396">
        <v>19.354913711547852</v>
      </c>
      <c r="Y201" s="243">
        <f t="shared" si="24"/>
        <v>19.354913711547852</v>
      </c>
      <c r="Z201" s="116" t="str">
        <f t="shared" si="25"/>
        <v/>
      </c>
    </row>
    <row r="202" spans="1:26" s="264" customFormat="1" ht="120" customHeight="1">
      <c r="A202" s="310"/>
      <c r="B202" s="265" t="s">
        <v>846</v>
      </c>
      <c r="C202" s="266" t="s">
        <v>847</v>
      </c>
      <c r="D202" s="267" t="s">
        <v>848</v>
      </c>
      <c r="E202" s="268">
        <f t="shared" si="26"/>
        <v>130</v>
      </c>
      <c r="F202" s="495" t="s">
        <v>849</v>
      </c>
      <c r="G202" s="268">
        <f t="shared" si="27"/>
        <v>139</v>
      </c>
      <c r="H202" s="268" t="s">
        <v>296</v>
      </c>
      <c r="I202" s="268" t="s">
        <v>24</v>
      </c>
      <c r="J202" s="268" t="s">
        <v>24</v>
      </c>
      <c r="K202" s="268" t="s">
        <v>718</v>
      </c>
      <c r="L202" s="269" t="s">
        <v>850</v>
      </c>
      <c r="M202" s="194" t="s">
        <v>24</v>
      </c>
      <c r="N202" s="270" t="s">
        <v>851</v>
      </c>
      <c r="O202" s="252"/>
      <c r="P202" s="271"/>
      <c r="Q202" s="255">
        <v>1</v>
      </c>
      <c r="R202" s="262"/>
      <c r="T202" s="386" t="s">
        <v>140</v>
      </c>
      <c r="X202" s="396">
        <v>15.88939952850342</v>
      </c>
      <c r="Y202" s="243">
        <f t="shared" si="24"/>
        <v>15.88939952850342</v>
      </c>
      <c r="Z202" s="116" t="str">
        <f t="shared" si="25"/>
        <v/>
      </c>
    </row>
    <row r="203" spans="1:26" s="114" customFormat="1">
      <c r="A203" s="232"/>
      <c r="B203" s="231"/>
      <c r="C203" s="230"/>
      <c r="D203" s="229"/>
      <c r="E203" s="228"/>
      <c r="G203" s="228"/>
      <c r="H203" s="228"/>
      <c r="I203" s="227"/>
      <c r="J203" s="227"/>
      <c r="K203" s="227"/>
      <c r="L203" s="226"/>
      <c r="M203" s="65"/>
      <c r="N203" s="226"/>
      <c r="O203" s="225"/>
      <c r="P203" s="224"/>
      <c r="Q203" s="245">
        <v>1</v>
      </c>
      <c r="R203" s="116"/>
      <c r="T203" s="115"/>
      <c r="X203" s="248"/>
      <c r="Y203" s="244" t="str">
        <f t="shared" si="24"/>
        <v/>
      </c>
      <c r="Z203" s="116" t="str">
        <f t="shared" si="25"/>
        <v/>
      </c>
    </row>
    <row r="204" spans="1:26" s="207" customFormat="1" ht="103" customHeight="1" thickBot="1">
      <c r="A204" s="309" t="s">
        <v>24</v>
      </c>
      <c r="B204" s="208" t="s">
        <v>852</v>
      </c>
      <c r="C204" s="112" t="s">
        <v>852</v>
      </c>
      <c r="D204" s="529" t="s">
        <v>853</v>
      </c>
      <c r="E204" s="111">
        <f>LEN(D204)</f>
        <v>118</v>
      </c>
      <c r="F204" s="645" t="s">
        <v>854</v>
      </c>
      <c r="G204" s="111">
        <f>LEN(F204)</f>
        <v>103</v>
      </c>
      <c r="H204" s="111" t="s">
        <v>37</v>
      </c>
      <c r="I204" s="111" t="s">
        <v>24</v>
      </c>
      <c r="J204" s="111" t="s">
        <v>24</v>
      </c>
      <c r="K204" s="111" t="s">
        <v>38</v>
      </c>
      <c r="L204" s="132" t="s">
        <v>855</v>
      </c>
      <c r="M204" s="194" t="s">
        <v>24</v>
      </c>
      <c r="N204" s="223" t="s">
        <v>24</v>
      </c>
      <c r="O204" s="98"/>
      <c r="P204" s="222"/>
      <c r="Q204" s="240">
        <v>1</v>
      </c>
      <c r="R204" s="116"/>
      <c r="T204" s="385" t="s">
        <v>33</v>
      </c>
      <c r="U204" s="123"/>
      <c r="X204" s="243">
        <v>17.309154088391789</v>
      </c>
      <c r="Y204" s="243">
        <f t="shared" si="24"/>
        <v>17.309154088391789</v>
      </c>
      <c r="Z204" s="116">
        <f t="shared" si="25"/>
        <v>17.309154088391789</v>
      </c>
    </row>
    <row r="205" spans="1:26" s="122" customFormat="1" ht="35" customHeight="1" thickBot="1">
      <c r="A205" s="308" t="s">
        <v>24</v>
      </c>
      <c r="B205" s="206" t="s">
        <v>856</v>
      </c>
      <c r="C205" s="109" t="s">
        <v>856</v>
      </c>
      <c r="D205" s="108" t="s">
        <v>857</v>
      </c>
      <c r="E205" s="107">
        <f>LEN(D205)</f>
        <v>141</v>
      </c>
      <c r="F205" s="496" t="s">
        <v>858</v>
      </c>
      <c r="G205" s="107">
        <f>LEN(F205)</f>
        <v>95</v>
      </c>
      <c r="H205" s="107" t="s">
        <v>24</v>
      </c>
      <c r="I205" s="107" t="s">
        <v>24</v>
      </c>
      <c r="J205" s="107" t="s">
        <v>24</v>
      </c>
      <c r="K205" s="107" t="s">
        <v>24</v>
      </c>
      <c r="L205" s="106" t="s">
        <v>24</v>
      </c>
      <c r="M205" s="106"/>
      <c r="N205" s="105" t="s">
        <v>24</v>
      </c>
      <c r="O205" s="77"/>
      <c r="P205" s="78"/>
      <c r="Q205" s="240">
        <v>1</v>
      </c>
      <c r="R205" s="123"/>
      <c r="T205" s="124" t="s">
        <v>23</v>
      </c>
      <c r="U205" s="123"/>
      <c r="X205" s="249"/>
      <c r="Y205" s="243" t="str">
        <f t="shared" si="24"/>
        <v/>
      </c>
      <c r="Z205" s="116" t="str">
        <f t="shared" si="25"/>
        <v/>
      </c>
    </row>
    <row r="206" spans="1:26">
      <c r="X206" s="307"/>
    </row>
    <row r="207" spans="1:26" ht="17" customHeight="1" thickBot="1"/>
    <row r="208" spans="1:26" ht="18" customHeight="1" thickBot="1">
      <c r="D208" s="205" t="s">
        <v>859</v>
      </c>
      <c r="E208" s="204"/>
      <c r="F208" s="205"/>
      <c r="G208" s="204"/>
      <c r="H208" s="204"/>
      <c r="I208" s="204"/>
      <c r="J208" s="204"/>
      <c r="K208" s="204"/>
      <c r="L208" s="204"/>
      <c r="M208" s="204"/>
      <c r="N208" s="204"/>
      <c r="O208" s="204"/>
      <c r="P208" s="204"/>
      <c r="Q208" s="301"/>
      <c r="X208" s="302"/>
      <c r="Y208" s="393">
        <f>(SUM(Y5:Y206))/60</f>
        <v>24.623919372512486</v>
      </c>
      <c r="Z208" s="392">
        <f>SUM(Z2:Z205)/60</f>
        <v>15.395894755137029</v>
      </c>
    </row>
    <row r="209" spans="4:25" ht="18" hidden="1" customHeight="1" thickBot="1">
      <c r="D209" s="306" t="s">
        <v>860</v>
      </c>
      <c r="E209" s="305"/>
      <c r="F209" s="306"/>
      <c r="G209" s="305"/>
      <c r="H209" s="305"/>
      <c r="I209" s="305"/>
      <c r="J209" s="305"/>
      <c r="K209" s="305"/>
      <c r="L209" s="305"/>
      <c r="M209" s="305"/>
      <c r="N209" s="305"/>
      <c r="O209" s="305"/>
      <c r="P209" s="305"/>
      <c r="Q209" s="303"/>
      <c r="X209" s="304"/>
      <c r="Y209" s="394">
        <f>(SUM(Y6:Y130)+SUM(Y151:Y206))/60</f>
        <v>24.623919372512486</v>
      </c>
    </row>
    <row r="210" spans="4:25" ht="18" customHeight="1" thickBot="1">
      <c r="D210" s="205" t="s">
        <v>861</v>
      </c>
      <c r="E210" s="204"/>
      <c r="F210" s="205"/>
      <c r="G210" s="204"/>
      <c r="H210" s="204"/>
      <c r="I210" s="204"/>
      <c r="J210" s="204"/>
      <c r="K210" s="204"/>
      <c r="L210" s="204"/>
      <c r="M210" s="204"/>
      <c r="N210" s="204"/>
      <c r="O210" s="204"/>
      <c r="P210" s="204"/>
      <c r="Q210" s="301"/>
      <c r="X210" s="302"/>
      <c r="Y210" s="395">
        <f>(SUM(Y6:Y26)+SUM(Y35:Y130)+SUM(Y150:Y196)+SUM(Y203:Y206))/60</f>
        <v>21.119704732054064</v>
      </c>
    </row>
  </sheetData>
  <sheetProtection algorithmName="SHA-512" hashValue="l/T525tMSB21yJXmvw4NcAHI8PY14Pn+Z/TeP8uuSvFE9u32QG37rnLS6dlsRovlRYa8cpVInm9LgQMhVIisCw==" saltValue="tVyPUeD7vPupzW6sqJOH0w==" spinCount="100000" sheet="1" formatCells="0" formatRows="0" insertRows="0" deleteRows="0"/>
  <mergeCells count="17">
    <mergeCell ref="A52:P52"/>
    <mergeCell ref="A142:P142"/>
    <mergeCell ref="N36:N37"/>
    <mergeCell ref="A41:P41"/>
    <mergeCell ref="A1:P1"/>
    <mergeCell ref="A2:O2"/>
    <mergeCell ref="P2:P3"/>
    <mergeCell ref="A4:P4"/>
    <mergeCell ref="A21:P21"/>
    <mergeCell ref="A186:P186"/>
    <mergeCell ref="A195:P195"/>
    <mergeCell ref="A73:P73"/>
    <mergeCell ref="A97:P97"/>
    <mergeCell ref="A106:P106"/>
    <mergeCell ref="A123:P123"/>
    <mergeCell ref="A131:P131"/>
    <mergeCell ref="A150:P150"/>
  </mergeCells>
  <conditionalFormatting sqref="B14 B16:B19">
    <cfRule type="duplicateValues" dxfId="201" priority="757"/>
  </conditionalFormatting>
  <conditionalFormatting sqref="B15">
    <cfRule type="duplicateValues" dxfId="200" priority="99"/>
    <cfRule type="duplicateValues" dxfId="199" priority="100"/>
  </conditionalFormatting>
  <conditionalFormatting sqref="B20">
    <cfRule type="duplicateValues" dxfId="198" priority="756"/>
  </conditionalFormatting>
  <conditionalFormatting sqref="B28">
    <cfRule type="duplicateValues" dxfId="197" priority="614"/>
  </conditionalFormatting>
  <conditionalFormatting sqref="B34:B35">
    <cfRule type="duplicateValues" dxfId="196" priority="607"/>
  </conditionalFormatting>
  <conditionalFormatting sqref="B36:B37">
    <cfRule type="duplicateValues" dxfId="195" priority="377"/>
  </conditionalFormatting>
  <conditionalFormatting sqref="B38">
    <cfRule type="duplicateValues" dxfId="194" priority="366"/>
  </conditionalFormatting>
  <conditionalFormatting sqref="B48">
    <cfRule type="duplicateValues" dxfId="193" priority="770"/>
  </conditionalFormatting>
  <conditionalFormatting sqref="B55:B57">
    <cfRule type="duplicateValues" dxfId="192" priority="376"/>
  </conditionalFormatting>
  <conditionalFormatting sqref="B62:B64">
    <cfRule type="duplicateValues" dxfId="191" priority="372"/>
  </conditionalFormatting>
  <conditionalFormatting sqref="B68:B70">
    <cfRule type="duplicateValues" dxfId="190" priority="368"/>
  </conditionalFormatting>
  <conditionalFormatting sqref="B71">
    <cfRule type="duplicateValues" dxfId="189" priority="382"/>
  </conditionalFormatting>
  <conditionalFormatting sqref="B82">
    <cfRule type="duplicateValues" dxfId="188" priority="378"/>
  </conditionalFormatting>
  <conditionalFormatting sqref="B84">
    <cfRule type="duplicateValues" dxfId="187" priority="567"/>
  </conditionalFormatting>
  <conditionalFormatting sqref="B85 B87">
    <cfRule type="duplicateValues" dxfId="186" priority="747"/>
  </conditionalFormatting>
  <conditionalFormatting sqref="B88">
    <cfRule type="duplicateValues" dxfId="185" priority="573"/>
  </conditionalFormatting>
  <conditionalFormatting sqref="B90">
    <cfRule type="duplicateValues" dxfId="184" priority="760"/>
  </conditionalFormatting>
  <conditionalFormatting sqref="B98:B99">
    <cfRule type="duplicateValues" dxfId="183" priority="807"/>
  </conditionalFormatting>
  <conditionalFormatting sqref="B108">
    <cfRule type="duplicateValues" dxfId="182" priority="610"/>
  </conditionalFormatting>
  <conditionalFormatting sqref="B114">
    <cfRule type="duplicateValues" dxfId="181" priority="761"/>
  </conditionalFormatting>
  <conditionalFormatting sqref="B115">
    <cfRule type="duplicateValues" dxfId="180" priority="571"/>
  </conditionalFormatting>
  <conditionalFormatting sqref="B127">
    <cfRule type="duplicateValues" dxfId="179" priority="745"/>
  </conditionalFormatting>
  <conditionalFormatting sqref="B132">
    <cfRule type="duplicateValues" dxfId="178" priority="716"/>
  </conditionalFormatting>
  <conditionalFormatting sqref="B133">
    <cfRule type="duplicateValues" dxfId="177" priority="609"/>
  </conditionalFormatting>
  <conditionalFormatting sqref="B134:B135">
    <cfRule type="duplicateValues" dxfId="176" priority="744"/>
  </conditionalFormatting>
  <conditionalFormatting sqref="B141">
    <cfRule type="duplicateValues" dxfId="175" priority="569"/>
  </conditionalFormatting>
  <conditionalFormatting sqref="B145:B148">
    <cfRule type="duplicateValues" dxfId="174" priority="743"/>
  </conditionalFormatting>
  <conditionalFormatting sqref="B149">
    <cfRule type="duplicateValues" dxfId="173" priority="608"/>
  </conditionalFormatting>
  <conditionalFormatting sqref="B157">
    <cfRule type="duplicateValues" dxfId="172" priority="741"/>
  </conditionalFormatting>
  <conditionalFormatting sqref="B158">
    <cfRule type="duplicateValues" dxfId="171" priority="739"/>
  </conditionalFormatting>
  <conditionalFormatting sqref="B160">
    <cfRule type="duplicateValues" dxfId="170" priority="737"/>
  </conditionalFormatting>
  <conditionalFormatting sqref="B162">
    <cfRule type="duplicateValues" dxfId="169" priority="735"/>
  </conditionalFormatting>
  <conditionalFormatting sqref="B175">
    <cfRule type="duplicateValues" dxfId="168" priority="733"/>
  </conditionalFormatting>
  <conditionalFormatting sqref="B185">
    <cfRule type="duplicateValues" dxfId="167" priority="621"/>
  </conditionalFormatting>
  <conditionalFormatting sqref="B192">
    <cfRule type="duplicateValues" dxfId="166" priority="530"/>
  </conditionalFormatting>
  <conditionalFormatting sqref="B194">
    <cfRule type="duplicateValues" dxfId="165" priority="568"/>
  </conditionalFormatting>
  <conditionalFormatting sqref="B204:B209 B196 B187:B190 B159 B143:B144 B100:B102 B104 B2:B3 B124:B126 B58:B59 B65:B67 B89 B109:B113 B116:B117 B129 B136:B140 B151:B156 B161 B163 B44 B5 B24:B27 B174 B50:B51 B72 B78:B80 B7:B14 B29:B33 B46:B47 B39:B40 B211:B1048576 B54 B16:B20 B61">
    <cfRule type="duplicateValues" dxfId="164" priority="763"/>
  </conditionalFormatting>
  <conditionalFormatting sqref="B210">
    <cfRule type="duplicateValues" dxfId="163" priority="531"/>
  </conditionalFormatting>
  <conditionalFormatting sqref="C27">
    <cfRule type="duplicateValues" dxfId="162" priority="1061"/>
  </conditionalFormatting>
  <conditionalFormatting sqref="C28">
    <cfRule type="duplicateValues" dxfId="161" priority="1062"/>
  </conditionalFormatting>
  <conditionalFormatting sqref="C29:C30 C32:C33">
    <cfRule type="duplicateValues" dxfId="160" priority="1063"/>
  </conditionalFormatting>
  <conditionalFormatting sqref="C31">
    <cfRule type="duplicateValues" dxfId="159" priority="1068"/>
  </conditionalFormatting>
  <conditionalFormatting sqref="C34:C35">
    <cfRule type="duplicateValues" dxfId="158" priority="1067"/>
  </conditionalFormatting>
  <conditionalFormatting sqref="C39:C40">
    <cfRule type="duplicateValues" dxfId="157" priority="1033"/>
  </conditionalFormatting>
  <conditionalFormatting sqref="C48">
    <cfRule type="duplicateValues" dxfId="156" priority="1066"/>
  </conditionalFormatting>
  <conditionalFormatting sqref="C51">
    <cfRule type="duplicateValues" dxfId="155" priority="1048"/>
  </conditionalFormatting>
  <conditionalFormatting sqref="C55">
    <cfRule type="duplicateValues" dxfId="154" priority="374"/>
  </conditionalFormatting>
  <conditionalFormatting sqref="C56">
    <cfRule type="duplicateValues" dxfId="153" priority="373"/>
  </conditionalFormatting>
  <conditionalFormatting sqref="C57">
    <cfRule type="duplicateValues" dxfId="152" priority="375"/>
  </conditionalFormatting>
  <conditionalFormatting sqref="C62">
    <cfRule type="duplicateValues" dxfId="151" priority="370"/>
  </conditionalFormatting>
  <conditionalFormatting sqref="C63">
    <cfRule type="duplicateValues" dxfId="150" priority="369"/>
  </conditionalFormatting>
  <conditionalFormatting sqref="C64">
    <cfRule type="duplicateValues" dxfId="149" priority="371"/>
  </conditionalFormatting>
  <conditionalFormatting sqref="C68:C70">
    <cfRule type="duplicateValues" dxfId="148" priority="367"/>
  </conditionalFormatting>
  <conditionalFormatting sqref="C82">
    <cfRule type="duplicateValues" dxfId="147" priority="1070"/>
  </conditionalFormatting>
  <conditionalFormatting sqref="C84">
    <cfRule type="duplicateValues" dxfId="146" priority="1069"/>
  </conditionalFormatting>
  <conditionalFormatting sqref="C85 C87">
    <cfRule type="duplicateValues" dxfId="145" priority="1040"/>
  </conditionalFormatting>
  <conditionalFormatting sqref="C98">
    <cfRule type="duplicateValues" dxfId="144" priority="1071"/>
  </conditionalFormatting>
  <conditionalFormatting sqref="C145">
    <cfRule type="duplicateValues" dxfId="143" priority="1041"/>
  </conditionalFormatting>
  <conditionalFormatting sqref="C151">
    <cfRule type="duplicateValues" dxfId="142" priority="159"/>
  </conditionalFormatting>
  <conditionalFormatting sqref="C157">
    <cfRule type="duplicateValues" dxfId="141" priority="1042"/>
  </conditionalFormatting>
  <conditionalFormatting sqref="C158">
    <cfRule type="duplicateValues" dxfId="140" priority="1043"/>
  </conditionalFormatting>
  <conditionalFormatting sqref="C160">
    <cfRule type="duplicateValues" dxfId="139" priority="1044"/>
  </conditionalFormatting>
  <conditionalFormatting sqref="C162">
    <cfRule type="duplicateValues" dxfId="138" priority="1045"/>
  </conditionalFormatting>
  <conditionalFormatting sqref="C175">
    <cfRule type="duplicateValues" dxfId="137" priority="1046"/>
  </conditionalFormatting>
  <conditionalFormatting sqref="C185">
    <cfRule type="duplicateValues" dxfId="136" priority="1057"/>
  </conditionalFormatting>
  <conditionalFormatting sqref="D27:D35">
    <cfRule type="expression" dxfId="135" priority="70" stopIfTrue="1">
      <formula>OR($A27="audio", $A27="video")</formula>
    </cfRule>
    <cfRule type="expression" dxfId="134" priority="71" stopIfTrue="1">
      <formula>OR($A27="audio", $A27="video")</formula>
    </cfRule>
    <cfRule type="expression" dxfId="133" priority="72" stopIfTrue="1">
      <formula>$A27="image"</formula>
    </cfRule>
    <cfRule type="expression" dxfId="132" priority="73" stopIfTrue="1">
      <formula>$A27="image"</formula>
    </cfRule>
    <cfRule type="expression" dxfId="131" priority="74" stopIfTrue="1">
      <formula>OR($A27="date", $A27="datetime")</formula>
    </cfRule>
    <cfRule type="expression" dxfId="130" priority="75" stopIfTrue="1">
      <formula>OR($A27="date", $A27="datetime")</formula>
    </cfRule>
    <cfRule type="expression" dxfId="129" priority="76" stopIfTrue="1">
      <formula>OR($A27="calculate", $A27="calculate_here")</formula>
    </cfRule>
    <cfRule type="expression" dxfId="128" priority="77" stopIfTrue="1">
      <formula>$A27="note"</formula>
    </cfRule>
    <cfRule type="expression" dxfId="127" priority="78" stopIfTrue="1">
      <formula>$A27="note"</formula>
    </cfRule>
    <cfRule type="expression" dxfId="126" priority="79" stopIfTrue="1">
      <formula>$A27="barcode"</formula>
    </cfRule>
    <cfRule type="expression" dxfId="125" priority="80" stopIfTrue="1">
      <formula>$A27="barcode"</formula>
    </cfRule>
    <cfRule type="expression" dxfId="124" priority="81" stopIfTrue="1">
      <formula>$A27="geopoint"</formula>
    </cfRule>
    <cfRule type="expression" dxfId="123" priority="82" stopIfTrue="1">
      <formula>$A27="geopoint"</formula>
    </cfRule>
    <cfRule type="expression" dxfId="122" priority="83" stopIfTrue="1">
      <formula>OR($A27="audio audit", $A27="text audit")</formula>
    </cfRule>
    <cfRule type="expression" dxfId="121" priority="84" stopIfTrue="1">
      <formula>OR($A27="username", $A27="phonenumber", $A27="start", $A27="end", $A27="deviceid", $A27="subscriberid", $A27="simserial")</formula>
    </cfRule>
    <cfRule type="expression" dxfId="120" priority="85" stopIfTrue="1">
      <formula>OR(AND(LEFT($A27, 16)="select_multiple ", LEN($A27)&gt;16, NOT(ISNUMBER(SEARCH(" ", $A27, 17)))), AND(LEFT($A27, 11)="select_one ", LEN($A27)&gt;11, NOT(ISNUMBER(SEARCH(" ", $A27, 12)))))</formula>
    </cfRule>
    <cfRule type="expression" dxfId="119" priority="86" stopIfTrue="1">
      <formula>OR(AND(LEFT($A27, 16)="select_multiple ", LEN($A27)&gt;16, NOT(ISNUMBER(SEARCH(" ", $A27, 17)))), AND(LEFT($A27, 11)="select_one ", LEN($A27)&gt;11, NOT(ISNUMBER(SEARCH(" ", $A27, 12)))))</formula>
    </cfRule>
    <cfRule type="expression" dxfId="118" priority="87" stopIfTrue="1">
      <formula>$A27="decimal"</formula>
    </cfRule>
    <cfRule type="expression" dxfId="117" priority="88" stopIfTrue="1">
      <formula>$A27="decimal"</formula>
    </cfRule>
    <cfRule type="expression" dxfId="116" priority="89" stopIfTrue="1">
      <formula>$A27="integer"</formula>
    </cfRule>
    <cfRule type="expression" dxfId="115" priority="90" stopIfTrue="1">
      <formula>$A27="integer"</formula>
    </cfRule>
    <cfRule type="expression" dxfId="114" priority="91" stopIfTrue="1">
      <formula>$A27="text"</formula>
    </cfRule>
    <cfRule type="expression" dxfId="113" priority="92" stopIfTrue="1">
      <formula>$A27="text"</formula>
    </cfRule>
    <cfRule type="expression" dxfId="112" priority="93" stopIfTrue="1">
      <formula>$A27="end repeat"</formula>
    </cfRule>
    <cfRule type="expression" dxfId="111" priority="94" stopIfTrue="1">
      <formula>$A27="begin repeat"</formula>
    </cfRule>
    <cfRule type="expression" dxfId="110" priority="95" stopIfTrue="1">
      <formula>$A27="begin repeat"</formula>
    </cfRule>
    <cfRule type="expression" dxfId="109" priority="96" stopIfTrue="1">
      <formula>$A27="end group"</formula>
    </cfRule>
    <cfRule type="expression" dxfId="108" priority="97" stopIfTrue="1">
      <formula>$A27="begin group"</formula>
    </cfRule>
    <cfRule type="expression" dxfId="107" priority="98" stopIfTrue="1">
      <formula>$A27="begin group"</formula>
    </cfRule>
  </conditionalFormatting>
  <conditionalFormatting sqref="D44">
    <cfRule type="cellIs" dxfId="106" priority="727" operator="notEqual">
      <formula>$D$44</formula>
    </cfRule>
  </conditionalFormatting>
  <conditionalFormatting sqref="D197:D203">
    <cfRule type="expression" dxfId="105" priority="683" stopIfTrue="1">
      <formula>OR($A197="audio", $A197="video")</formula>
    </cfRule>
    <cfRule type="expression" dxfId="104" priority="684" stopIfTrue="1">
      <formula>OR($A197="audio", $A197="video")</formula>
    </cfRule>
    <cfRule type="expression" dxfId="103" priority="685" stopIfTrue="1">
      <formula>$A197="image"</formula>
    </cfRule>
    <cfRule type="expression" dxfId="102" priority="686" stopIfTrue="1">
      <formula>$A197="image"</formula>
    </cfRule>
    <cfRule type="expression" dxfId="101" priority="687" stopIfTrue="1">
      <formula>OR($A197="date", $A197="datetime")</formula>
    </cfRule>
    <cfRule type="expression" dxfId="100" priority="688" stopIfTrue="1">
      <formula>OR($A197="date", $A197="datetime")</formula>
    </cfRule>
    <cfRule type="expression" dxfId="99" priority="689" stopIfTrue="1">
      <formula>OR($A197="calculate", $A197="calculate_here")</formula>
    </cfRule>
    <cfRule type="expression" dxfId="98" priority="690" stopIfTrue="1">
      <formula>$A197="note"</formula>
    </cfRule>
    <cfRule type="expression" dxfId="97" priority="691" stopIfTrue="1">
      <formula>$A197="note"</formula>
    </cfRule>
    <cfRule type="expression" dxfId="96" priority="692" stopIfTrue="1">
      <formula>$A197="barcode"</formula>
    </cfRule>
    <cfRule type="expression" dxfId="95" priority="693" stopIfTrue="1">
      <formula>$A197="barcode"</formula>
    </cfRule>
    <cfRule type="expression" dxfId="94" priority="694" stopIfTrue="1">
      <formula>$A197="geopoint"</formula>
    </cfRule>
    <cfRule type="expression" dxfId="93" priority="695" stopIfTrue="1">
      <formula>$A197="geopoint"</formula>
    </cfRule>
    <cfRule type="expression" dxfId="92" priority="696" stopIfTrue="1">
      <formula>OR($A197="audio audit", $A197="text audit")</formula>
    </cfRule>
    <cfRule type="expression" dxfId="91" priority="697" stopIfTrue="1">
      <formula>OR($A197="username", $A197="phonenumber", $A197="start", $A197="end", $A197="deviceid", $A197="subscriberid", $A197="simserial")</formula>
    </cfRule>
    <cfRule type="expression" dxfId="90" priority="698" stopIfTrue="1">
      <formula>OR(AND(LEFT($A197, 16)="select_multiple ", LEN($A197)&gt;16, NOT(ISNUMBER(SEARCH(" ", $A197, 17)))), AND(LEFT($A197, 11)="select_one ", LEN($A197)&gt;11, NOT(ISNUMBER(SEARCH(" ", $A197, 12)))))</formula>
    </cfRule>
    <cfRule type="expression" dxfId="89" priority="699" stopIfTrue="1">
      <formula>OR(AND(LEFT($A197, 16)="select_multiple ", LEN($A197)&gt;16, NOT(ISNUMBER(SEARCH(" ", $A197, 17)))), AND(LEFT($A197, 11)="select_one ", LEN($A197)&gt;11, NOT(ISNUMBER(SEARCH(" ", $A197, 12)))))</formula>
    </cfRule>
    <cfRule type="expression" dxfId="88" priority="700" stopIfTrue="1">
      <formula>$A197="decimal"</formula>
    </cfRule>
    <cfRule type="expression" dxfId="87" priority="701" stopIfTrue="1">
      <formula>$A197="decimal"</formula>
    </cfRule>
    <cfRule type="expression" dxfId="86" priority="702" stopIfTrue="1">
      <formula>$A197="integer"</formula>
    </cfRule>
    <cfRule type="expression" dxfId="85" priority="703" stopIfTrue="1">
      <formula>$A197="integer"</formula>
    </cfRule>
    <cfRule type="expression" dxfId="84" priority="704" stopIfTrue="1">
      <formula>$A197="text"</formula>
    </cfRule>
    <cfRule type="expression" dxfId="83" priority="705" stopIfTrue="1">
      <formula>$A197="text"</formula>
    </cfRule>
    <cfRule type="expression" dxfId="82" priority="706" stopIfTrue="1">
      <formula>$A197="end repeat"</formula>
    </cfRule>
    <cfRule type="expression" dxfId="81" priority="707" stopIfTrue="1">
      <formula>$A197="begin repeat"</formula>
    </cfRule>
    <cfRule type="expression" dxfId="80" priority="708" stopIfTrue="1">
      <formula>$A197="begin repeat"</formula>
    </cfRule>
    <cfRule type="expression" dxfId="79" priority="709" stopIfTrue="1">
      <formula>$A197="end group"</formula>
    </cfRule>
    <cfRule type="expression" dxfId="78" priority="710" stopIfTrue="1">
      <formula>$A197="begin group"</formula>
    </cfRule>
    <cfRule type="expression" dxfId="77" priority="711" stopIfTrue="1">
      <formula>$A197="begin group"</formula>
    </cfRule>
  </conditionalFormatting>
  <conditionalFormatting sqref="F29">
    <cfRule type="expression" dxfId="76" priority="12" stopIfTrue="1">
      <formula>OR($A29="audio", $A29="video")</formula>
    </cfRule>
    <cfRule type="expression" dxfId="75" priority="13" stopIfTrue="1">
      <formula>OR($A29="audio", $A29="video")</formula>
    </cfRule>
    <cfRule type="expression" dxfId="74" priority="14" stopIfTrue="1">
      <formula>$A29="image"</formula>
    </cfRule>
    <cfRule type="expression" dxfId="73" priority="15" stopIfTrue="1">
      <formula>$A29="image"</formula>
    </cfRule>
    <cfRule type="expression" dxfId="72" priority="16" stopIfTrue="1">
      <formula>OR($A29="date", $A29="datetime")</formula>
    </cfRule>
    <cfRule type="expression" dxfId="71" priority="17" stopIfTrue="1">
      <formula>OR($A29="date", $A29="datetime")</formula>
    </cfRule>
    <cfRule type="expression" dxfId="70" priority="18" stopIfTrue="1">
      <formula>OR($A29="calculate", $A29="calculate_here")</formula>
    </cfRule>
    <cfRule type="expression" dxfId="69" priority="19" stopIfTrue="1">
      <formula>$A29="note"</formula>
    </cfRule>
    <cfRule type="expression" dxfId="68" priority="20" stopIfTrue="1">
      <formula>$A29="note"</formula>
    </cfRule>
    <cfRule type="expression" dxfId="67" priority="21" stopIfTrue="1">
      <formula>$A29="barcode"</formula>
    </cfRule>
    <cfRule type="expression" dxfId="66" priority="22" stopIfTrue="1">
      <formula>$A29="barcode"</formula>
    </cfRule>
    <cfRule type="expression" dxfId="65" priority="23" stopIfTrue="1">
      <formula>$A29="geopoint"</formula>
    </cfRule>
    <cfRule type="expression" dxfId="64" priority="24" stopIfTrue="1">
      <formula>$A29="geopoint"</formula>
    </cfRule>
    <cfRule type="expression" dxfId="63" priority="25" stopIfTrue="1">
      <formula>OR($A29="audio audit", $A29="text audit")</formula>
    </cfRule>
    <cfRule type="expression" dxfId="62" priority="26" stopIfTrue="1">
      <formula>OR($A29="username", $A29="phonenumber", $A29="start", $A29="end", $A29="deviceid", $A29="subscriberid", $A29="simserial")</formula>
    </cfRule>
    <cfRule type="expression" dxfId="61" priority="27" stopIfTrue="1">
      <formula>OR(AND(LEFT($A29, 16)="select_multiple ", LEN($A29)&gt;16, NOT(ISNUMBER(SEARCH(" ", $A29, 17)))), AND(LEFT($A29, 11)="select_one ", LEN($A29)&gt;11, NOT(ISNUMBER(SEARCH(" ", $A29, 12)))))</formula>
    </cfRule>
    <cfRule type="expression" dxfId="60" priority="28" stopIfTrue="1">
      <formula>OR(AND(LEFT($A29, 16)="select_multiple ", LEN($A29)&gt;16, NOT(ISNUMBER(SEARCH(" ", $A29, 17)))), AND(LEFT($A29, 11)="select_one ", LEN($A29)&gt;11, NOT(ISNUMBER(SEARCH(" ", $A29, 12)))))</formula>
    </cfRule>
    <cfRule type="expression" dxfId="59" priority="29" stopIfTrue="1">
      <formula>$A29="decimal"</formula>
    </cfRule>
    <cfRule type="expression" dxfId="58" priority="30" stopIfTrue="1">
      <formula>$A29="decimal"</formula>
    </cfRule>
    <cfRule type="expression" dxfId="57" priority="31" stopIfTrue="1">
      <formula>$A29="integer"</formula>
    </cfRule>
    <cfRule type="expression" dxfId="56" priority="32" stopIfTrue="1">
      <formula>$A29="integer"</formula>
    </cfRule>
    <cfRule type="expression" dxfId="55" priority="33" stopIfTrue="1">
      <formula>$A29="text"</formula>
    </cfRule>
    <cfRule type="expression" dxfId="54" priority="34" stopIfTrue="1">
      <formula>$A29="text"</formula>
    </cfRule>
    <cfRule type="expression" dxfId="53" priority="35" stopIfTrue="1">
      <formula>$A29="end repeat"</formula>
    </cfRule>
    <cfRule type="expression" dxfId="52" priority="36" stopIfTrue="1">
      <formula>$A29="begin repeat"</formula>
    </cfRule>
    <cfRule type="expression" dxfId="51" priority="37" stopIfTrue="1">
      <formula>$A29="begin repeat"</formula>
    </cfRule>
    <cfRule type="expression" dxfId="50" priority="38" stopIfTrue="1">
      <formula>$A29="end group"</formula>
    </cfRule>
    <cfRule type="expression" dxfId="49" priority="39" stopIfTrue="1">
      <formula>$A29="begin group"</formula>
    </cfRule>
    <cfRule type="expression" dxfId="48" priority="40" stopIfTrue="1">
      <formula>$A29="begin group"</formula>
    </cfRule>
  </conditionalFormatting>
  <conditionalFormatting sqref="F32">
    <cfRule type="expression" dxfId="47" priority="41" stopIfTrue="1">
      <formula>OR($A32="audio", $A32="video")</formula>
    </cfRule>
    <cfRule type="expression" dxfId="46" priority="42" stopIfTrue="1">
      <formula>OR($A32="audio", $A32="video")</formula>
    </cfRule>
    <cfRule type="expression" dxfId="45" priority="43" stopIfTrue="1">
      <formula>$A32="image"</formula>
    </cfRule>
    <cfRule type="expression" dxfId="44" priority="44" stopIfTrue="1">
      <formula>$A32="image"</formula>
    </cfRule>
    <cfRule type="expression" dxfId="43" priority="45" stopIfTrue="1">
      <formula>OR($A32="date", $A32="datetime")</formula>
    </cfRule>
    <cfRule type="expression" dxfId="42" priority="46" stopIfTrue="1">
      <formula>OR($A32="date", $A32="datetime")</formula>
    </cfRule>
    <cfRule type="expression" dxfId="41" priority="47" stopIfTrue="1">
      <formula>OR($A32="calculate", $A32="calculate_here")</formula>
    </cfRule>
    <cfRule type="expression" dxfId="40" priority="48" stopIfTrue="1">
      <formula>$A32="note"</formula>
    </cfRule>
    <cfRule type="expression" dxfId="39" priority="49" stopIfTrue="1">
      <formula>$A32="note"</formula>
    </cfRule>
    <cfRule type="expression" dxfId="38" priority="50" stopIfTrue="1">
      <formula>$A32="barcode"</formula>
    </cfRule>
    <cfRule type="expression" dxfId="37" priority="51" stopIfTrue="1">
      <formula>$A32="barcode"</formula>
    </cfRule>
    <cfRule type="expression" dxfId="36" priority="52" stopIfTrue="1">
      <formula>$A32="geopoint"</formula>
    </cfRule>
    <cfRule type="expression" dxfId="35" priority="53" stopIfTrue="1">
      <formula>$A32="geopoint"</formula>
    </cfRule>
    <cfRule type="expression" dxfId="34" priority="54" stopIfTrue="1">
      <formula>OR($A32="audio audit", $A32="text audit")</formula>
    </cfRule>
    <cfRule type="expression" dxfId="33" priority="55" stopIfTrue="1">
      <formula>OR($A32="username", $A32="phonenumber", $A32="start", $A32="end", $A32="deviceid", $A32="subscriberid", $A32="simserial")</formula>
    </cfRule>
    <cfRule type="expression" dxfId="32" priority="56" stopIfTrue="1">
      <formula>OR(AND(LEFT($A32, 16)="select_multiple ", LEN($A32)&gt;16, NOT(ISNUMBER(SEARCH(" ", $A32, 17)))), AND(LEFT($A32, 11)="select_one ", LEN($A32)&gt;11, NOT(ISNUMBER(SEARCH(" ", $A32, 12)))))</formula>
    </cfRule>
    <cfRule type="expression" dxfId="31" priority="57" stopIfTrue="1">
      <formula>OR(AND(LEFT($A32, 16)="select_multiple ", LEN($A32)&gt;16, NOT(ISNUMBER(SEARCH(" ", $A32, 17)))), AND(LEFT($A32, 11)="select_one ", LEN($A32)&gt;11, NOT(ISNUMBER(SEARCH(" ", $A32, 12)))))</formula>
    </cfRule>
    <cfRule type="expression" dxfId="30" priority="58" stopIfTrue="1">
      <formula>$A32="decimal"</formula>
    </cfRule>
    <cfRule type="expression" dxfId="29" priority="59" stopIfTrue="1">
      <formula>$A32="decimal"</formula>
    </cfRule>
    <cfRule type="expression" dxfId="28" priority="60" stopIfTrue="1">
      <formula>$A32="integer"</formula>
    </cfRule>
    <cfRule type="expression" dxfId="27" priority="61" stopIfTrue="1">
      <formula>$A32="integer"</formula>
    </cfRule>
    <cfRule type="expression" dxfId="26" priority="62" stopIfTrue="1">
      <formula>$A32="text"</formula>
    </cfRule>
    <cfRule type="expression" dxfId="25" priority="63" stopIfTrue="1">
      <formula>$A32="text"</formula>
    </cfRule>
    <cfRule type="expression" dxfId="24" priority="64" stopIfTrue="1">
      <formula>$A32="end repeat"</formula>
    </cfRule>
    <cfRule type="expression" dxfId="23" priority="65" stopIfTrue="1">
      <formula>$A32="begin repeat"</formula>
    </cfRule>
    <cfRule type="expression" dxfId="22" priority="66" stopIfTrue="1">
      <formula>$A32="begin repeat"</formula>
    </cfRule>
    <cfRule type="expression" dxfId="21" priority="67" stopIfTrue="1">
      <formula>$A32="end group"</formula>
    </cfRule>
    <cfRule type="expression" dxfId="20" priority="68" stopIfTrue="1">
      <formula>$A32="begin group"</formula>
    </cfRule>
    <cfRule type="expression" dxfId="19" priority="69" stopIfTrue="1">
      <formula>$A32="begin group"</formula>
    </cfRule>
  </conditionalFormatting>
  <conditionalFormatting sqref="B49">
    <cfRule type="duplicateValues" dxfId="18" priority="1085"/>
  </conditionalFormatting>
  <conditionalFormatting sqref="C49">
    <cfRule type="duplicateValues" dxfId="17" priority="1126"/>
  </conditionalFormatting>
  <conditionalFormatting sqref="B60">
    <cfRule type="duplicateValues" dxfId="16" priority="11"/>
  </conditionalFormatting>
  <conditionalFormatting sqref="B86">
    <cfRule type="duplicateValues" dxfId="15" priority="10"/>
  </conditionalFormatting>
  <conditionalFormatting sqref="B93">
    <cfRule type="duplicateValues" dxfId="14" priority="8"/>
  </conditionalFormatting>
  <conditionalFormatting sqref="B91:B92">
    <cfRule type="duplicateValues" dxfId="13" priority="9"/>
  </conditionalFormatting>
  <conditionalFormatting sqref="B103">
    <cfRule type="duplicateValues" dxfId="12" priority="7"/>
  </conditionalFormatting>
  <conditionalFormatting sqref="B105">
    <cfRule type="duplicateValues" dxfId="11" priority="6"/>
  </conditionalFormatting>
  <conditionalFormatting sqref="B118:B120">
    <cfRule type="duplicateValues" dxfId="10" priority="5"/>
  </conditionalFormatting>
  <conditionalFormatting sqref="B128">
    <cfRule type="duplicateValues" dxfId="9" priority="4"/>
  </conditionalFormatting>
  <conditionalFormatting sqref="B130">
    <cfRule type="duplicateValues" dxfId="8" priority="3"/>
  </conditionalFormatting>
  <conditionalFormatting sqref="B176:B184">
    <cfRule type="duplicateValues" dxfId="7" priority="1127"/>
  </conditionalFormatting>
  <conditionalFormatting sqref="C176:C184">
    <cfRule type="duplicateValues" dxfId="6" priority="1128"/>
  </conditionalFormatting>
  <conditionalFormatting sqref="B94:B96">
    <cfRule type="duplicateValues" dxfId="5" priority="2"/>
  </conditionalFormatting>
  <conditionalFormatting sqref="B121:B122">
    <cfRule type="duplicateValues" dxfId="4" priority="1"/>
  </conditionalFormatting>
  <conditionalFormatting sqref="B117">
    <cfRule type="duplicateValues" dxfId="3" priority="1130"/>
    <cfRule type="duplicateValues" dxfId="2" priority="1131"/>
  </conditionalFormatting>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94"/>
  <sheetViews>
    <sheetView workbookViewId="0">
      <pane ySplit="3" topLeftCell="A4" activePane="bottomLeft" state="frozen"/>
      <selection activeCell="B3" sqref="B3"/>
      <selection pane="bottomLeft" activeCell="C83" sqref="C83"/>
    </sheetView>
  </sheetViews>
  <sheetFormatPr baseColWidth="10" defaultColWidth="10.6640625" defaultRowHeight="15"/>
  <cols>
    <col min="1" max="2" width="10.6640625" style="1" customWidth="1"/>
    <col min="3" max="3" width="15.1640625" style="2" customWidth="1"/>
    <col min="4" max="4" width="10.6640625" style="297" hidden="1" customWidth="1"/>
    <col min="5" max="5" width="10.6640625" style="297" customWidth="1"/>
    <col min="6" max="6" width="41.6640625" style="1" customWidth="1"/>
    <col min="7" max="7" width="46.6640625" style="458" customWidth="1"/>
    <col min="8" max="8" width="10.6640625" style="1" customWidth="1"/>
    <col min="9" max="16384" width="10.6640625" style="1"/>
  </cols>
  <sheetData>
    <row r="2" spans="2:7">
      <c r="C2" s="4"/>
      <c r="D2" s="294"/>
      <c r="E2" s="294"/>
      <c r="F2" s="5"/>
      <c r="G2" s="456"/>
    </row>
    <row r="3" spans="2:7" ht="32" customHeight="1">
      <c r="B3" s="3"/>
      <c r="C3" s="295" t="s">
        <v>862</v>
      </c>
      <c r="D3" s="292" t="s">
        <v>863</v>
      </c>
      <c r="E3" s="292" t="s">
        <v>864</v>
      </c>
      <c r="F3" s="292" t="s">
        <v>865</v>
      </c>
      <c r="G3" s="295" t="s">
        <v>866</v>
      </c>
    </row>
    <row r="4" spans="2:7" ht="16" customHeight="1">
      <c r="B4" s="3"/>
      <c r="C4" s="477" t="s">
        <v>867</v>
      </c>
      <c r="D4" s="8">
        <f t="array" ref="D4:D93">_xlfn.SEQUENCE(90,1,1,1)</f>
        <v>1</v>
      </c>
      <c r="E4" s="293" t="s">
        <v>868</v>
      </c>
      <c r="F4" s="8" t="s">
        <v>869</v>
      </c>
      <c r="G4" s="459" t="s">
        <v>870</v>
      </c>
    </row>
    <row r="5" spans="2:7" ht="16" customHeight="1">
      <c r="B5" s="3"/>
      <c r="C5" s="477" t="s">
        <v>867</v>
      </c>
      <c r="D5" s="8">
        <v>2</v>
      </c>
      <c r="E5" s="293" t="s">
        <v>871</v>
      </c>
      <c r="F5" s="8" t="s">
        <v>872</v>
      </c>
      <c r="G5" s="460" t="s">
        <v>873</v>
      </c>
    </row>
    <row r="6" spans="2:7" ht="16" customHeight="1">
      <c r="B6" s="3"/>
      <c r="C6" s="477"/>
      <c r="D6" s="8">
        <v>3</v>
      </c>
      <c r="E6" s="293" t="s">
        <v>874</v>
      </c>
      <c r="F6" s="8" t="s">
        <v>875</v>
      </c>
      <c r="G6" s="460" t="s">
        <v>876</v>
      </c>
    </row>
    <row r="7" spans="2:7" ht="16" customHeight="1">
      <c r="B7" s="3"/>
      <c r="C7" s="477"/>
      <c r="D7" s="8">
        <v>4</v>
      </c>
      <c r="E7" s="293" t="s">
        <v>877</v>
      </c>
      <c r="F7" s="8" t="s">
        <v>878</v>
      </c>
      <c r="G7" s="460" t="s">
        <v>879</v>
      </c>
    </row>
    <row r="8" spans="2:7" ht="16" customHeight="1">
      <c r="B8" s="3"/>
      <c r="C8" s="477" t="s">
        <v>867</v>
      </c>
      <c r="D8" s="8">
        <v>5</v>
      </c>
      <c r="E8" s="293" t="s">
        <v>880</v>
      </c>
      <c r="F8" s="8" t="s">
        <v>881</v>
      </c>
      <c r="G8" s="460" t="s">
        <v>882</v>
      </c>
    </row>
    <row r="9" spans="2:7" ht="16" customHeight="1">
      <c r="B9" s="3"/>
      <c r="C9" s="477" t="s">
        <v>867</v>
      </c>
      <c r="D9" s="8">
        <v>6</v>
      </c>
      <c r="E9" s="293" t="s">
        <v>883</v>
      </c>
      <c r="F9" s="8" t="s">
        <v>884</v>
      </c>
      <c r="G9" s="460" t="s">
        <v>885</v>
      </c>
    </row>
    <row r="10" spans="2:7" ht="16" customHeight="1">
      <c r="B10" s="3"/>
      <c r="C10" s="322"/>
      <c r="D10" s="8">
        <v>7</v>
      </c>
      <c r="E10" s="293" t="s">
        <v>886</v>
      </c>
      <c r="F10" s="38" t="s">
        <v>887</v>
      </c>
      <c r="G10" s="461" t="s">
        <v>888</v>
      </c>
    </row>
    <row r="11" spans="2:7" ht="16" customHeight="1">
      <c r="B11" s="3"/>
      <c r="C11" s="477"/>
      <c r="D11" s="8">
        <v>8</v>
      </c>
      <c r="E11" s="293" t="s">
        <v>889</v>
      </c>
      <c r="F11" s="8" t="s">
        <v>890</v>
      </c>
      <c r="G11" s="460" t="s">
        <v>891</v>
      </c>
    </row>
    <row r="12" spans="2:7" ht="16" customHeight="1">
      <c r="B12" s="3"/>
      <c r="C12" s="477" t="s">
        <v>867</v>
      </c>
      <c r="D12" s="8">
        <v>9</v>
      </c>
      <c r="E12" s="293" t="s">
        <v>892</v>
      </c>
      <c r="F12" s="8" t="s">
        <v>893</v>
      </c>
      <c r="G12" s="460" t="s">
        <v>894</v>
      </c>
    </row>
    <row r="13" spans="2:7" ht="16" customHeight="1">
      <c r="B13" s="3"/>
      <c r="C13" s="477"/>
      <c r="D13" s="8">
        <v>10</v>
      </c>
      <c r="E13" s="293" t="s">
        <v>895</v>
      </c>
      <c r="F13" s="8" t="s">
        <v>896</v>
      </c>
      <c r="G13" s="460" t="s">
        <v>897</v>
      </c>
    </row>
    <row r="14" spans="2:7" ht="16" customHeight="1">
      <c r="B14" s="3"/>
      <c r="C14" s="477"/>
      <c r="D14" s="8">
        <v>11</v>
      </c>
      <c r="E14" s="293" t="s">
        <v>898</v>
      </c>
      <c r="F14" s="8" t="s">
        <v>899</v>
      </c>
      <c r="G14" s="460" t="s">
        <v>900</v>
      </c>
    </row>
    <row r="15" spans="2:7" ht="16" customHeight="1">
      <c r="B15" s="3"/>
      <c r="C15" s="477"/>
      <c r="D15" s="8">
        <v>12</v>
      </c>
      <c r="E15" s="293" t="s">
        <v>901</v>
      </c>
      <c r="F15" s="8" t="s">
        <v>902</v>
      </c>
      <c r="G15" s="460" t="s">
        <v>903</v>
      </c>
    </row>
    <row r="16" spans="2:7" ht="16" customHeight="1">
      <c r="B16" s="3"/>
      <c r="C16" s="477"/>
      <c r="D16" s="8">
        <v>13</v>
      </c>
      <c r="E16" s="293" t="s">
        <v>904</v>
      </c>
      <c r="F16" s="8" t="s">
        <v>905</v>
      </c>
      <c r="G16" s="460" t="s">
        <v>906</v>
      </c>
    </row>
    <row r="17" spans="2:7" ht="16" customHeight="1">
      <c r="B17" s="3"/>
      <c r="C17" s="322"/>
      <c r="D17" s="8">
        <v>14</v>
      </c>
      <c r="E17" s="293" t="s">
        <v>907</v>
      </c>
      <c r="F17" s="38" t="s">
        <v>908</v>
      </c>
      <c r="G17" s="461" t="s">
        <v>909</v>
      </c>
    </row>
    <row r="18" spans="2:7" ht="16" customHeight="1">
      <c r="B18" s="3"/>
      <c r="C18" s="477"/>
      <c r="D18" s="8">
        <v>15</v>
      </c>
      <c r="E18" s="293" t="s">
        <v>910</v>
      </c>
      <c r="F18" s="8" t="s">
        <v>911</v>
      </c>
      <c r="G18" s="460" t="s">
        <v>912</v>
      </c>
    </row>
    <row r="19" spans="2:7" ht="16" customHeight="1">
      <c r="B19" s="3"/>
      <c r="C19" s="477"/>
      <c r="D19" s="8">
        <v>16</v>
      </c>
      <c r="E19" s="293" t="s">
        <v>913</v>
      </c>
      <c r="F19" s="8" t="s">
        <v>914</v>
      </c>
      <c r="G19" s="460" t="s">
        <v>915</v>
      </c>
    </row>
    <row r="20" spans="2:7" ht="16" customHeight="1">
      <c r="B20" s="3"/>
      <c r="C20" s="477"/>
      <c r="D20" s="8">
        <v>17</v>
      </c>
      <c r="E20" s="293" t="s">
        <v>916</v>
      </c>
      <c r="F20" s="8" t="s">
        <v>917</v>
      </c>
      <c r="G20" s="460" t="s">
        <v>918</v>
      </c>
    </row>
    <row r="21" spans="2:7" ht="16" customHeight="1">
      <c r="B21" s="3"/>
      <c r="C21" s="477"/>
      <c r="D21" s="8">
        <v>18</v>
      </c>
      <c r="E21" s="293" t="s">
        <v>919</v>
      </c>
      <c r="F21" s="8" t="s">
        <v>920</v>
      </c>
      <c r="G21" s="460" t="s">
        <v>921</v>
      </c>
    </row>
    <row r="22" spans="2:7" ht="16" customHeight="1">
      <c r="B22" s="3"/>
      <c r="C22" s="477" t="s">
        <v>867</v>
      </c>
      <c r="D22" s="8">
        <v>19</v>
      </c>
      <c r="E22" s="293" t="s">
        <v>922</v>
      </c>
      <c r="F22" s="8" t="s">
        <v>923</v>
      </c>
      <c r="G22" s="460" t="s">
        <v>924</v>
      </c>
    </row>
    <row r="23" spans="2:7" ht="16" customHeight="1">
      <c r="B23" s="3"/>
      <c r="C23" s="477"/>
      <c r="D23" s="8">
        <v>20</v>
      </c>
      <c r="E23" s="293" t="s">
        <v>925</v>
      </c>
      <c r="F23" s="8" t="s">
        <v>926</v>
      </c>
      <c r="G23" s="460" t="s">
        <v>927</v>
      </c>
    </row>
    <row r="24" spans="2:7" ht="16" customHeight="1">
      <c r="B24" s="3"/>
      <c r="C24" s="477"/>
      <c r="D24" s="8">
        <v>21</v>
      </c>
      <c r="E24" s="293" t="s">
        <v>928</v>
      </c>
      <c r="F24" s="8" t="s">
        <v>929</v>
      </c>
      <c r="G24" s="460" t="s">
        <v>930</v>
      </c>
    </row>
    <row r="25" spans="2:7" ht="16" customHeight="1">
      <c r="B25" s="3"/>
      <c r="C25" s="322"/>
      <c r="D25" s="8">
        <v>22</v>
      </c>
      <c r="E25" s="293" t="s">
        <v>931</v>
      </c>
      <c r="F25" s="38" t="s">
        <v>932</v>
      </c>
      <c r="G25" s="461" t="s">
        <v>933</v>
      </c>
    </row>
    <row r="26" spans="2:7" ht="16" customHeight="1">
      <c r="B26" s="3"/>
      <c r="C26" s="477"/>
      <c r="D26" s="8">
        <v>23</v>
      </c>
      <c r="E26" s="293" t="s">
        <v>934</v>
      </c>
      <c r="F26" s="8" t="s">
        <v>935</v>
      </c>
      <c r="G26" s="460" t="s">
        <v>936</v>
      </c>
    </row>
    <row r="27" spans="2:7" ht="16" customHeight="1">
      <c r="B27" s="3"/>
      <c r="C27" s="477"/>
      <c r="D27" s="8">
        <v>24</v>
      </c>
      <c r="E27" s="293" t="s">
        <v>937</v>
      </c>
      <c r="F27" s="8" t="s">
        <v>938</v>
      </c>
      <c r="G27" s="460" t="s">
        <v>939</v>
      </c>
    </row>
    <row r="28" spans="2:7" ht="16" customHeight="1">
      <c r="B28" s="3"/>
      <c r="C28" s="477"/>
      <c r="D28" s="8">
        <v>25</v>
      </c>
      <c r="E28" s="293" t="s">
        <v>940</v>
      </c>
      <c r="F28" s="8" t="s">
        <v>941</v>
      </c>
      <c r="G28" s="460" t="s">
        <v>942</v>
      </c>
    </row>
    <row r="29" spans="2:7" ht="16" customHeight="1">
      <c r="B29" s="3"/>
      <c r="C29" s="477"/>
      <c r="D29" s="8">
        <v>26</v>
      </c>
      <c r="E29" s="293" t="s">
        <v>943</v>
      </c>
      <c r="F29" s="8" t="s">
        <v>944</v>
      </c>
      <c r="G29" s="460" t="s">
        <v>945</v>
      </c>
    </row>
    <row r="30" spans="2:7" ht="16" customHeight="1">
      <c r="B30" s="3"/>
      <c r="C30" s="477"/>
      <c r="D30" s="8">
        <v>27</v>
      </c>
      <c r="E30" s="293" t="s">
        <v>946</v>
      </c>
      <c r="F30" s="8" t="s">
        <v>947</v>
      </c>
      <c r="G30" s="460" t="s">
        <v>948</v>
      </c>
    </row>
    <row r="31" spans="2:7" ht="16" customHeight="1">
      <c r="B31" s="3"/>
      <c r="C31" s="477"/>
      <c r="D31" s="8">
        <v>28</v>
      </c>
      <c r="E31" s="293" t="s">
        <v>949</v>
      </c>
      <c r="F31" s="8" t="s">
        <v>950</v>
      </c>
      <c r="G31" s="460" t="s">
        <v>951</v>
      </c>
    </row>
    <row r="32" spans="2:7" ht="16" customHeight="1">
      <c r="B32" s="3"/>
      <c r="C32" s="477"/>
      <c r="D32" s="8">
        <v>29</v>
      </c>
      <c r="E32" s="293" t="s">
        <v>952</v>
      </c>
      <c r="F32" s="8" t="s">
        <v>953</v>
      </c>
      <c r="G32" s="460" t="s">
        <v>954</v>
      </c>
    </row>
    <row r="33" spans="2:7" ht="16" customHeight="1">
      <c r="B33" s="3"/>
      <c r="C33" s="477"/>
      <c r="D33" s="8">
        <v>30</v>
      </c>
      <c r="E33" s="293" t="s">
        <v>955</v>
      </c>
      <c r="F33" s="8" t="s">
        <v>956</v>
      </c>
      <c r="G33" s="460" t="s">
        <v>957</v>
      </c>
    </row>
    <row r="34" spans="2:7" ht="16" customHeight="1">
      <c r="B34" s="3"/>
      <c r="C34" s="477"/>
      <c r="D34" s="8">
        <v>31</v>
      </c>
      <c r="E34" s="293" t="s">
        <v>958</v>
      </c>
      <c r="F34" s="8" t="s">
        <v>959</v>
      </c>
      <c r="G34" s="460" t="s">
        <v>960</v>
      </c>
    </row>
    <row r="35" spans="2:7" ht="16" customHeight="1">
      <c r="B35" s="3"/>
      <c r="C35" s="322"/>
      <c r="D35" s="8">
        <v>32</v>
      </c>
      <c r="E35" s="293" t="s">
        <v>961</v>
      </c>
      <c r="F35" s="38" t="s">
        <v>962</v>
      </c>
      <c r="G35" s="461" t="s">
        <v>963</v>
      </c>
    </row>
    <row r="36" spans="2:7" ht="16" customHeight="1">
      <c r="B36" s="3"/>
      <c r="C36" s="477" t="s">
        <v>867</v>
      </c>
      <c r="D36" s="8">
        <v>33</v>
      </c>
      <c r="E36" s="293" t="s">
        <v>964</v>
      </c>
      <c r="F36" s="8" t="s">
        <v>965</v>
      </c>
      <c r="G36" s="460" t="s">
        <v>966</v>
      </c>
    </row>
    <row r="37" spans="2:7" ht="16" customHeight="1">
      <c r="B37" s="3"/>
      <c r="C37" s="477" t="s">
        <v>867</v>
      </c>
      <c r="D37" s="8">
        <v>34</v>
      </c>
      <c r="E37" s="293" t="s">
        <v>967</v>
      </c>
      <c r="F37" s="8" t="s">
        <v>968</v>
      </c>
      <c r="G37" s="460" t="s">
        <v>969</v>
      </c>
    </row>
    <row r="38" spans="2:7" ht="16" customHeight="1">
      <c r="B38" s="3"/>
      <c r="C38" s="477"/>
      <c r="D38" s="8">
        <v>35</v>
      </c>
      <c r="E38" s="293" t="s">
        <v>970</v>
      </c>
      <c r="F38" s="8" t="s">
        <v>971</v>
      </c>
      <c r="G38" s="460" t="s">
        <v>972</v>
      </c>
    </row>
    <row r="39" spans="2:7" ht="16" customHeight="1">
      <c r="B39" s="3"/>
      <c r="C39" s="477" t="s">
        <v>867</v>
      </c>
      <c r="D39" s="8">
        <v>36</v>
      </c>
      <c r="E39" s="293" t="s">
        <v>973</v>
      </c>
      <c r="F39" s="8" t="s">
        <v>974</v>
      </c>
      <c r="G39" s="460" t="s">
        <v>975</v>
      </c>
    </row>
    <row r="40" spans="2:7" ht="16" customHeight="1">
      <c r="B40" s="3"/>
      <c r="C40" s="477"/>
      <c r="D40" s="8">
        <v>37</v>
      </c>
      <c r="E40" s="293" t="s">
        <v>976</v>
      </c>
      <c r="F40" s="8" t="s">
        <v>977</v>
      </c>
      <c r="G40" s="460" t="s">
        <v>978</v>
      </c>
    </row>
    <row r="41" spans="2:7" ht="16" customHeight="1">
      <c r="B41" s="3"/>
      <c r="C41" s="477"/>
      <c r="D41" s="8">
        <v>38</v>
      </c>
      <c r="E41" s="293" t="s">
        <v>979</v>
      </c>
      <c r="F41" s="8" t="s">
        <v>980</v>
      </c>
      <c r="G41" s="460" t="s">
        <v>981</v>
      </c>
    </row>
    <row r="42" spans="2:7" ht="16" customHeight="1">
      <c r="B42" s="3"/>
      <c r="C42" s="477"/>
      <c r="D42" s="8">
        <v>39</v>
      </c>
      <c r="E42" s="293" t="s">
        <v>982</v>
      </c>
      <c r="F42" s="8" t="s">
        <v>983</v>
      </c>
      <c r="G42" s="460" t="s">
        <v>984</v>
      </c>
    </row>
    <row r="43" spans="2:7" ht="16" customHeight="1">
      <c r="B43" s="3"/>
      <c r="C43" s="477" t="s">
        <v>867</v>
      </c>
      <c r="D43" s="8">
        <v>40</v>
      </c>
      <c r="E43" s="293" t="s">
        <v>985</v>
      </c>
      <c r="F43" s="8" t="s">
        <v>986</v>
      </c>
      <c r="G43" s="460" t="s">
        <v>987</v>
      </c>
    </row>
    <row r="44" spans="2:7" ht="16" customHeight="1">
      <c r="B44" s="3"/>
      <c r="C44" s="477"/>
      <c r="D44" s="8">
        <v>41</v>
      </c>
      <c r="E44" s="293" t="s">
        <v>988</v>
      </c>
      <c r="F44" s="8" t="s">
        <v>989</v>
      </c>
      <c r="G44" s="460" t="s">
        <v>990</v>
      </c>
    </row>
    <row r="45" spans="2:7" ht="16" customHeight="1">
      <c r="B45" s="3"/>
      <c r="C45" s="477"/>
      <c r="D45" s="8">
        <v>42</v>
      </c>
      <c r="E45" s="293" t="s">
        <v>991</v>
      </c>
      <c r="F45" s="8" t="s">
        <v>992</v>
      </c>
      <c r="G45" s="460" t="s">
        <v>993</v>
      </c>
    </row>
    <row r="46" spans="2:7" ht="16" customHeight="1">
      <c r="B46" s="3"/>
      <c r="C46" s="477"/>
      <c r="D46" s="8">
        <v>43</v>
      </c>
      <c r="E46" s="293" t="s">
        <v>994</v>
      </c>
      <c r="F46" s="8" t="s">
        <v>995</v>
      </c>
      <c r="G46" s="460" t="s">
        <v>996</v>
      </c>
    </row>
    <row r="47" spans="2:7" ht="16" customHeight="1">
      <c r="B47" s="3"/>
      <c r="C47" s="322"/>
      <c r="D47" s="8">
        <v>44</v>
      </c>
      <c r="E47" s="293" t="s">
        <v>997</v>
      </c>
      <c r="F47" s="38" t="s">
        <v>998</v>
      </c>
      <c r="G47" s="461" t="s">
        <v>999</v>
      </c>
    </row>
    <row r="48" spans="2:7" ht="16" customHeight="1">
      <c r="B48" s="3"/>
      <c r="C48" s="477"/>
      <c r="D48" s="8">
        <v>45</v>
      </c>
      <c r="E48" s="293" t="s">
        <v>1000</v>
      </c>
      <c r="F48" s="8" t="s">
        <v>1001</v>
      </c>
      <c r="G48" s="460" t="s">
        <v>1002</v>
      </c>
    </row>
    <row r="49" spans="2:7" ht="16" customHeight="1">
      <c r="B49" s="3"/>
      <c r="C49" s="477"/>
      <c r="D49" s="8">
        <v>46</v>
      </c>
      <c r="E49" s="293" t="s">
        <v>1003</v>
      </c>
      <c r="F49" s="8" t="s">
        <v>1004</v>
      </c>
      <c r="G49" s="460" t="s">
        <v>1005</v>
      </c>
    </row>
    <row r="50" spans="2:7" ht="16" customHeight="1">
      <c r="B50" s="3"/>
      <c r="C50" s="477"/>
      <c r="D50" s="8">
        <v>47</v>
      </c>
      <c r="E50" s="293" t="s">
        <v>1006</v>
      </c>
      <c r="F50" s="8" t="s">
        <v>1007</v>
      </c>
      <c r="G50" s="460" t="s">
        <v>1008</v>
      </c>
    </row>
    <row r="51" spans="2:7" ht="16" customHeight="1">
      <c r="B51" s="3"/>
      <c r="C51" s="477"/>
      <c r="D51" s="8">
        <v>48</v>
      </c>
      <c r="E51" s="293" t="s">
        <v>1009</v>
      </c>
      <c r="F51" s="8" t="s">
        <v>1010</v>
      </c>
      <c r="G51" s="460" t="s">
        <v>1011</v>
      </c>
    </row>
    <row r="52" spans="2:7" ht="16" customHeight="1">
      <c r="B52" s="3"/>
      <c r="C52" s="322"/>
      <c r="D52" s="8">
        <v>49</v>
      </c>
      <c r="E52" s="293" t="s">
        <v>1012</v>
      </c>
      <c r="F52" s="38" t="s">
        <v>1013</v>
      </c>
      <c r="G52" s="461" t="s">
        <v>1014</v>
      </c>
    </row>
    <row r="53" spans="2:7" ht="16" customHeight="1">
      <c r="B53" s="3"/>
      <c r="C53" s="477"/>
      <c r="D53" s="8">
        <v>50</v>
      </c>
      <c r="E53" s="293" t="s">
        <v>1015</v>
      </c>
      <c r="F53" s="8" t="s">
        <v>1016</v>
      </c>
      <c r="G53" s="460" t="s">
        <v>1017</v>
      </c>
    </row>
    <row r="54" spans="2:7" ht="16" customHeight="1">
      <c r="B54" s="3"/>
      <c r="C54" s="477"/>
      <c r="D54" s="8">
        <v>51</v>
      </c>
      <c r="E54" s="293" t="s">
        <v>1018</v>
      </c>
      <c r="F54" s="8" t="s">
        <v>1019</v>
      </c>
      <c r="G54" s="460" t="s">
        <v>1020</v>
      </c>
    </row>
    <row r="55" spans="2:7" ht="16" customHeight="1">
      <c r="B55" s="3"/>
      <c r="C55" s="477"/>
      <c r="D55" s="8">
        <v>52</v>
      </c>
      <c r="E55" s="293" t="s">
        <v>1021</v>
      </c>
      <c r="F55" s="8" t="s">
        <v>1022</v>
      </c>
      <c r="G55" s="460" t="s">
        <v>1023</v>
      </c>
    </row>
    <row r="56" spans="2:7" ht="16" customHeight="1">
      <c r="B56" s="3"/>
      <c r="C56" s="477"/>
      <c r="D56" s="8">
        <v>53</v>
      </c>
      <c r="E56" s="293" t="s">
        <v>1024</v>
      </c>
      <c r="F56" s="8" t="s">
        <v>1025</v>
      </c>
      <c r="G56" s="460" t="s">
        <v>1026</v>
      </c>
    </row>
    <row r="57" spans="2:7" ht="16" customHeight="1">
      <c r="B57" s="3"/>
      <c r="C57" s="477"/>
      <c r="D57" s="8">
        <v>54</v>
      </c>
      <c r="E57" s="293" t="s">
        <v>1027</v>
      </c>
      <c r="F57" s="8" t="s">
        <v>1028</v>
      </c>
      <c r="G57" s="460" t="s">
        <v>1029</v>
      </c>
    </row>
    <row r="58" spans="2:7" ht="16" customHeight="1">
      <c r="B58" s="3"/>
      <c r="C58" s="477"/>
      <c r="D58" s="8">
        <v>55</v>
      </c>
      <c r="E58" s="293" t="s">
        <v>1030</v>
      </c>
      <c r="F58" s="8" t="s">
        <v>1031</v>
      </c>
      <c r="G58" s="460" t="s">
        <v>1032</v>
      </c>
    </row>
    <row r="59" spans="2:7" ht="16" customHeight="1">
      <c r="B59" s="3"/>
      <c r="C59" s="477"/>
      <c r="D59" s="8">
        <v>56</v>
      </c>
      <c r="E59" s="293" t="s">
        <v>1033</v>
      </c>
      <c r="F59" s="8" t="s">
        <v>1034</v>
      </c>
      <c r="G59" s="460" t="s">
        <v>1035</v>
      </c>
    </row>
    <row r="60" spans="2:7" ht="16" customHeight="1">
      <c r="B60" s="3"/>
      <c r="C60" s="477" t="s">
        <v>867</v>
      </c>
      <c r="D60" s="8">
        <v>57</v>
      </c>
      <c r="E60" s="293" t="s">
        <v>1036</v>
      </c>
      <c r="F60" s="8" t="s">
        <v>1037</v>
      </c>
      <c r="G60" s="460" t="s">
        <v>1038</v>
      </c>
    </row>
    <row r="61" spans="2:7" ht="16" customHeight="1">
      <c r="B61" s="3"/>
      <c r="C61" s="477" t="s">
        <v>867</v>
      </c>
      <c r="D61" s="8">
        <v>58</v>
      </c>
      <c r="E61" s="293" t="s">
        <v>1039</v>
      </c>
      <c r="F61" s="8" t="s">
        <v>1040</v>
      </c>
      <c r="G61" s="460" t="s">
        <v>1041</v>
      </c>
    </row>
    <row r="62" spans="2:7" ht="16" customHeight="1">
      <c r="B62" s="3"/>
      <c r="C62" s="477"/>
      <c r="D62" s="8">
        <v>59</v>
      </c>
      <c r="E62" s="293" t="s">
        <v>1042</v>
      </c>
      <c r="F62" s="8" t="s">
        <v>1043</v>
      </c>
      <c r="G62" s="460" t="s">
        <v>1044</v>
      </c>
    </row>
    <row r="63" spans="2:7" ht="16" customHeight="1">
      <c r="B63" s="3"/>
      <c r="C63" s="477" t="s">
        <v>867</v>
      </c>
      <c r="D63" s="8">
        <v>60</v>
      </c>
      <c r="E63" s="293" t="s">
        <v>1045</v>
      </c>
      <c r="F63" s="8" t="s">
        <v>1046</v>
      </c>
      <c r="G63" s="460" t="s">
        <v>1047</v>
      </c>
    </row>
    <row r="64" spans="2:7" ht="16" customHeight="1">
      <c r="B64" s="3"/>
      <c r="C64" s="477" t="s">
        <v>867</v>
      </c>
      <c r="D64" s="8">
        <v>61</v>
      </c>
      <c r="E64" s="293" t="s">
        <v>1048</v>
      </c>
      <c r="F64" s="8" t="s">
        <v>1049</v>
      </c>
      <c r="G64" s="460" t="s">
        <v>1050</v>
      </c>
    </row>
    <row r="65" spans="2:7" ht="16" customHeight="1">
      <c r="B65" s="3"/>
      <c r="C65" s="477"/>
      <c r="D65" s="8">
        <v>62</v>
      </c>
      <c r="E65" s="293" t="s">
        <v>1051</v>
      </c>
      <c r="F65" s="8" t="s">
        <v>1052</v>
      </c>
      <c r="G65" s="460" t="s">
        <v>1053</v>
      </c>
    </row>
    <row r="66" spans="2:7" ht="16" customHeight="1">
      <c r="B66" s="3"/>
      <c r="C66" s="477"/>
      <c r="D66" s="8">
        <v>63</v>
      </c>
      <c r="E66" s="293" t="s">
        <v>1054</v>
      </c>
      <c r="F66" s="8" t="s">
        <v>1055</v>
      </c>
      <c r="G66" s="460" t="s">
        <v>1056</v>
      </c>
    </row>
    <row r="67" spans="2:7" ht="16" customHeight="1">
      <c r="B67" s="3"/>
      <c r="C67" s="477"/>
      <c r="D67" s="8">
        <v>64</v>
      </c>
      <c r="E67" s="293" t="s">
        <v>1057</v>
      </c>
      <c r="F67" s="8" t="s">
        <v>1058</v>
      </c>
      <c r="G67" s="460" t="s">
        <v>1059</v>
      </c>
    </row>
    <row r="68" spans="2:7" ht="16" customHeight="1">
      <c r="B68" s="3"/>
      <c r="C68" s="477"/>
      <c r="D68" s="8">
        <v>65</v>
      </c>
      <c r="E68" s="293" t="s">
        <v>1060</v>
      </c>
      <c r="F68" s="8" t="s">
        <v>1061</v>
      </c>
      <c r="G68" s="460" t="s">
        <v>1062</v>
      </c>
    </row>
    <row r="69" spans="2:7" ht="16" customHeight="1">
      <c r="B69" s="3"/>
      <c r="C69" s="477"/>
      <c r="D69" s="8">
        <v>66</v>
      </c>
      <c r="E69" s="293" t="s">
        <v>1063</v>
      </c>
      <c r="F69" s="8" t="s">
        <v>1064</v>
      </c>
      <c r="G69" s="460" t="s">
        <v>1065</v>
      </c>
    </row>
    <row r="70" spans="2:7" ht="16" customHeight="1">
      <c r="B70" s="3"/>
      <c r="C70" s="477" t="s">
        <v>867</v>
      </c>
      <c r="D70" s="8">
        <v>67</v>
      </c>
      <c r="E70" s="293" t="s">
        <v>1066</v>
      </c>
      <c r="F70" s="8" t="s">
        <v>1067</v>
      </c>
      <c r="G70" s="460" t="s">
        <v>1068</v>
      </c>
    </row>
    <row r="71" spans="2:7" ht="16" customHeight="1">
      <c r="B71" s="3"/>
      <c r="C71" s="322"/>
      <c r="D71" s="8">
        <v>68</v>
      </c>
      <c r="E71" s="293" t="s">
        <v>1069</v>
      </c>
      <c r="F71" s="38" t="s">
        <v>1070</v>
      </c>
      <c r="G71" s="461" t="s">
        <v>1071</v>
      </c>
    </row>
    <row r="72" spans="2:7" ht="16" customHeight="1">
      <c r="B72" s="3"/>
      <c r="C72" s="477"/>
      <c r="D72" s="8">
        <v>69</v>
      </c>
      <c r="E72" s="293" t="s">
        <v>1072</v>
      </c>
      <c r="F72" s="8" t="s">
        <v>1073</v>
      </c>
      <c r="G72" s="460" t="s">
        <v>1074</v>
      </c>
    </row>
    <row r="73" spans="2:7" ht="16" customHeight="1">
      <c r="B73" s="3"/>
      <c r="C73" s="477"/>
      <c r="D73" s="8">
        <v>70</v>
      </c>
      <c r="E73" s="293" t="s">
        <v>1075</v>
      </c>
      <c r="F73" s="8" t="s">
        <v>1076</v>
      </c>
      <c r="G73" s="460" t="s">
        <v>1077</v>
      </c>
    </row>
    <row r="74" spans="2:7" ht="16" customHeight="1">
      <c r="B74" s="3"/>
      <c r="C74" s="477"/>
      <c r="D74" s="8">
        <v>71</v>
      </c>
      <c r="E74" s="293" t="s">
        <v>1078</v>
      </c>
      <c r="F74" s="8" t="s">
        <v>1079</v>
      </c>
      <c r="G74" s="460" t="s">
        <v>1080</v>
      </c>
    </row>
    <row r="75" spans="2:7" ht="16" customHeight="1">
      <c r="B75" s="3"/>
      <c r="C75" s="477"/>
      <c r="D75" s="8">
        <v>72</v>
      </c>
      <c r="E75" s="293" t="s">
        <v>1081</v>
      </c>
      <c r="F75" s="8" t="s">
        <v>1082</v>
      </c>
      <c r="G75" s="460" t="s">
        <v>1083</v>
      </c>
    </row>
    <row r="76" spans="2:7" ht="16" customHeight="1">
      <c r="B76" s="3"/>
      <c r="C76" s="477"/>
      <c r="D76" s="8">
        <v>73</v>
      </c>
      <c r="E76" s="293" t="s">
        <v>1084</v>
      </c>
      <c r="F76" s="8" t="s">
        <v>1085</v>
      </c>
      <c r="G76" s="460" t="s">
        <v>1086</v>
      </c>
    </row>
    <row r="77" spans="2:7" ht="16" customHeight="1">
      <c r="B77" s="3"/>
      <c r="C77" s="477"/>
      <c r="D77" s="8">
        <v>74</v>
      </c>
      <c r="E77" s="293" t="s">
        <v>1087</v>
      </c>
      <c r="F77" s="8" t="s">
        <v>1088</v>
      </c>
      <c r="G77" s="460" t="s">
        <v>1089</v>
      </c>
    </row>
    <row r="78" spans="2:7" ht="16" customHeight="1">
      <c r="B78" s="3"/>
      <c r="C78" s="477"/>
      <c r="D78" s="8">
        <v>75</v>
      </c>
      <c r="E78" s="293" t="s">
        <v>1090</v>
      </c>
      <c r="F78" s="8" t="s">
        <v>1091</v>
      </c>
      <c r="G78" s="460" t="s">
        <v>1092</v>
      </c>
    </row>
    <row r="79" spans="2:7" ht="16" customHeight="1">
      <c r="B79" s="3"/>
      <c r="C79" s="477"/>
      <c r="D79" s="8">
        <v>76</v>
      </c>
      <c r="E79" s="293" t="s">
        <v>1093</v>
      </c>
      <c r="F79" s="8" t="s">
        <v>1094</v>
      </c>
      <c r="G79" s="460" t="s">
        <v>1095</v>
      </c>
    </row>
    <row r="80" spans="2:7" ht="16" customHeight="1">
      <c r="B80" s="3"/>
      <c r="C80" s="322"/>
      <c r="D80" s="8">
        <v>77</v>
      </c>
      <c r="E80" s="293" t="s">
        <v>1096</v>
      </c>
      <c r="F80" s="38" t="s">
        <v>1097</v>
      </c>
      <c r="G80" s="461" t="s">
        <v>1098</v>
      </c>
    </row>
    <row r="81" spans="2:7" ht="16" customHeight="1">
      <c r="B81" s="3"/>
      <c r="C81" s="477"/>
      <c r="D81" s="8">
        <v>78</v>
      </c>
      <c r="E81" s="293" t="s">
        <v>1099</v>
      </c>
      <c r="F81" s="8" t="s">
        <v>1100</v>
      </c>
      <c r="G81" s="460" t="s">
        <v>1101</v>
      </c>
    </row>
    <row r="82" spans="2:7" ht="16" customHeight="1">
      <c r="B82" s="3"/>
      <c r="C82" s="477"/>
      <c r="D82" s="8">
        <v>79</v>
      </c>
      <c r="E82" s="293" t="s">
        <v>1102</v>
      </c>
      <c r="F82" s="8" t="s">
        <v>1103</v>
      </c>
      <c r="G82" s="460" t="s">
        <v>1104</v>
      </c>
    </row>
    <row r="83" spans="2:7" ht="16" customHeight="1">
      <c r="B83" s="3"/>
      <c r="C83" s="477"/>
      <c r="D83" s="8">
        <v>80</v>
      </c>
      <c r="E83" s="293" t="s">
        <v>1105</v>
      </c>
      <c r="F83" s="8" t="s">
        <v>1106</v>
      </c>
      <c r="G83" s="460" t="s">
        <v>1107</v>
      </c>
    </row>
    <row r="84" spans="2:7" ht="16" customHeight="1">
      <c r="B84" s="3"/>
      <c r="C84" s="477"/>
      <c r="D84" s="8">
        <v>81</v>
      </c>
      <c r="E84" s="293" t="s">
        <v>1108</v>
      </c>
      <c r="F84" s="8" t="s">
        <v>1109</v>
      </c>
      <c r="G84" s="460" t="s">
        <v>1110</v>
      </c>
    </row>
    <row r="85" spans="2:7" ht="16" customHeight="1">
      <c r="B85" s="3"/>
      <c r="C85" s="477"/>
      <c r="D85" s="8">
        <v>82</v>
      </c>
      <c r="E85" s="293" t="s">
        <v>1111</v>
      </c>
      <c r="F85" s="8" t="s">
        <v>1112</v>
      </c>
      <c r="G85" s="460" t="s">
        <v>1113</v>
      </c>
    </row>
    <row r="86" spans="2:7" ht="16" customHeight="1">
      <c r="B86" s="3"/>
      <c r="C86" s="322"/>
      <c r="D86" s="8">
        <v>83</v>
      </c>
      <c r="E86" s="293" t="s">
        <v>1114</v>
      </c>
      <c r="F86" s="38" t="s">
        <v>1115</v>
      </c>
      <c r="G86" s="461" t="s">
        <v>1116</v>
      </c>
    </row>
    <row r="87" spans="2:7" ht="16" customHeight="1">
      <c r="B87" s="3"/>
      <c r="C87" s="477"/>
      <c r="D87" s="8">
        <v>84</v>
      </c>
      <c r="E87" s="293" t="s">
        <v>1117</v>
      </c>
      <c r="F87" s="8" t="s">
        <v>1118</v>
      </c>
      <c r="G87" s="460" t="s">
        <v>1119</v>
      </c>
    </row>
    <row r="88" spans="2:7" ht="16" customHeight="1">
      <c r="B88" s="3"/>
      <c r="C88" s="477"/>
      <c r="D88" s="8">
        <v>85</v>
      </c>
      <c r="E88" s="293" t="s">
        <v>1120</v>
      </c>
      <c r="F88" s="8" t="s">
        <v>1121</v>
      </c>
      <c r="G88" s="460" t="s">
        <v>1122</v>
      </c>
    </row>
    <row r="89" spans="2:7" ht="16" customHeight="1">
      <c r="B89" s="3"/>
      <c r="C89" s="477"/>
      <c r="D89" s="8">
        <v>86</v>
      </c>
      <c r="E89" s="293" t="s">
        <v>1123</v>
      </c>
      <c r="F89" s="8" t="s">
        <v>1124</v>
      </c>
      <c r="G89" s="460" t="s">
        <v>1125</v>
      </c>
    </row>
    <row r="90" spans="2:7" ht="16" customHeight="1">
      <c r="B90" s="3"/>
      <c r="C90" s="477"/>
      <c r="D90" s="8">
        <v>87</v>
      </c>
      <c r="E90" s="293" t="s">
        <v>1126</v>
      </c>
      <c r="F90" s="8" t="s">
        <v>1127</v>
      </c>
      <c r="G90" s="460" t="s">
        <v>1128</v>
      </c>
    </row>
    <row r="91" spans="2:7" ht="16" customHeight="1">
      <c r="B91" s="3"/>
      <c r="C91" s="477"/>
      <c r="D91" s="8">
        <v>88</v>
      </c>
      <c r="E91" s="293" t="s">
        <v>1129</v>
      </c>
      <c r="F91" s="8" t="s">
        <v>1130</v>
      </c>
      <c r="G91" s="460" t="s">
        <v>1131</v>
      </c>
    </row>
    <row r="92" spans="2:7" ht="16" customHeight="1">
      <c r="B92" s="3"/>
      <c r="C92" s="477"/>
      <c r="D92" s="8">
        <v>89</v>
      </c>
      <c r="E92" s="293" t="s">
        <v>1132</v>
      </c>
      <c r="F92" s="8" t="s">
        <v>1133</v>
      </c>
      <c r="G92" s="460" t="s">
        <v>1134</v>
      </c>
    </row>
    <row r="93" spans="2:7" ht="16" customHeight="1">
      <c r="B93" s="3"/>
      <c r="C93" s="322"/>
      <c r="D93" s="8">
        <v>90</v>
      </c>
      <c r="E93" s="293" t="s">
        <v>1135</v>
      </c>
      <c r="F93" s="38" t="s">
        <v>1136</v>
      </c>
      <c r="G93" s="461" t="s">
        <v>1137</v>
      </c>
    </row>
    <row r="94" spans="2:7">
      <c r="C94" s="6"/>
      <c r="D94" s="296"/>
      <c r="E94" s="296"/>
      <c r="F94" s="7"/>
      <c r="G94" s="457"/>
    </row>
  </sheetData>
  <sheetProtection algorithmName="SHA-512" hashValue="Wm/5dOcziEAwbOFxe9+JwHAjza9rPxQl7DEqTHXXZ6rov1cxIrGERF2W9SyYLkMkpvx1WZaqw7Orndm0cZGeNQ==" saltValue="cWIKzc03Fyuc3wnPPS75QQ==" spinCount="100000" sheet="1" selectLockedCells="1"/>
  <autoFilter ref="C3:F93" xr:uid="{00000000-0009-0000-0000-000001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zoomScale="87" zoomScaleNormal="70" workbookViewId="0">
      <selection activeCell="E8" sqref="E8"/>
    </sheetView>
  </sheetViews>
  <sheetFormatPr baseColWidth="10" defaultColWidth="10.6640625" defaultRowHeight="16"/>
  <cols>
    <col min="1" max="1" width="10.6640625" style="405" customWidth="1"/>
    <col min="2" max="2" width="8.6640625" style="405" customWidth="1"/>
    <col min="3" max="3" width="27.6640625" style="405" customWidth="1"/>
    <col min="4" max="5" width="28" style="405" customWidth="1"/>
    <col min="6" max="7" width="51.1640625" style="455" customWidth="1"/>
    <col min="8" max="9" width="22.6640625" style="405" customWidth="1"/>
    <col min="10" max="11" width="10.6640625" style="405" customWidth="1"/>
    <col min="12" max="12" width="44" style="405" customWidth="1"/>
    <col min="13" max="13" width="10.6640625" style="405" customWidth="1"/>
    <col min="14" max="16384" width="10.6640625" style="405"/>
  </cols>
  <sheetData>
    <row r="1" spans="1:13" ht="40.25" customHeight="1" thickBot="1">
      <c r="C1" s="406"/>
      <c r="D1" s="406"/>
      <c r="E1" s="406"/>
      <c r="F1" s="407"/>
      <c r="G1" s="407"/>
      <c r="H1" s="406"/>
      <c r="I1" s="406"/>
    </row>
    <row r="2" spans="1:13" ht="17" customHeight="1" thickBot="1">
      <c r="A2" s="408"/>
      <c r="B2" s="409"/>
      <c r="C2" s="410" t="s">
        <v>1138</v>
      </c>
      <c r="D2" s="411" t="s">
        <v>1139</v>
      </c>
      <c r="E2" s="412" t="s">
        <v>1140</v>
      </c>
      <c r="F2" s="413" t="s">
        <v>1141</v>
      </c>
      <c r="G2" s="414" t="s">
        <v>1142</v>
      </c>
      <c r="H2" s="411" t="s">
        <v>1143</v>
      </c>
      <c r="I2" s="415" t="s">
        <v>1144</v>
      </c>
      <c r="J2" s="416"/>
    </row>
    <row r="3" spans="1:13" ht="32" customHeight="1">
      <c r="A3" s="408"/>
      <c r="B3" s="664" t="s">
        <v>1145</v>
      </c>
      <c r="C3" s="417" t="s">
        <v>1146</v>
      </c>
      <c r="D3" s="646" t="s">
        <v>1147</v>
      </c>
      <c r="E3" s="530" t="s">
        <v>1148</v>
      </c>
      <c r="F3" s="418" t="s">
        <v>1149</v>
      </c>
      <c r="G3" s="419" t="s">
        <v>1150</v>
      </c>
      <c r="H3" s="420" t="s">
        <v>1151</v>
      </c>
      <c r="I3" s="466" t="s">
        <v>1152</v>
      </c>
      <c r="J3" s="416"/>
    </row>
    <row r="4" spans="1:13" ht="32" customHeight="1">
      <c r="A4" s="408"/>
      <c r="B4" s="663"/>
      <c r="C4" s="421" t="s">
        <v>1153</v>
      </c>
      <c r="D4" s="646" t="s">
        <v>1154</v>
      </c>
      <c r="E4" s="531" t="s">
        <v>1155</v>
      </c>
      <c r="F4" s="422" t="s">
        <v>1156</v>
      </c>
      <c r="G4" s="419" t="s">
        <v>1157</v>
      </c>
      <c r="H4" s="423" t="s">
        <v>1158</v>
      </c>
      <c r="I4" s="467" t="s">
        <v>1159</v>
      </c>
      <c r="J4" s="416"/>
    </row>
    <row r="5" spans="1:13" ht="80" customHeight="1">
      <c r="A5" s="408"/>
      <c r="B5" s="663"/>
      <c r="C5" s="421" t="s">
        <v>1160</v>
      </c>
      <c r="D5" s="532" t="s">
        <v>1161</v>
      </c>
      <c r="E5" s="403" t="s">
        <v>1162</v>
      </c>
      <c r="F5" s="422" t="s">
        <v>1163</v>
      </c>
      <c r="G5" s="419" t="s">
        <v>1164</v>
      </c>
      <c r="H5" s="423" t="s">
        <v>1165</v>
      </c>
      <c r="I5" s="467" t="s">
        <v>1166</v>
      </c>
      <c r="J5" s="416"/>
    </row>
    <row r="6" spans="1:13" ht="76.25" customHeight="1">
      <c r="A6" s="408"/>
      <c r="B6" s="663"/>
      <c r="C6" s="421" t="s">
        <v>1167</v>
      </c>
      <c r="D6" s="533" t="s">
        <v>1168</v>
      </c>
      <c r="E6" s="531" t="s">
        <v>1169</v>
      </c>
      <c r="F6" s="424" t="s">
        <v>1170</v>
      </c>
      <c r="G6" s="503" t="s">
        <v>1171</v>
      </c>
      <c r="H6" s="425" t="s">
        <v>1172</v>
      </c>
      <c r="I6" s="468" t="s">
        <v>1173</v>
      </c>
      <c r="J6" s="416"/>
      <c r="K6" s="534"/>
    </row>
    <row r="7" spans="1:13" ht="105.5" customHeight="1">
      <c r="A7" s="408"/>
      <c r="B7" s="663"/>
      <c r="C7" s="421" t="s">
        <v>1174</v>
      </c>
      <c r="D7" s="532" t="s">
        <v>1175</v>
      </c>
      <c r="E7" s="403" t="s">
        <v>1176</v>
      </c>
      <c r="F7" s="424" t="s">
        <v>1177</v>
      </c>
      <c r="G7" s="504" t="s">
        <v>1178</v>
      </c>
      <c r="H7" s="425" t="s">
        <v>1175</v>
      </c>
      <c r="I7" s="469" t="s">
        <v>1176</v>
      </c>
      <c r="J7" s="416"/>
    </row>
    <row r="8" spans="1:13" ht="76.25" customHeight="1">
      <c r="A8" s="408"/>
      <c r="B8" s="663"/>
      <c r="C8" s="426" t="s">
        <v>1179</v>
      </c>
      <c r="D8" s="621" t="s">
        <v>1180</v>
      </c>
      <c r="E8" s="622" t="s">
        <v>1181</v>
      </c>
      <c r="F8" s="427" t="s">
        <v>1182</v>
      </c>
      <c r="G8" s="504" t="s">
        <v>1183</v>
      </c>
      <c r="H8" s="425" t="s">
        <v>1184</v>
      </c>
      <c r="I8" s="470" t="s">
        <v>1185</v>
      </c>
      <c r="J8" s="416"/>
    </row>
    <row r="9" spans="1:13" ht="50.25" customHeight="1" thickBot="1">
      <c r="A9" s="408"/>
      <c r="B9" s="661"/>
      <c r="C9" s="428" t="s">
        <v>1186</v>
      </c>
      <c r="D9" s="429">
        <v>0.25</v>
      </c>
      <c r="E9" s="404">
        <v>0.25</v>
      </c>
      <c r="F9" s="430" t="s">
        <v>1187</v>
      </c>
      <c r="G9" s="505" t="s">
        <v>1188</v>
      </c>
      <c r="H9" s="431">
        <v>0.2</v>
      </c>
      <c r="I9" s="432">
        <v>0.2</v>
      </c>
      <c r="J9" s="416"/>
    </row>
    <row r="10" spans="1:13" ht="32" customHeight="1">
      <c r="A10" s="408"/>
      <c r="B10" s="664" t="s">
        <v>1189</v>
      </c>
      <c r="C10" s="433" t="s">
        <v>1190</v>
      </c>
      <c r="D10" s="623" t="s">
        <v>1191</v>
      </c>
      <c r="E10" s="535" t="s">
        <v>1192</v>
      </c>
      <c r="F10" s="434" t="s">
        <v>1193</v>
      </c>
      <c r="G10" s="506" t="s">
        <v>1194</v>
      </c>
      <c r="H10" s="435" t="s">
        <v>1195</v>
      </c>
      <c r="I10" s="472" t="s">
        <v>1196</v>
      </c>
      <c r="J10" s="416"/>
    </row>
    <row r="11" spans="1:13" ht="94.25" customHeight="1">
      <c r="A11" s="408"/>
      <c r="B11" s="663"/>
      <c r="C11" s="436" t="s">
        <v>1197</v>
      </c>
      <c r="D11" s="476" t="s">
        <v>24</v>
      </c>
      <c r="E11" s="624" t="s">
        <v>24</v>
      </c>
      <c r="F11" s="437" t="s">
        <v>1198</v>
      </c>
      <c r="G11" s="462" t="s">
        <v>1199</v>
      </c>
      <c r="H11" s="473">
        <v>5</v>
      </c>
      <c r="I11" s="474">
        <v>5</v>
      </c>
      <c r="J11" s="416"/>
      <c r="L11" s="406"/>
    </row>
    <row r="12" spans="1:13" ht="158" customHeight="1">
      <c r="A12" s="408"/>
      <c r="B12" s="663"/>
      <c r="C12" s="421" t="s">
        <v>1200</v>
      </c>
      <c r="D12" s="476" t="s">
        <v>24</v>
      </c>
      <c r="E12" s="536" t="s">
        <v>24</v>
      </c>
      <c r="F12" s="424" t="s">
        <v>1201</v>
      </c>
      <c r="G12" s="462" t="s">
        <v>1202</v>
      </c>
      <c r="H12" s="475">
        <v>5000000</v>
      </c>
      <c r="I12" s="474">
        <v>5000000</v>
      </c>
      <c r="J12" s="416"/>
      <c r="K12" s="408"/>
      <c r="L12" s="438"/>
      <c r="M12" s="416"/>
    </row>
    <row r="13" spans="1:13" ht="116.25" customHeight="1">
      <c r="A13" s="408"/>
      <c r="B13" s="663"/>
      <c r="C13" s="436" t="s">
        <v>1203</v>
      </c>
      <c r="D13" s="476" t="s">
        <v>24</v>
      </c>
      <c r="E13" s="624" t="s">
        <v>24</v>
      </c>
      <c r="F13" s="427" t="s">
        <v>1204</v>
      </c>
      <c r="G13" s="463" t="s">
        <v>1205</v>
      </c>
      <c r="H13" s="475">
        <v>1200000</v>
      </c>
      <c r="I13" s="474">
        <v>1200000</v>
      </c>
      <c r="J13" s="416"/>
      <c r="L13" s="439"/>
    </row>
    <row r="14" spans="1:13" ht="50.25" customHeight="1">
      <c r="A14" s="408"/>
      <c r="B14" s="663"/>
      <c r="C14" s="426" t="s">
        <v>1206</v>
      </c>
      <c r="D14" s="533" t="s">
        <v>1207</v>
      </c>
      <c r="E14" s="531" t="s">
        <v>1208</v>
      </c>
      <c r="F14" s="424" t="s">
        <v>1209</v>
      </c>
      <c r="G14" s="462" t="s">
        <v>1210</v>
      </c>
      <c r="H14" s="425" t="s">
        <v>1211</v>
      </c>
      <c r="I14" s="468" t="s">
        <v>1212</v>
      </c>
      <c r="J14" s="416"/>
    </row>
    <row r="15" spans="1:13" ht="50.25" customHeight="1" thickBot="1">
      <c r="A15" s="408"/>
      <c r="B15" s="661"/>
      <c r="C15" s="440" t="s">
        <v>1213</v>
      </c>
      <c r="D15" s="537" t="s">
        <v>1214</v>
      </c>
      <c r="E15" s="538" t="s">
        <v>1215</v>
      </c>
      <c r="F15" s="441" t="s">
        <v>1216</v>
      </c>
      <c r="G15" s="464" t="s">
        <v>1217</v>
      </c>
      <c r="H15" s="442" t="s">
        <v>1218</v>
      </c>
      <c r="I15" s="471" t="s">
        <v>1219</v>
      </c>
      <c r="J15" s="416"/>
    </row>
    <row r="16" spans="1:13" ht="5.75" customHeight="1" thickBot="1">
      <c r="A16" s="408"/>
      <c r="B16" s="443"/>
      <c r="C16" s="444"/>
      <c r="D16" s="539"/>
      <c r="E16" s="540"/>
      <c r="F16" s="445"/>
      <c r="G16" s="446"/>
      <c r="H16" s="447"/>
      <c r="I16" s="448"/>
      <c r="J16" s="416"/>
    </row>
    <row r="17" spans="1:10" ht="133.25" customHeight="1">
      <c r="A17" s="408"/>
      <c r="B17" s="662" t="s">
        <v>1220</v>
      </c>
      <c r="C17" s="500" t="s">
        <v>1221</v>
      </c>
      <c r="D17" s="449">
        <f>IF(E17="","",E17)</f>
        <v>0.81</v>
      </c>
      <c r="E17" s="541">
        <v>0.81</v>
      </c>
      <c r="F17" s="507" t="s">
        <v>1222</v>
      </c>
      <c r="G17" s="501" t="s">
        <v>1223</v>
      </c>
      <c r="H17" s="502">
        <v>0.91</v>
      </c>
      <c r="I17" s="402">
        <v>0.91</v>
      </c>
      <c r="J17" s="416"/>
    </row>
    <row r="18" spans="1:10" ht="144" customHeight="1">
      <c r="A18" s="408"/>
      <c r="B18" s="663"/>
      <c r="C18" s="450" t="s">
        <v>1224</v>
      </c>
      <c r="D18" s="451">
        <f>IF(E18="","",E18)</f>
        <v>0.56000000000000005</v>
      </c>
      <c r="E18" s="542">
        <v>0.56000000000000005</v>
      </c>
      <c r="F18" s="508" t="s">
        <v>1225</v>
      </c>
      <c r="G18" s="465" t="s">
        <v>1226</v>
      </c>
      <c r="H18" s="400">
        <v>0.91</v>
      </c>
      <c r="I18" s="94">
        <v>0.91</v>
      </c>
      <c r="J18" s="416"/>
    </row>
    <row r="19" spans="1:10" ht="107.75" customHeight="1" thickBot="1">
      <c r="A19" s="408"/>
      <c r="B19" s="661"/>
      <c r="C19" s="452" t="s">
        <v>1227</v>
      </c>
      <c r="D19" s="453">
        <f>IF(E19="","",E19)</f>
        <v>0</v>
      </c>
      <c r="E19" s="543">
        <v>0</v>
      </c>
      <c r="F19" s="509" t="s">
        <v>1228</v>
      </c>
      <c r="G19" s="464" t="s">
        <v>1229</v>
      </c>
      <c r="H19" s="401">
        <v>0.05</v>
      </c>
      <c r="I19" s="95">
        <v>0.05</v>
      </c>
      <c r="J19" s="416"/>
    </row>
    <row r="20" spans="1:10">
      <c r="B20" s="439"/>
      <c r="C20" s="439"/>
      <c r="D20" s="439"/>
      <c r="E20" s="439"/>
      <c r="F20" s="454"/>
      <c r="G20" s="454"/>
      <c r="H20" s="439"/>
      <c r="I20" s="439"/>
    </row>
  </sheetData>
  <sheetProtection algorithmName="SHA-512" hashValue="SgckUjTOu2C7g1h3dkY6nqmItAFyYwm9syvmLqckb7mPrImR/JMOPFIvYrNSRmte2cxbq0MEbg9tVoUnsOtMVw==" saltValue="w0IEJ8GyKQx/F9Z84aXhgA==" spinCount="100000" sheet="1" formatCells="0"/>
  <mergeCells count="3">
    <mergeCell ref="B17:B19"/>
    <mergeCell ref="B3:B9"/>
    <mergeCell ref="B10:B15"/>
  </mergeCells>
  <dataValidations count="2">
    <dataValidation type="list" showInputMessage="1" showErrorMessage="1" sqref="E7" xr:uid="{00000000-0002-0000-0200-000000000000}">
      <formula1>"ليس في الموسم بعد,إعداد الأرض,الزرع,النمو المبكر,النمو,النضوج,الحصاد,انتهى مؤخرا"</formula1>
    </dataValidation>
    <dataValidation type="list" showInputMessage="1" showErrorMessage="1" sqref="E5" xr:uid="{00000000-0002-0000-0200-000001000000}">
      <formula1>"العام العادي,  العام الماضي"</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9207C-A05A-A043-8247-46A908A555A7}">
  <dimension ref="A1:D19"/>
  <sheetViews>
    <sheetView tabSelected="1" workbookViewId="0">
      <selection activeCell="C28" sqref="C28"/>
    </sheetView>
  </sheetViews>
  <sheetFormatPr baseColWidth="10" defaultColWidth="24.1640625" defaultRowHeight="15"/>
  <sheetData>
    <row r="1" spans="1:4">
      <c r="A1" s="647" t="s">
        <v>1233</v>
      </c>
      <c r="B1" s="647" t="s">
        <v>1234</v>
      </c>
      <c r="C1" s="647" t="s">
        <v>1235</v>
      </c>
      <c r="D1" s="647" t="s">
        <v>1236</v>
      </c>
    </row>
    <row r="2" spans="1:4">
      <c r="A2" t="s">
        <v>1251</v>
      </c>
      <c r="B2" t="s">
        <v>1252</v>
      </c>
      <c r="C2" t="s">
        <v>1242</v>
      </c>
      <c r="D2" t="s">
        <v>1243</v>
      </c>
    </row>
    <row r="3" spans="1:4">
      <c r="A3" t="s">
        <v>1350</v>
      </c>
      <c r="B3" t="s">
        <v>1351</v>
      </c>
      <c r="C3" t="s">
        <v>1242</v>
      </c>
      <c r="D3" t="s">
        <v>1243</v>
      </c>
    </row>
    <row r="4" spans="1:4">
      <c r="A4" t="s">
        <v>1375</v>
      </c>
      <c r="B4" t="s">
        <v>1376</v>
      </c>
      <c r="C4" t="s">
        <v>1242</v>
      </c>
      <c r="D4" t="s">
        <v>1243</v>
      </c>
    </row>
    <row r="5" spans="1:4">
      <c r="A5" t="s">
        <v>1416</v>
      </c>
      <c r="B5" t="s">
        <v>1417</v>
      </c>
      <c r="C5" t="s">
        <v>1242</v>
      </c>
      <c r="D5" t="s">
        <v>1243</v>
      </c>
    </row>
    <row r="6" spans="1:4">
      <c r="A6" t="s">
        <v>1408</v>
      </c>
      <c r="B6" t="s">
        <v>1409</v>
      </c>
      <c r="C6" t="s">
        <v>1242</v>
      </c>
      <c r="D6" t="s">
        <v>1243</v>
      </c>
    </row>
    <row r="7" spans="1:4">
      <c r="A7" t="s">
        <v>1275</v>
      </c>
      <c r="B7" t="s">
        <v>1276</v>
      </c>
      <c r="C7" t="s">
        <v>1242</v>
      </c>
      <c r="D7" t="s">
        <v>1243</v>
      </c>
    </row>
    <row r="8" spans="1:4">
      <c r="A8" t="s">
        <v>1331</v>
      </c>
      <c r="B8" t="s">
        <v>1332</v>
      </c>
      <c r="C8" t="s">
        <v>1242</v>
      </c>
      <c r="D8" t="s">
        <v>1243</v>
      </c>
    </row>
    <row r="9" spans="1:4">
      <c r="A9" t="s">
        <v>1264</v>
      </c>
      <c r="B9" t="s">
        <v>1265</v>
      </c>
      <c r="C9" t="s">
        <v>1242</v>
      </c>
      <c r="D9" t="s">
        <v>1243</v>
      </c>
    </row>
    <row r="10" spans="1:4">
      <c r="A10" t="s">
        <v>1315</v>
      </c>
      <c r="B10" t="s">
        <v>1316</v>
      </c>
      <c r="C10" t="s">
        <v>1242</v>
      </c>
      <c r="D10" t="s">
        <v>1243</v>
      </c>
    </row>
    <row r="11" spans="1:4">
      <c r="A11" t="s">
        <v>1495</v>
      </c>
      <c r="B11" t="s">
        <v>1496</v>
      </c>
      <c r="C11" t="s">
        <v>1242</v>
      </c>
      <c r="D11" t="s">
        <v>1243</v>
      </c>
    </row>
    <row r="12" spans="1:4">
      <c r="A12" t="s">
        <v>1295</v>
      </c>
      <c r="B12" t="s">
        <v>1296</v>
      </c>
      <c r="C12" t="s">
        <v>1242</v>
      </c>
      <c r="D12" t="s">
        <v>1243</v>
      </c>
    </row>
    <row r="13" spans="1:4">
      <c r="A13" t="s">
        <v>1400</v>
      </c>
      <c r="B13" t="s">
        <v>1401</v>
      </c>
      <c r="C13" t="s">
        <v>1242</v>
      </c>
      <c r="D13" t="s">
        <v>1243</v>
      </c>
    </row>
    <row r="14" spans="1:4">
      <c r="A14" t="s">
        <v>1244</v>
      </c>
      <c r="B14" t="s">
        <v>1247</v>
      </c>
      <c r="C14" t="s">
        <v>1242</v>
      </c>
      <c r="D14" t="s">
        <v>1243</v>
      </c>
    </row>
    <row r="15" spans="1:4">
      <c r="A15" t="s">
        <v>1386</v>
      </c>
      <c r="B15" t="s">
        <v>1387</v>
      </c>
      <c r="C15" t="s">
        <v>1242</v>
      </c>
      <c r="D15" t="s">
        <v>1243</v>
      </c>
    </row>
    <row r="16" spans="1:4">
      <c r="A16" t="s">
        <v>1326</v>
      </c>
      <c r="B16" t="s">
        <v>1327</v>
      </c>
      <c r="C16" t="s">
        <v>1242</v>
      </c>
      <c r="D16" t="s">
        <v>1243</v>
      </c>
    </row>
    <row r="17" spans="1:4">
      <c r="A17" t="s">
        <v>1259</v>
      </c>
      <c r="B17" t="s">
        <v>1260</v>
      </c>
      <c r="C17" t="s">
        <v>1242</v>
      </c>
      <c r="D17" t="s">
        <v>1243</v>
      </c>
    </row>
    <row r="18" spans="1:4">
      <c r="A18" t="s">
        <v>1342</v>
      </c>
      <c r="B18" t="s">
        <v>1343</v>
      </c>
      <c r="C18" t="s">
        <v>1242</v>
      </c>
      <c r="D18" t="s">
        <v>1243</v>
      </c>
    </row>
    <row r="19" spans="1:4">
      <c r="A19" t="s">
        <v>1240</v>
      </c>
      <c r="B19" t="s">
        <v>1241</v>
      </c>
      <c r="C19" t="s">
        <v>1242</v>
      </c>
      <c r="D19" t="s">
        <v>1243</v>
      </c>
    </row>
  </sheetData>
  <autoFilter ref="A1:D19" xr:uid="{4499207C-A05A-A043-8247-46A908A555A7}">
    <sortState xmlns:xlrd2="http://schemas.microsoft.com/office/spreadsheetml/2017/richdata2" ref="A2:D19">
      <sortCondition ref="B1:B19"/>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6"/>
  <sheetViews>
    <sheetView workbookViewId="0"/>
  </sheetViews>
  <sheetFormatPr baseColWidth="10" defaultColWidth="8.83203125" defaultRowHeight="15"/>
  <sheetData>
    <row r="1" spans="1:7">
      <c r="A1" s="647" t="s">
        <v>1230</v>
      </c>
      <c r="B1" s="647" t="s">
        <v>1231</v>
      </c>
      <c r="C1" s="647" t="s">
        <v>1232</v>
      </c>
      <c r="D1" s="647" t="s">
        <v>1233</v>
      </c>
      <c r="E1" s="647" t="s">
        <v>1234</v>
      </c>
      <c r="F1" s="647" t="s">
        <v>1235</v>
      </c>
      <c r="G1" s="647" t="s">
        <v>1236</v>
      </c>
    </row>
    <row r="2" spans="1:7">
      <c r="A2" t="s">
        <v>1237</v>
      </c>
      <c r="B2" t="s">
        <v>1238</v>
      </c>
      <c r="C2" t="s">
        <v>1239</v>
      </c>
      <c r="D2" t="s">
        <v>1240</v>
      </c>
      <c r="E2" t="s">
        <v>1241</v>
      </c>
      <c r="F2" t="s">
        <v>1242</v>
      </c>
      <c r="G2" t="s">
        <v>1243</v>
      </c>
    </row>
    <row r="3" spans="1:7">
      <c r="A3" t="s">
        <v>1244</v>
      </c>
      <c r="B3" t="s">
        <v>1245</v>
      </c>
      <c r="C3" t="s">
        <v>1246</v>
      </c>
      <c r="D3" t="s">
        <v>1244</v>
      </c>
      <c r="E3" t="s">
        <v>1247</v>
      </c>
      <c r="F3" t="s">
        <v>1242</v>
      </c>
      <c r="G3" t="s">
        <v>1243</v>
      </c>
    </row>
    <row r="4" spans="1:7">
      <c r="A4" t="s">
        <v>1248</v>
      </c>
      <c r="B4" t="s">
        <v>1249</v>
      </c>
      <c r="C4" t="s">
        <v>1250</v>
      </c>
      <c r="D4" t="s">
        <v>1251</v>
      </c>
      <c r="E4" t="s">
        <v>1252</v>
      </c>
      <c r="F4" t="s">
        <v>1242</v>
      </c>
      <c r="G4" t="s">
        <v>1243</v>
      </c>
    </row>
    <row r="5" spans="1:7">
      <c r="A5" t="s">
        <v>1253</v>
      </c>
      <c r="B5" t="s">
        <v>1254</v>
      </c>
      <c r="C5" t="s">
        <v>1255</v>
      </c>
      <c r="D5" t="s">
        <v>1251</v>
      </c>
      <c r="E5" t="s">
        <v>1252</v>
      </c>
      <c r="F5" t="s">
        <v>1242</v>
      </c>
      <c r="G5" t="s">
        <v>1243</v>
      </c>
    </row>
    <row r="6" spans="1:7">
      <c r="A6" t="s">
        <v>1256</v>
      </c>
      <c r="B6" t="s">
        <v>1257</v>
      </c>
      <c r="C6" t="s">
        <v>1258</v>
      </c>
      <c r="D6" t="s">
        <v>1259</v>
      </c>
      <c r="E6" t="s">
        <v>1260</v>
      </c>
      <c r="F6" t="s">
        <v>1242</v>
      </c>
      <c r="G6" t="s">
        <v>1243</v>
      </c>
    </row>
    <row r="7" spans="1:7">
      <c r="A7" t="s">
        <v>1261</v>
      </c>
      <c r="B7" t="s">
        <v>1262</v>
      </c>
      <c r="C7" t="s">
        <v>1263</v>
      </c>
      <c r="D7" t="s">
        <v>1264</v>
      </c>
      <c r="E7" t="s">
        <v>1265</v>
      </c>
      <c r="F7" t="s">
        <v>1242</v>
      </c>
      <c r="G7" t="s">
        <v>1243</v>
      </c>
    </row>
    <row r="8" spans="1:7">
      <c r="A8" t="s">
        <v>1266</v>
      </c>
      <c r="B8" t="s">
        <v>1267</v>
      </c>
      <c r="C8" t="s">
        <v>1268</v>
      </c>
      <c r="D8" t="s">
        <v>1264</v>
      </c>
      <c r="E8" t="s">
        <v>1265</v>
      </c>
      <c r="F8" t="s">
        <v>1242</v>
      </c>
      <c r="G8" t="s">
        <v>1243</v>
      </c>
    </row>
    <row r="9" spans="1:7">
      <c r="A9" t="s">
        <v>1269</v>
      </c>
      <c r="B9" t="s">
        <v>1270</v>
      </c>
      <c r="C9" t="s">
        <v>1271</v>
      </c>
      <c r="D9" t="s">
        <v>1264</v>
      </c>
      <c r="E9" t="s">
        <v>1265</v>
      </c>
      <c r="F9" t="s">
        <v>1242</v>
      </c>
      <c r="G9" t="s">
        <v>1243</v>
      </c>
    </row>
    <row r="10" spans="1:7">
      <c r="A10" t="s">
        <v>1272</v>
      </c>
      <c r="B10" t="s">
        <v>1273</v>
      </c>
      <c r="C10" t="s">
        <v>1274</v>
      </c>
      <c r="D10" t="s">
        <v>1275</v>
      </c>
      <c r="E10" t="s">
        <v>1276</v>
      </c>
      <c r="F10" t="s">
        <v>1242</v>
      </c>
      <c r="G10" t="s">
        <v>1243</v>
      </c>
    </row>
    <row r="11" spans="1:7">
      <c r="A11" t="s">
        <v>1277</v>
      </c>
      <c r="B11" t="s">
        <v>1278</v>
      </c>
      <c r="C11" t="s">
        <v>1279</v>
      </c>
      <c r="D11" t="s">
        <v>1275</v>
      </c>
      <c r="E11" t="s">
        <v>1276</v>
      </c>
      <c r="F11" t="s">
        <v>1242</v>
      </c>
      <c r="G11" t="s">
        <v>1243</v>
      </c>
    </row>
    <row r="12" spans="1:7">
      <c r="A12" t="s">
        <v>1280</v>
      </c>
      <c r="B12" t="s">
        <v>1281</v>
      </c>
      <c r="C12" t="s">
        <v>1282</v>
      </c>
      <c r="D12" t="s">
        <v>1275</v>
      </c>
      <c r="E12" t="s">
        <v>1276</v>
      </c>
      <c r="F12" t="s">
        <v>1242</v>
      </c>
      <c r="G12" t="s">
        <v>1243</v>
      </c>
    </row>
    <row r="13" spans="1:7">
      <c r="A13" t="s">
        <v>1283</v>
      </c>
      <c r="B13" t="s">
        <v>1284</v>
      </c>
      <c r="C13" t="s">
        <v>1285</v>
      </c>
      <c r="D13" t="s">
        <v>1275</v>
      </c>
      <c r="E13" t="s">
        <v>1276</v>
      </c>
      <c r="F13" t="s">
        <v>1242</v>
      </c>
      <c r="G13" t="s">
        <v>1243</v>
      </c>
    </row>
    <row r="14" spans="1:7">
      <c r="A14" t="s">
        <v>1286</v>
      </c>
      <c r="B14" t="s">
        <v>1287</v>
      </c>
      <c r="C14" t="s">
        <v>1288</v>
      </c>
      <c r="D14" t="s">
        <v>1275</v>
      </c>
      <c r="E14" t="s">
        <v>1276</v>
      </c>
      <c r="F14" t="s">
        <v>1242</v>
      </c>
      <c r="G14" t="s">
        <v>1243</v>
      </c>
    </row>
    <row r="15" spans="1:7">
      <c r="A15" t="s">
        <v>1289</v>
      </c>
      <c r="B15" t="s">
        <v>1290</v>
      </c>
      <c r="C15" t="s">
        <v>1291</v>
      </c>
      <c r="D15" t="s">
        <v>1275</v>
      </c>
      <c r="E15" t="s">
        <v>1276</v>
      </c>
      <c r="F15" t="s">
        <v>1242</v>
      </c>
      <c r="G15" t="s">
        <v>1243</v>
      </c>
    </row>
    <row r="16" spans="1:7">
      <c r="A16" t="s">
        <v>1292</v>
      </c>
      <c r="B16" t="s">
        <v>1293</v>
      </c>
      <c r="C16" t="s">
        <v>1294</v>
      </c>
      <c r="D16" t="s">
        <v>1295</v>
      </c>
      <c r="E16" t="s">
        <v>1296</v>
      </c>
      <c r="F16" t="s">
        <v>1242</v>
      </c>
      <c r="G16" t="s">
        <v>1243</v>
      </c>
    </row>
    <row r="17" spans="1:7">
      <c r="A17" t="s">
        <v>1297</v>
      </c>
      <c r="B17" t="s">
        <v>1298</v>
      </c>
      <c r="C17" t="s">
        <v>1299</v>
      </c>
      <c r="D17" t="s">
        <v>1295</v>
      </c>
      <c r="E17" t="s">
        <v>1296</v>
      </c>
      <c r="F17" t="s">
        <v>1242</v>
      </c>
      <c r="G17" t="s">
        <v>1243</v>
      </c>
    </row>
    <row r="18" spans="1:7">
      <c r="A18" t="s">
        <v>1300</v>
      </c>
      <c r="B18" t="s">
        <v>1301</v>
      </c>
      <c r="C18" t="s">
        <v>1302</v>
      </c>
      <c r="D18" t="s">
        <v>1275</v>
      </c>
      <c r="E18" t="s">
        <v>1276</v>
      </c>
      <c r="F18" t="s">
        <v>1242</v>
      </c>
      <c r="G18" t="s">
        <v>1243</v>
      </c>
    </row>
    <row r="19" spans="1:7">
      <c r="A19" t="s">
        <v>1303</v>
      </c>
      <c r="B19" t="s">
        <v>1304</v>
      </c>
      <c r="C19" t="s">
        <v>1305</v>
      </c>
      <c r="D19" t="s">
        <v>1275</v>
      </c>
      <c r="E19" t="s">
        <v>1276</v>
      </c>
      <c r="F19" t="s">
        <v>1242</v>
      </c>
      <c r="G19" t="s">
        <v>1243</v>
      </c>
    </row>
    <row r="20" spans="1:7">
      <c r="A20" t="s">
        <v>1306</v>
      </c>
      <c r="B20" t="s">
        <v>1307</v>
      </c>
      <c r="C20" t="s">
        <v>1308</v>
      </c>
      <c r="D20" t="s">
        <v>1295</v>
      </c>
      <c r="E20" t="s">
        <v>1296</v>
      </c>
      <c r="F20" t="s">
        <v>1242</v>
      </c>
      <c r="G20" t="s">
        <v>1243</v>
      </c>
    </row>
    <row r="21" spans="1:7">
      <c r="A21" t="s">
        <v>1309</v>
      </c>
      <c r="B21" t="s">
        <v>1310</v>
      </c>
      <c r="C21" t="s">
        <v>1311</v>
      </c>
      <c r="D21" t="s">
        <v>1295</v>
      </c>
      <c r="E21" t="s">
        <v>1296</v>
      </c>
      <c r="F21" t="s">
        <v>1242</v>
      </c>
      <c r="G21" t="s">
        <v>1243</v>
      </c>
    </row>
    <row r="22" spans="1:7">
      <c r="A22" t="s">
        <v>1312</v>
      </c>
      <c r="B22" t="s">
        <v>1313</v>
      </c>
      <c r="C22" t="s">
        <v>1314</v>
      </c>
      <c r="D22" t="s">
        <v>1315</v>
      </c>
      <c r="E22" t="s">
        <v>1316</v>
      </c>
      <c r="F22" t="s">
        <v>1242</v>
      </c>
      <c r="G22" t="s">
        <v>1243</v>
      </c>
    </row>
    <row r="23" spans="1:7">
      <c r="A23" t="s">
        <v>1317</v>
      </c>
      <c r="B23" t="s">
        <v>1318</v>
      </c>
      <c r="C23" t="s">
        <v>1319</v>
      </c>
      <c r="D23" t="s">
        <v>1295</v>
      </c>
      <c r="E23" t="s">
        <v>1296</v>
      </c>
      <c r="F23" t="s">
        <v>1242</v>
      </c>
      <c r="G23" t="s">
        <v>1243</v>
      </c>
    </row>
    <row r="24" spans="1:7">
      <c r="A24" t="s">
        <v>1320</v>
      </c>
      <c r="B24" t="s">
        <v>1321</v>
      </c>
      <c r="C24" t="s">
        <v>1322</v>
      </c>
      <c r="D24" t="s">
        <v>1275</v>
      </c>
      <c r="E24" t="s">
        <v>1276</v>
      </c>
      <c r="F24" t="s">
        <v>1242</v>
      </c>
      <c r="G24" t="s">
        <v>1243</v>
      </c>
    </row>
    <row r="25" spans="1:7">
      <c r="A25" t="s">
        <v>1323</v>
      </c>
      <c r="B25" t="s">
        <v>1324</v>
      </c>
      <c r="C25" t="s">
        <v>1325</v>
      </c>
      <c r="D25" t="s">
        <v>1326</v>
      </c>
      <c r="E25" t="s">
        <v>1327</v>
      </c>
      <c r="F25" t="s">
        <v>1242</v>
      </c>
      <c r="G25" t="s">
        <v>1243</v>
      </c>
    </row>
    <row r="26" spans="1:7">
      <c r="A26" t="s">
        <v>1328</v>
      </c>
      <c r="B26" t="s">
        <v>1329</v>
      </c>
      <c r="C26" t="s">
        <v>1330</v>
      </c>
      <c r="D26" t="s">
        <v>1331</v>
      </c>
      <c r="E26" t="s">
        <v>1332</v>
      </c>
      <c r="F26" t="s">
        <v>1242</v>
      </c>
      <c r="G26" t="s">
        <v>1243</v>
      </c>
    </row>
    <row r="27" spans="1:7">
      <c r="A27" t="s">
        <v>1333</v>
      </c>
      <c r="B27" t="s">
        <v>1334</v>
      </c>
      <c r="C27" t="s">
        <v>1335</v>
      </c>
      <c r="D27" t="s">
        <v>1244</v>
      </c>
      <c r="E27" t="s">
        <v>1247</v>
      </c>
      <c r="F27" t="s">
        <v>1242</v>
      </c>
      <c r="G27" t="s">
        <v>1243</v>
      </c>
    </row>
    <row r="28" spans="1:7">
      <c r="A28" t="s">
        <v>1336</v>
      </c>
      <c r="B28" t="s">
        <v>1337</v>
      </c>
      <c r="C28" t="s">
        <v>1338</v>
      </c>
      <c r="D28" t="s">
        <v>1244</v>
      </c>
      <c r="E28" t="s">
        <v>1247</v>
      </c>
      <c r="F28" t="s">
        <v>1242</v>
      </c>
      <c r="G28" t="s">
        <v>1243</v>
      </c>
    </row>
    <row r="29" spans="1:7">
      <c r="A29" t="s">
        <v>1339</v>
      </c>
      <c r="B29" t="s">
        <v>1340</v>
      </c>
      <c r="C29" t="s">
        <v>1341</v>
      </c>
      <c r="D29" t="s">
        <v>1342</v>
      </c>
      <c r="E29" t="s">
        <v>1343</v>
      </c>
      <c r="F29" t="s">
        <v>1242</v>
      </c>
      <c r="G29" t="s">
        <v>1243</v>
      </c>
    </row>
    <row r="30" spans="1:7">
      <c r="A30" t="s">
        <v>1344</v>
      </c>
      <c r="B30" t="s">
        <v>1345</v>
      </c>
      <c r="C30" t="s">
        <v>1346</v>
      </c>
      <c r="D30" t="s">
        <v>1264</v>
      </c>
      <c r="E30" t="s">
        <v>1265</v>
      </c>
      <c r="F30" t="s">
        <v>1242</v>
      </c>
      <c r="G30" t="s">
        <v>1243</v>
      </c>
    </row>
    <row r="31" spans="1:7">
      <c r="A31" t="s">
        <v>1347</v>
      </c>
      <c r="B31" t="s">
        <v>1348</v>
      </c>
      <c r="C31" t="s">
        <v>1349</v>
      </c>
      <c r="D31" t="s">
        <v>1350</v>
      </c>
      <c r="E31" t="s">
        <v>1351</v>
      </c>
      <c r="F31" t="s">
        <v>1242</v>
      </c>
      <c r="G31" t="s">
        <v>1243</v>
      </c>
    </row>
    <row r="32" spans="1:7">
      <c r="A32" t="s">
        <v>1352</v>
      </c>
      <c r="B32" t="s">
        <v>1353</v>
      </c>
      <c r="C32" t="s">
        <v>1354</v>
      </c>
      <c r="D32" t="s">
        <v>1350</v>
      </c>
      <c r="E32" t="s">
        <v>1351</v>
      </c>
      <c r="F32" t="s">
        <v>1242</v>
      </c>
      <c r="G32" t="s">
        <v>1243</v>
      </c>
    </row>
    <row r="33" spans="1:7">
      <c r="A33" t="s">
        <v>1350</v>
      </c>
      <c r="B33" t="s">
        <v>1355</v>
      </c>
      <c r="C33" t="s">
        <v>1356</v>
      </c>
      <c r="D33" t="s">
        <v>1350</v>
      </c>
      <c r="E33" t="s">
        <v>1351</v>
      </c>
      <c r="F33" t="s">
        <v>1242</v>
      </c>
      <c r="G33" t="s">
        <v>1243</v>
      </c>
    </row>
    <row r="34" spans="1:7">
      <c r="A34" t="s">
        <v>1357</v>
      </c>
      <c r="B34" t="s">
        <v>1358</v>
      </c>
      <c r="C34" t="s">
        <v>1359</v>
      </c>
      <c r="D34" t="s">
        <v>1350</v>
      </c>
      <c r="E34" t="s">
        <v>1351</v>
      </c>
      <c r="F34" t="s">
        <v>1242</v>
      </c>
      <c r="G34" t="s">
        <v>1243</v>
      </c>
    </row>
    <row r="35" spans="1:7">
      <c r="A35" t="s">
        <v>1360</v>
      </c>
      <c r="B35" t="s">
        <v>1361</v>
      </c>
      <c r="C35" t="s">
        <v>1362</v>
      </c>
      <c r="D35" t="s">
        <v>1350</v>
      </c>
      <c r="E35" t="s">
        <v>1351</v>
      </c>
      <c r="F35" t="s">
        <v>1242</v>
      </c>
      <c r="G35" t="s">
        <v>1243</v>
      </c>
    </row>
    <row r="36" spans="1:7">
      <c r="A36" t="s">
        <v>1363</v>
      </c>
      <c r="B36" t="s">
        <v>1364</v>
      </c>
      <c r="C36" t="s">
        <v>1365</v>
      </c>
      <c r="D36" t="s">
        <v>1342</v>
      </c>
      <c r="E36" t="s">
        <v>1343</v>
      </c>
      <c r="F36" t="s">
        <v>1242</v>
      </c>
      <c r="G36" t="s">
        <v>1243</v>
      </c>
    </row>
    <row r="37" spans="1:7">
      <c r="A37" t="s">
        <v>1366</v>
      </c>
      <c r="B37" t="s">
        <v>1367</v>
      </c>
      <c r="C37" t="s">
        <v>1368</v>
      </c>
      <c r="D37" t="s">
        <v>1342</v>
      </c>
      <c r="E37" t="s">
        <v>1343</v>
      </c>
      <c r="F37" t="s">
        <v>1242</v>
      </c>
      <c r="G37" t="s">
        <v>1243</v>
      </c>
    </row>
    <row r="38" spans="1:7">
      <c r="A38" t="s">
        <v>1369</v>
      </c>
      <c r="B38" t="s">
        <v>1370</v>
      </c>
      <c r="C38" t="s">
        <v>1371</v>
      </c>
      <c r="D38" t="s">
        <v>1342</v>
      </c>
      <c r="E38" t="s">
        <v>1343</v>
      </c>
      <c r="F38" t="s">
        <v>1242</v>
      </c>
      <c r="G38" t="s">
        <v>1243</v>
      </c>
    </row>
    <row r="39" spans="1:7">
      <c r="A39" t="s">
        <v>1372</v>
      </c>
      <c r="B39" t="s">
        <v>1373</v>
      </c>
      <c r="C39" t="s">
        <v>1374</v>
      </c>
      <c r="D39" t="s">
        <v>1375</v>
      </c>
      <c r="E39" t="s">
        <v>1376</v>
      </c>
      <c r="F39" t="s">
        <v>1242</v>
      </c>
      <c r="G39" t="s">
        <v>1243</v>
      </c>
    </row>
    <row r="40" spans="1:7">
      <c r="A40" t="s">
        <v>1377</v>
      </c>
      <c r="B40" t="s">
        <v>1378</v>
      </c>
      <c r="C40" t="s">
        <v>1379</v>
      </c>
      <c r="D40" t="s">
        <v>1375</v>
      </c>
      <c r="E40" t="s">
        <v>1376</v>
      </c>
      <c r="F40" t="s">
        <v>1242</v>
      </c>
      <c r="G40" t="s">
        <v>1243</v>
      </c>
    </row>
    <row r="41" spans="1:7">
      <c r="A41" t="s">
        <v>1380</v>
      </c>
      <c r="B41" t="s">
        <v>1381</v>
      </c>
      <c r="C41" t="s">
        <v>1382</v>
      </c>
      <c r="D41" t="s">
        <v>1350</v>
      </c>
      <c r="E41" t="s">
        <v>1351</v>
      </c>
      <c r="F41" t="s">
        <v>1242</v>
      </c>
      <c r="G41" t="s">
        <v>1243</v>
      </c>
    </row>
    <row r="42" spans="1:7">
      <c r="A42" t="s">
        <v>1383</v>
      </c>
      <c r="B42" t="s">
        <v>1384</v>
      </c>
      <c r="C42" t="s">
        <v>1385</v>
      </c>
      <c r="D42" t="s">
        <v>1386</v>
      </c>
      <c r="E42" t="s">
        <v>1387</v>
      </c>
      <c r="F42" t="s">
        <v>1242</v>
      </c>
      <c r="G42" t="s">
        <v>1243</v>
      </c>
    </row>
    <row r="43" spans="1:7">
      <c r="A43" t="s">
        <v>1388</v>
      </c>
      <c r="B43" t="s">
        <v>1389</v>
      </c>
      <c r="C43" t="s">
        <v>1390</v>
      </c>
      <c r="D43" t="s">
        <v>1386</v>
      </c>
      <c r="E43" t="s">
        <v>1387</v>
      </c>
      <c r="F43" t="s">
        <v>1242</v>
      </c>
      <c r="G43" t="s">
        <v>1243</v>
      </c>
    </row>
    <row r="44" spans="1:7">
      <c r="A44" t="s">
        <v>1391</v>
      </c>
      <c r="B44" t="s">
        <v>1392</v>
      </c>
      <c r="C44" t="s">
        <v>1393</v>
      </c>
      <c r="D44" t="s">
        <v>1386</v>
      </c>
      <c r="E44" t="s">
        <v>1387</v>
      </c>
      <c r="F44" t="s">
        <v>1242</v>
      </c>
      <c r="G44" t="s">
        <v>1243</v>
      </c>
    </row>
    <row r="45" spans="1:7">
      <c r="A45" t="s">
        <v>1394</v>
      </c>
      <c r="B45" t="s">
        <v>1395</v>
      </c>
      <c r="C45" t="s">
        <v>1396</v>
      </c>
      <c r="D45" t="s">
        <v>1375</v>
      </c>
      <c r="E45" t="s">
        <v>1376</v>
      </c>
      <c r="F45" t="s">
        <v>1242</v>
      </c>
      <c r="G45" t="s">
        <v>1243</v>
      </c>
    </row>
    <row r="46" spans="1:7">
      <c r="A46" t="s">
        <v>1397</v>
      </c>
      <c r="B46" t="s">
        <v>1398</v>
      </c>
      <c r="C46" t="s">
        <v>1399</v>
      </c>
      <c r="D46" t="s">
        <v>1400</v>
      </c>
      <c r="E46" t="s">
        <v>1401</v>
      </c>
      <c r="F46" t="s">
        <v>1242</v>
      </c>
      <c r="G46" t="s">
        <v>1243</v>
      </c>
    </row>
    <row r="47" spans="1:7">
      <c r="A47" t="s">
        <v>1402</v>
      </c>
      <c r="B47" t="s">
        <v>1403</v>
      </c>
      <c r="C47" t="s">
        <v>1404</v>
      </c>
      <c r="D47" t="s">
        <v>1375</v>
      </c>
      <c r="E47" t="s">
        <v>1376</v>
      </c>
      <c r="F47" t="s">
        <v>1242</v>
      </c>
      <c r="G47" t="s">
        <v>1243</v>
      </c>
    </row>
    <row r="48" spans="1:7">
      <c r="A48" t="s">
        <v>1405</v>
      </c>
      <c r="B48" t="s">
        <v>1406</v>
      </c>
      <c r="C48" t="s">
        <v>1407</v>
      </c>
      <c r="D48" t="s">
        <v>1408</v>
      </c>
      <c r="E48" t="s">
        <v>1409</v>
      </c>
      <c r="F48" t="s">
        <v>1242</v>
      </c>
      <c r="G48" t="s">
        <v>1243</v>
      </c>
    </row>
    <row r="49" spans="1:7">
      <c r="A49" t="s">
        <v>1410</v>
      </c>
      <c r="B49" t="s">
        <v>1411</v>
      </c>
      <c r="C49" t="s">
        <v>1412</v>
      </c>
      <c r="D49" t="s">
        <v>1331</v>
      </c>
      <c r="E49" t="s">
        <v>1332</v>
      </c>
      <c r="F49" t="s">
        <v>1242</v>
      </c>
      <c r="G49" t="s">
        <v>1243</v>
      </c>
    </row>
    <row r="50" spans="1:7">
      <c r="A50" t="s">
        <v>1413</v>
      </c>
      <c r="B50" t="s">
        <v>1414</v>
      </c>
      <c r="C50" t="s">
        <v>1415</v>
      </c>
      <c r="D50" t="s">
        <v>1416</v>
      </c>
      <c r="E50" t="s">
        <v>1417</v>
      </c>
      <c r="F50" t="s">
        <v>1242</v>
      </c>
      <c r="G50" t="s">
        <v>1243</v>
      </c>
    </row>
    <row r="51" spans="1:7">
      <c r="A51" t="s">
        <v>1418</v>
      </c>
      <c r="B51" t="s">
        <v>1419</v>
      </c>
      <c r="C51" t="s">
        <v>1420</v>
      </c>
      <c r="D51" t="s">
        <v>1416</v>
      </c>
      <c r="E51" t="s">
        <v>1417</v>
      </c>
      <c r="F51" t="s">
        <v>1242</v>
      </c>
      <c r="G51" t="s">
        <v>1243</v>
      </c>
    </row>
    <row r="52" spans="1:7">
      <c r="A52" t="s">
        <v>1421</v>
      </c>
      <c r="B52" t="s">
        <v>1422</v>
      </c>
      <c r="C52" t="s">
        <v>1423</v>
      </c>
      <c r="D52" t="s">
        <v>1331</v>
      </c>
      <c r="E52" t="s">
        <v>1332</v>
      </c>
      <c r="F52" t="s">
        <v>1242</v>
      </c>
      <c r="G52" t="s">
        <v>1243</v>
      </c>
    </row>
    <row r="53" spans="1:7">
      <c r="A53" t="s">
        <v>1424</v>
      </c>
      <c r="B53" t="s">
        <v>1425</v>
      </c>
      <c r="C53" t="s">
        <v>1426</v>
      </c>
      <c r="D53" t="s">
        <v>1408</v>
      </c>
      <c r="E53" t="s">
        <v>1409</v>
      </c>
      <c r="F53" t="s">
        <v>1242</v>
      </c>
      <c r="G53" t="s">
        <v>1243</v>
      </c>
    </row>
    <row r="54" spans="1:7">
      <c r="A54" t="s">
        <v>1427</v>
      </c>
      <c r="B54" t="s">
        <v>1428</v>
      </c>
      <c r="C54" t="s">
        <v>1429</v>
      </c>
      <c r="D54" t="s">
        <v>1408</v>
      </c>
      <c r="E54" t="s">
        <v>1409</v>
      </c>
      <c r="F54" t="s">
        <v>1242</v>
      </c>
      <c r="G54" t="s">
        <v>1243</v>
      </c>
    </row>
    <row r="55" spans="1:7">
      <c r="A55" t="s">
        <v>1430</v>
      </c>
      <c r="B55" t="s">
        <v>1431</v>
      </c>
      <c r="C55" t="s">
        <v>1432</v>
      </c>
      <c r="D55" t="s">
        <v>1240</v>
      </c>
      <c r="E55" t="s">
        <v>1241</v>
      </c>
      <c r="F55" t="s">
        <v>1242</v>
      </c>
      <c r="G55" t="s">
        <v>1243</v>
      </c>
    </row>
    <row r="56" spans="1:7">
      <c r="A56" t="s">
        <v>1433</v>
      </c>
      <c r="B56" t="s">
        <v>1434</v>
      </c>
      <c r="C56" t="s">
        <v>1435</v>
      </c>
      <c r="D56" t="s">
        <v>1342</v>
      </c>
      <c r="E56" t="s">
        <v>1343</v>
      </c>
      <c r="F56" t="s">
        <v>1242</v>
      </c>
      <c r="G56" t="s">
        <v>1243</v>
      </c>
    </row>
    <row r="57" spans="1:7">
      <c r="A57" t="s">
        <v>1436</v>
      </c>
      <c r="B57" t="s">
        <v>1437</v>
      </c>
      <c r="C57" t="s">
        <v>1438</v>
      </c>
      <c r="D57" t="s">
        <v>1386</v>
      </c>
      <c r="E57" t="s">
        <v>1387</v>
      </c>
      <c r="F57" t="s">
        <v>1242</v>
      </c>
      <c r="G57" t="s">
        <v>1243</v>
      </c>
    </row>
    <row r="58" spans="1:7">
      <c r="A58" t="s">
        <v>1439</v>
      </c>
      <c r="B58" t="s">
        <v>1440</v>
      </c>
      <c r="C58" t="s">
        <v>1441</v>
      </c>
      <c r="D58" t="s">
        <v>1386</v>
      </c>
      <c r="E58" t="s">
        <v>1387</v>
      </c>
      <c r="F58" t="s">
        <v>1242</v>
      </c>
      <c r="G58" t="s">
        <v>1243</v>
      </c>
    </row>
    <row r="59" spans="1:7">
      <c r="A59" t="s">
        <v>1442</v>
      </c>
      <c r="B59" t="s">
        <v>1443</v>
      </c>
      <c r="C59" t="s">
        <v>1444</v>
      </c>
      <c r="D59" t="s">
        <v>1264</v>
      </c>
      <c r="E59" t="s">
        <v>1265</v>
      </c>
      <c r="F59" t="s">
        <v>1242</v>
      </c>
      <c r="G59" t="s">
        <v>1243</v>
      </c>
    </row>
    <row r="60" spans="1:7">
      <c r="A60" t="s">
        <v>1445</v>
      </c>
      <c r="B60" t="s">
        <v>1446</v>
      </c>
      <c r="C60" t="s">
        <v>1447</v>
      </c>
      <c r="D60" t="s">
        <v>1331</v>
      </c>
      <c r="E60" t="s">
        <v>1332</v>
      </c>
      <c r="F60" t="s">
        <v>1242</v>
      </c>
      <c r="G60" t="s">
        <v>1243</v>
      </c>
    </row>
    <row r="61" spans="1:7">
      <c r="A61" t="s">
        <v>1448</v>
      </c>
      <c r="B61" t="s">
        <v>1449</v>
      </c>
      <c r="C61" t="s">
        <v>1450</v>
      </c>
      <c r="D61" t="s">
        <v>1240</v>
      </c>
      <c r="E61" t="s">
        <v>1241</v>
      </c>
      <c r="F61" t="s">
        <v>1242</v>
      </c>
      <c r="G61" t="s">
        <v>1243</v>
      </c>
    </row>
    <row r="62" spans="1:7">
      <c r="A62" t="s">
        <v>1451</v>
      </c>
      <c r="B62" t="s">
        <v>1452</v>
      </c>
      <c r="C62" t="s">
        <v>1453</v>
      </c>
      <c r="D62" t="s">
        <v>1240</v>
      </c>
      <c r="E62" t="s">
        <v>1241</v>
      </c>
      <c r="F62" t="s">
        <v>1242</v>
      </c>
      <c r="G62" t="s">
        <v>1243</v>
      </c>
    </row>
    <row r="63" spans="1:7">
      <c r="A63" t="s">
        <v>1454</v>
      </c>
      <c r="B63" t="s">
        <v>1455</v>
      </c>
      <c r="C63" t="s">
        <v>1456</v>
      </c>
      <c r="D63" t="s">
        <v>1240</v>
      </c>
      <c r="E63" t="s">
        <v>1241</v>
      </c>
      <c r="F63" t="s">
        <v>1242</v>
      </c>
      <c r="G63" t="s">
        <v>1243</v>
      </c>
    </row>
    <row r="64" spans="1:7">
      <c r="A64" t="s">
        <v>1457</v>
      </c>
      <c r="B64" t="s">
        <v>1458</v>
      </c>
      <c r="C64" t="s">
        <v>1459</v>
      </c>
      <c r="D64" t="s">
        <v>1259</v>
      </c>
      <c r="E64" t="s">
        <v>1260</v>
      </c>
      <c r="F64" t="s">
        <v>1242</v>
      </c>
      <c r="G64" t="s">
        <v>1243</v>
      </c>
    </row>
    <row r="65" spans="1:7">
      <c r="A65" t="s">
        <v>1416</v>
      </c>
      <c r="B65" t="s">
        <v>1460</v>
      </c>
      <c r="C65" t="s">
        <v>1461</v>
      </c>
      <c r="D65" t="s">
        <v>1416</v>
      </c>
      <c r="E65" t="s">
        <v>1417</v>
      </c>
      <c r="F65" t="s">
        <v>1242</v>
      </c>
      <c r="G65" t="s">
        <v>1243</v>
      </c>
    </row>
    <row r="66" spans="1:7">
      <c r="A66" t="s">
        <v>1462</v>
      </c>
      <c r="B66" t="s">
        <v>1463</v>
      </c>
      <c r="C66" t="s">
        <v>1464</v>
      </c>
      <c r="D66" t="s">
        <v>1400</v>
      </c>
      <c r="E66" t="s">
        <v>1401</v>
      </c>
      <c r="F66" t="s">
        <v>1242</v>
      </c>
      <c r="G66" t="s">
        <v>1243</v>
      </c>
    </row>
    <row r="67" spans="1:7">
      <c r="A67" t="s">
        <v>1465</v>
      </c>
      <c r="B67" t="s">
        <v>1466</v>
      </c>
      <c r="C67" t="s">
        <v>1467</v>
      </c>
      <c r="D67" t="s">
        <v>1400</v>
      </c>
      <c r="E67" t="s">
        <v>1401</v>
      </c>
      <c r="F67" t="s">
        <v>1242</v>
      </c>
      <c r="G67" t="s">
        <v>1243</v>
      </c>
    </row>
    <row r="68" spans="1:7">
      <c r="A68" t="s">
        <v>1468</v>
      </c>
      <c r="B68" t="s">
        <v>1469</v>
      </c>
      <c r="C68" t="s">
        <v>1470</v>
      </c>
      <c r="D68" t="s">
        <v>1251</v>
      </c>
      <c r="E68" t="s">
        <v>1252</v>
      </c>
      <c r="F68" t="s">
        <v>1242</v>
      </c>
      <c r="G68" t="s">
        <v>1243</v>
      </c>
    </row>
    <row r="69" spans="1:7">
      <c r="A69" t="s">
        <v>1471</v>
      </c>
      <c r="B69" t="s">
        <v>1472</v>
      </c>
      <c r="C69" t="s">
        <v>1473</v>
      </c>
      <c r="D69" t="s">
        <v>1251</v>
      </c>
      <c r="E69" t="s">
        <v>1252</v>
      </c>
      <c r="F69" t="s">
        <v>1242</v>
      </c>
      <c r="G69" t="s">
        <v>1243</v>
      </c>
    </row>
    <row r="70" spans="1:7">
      <c r="A70" t="s">
        <v>1474</v>
      </c>
      <c r="B70" t="s">
        <v>1475</v>
      </c>
      <c r="C70" t="s">
        <v>1476</v>
      </c>
      <c r="D70" t="s">
        <v>1251</v>
      </c>
      <c r="E70" t="s">
        <v>1252</v>
      </c>
      <c r="F70" t="s">
        <v>1242</v>
      </c>
      <c r="G70" t="s">
        <v>1243</v>
      </c>
    </row>
    <row r="71" spans="1:7">
      <c r="A71" t="s">
        <v>1477</v>
      </c>
      <c r="B71" t="s">
        <v>1478</v>
      </c>
      <c r="C71" t="s">
        <v>1479</v>
      </c>
      <c r="D71" t="s">
        <v>1251</v>
      </c>
      <c r="E71" t="s">
        <v>1252</v>
      </c>
      <c r="F71" t="s">
        <v>1242</v>
      </c>
      <c r="G71" t="s">
        <v>1243</v>
      </c>
    </row>
    <row r="72" spans="1:7">
      <c r="A72" t="s">
        <v>1480</v>
      </c>
      <c r="B72" t="s">
        <v>1481</v>
      </c>
      <c r="C72" t="s">
        <v>1482</v>
      </c>
      <c r="D72" t="s">
        <v>1251</v>
      </c>
      <c r="E72" t="s">
        <v>1252</v>
      </c>
      <c r="F72" t="s">
        <v>1242</v>
      </c>
      <c r="G72" t="s">
        <v>1243</v>
      </c>
    </row>
    <row r="73" spans="1:7">
      <c r="A73" t="s">
        <v>1483</v>
      </c>
      <c r="B73" t="s">
        <v>1484</v>
      </c>
      <c r="C73" t="s">
        <v>1485</v>
      </c>
      <c r="D73" t="s">
        <v>1264</v>
      </c>
      <c r="E73" t="s">
        <v>1265</v>
      </c>
      <c r="F73" t="s">
        <v>1242</v>
      </c>
      <c r="G73" t="s">
        <v>1243</v>
      </c>
    </row>
    <row r="74" spans="1:7">
      <c r="A74" t="s">
        <v>1486</v>
      </c>
      <c r="B74" t="s">
        <v>1487</v>
      </c>
      <c r="C74" t="s">
        <v>1488</v>
      </c>
      <c r="D74" t="s">
        <v>1275</v>
      </c>
      <c r="E74" t="s">
        <v>1276</v>
      </c>
      <c r="F74" t="s">
        <v>1242</v>
      </c>
      <c r="G74" t="s">
        <v>1243</v>
      </c>
    </row>
    <row r="75" spans="1:7">
      <c r="A75" t="s">
        <v>1489</v>
      </c>
      <c r="B75" t="s">
        <v>1490</v>
      </c>
      <c r="C75" t="s">
        <v>1491</v>
      </c>
      <c r="D75" t="s">
        <v>1259</v>
      </c>
      <c r="E75" t="s">
        <v>1260</v>
      </c>
      <c r="F75" t="s">
        <v>1242</v>
      </c>
      <c r="G75" t="s">
        <v>1243</v>
      </c>
    </row>
    <row r="76" spans="1:7">
      <c r="A76" t="s">
        <v>1492</v>
      </c>
      <c r="B76" t="s">
        <v>1493</v>
      </c>
      <c r="C76" t="s">
        <v>1494</v>
      </c>
      <c r="D76" t="s">
        <v>1495</v>
      </c>
      <c r="E76" t="s">
        <v>1496</v>
      </c>
      <c r="F76" t="s">
        <v>1242</v>
      </c>
      <c r="G76" t="s">
        <v>1243</v>
      </c>
    </row>
    <row r="77" spans="1:7">
      <c r="A77" t="s">
        <v>1497</v>
      </c>
      <c r="B77" t="s">
        <v>1498</v>
      </c>
      <c r="C77" t="s">
        <v>1499</v>
      </c>
      <c r="D77" t="s">
        <v>1495</v>
      </c>
      <c r="E77" t="s">
        <v>1496</v>
      </c>
      <c r="F77" t="s">
        <v>1242</v>
      </c>
      <c r="G77" t="s">
        <v>1243</v>
      </c>
    </row>
    <row r="78" spans="1:7">
      <c r="A78" t="s">
        <v>1500</v>
      </c>
      <c r="B78" t="s">
        <v>1501</v>
      </c>
      <c r="C78" t="s">
        <v>1502</v>
      </c>
      <c r="D78" t="s">
        <v>1495</v>
      </c>
      <c r="E78" t="s">
        <v>1496</v>
      </c>
      <c r="F78" t="s">
        <v>1242</v>
      </c>
      <c r="G78" t="s">
        <v>1243</v>
      </c>
    </row>
    <row r="79" spans="1:7">
      <c r="A79" t="s">
        <v>1503</v>
      </c>
      <c r="B79" t="s">
        <v>1504</v>
      </c>
      <c r="C79" t="s">
        <v>1505</v>
      </c>
      <c r="D79" t="s">
        <v>1495</v>
      </c>
      <c r="E79" t="s">
        <v>1496</v>
      </c>
      <c r="F79" t="s">
        <v>1242</v>
      </c>
      <c r="G79" t="s">
        <v>1243</v>
      </c>
    </row>
    <row r="80" spans="1:7">
      <c r="A80" t="s">
        <v>1506</v>
      </c>
      <c r="B80" t="s">
        <v>1507</v>
      </c>
      <c r="C80" t="s">
        <v>1508</v>
      </c>
      <c r="D80" t="s">
        <v>1251</v>
      </c>
      <c r="E80" t="s">
        <v>1252</v>
      </c>
      <c r="F80" t="s">
        <v>1242</v>
      </c>
      <c r="G80" t="s">
        <v>1243</v>
      </c>
    </row>
    <row r="81" spans="1:7">
      <c r="A81" t="s">
        <v>1509</v>
      </c>
      <c r="B81" t="s">
        <v>1510</v>
      </c>
      <c r="C81" t="s">
        <v>1511</v>
      </c>
      <c r="D81" t="s">
        <v>1259</v>
      </c>
      <c r="E81" t="s">
        <v>1260</v>
      </c>
      <c r="F81" t="s">
        <v>1242</v>
      </c>
      <c r="G81" t="s">
        <v>1243</v>
      </c>
    </row>
    <row r="82" spans="1:7">
      <c r="A82" t="s">
        <v>1512</v>
      </c>
      <c r="B82" t="s">
        <v>1513</v>
      </c>
      <c r="C82" t="s">
        <v>1514</v>
      </c>
      <c r="D82" t="s">
        <v>1259</v>
      </c>
      <c r="E82" t="s">
        <v>1260</v>
      </c>
      <c r="F82" t="s">
        <v>1242</v>
      </c>
      <c r="G82" t="s">
        <v>1243</v>
      </c>
    </row>
    <row r="83" spans="1:7">
      <c r="A83" t="s">
        <v>1515</v>
      </c>
      <c r="B83" t="s">
        <v>1516</v>
      </c>
      <c r="C83" t="s">
        <v>1517</v>
      </c>
      <c r="D83" t="s">
        <v>1315</v>
      </c>
      <c r="E83" t="s">
        <v>1316</v>
      </c>
      <c r="F83" t="s">
        <v>1242</v>
      </c>
      <c r="G83" t="s">
        <v>1243</v>
      </c>
    </row>
    <row r="84" spans="1:7">
      <c r="A84" t="s">
        <v>1518</v>
      </c>
      <c r="B84" t="s">
        <v>1519</v>
      </c>
      <c r="C84" t="s">
        <v>1520</v>
      </c>
      <c r="D84" t="s">
        <v>1326</v>
      </c>
      <c r="E84" t="s">
        <v>1327</v>
      </c>
      <c r="F84" t="s">
        <v>1242</v>
      </c>
      <c r="G84" t="s">
        <v>1243</v>
      </c>
    </row>
    <row r="85" spans="1:7">
      <c r="A85" t="s">
        <v>1521</v>
      </c>
      <c r="B85" t="s">
        <v>1522</v>
      </c>
      <c r="C85" t="s">
        <v>1523</v>
      </c>
      <c r="D85" t="s">
        <v>1326</v>
      </c>
      <c r="E85" t="s">
        <v>1327</v>
      </c>
      <c r="F85" t="s">
        <v>1242</v>
      </c>
      <c r="G85" t="s">
        <v>1243</v>
      </c>
    </row>
    <row r="86" spans="1:7">
      <c r="A86" t="s">
        <v>1524</v>
      </c>
      <c r="B86" t="s">
        <v>1525</v>
      </c>
      <c r="C86" t="s">
        <v>1526</v>
      </c>
      <c r="D86" t="s">
        <v>1326</v>
      </c>
      <c r="E86" t="s">
        <v>1327</v>
      </c>
      <c r="F86" t="s">
        <v>1242</v>
      </c>
      <c r="G86" t="s">
        <v>1243</v>
      </c>
    </row>
    <row r="87" spans="1:7">
      <c r="A87" t="s">
        <v>1527</v>
      </c>
      <c r="B87" t="s">
        <v>1528</v>
      </c>
      <c r="C87" t="s">
        <v>1529</v>
      </c>
      <c r="D87" t="s">
        <v>1295</v>
      </c>
      <c r="E87" t="s">
        <v>1296</v>
      </c>
      <c r="F87" t="s">
        <v>1242</v>
      </c>
      <c r="G87" t="s">
        <v>1243</v>
      </c>
    </row>
    <row r="88" spans="1:7">
      <c r="A88" t="s">
        <v>1530</v>
      </c>
      <c r="B88" t="s">
        <v>1531</v>
      </c>
      <c r="C88" t="s">
        <v>1532</v>
      </c>
      <c r="D88" t="s">
        <v>1315</v>
      </c>
      <c r="E88" t="s">
        <v>1316</v>
      </c>
      <c r="F88" t="s">
        <v>1242</v>
      </c>
      <c r="G88" t="s">
        <v>1243</v>
      </c>
    </row>
    <row r="89" spans="1:7">
      <c r="A89" t="s">
        <v>1533</v>
      </c>
      <c r="B89" t="s">
        <v>1534</v>
      </c>
      <c r="C89" t="s">
        <v>1535</v>
      </c>
      <c r="D89" t="s">
        <v>1315</v>
      </c>
      <c r="E89" t="s">
        <v>1316</v>
      </c>
      <c r="F89" t="s">
        <v>1242</v>
      </c>
      <c r="G89" t="s">
        <v>1243</v>
      </c>
    </row>
    <row r="90" spans="1:7">
      <c r="A90" t="s">
        <v>1536</v>
      </c>
      <c r="B90" t="s">
        <v>1537</v>
      </c>
      <c r="C90" t="s">
        <v>1538</v>
      </c>
      <c r="D90" t="s">
        <v>1315</v>
      </c>
      <c r="E90" t="s">
        <v>1316</v>
      </c>
      <c r="F90" t="s">
        <v>1242</v>
      </c>
      <c r="G90" t="s">
        <v>1243</v>
      </c>
    </row>
    <row r="91" spans="1:7">
      <c r="A91" t="s">
        <v>1539</v>
      </c>
      <c r="B91" t="s">
        <v>1540</v>
      </c>
      <c r="C91" t="s">
        <v>1541</v>
      </c>
      <c r="D91" t="s">
        <v>1326</v>
      </c>
      <c r="E91" t="s">
        <v>1327</v>
      </c>
      <c r="F91" t="s">
        <v>1242</v>
      </c>
      <c r="G91" t="s">
        <v>1243</v>
      </c>
    </row>
    <row r="92" spans="1:7">
      <c r="A92" t="s">
        <v>1542</v>
      </c>
      <c r="B92" t="s">
        <v>1543</v>
      </c>
      <c r="C92" t="s">
        <v>1544</v>
      </c>
      <c r="D92" t="s">
        <v>1326</v>
      </c>
      <c r="E92" t="s">
        <v>1327</v>
      </c>
      <c r="F92" t="s">
        <v>1242</v>
      </c>
      <c r="G92" t="s">
        <v>1243</v>
      </c>
    </row>
    <row r="93" spans="1:7">
      <c r="A93" t="s">
        <v>1545</v>
      </c>
      <c r="B93" t="s">
        <v>1546</v>
      </c>
      <c r="C93" t="s">
        <v>1547</v>
      </c>
      <c r="D93" t="s">
        <v>1326</v>
      </c>
      <c r="E93" t="s">
        <v>1327</v>
      </c>
      <c r="F93" t="s">
        <v>1242</v>
      </c>
      <c r="G93" t="s">
        <v>1243</v>
      </c>
    </row>
    <row r="94" spans="1:7">
      <c r="A94" t="s">
        <v>1548</v>
      </c>
      <c r="B94" t="s">
        <v>1549</v>
      </c>
      <c r="C94" t="s">
        <v>1550</v>
      </c>
      <c r="D94" t="s">
        <v>1416</v>
      </c>
      <c r="E94" t="s">
        <v>1417</v>
      </c>
      <c r="F94" t="s">
        <v>1242</v>
      </c>
      <c r="G94" t="s">
        <v>1243</v>
      </c>
    </row>
    <row r="95" spans="1:7">
      <c r="A95" t="s">
        <v>1551</v>
      </c>
      <c r="B95" t="s">
        <v>1552</v>
      </c>
      <c r="C95" t="s">
        <v>1553</v>
      </c>
      <c r="D95" t="s">
        <v>1342</v>
      </c>
      <c r="E95" t="s">
        <v>1343</v>
      </c>
      <c r="F95" t="s">
        <v>1242</v>
      </c>
      <c r="G95" t="s">
        <v>1243</v>
      </c>
    </row>
    <row r="96" spans="1:7">
      <c r="A96" t="s">
        <v>1554</v>
      </c>
      <c r="B96" t="s">
        <v>1555</v>
      </c>
      <c r="C96" t="s">
        <v>1556</v>
      </c>
      <c r="D96" t="s">
        <v>1342</v>
      </c>
      <c r="E96" t="s">
        <v>1343</v>
      </c>
      <c r="F96" t="s">
        <v>1242</v>
      </c>
      <c r="G96" t="s">
        <v>1243</v>
      </c>
    </row>
    <row r="97" spans="1:7">
      <c r="A97" t="s">
        <v>1557</v>
      </c>
      <c r="B97" t="s">
        <v>1558</v>
      </c>
      <c r="C97" t="s">
        <v>1559</v>
      </c>
      <c r="D97" t="s">
        <v>1342</v>
      </c>
      <c r="E97" t="s">
        <v>1343</v>
      </c>
      <c r="F97" t="s">
        <v>1242</v>
      </c>
      <c r="G97" t="s">
        <v>1243</v>
      </c>
    </row>
    <row r="98" spans="1:7">
      <c r="A98" t="s">
        <v>1560</v>
      </c>
      <c r="B98" t="s">
        <v>1561</v>
      </c>
      <c r="C98" t="s">
        <v>1562</v>
      </c>
      <c r="D98" t="s">
        <v>1342</v>
      </c>
      <c r="E98" t="s">
        <v>1343</v>
      </c>
      <c r="F98" t="s">
        <v>1242</v>
      </c>
      <c r="G98" t="s">
        <v>1243</v>
      </c>
    </row>
    <row r="99" spans="1:7">
      <c r="A99" t="s">
        <v>1563</v>
      </c>
      <c r="B99" t="s">
        <v>1564</v>
      </c>
      <c r="C99" t="s">
        <v>1565</v>
      </c>
      <c r="D99" t="s">
        <v>1342</v>
      </c>
      <c r="E99" t="s">
        <v>1343</v>
      </c>
      <c r="F99" t="s">
        <v>1242</v>
      </c>
      <c r="G99" t="s">
        <v>1243</v>
      </c>
    </row>
    <row r="100" spans="1:7">
      <c r="A100" t="s">
        <v>1566</v>
      </c>
      <c r="B100" t="s">
        <v>1567</v>
      </c>
      <c r="C100" t="s">
        <v>1568</v>
      </c>
      <c r="D100" t="s">
        <v>1375</v>
      </c>
      <c r="E100" t="s">
        <v>1376</v>
      </c>
      <c r="F100" t="s">
        <v>1242</v>
      </c>
      <c r="G100" t="s">
        <v>1243</v>
      </c>
    </row>
    <row r="101" spans="1:7">
      <c r="A101" t="s">
        <v>1569</v>
      </c>
      <c r="B101" t="s">
        <v>1570</v>
      </c>
      <c r="C101" t="s">
        <v>1571</v>
      </c>
      <c r="D101" t="s">
        <v>1408</v>
      </c>
      <c r="E101" t="s">
        <v>1409</v>
      </c>
      <c r="F101" t="s">
        <v>1242</v>
      </c>
      <c r="G101" t="s">
        <v>1243</v>
      </c>
    </row>
    <row r="102" spans="1:7">
      <c r="A102" t="s">
        <v>1572</v>
      </c>
      <c r="B102" t="s">
        <v>1573</v>
      </c>
      <c r="C102" t="s">
        <v>1574</v>
      </c>
      <c r="D102" t="s">
        <v>1495</v>
      </c>
      <c r="E102" t="s">
        <v>1496</v>
      </c>
      <c r="F102" t="s">
        <v>1242</v>
      </c>
      <c r="G102" t="s">
        <v>1243</v>
      </c>
    </row>
    <row r="103" spans="1:7">
      <c r="A103" t="s">
        <v>1575</v>
      </c>
      <c r="B103" t="s">
        <v>1576</v>
      </c>
      <c r="C103" t="s">
        <v>1577</v>
      </c>
      <c r="D103" t="s">
        <v>1495</v>
      </c>
      <c r="E103" t="s">
        <v>1496</v>
      </c>
      <c r="F103" t="s">
        <v>1242</v>
      </c>
      <c r="G103" t="s">
        <v>1243</v>
      </c>
    </row>
    <row r="104" spans="1:7">
      <c r="A104" t="s">
        <v>1578</v>
      </c>
      <c r="B104" t="s">
        <v>1504</v>
      </c>
      <c r="C104" t="s">
        <v>1579</v>
      </c>
      <c r="D104" t="s">
        <v>1275</v>
      </c>
      <c r="E104" t="s">
        <v>1276</v>
      </c>
      <c r="F104" t="s">
        <v>1242</v>
      </c>
      <c r="G104" t="s">
        <v>1243</v>
      </c>
    </row>
    <row r="105" spans="1:7">
      <c r="A105" t="s">
        <v>1580</v>
      </c>
      <c r="B105" t="s">
        <v>1576</v>
      </c>
      <c r="C105" t="s">
        <v>1581</v>
      </c>
      <c r="D105" t="s">
        <v>1275</v>
      </c>
      <c r="E105" t="s">
        <v>1276</v>
      </c>
      <c r="F105" t="s">
        <v>1242</v>
      </c>
      <c r="G105" t="s">
        <v>1243</v>
      </c>
    </row>
    <row r="106" spans="1:7">
      <c r="A106" t="s">
        <v>1582</v>
      </c>
      <c r="B106" t="s">
        <v>1583</v>
      </c>
      <c r="C106" t="s">
        <v>1584</v>
      </c>
      <c r="D106" t="s">
        <v>1259</v>
      </c>
      <c r="E106" t="s">
        <v>1260</v>
      </c>
      <c r="F106" t="s">
        <v>1242</v>
      </c>
      <c r="G106" t="s">
        <v>1243</v>
      </c>
    </row>
    <row r="107" spans="1:7">
      <c r="A107" t="s">
        <v>1585</v>
      </c>
      <c r="B107" t="s">
        <v>1586</v>
      </c>
      <c r="C107" t="s">
        <v>1587</v>
      </c>
      <c r="D107" t="s">
        <v>1386</v>
      </c>
      <c r="E107" t="s">
        <v>1387</v>
      </c>
      <c r="F107" t="s">
        <v>1242</v>
      </c>
      <c r="G107" t="s">
        <v>1243</v>
      </c>
    </row>
    <row r="108" spans="1:7">
      <c r="A108" t="s">
        <v>1588</v>
      </c>
      <c r="B108" t="s">
        <v>1589</v>
      </c>
      <c r="C108" t="s">
        <v>1590</v>
      </c>
      <c r="D108" t="s">
        <v>1275</v>
      </c>
      <c r="E108" t="s">
        <v>1276</v>
      </c>
      <c r="F108" t="s">
        <v>1242</v>
      </c>
      <c r="G108" t="s">
        <v>1243</v>
      </c>
    </row>
    <row r="109" spans="1:7">
      <c r="A109" t="s">
        <v>1591</v>
      </c>
      <c r="B109" t="s">
        <v>1592</v>
      </c>
      <c r="C109" t="s">
        <v>1593</v>
      </c>
      <c r="D109" t="s">
        <v>1350</v>
      </c>
      <c r="E109" t="s">
        <v>1351</v>
      </c>
      <c r="F109" t="s">
        <v>1242</v>
      </c>
      <c r="G109" t="s">
        <v>1243</v>
      </c>
    </row>
    <row r="110" spans="1:7">
      <c r="A110" t="s">
        <v>1594</v>
      </c>
      <c r="B110" t="s">
        <v>1595</v>
      </c>
      <c r="C110" t="s">
        <v>1596</v>
      </c>
      <c r="D110" t="s">
        <v>1275</v>
      </c>
      <c r="E110" t="s">
        <v>1276</v>
      </c>
      <c r="F110" t="s">
        <v>1242</v>
      </c>
      <c r="G110" t="s">
        <v>1243</v>
      </c>
    </row>
    <row r="111" spans="1:7">
      <c r="A111" t="s">
        <v>1597</v>
      </c>
      <c r="B111" t="s">
        <v>1598</v>
      </c>
      <c r="C111" t="s">
        <v>1599</v>
      </c>
      <c r="D111" t="s">
        <v>1275</v>
      </c>
      <c r="E111" t="s">
        <v>1276</v>
      </c>
      <c r="F111" t="s">
        <v>1242</v>
      </c>
      <c r="G111" t="s">
        <v>1243</v>
      </c>
    </row>
    <row r="112" spans="1:7">
      <c r="A112" t="s">
        <v>1600</v>
      </c>
      <c r="B112" t="s">
        <v>1601</v>
      </c>
      <c r="C112" t="s">
        <v>1602</v>
      </c>
      <c r="D112" t="s">
        <v>1275</v>
      </c>
      <c r="E112" t="s">
        <v>1276</v>
      </c>
      <c r="F112" t="s">
        <v>1242</v>
      </c>
      <c r="G112" t="s">
        <v>1243</v>
      </c>
    </row>
    <row r="113" spans="1:7">
      <c r="A113" t="s">
        <v>1603</v>
      </c>
      <c r="B113" t="s">
        <v>1604</v>
      </c>
      <c r="C113" t="s">
        <v>1605</v>
      </c>
      <c r="D113" t="s">
        <v>1295</v>
      </c>
      <c r="E113" t="s">
        <v>1296</v>
      </c>
      <c r="F113" t="s">
        <v>1242</v>
      </c>
      <c r="G113" t="s">
        <v>1243</v>
      </c>
    </row>
    <row r="114" spans="1:7">
      <c r="A114" t="s">
        <v>1606</v>
      </c>
      <c r="B114" t="s">
        <v>1607</v>
      </c>
      <c r="C114" t="s">
        <v>1608</v>
      </c>
      <c r="D114" t="s">
        <v>1326</v>
      </c>
      <c r="E114" t="s">
        <v>1327</v>
      </c>
      <c r="F114" t="s">
        <v>1242</v>
      </c>
      <c r="G114" t="s">
        <v>1243</v>
      </c>
    </row>
    <row r="115" spans="1:7">
      <c r="A115" t="s">
        <v>1609</v>
      </c>
      <c r="B115" t="s">
        <v>1610</v>
      </c>
      <c r="C115" t="s">
        <v>1611</v>
      </c>
      <c r="D115" t="s">
        <v>1244</v>
      </c>
      <c r="E115" t="s">
        <v>1247</v>
      </c>
      <c r="F115" t="s">
        <v>1242</v>
      </c>
      <c r="G115" t="s">
        <v>1243</v>
      </c>
    </row>
    <row r="116" spans="1:7">
      <c r="A116" t="s">
        <v>1295</v>
      </c>
      <c r="B116" t="s">
        <v>1612</v>
      </c>
      <c r="C116" t="s">
        <v>1613</v>
      </c>
      <c r="D116" t="s">
        <v>1295</v>
      </c>
      <c r="E116" t="s">
        <v>1296</v>
      </c>
      <c r="F116" t="s">
        <v>1242</v>
      </c>
      <c r="G116" t="s">
        <v>1243</v>
      </c>
    </row>
    <row r="117" spans="1:7">
      <c r="A117" t="s">
        <v>1614</v>
      </c>
      <c r="B117" t="s">
        <v>1615</v>
      </c>
      <c r="C117" t="s">
        <v>1616</v>
      </c>
      <c r="D117" t="s">
        <v>1295</v>
      </c>
      <c r="E117" t="s">
        <v>1296</v>
      </c>
      <c r="F117" t="s">
        <v>1242</v>
      </c>
      <c r="G117" t="s">
        <v>1243</v>
      </c>
    </row>
    <row r="118" spans="1:7">
      <c r="A118" t="s">
        <v>1617</v>
      </c>
      <c r="B118" t="s">
        <v>1618</v>
      </c>
      <c r="C118" t="s">
        <v>1619</v>
      </c>
      <c r="D118" t="s">
        <v>1315</v>
      </c>
      <c r="E118" t="s">
        <v>1316</v>
      </c>
      <c r="F118" t="s">
        <v>1242</v>
      </c>
      <c r="G118" t="s">
        <v>1243</v>
      </c>
    </row>
    <row r="119" spans="1:7">
      <c r="A119" t="s">
        <v>1620</v>
      </c>
      <c r="B119" t="s">
        <v>1621</v>
      </c>
      <c r="C119" t="s">
        <v>1622</v>
      </c>
      <c r="D119" t="s">
        <v>1264</v>
      </c>
      <c r="E119" t="s">
        <v>1265</v>
      </c>
      <c r="F119" t="s">
        <v>1242</v>
      </c>
      <c r="G119" t="s">
        <v>1243</v>
      </c>
    </row>
    <row r="120" spans="1:7">
      <c r="A120" t="s">
        <v>1623</v>
      </c>
      <c r="B120" t="s">
        <v>1624</v>
      </c>
      <c r="C120" t="s">
        <v>1625</v>
      </c>
      <c r="D120" t="s">
        <v>1264</v>
      </c>
      <c r="E120" t="s">
        <v>1265</v>
      </c>
      <c r="F120" t="s">
        <v>1242</v>
      </c>
      <c r="G120" t="s">
        <v>1243</v>
      </c>
    </row>
    <row r="121" spans="1:7">
      <c r="A121" t="s">
        <v>1626</v>
      </c>
      <c r="B121" t="s">
        <v>1627</v>
      </c>
      <c r="C121" t="s">
        <v>1628</v>
      </c>
      <c r="D121" t="s">
        <v>1264</v>
      </c>
      <c r="E121" t="s">
        <v>1265</v>
      </c>
      <c r="F121" t="s">
        <v>1242</v>
      </c>
      <c r="G121" t="s">
        <v>1243</v>
      </c>
    </row>
    <row r="122" spans="1:7">
      <c r="A122" t="s">
        <v>1629</v>
      </c>
      <c r="B122" t="s">
        <v>1630</v>
      </c>
      <c r="C122" t="s">
        <v>1631</v>
      </c>
      <c r="D122" t="s">
        <v>1264</v>
      </c>
      <c r="E122" t="s">
        <v>1265</v>
      </c>
      <c r="F122" t="s">
        <v>1242</v>
      </c>
      <c r="G122" t="s">
        <v>1243</v>
      </c>
    </row>
    <row r="123" spans="1:7">
      <c r="A123" t="s">
        <v>1632</v>
      </c>
      <c r="B123" t="s">
        <v>1633</v>
      </c>
      <c r="C123" t="s">
        <v>1634</v>
      </c>
      <c r="D123" t="s">
        <v>1259</v>
      </c>
      <c r="E123" t="s">
        <v>1260</v>
      </c>
      <c r="F123" t="s">
        <v>1242</v>
      </c>
      <c r="G123" t="s">
        <v>1243</v>
      </c>
    </row>
    <row r="124" spans="1:7">
      <c r="A124" t="s">
        <v>1635</v>
      </c>
      <c r="B124" t="s">
        <v>1636</v>
      </c>
      <c r="C124" t="s">
        <v>1637</v>
      </c>
      <c r="D124" t="s">
        <v>1259</v>
      </c>
      <c r="E124" t="s">
        <v>1260</v>
      </c>
      <c r="F124" t="s">
        <v>1242</v>
      </c>
      <c r="G124" t="s">
        <v>1243</v>
      </c>
    </row>
    <row r="125" spans="1:7">
      <c r="A125" t="s">
        <v>1638</v>
      </c>
      <c r="B125" t="s">
        <v>1639</v>
      </c>
      <c r="C125" t="s">
        <v>1640</v>
      </c>
      <c r="D125" t="s">
        <v>1315</v>
      </c>
      <c r="E125" t="s">
        <v>1316</v>
      </c>
      <c r="F125" t="s">
        <v>1242</v>
      </c>
      <c r="G125" t="s">
        <v>1243</v>
      </c>
    </row>
    <row r="126" spans="1:7">
      <c r="A126" t="s">
        <v>1641</v>
      </c>
      <c r="B126" t="s">
        <v>1642</v>
      </c>
      <c r="C126" t="s">
        <v>1643</v>
      </c>
      <c r="D126" t="s">
        <v>1240</v>
      </c>
      <c r="E126" t="s">
        <v>1241</v>
      </c>
      <c r="F126" t="s">
        <v>1242</v>
      </c>
      <c r="G126" t="s">
        <v>1243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Crop list</vt:lpstr>
      <vt:lpstr>Additional information</vt:lpstr>
      <vt:lpstr>Admin 1 info</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Microsoft Office User</cp:lastModifiedBy>
  <dcterms:created xsi:type="dcterms:W3CDTF">2020-12-10T15:46:11Z</dcterms:created>
  <dcterms:modified xsi:type="dcterms:W3CDTF">2023-05-24T11:05:03Z</dcterms:modified>
</cp:coreProperties>
</file>