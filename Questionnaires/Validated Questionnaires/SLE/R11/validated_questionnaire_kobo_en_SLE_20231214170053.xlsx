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SLE/R11/"/>
    </mc:Choice>
  </mc:AlternateContent>
  <xr:revisionPtr revIDLastSave="0" documentId="13_ncr:1_{988470ED-B13A-2648-A09C-C87BA21A0C66}" xr6:coauthVersionLast="47" xr6:coauthVersionMax="47" xr10:uidLastSave="{00000000-0000-0000-0000-000000000000}"/>
  <bookViews>
    <workbookView xWindow="0" yWindow="500" windowWidth="33600" windowHeight="19580" xr2:uid="{00000000-000D-0000-FFFF-FFFF00000000}"/>
  </bookViews>
  <sheets>
    <sheet name="survey" sheetId="1" r:id="rId1"/>
    <sheet name="choices" sheetId="2" r:id="rId2"/>
    <sheet name="settings" sheetId="3" r:id="rId3"/>
    <sheet name="Crop list" sheetId="4" r:id="rId4"/>
    <sheet name="Additional informati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07" i="1" l="1"/>
  <c r="X303" i="1"/>
  <c r="W303" i="1"/>
  <c r="X302" i="1"/>
  <c r="W302" i="1"/>
  <c r="X301" i="1"/>
  <c r="W301" i="1"/>
  <c r="X300" i="1"/>
  <c r="W300" i="1"/>
  <c r="X299" i="1"/>
  <c r="W299" i="1"/>
  <c r="X298" i="1"/>
  <c r="W298" i="1"/>
  <c r="X297" i="1"/>
  <c r="W297" i="1"/>
  <c r="X296" i="1"/>
  <c r="W296" i="1"/>
  <c r="X295" i="1"/>
  <c r="W295" i="1"/>
  <c r="X294" i="1"/>
  <c r="W294" i="1"/>
  <c r="X293" i="1"/>
  <c r="W293" i="1"/>
  <c r="X292" i="1"/>
  <c r="W292" i="1"/>
  <c r="X291" i="1"/>
  <c r="W291" i="1"/>
  <c r="X290" i="1"/>
  <c r="W290" i="1"/>
  <c r="X289" i="1"/>
  <c r="W289" i="1"/>
  <c r="X288" i="1"/>
  <c r="W288" i="1"/>
  <c r="X287" i="1"/>
  <c r="W287" i="1"/>
  <c r="X284" i="1"/>
  <c r="W284" i="1"/>
  <c r="X283" i="1"/>
  <c r="W283" i="1"/>
  <c r="X282" i="1"/>
  <c r="W282" i="1"/>
  <c r="X281" i="1"/>
  <c r="W281" i="1"/>
  <c r="X280" i="1"/>
  <c r="W280" i="1"/>
  <c r="X279" i="1"/>
  <c r="W279" i="1"/>
  <c r="X278" i="1"/>
  <c r="W278" i="1"/>
  <c r="X277" i="1"/>
  <c r="W277" i="1"/>
  <c r="X276" i="1"/>
  <c r="W276" i="1"/>
  <c r="X275" i="1"/>
  <c r="W275" i="1"/>
  <c r="X274" i="1"/>
  <c r="W274" i="1"/>
  <c r="X273" i="1"/>
  <c r="W273" i="1"/>
  <c r="X272" i="1"/>
  <c r="W272" i="1"/>
  <c r="X271" i="1"/>
  <c r="W271" i="1"/>
  <c r="X270" i="1"/>
  <c r="W270" i="1"/>
  <c r="X269" i="1"/>
  <c r="W269" i="1"/>
  <c r="X268" i="1"/>
  <c r="W268" i="1"/>
  <c r="X267" i="1"/>
  <c r="W267" i="1"/>
  <c r="X266" i="1"/>
  <c r="W266" i="1"/>
  <c r="X265" i="1"/>
  <c r="W265" i="1"/>
  <c r="X264" i="1"/>
  <c r="W264" i="1"/>
  <c r="X263" i="1"/>
  <c r="W263" i="1"/>
  <c r="X262" i="1"/>
  <c r="W262" i="1"/>
  <c r="X261" i="1"/>
  <c r="W261" i="1"/>
  <c r="X260" i="1"/>
  <c r="W260" i="1"/>
  <c r="X259" i="1"/>
  <c r="W259" i="1"/>
  <c r="X258" i="1"/>
  <c r="W258" i="1"/>
  <c r="X257" i="1"/>
  <c r="W257" i="1"/>
  <c r="X256" i="1"/>
  <c r="W256" i="1"/>
  <c r="X255" i="1"/>
  <c r="W255" i="1"/>
  <c r="X254" i="1"/>
  <c r="W254" i="1"/>
  <c r="X253" i="1"/>
  <c r="W253" i="1"/>
  <c r="X252" i="1"/>
  <c r="W252" i="1"/>
  <c r="X251" i="1"/>
  <c r="W251" i="1"/>
  <c r="X250" i="1"/>
  <c r="W250" i="1"/>
  <c r="X249" i="1"/>
  <c r="W249" i="1"/>
  <c r="X248" i="1"/>
  <c r="W248" i="1"/>
  <c r="X247" i="1"/>
  <c r="W247" i="1"/>
  <c r="X246" i="1"/>
  <c r="W246" i="1"/>
  <c r="X245" i="1"/>
  <c r="W245" i="1"/>
  <c r="X244" i="1"/>
  <c r="W244" i="1"/>
  <c r="X243" i="1"/>
  <c r="W243" i="1"/>
  <c r="X242" i="1"/>
  <c r="W242" i="1"/>
  <c r="X241" i="1"/>
  <c r="W241" i="1"/>
  <c r="X240" i="1"/>
  <c r="W240" i="1"/>
  <c r="X239" i="1"/>
  <c r="W239" i="1"/>
  <c r="X238" i="1"/>
  <c r="W238" i="1"/>
  <c r="X237" i="1"/>
  <c r="W237" i="1"/>
  <c r="X236" i="1"/>
  <c r="W236" i="1"/>
  <c r="X235" i="1"/>
  <c r="W235" i="1"/>
  <c r="X234" i="1"/>
  <c r="W234" i="1"/>
  <c r="X233" i="1"/>
  <c r="W233" i="1"/>
  <c r="X232" i="1"/>
  <c r="W232" i="1"/>
  <c r="X231" i="1"/>
  <c r="W231" i="1"/>
  <c r="X230" i="1"/>
  <c r="W230" i="1"/>
  <c r="X229" i="1"/>
  <c r="W229" i="1"/>
  <c r="X228" i="1"/>
  <c r="W228" i="1"/>
  <c r="X227" i="1"/>
  <c r="W227" i="1"/>
  <c r="X226" i="1"/>
  <c r="W226" i="1"/>
  <c r="X225" i="1"/>
  <c r="W225" i="1"/>
  <c r="X224" i="1"/>
  <c r="W224" i="1"/>
  <c r="X223" i="1"/>
  <c r="W223" i="1"/>
  <c r="X222" i="1"/>
  <c r="W222" i="1"/>
  <c r="X221" i="1"/>
  <c r="W221" i="1"/>
  <c r="X220" i="1"/>
  <c r="W220" i="1"/>
  <c r="X219" i="1"/>
  <c r="W219" i="1"/>
  <c r="X218" i="1"/>
  <c r="W218" i="1"/>
  <c r="X217" i="1"/>
  <c r="W217" i="1"/>
  <c r="X216" i="1"/>
  <c r="W216" i="1"/>
  <c r="X215" i="1"/>
  <c r="W215" i="1"/>
  <c r="X214" i="1"/>
  <c r="W214" i="1"/>
  <c r="X213" i="1"/>
  <c r="W213" i="1"/>
  <c r="X212" i="1"/>
  <c r="W212" i="1"/>
  <c r="X211" i="1"/>
  <c r="W211" i="1"/>
  <c r="V211" i="1"/>
  <c r="V210" i="1"/>
  <c r="X210" i="1" s="1"/>
  <c r="X209" i="1"/>
  <c r="W209" i="1"/>
  <c r="V209" i="1"/>
  <c r="X208" i="1"/>
  <c r="W208" i="1"/>
  <c r="V208" i="1"/>
  <c r="V207" i="1"/>
  <c r="X207" i="1" s="1"/>
  <c r="V206" i="1"/>
  <c r="X206" i="1" s="1"/>
  <c r="X205" i="1"/>
  <c r="W205" i="1"/>
  <c r="V205" i="1"/>
  <c r="X204" i="1"/>
  <c r="W204" i="1"/>
  <c r="V204" i="1"/>
  <c r="X203" i="1"/>
  <c r="W203" i="1"/>
  <c r="V203" i="1"/>
  <c r="W202" i="1"/>
  <c r="V202" i="1"/>
  <c r="X202" i="1" s="1"/>
  <c r="X201" i="1"/>
  <c r="W201" i="1"/>
  <c r="V201" i="1"/>
  <c r="X200" i="1"/>
  <c r="W200" i="1"/>
  <c r="X199" i="1"/>
  <c r="W199" i="1"/>
  <c r="X198" i="1"/>
  <c r="W198" i="1"/>
  <c r="V198" i="1"/>
  <c r="X197" i="1"/>
  <c r="W197" i="1"/>
  <c r="V197" i="1"/>
  <c r="X196" i="1"/>
  <c r="W196" i="1"/>
  <c r="V196" i="1"/>
  <c r="X195" i="1"/>
  <c r="W195" i="1"/>
  <c r="V195" i="1"/>
  <c r="X194" i="1"/>
  <c r="W194" i="1"/>
  <c r="V194" i="1"/>
  <c r="X193" i="1"/>
  <c r="V193" i="1"/>
  <c r="W193" i="1" s="1"/>
  <c r="V192" i="1"/>
  <c r="X192" i="1" s="1"/>
  <c r="X191" i="1"/>
  <c r="W191" i="1"/>
  <c r="V191" i="1"/>
  <c r="X190" i="1"/>
  <c r="V190" i="1"/>
  <c r="W190" i="1" s="1"/>
  <c r="X189" i="1"/>
  <c r="W189" i="1"/>
  <c r="V189" i="1"/>
  <c r="X188" i="1"/>
  <c r="W188" i="1"/>
  <c r="V188" i="1"/>
  <c r="X187" i="1"/>
  <c r="W187" i="1"/>
  <c r="V187" i="1"/>
  <c r="V186" i="1"/>
  <c r="X186" i="1" s="1"/>
  <c r="X185" i="1"/>
  <c r="W185" i="1"/>
  <c r="X184" i="1"/>
  <c r="W184" i="1"/>
  <c r="X183" i="1"/>
  <c r="W183" i="1"/>
  <c r="V183" i="1"/>
  <c r="X182" i="1"/>
  <c r="W182" i="1"/>
  <c r="V182" i="1"/>
  <c r="X181" i="1"/>
  <c r="W181" i="1"/>
  <c r="V181" i="1"/>
  <c r="V180" i="1"/>
  <c r="X180" i="1" s="1"/>
  <c r="V179" i="1"/>
  <c r="W179" i="1" s="1"/>
  <c r="X178" i="1"/>
  <c r="W178" i="1"/>
  <c r="V178" i="1"/>
  <c r="X177" i="1"/>
  <c r="W177" i="1"/>
  <c r="V177" i="1"/>
  <c r="V176" i="1"/>
  <c r="X176" i="1" s="1"/>
  <c r="X175" i="1"/>
  <c r="W175" i="1"/>
  <c r="V175" i="1"/>
  <c r="X174" i="1"/>
  <c r="W174" i="1"/>
  <c r="X173" i="1"/>
  <c r="W173" i="1"/>
  <c r="X172" i="1"/>
  <c r="W172" i="1"/>
  <c r="V172" i="1"/>
  <c r="X171" i="1"/>
  <c r="V171" i="1"/>
  <c r="W171" i="1" s="1"/>
  <c r="X170" i="1"/>
  <c r="W170" i="1"/>
  <c r="V170" i="1"/>
  <c r="V169" i="1"/>
  <c r="W169" i="1" s="1"/>
  <c r="W168" i="1"/>
  <c r="V168" i="1"/>
  <c r="X168" i="1" s="1"/>
  <c r="X167" i="1"/>
  <c r="W167" i="1"/>
  <c r="V167" i="1"/>
  <c r="X166" i="1"/>
  <c r="V166" i="1"/>
  <c r="W166" i="1" s="1"/>
  <c r="X165" i="1"/>
  <c r="W165" i="1"/>
  <c r="V165" i="1"/>
  <c r="X164" i="1"/>
  <c r="W164" i="1"/>
  <c r="V164" i="1"/>
  <c r="X163" i="1"/>
  <c r="W163" i="1"/>
  <c r="V163" i="1"/>
  <c r="X162" i="1"/>
  <c r="W162" i="1"/>
  <c r="V162" i="1"/>
  <c r="V161" i="1"/>
  <c r="X161" i="1" s="1"/>
  <c r="X160" i="1"/>
  <c r="W160" i="1"/>
  <c r="V160" i="1"/>
  <c r="X159" i="1"/>
  <c r="W159" i="1"/>
  <c r="V159" i="1"/>
  <c r="X158" i="1"/>
  <c r="W158" i="1"/>
  <c r="V158" i="1"/>
  <c r="V157" i="1"/>
  <c r="X157" i="1" s="1"/>
  <c r="X156" i="1"/>
  <c r="W156" i="1"/>
  <c r="V156" i="1"/>
  <c r="X155" i="1"/>
  <c r="V155" i="1"/>
  <c r="W155" i="1" s="1"/>
  <c r="X154" i="1"/>
  <c r="W154" i="1"/>
  <c r="X153" i="1"/>
  <c r="W153" i="1"/>
  <c r="X152" i="1"/>
  <c r="W152" i="1"/>
  <c r="V152" i="1"/>
  <c r="V151" i="1"/>
  <c r="W151" i="1" s="1"/>
  <c r="X150" i="1"/>
  <c r="W150" i="1"/>
  <c r="V150" i="1"/>
  <c r="X149" i="1"/>
  <c r="V149" i="1"/>
  <c r="W149" i="1" s="1"/>
  <c r="V148" i="1"/>
  <c r="X148" i="1" s="1"/>
  <c r="V147" i="1"/>
  <c r="V146" i="1"/>
  <c r="V145" i="1"/>
  <c r="V144" i="1"/>
  <c r="W144" i="1" s="1"/>
  <c r="V143" i="1"/>
  <c r="W143" i="1" s="1"/>
  <c r="X142" i="1"/>
  <c r="W142" i="1"/>
  <c r="X141" i="1"/>
  <c r="W141" i="1"/>
  <c r="X140" i="1"/>
  <c r="W140" i="1"/>
  <c r="V140" i="1"/>
  <c r="X139" i="1"/>
  <c r="V139" i="1"/>
  <c r="W139" i="1" s="1"/>
  <c r="X138" i="1"/>
  <c r="V138" i="1"/>
  <c r="W138" i="1" s="1"/>
  <c r="X137" i="1"/>
  <c r="W137" i="1"/>
  <c r="V137" i="1"/>
  <c r="V136" i="1"/>
  <c r="X136" i="1" s="1"/>
  <c r="X135" i="1"/>
  <c r="V135" i="1"/>
  <c r="W135" i="1" s="1"/>
  <c r="X134" i="1"/>
  <c r="W134" i="1"/>
  <c r="V134" i="1"/>
  <c r="X130" i="1"/>
  <c r="V130" i="1"/>
  <c r="W130" i="1" s="1"/>
  <c r="X129" i="1"/>
  <c r="V129" i="1"/>
  <c r="W129" i="1" s="1"/>
  <c r="X128" i="1"/>
  <c r="W128" i="1"/>
  <c r="V128" i="1"/>
  <c r="X127" i="1"/>
  <c r="W127" i="1"/>
  <c r="V127" i="1"/>
  <c r="X126" i="1"/>
  <c r="V126" i="1"/>
  <c r="W126" i="1" s="1"/>
  <c r="X125" i="1"/>
  <c r="W125" i="1"/>
  <c r="V125" i="1"/>
  <c r="X124" i="1"/>
  <c r="W124" i="1"/>
  <c r="V124" i="1"/>
  <c r="X123" i="1"/>
  <c r="W123" i="1"/>
  <c r="V123" i="1"/>
  <c r="X122" i="1"/>
  <c r="W122" i="1"/>
  <c r="V122" i="1"/>
  <c r="X121" i="1"/>
  <c r="W121" i="1"/>
  <c r="V121" i="1"/>
  <c r="X118" i="1"/>
  <c r="W118" i="1"/>
  <c r="V118" i="1"/>
  <c r="X117" i="1"/>
  <c r="W117" i="1"/>
  <c r="V117" i="1"/>
  <c r="V116" i="1"/>
  <c r="W116" i="1" s="1"/>
  <c r="X115" i="1"/>
  <c r="W115" i="1"/>
  <c r="V115" i="1"/>
  <c r="X114" i="1"/>
  <c r="V114" i="1"/>
  <c r="W114" i="1" s="1"/>
  <c r="X113" i="1"/>
  <c r="W113" i="1"/>
  <c r="V113" i="1"/>
  <c r="V112" i="1"/>
  <c r="W112" i="1" s="1"/>
  <c r="X111" i="1"/>
  <c r="W111" i="1"/>
  <c r="V111" i="1"/>
  <c r="X110" i="1"/>
  <c r="V110" i="1"/>
  <c r="W110" i="1" s="1"/>
  <c r="X109" i="1"/>
  <c r="W109" i="1"/>
  <c r="V109" i="1"/>
  <c r="X108" i="1"/>
  <c r="W108" i="1"/>
  <c r="V108" i="1"/>
  <c r="X107" i="1"/>
  <c r="W107" i="1"/>
  <c r="V107" i="1"/>
  <c r="X106" i="1"/>
  <c r="W106" i="1"/>
  <c r="X105" i="1"/>
  <c r="W105" i="1"/>
  <c r="X104" i="1"/>
  <c r="W104" i="1"/>
  <c r="V104" i="1"/>
  <c r="X103" i="1"/>
  <c r="W103" i="1"/>
  <c r="V103" i="1"/>
  <c r="X102" i="1"/>
  <c r="W102" i="1"/>
  <c r="V102" i="1"/>
  <c r="X101" i="1"/>
  <c r="W101" i="1"/>
  <c r="V101" i="1"/>
  <c r="X100" i="1"/>
  <c r="W100" i="1"/>
  <c r="V100" i="1"/>
  <c r="X99" i="1"/>
  <c r="W99" i="1"/>
  <c r="V99" i="1"/>
  <c r="X98" i="1"/>
  <c r="W98" i="1"/>
  <c r="V98" i="1"/>
  <c r="X97" i="1"/>
  <c r="W97" i="1"/>
  <c r="V97" i="1"/>
  <c r="V96" i="1"/>
  <c r="X96" i="1" s="1"/>
  <c r="V95" i="1"/>
  <c r="X95" i="1" s="1"/>
  <c r="V94" i="1"/>
  <c r="W94" i="1" s="1"/>
  <c r="X93" i="1"/>
  <c r="W93" i="1"/>
  <c r="V93" i="1"/>
  <c r="X92" i="1"/>
  <c r="V92" i="1"/>
  <c r="W92" i="1" s="1"/>
  <c r="X91" i="1"/>
  <c r="W91" i="1"/>
  <c r="V91" i="1"/>
  <c r="V90" i="1"/>
  <c r="W90" i="1" s="1"/>
  <c r="X89" i="1"/>
  <c r="W89" i="1"/>
  <c r="V89" i="1"/>
  <c r="X86" i="1"/>
  <c r="W86" i="1"/>
  <c r="V86" i="1"/>
  <c r="X85" i="1"/>
  <c r="W85" i="1"/>
  <c r="V85" i="1"/>
  <c r="X84" i="1"/>
  <c r="V84" i="1"/>
  <c r="W84" i="1" s="1"/>
  <c r="X83" i="1"/>
  <c r="W83" i="1"/>
  <c r="V83" i="1"/>
  <c r="V82" i="1"/>
  <c r="X82" i="1" s="1"/>
  <c r="X81" i="1"/>
  <c r="W81" i="1"/>
  <c r="V81" i="1"/>
  <c r="V80" i="1"/>
  <c r="X80" i="1" s="1"/>
  <c r="X79" i="1"/>
  <c r="W79" i="1"/>
  <c r="V79" i="1"/>
  <c r="V78" i="1"/>
  <c r="X78" i="1" s="1"/>
  <c r="X77" i="1"/>
  <c r="W77" i="1"/>
  <c r="V77" i="1"/>
  <c r="V76" i="1"/>
  <c r="W76" i="1" s="1"/>
  <c r="X75" i="1"/>
  <c r="W75" i="1"/>
  <c r="V75" i="1"/>
  <c r="X71" i="1"/>
  <c r="V71" i="1"/>
  <c r="W71" i="1" s="1"/>
  <c r="X70" i="1"/>
  <c r="V70" i="1"/>
  <c r="W70" i="1" s="1"/>
  <c r="X69" i="1"/>
  <c r="W69" i="1"/>
  <c r="V69" i="1"/>
  <c r="V68" i="1"/>
  <c r="W68" i="1" s="1"/>
  <c r="X67" i="1"/>
  <c r="V67" i="1"/>
  <c r="W67" i="1" s="1"/>
  <c r="X66" i="1"/>
  <c r="W66" i="1"/>
  <c r="V66" i="1"/>
  <c r="X65" i="1"/>
  <c r="W65" i="1"/>
  <c r="V65" i="1"/>
  <c r="X64" i="1"/>
  <c r="W64" i="1"/>
  <c r="V64" i="1"/>
  <c r="X63" i="1"/>
  <c r="W63" i="1"/>
  <c r="V63" i="1"/>
  <c r="X62" i="1"/>
  <c r="W62" i="1"/>
  <c r="V62" i="1"/>
  <c r="X61" i="1"/>
  <c r="W61" i="1"/>
  <c r="V61" i="1"/>
  <c r="X60" i="1"/>
  <c r="W60" i="1"/>
  <c r="V60" i="1"/>
  <c r="X59" i="1"/>
  <c r="V59" i="1"/>
  <c r="W59" i="1" s="1"/>
  <c r="X58" i="1"/>
  <c r="V58" i="1"/>
  <c r="W58" i="1" s="1"/>
  <c r="X57" i="1"/>
  <c r="V57" i="1"/>
  <c r="W57" i="1" s="1"/>
  <c r="X56" i="1"/>
  <c r="V56" i="1"/>
  <c r="W56" i="1" s="1"/>
  <c r="X55" i="1"/>
  <c r="V55" i="1"/>
  <c r="W55" i="1" s="1"/>
  <c r="X54" i="1"/>
  <c r="V54" i="1"/>
  <c r="W54" i="1" s="1"/>
  <c r="X53" i="1"/>
  <c r="W53" i="1"/>
  <c r="V53" i="1"/>
  <c r="V52" i="1"/>
  <c r="X52" i="1" s="1"/>
  <c r="X51" i="1"/>
  <c r="V51" i="1"/>
  <c r="W51" i="1" s="1"/>
  <c r="X50" i="1"/>
  <c r="W50" i="1"/>
  <c r="V50" i="1"/>
  <c r="X49" i="1"/>
  <c r="W49" i="1"/>
  <c r="V49" i="1"/>
  <c r="X48" i="1"/>
  <c r="W48" i="1"/>
  <c r="V48" i="1"/>
  <c r="X47" i="1"/>
  <c r="W47" i="1"/>
  <c r="V47" i="1"/>
  <c r="X46" i="1"/>
  <c r="W46" i="1"/>
  <c r="V46" i="1"/>
  <c r="X44" i="1"/>
  <c r="W44" i="1"/>
  <c r="V44" i="1"/>
  <c r="X43" i="1"/>
  <c r="W43" i="1"/>
  <c r="X42" i="1"/>
  <c r="W42" i="1"/>
  <c r="X41" i="1"/>
  <c r="W41" i="1"/>
  <c r="V41" i="1"/>
  <c r="V40" i="1"/>
  <c r="X40" i="1" s="1"/>
  <c r="X39" i="1"/>
  <c r="W39" i="1"/>
  <c r="V39" i="1"/>
  <c r="X38" i="1"/>
  <c r="W38" i="1"/>
  <c r="V38" i="1"/>
  <c r="X37" i="1"/>
  <c r="W37" i="1"/>
  <c r="V37" i="1"/>
  <c r="X36" i="1"/>
  <c r="W36" i="1"/>
  <c r="V36" i="1"/>
  <c r="V35" i="1"/>
  <c r="X35" i="1" s="1"/>
  <c r="X34" i="1"/>
  <c r="W34" i="1"/>
  <c r="V34" i="1"/>
  <c r="X33" i="1"/>
  <c r="V33" i="1"/>
  <c r="W33" i="1" s="1"/>
  <c r="X32" i="1"/>
  <c r="V32" i="1"/>
  <c r="W32" i="1" s="1"/>
  <c r="X31" i="1"/>
  <c r="V31" i="1"/>
  <c r="W31" i="1" s="1"/>
  <c r="X30" i="1"/>
  <c r="V30" i="1"/>
  <c r="W30" i="1" s="1"/>
  <c r="X29" i="1"/>
  <c r="V29" i="1"/>
  <c r="W29" i="1" s="1"/>
  <c r="X28" i="1"/>
  <c r="V28" i="1"/>
  <c r="W28" i="1" s="1"/>
  <c r="X27" i="1"/>
  <c r="W27" i="1"/>
  <c r="V27" i="1"/>
  <c r="X26" i="1"/>
  <c r="W26" i="1"/>
  <c r="V26" i="1"/>
  <c r="X25" i="1"/>
  <c r="W25" i="1"/>
  <c r="V25" i="1"/>
  <c r="X24" i="1"/>
  <c r="W24" i="1"/>
  <c r="V24" i="1"/>
  <c r="X23" i="1"/>
  <c r="W23" i="1"/>
  <c r="V23" i="1"/>
  <c r="X22" i="1"/>
  <c r="W22" i="1"/>
  <c r="V22" i="1"/>
  <c r="X21" i="1"/>
  <c r="W21" i="1"/>
  <c r="V21" i="1"/>
  <c r="V20" i="1"/>
  <c r="X20" i="1" s="1"/>
  <c r="X19" i="1"/>
  <c r="W19" i="1"/>
  <c r="X18" i="1"/>
  <c r="W18" i="1"/>
  <c r="X17" i="1"/>
  <c r="W17" i="1"/>
  <c r="X16" i="1"/>
  <c r="W16" i="1"/>
  <c r="W15" i="1"/>
  <c r="X14" i="1"/>
  <c r="V14" i="1"/>
  <c r="W14" i="1" s="1"/>
  <c r="X13" i="1"/>
  <c r="W13" i="1"/>
  <c r="X11" i="1"/>
  <c r="W11" i="1"/>
  <c r="X10" i="1"/>
  <c r="W10" i="1"/>
  <c r="X5" i="1"/>
  <c r="W5" i="1"/>
  <c r="X4" i="1"/>
  <c r="W4" i="1"/>
  <c r="X3" i="1"/>
  <c r="W3" i="1"/>
  <c r="X2" i="1"/>
  <c r="W2" i="1"/>
  <c r="W52" i="1" l="1"/>
  <c r="X94" i="1"/>
  <c r="X116" i="1"/>
  <c r="X151" i="1"/>
  <c r="W192" i="1"/>
  <c r="X76" i="1"/>
  <c r="X179" i="1"/>
  <c r="W40" i="1"/>
  <c r="X68" i="1"/>
  <c r="X314" i="1" s="1"/>
  <c r="W176" i="1"/>
  <c r="X90" i="1"/>
  <c r="X112" i="1"/>
  <c r="X169" i="1"/>
  <c r="W20" i="1"/>
  <c r="W314" i="1" s="1"/>
  <c r="W78" i="1"/>
  <c r="W96" i="1"/>
  <c r="W148" i="1"/>
  <c r="W210" i="1"/>
  <c r="W161" i="1"/>
  <c r="W80" i="1"/>
  <c r="W206" i="1"/>
  <c r="W136" i="1"/>
  <c r="W157" i="1"/>
  <c r="W207" i="1"/>
  <c r="W82" i="1"/>
  <c r="W35" i="1"/>
  <c r="W95" i="1"/>
  <c r="W180" i="1"/>
  <c r="W186" i="1"/>
</calcChain>
</file>

<file path=xl/sharedStrings.xml><?xml version="1.0" encoding="utf-8"?>
<sst xmlns="http://schemas.openxmlformats.org/spreadsheetml/2006/main" count="3758" uniqueCount="1514">
  <si>
    <t>type</t>
  </si>
  <si>
    <t>name</t>
  </si>
  <si>
    <t>label::English (en)</t>
  </si>
  <si>
    <t>label::</t>
  </si>
  <si>
    <t>hint::English (en)</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</si>
  <si>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</si>
  <si>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</si>
  <si>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</si>
  <si>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</si>
  <si>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</si>
  <si>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</si>
  <si>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</si>
  <si>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</si>
  <si>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</si>
  <si>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</si>
  <si>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</si>
  <si>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</si>
  <si>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</si>
  <si>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</si>
  <si>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</si>
  <si>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</si>
  <si>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</si>
  <si>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</si>
  <si>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</si>
  <si>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</si>
  <si>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</si>
  <si>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</si>
  <si>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</si>
  <si>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</si>
  <si>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</si>
  <si>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</si>
  <si>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</si>
  <si>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</si>
  <si>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select_one enumerator</t>
  </si>
  <si>
    <t>enumerator</t>
  </si>
  <si>
    <t>Name of enumerator</t>
  </si>
  <si>
    <t>true</t>
  </si>
  <si>
    <t>my_filter_admin=${enum_team}</t>
  </si>
  <si>
    <t>yes</t>
  </si>
  <si>
    <t>enumerator_</t>
  </si>
  <si>
    <t>jr:choice-name(${enumerator},'${enumerator}')</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</si>
  <si>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</si>
  <si>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</si>
  <si>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</si>
  <si>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[INSTRUCTIONS: ADDRESS QUESTIONS FROM RESPONDENT, IF ANY.]</t>
  </si>
  <si>
    <t>false</t>
  </si>
  <si>
    <t>no</t>
  </si>
  <si>
    <t>select_one yesno</t>
  </si>
  <si>
    <t>resp_agree</t>
  </si>
  <si>
    <t>Are you interested in participating in this survey?</t>
  </si>
  <si>
    <t>geopoint</t>
  </si>
  <si>
    <t>gps_1</t>
  </si>
  <si>
    <t xml:space="preserve">GPS INSTRUCTION: Take a GPS measurement. </t>
  </si>
  <si>
    <t>NOTE: It might take a few minutes for the tablet to register the GPS. Wait for it to load. If it takes longer than 3 minutes, skip to the next question. You can take the GPS reading at the end of the interview.</t>
  </si>
  <si>
    <t>${resp_agree} = '1'</t>
  </si>
  <si>
    <t>Refusal</t>
  </si>
  <si>
    <t>Thank you for your time, you will be removed from today's survey.</t>
  </si>
  <si>
    <t>${resp_agree} = '2'</t>
  </si>
  <si>
    <t>begin_group</t>
  </si>
  <si>
    <t>eligibility</t>
  </si>
  <si>
    <t>ELIGIBILITY CRITERIA</t>
  </si>
  <si>
    <t>text</t>
  </si>
  <si>
    <t>resp_firstname</t>
  </si>
  <si>
    <t>What is your first name?</t>
  </si>
  <si>
    <t>[INSTRUCTIONS: RECORD THE RESPONDENT'S FIRST NAME. ENTER 999 FOR REFUSED]</t>
  </si>
  <si>
    <t>resp_lastname</t>
  </si>
  <si>
    <t>What is your last name?</t>
  </si>
  <si>
    <t>[INSTRUCTIONS: RECORD THE RESPONDENT'S LAST NAME. ENTER 999 FOR REFUSED]</t>
  </si>
  <si>
    <t>integer</t>
  </si>
  <si>
    <t>resp_age</t>
  </si>
  <si>
    <t>How old are you?</t>
  </si>
  <si>
    <t>[INSTRUCTIONS: RECORD AGE IN NUMBER OF YEARS. ROUND UP TO NEAREST WHOLE NUMBER. IF THE RESPONDENT GIVES BIRTH YEAR, REPEAT THE QUESTION. ENTER 888 FOR DON'T KNOW.]</t>
  </si>
  <si>
    <t>(. &gt;= 18 and . &lt;= 100) or . = 888</t>
  </si>
  <si>
    <t>select_one gender</t>
  </si>
  <si>
    <t>resp_gender</t>
  </si>
  <si>
    <t>What is the gender of the respondent?</t>
  </si>
  <si>
    <t>[INSTRUCTIONS: DO NOT ASK THIS QUESTION OUT LOUD. SELECT THE GENDER OF THE RESPONDENT.]</t>
  </si>
  <si>
    <t>phone_number_personal</t>
  </si>
  <si>
    <t>What is your phone number?</t>
  </si>
  <si>
    <t>numbers</t>
  </si>
  <si>
    <t>regex(.,’^[0-9]{9}$’)</t>
  </si>
  <si>
    <t>Please enter the telephone number in the correct format, e.g. 076xxxxxx</t>
  </si>
  <si>
    <t>yes - panel</t>
  </si>
  <si>
    <t>select_one contact_info</t>
  </si>
  <si>
    <t>contact_2</t>
  </si>
  <si>
    <t>Can you give me an additonal phone number belonging to you, a relative or a friend at which you can be reached?</t>
  </si>
  <si>
    <t>phone_number_2</t>
  </si>
  <si>
    <t>What is the additional phone number?</t>
  </si>
  <si>
    <t xml:space="preserve">${contact_2} = '1' or ${contact_2} = '2' </t>
  </si>
  <si>
    <t>contact_2_name</t>
  </si>
  <si>
    <t>What is the name of the contact?</t>
  </si>
  <si>
    <t xml:space="preserve">${contact_2} = '2' </t>
  </si>
  <si>
    <t>contact_3</t>
  </si>
  <si>
    <t xml:space="preserve">${contact_2} ='1' or ${contact_2} = '2' </t>
  </si>
  <si>
    <t>phone_number_3</t>
  </si>
  <si>
    <t xml:space="preserve">${contact_3} = '1' or ${contact_3} = '2' </t>
  </si>
  <si>
    <t>contact_3_name</t>
  </si>
  <si>
    <t xml:space="preserve">${contact_3} = '2' </t>
  </si>
  <si>
    <t>select_one admin1</t>
  </si>
  <si>
    <t>adm1_pcode</t>
  </si>
  <si>
    <t>Currently, in which Regional does your household reside?</t>
  </si>
  <si>
    <t>[HINT: HOUSEHOLD CONSISTS OF ALL MEMBERS LIVING TOGETHER, SHARING RESOURCES &amp; EATING FROM THE SAME POT.]</t>
  </si>
  <si>
    <t>minimal</t>
  </si>
  <si>
    <t>adm1_name</t>
  </si>
  <si>
    <t>jr:choice-name(${adm1_pcode},'${adm1_pcode}')</t>
  </si>
  <si>
    <t>select_one admin2</t>
  </si>
  <si>
    <t xml:space="preserve">adm2_pcode </t>
  </si>
  <si>
    <t>Currently, in which District does your household reside?</t>
  </si>
  <si>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</si>
  <si>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</si>
  <si>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</si>
  <si>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</si>
  <si>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</si>
  <si>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</si>
  <si>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</si>
  <si>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end_group</t>
  </si>
  <si>
    <t>generalInfo</t>
  </si>
  <si>
    <t>GENERAL INFORMATION</t>
  </si>
  <si>
    <t>${resp_agree} = '1' and ${hh_agricactivity} != '5' and ${hh_agricactivity} != '6'</t>
  </si>
  <si>
    <t>select_one yes_no</t>
  </si>
  <si>
    <t>resp_id</t>
  </si>
  <si>
    <t>Are you the head of household?</t>
  </si>
  <si>
    <t>hh_gender</t>
  </si>
  <si>
    <t xml:space="preserve">Is the head of your household male or female? </t>
  </si>
  <si>
    <t>${resp_id} != '1'</t>
  </si>
  <si>
    <t>select_one edu</t>
  </si>
  <si>
    <t>hh_education</t>
  </si>
  <si>
    <t xml:space="preserve">What is the educational level attained by the head of household? </t>
  </si>
  <si>
    <t>select_one water</t>
  </si>
  <si>
    <t>hh_wealth_water</t>
  </si>
  <si>
    <t>Where does the water that you drink at home come from?</t>
  </si>
  <si>
    <t>select_one toilet</t>
  </si>
  <si>
    <t>hh_wealth_toilet</t>
  </si>
  <si>
    <t>Where do household members typically go to use the toilet?</t>
  </si>
  <si>
    <t>select_one light</t>
  </si>
  <si>
    <t>hh_wealth_light</t>
  </si>
  <si>
    <t>What is the main source of light in your dwelling?</t>
  </si>
  <si>
    <t>select_one residence</t>
  </si>
  <si>
    <t>hh_residencetype</t>
  </si>
  <si>
    <t>Which in the following types of residence best describes your residence?</t>
  </si>
  <si>
    <t>[INSTRUCTIONS: READ OUT THE OPTIONS.]
[HINT: IF RESPONDENT IS ONLY AWAY FROM THE HOUSEHOLD FOR SHORT SEASONAL WORK (&lt;6 MONTHS) OR TRANSHUMANCE, MAKE SURE TO REFER TO THEIR HOUSEHOLD BACK WHERE THEY TYPICALLY ARE LOCATED.]</t>
  </si>
  <si>
    <t>hh_size</t>
  </si>
  <si>
    <t>How many people are part of the household?</t>
  </si>
  <si>
    <t>[INSTRUCTIONS: RECORD NUMBER OF MEMBERS IN HOUSEHOLD. ENTER 888 FOR DON'T KNOW &amp; 999 FOR REFUSED.]
[HINT: TO BE A PART OF THE SAME HOUSEHOLD, MEMBERS MUST LIVE UNDER THE SAME ROOF, SHARE THE SAME RESOURCES &amp; EAT FROM THE SAME POT.]</t>
  </si>
  <si>
    <t xml:space="preserve">(. &gt;= 1 and . &lt;= 50) or . = 888 or . = 999 </t>
  </si>
  <si>
    <t>select_multiple asset_prod</t>
  </si>
  <si>
    <t>hh_asset_prod</t>
  </si>
  <si>
    <t xml:space="preserve">Does your household own any of the following productive assets? </t>
  </si>
  <si>
    <t>[INSTRUCTIONS: MULTIPLE RESPONSES POSSIBLE. READ ANSWER OPTIONS OUT LOUD.]</t>
  </si>
  <si>
    <t>if(selected(.,'none') or selected(.,'dk') or selected(.,'ref'), count-selected(.) = 1, count-selected(.) &gt;= 1)</t>
  </si>
  <si>
    <t>select_multiple asset_transp</t>
  </si>
  <si>
    <t>hh_asset_transp</t>
  </si>
  <si>
    <t xml:space="preserve">Do you or any member of household own any of the following transportation assets? </t>
  </si>
  <si>
    <t>select_one maritalstat</t>
  </si>
  <si>
    <t>hh_maritalstat</t>
  </si>
  <si>
    <t xml:space="preserve">What is the head of household’s current marital status? </t>
  </si>
  <si>
    <t>select_one agegroup</t>
  </si>
  <si>
    <t>hh_age</t>
  </si>
  <si>
    <t xml:space="preserve">How old is the head of household? </t>
  </si>
  <si>
    <t>Income_Shocks_group</t>
  </si>
  <si>
    <t>INCOME SOURCES, LIVELIHOODS AND SHOCKS</t>
  </si>
  <si>
    <t>select_one incomesource1</t>
  </si>
  <si>
    <t>income_main</t>
  </si>
  <si>
    <t>What was your household's main source of income in the past 3 months?</t>
  </si>
  <si>
    <t>[INSTRUCTIONS: REFUSED OPTIONS SHOULD BE AVOIDED AS MUCH AS POSSIBLE.]</t>
  </si>
  <si>
    <t>incomemain</t>
  </si>
  <si>
    <t>jr:choice-name(${income_main},'${income_main}')</t>
  </si>
  <si>
    <t>income_main_crop_check</t>
  </si>
  <si>
    <t xml:space="preserve">Are the crops that you sell produced by you or anyone in your household? </t>
  </si>
  <si>
    <t xml:space="preserve">${income_main} = '1' or ${income_main} = '2' or ${income_main} = '3' </t>
  </si>
  <si>
    <t>income_main_ls_check</t>
  </si>
  <si>
    <t xml:space="preserve">Are the livestock and livestock products that you sell produced by you or anyone in your household? </t>
  </si>
  <si>
    <t>${income_main} = '4'</t>
  </si>
  <si>
    <t>income_main_fish_check</t>
  </si>
  <si>
    <t xml:space="preserve">Are the fish and/or fish products that you sell also captured or harvested by you or anyone in your household? </t>
  </si>
  <si>
    <t>${income_main} = '6'</t>
  </si>
  <si>
    <t>decimal</t>
  </si>
  <si>
    <t>income_main_amount</t>
  </si>
  <si>
    <t>How much was earned (in SLE ) from your main income source, ${incomemain}, in the past 3 months ?</t>
  </si>
  <si>
    <t>[INSTRUCTIONS: MAKE SURE THE INFORMATION IS RECORDED IN THE CORRECT CURRENCY. ENTER 888 FOR DON'T KNOW AND 999 FOR REFUSED.]</t>
  </si>
  <si>
    <t>. &gt; 1 or . = 888 or . = 999</t>
  </si>
  <si>
    <t>${income_main} != '19' and ${income_main} != '20'</t>
  </si>
  <si>
    <t>select_one continue</t>
  </si>
  <si>
    <t>income_main_amount_conf</t>
  </si>
  <si>
    <t>Can you confirm the amount of income you just stated is correct?</t>
  </si>
  <si>
    <t>[INSTRUCTIONS: IF THE RESPONDENT CONFIRMS THAT THE INCOME AMOUNT EARNED FROM THIS INCOME SOURCE OVER THE PAST 3 MONTH IS INDEED OVER 15000, CLICK ON CONTINUE. OTHERWISE, GO BACK AND CHANGE THE AMOUNT ENTERED.]</t>
  </si>
  <si>
    <t xml:space="preserve">${income_main_amount} &gt; 15000 and (${income_main} != '19' and ${income_main} != '20') </t>
  </si>
  <si>
    <t>select_one gender_inc_1</t>
  </si>
  <si>
    <t>income_main_gender</t>
  </si>
  <si>
    <t xml:space="preserve">What is the gender of the household member(s) generating income from this source? </t>
  </si>
  <si>
    <t>select_one gender_inc_2</t>
  </si>
  <si>
    <t>income_main_control</t>
  </si>
  <si>
    <t xml:space="preserve">Who controls the revenue that is earned from this source? </t>
  </si>
  <si>
    <t>select_one change</t>
  </si>
  <si>
    <t>income_main_comp</t>
  </si>
  <si>
    <t>Has your household's income from ${incomemain} changed in the last 3 months compared to the same period of last year?</t>
  </si>
  <si>
    <t>select_one incomesource2</t>
  </si>
  <si>
    <t>income_sec</t>
  </si>
  <si>
    <t>What was your household's second most important source of income in the past 3 months?</t>
  </si>
  <si>
    <t>[INSTRUCTIONS: DON'T KNOW AND REFUSED OPTIONS SHOULD BE AVOIDED AS MUCH AS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</si>
  <si>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</si>
  <si>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</si>
  <si>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</si>
  <si>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</si>
  <si>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</si>
  <si>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</si>
  <si>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</si>
  <si>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</si>
  <si>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 xml:space="preserve">Are the fish products that you sell produced by you or anyone in your household? </t>
  </si>
  <si>
    <t>${income_sec} = '6'</t>
  </si>
  <si>
    <t>income_sec_amount</t>
  </si>
  <si>
    <t>How much was earned (in SLE ) from your second main income source, ${incomesec}, in the past 3 months ?</t>
  </si>
  <si>
    <t xml:space="preserve">${income_main} != '19' and ${income_main} != '20' and ${income_sec} != '19' and ${income_sec} != '20' and ${income_sec} != '21' </t>
  </si>
  <si>
    <t>income_sec_amount_conf</t>
  </si>
  <si>
    <t>${income_sec_amount} &gt; 15000 and (${income_main} != '19' and ${income_main} != '20' and ${income_sec} != '19' and ${income_sec} != '20' and ${income_sec} != '21')</t>
  </si>
  <si>
    <t>income_sec_gender</t>
  </si>
  <si>
    <t>income_sec_control</t>
  </si>
  <si>
    <t>income_sec_comp</t>
  </si>
  <si>
    <t>Has your household's income from ${incomesec} changed in the last 3 months compared to the same period of last year?</t>
  </si>
  <si>
    <t>select_one incomesource3</t>
  </si>
  <si>
    <t>income_third</t>
  </si>
  <si>
    <t>What was your household's third most important source of income in the past 3 months?</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</si>
  <si>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</si>
  <si>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</si>
  <si>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</si>
  <si>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</si>
  <si>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</si>
  <si>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</si>
  <si>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</si>
  <si>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</si>
  <si>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</si>
  <si>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income_third_comp</t>
  </si>
  <si>
    <t>Has your household's income from ${incomethird} changed in the last 3 months compared to the same period of last year?</t>
  </si>
  <si>
    <t xml:space="preserve">${income_main} != '19' and ${income_main} != '20' and ${income_sec} != '19' and ${income_sec} != '20' and ${income_sec} != '21' and ${income_third} != '19' and ${income_third} != '20' and ${income_third} != '21' </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</si>
  <si>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</si>
  <si>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</si>
  <si>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</si>
  <si>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[INSTRUCTIONS: SELECT RELEVANT SHOCKS EXPERIENCED BY THE HOUSEHOLD. MULTIPLE RESPONSES POSSIBLE. REFER TO ECONOMIC SHOCKS, CROP AND LIVESTOCK SHOCKS, INTRA-HOUSEHOLD SHOCK, NATURAL HAZARDS AND HUMAN-INDUCED HAZARDS.]</t>
  </si>
  <si>
    <t>if(selected(.,'noshock') or selected(.,'dk') or selected(.,'ref'), count-selected(.) = 1, count-selected(.) &gt;= 1)</t>
  </si>
  <si>
    <t>hh_explanation</t>
  </si>
  <si>
    <t>If the household was affected by a major recent shock as indicated in this assessment [for example, an earthquake], what are the [expected] consequences for your household, in your own words?</t>
  </si>
  <si>
    <t>[INSTRUCTIONS: RECORD IN FEW WORDS THE MAIN CONSEQUENCE OF THE RECENT SHOCKS. ENTER 888 FOR DON'T KNOW AND 999 FOR REFUSED.]</t>
  </si>
  <si>
    <t>${shock} != 'noshock' and ${shock} != 'dk' and ${shock} != 'ref'</t>
  </si>
  <si>
    <t>CropProduction_group</t>
  </si>
  <si>
    <t>CROP PRODUCTION</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</si>
  <si>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</si>
  <si>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</si>
  <si>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Last season .</t>
  </si>
  <si>
    <t>crp_landsize_num</t>
  </si>
  <si>
    <t>What is the total size of the land you can cultivate?</t>
  </si>
  <si>
    <t>[INSTRUCTIONS: RECORD THE TOTAL LAND SIZE PROVIDED BY THE RESPONDENT. WRITE 888 FOR DON'T KNOW AND 999 FOR REFUSED. MEASUREMENT UNIT WILL BE SPECIFIED IN THE FOLLOWING QUESTION.]</t>
  </si>
  <si>
    <t>. &gt;= 0</t>
  </si>
  <si>
    <t>select_one landsize_unit</t>
  </si>
  <si>
    <t>crp_landsize_unit</t>
  </si>
  <si>
    <t xml:space="preserve">Unit of measurement for land size: </t>
  </si>
  <si>
    <t>[INSTRUCTIONS: DO NOT READ QUESTION. SELECT UNIT OF MEASUREMENT IN WHICH LAND SIZE WAS PROVIDED.]</t>
  </si>
  <si>
    <t>${crp_landsize_num} != 888 and ${crp_landsize_num} != 999</t>
  </si>
  <si>
    <t>select_one crop</t>
  </si>
  <si>
    <t>crp_main</t>
  </si>
  <si>
    <t>What is the main crop that your household grows for food and income generation in Last season , if any?</t>
  </si>
  <si>
    <t>[INSTRUCTIONS: "NO CROP PRODUCTION" APPEARS AT THE END OF THE LIST OF OPTIONS.]</t>
  </si>
  <si>
    <t>crpmain</t>
  </si>
  <si>
    <t>jr:choice-name(${crp_main},'${crp_main}')</t>
  </si>
  <si>
    <t>select_one cropcheck</t>
  </si>
  <si>
    <t>crp_main_check</t>
  </si>
  <si>
    <t>Why did you not produce any crops in Last season ?</t>
  </si>
  <si>
    <t>${crp_main}='777'</t>
  </si>
  <si>
    <t>select_one irrigation</t>
  </si>
  <si>
    <t>crp_irrig_source</t>
  </si>
  <si>
    <t xml:space="preserve">Where do you normally and mainly obtain water for the production of ${crpmain}? </t>
  </si>
  <si>
    <t>${crp_main} != '777' and ${crp_main} != '888' and ${crp_main} != '999'</t>
  </si>
  <si>
    <t>crp_irrig_source_otherspecify</t>
  </si>
  <si>
    <t>If other, specify.</t>
  </si>
  <si>
    <t>[INSTRUCTIONS: RECORD THE OPEN RESPONSE GIVEN IN FEW WORDS. ENTER 888 FOR DON'T KNOW AND 999 FOR REFUSED]</t>
  </si>
  <si>
    <t>${crp_irrig_source}='6' and (${crp_main} != '777' and ${crp_main} != '888' and ${crp_main} != '999')</t>
  </si>
  <si>
    <t>select_one irrigpump</t>
  </si>
  <si>
    <t>crp_irrig_system</t>
  </si>
  <si>
    <t>Do you [your community] use a pump for your own [the communal] irrigation system?</t>
  </si>
  <si>
    <t>not(${crp_irrig_source}='7' or ${crp_irrig_source}='8') and (${crp_main} != '777' and ${crp_main} != '888' and ${crp_main} != '999')</t>
  </si>
  <si>
    <t>crp_irrig_pay</t>
  </si>
  <si>
    <t xml:space="preserve">Do you have to pay for water rights [e.g. water rights, communal infrastructure maintenance, gas for communal pump, etc.]? </t>
  </si>
  <si>
    <t xml:space="preserve">select_multiple seedsupply </t>
  </si>
  <si>
    <t>crp_seed</t>
  </si>
  <si>
    <t xml:space="preserve">Who do you normally procure your seeds from? </t>
  </si>
  <si>
    <t>[INSTRUCTIONS: MULTIPLE RESPONSES POSSIBLE.]</t>
  </si>
  <si>
    <t>if(selected(., 'ref') or selected(., 'dk'), count-selected(.) = 1, count-selected(.) &gt;= 1)</t>
  </si>
  <si>
    <t>crp_area_change</t>
  </si>
  <si>
    <t>How did the ***area planted*** for ${crpmain} from Last season  compare to last year?</t>
  </si>
  <si>
    <t>crp_harv_change</t>
  </si>
  <si>
    <t xml:space="preserve">How does the  ***harvest*** of ${crpmain} in the Last season  compare to last year? </t>
  </si>
  <si>
    <t>crp_harv_vol</t>
  </si>
  <si>
    <t>How much (threshed) ${crpmain} did you harvest this Last season ?</t>
  </si>
  <si>
    <t>[INSTRUCTIONS: RECORD THE RESPONSE GIVEN. UNIT OF MEASUREMENT TO BE SPECIFIED IN NEXT QUESTION. ENTER 888 FOR DON'T KNOW &amp; 999 FOR REFUSED, TO BE USED RARELY - PROBE!]</t>
  </si>
  <si>
    <t>select_one harv_unit</t>
  </si>
  <si>
    <t>crp_harv_unit</t>
  </si>
  <si>
    <t>Unit of measurement for harvested ${crpmain}:</t>
  </si>
  <si>
    <t>${crp_harv_vol} != '888' and ${crp_harv_vol} != '999'</t>
  </si>
  <si>
    <t>crp_harvunit</t>
  </si>
  <si>
    <t>jr:choice-name(${crp_harv_unit},'${crp_harv_unit}')</t>
  </si>
  <si>
    <t>crp_harv_unit_kg</t>
  </si>
  <si>
    <t>How many kilograms [kgs] in each unit?</t>
  </si>
  <si>
    <t>[INSTRUCTIONS: RECORD THE RESPONSE GIVEN. ENTER 888 FOR DON'T KNOW &amp; 999 FOR REFUSED, TO BE USED RARELY - PROBE!]</t>
  </si>
  <si>
    <t>(${crp_harv_vol} != '888' and ${crp_harv_vol} != '999') and (${crp_harv_unit}='5' or ${crp_harv_unit}='6' or ${crp_harv_unit}='7' or ${crp_harv_unit}='8' or ${crp_harv_unit}='9')</t>
  </si>
  <si>
    <t>crp_harv_lastyr</t>
  </si>
  <si>
    <t>How many ${crp_harvunit} of (threshed) ${crpmain} did you harvest last year during the same season?</t>
  </si>
  <si>
    <t>${crp_harv_vol} != '888' and ${crp_harv_vol} != '999' and (${crp_main} != '777' and ${crp_main} != '888' and ${crp_main} != '999')</t>
  </si>
  <si>
    <t>o_crp_harv_consume</t>
  </si>
  <si>
    <t>How much of your ${crpmain} harvest this Last season  was allotted for household consumption (in percentage)?</t>
  </si>
  <si>
    <t>[INSTRUCTIONS: RECORD THE RESPONSE GIVEN. DO NOT INCLUDE THE PERCENT SIGN. ENTER 888 FOR DON'T KNOW &amp; 999 FOR REFUSED, TO BE USED RARELY - PROBE!]</t>
  </si>
  <si>
    <t>(. &gt;= 0 and . &lt;= 100) or . = 888 or . = 999</t>
  </si>
  <si>
    <t>select_one harv_duration</t>
  </si>
  <si>
    <t>o_crp_harv_duration</t>
  </si>
  <si>
    <t>How long did the ${crpmain} alloted for consumption last with your household?</t>
  </si>
  <si>
    <t>${o_crp_harv_consume} &gt; 0 and ${o_crp_harv_consume} &lt;= 100</t>
  </si>
  <si>
    <t>crp_proddif</t>
  </si>
  <si>
    <t>Has your household faced any significant difficulty ***in terms of crop production*** in Last season ?</t>
  </si>
  <si>
    <t>${crp_main} != '888' and ${crp_main} != '999' and ${crp_main_check} != 1</t>
  </si>
  <si>
    <t>select_multiple cropproddiff</t>
  </si>
  <si>
    <t>crp_proddif_</t>
  </si>
  <si>
    <t>Which difficulties has your household faced with crop production in Last season ?</t>
  </si>
  <si>
    <t>[INSTRUCTIONS: MULTIPLE RESPONSES POSSIBLE. SELECT OPTION(S) THAT BEST FIT THE INFORMATION PROVIDED BY THE RESPONDENTS.]</t>
  </si>
  <si>
    <t>${crp_proddif} = '1' and (${crp_main} != '888' and ${crp_main} != '999' and ${crp_main_check} != 1)</t>
  </si>
  <si>
    <t>select_one storage</t>
  </si>
  <si>
    <t>crp_storage</t>
  </si>
  <si>
    <t>Last year, what proportion of your ${crpmain} stock did you lose [to pests, rotting, mould, etc.] after the harvest?</t>
  </si>
  <si>
    <t>${crp_main} != '888' and ${crp_main} != '999' and ${crp_main} != '777'</t>
  </si>
  <si>
    <t>select_multiple crop2</t>
  </si>
  <si>
    <t>crp_all</t>
  </si>
  <si>
    <t>Do you cultivate any other crops aside from ${crpmain}, and if so which ones?</t>
  </si>
  <si>
    <t>[INSTRUCTIONS: "No other crops" APPEARS AT THE END OF THE LIST OF OPTIONS. SELECT ALL CROPS LISTED BY THE RESPONDENT.]</t>
  </si>
  <si>
    <t>if(selected(., '888') or selected(., '999') or selected(.,'666'), count-selected(.) = 1, count-selected(.) &gt;= 1)</t>
  </si>
  <si>
    <t>not(selected(${crp_main}, name))</t>
  </si>
  <si>
    <t>CropSales_group</t>
  </si>
  <si>
    <t>CROP MARKETING</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</si>
  <si>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</si>
  <si>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</si>
  <si>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</si>
  <si>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select_one crop3</t>
  </si>
  <si>
    <t>crp_sales_main_2</t>
  </si>
  <si>
    <t>What was the main crop that you sold over the *last 3 months*?</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</si>
  <si>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</si>
  <si>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</si>
  <si>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</si>
  <si>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</si>
  <si>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</si>
  <si>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</si>
  <si>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</si>
  <si>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select_multiple cropsalesdiff</t>
  </si>
  <si>
    <t>crp_saledif</t>
  </si>
  <si>
    <t xml:space="preserve">Which difficulties has your household faced in the last 3 months selling your ${crp_sales_main}? </t>
  </si>
  <si>
    <t>if(selected(., 'dk') or selected(., 'ref'), count-selected(.) = 1, count-selected(.) &gt;= 1)</t>
  </si>
  <si>
    <t xml:space="preserve">${crp_salesdif} = '1' </t>
  </si>
  <si>
    <t>crp_salesprice</t>
  </si>
  <si>
    <t>How does the current price of your household's ${crp_sales_main} compare to the average price in the same period of last year?</t>
  </si>
  <si>
    <t>[INSTRUCTIONS: INSIST ON THE MAIN PRODUCT MENTIONED.]</t>
  </si>
  <si>
    <t>Livestock_group</t>
  </si>
  <si>
    <t>LIVESTOCK PRODUCTION</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</si>
  <si>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</si>
  <si>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</si>
  <si>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</si>
  <si>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select_one lsmain</t>
  </si>
  <si>
    <t>ls_main</t>
  </si>
  <si>
    <t>What was the main animal raised by your household for food and income generation in the last 12 months?</t>
  </si>
  <si>
    <t>[INSTRUCTIONS: ASK ABOUT THE MOST IMPORTANT ANIMAL ONLY.] [HINT: DON'T FORGET TO PROBE ABOUT TRANSHUMANCE - MOVING LIVESTOCK FROM ONE GRAZING GROUND TO ANOTHER.]</t>
  </si>
  <si>
    <t>lsmain</t>
  </si>
  <si>
    <t>jr:choice-name(${ls_main},'${ls_main}')</t>
  </si>
  <si>
    <t>ls_num_lastyr</t>
  </si>
  <si>
    <t>How many ${lsmain} did you have at the same time last year?</t>
  </si>
  <si>
    <t>[INSTRUCTIONS: RECORD THE NUMBER OF ANIMALS. ENTER 888 FOR DON'T KNOW AND 999 FOR REFUSED.]</t>
  </si>
  <si>
    <t xml:space="preserve">. &gt;= 0 </t>
  </si>
  <si>
    <t>${ls_main} != '10' or ${ls_main} != '11'</t>
  </si>
  <si>
    <t>ls_num_now</t>
  </si>
  <si>
    <t>How many ${lsmain} do you have now?</t>
  </si>
  <si>
    <t>ls_num_diff</t>
  </si>
  <si>
    <t xml:space="preserve">Change in ${lsmain}: </t>
  </si>
  <si>
    <t>(${ls_main} != '10' or ${ls_main} != '11') and (${ls_num_lastyr} != '888' and ${ls_num_lastyr} != '999' and ${ls_num_now} != '888' and ${ls_num_now} != '999')</t>
  </si>
  <si>
    <t>${ls_num_now} - ${ls_num_lastyr}</t>
  </si>
  <si>
    <t>select_multiple lsnum</t>
  </si>
  <si>
    <t>ls_num</t>
  </si>
  <si>
    <t>Why did the number of livestock change?</t>
  </si>
  <si>
    <t>if(selected(., 'inc_dec_dk') or selected(., 'inc_dec_ref'), count-selected(.) = 1, count-selected(.) &gt;= 1)</t>
  </si>
  <si>
    <t>select_multiple lsfood</t>
  </si>
  <si>
    <t>ls_feed</t>
  </si>
  <si>
    <t xml:space="preserve">Where do you usually access feed for your ${lsmain}? </t>
  </si>
  <si>
    <t>ls_proddif</t>
  </si>
  <si>
    <t>Has your household faced any significant difficulty with livestock production over the last 3 months?</t>
  </si>
  <si>
    <t>select_multiple lsproddiff</t>
  </si>
  <si>
    <t>ls_proddif_</t>
  </si>
  <si>
    <t>Which difficulties has your household faced with livestock production in the last 3 months?</t>
  </si>
  <si>
    <t>${ls_proddif}='1'</t>
  </si>
  <si>
    <t>select_multiple lsmain2</t>
  </si>
  <si>
    <t>ls_all</t>
  </si>
  <si>
    <t>Do you own any other livestock aside from ${lsmain}, and if so which ones?</t>
  </si>
  <si>
    <t>[INSTRUCTIONS: "No other livestock" APPEARS AT THE END OF THE LIST OF OPTIONS. SELECT ALL LIVESTOCK LISTED BY THE RESPONDENT.]</t>
  </si>
  <si>
    <t>if(selected(., '10') or selected(., '11') or selected(.,'666'), count-selected(.) = 1, count-selected(.) &gt;= 1)</t>
  </si>
  <si>
    <t>${ls_main} != '10' and ${ls_main} != '11'</t>
  </si>
  <si>
    <t>not(selected(${ls_main}, name))</t>
  </si>
  <si>
    <t>LivestockSales_group</t>
  </si>
  <si>
    <t xml:space="preserve">LIVESTOCK &amp; LIVESTOCK PRODUCT MARKETING </t>
  </si>
  <si>
    <t>${resp_agree} = '1' and (${income_main}='4' or ${income_sec}='4' or ${income_third}='4')</t>
  </si>
  <si>
    <t>select_one salesmain</t>
  </si>
  <si>
    <t>ls_salesmain</t>
  </si>
  <si>
    <t>What was the main livestock or livestock product sold by the household in the last 3 months?</t>
  </si>
  <si>
    <t>lssalesmain</t>
  </si>
  <si>
    <t>jr:choice-name(${ls_salesmain},'${ls_salesmain}')</t>
  </si>
  <si>
    <t>ls_salesdif</t>
  </si>
  <si>
    <t>Has your household faced any significant difficulty in the last 3 months selling your ${lssalesmain}?</t>
  </si>
  <si>
    <t>select_multiple lssalesdif</t>
  </si>
  <si>
    <t>ls_salesdif_</t>
  </si>
  <si>
    <t>What difficulties has your household faced in the last 3 months selling your ${lssalesmain}?</t>
  </si>
  <si>
    <t xml:space="preserve">${ls_salesdif} = '1' </t>
  </si>
  <si>
    <t>ls_salesprice</t>
  </si>
  <si>
    <t>How does the current price of your household's ${lssalesmain} compare to the average price in the same period of last year?</t>
  </si>
  <si>
    <t>Fishing_group</t>
  </si>
  <si>
    <t>FISHING / AQUACULTURE PRODUCTION</t>
  </si>
  <si>
    <t>${resp_agree} = '1' and (${income_main_fish_check}='1' or ${income_sec_fish_check}='1' or ${income_third_fish_check}='1')</t>
  </si>
  <si>
    <t>fish_intro</t>
  </si>
  <si>
    <t>We will now ask you some questions about fishing and aquaculture production which apply to you and anyone in your household that is involved in the capture, culture, processing or sales of fish.</t>
  </si>
  <si>
    <t>select_multiple fishactivity</t>
  </si>
  <si>
    <t>fish_main</t>
  </si>
  <si>
    <t>What type of fishing activity does your household generally practice?</t>
  </si>
  <si>
    <t>[INSTRUCTIONS: MUTIPLE RESPONSES POSSIBLE.]</t>
  </si>
  <si>
    <t>fish_change</t>
  </si>
  <si>
    <t>How does your fish catch [capture fishery] in the last 3 months [or last harvest] compare to the same period [harvest] last year?</t>
  </si>
  <si>
    <t>fish_proddif</t>
  </si>
  <si>
    <t>Has your household faced any significant difficulty with fish catch and/or harvest in the last 3 months?</t>
  </si>
  <si>
    <t>select_multiple fishproddiff</t>
  </si>
  <si>
    <t>fish_proddif_</t>
  </si>
  <si>
    <t>Which difficulties has your household faced with fish catch and/or harvest in the last 3 months?</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</si>
  <si>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</si>
  <si>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</si>
  <si>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</si>
  <si>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</si>
  <si>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</si>
  <si>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</si>
  <si>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${fish_proddif} = '1' and selected(${fish_proddif_}, 'input_access')</t>
  </si>
  <si>
    <t>fish_inputdif_otherspecify</t>
  </si>
  <si>
    <t>${fish_inputdif} = 'other'</t>
  </si>
  <si>
    <t>FishSales_group</t>
  </si>
  <si>
    <t xml:space="preserve">FISHING / AQUACULTURE MARKETING </t>
  </si>
  <si>
    <t>${resp_agree} = '1' and (${income_main}='6' or ${income_sec}='6' or ${income_third}='6')</t>
  </si>
  <si>
    <t>select_one fishsales</t>
  </si>
  <si>
    <t>fish_salesmain</t>
  </si>
  <si>
    <t>What was the main fish product sold by your household in the last 3 months?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</si>
  <si>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</si>
  <si>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</si>
  <si>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</si>
  <si>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</si>
  <si>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</si>
  <si>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</si>
  <si>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select_multiple fishsalesdif</t>
  </si>
  <si>
    <t>fish_saledif</t>
  </si>
  <si>
    <t>What difficulties has your household faced in the last 3 months selling your ${fishsalesmain}?</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</si>
  <si>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</si>
  <si>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</si>
  <si>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</si>
  <si>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</si>
  <si>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last year? </t>
  </si>
  <si>
    <t>FSI</t>
  </si>
  <si>
    <t>FOOD SECURITY INDICATORS</t>
  </si>
  <si>
    <t>intro_foodsec</t>
  </si>
  <si>
    <t>Now I would like to ask you some questions about food consumption, food utilization and coping mechanisms. Make sure to refer to the correct time period for each set of questions.</t>
  </si>
  <si>
    <t>grp_fies</t>
  </si>
  <si>
    <t>FIES</t>
  </si>
  <si>
    <t>fies_intro</t>
  </si>
  <si>
    <t xml:space="preserve">The first set of questions refers to experiences faced by your or any of your household members over the past 30 days. </t>
  </si>
  <si>
    <t>fies_worried</t>
  </si>
  <si>
    <t>During the *last 30 days*, was there a time when you or others in your household were **worried about not having enough food to eat** because of lack of money or other resources?</t>
  </si>
  <si>
    <t>fies_healthy</t>
  </si>
  <si>
    <t>During the *last 30 days*, was there a time when you or others in your household were **unable to eat healthy and nutritious food** because of lack of money or other resources?</t>
  </si>
  <si>
    <t>fies_fewfoods</t>
  </si>
  <si>
    <t>During the *last 30 days*, was there a time when you or others in your household **ate only a few kinds of foods** because of lack of money or other resources?</t>
  </si>
  <si>
    <t>fies_skipped</t>
  </si>
  <si>
    <t>During the *last 30 days*, was there a time when you or others in your household **had to skip a meal** because of lack of money or other resources to get food?</t>
  </si>
  <si>
    <t>fies_ateless</t>
  </si>
  <si>
    <t>During the *last 30 days*, was there a time when you or others in your household **ate less than you thought you should** because of lack of money or other resources?</t>
  </si>
  <si>
    <t>fies_ranout</t>
  </si>
  <si>
    <t>In the *past 30 days*, was there ever **no food to eat of any kind** in your house because of lack of resources to get food?</t>
  </si>
  <si>
    <t>select_one frequency</t>
  </si>
  <si>
    <t>fies_ranout_hhs</t>
  </si>
  <si>
    <t xml:space="preserve">How often did this happen? </t>
  </si>
  <si>
    <t>${fies_ranout} = '1'</t>
  </si>
  <si>
    <t>fies_hungry</t>
  </si>
  <si>
    <t>In the *past 30 days*, did you or any household member ever **go to sleep at night hungry**because there was not enough food?</t>
  </si>
  <si>
    <t>fies_hungry_hhs</t>
  </si>
  <si>
    <t>${fies_hungry} = '1'</t>
  </si>
  <si>
    <t>fies_whlday</t>
  </si>
  <si>
    <t>In the *past 30 days*, did you or any household member ever **go a whole day and night without eating anything at all** because there was not enough food?</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</si>
  <si>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</si>
  <si>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</si>
  <si>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</si>
  <si>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</si>
  <si>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</si>
  <si>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</si>
  <si>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</si>
  <si>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select_one coping</t>
  </si>
  <si>
    <t>cs_stress_spent_savings</t>
  </si>
  <si>
    <t>**Spend savings**</t>
  </si>
  <si>
    <t>cs_stress_sold_more_animals</t>
  </si>
  <si>
    <t>**Sell more animals (non-reproductive) than usual**</t>
  </si>
  <si>
    <t>cs_stress_credit</t>
  </si>
  <si>
    <t>**Purchase food on credit or borrowed food**</t>
  </si>
  <si>
    <t>cs_stress_borrowed_money</t>
  </si>
  <si>
    <t>**Borrow money**</t>
  </si>
  <si>
    <t>cs_crisis_harv_immature_crops</t>
  </si>
  <si>
    <t>**Harvest immature crops** (e.g. green maize) **to eat**</t>
  </si>
  <si>
    <t>cs_crisis_consume_seed_stocks</t>
  </si>
  <si>
    <t>**Consume seed stocks that were to be saved for the next planting season**</t>
  </si>
  <si>
    <t>cs_crisis_decrease_input_exp</t>
  </si>
  <si>
    <t>**Decrease expenditures on fertilizer, pesticide, fodder, animal feed, veterinary care, etc.**</t>
  </si>
  <si>
    <t>cs_emergency_begged</t>
  </si>
  <si>
    <t>**Beg**</t>
  </si>
  <si>
    <t>cs_emergency_illegal</t>
  </si>
  <si>
    <t>**Engage in illegal or degrading income activities** (theft, prostitution)</t>
  </si>
  <si>
    <t>cs_emergency_sold_last_female</t>
  </si>
  <si>
    <t>**Sell your last female animals**</t>
  </si>
  <si>
    <t>grp_hdds</t>
  </si>
  <si>
    <t>HDDS</t>
  </si>
  <si>
    <t>hdds_intro</t>
  </si>
  <si>
    <t>Now I would like to ask you about a set of questions on food consumption, referring to the *24 hours of yesterday*.</t>
  </si>
  <si>
    <t>select_multiple hdds</t>
  </si>
  <si>
    <t>hdds</t>
  </si>
  <si>
    <t>Please describe the foods (meals and snacks) that you or any household member ate or drank at home yesterday (in the *24 hours of yesterday*: breakfast, lunch, dinner and snacks).</t>
  </si>
  <si>
    <t>[INSTRUCTIONS: SELECT ALL FOOD GROUPS CONSUMED IN THE 24 HOURS OF YESTERDAY AS THE RESPONDENT ANSWERS. MULTIPLE RESPONSES POSSIBLE.]</t>
  </si>
  <si>
    <t>hdds_confirmation</t>
  </si>
  <si>
    <t>[INSTRUCTIONS: Remember to probe for snacks, special foods given to children or pregnant women, ingredients in mixed dishes. At the end, probe for any food groups not specified.]</t>
  </si>
  <si>
    <t>grp_fcs</t>
  </si>
  <si>
    <t>FCS</t>
  </si>
  <si>
    <t>fcs_intro</t>
  </si>
  <si>
    <t>Now I would like to ask you about the foods and drinks your household ate or drank in  *the last 7 days* during the day and at night [breakfast, lunch, dinner, snacks].</t>
  </si>
  <si>
    <t>fcs_staple_days</t>
  </si>
  <si>
    <t>How many days over *the last 7 days*, did members of your household eat **starches, roots and tubers** such as rice, maize, pasta, bread, sorghum, millet, potato, yam, cassava, white sweet potato?</t>
  </si>
  <si>
    <t>[INSTRUCTIONS: RECORD NUMBER OF DAYS 0 - 7. IF CONSUMED ONLY IN SMALL QUANTITY, DO NOT INCLUDE.]</t>
  </si>
  <si>
    <t>.&gt;= 0 and .&lt;=7</t>
  </si>
  <si>
    <t>The answer must be between 0 and 7 days</t>
  </si>
  <si>
    <t>fcs_pulses_days</t>
  </si>
  <si>
    <t>How many days over *the last 7 days*, did members of your household eat** pulses and nuts such as beans, lentils, cowpeas, soybean, pigeon peas and peanuts or other nuts**?</t>
  </si>
  <si>
    <t>fcs_vegetables_days</t>
  </si>
  <si>
    <t>How many days over *the last 7 days*, did members of your household eat **vegetables or leaves** such as Okra, Potato leaves, Cassava leaves, Garden eggs , Tomatoes, Green, Krain krain,Llettuce, Cabbage,Carrot, Pepper, Onions, Cucumber, pumpkin and/or other leaves/vegetables?</t>
  </si>
  <si>
    <t>fcs_fruit_days</t>
  </si>
  <si>
    <t>How many days over *the last 7 days*, did members of your household eat **fruit** such as Banana, 0ranges, Plantain, Grape fruits, Avocado, Lemon, Guava, Pineapple, Water melon , Apple, Pawpaw and/or other fruits?</t>
  </si>
  <si>
    <t>fcs_meat_fish_days</t>
  </si>
  <si>
    <t>How many days over *the last 7 days*, did members of your household eat **meat, eggs or fish** [any type of meat or fish including insects, birds, bush meat, seafood, or organs]?</t>
  </si>
  <si>
    <t>fcs_dairy_days</t>
  </si>
  <si>
    <t>How many days over *the last 7 days*, did members of your household consume fresh milk, sour milk, yogurt, cheese or other **dairy products** [excluding margarine/butter or small amounts of milk for tea/ coffee]?</t>
  </si>
  <si>
    <t>fcs_sugar_days</t>
  </si>
  <si>
    <t>How many days over *the last 7 days*, did members of your household consume **sugar or sweets** such as sugar, honey, jam, cakes, candy, cookies, pastries, cakes and other sweets and sugary drinks?</t>
  </si>
  <si>
    <t>fcs_oil_days</t>
  </si>
  <si>
    <t>How many days over *the last 7 days*, did members of your household eat **oil/fat/butter** such as vegetable oil, palm oil, groundnut oil, margarine, other fats / oil?</t>
  </si>
  <si>
    <t>fcs_condiments_days</t>
  </si>
  <si>
    <t>How many days over *the last 7 days*, did members of your household eat **spices or condiments** such as tea, coffee, cocoa, salt, garlic, spices, yeast, meat fish as a condiment or small amounts of milk for tea or coffee?</t>
  </si>
  <si>
    <t>grp_rcsi</t>
  </si>
  <si>
    <t>rCSI</t>
  </si>
  <si>
    <t>rcsi_intro</t>
  </si>
  <si>
    <t>Now I will ask you about the number of days, in *the last 7 days*, during which the household has done some of the actions that I will mention to cope with the lack of food or money to buy food.</t>
  </si>
  <si>
    <t>rcsi_less_preferred_foods</t>
  </si>
  <si>
    <t xml:space="preserve">In *the past 7 days*, how many days did your household **rely on less preferred or less expensive food** due to lack of food/money?  </t>
  </si>
  <si>
    <t>[INSTRUCTIONS: RECORD NUMBER OF DAYS 0 - 7]</t>
  </si>
  <si>
    <t>rcsi_borrowed_food</t>
  </si>
  <si>
    <t xml:space="preserve">In the *past 7 days*, how many days did your household **borrow food, or rely on help from a friend or relative** due to lack of food or money to buy food? </t>
  </si>
  <si>
    <t>rcsi_reduce_number_meals</t>
  </si>
  <si>
    <t>In the past 7 days, how many days did your household **reduce the number of meals eaten in a day** due to lack of food or money to buy food?</t>
  </si>
  <si>
    <t>rcsi_limit_portions</t>
  </si>
  <si>
    <t xml:space="preserve">In the *past 7 days*, how many days did your household **limit portion sizes at mealtime** due to lack of food or money to buy food? </t>
  </si>
  <si>
    <t>rcsi_restrict_adult_consumpt</t>
  </si>
  <si>
    <t>In the *past 7 days*, how many days did your household **restrict consumption by adults so children could eat**, due to lack of food or money to buy food?</t>
  </si>
  <si>
    <t>Assisstance_group</t>
  </si>
  <si>
    <t>NEEDS ASSISTANCE</t>
  </si>
  <si>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</si>
  <si>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</si>
  <si>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</si>
  <si>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select_multiple needs</t>
  </si>
  <si>
    <t>need_</t>
  </si>
  <si>
    <t>What are your household's greatest needs for assistance for your household's agricultural activities [including crop, livestock or fisheries/aquaculture production activities] over the next 3 to 6 months?</t>
  </si>
  <si>
    <t>[INSTRUCTIONS: MULTIPLE RESPONSE. DO NOT READ THE OPTIONS.]</t>
  </si>
  <si>
    <t>${need} = 1</t>
  </si>
  <si>
    <t>need_otherspecify</t>
  </si>
  <si>
    <t>selected(${need_}, 'other')</t>
  </si>
  <si>
    <t>select_multiple needreceived</t>
  </si>
  <si>
    <t>need_received</t>
  </si>
  <si>
    <t>Has your household received any assistance in the last 3 months, and if so, which kind?</t>
  </si>
  <si>
    <t>[INSTRUCTIONS: READ OUT ANSWER OPTIONS. MULTIPLE RESPONSES POSSIBLE.]</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</si>
  <si>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</si>
  <si>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</si>
  <si>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</si>
  <si>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</si>
  <si>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</si>
  <si>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</si>
  <si>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[INSTRUCTIONS: QUALITY OF ASSISTANCE IN TERMS OF SUFFICIENT ASSISTANCE FOR PRODUCTION OR SALES DIFFICULTY TO BE OVERCOME.]</t>
  </si>
  <si>
    <t>${need_received} != 'dk' and ${need_received} != 'ref' and ${need_received} != 'none'</t>
  </si>
  <si>
    <t>select_multiple provider</t>
  </si>
  <si>
    <t>assistance</t>
  </si>
  <si>
    <t>Who provided your household with this assistance?</t>
  </si>
  <si>
    <t>[INSTRUCTIONS: MULTIPLE RESPONSES.]</t>
  </si>
  <si>
    <t>closing</t>
  </si>
  <si>
    <t>CLOSING</t>
  </si>
  <si>
    <t>callback</t>
  </si>
  <si>
    <t>Your answers will help us to understand and respond to your community needs. May we call you in a few months?</t>
  </si>
  <si>
    <t>leader_contact</t>
  </si>
  <si>
    <t>Can you provide me with the contact information of a leader in your community?</t>
  </si>
  <si>
    <t>${callback} = '1'</t>
  </si>
  <si>
    <t>no - panel</t>
  </si>
  <si>
    <t>select_one leader</t>
  </si>
  <si>
    <t>leader_type</t>
  </si>
  <si>
    <t>What type of community leader can you provide information for?</t>
  </si>
  <si>
    <t>${callback} = '1' and ${leader_contact}='1'</t>
  </si>
  <si>
    <t>phone_number_leader</t>
  </si>
  <si>
    <t>What is the leader's *phone number*?</t>
  </si>
  <si>
    <t>leader_name</t>
  </si>
  <si>
    <t>What is the leader's name?</t>
  </si>
  <si>
    <t>select_multiple week</t>
  </si>
  <si>
    <t>future_int_day</t>
  </si>
  <si>
    <t>For future interviews, in which day(s) can I call you?</t>
  </si>
  <si>
    <t>[INSTRUCTIONS: MULTIPLE ANSWERS POSSIBLE.]</t>
  </si>
  <si>
    <t>select_multiple time</t>
  </si>
  <si>
    <t>future_int_time</t>
  </si>
  <si>
    <t>For future interviews, at what time(s) can I call you?</t>
  </si>
  <si>
    <t>select_one language</t>
  </si>
  <si>
    <t>language2</t>
  </si>
  <si>
    <t xml:space="preserve">Select the language that was mostly used to complete the interview. </t>
  </si>
  <si>
    <t>closeout</t>
  </si>
  <si>
    <t xml:space="preserve">Thank you for your time. The interview has come to an end. </t>
  </si>
  <si>
    <t>time</t>
  </si>
  <si>
    <t>Interview_End_Time</t>
  </si>
  <si>
    <t>Interview End Time</t>
  </si>
  <si>
    <t>gps_2</t>
  </si>
  <si>
    <t>GPS INSTRUCTION: You didn't take a measurement earlier. Now walk around the household or go near the main road and try to take a GPS measurement.</t>
  </si>
  <si>
    <t xml:space="preserve">false </t>
  </si>
  <si>
    <t>${resp_agree} = '1' and ${gps_1} = ''</t>
  </si>
  <si>
    <t>enum_notes</t>
  </si>
  <si>
    <t>Enter any notes or feedback from this survey:</t>
  </si>
  <si>
    <t xml:space="preserve">Leave empty if there are no comments. </t>
  </si>
  <si>
    <t>__version__</t>
  </si>
  <si>
    <t>'vfVbKi5bfYAnEzqoBsXTzQ'</t>
  </si>
  <si>
    <t xml:space="preserve">AVERAGE ESTIMATED DURATION </t>
  </si>
  <si>
    <t>list_name</t>
  </si>
  <si>
    <t>my_filter_admin</t>
  </si>
  <si>
    <t>enumteam</t>
  </si>
  <si>
    <t>Enumerator team 1</t>
  </si>
  <si>
    <t>Enumerator team 2</t>
  </si>
  <si>
    <t>Enumerator team 3</t>
  </si>
  <si>
    <t>Enumerator team 4</t>
  </si>
  <si>
    <t>enumerator name 1</t>
  </si>
  <si>
    <t>enumerator name 2</t>
  </si>
  <si>
    <t>enumerator name 3</t>
  </si>
  <si>
    <t>yes_no</t>
  </si>
  <si>
    <t>YES</t>
  </si>
  <si>
    <t>NO</t>
  </si>
  <si>
    <t>DON'T KNOW</t>
  </si>
  <si>
    <t>REFUSED</t>
  </si>
  <si>
    <t>continue</t>
  </si>
  <si>
    <t>yesno</t>
  </si>
  <si>
    <t>Yes</t>
  </si>
  <si>
    <t>No</t>
  </si>
  <si>
    <t>language</t>
  </si>
  <si>
    <t>en</t>
  </si>
  <si>
    <t>English</t>
  </si>
  <si>
    <t>fr</t>
  </si>
  <si>
    <t>French</t>
  </si>
  <si>
    <t>…</t>
  </si>
  <si>
    <t>gender</t>
  </si>
  <si>
    <t>Male</t>
  </si>
  <si>
    <t>Female</t>
  </si>
  <si>
    <t>contact_info</t>
  </si>
  <si>
    <t>YES - mine</t>
  </si>
  <si>
    <t>YES - friend or relative</t>
  </si>
  <si>
    <t>agricactivity</t>
  </si>
  <si>
    <t xml:space="preserve">Yes - crop production </t>
  </si>
  <si>
    <t>Yes - livestock production</t>
  </si>
  <si>
    <t xml:space="preserve">Yes - both crop and livestock production </t>
  </si>
  <si>
    <t>edu</t>
  </si>
  <si>
    <t>None or did not complete primary school</t>
  </si>
  <si>
    <t>Completed primary school</t>
  </si>
  <si>
    <t>Completed secondary school</t>
  </si>
  <si>
    <t>Completed higher education [University / College] degree</t>
  </si>
  <si>
    <t>Religious or informal education only</t>
  </si>
  <si>
    <t>water</t>
  </si>
  <si>
    <t>Private tap from piped water</t>
  </si>
  <si>
    <t>Public tap</t>
  </si>
  <si>
    <t>Protected well</t>
  </si>
  <si>
    <t>Bottled water</t>
  </si>
  <si>
    <t>Other safe source</t>
  </si>
  <si>
    <t>River</t>
  </si>
  <si>
    <t>Unprotected well</t>
  </si>
  <si>
    <t>Spring water</t>
  </si>
  <si>
    <t>Surface water [e.g. canal, ponds, dams]</t>
  </si>
  <si>
    <t>Other unsafe source</t>
  </si>
  <si>
    <t>toilet</t>
  </si>
  <si>
    <t>Flush latrine/toilet with water</t>
  </si>
  <si>
    <t>Traditional pit latrine [no water]</t>
  </si>
  <si>
    <t>Open pit [hole in the ground for excrement without water, roof or wall]</t>
  </si>
  <si>
    <t>Communal latrine [with or without water]</t>
  </si>
  <si>
    <t>None – bush</t>
  </si>
  <si>
    <t>light</t>
  </si>
  <si>
    <t>Electricity [from generator or electrical grid]</t>
  </si>
  <si>
    <t>Candle</t>
  </si>
  <si>
    <t>Petrol lamp</t>
  </si>
  <si>
    <t>Lamp with batteries</t>
  </si>
  <si>
    <t>Solar panel</t>
  </si>
  <si>
    <t>Other [no electric supply to the house]</t>
  </si>
  <si>
    <t>residence</t>
  </si>
  <si>
    <t>Permanent Resident - you have been living in your village / town for longer than two years and this is what you consider your habitual residence</t>
  </si>
  <si>
    <t>Recent migrant not forcefully displaced - you have been living in your current place of residence for less than two years and you moved there voluntarily for work /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</si>
  <si>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</si>
  <si>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 xml:space="preserve">Internally displaced person [IDP] - you were forced to flee your village or town because of conflict or natural disaster and you are now an internally displaced person in your current place of residence </t>
  </si>
  <si>
    <t>Refugee - you were forced to flee your country because of conflict or natural disaster and you are now a refugee in your current place of residence</t>
  </si>
  <si>
    <t>asset_prod</t>
  </si>
  <si>
    <t>process</t>
  </si>
  <si>
    <t>Processing assets (e.g. grinding/crushing machine, mill, oil press)</t>
  </si>
  <si>
    <t>farmmach</t>
  </si>
  <si>
    <t>Farm machinery (e.g. tractor, plough, sickle, etc.)</t>
  </si>
  <si>
    <t>sewing</t>
  </si>
  <si>
    <t>Sewing machine or weaving tool</t>
  </si>
  <si>
    <t>taxi</t>
  </si>
  <si>
    <t>Taxi</t>
  </si>
  <si>
    <t>truck</t>
  </si>
  <si>
    <t>Truck</t>
  </si>
  <si>
    <t>other</t>
  </si>
  <si>
    <t>Other productive machines or assets</t>
  </si>
  <si>
    <t>none</t>
  </si>
  <si>
    <t>No productive machines or assets</t>
  </si>
  <si>
    <t>dk</t>
  </si>
  <si>
    <t>ref</t>
  </si>
  <si>
    <t>asset_transp</t>
  </si>
  <si>
    <t>bici</t>
  </si>
  <si>
    <t>Bicycle</t>
  </si>
  <si>
    <t>cart</t>
  </si>
  <si>
    <t>Cart (animal drawn)</t>
  </si>
  <si>
    <t>boat</t>
  </si>
  <si>
    <t>Boat / canoe</t>
  </si>
  <si>
    <t>motorbike</t>
  </si>
  <si>
    <t>Motorbike / scooter / auto rickshaw</t>
  </si>
  <si>
    <t>car</t>
  </si>
  <si>
    <t>Car</t>
  </si>
  <si>
    <t>van</t>
  </si>
  <si>
    <t>Van or small truck</t>
  </si>
  <si>
    <t>Other motor vehicle</t>
  </si>
  <si>
    <t>None of the above</t>
  </si>
  <si>
    <t>maritalstat</t>
  </si>
  <si>
    <t xml:space="preserve">Single / never married </t>
  </si>
  <si>
    <t>Married</t>
  </si>
  <si>
    <t>Separated</t>
  </si>
  <si>
    <t>Divorced</t>
  </si>
  <si>
    <t>Widowed</t>
  </si>
  <si>
    <t>DON’T KNOW</t>
  </si>
  <si>
    <t xml:space="preserve">REFUSED </t>
  </si>
  <si>
    <t>agegroup</t>
  </si>
  <si>
    <t>Under 18</t>
  </si>
  <si>
    <t>18 to 40</t>
  </si>
  <si>
    <t>41 to 65</t>
  </si>
  <si>
    <t>Over 65</t>
  </si>
  <si>
    <t>incomesource1</t>
  </si>
  <si>
    <t>Production and sale of staple crops</t>
  </si>
  <si>
    <t xml:space="preserve">Production and sale of vegetables or fruit </t>
  </si>
  <si>
    <t>Production and sale of cashcrops</t>
  </si>
  <si>
    <t xml:space="preserve">Production and sale of livestock and livestock products </t>
  </si>
  <si>
    <t>Production and sale of honey and bee products</t>
  </si>
  <si>
    <t xml:space="preserve">Production and sale of fish </t>
  </si>
  <si>
    <t>Collection and sale of natural resources (including forestry or bush products)</t>
  </si>
  <si>
    <t>Agricultural trade EXCLUDING producers (formal or informal)</t>
  </si>
  <si>
    <t xml:space="preserve">Daily wage on farms and other casual employment in agricultural sector </t>
  </si>
  <si>
    <t xml:space="preserve">Stable employment in agricultural sector </t>
  </si>
  <si>
    <t>Non-agricultural self-employed or liberal profession, doctor, architect, lawyer, including restaurant</t>
  </si>
  <si>
    <t>Off-farm daily wages and other non-agricultural casual employment</t>
  </si>
  <si>
    <t>Stable employment in non-agricultural sector</t>
  </si>
  <si>
    <t xml:space="preserve">Public employment </t>
  </si>
  <si>
    <t>Income not derived from work / Charity</t>
  </si>
  <si>
    <t>Income not derived from work / Welfare transfer, pension, humanitarian aid</t>
  </si>
  <si>
    <t>Income not derived from work / Remittances</t>
  </si>
  <si>
    <t xml:space="preserve">Income not derived from work / Income from other rents                                                                                                                                              </t>
  </si>
  <si>
    <t>No income source in the last 3 months and used exclusively savings / debts</t>
  </si>
  <si>
    <t>gender_inc_1</t>
  </si>
  <si>
    <t>Joint (both male &amp; female)</t>
  </si>
  <si>
    <t>gender_inc_2</t>
  </si>
  <si>
    <t>Male household member(s)</t>
  </si>
  <si>
    <t>Female household member(s)</t>
  </si>
  <si>
    <t>Joint household members (both female &amp; male)</t>
  </si>
  <si>
    <t>change</t>
  </si>
  <si>
    <t>A lot more [increased by more than 50%]</t>
  </si>
  <si>
    <t>Slightly more</t>
  </si>
  <si>
    <t>Same</t>
  </si>
  <si>
    <t>Slightly less</t>
  </si>
  <si>
    <t xml:space="preserve">A lot less [less than half as much] </t>
  </si>
  <si>
    <t>incomesource2</t>
  </si>
  <si>
    <t>Income not derived from work / Income from other rents</t>
  </si>
  <si>
    <t>No second most important source of income</t>
  </si>
  <si>
    <t>incomesource3</t>
  </si>
  <si>
    <t xml:space="preserve">Income not derived from work / Income from other rents                                </t>
  </si>
  <si>
    <t>No third most important source of income</t>
  </si>
  <si>
    <t>noshock</t>
  </si>
  <si>
    <t>No shock</t>
  </si>
  <si>
    <t>sicknessordeathofhh</t>
  </si>
  <si>
    <t>Sickness or accident or death of household member[s] [sickness of breadwinner / unusually high medical expenditure / funeral expenses / death of breadwinner]</t>
  </si>
  <si>
    <t>lostemplorwork</t>
  </si>
  <si>
    <t>Lost employment or working opportunities [not due to illness/accident]</t>
  </si>
  <si>
    <t>otherintrahhshock</t>
  </si>
  <si>
    <t>Other intra-household shock</t>
  </si>
  <si>
    <t>higherfoodprices</t>
  </si>
  <si>
    <t>Unusually high food prices</t>
  </si>
  <si>
    <t>higherfuelprices</t>
  </si>
  <si>
    <t>Unusually high l fuel prices or transport prices</t>
  </si>
  <si>
    <t>mvtrestrict</t>
  </si>
  <si>
    <t>Population movement restrictions [e.g. due to epidemic or infrastructure damage]</t>
  </si>
  <si>
    <t>othereconomicshock</t>
  </si>
  <si>
    <t xml:space="preserve">Other economic shock </t>
  </si>
  <si>
    <t>pestoutbreak</t>
  </si>
  <si>
    <t>Pest outbreak</t>
  </si>
  <si>
    <t>plantdisease</t>
  </si>
  <si>
    <t>Plant disease</t>
  </si>
  <si>
    <t>animaldisease</t>
  </si>
  <si>
    <t>Animal disease [affecting many animals] or death</t>
  </si>
  <si>
    <t>napasture</t>
  </si>
  <si>
    <t>Lack of physical access to pasture</t>
  </si>
  <si>
    <t>othercropandlivests</t>
  </si>
  <si>
    <t>Other crop and livestock shock</t>
  </si>
  <si>
    <t>coldtemporhail</t>
  </si>
  <si>
    <t>Cold temperatures or hail</t>
  </si>
  <si>
    <t>flood</t>
  </si>
  <si>
    <t>Flood / riverbank erosion</t>
  </si>
  <si>
    <t>hurricane</t>
  </si>
  <si>
    <t>Hurricane / cyclone / tornado</t>
  </si>
  <si>
    <t>drought</t>
  </si>
  <si>
    <t>Drought / heat stress</t>
  </si>
  <si>
    <t>earthquake</t>
  </si>
  <si>
    <t>Earthquake</t>
  </si>
  <si>
    <t>landslides</t>
  </si>
  <si>
    <t>Landslides</t>
  </si>
  <si>
    <t>firenatural</t>
  </si>
  <si>
    <t>Fire from natural disaster</t>
  </si>
  <si>
    <t>othernathazard</t>
  </si>
  <si>
    <t>Other natural hazard</t>
  </si>
  <si>
    <t>violenceinsecconf</t>
  </si>
  <si>
    <t>Violence and insecurity / conflict</t>
  </si>
  <si>
    <t>theftofprodassets</t>
  </si>
  <si>
    <t>Theft of production assets [land / livestock / tools / etc]</t>
  </si>
  <si>
    <t>firemanmade</t>
  </si>
  <si>
    <t>Fire from man-made disaster</t>
  </si>
  <si>
    <t>othermanmadehazard</t>
  </si>
  <si>
    <t>Other human-induced hazard</t>
  </si>
  <si>
    <t>covidmeasures</t>
  </si>
  <si>
    <t>goodstransp</t>
  </si>
  <si>
    <t>Movement restrictions [sometimes producing product scarcity or price hikes]</t>
  </si>
  <si>
    <t>marketclosed</t>
  </si>
  <si>
    <t>Closure of food markets or other businesses</t>
  </si>
  <si>
    <t>borderclosed</t>
  </si>
  <si>
    <t>Closure of international borders [affecting the purchase of imported inputs or the sale of goods for export or transhumance]</t>
  </si>
  <si>
    <t>stayhome</t>
  </si>
  <si>
    <t>Stay at home order</t>
  </si>
  <si>
    <t>gatherings</t>
  </si>
  <si>
    <t>Ban on gatherings</t>
  </si>
  <si>
    <t>processclosed</t>
  </si>
  <si>
    <t>Closure of food processors [slaughterhouse / dairy cooperatives / etc] or restaurants</t>
  </si>
  <si>
    <t>curfew</t>
  </si>
  <si>
    <t>Curfews</t>
  </si>
  <si>
    <t>school</t>
  </si>
  <si>
    <t>Closure of schools</t>
  </si>
  <si>
    <t>Other [specify]</t>
  </si>
  <si>
    <t>Not affected by restrictions</t>
  </si>
  <si>
    <t>landsize_unit</t>
  </si>
  <si>
    <t>Acres</t>
  </si>
  <si>
    <t>Hectares</t>
  </si>
  <si>
    <t>Square meters</t>
  </si>
  <si>
    <t>Square feet</t>
  </si>
  <si>
    <t>cropcheck</t>
  </si>
  <si>
    <t xml:space="preserve">Don’t usually produce during this season </t>
  </si>
  <si>
    <t>Wasn't able to produce (e.g. due to difficulties)</t>
  </si>
  <si>
    <t>irrigation</t>
  </si>
  <si>
    <t>Rainfed</t>
  </si>
  <si>
    <t>Groundwater</t>
  </si>
  <si>
    <t>Natural surface water [river, lake, stream, pond, etc.]</t>
  </si>
  <si>
    <t>Constructed water point [canal, dam, etc.]</t>
  </si>
  <si>
    <t>Public water supply system [e.g. tap water]</t>
  </si>
  <si>
    <t>irrigpump</t>
  </si>
  <si>
    <t>No, everything works on gravity</t>
  </si>
  <si>
    <t>Yes, there is a communal diesel/gas pump</t>
  </si>
  <si>
    <t>Yes, there is a communal manual pump</t>
  </si>
  <si>
    <t>Yes, there is a manual pump in my field</t>
  </si>
  <si>
    <t>Yes, there is a diesel pump in my field</t>
  </si>
  <si>
    <t>seedsupply</t>
  </si>
  <si>
    <t>ownprod</t>
  </si>
  <si>
    <t>Own production</t>
  </si>
  <si>
    <t>market</t>
  </si>
  <si>
    <t>Local market or agro-input shop / dealer</t>
  </si>
  <si>
    <t>company</t>
  </si>
  <si>
    <t>Private seed company</t>
  </si>
  <si>
    <t>ngo</t>
  </si>
  <si>
    <t>NGOs</t>
  </si>
  <si>
    <t>organized_community</t>
  </si>
  <si>
    <t>Community seed banks / farmer networks / farmers' association / etc.</t>
  </si>
  <si>
    <t>gov</t>
  </si>
  <si>
    <t>Government [e.g. MoA]</t>
  </si>
  <si>
    <t>relatives_friends</t>
  </si>
  <si>
    <t>Relatives or friends</t>
  </si>
  <si>
    <t>Other</t>
  </si>
  <si>
    <t>harv_unit</t>
  </si>
  <si>
    <t>Kilograms [kgs]</t>
  </si>
  <si>
    <t>Tonnes</t>
  </si>
  <si>
    <t>Ounces</t>
  </si>
  <si>
    <t>Pounds</t>
  </si>
  <si>
    <t>Bags</t>
  </si>
  <si>
    <t>Boxes</t>
  </si>
  <si>
    <t>Bundles</t>
  </si>
  <si>
    <t>Packets</t>
  </si>
  <si>
    <t>cropproddiff</t>
  </si>
  <si>
    <t>plant_disease</t>
  </si>
  <si>
    <t xml:space="preserve">Plant disease </t>
  </si>
  <si>
    <t>pest_outbreak</t>
  </si>
  <si>
    <t>Pest outbreak [including birds]</t>
  </si>
  <si>
    <t>animal_grazing</t>
  </si>
  <si>
    <t>Uncontrolled animal grazing</t>
  </si>
  <si>
    <t>access_plot</t>
  </si>
  <si>
    <t>Access to plot</t>
  </si>
  <si>
    <t>access_fertilize</t>
  </si>
  <si>
    <t>Access to fertilizer [not available on markets or prices too high]</t>
  </si>
  <si>
    <t>seed_quality</t>
  </si>
  <si>
    <t>Access to quality seeds</t>
  </si>
  <si>
    <t>seed_quantity</t>
  </si>
  <si>
    <t>Access to enough seeds [not available on markets or prices too high]</t>
  </si>
  <si>
    <t>access_pesticide</t>
  </si>
  <si>
    <t>Access to pesticides</t>
  </si>
  <si>
    <t>access_labour</t>
  </si>
  <si>
    <t>Access to manpower labour</t>
  </si>
  <si>
    <t>access_machinery</t>
  </si>
  <si>
    <t>Access to machinery, tools or animals for ploughing</t>
  </si>
  <si>
    <t>access_fuel</t>
  </si>
  <si>
    <t>Access to fuel or electricity to power agricultural equipment</t>
  </si>
  <si>
    <t>soil_erosion</t>
  </si>
  <si>
    <t>Soil erosion</t>
  </si>
  <si>
    <t>lack_irrigation</t>
  </si>
  <si>
    <t xml:space="preserve">Not enough irrigation or rainfall water </t>
  </si>
  <si>
    <t>excess_water</t>
  </si>
  <si>
    <t>Too much irrigation or water</t>
  </si>
  <si>
    <t>access_credit</t>
  </si>
  <si>
    <t>Access to credit</t>
  </si>
  <si>
    <t>storage</t>
  </si>
  <si>
    <t>None</t>
  </si>
  <si>
    <t>A little</t>
  </si>
  <si>
    <t>An important part of it, but less than half</t>
  </si>
  <si>
    <t>Most of it [half or more]</t>
  </si>
  <si>
    <t>Almost everything</t>
  </si>
  <si>
    <t>Everything</t>
  </si>
  <si>
    <t>cropsalesdiff</t>
  </si>
  <si>
    <t>marketing_cost</t>
  </si>
  <si>
    <t>High transportation or other marketing costs</t>
  </si>
  <si>
    <t>damage_losses</t>
  </si>
  <si>
    <t>Damages and losses due to storage difficulties and/or difficulty accessing the market [e.g. insecurity, poor infrastructure, etc.]</t>
  </si>
  <si>
    <t>low_demand</t>
  </si>
  <si>
    <t xml:space="preserve">Lack of demand from usual traders or buyers </t>
  </si>
  <si>
    <t>pay_delay</t>
  </si>
  <si>
    <t>Payment delays from traders / buyers</t>
  </si>
  <si>
    <t>low_price</t>
  </si>
  <si>
    <t>Low selling prices [e.g. compared to input prices / inflation]</t>
  </si>
  <si>
    <t>processing</t>
  </si>
  <si>
    <t>Difficulty processing product [lack of processing inputs / equipment / etc]</t>
  </si>
  <si>
    <t>competition</t>
  </si>
  <si>
    <t>Market flooded with products</t>
  </si>
  <si>
    <t>Cattle [cow / beef / veal / yak / buffalo]</t>
  </si>
  <si>
    <t>Goat</t>
  </si>
  <si>
    <t>Sheep</t>
  </si>
  <si>
    <t>Swine [swine / boar / hog / etc]</t>
  </si>
  <si>
    <t>Equine [donkey / horse / etc]</t>
  </si>
  <si>
    <t>Small domesticated mammals [rabbits / minks / guinea pigs / etc]</t>
  </si>
  <si>
    <t>Poultry [chicken / guineafowl / duck / quail / turkey / etc]</t>
  </si>
  <si>
    <t>Camelids</t>
  </si>
  <si>
    <t>lsnum</t>
  </si>
  <si>
    <t>no_change</t>
  </si>
  <si>
    <t>No significant change in livestock number</t>
  </si>
  <si>
    <t>inc_less_sales</t>
  </si>
  <si>
    <t>Did not sell as many</t>
  </si>
  <si>
    <t>inc_more_birth</t>
  </si>
  <si>
    <t>Many more were born</t>
  </si>
  <si>
    <t>inc_more_acquired</t>
  </si>
  <si>
    <t>Purchased or bartered more animals this year</t>
  </si>
  <si>
    <t>inc_received_free</t>
  </si>
  <si>
    <t>Received animals for free [restocking, gift]</t>
  </si>
  <si>
    <t>dec_poor_health</t>
  </si>
  <si>
    <t>Animal death due to malnutrition, drought, lack of feed</t>
  </si>
  <si>
    <t>dec_death</t>
  </si>
  <si>
    <t>Animal death due to other factors [e.g. diseases, parasites, injury]</t>
  </si>
  <si>
    <t>dec_sales_good_price</t>
  </si>
  <si>
    <t>Sold more than usual because of good prices</t>
  </si>
  <si>
    <t>dec_sales_distress</t>
  </si>
  <si>
    <t>Sold more than usual because of distress sales [unable to feed animal, need money urgently for household basic needs even if sales were unsustainable]</t>
  </si>
  <si>
    <t>dec_escape_stolen</t>
  </si>
  <si>
    <t>Animal escaped or was lost or stolen</t>
  </si>
  <si>
    <t>dec_consumed</t>
  </si>
  <si>
    <t>Killed or gave away more animals than usual for household consumption or celebrations [marriage, funerals, etc]</t>
  </si>
  <si>
    <t>inc_dec_other</t>
  </si>
  <si>
    <t>inc_dec_dk</t>
  </si>
  <si>
    <t>inc_dec_ref</t>
  </si>
  <si>
    <t>lsfood</t>
  </si>
  <si>
    <t>open_pasture</t>
  </si>
  <si>
    <t>Open pasture</t>
  </si>
  <si>
    <t>common_pasture</t>
  </si>
  <si>
    <t>Community-managed pasture land</t>
  </si>
  <si>
    <t>self_produced</t>
  </si>
  <si>
    <t>Owned or rented field or self-produced fodder</t>
  </si>
  <si>
    <t>purchased</t>
  </si>
  <si>
    <t>Purchase feed or fodder at the market</t>
  </si>
  <si>
    <t>free_dist</t>
  </si>
  <si>
    <t>Free distribution</t>
  </si>
  <si>
    <t xml:space="preserve">Other </t>
  </si>
  <si>
    <t>lsproddiff</t>
  </si>
  <si>
    <t>feed_purchase</t>
  </si>
  <si>
    <t>Difficulty to purchase feed [prices or access to market]</t>
  </si>
  <si>
    <t>access_pasture</t>
  </si>
  <si>
    <t>Access to pasture</t>
  </si>
  <si>
    <t>access_water</t>
  </si>
  <si>
    <t>Access to water</t>
  </si>
  <si>
    <t>vet_serv</t>
  </si>
  <si>
    <t>Access to veterinary services [vaccinations, treatments, spraying, advisory etc]</t>
  </si>
  <si>
    <t>vet_input</t>
  </si>
  <si>
    <t>Access to veterinary inputs [medicine for animals / tools for animal health / etc]</t>
  </si>
  <si>
    <t>diseases</t>
  </si>
  <si>
    <t>Livestock diseases or injury</t>
  </si>
  <si>
    <t>theft</t>
  </si>
  <si>
    <t>Livestock theft</t>
  </si>
  <si>
    <t>access_market</t>
  </si>
  <si>
    <t>Access to livestock market to buy young animals</t>
  </si>
  <si>
    <t>lsmain2</t>
  </si>
  <si>
    <t>No other livestock</t>
  </si>
  <si>
    <t>salesmain</t>
  </si>
  <si>
    <t>Equine [donkey / horse / etc.]</t>
  </si>
  <si>
    <t>Poultry [chicken / guineafowl / duck / quail / turkey / etc.]</t>
  </si>
  <si>
    <t>Eggs</t>
  </si>
  <si>
    <t>Milk or dairy products</t>
  </si>
  <si>
    <t>Skin or leather or wool</t>
  </si>
  <si>
    <t>lssalesdif</t>
  </si>
  <si>
    <t xml:space="preserve">Damage and losses during transportation or difficulty accessing the market </t>
  </si>
  <si>
    <t>Lack of demand from usual traders or buyers</t>
  </si>
  <si>
    <t>slaughterhouse</t>
  </si>
  <si>
    <t>Closure of slaughterhouses or difficulties accessing slaughterhouses</t>
  </si>
  <si>
    <t>Difficulties processing product other than closure of slaughterhouse [lack of access to processing inputs / equipment / etc]</t>
  </si>
  <si>
    <t>fishactivity</t>
  </si>
  <si>
    <t>coastal</t>
  </si>
  <si>
    <t>Near coastal, delta, lagoon fishing</t>
  </si>
  <si>
    <t>offshore_sea</t>
  </si>
  <si>
    <t>Offshore sea fishing</t>
  </si>
  <si>
    <t>freshwater</t>
  </si>
  <si>
    <t>Freshwater fishing [in lakes, reservoirs, ponds, rivers, or wetlands]</t>
  </si>
  <si>
    <t>aquaculture</t>
  </si>
  <si>
    <t>Aquaculture</t>
  </si>
  <si>
    <t>fishproddiff</t>
  </si>
  <si>
    <t>find_fish</t>
  </si>
  <si>
    <t>Fish is more difficult to find than in previous years in the same season [fishing]</t>
  </si>
  <si>
    <t>pests</t>
  </si>
  <si>
    <t>Fish pests and diseases [aquaculture]</t>
  </si>
  <si>
    <t>access_area</t>
  </si>
  <si>
    <t>Access to fishing or aquaculture area [e.g. due to weather conditions]</t>
  </si>
  <si>
    <t>fuel</t>
  </si>
  <si>
    <t>Access to fuel [prices higher or not available]</t>
  </si>
  <si>
    <t>input_access</t>
  </si>
  <si>
    <t>Access to other fishing or culture inputs [prices higher or not available]</t>
  </si>
  <si>
    <t>labour</t>
  </si>
  <si>
    <t>Access to labour or crew labour [prices higher or not available]</t>
  </si>
  <si>
    <t>infrastructure</t>
  </si>
  <si>
    <t>Damage or destruction of infrastructure [ponds, cages, ports, landing sites]</t>
  </si>
  <si>
    <t>damage_equip</t>
  </si>
  <si>
    <t>Damage or destruction of boats or gears</t>
  </si>
  <si>
    <t>fishinput</t>
  </si>
  <si>
    <t>bait_feed</t>
  </si>
  <si>
    <t>Feed or bait</t>
  </si>
  <si>
    <t>fingerling</t>
  </si>
  <si>
    <t>Fingerling</t>
  </si>
  <si>
    <t>gear</t>
  </si>
  <si>
    <t>Fishing gear [e.g. rods, hooks, nets]</t>
  </si>
  <si>
    <t>ice</t>
  </si>
  <si>
    <t>Ice</t>
  </si>
  <si>
    <t>Fuel</t>
  </si>
  <si>
    <t>boatrepairs</t>
  </si>
  <si>
    <t>Equipment repairs [including boats] or spare parts</t>
  </si>
  <si>
    <t>Labour</t>
  </si>
  <si>
    <t>fishsales</t>
  </si>
  <si>
    <t>Fresh fish [any kind, including invertebrates]</t>
  </si>
  <si>
    <t>Preserved fish [including dry fish, smoked fish, fermented fish, salt fish]</t>
  </si>
  <si>
    <t>Frozen fish</t>
  </si>
  <si>
    <t>Canned fish</t>
  </si>
  <si>
    <t>7)REFUSED</t>
  </si>
  <si>
    <t>fishsalesdif</t>
  </si>
  <si>
    <t>Deterioration and losses due to storage difficulties or delays or inability to physically access markets</t>
  </si>
  <si>
    <t>Lack of demand from usual buyers/traders</t>
  </si>
  <si>
    <t xml:space="preserve">Payment delays from traders/buyers </t>
  </si>
  <si>
    <t>low_prices</t>
  </si>
  <si>
    <t>Difficulties processing product [lack of access to processing inputs / equipment / etc]</t>
  </si>
  <si>
    <t>Market flooded with product</t>
  </si>
  <si>
    <t>frequency</t>
  </si>
  <si>
    <t>Rarely (1-2 times in the past 30 days)</t>
  </si>
  <si>
    <t>Sometimes (3-10 times in the past 30 days)</t>
  </si>
  <si>
    <t>Often (more than 10 times in the last 30 days)</t>
  </si>
  <si>
    <t xml:space="preserve">DON'T KNOW </t>
  </si>
  <si>
    <t>coping</t>
  </si>
  <si>
    <t>No - because it wasn’t necessary</t>
  </si>
  <si>
    <t>No - because you already sold those assets or did this activity within the last 12 months and you cannot continue to do it</t>
  </si>
  <si>
    <t>Not applicable</t>
  </si>
  <si>
    <t>cereals</t>
  </si>
  <si>
    <t>Cereals [sorghum / millet / corn / wheat / rice / spaghetti / bread or insert any other locally available grain]</t>
  </si>
  <si>
    <t>rootstubers</t>
  </si>
  <si>
    <t>Roots and tubers [white sweet potato / potato / yam / cassava or other tubers]</t>
  </si>
  <si>
    <t>vegetables</t>
  </si>
  <si>
    <t>Vegetables [all]</t>
  </si>
  <si>
    <t>fruits</t>
  </si>
  <si>
    <t>Fruit [all]</t>
  </si>
  <si>
    <t>meat</t>
  </si>
  <si>
    <t>Meat, poultry and offal [beef / pork / lamb /goat / rabbit / wild game / chicken / duck or other birds / liver / kidney / heart / or other organ meats]</t>
  </si>
  <si>
    <t>eggs</t>
  </si>
  <si>
    <t>fish</t>
  </si>
  <si>
    <t>Fish or shellfish [fresh or dried fish / other seafood]</t>
  </si>
  <si>
    <t>legumes</t>
  </si>
  <si>
    <t>Legumes, nuts and seeds [beans / peas / peanut / lentils / almond / and/or other nuts]</t>
  </si>
  <si>
    <t>milkdairy</t>
  </si>
  <si>
    <t>Milk and other dairy products [fresh milk / sour / yogurt / cheese / other dairy products]</t>
  </si>
  <si>
    <t>oils</t>
  </si>
  <si>
    <t>Oil/fat / butter [cooking / butter / margarine / fat/oil / other oil]</t>
  </si>
  <si>
    <t>sugar</t>
  </si>
  <si>
    <t>Sugar or sugary products [honey / jam / donuts / candy / biscuits / pastries / cakes and other sweet products]</t>
  </si>
  <si>
    <t>condiments</t>
  </si>
  <si>
    <t>Condiments [cocoa /salt / garlic / spices / yeast or baking powder / tomato or tomato sauce / meat or fish as a condiment] / coffee / tea</t>
  </si>
  <si>
    <t>needs</t>
  </si>
  <si>
    <t>food</t>
  </si>
  <si>
    <t>Food</t>
  </si>
  <si>
    <t>cash</t>
  </si>
  <si>
    <t>Cash</t>
  </si>
  <si>
    <t>vouchers_fair</t>
  </si>
  <si>
    <t>Vouchers or input trade fairs</t>
  </si>
  <si>
    <t>crop_inputs</t>
  </si>
  <si>
    <t>Inputs for crop and/or vegetable production [e.g. seeds, fertilizer, tools]</t>
  </si>
  <si>
    <t>crop_infrastructure</t>
  </si>
  <si>
    <t>Infrastructure for crop and/or vegetable production [e.g. irrigation, canal rehabilitation, pumps]</t>
  </si>
  <si>
    <t>crop_knowledge</t>
  </si>
  <si>
    <t>Training &amp; technical knowledge/advice for crop production</t>
  </si>
  <si>
    <t>Livestock feed [fodder or supplementary feed]</t>
  </si>
  <si>
    <t>ls_vet_service</t>
  </si>
  <si>
    <t>Veterinary services [e.g. vaccination, dips, deworming]</t>
  </si>
  <si>
    <t>ls_infrastructure</t>
  </si>
  <si>
    <t>Infrastructure for livestock [e.g. water points, transhumance corridors, shelter, health points]</t>
  </si>
  <si>
    <t>ls_knowledge</t>
  </si>
  <si>
    <t>Training &amp; technical knowledge/advice for livestock production</t>
  </si>
  <si>
    <t>fish_inputs</t>
  </si>
  <si>
    <t>Inputs for fishing or aquaculture production</t>
  </si>
  <si>
    <t>fish_infrastructure</t>
  </si>
  <si>
    <t>Infrastructure for fisheries or aquaculture production [e.g. rehabilitation of port; repair of ponds]</t>
  </si>
  <si>
    <t>fish_knowledge</t>
  </si>
  <si>
    <t>Training &amp; technical knowledge/advice for fisheries or aquaculture production</t>
  </si>
  <si>
    <t>env_infra_rehab</t>
  </si>
  <si>
    <t>Environmental or infrastructure rehabilitation [community-wide]</t>
  </si>
  <si>
    <t>cold_storage</t>
  </si>
  <si>
    <t>Cold storage</t>
  </si>
  <si>
    <t>marketing_supp</t>
  </si>
  <si>
    <t>Marketing or sales support [e.g. public procurement]</t>
  </si>
  <si>
    <t>needreceived</t>
  </si>
  <si>
    <t xml:space="preserve">Cash </t>
  </si>
  <si>
    <t>Vouchers/input trade fairs</t>
  </si>
  <si>
    <t>crop_assist</t>
  </si>
  <si>
    <t>Crop and/or vegetable production assistance</t>
  </si>
  <si>
    <t>ls_assist</t>
  </si>
  <si>
    <t>Livestock assistance</t>
  </si>
  <si>
    <t>fish_assist</t>
  </si>
  <si>
    <t>Fisheries and/or aquaculture assistance</t>
  </si>
  <si>
    <t>rehabilitation</t>
  </si>
  <si>
    <t>sales_support</t>
  </si>
  <si>
    <t>No assistance received</t>
  </si>
  <si>
    <t>assist_quality</t>
  </si>
  <si>
    <t>No - not received on time</t>
  </si>
  <si>
    <t>No - did not meet my needs</t>
  </si>
  <si>
    <t>No - quantity was not sufficient</t>
  </si>
  <si>
    <t>No - there was a problem with the provider</t>
  </si>
  <si>
    <t>No - there was a malfunction of the in-kind assistance provided [e.g. poor quality tools]</t>
  </si>
  <si>
    <t>provider</t>
  </si>
  <si>
    <t>fao</t>
  </si>
  <si>
    <t>FAO</t>
  </si>
  <si>
    <t>wfp</t>
  </si>
  <si>
    <t>WFP</t>
  </si>
  <si>
    <t>otherun</t>
  </si>
  <si>
    <t>Other UN agencies</t>
  </si>
  <si>
    <t>Government</t>
  </si>
  <si>
    <t>Non-governmental/local organization</t>
  </si>
  <si>
    <t>leader</t>
  </si>
  <si>
    <t>Village / town administrator</t>
  </si>
  <si>
    <t>Agricultural extension officer</t>
  </si>
  <si>
    <t>Health extension officer</t>
  </si>
  <si>
    <t>Teacher</t>
  </si>
  <si>
    <t>Other (specify)</t>
  </si>
  <si>
    <t>week</t>
  </si>
  <si>
    <t>mon</t>
  </si>
  <si>
    <t>Monday</t>
  </si>
  <si>
    <t>tues</t>
  </si>
  <si>
    <t>Tuesday</t>
  </si>
  <si>
    <t>wed</t>
  </si>
  <si>
    <t>Wednesday</t>
  </si>
  <si>
    <t>thurs</t>
  </si>
  <si>
    <t>Thursday</t>
  </si>
  <si>
    <t>fri</t>
  </si>
  <si>
    <t>Friday</t>
  </si>
  <si>
    <t>sat</t>
  </si>
  <si>
    <t>Saturday</t>
  </si>
  <si>
    <t>sun</t>
  </si>
  <si>
    <t>Sunday</t>
  </si>
  <si>
    <t>morn</t>
  </si>
  <si>
    <t>Mornings</t>
  </si>
  <si>
    <t>aft</t>
  </si>
  <si>
    <t>Afternoons</t>
  </si>
  <si>
    <t>eve</t>
  </si>
  <si>
    <t>Evenings</t>
  </si>
  <si>
    <t>harv_duration</t>
  </si>
  <si>
    <t>Less than 1 month</t>
  </si>
  <si>
    <t>1-3 months</t>
  </si>
  <si>
    <t>4-6 months</t>
  </si>
  <si>
    <t>More than 6 months</t>
  </si>
  <si>
    <t>crop</t>
  </si>
  <si>
    <t>1.1</t>
  </si>
  <si>
    <t>Rice</t>
  </si>
  <si>
    <t>1.5</t>
  </si>
  <si>
    <t>Maize</t>
  </si>
  <si>
    <t>2.1</t>
  </si>
  <si>
    <t>Cassava</t>
  </si>
  <si>
    <t>2.3</t>
  </si>
  <si>
    <t>Sweet Potatoes</t>
  </si>
  <si>
    <t>3.1</t>
  </si>
  <si>
    <t>Beans</t>
  </si>
  <si>
    <t>5.3</t>
  </si>
  <si>
    <t>Pumpkin</t>
  </si>
  <si>
    <t>5.6</t>
  </si>
  <si>
    <t>Okra</t>
  </si>
  <si>
    <t>8.2</t>
  </si>
  <si>
    <t>Groundnut/peanut</t>
  </si>
  <si>
    <t>9.1</t>
  </si>
  <si>
    <t>Cocoa</t>
  </si>
  <si>
    <t>9.2</t>
  </si>
  <si>
    <t>Coffee</t>
  </si>
  <si>
    <t>1.2</t>
  </si>
  <si>
    <t>Wheat</t>
  </si>
  <si>
    <t>1.3</t>
  </si>
  <si>
    <t>Millet</t>
  </si>
  <si>
    <t>1.4</t>
  </si>
  <si>
    <t>Sorghum</t>
  </si>
  <si>
    <t>1.6</t>
  </si>
  <si>
    <t>Barley</t>
  </si>
  <si>
    <t>1.99</t>
  </si>
  <si>
    <t>Other Cereal</t>
  </si>
  <si>
    <t>2.2</t>
  </si>
  <si>
    <t>Potatoe</t>
  </si>
  <si>
    <t>2.4</t>
  </si>
  <si>
    <t>Yams</t>
  </si>
  <si>
    <t>2.5</t>
  </si>
  <si>
    <t>Carrots</t>
  </si>
  <si>
    <t>2.6</t>
  </si>
  <si>
    <t>Cocoyam</t>
  </si>
  <si>
    <t>2.99</t>
  </si>
  <si>
    <t>Other tubers</t>
  </si>
  <si>
    <t>3.2</t>
  </si>
  <si>
    <t>Lentils</t>
  </si>
  <si>
    <t>3.3</t>
  </si>
  <si>
    <t>Peas</t>
  </si>
  <si>
    <t>3.4</t>
  </si>
  <si>
    <t>Soybeans</t>
  </si>
  <si>
    <t>3.5</t>
  </si>
  <si>
    <t>Chickpeas</t>
  </si>
  <si>
    <t>3.6</t>
  </si>
  <si>
    <t>Fava beans</t>
  </si>
  <si>
    <t>3.7</t>
  </si>
  <si>
    <t>Broad beans</t>
  </si>
  <si>
    <t>3.99</t>
  </si>
  <si>
    <t>Other pulses</t>
  </si>
  <si>
    <t>4.1</t>
  </si>
  <si>
    <t>Cabbage</t>
  </si>
  <si>
    <t>4.101</t>
  </si>
  <si>
    <t>Cauliflower</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</si>
  <si>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</si>
  <si>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</si>
  <si>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</si>
  <si>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</si>
  <si>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</si>
  <si>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</si>
  <si>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</si>
  <si>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</si>
  <si>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</si>
  <si>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</si>
  <si>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</si>
  <si>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</si>
  <si>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</si>
  <si>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</si>
  <si>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4.99</t>
  </si>
  <si>
    <t>Other leafy vegetables</t>
  </si>
  <si>
    <t>5.1</t>
  </si>
  <si>
    <t>Tomatoes</t>
  </si>
  <si>
    <t>5.101</t>
  </si>
  <si>
    <t>Green peas</t>
  </si>
  <si>
    <t>5.11</t>
  </si>
  <si>
    <t>Fava beans green</t>
  </si>
  <si>
    <t>5.2</t>
  </si>
  <si>
    <t>Cucumber</t>
  </si>
  <si>
    <t>5.4</t>
  </si>
  <si>
    <t>Eggplant/aubergine</t>
  </si>
  <si>
    <t>5.5</t>
  </si>
  <si>
    <t>Zucchini</t>
  </si>
  <si>
    <t>5.7</t>
  </si>
  <si>
    <t>Bell pepper</t>
  </si>
  <si>
    <t>5.8</t>
  </si>
  <si>
    <t>Onions</t>
  </si>
  <si>
    <t>5.9</t>
  </si>
  <si>
    <t>Haricot</t>
  </si>
  <si>
    <t>5.99</t>
  </si>
  <si>
    <t>Other non leafy vegs</t>
  </si>
  <si>
    <t>6.1</t>
  </si>
  <si>
    <t>Orange</t>
  </si>
  <si>
    <t>6.2</t>
  </si>
  <si>
    <t>Lemon</t>
  </si>
  <si>
    <t>6.3</t>
  </si>
  <si>
    <t>Grapefruit</t>
  </si>
  <si>
    <t>6.4</t>
  </si>
  <si>
    <t>Mandarins/clementines</t>
  </si>
  <si>
    <t>6.99</t>
  </si>
  <si>
    <t>Other citrus fruit</t>
  </si>
  <si>
    <t>7.1</t>
  </si>
  <si>
    <t>Sweet Banana</t>
  </si>
  <si>
    <t>7.101</t>
  </si>
  <si>
    <t>Figs</t>
  </si>
  <si>
    <t>7.11</t>
  </si>
  <si>
    <t>Grapes</t>
  </si>
  <si>
    <t>7.12</t>
  </si>
  <si>
    <t>Olives</t>
  </si>
  <si>
    <t>7.13</t>
  </si>
  <si>
    <t>Apple</t>
  </si>
  <si>
    <t>7.14</t>
  </si>
  <si>
    <t>Apricot</t>
  </si>
  <si>
    <t>7.15</t>
  </si>
  <si>
    <t>Cherries</t>
  </si>
  <si>
    <t>7.16</t>
  </si>
  <si>
    <t>Peach/nectarine</t>
  </si>
  <si>
    <t>7.17</t>
  </si>
  <si>
    <t>Strawberries</t>
  </si>
  <si>
    <t>7.18</t>
  </si>
  <si>
    <t>Melon (Cantaloupe)</t>
  </si>
  <si>
    <t>7.2</t>
  </si>
  <si>
    <t>Plantains</t>
  </si>
  <si>
    <t>7.3</t>
  </si>
  <si>
    <t>Papaya</t>
  </si>
  <si>
    <t>7.4</t>
  </si>
  <si>
    <t>Mango</t>
  </si>
  <si>
    <t>7.5</t>
  </si>
  <si>
    <t>Guava</t>
  </si>
  <si>
    <t>7.6</t>
  </si>
  <si>
    <t>Pineapple</t>
  </si>
  <si>
    <t>7.7</t>
  </si>
  <si>
    <t>Avocado</t>
  </si>
  <si>
    <t>7.8</t>
  </si>
  <si>
    <t>Water Melon</t>
  </si>
  <si>
    <t>7.9</t>
  </si>
  <si>
    <t>Dates</t>
  </si>
  <si>
    <t>7.99</t>
  </si>
  <si>
    <t>Other fruit</t>
  </si>
  <si>
    <t>8.1</t>
  </si>
  <si>
    <t>Coconuts</t>
  </si>
  <si>
    <t>8.3</t>
  </si>
  <si>
    <t>Cashew Nut</t>
  </si>
  <si>
    <t>8.4</t>
  </si>
  <si>
    <t>Kola Nut</t>
  </si>
  <si>
    <t>8.5</t>
  </si>
  <si>
    <t>Sesame</t>
  </si>
  <si>
    <t>8.6</t>
  </si>
  <si>
    <t>Bambara nut</t>
  </si>
  <si>
    <t>8.7</t>
  </si>
  <si>
    <t>Almond</t>
  </si>
  <si>
    <t>8.8</t>
  </si>
  <si>
    <t>Walnut</t>
  </si>
  <si>
    <t>8.99</t>
  </si>
  <si>
    <t>Other nuts</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</si>
  <si>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</si>
  <si>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</si>
  <si>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</si>
  <si>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</si>
  <si>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</si>
  <si>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</si>
  <si>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</si>
  <si>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</si>
  <si>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</si>
  <si>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</si>
  <si>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</si>
  <si>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</si>
  <si>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</si>
  <si>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</si>
  <si>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</si>
  <si>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</si>
  <si>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</si>
  <si>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</si>
  <si>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</si>
  <si>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</si>
  <si>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</si>
  <si>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</si>
  <si>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777</t>
  </si>
  <si>
    <t>No crop production</t>
  </si>
  <si>
    <t>888</t>
  </si>
  <si>
    <t>Don't know</t>
  </si>
  <si>
    <t>999</t>
  </si>
  <si>
    <t>Refused</t>
  </si>
  <si>
    <t>crop2</t>
  </si>
  <si>
    <t>666</t>
  </si>
  <si>
    <t>No other crop</t>
  </si>
  <si>
    <t>crop3</t>
  </si>
  <si>
    <t>admin1</t>
  </si>
  <si>
    <t>SL01</t>
  </si>
  <si>
    <t>Eastern</t>
  </si>
  <si>
    <t>SL02</t>
  </si>
  <si>
    <t>Northern</t>
  </si>
  <si>
    <t>SL03</t>
  </si>
  <si>
    <t>Southern</t>
  </si>
  <si>
    <t>SL04</t>
  </si>
  <si>
    <t>Western</t>
  </si>
  <si>
    <t>SL05</t>
  </si>
  <si>
    <t>North Western</t>
  </si>
  <si>
    <t>admin2</t>
  </si>
  <si>
    <t>SL0101</t>
  </si>
  <si>
    <t>Kailahun</t>
  </si>
  <si>
    <t>SL0102</t>
  </si>
  <si>
    <t>Kenema</t>
  </si>
  <si>
    <t>SL0103</t>
  </si>
  <si>
    <t>Kono</t>
  </si>
  <si>
    <t>SL0201</t>
  </si>
  <si>
    <t>Bombali</t>
  </si>
  <si>
    <t>SL0203</t>
  </si>
  <si>
    <t>Koinadugu</t>
  </si>
  <si>
    <t>SL0205</t>
  </si>
  <si>
    <t>Tonkolili</t>
  </si>
  <si>
    <t>SL0206</t>
  </si>
  <si>
    <t>Falaba</t>
  </si>
  <si>
    <t>SL0301</t>
  </si>
  <si>
    <t>Bo</t>
  </si>
  <si>
    <t>SL0302</t>
  </si>
  <si>
    <t>Bonthe</t>
  </si>
  <si>
    <t>SL0303</t>
  </si>
  <si>
    <t>Moyamba</t>
  </si>
  <si>
    <t>SL0304</t>
  </si>
  <si>
    <t>Pujehun</t>
  </si>
  <si>
    <t>SL0401</t>
  </si>
  <si>
    <t>Western Area Rural</t>
  </si>
  <si>
    <t>SL0402</t>
  </si>
  <si>
    <t>Western Area Urban</t>
  </si>
  <si>
    <t>SL0501</t>
  </si>
  <si>
    <t>Port Loko</t>
  </si>
  <si>
    <t>SL0502</t>
  </si>
  <si>
    <t>Kambia</t>
  </si>
  <si>
    <t>SL0503</t>
  </si>
  <si>
    <t>Karene</t>
  </si>
  <si>
    <t>version</t>
  </si>
  <si>
    <t>default_language</t>
  </si>
  <si>
    <t>allow_choice_duplicates</t>
  </si>
  <si>
    <t>style</t>
  </si>
  <si>
    <t>vM6cWXyHNhR3djPbARkHWi</t>
  </si>
  <si>
    <t>English (en)</t>
  </si>
  <si>
    <t>theme-grid no-text-transform</t>
  </si>
  <si>
    <t xml:space="preserve">Select top 10 crops </t>
  </si>
  <si>
    <t>Dataset code</t>
  </si>
  <si>
    <t>Label (EN)</t>
  </si>
  <si>
    <t>x</t>
  </si>
  <si>
    <t xml:space="preserve">Original </t>
  </si>
  <si>
    <t>Replacement</t>
  </si>
  <si>
    <t>Comment</t>
  </si>
  <si>
    <t>Example</t>
  </si>
  <si>
    <t>FOR CORE QUESTIONS    .
(Mandatory to fill out)    .</t>
  </si>
  <si>
    <t>phone number</t>
  </si>
  <si>
    <t>076xxxxxx</t>
  </si>
  <si>
    <t>Type a phone number from your country in typical format, e.g. 77******* [please use exactly the number of characters that are found in a phone number].</t>
  </si>
  <si>
    <t>070******</t>
  </si>
  <si>
    <t>age</t>
  </si>
  <si>
    <t>Minimum age of respondent (recommend 18 years old)</t>
  </si>
  <si>
    <t>ADMIN1</t>
  </si>
  <si>
    <t>Regional</t>
  </si>
  <si>
    <t>The first subdivision of the country, after national level; region; province; governorate; etc. Only one word should be inputted - Do not include spaces.</t>
  </si>
  <si>
    <t>region</t>
  </si>
  <si>
    <t>ADMIN2</t>
  </si>
  <si>
    <t>District</t>
  </si>
  <si>
    <t>The second subdivision of the country; district; municipality; LGA; etc. Only one word should be inputted - Do not include spaces.</t>
  </si>
  <si>
    <t>district</t>
  </si>
  <si>
    <t>reference year</t>
  </si>
  <si>
    <t>last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</si>
  <si>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</si>
  <si>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</si>
  <si>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</si>
  <si>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 xml:space="preserve">Last season </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</si>
  <si>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</si>
  <si>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</si>
  <si>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</si>
  <si>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t>Recently finished</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</si>
  <si>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</si>
  <si>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Harvesting</t>
  </si>
  <si>
    <t>local measurement unit</t>
  </si>
  <si>
    <t xml:space="preserve">Specify the local measurement unit for land size, other than acres, hectares, square meters and square feet. If no other unit of measurement is needed, keep this cell blank. </t>
  </si>
  <si>
    <t>Jeribs</t>
  </si>
  <si>
    <t>local measurement unit conversion</t>
  </si>
  <si>
    <t xml:space="preserve">Include the conversion of the local measurement unit to hectares. In other words, how many local measurement units are in 1 ha. </t>
  </si>
  <si>
    <t>FOR OPTIONAL QUESTIONS    .
(Fill out if applicable)    .</t>
  </si>
  <si>
    <t>currency</t>
  </si>
  <si>
    <t xml:space="preserve">SLE </t>
  </si>
  <si>
    <t xml:space="preserve">The name of the main currency used nationally; USD; Naira; Rial; Pesos; etc. </t>
  </si>
  <si>
    <t>Naira</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</si>
  <si>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</si>
  <si>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</si>
  <si>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</si>
  <si>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</si>
  <si>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</si>
  <si>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Okra, Potato leaves, Cassava leaves, Garden eggs , Tomatoes, Green, Krain krain,Llettuce, Cabbage,Carrot, Pepper, Onions, Cucumber, pumpkin</t>
  </si>
  <si>
    <t>Input some common local vegetables [to be used as examples in the food consumption score indicator].</t>
  </si>
  <si>
    <t>eggplants, zucchini, cauliflower</t>
  </si>
  <si>
    <t>local fruits</t>
  </si>
  <si>
    <t>Banana, 0ranges, Plantain, Grape fruits, Avocado, Lemon, Guava, Pineapple, Water melon , Apple, Pawpaw</t>
  </si>
  <si>
    <t>Input some common local fruits [to be used as examples in the food consumption score indicator].</t>
  </si>
  <si>
    <t>apples, bananas, oranges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</si>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</sst>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0"/>
      <color rgb="FF000000"/>
      <name val="Arial"/>
      <family val="2"/>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34998626667073579"/>
        <bgColor indexed="64"/>
      </patternFill>
    </fill>
  </fills>
  <borders count="45">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s>
  <cellStyleXfs count="17">
    <xf numFmtId="0" fontId="0" fillId="0" borderId="0"/>
    <xf numFmtId="0" fontId="7" fillId="0" borderId="0"/>
    <xf numFmtId="0" fontId="10" fillId="0" borderId="0"/>
    <xf numFmtId="0" fontId="15" fillId="0" borderId="0"/>
    <xf numFmtId="0" fontId="7" fillId="0" borderId="0"/>
    <xf numFmtId="0" fontId="7" fillId="0" borderId="0"/>
    <xf numFmtId="0" fontId="19" fillId="4" borderId="14"/>
    <xf numFmtId="9" fontId="10" fillId="0" borderId="0"/>
    <xf numFmtId="0" fontId="7" fillId="0" borderId="0"/>
    <xf numFmtId="0" fontId="7" fillId="0" borderId="0"/>
    <xf numFmtId="0" fontId="7" fillId="0" borderId="0"/>
    <xf numFmtId="0" fontId="7" fillId="0" borderId="0"/>
    <xf numFmtId="0" fontId="10" fillId="0" borderId="0"/>
    <xf numFmtId="0" fontId="7" fillId="0" borderId="0"/>
    <xf numFmtId="0" fontId="10" fillId="0" borderId="0"/>
    <xf numFmtId="0" fontId="7" fillId="0" borderId="0"/>
    <xf numFmtId="0" fontId="10" fillId="0" borderId="0"/>
  </cellStyleXfs>
  <cellXfs count="265">
    <xf numFmtId="0" fontId="0" fillId="0" borderId="0" xfId="0"/>
    <xf numFmtId="0" fontId="9" fillId="2" borderId="0" xfId="0" applyFont="1" applyFill="1" applyProtection="1">
      <protection locked="0"/>
    </xf>
    <xf numFmtId="0" fontId="9" fillId="0" borderId="0" xfId="0" applyFont="1" applyProtection="1">
      <protection locked="0"/>
    </xf>
    <xf numFmtId="0" fontId="0" fillId="0" borderId="0" xfId="0" applyProtection="1">
      <protection locked="0"/>
    </xf>
    <xf numFmtId="0" fontId="0" fillId="2" borderId="0" xfId="0" applyFill="1" applyProtection="1">
      <protection locked="0"/>
    </xf>
    <xf numFmtId="0" fontId="11" fillId="2" borderId="0" xfId="0" applyFont="1" applyFill="1" applyProtection="1">
      <protection locked="0"/>
    </xf>
    <xf numFmtId="0" fontId="9" fillId="0" borderId="0" xfId="0" applyFont="1"/>
    <xf numFmtId="0" fontId="14" fillId="2" borderId="0" xfId="0" applyFont="1" applyFill="1" applyProtection="1">
      <protection locked="0"/>
    </xf>
    <xf numFmtId="0" fontId="8" fillId="2" borderId="0" xfId="0" applyFont="1" applyFill="1" applyProtection="1">
      <protection locked="0"/>
    </xf>
    <xf numFmtId="0" fontId="20" fillId="2" borderId="7" xfId="6" applyFont="1" applyFill="1" applyBorder="1" applyAlignment="1" applyProtection="1">
      <alignment horizontal="center" vertical="center"/>
      <protection locked="0"/>
    </xf>
    <xf numFmtId="0" fontId="13" fillId="0" borderId="0" xfId="0" applyFont="1" applyProtection="1">
      <protection locked="0"/>
    </xf>
    <xf numFmtId="0" fontId="14" fillId="0" borderId="0" xfId="0" applyFont="1" applyProtection="1">
      <protection locked="0"/>
    </xf>
    <xf numFmtId="0" fontId="8" fillId="0" borderId="0" xfId="0" applyFont="1" applyProtection="1">
      <protection locked="0"/>
    </xf>
    <xf numFmtId="0" fontId="12" fillId="0" borderId="0" xfId="0" applyFont="1" applyProtection="1">
      <protection locked="0"/>
    </xf>
    <xf numFmtId="0" fontId="11" fillId="0" borderId="0" xfId="0" applyFont="1" applyProtection="1">
      <protection locked="0"/>
    </xf>
    <xf numFmtId="0" fontId="12" fillId="2" borderId="0" xfId="0" applyFont="1" applyFill="1" applyProtection="1">
      <protection locked="0"/>
    </xf>
    <xf numFmtId="0" fontId="5" fillId="0" borderId="2" xfId="10" applyFont="1" applyBorder="1"/>
    <xf numFmtId="0" fontId="5" fillId="0" borderId="13" xfId="10" applyFont="1" applyBorder="1"/>
    <xf numFmtId="0" fontId="5" fillId="0" borderId="6" xfId="10" applyFont="1" applyBorder="1"/>
    <xf numFmtId="0" fontId="5" fillId="0" borderId="23" xfId="10" applyFont="1" applyBorder="1"/>
    <xf numFmtId="0" fontId="16" fillId="0" borderId="32" xfId="10" applyFont="1" applyBorder="1" applyAlignment="1">
      <alignment horizontal="center" vertical="center" wrapText="1"/>
    </xf>
    <xf numFmtId="0" fontId="16" fillId="0" borderId="28" xfId="10" applyFont="1" applyBorder="1" applyAlignment="1">
      <alignment horizontal="center" vertical="center" wrapText="1"/>
    </xf>
    <xf numFmtId="0" fontId="17" fillId="0" borderId="28" xfId="10" applyFont="1" applyBorder="1" applyAlignment="1">
      <alignment horizontal="center" vertical="center" wrapText="1"/>
    </xf>
    <xf numFmtId="0" fontId="17" fillId="0" borderId="35" xfId="10" applyFont="1" applyBorder="1" applyAlignment="1">
      <alignment vertical="center" wrapText="1"/>
    </xf>
    <xf numFmtId="0" fontId="17" fillId="0" borderId="19" xfId="10" applyFont="1" applyBorder="1" applyAlignment="1">
      <alignment vertical="center" wrapText="1"/>
    </xf>
    <xf numFmtId="0" fontId="17" fillId="0" borderId="30" xfId="10" applyFont="1" applyBorder="1" applyAlignment="1">
      <alignment vertical="center" wrapText="1"/>
    </xf>
    <xf numFmtId="9" fontId="17" fillId="0" borderId="21" xfId="7" applyFont="1" applyBorder="1" applyAlignment="1">
      <alignment horizontal="center" vertical="center" wrapText="1"/>
    </xf>
    <xf numFmtId="9" fontId="17" fillId="0" borderId="22" xfId="7" applyFont="1" applyBorder="1" applyAlignment="1">
      <alignment horizontal="center" vertical="center" wrapText="1"/>
    </xf>
    <xf numFmtId="0" fontId="5" fillId="0" borderId="3" xfId="10" applyFont="1" applyBorder="1"/>
    <xf numFmtId="0" fontId="16" fillId="0" borderId="10" xfId="5" applyFont="1" applyBorder="1" applyAlignment="1">
      <alignment horizontal="left" vertical="center"/>
    </xf>
    <xf numFmtId="0" fontId="16" fillId="0" borderId="38" xfId="10" applyFont="1" applyBorder="1" applyAlignment="1">
      <alignment horizontal="left" vertical="center"/>
    </xf>
    <xf numFmtId="0" fontId="16" fillId="0" borderId="37" xfId="10" applyFont="1" applyBorder="1" applyAlignment="1">
      <alignment horizontal="left" vertical="center"/>
    </xf>
    <xf numFmtId="0" fontId="16" fillId="0" borderId="10" xfId="10" applyFont="1" applyBorder="1" applyAlignment="1">
      <alignment horizontal="left" vertical="center"/>
    </xf>
    <xf numFmtId="0" fontId="23" fillId="0" borderId="8" xfId="10" applyFont="1" applyBorder="1" applyAlignment="1">
      <alignment horizontal="center" vertical="center" wrapText="1"/>
    </xf>
    <xf numFmtId="0" fontId="23" fillId="0" borderId="5" xfId="10" applyFont="1" applyBorder="1" applyAlignment="1">
      <alignment horizontal="center" vertical="center" wrapText="1"/>
    </xf>
    <xf numFmtId="0" fontId="21" fillId="0" borderId="39" xfId="0" applyFont="1" applyBorder="1" applyAlignment="1" applyProtection="1">
      <alignment horizontal="center" vertical="center" wrapText="1"/>
      <protection locked="0"/>
    </xf>
    <xf numFmtId="0" fontId="5" fillId="0" borderId="40" xfId="10" applyFont="1" applyBorder="1"/>
    <xf numFmtId="0" fontId="5" fillId="0" borderId="13" xfId="10" applyFont="1" applyBorder="1" applyAlignment="1">
      <alignment vertical="center"/>
    </xf>
    <xf numFmtId="0" fontId="18" fillId="0" borderId="26" xfId="10" applyFont="1" applyBorder="1" applyAlignment="1">
      <alignment horizontal="center" vertical="center"/>
    </xf>
    <xf numFmtId="0" fontId="16" fillId="0" borderId="31" xfId="10" applyFont="1" applyBorder="1" applyAlignment="1">
      <alignment vertical="center" wrapText="1"/>
    </xf>
    <xf numFmtId="0" fontId="5" fillId="0" borderId="3" xfId="10" applyFont="1" applyBorder="1" applyAlignment="1">
      <alignment vertical="center"/>
    </xf>
    <xf numFmtId="0" fontId="5"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1" fillId="0" borderId="0" xfId="0" applyFont="1" applyAlignment="1" applyProtection="1">
      <alignment vertical="top" wrapText="1"/>
      <protection locked="0"/>
    </xf>
    <xf numFmtId="0" fontId="16" fillId="0" borderId="15" xfId="5" applyFont="1" applyBorder="1" applyAlignment="1">
      <alignment horizontal="left" vertical="center" wrapText="1"/>
    </xf>
    <xf numFmtId="0" fontId="23" fillId="0" borderId="15" xfId="10" applyFont="1" applyBorder="1" applyAlignment="1">
      <alignment horizontal="center" vertical="center" wrapText="1"/>
    </xf>
    <xf numFmtId="9" fontId="17" fillId="0" borderId="41" xfId="7" applyFont="1" applyBorder="1" applyAlignment="1">
      <alignment horizontal="center" vertical="center" wrapText="1"/>
    </xf>
    <xf numFmtId="0" fontId="26" fillId="0" borderId="16" xfId="10" applyFont="1" applyBorder="1" applyAlignment="1">
      <alignment vertical="center" wrapText="1"/>
    </xf>
    <xf numFmtId="0" fontId="26" fillId="0" borderId="7" xfId="10" applyFont="1" applyBorder="1" applyAlignment="1">
      <alignment vertical="center" wrapText="1"/>
    </xf>
    <xf numFmtId="0" fontId="26" fillId="0" borderId="4" xfId="10" applyFont="1" applyBorder="1" applyAlignment="1">
      <alignment vertical="center" wrapText="1"/>
    </xf>
    <xf numFmtId="0" fontId="5" fillId="5" borderId="6" xfId="10" applyFont="1" applyFill="1" applyBorder="1"/>
    <xf numFmtId="0" fontId="5" fillId="5" borderId="33" xfId="10" applyFont="1" applyFill="1" applyBorder="1" applyAlignment="1">
      <alignment wrapText="1"/>
    </xf>
    <xf numFmtId="0" fontId="16" fillId="5" borderId="34" xfId="10" applyFont="1" applyFill="1" applyBorder="1" applyAlignment="1">
      <alignment vertical="center"/>
    </xf>
    <xf numFmtId="0" fontId="17" fillId="5" borderId="35" xfId="10" applyFont="1" applyFill="1" applyBorder="1" applyAlignment="1">
      <alignment vertical="center" wrapText="1"/>
    </xf>
    <xf numFmtId="0" fontId="17" fillId="5" borderId="36" xfId="10" applyFont="1" applyFill="1" applyBorder="1" applyAlignment="1">
      <alignment horizontal="center" vertical="center" wrapText="1"/>
    </xf>
    <xf numFmtId="0" fontId="5" fillId="5" borderId="23" xfId="10" applyFont="1" applyFill="1" applyBorder="1"/>
    <xf numFmtId="0" fontId="5" fillId="5" borderId="2" xfId="10" applyFont="1" applyFill="1" applyBorder="1"/>
    <xf numFmtId="0" fontId="16" fillId="0" borderId="8" xfId="10" applyFont="1" applyBorder="1" applyAlignment="1">
      <alignment horizontal="left" vertical="center" wrapText="1"/>
    </xf>
    <xf numFmtId="0" fontId="5" fillId="0" borderId="6" xfId="10" applyFont="1" applyBorder="1" applyAlignment="1">
      <alignment vertical="center"/>
    </xf>
    <xf numFmtId="0" fontId="5" fillId="0" borderId="25" xfId="10" applyFont="1" applyBorder="1" applyAlignment="1">
      <alignment vertical="center"/>
    </xf>
    <xf numFmtId="0" fontId="18" fillId="0" borderId="12" xfId="10" applyFont="1" applyBorder="1" applyAlignment="1">
      <alignment horizontal="center" vertical="center" wrapText="1"/>
    </xf>
    <xf numFmtId="0" fontId="18" fillId="0" borderId="11" xfId="10" applyFont="1" applyBorder="1" applyAlignment="1">
      <alignment horizontal="center" vertical="center"/>
    </xf>
    <xf numFmtId="0" fontId="18" fillId="0" borderId="18" xfId="10" applyFont="1" applyBorder="1" applyAlignment="1">
      <alignment horizontal="center" vertical="center"/>
    </xf>
    <xf numFmtId="0" fontId="5" fillId="0" borderId="23" xfId="10" applyFont="1" applyBorder="1" applyAlignment="1">
      <alignment vertical="center"/>
    </xf>
    <xf numFmtId="0" fontId="10" fillId="0" borderId="42" xfId="5" applyFont="1" applyBorder="1" applyAlignment="1">
      <alignment horizontal="center" vertical="center"/>
    </xf>
    <xf numFmtId="0" fontId="10" fillId="0" borderId="43" xfId="5" applyFont="1" applyBorder="1" applyAlignment="1">
      <alignment horizontal="center" vertical="center"/>
    </xf>
    <xf numFmtId="0" fontId="9" fillId="0" borderId="0" xfId="0" applyFont="1" applyAlignment="1">
      <alignment vertical="top"/>
    </xf>
    <xf numFmtId="0" fontId="9" fillId="2" borderId="0" xfId="0" applyFont="1" applyFill="1" applyAlignment="1" applyProtection="1">
      <alignment vertical="top" wrapText="1"/>
      <protection locked="0"/>
    </xf>
    <xf numFmtId="0" fontId="9" fillId="2" borderId="0" xfId="0" applyFont="1" applyFill="1" applyAlignment="1" applyProtection="1">
      <alignment vertical="top"/>
      <protection locked="0"/>
    </xf>
    <xf numFmtId="0" fontId="9" fillId="0" borderId="0" xfId="0" applyFont="1" applyAlignment="1" applyProtection="1">
      <alignment vertical="top"/>
      <protection locked="0"/>
    </xf>
    <xf numFmtId="0" fontId="21" fillId="0" borderId="0" xfId="0" applyFont="1" applyAlignment="1" applyProtection="1">
      <alignment vertical="top"/>
      <protection locked="0"/>
    </xf>
    <xf numFmtId="0" fontId="0" fillId="0" borderId="0" xfId="0" applyAlignment="1">
      <alignment vertical="top"/>
    </xf>
    <xf numFmtId="0" fontId="11" fillId="0" borderId="0" xfId="0" applyFont="1" applyAlignment="1" applyProtection="1">
      <alignment vertical="top"/>
      <protection locked="0"/>
    </xf>
    <xf numFmtId="0" fontId="12" fillId="0" borderId="0" xfId="0" applyFont="1" applyAlignment="1" applyProtection="1">
      <alignment vertical="top"/>
      <protection locked="0"/>
    </xf>
    <xf numFmtId="0" fontId="12" fillId="0" borderId="0" xfId="0" applyFont="1" applyAlignment="1" applyProtection="1">
      <alignment vertical="top" wrapText="1"/>
      <protection locked="0"/>
    </xf>
    <xf numFmtId="0" fontId="12" fillId="2" borderId="0" xfId="0" applyFont="1" applyFill="1" applyAlignment="1" applyProtection="1">
      <alignment vertical="top" wrapText="1"/>
      <protection locked="0"/>
    </xf>
    <xf numFmtId="0" fontId="11" fillId="0" borderId="0" xfId="0" applyFont="1" applyAlignment="1">
      <alignment vertical="top"/>
    </xf>
    <xf numFmtId="0" fontId="11" fillId="0" borderId="0" xfId="0" applyFont="1" applyAlignment="1">
      <alignment vertical="top" wrapText="1"/>
    </xf>
    <xf numFmtId="0" fontId="21" fillId="0" borderId="0" xfId="0" applyFont="1" applyAlignment="1">
      <alignment vertical="top"/>
    </xf>
    <xf numFmtId="0" fontId="12" fillId="2" borderId="0" xfId="0" applyFont="1" applyFill="1" applyAlignment="1" applyProtection="1">
      <alignment vertical="top"/>
      <protection locked="0"/>
    </xf>
    <xf numFmtId="0" fontId="12" fillId="0" borderId="1" xfId="0" applyFont="1" applyBorder="1" applyAlignment="1" applyProtection="1">
      <alignment vertical="top"/>
      <protection locked="0"/>
    </xf>
    <xf numFmtId="0" fontId="12" fillId="0" borderId="1" xfId="0" applyFont="1" applyBorder="1" applyAlignment="1" applyProtection="1">
      <alignment vertical="top" wrapText="1"/>
      <protection locked="0"/>
    </xf>
    <xf numFmtId="0" fontId="12" fillId="2" borderId="1" xfId="0" applyFont="1" applyFill="1" applyBorder="1" applyAlignment="1" applyProtection="1">
      <alignment vertical="top" wrapText="1"/>
      <protection locked="0"/>
    </xf>
    <xf numFmtId="0" fontId="12"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1" fillId="0" borderId="1" xfId="0" applyFont="1" applyBorder="1" applyAlignment="1" applyProtection="1">
      <alignment vertical="top"/>
      <protection locked="0"/>
    </xf>
    <xf numFmtId="0" fontId="11" fillId="0" borderId="1" xfId="0" applyFont="1" applyBorder="1" applyAlignment="1" applyProtection="1">
      <alignment vertical="top" wrapText="1"/>
      <protection locked="0"/>
    </xf>
    <xf numFmtId="0" fontId="11" fillId="2" borderId="1" xfId="0" applyFont="1" applyFill="1" applyBorder="1" applyAlignment="1" applyProtection="1">
      <alignment vertical="top" wrapText="1"/>
      <protection locked="0"/>
    </xf>
    <xf numFmtId="0" fontId="11" fillId="2" borderId="1" xfId="0" applyFont="1" applyFill="1" applyBorder="1" applyAlignment="1" applyProtection="1">
      <alignment vertical="top"/>
      <protection locked="0"/>
    </xf>
    <xf numFmtId="0" fontId="9" fillId="0" borderId="0" xfId="0" applyFont="1" applyAlignment="1">
      <alignment vertical="top" wrapText="1"/>
    </xf>
    <xf numFmtId="0" fontId="9" fillId="0" borderId="0" xfId="0" applyFont="1" applyAlignment="1" applyProtection="1">
      <alignment vertical="top" wrapText="1"/>
      <protection locked="0"/>
    </xf>
    <xf numFmtId="0" fontId="24" fillId="0" borderId="0" xfId="0" applyFont="1" applyAlignment="1" applyProtection="1">
      <alignment vertical="top"/>
      <protection locked="0"/>
    </xf>
    <xf numFmtId="0" fontId="11" fillId="0" borderId="1" xfId="0" applyFont="1" applyBorder="1" applyAlignment="1">
      <alignment vertical="top"/>
    </xf>
    <xf numFmtId="0" fontId="11" fillId="0" borderId="1" xfId="0" applyFont="1" applyBorder="1" applyAlignment="1">
      <alignment vertical="top" wrapText="1"/>
    </xf>
    <xf numFmtId="0" fontId="11" fillId="2" borderId="0" xfId="0" applyFont="1" applyFill="1" applyAlignment="1" applyProtection="1">
      <alignment vertical="top" wrapText="1"/>
      <protection locked="0"/>
    </xf>
    <xf numFmtId="0" fontId="13" fillId="0" borderId="0" xfId="0" applyFont="1" applyAlignment="1" applyProtection="1">
      <alignment vertical="top"/>
      <protection locked="0"/>
    </xf>
    <xf numFmtId="0" fontId="11"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1" fillId="0" borderId="0" xfId="0" applyFont="1" applyAlignment="1">
      <alignment vertical="top" wrapText="1"/>
    </xf>
    <xf numFmtId="0" fontId="13" fillId="2" borderId="0" xfId="0" applyFont="1" applyFill="1" applyAlignment="1" applyProtection="1">
      <alignment vertical="top"/>
      <protection locked="0"/>
    </xf>
    <xf numFmtId="0" fontId="13" fillId="0" borderId="0" xfId="0" applyFont="1" applyAlignment="1">
      <alignment vertical="top"/>
    </xf>
    <xf numFmtId="164" fontId="11" fillId="0" borderId="0" xfId="0" applyNumberFormat="1" applyFont="1" applyAlignment="1" applyProtection="1">
      <alignment vertical="top"/>
      <protection locked="0"/>
    </xf>
    <xf numFmtId="9" fontId="11" fillId="0" borderId="0" xfId="0" applyNumberFormat="1" applyFont="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9" fillId="0" borderId="0" xfId="0" applyFont="1" applyAlignment="1">
      <alignment horizontal="center" vertical="center"/>
    </xf>
    <xf numFmtId="0" fontId="9" fillId="0" borderId="0" xfId="0" applyFont="1" applyAlignment="1">
      <alignment horizontal="center" vertical="center" wrapText="1"/>
    </xf>
    <xf numFmtId="0" fontId="9" fillId="2" borderId="0" xfId="0" applyFont="1" applyFill="1" applyAlignment="1" applyProtection="1">
      <alignment horizontal="center" vertical="center" wrapText="1"/>
      <protection locked="0"/>
    </xf>
    <xf numFmtId="0" fontId="9" fillId="2" borderId="0" xfId="0" applyFont="1" applyFill="1" applyAlignment="1" applyProtection="1">
      <alignment horizontal="center" vertical="center"/>
      <protection locked="0"/>
    </xf>
    <xf numFmtId="0" fontId="9" fillId="0" borderId="0" xfId="0" applyFont="1" applyAlignment="1" applyProtection="1">
      <alignment horizontal="center" vertical="center"/>
      <protection locked="0"/>
    </xf>
    <xf numFmtId="0" fontId="21" fillId="0" borderId="0" xfId="0" applyFont="1" applyAlignment="1" applyProtection="1">
      <alignment horizontal="center" vertical="center"/>
      <protection locked="0"/>
    </xf>
    <xf numFmtId="0" fontId="0" fillId="0" borderId="0" xfId="0" applyAlignment="1">
      <alignment vertical="center"/>
    </xf>
    <xf numFmtId="0" fontId="12" fillId="0" borderId="0" xfId="0" applyFont="1" applyAlignment="1" applyProtection="1">
      <alignment vertical="center"/>
      <protection locked="0"/>
    </xf>
    <xf numFmtId="0" fontId="11" fillId="0" borderId="0" xfId="0" applyFont="1" applyAlignment="1">
      <alignment vertical="center"/>
    </xf>
    <xf numFmtId="0" fontId="12" fillId="0" borderId="1" xfId="0" applyFont="1" applyBorder="1" applyAlignment="1" applyProtection="1">
      <alignment vertical="center"/>
      <protection locked="0"/>
    </xf>
    <xf numFmtId="0" fontId="11" fillId="0" borderId="1" xfId="0" applyFont="1" applyBorder="1" applyAlignment="1" applyProtection="1">
      <alignment vertical="center"/>
      <protection locked="0"/>
    </xf>
    <xf numFmtId="0" fontId="9" fillId="0" borderId="0" xfId="0" applyFont="1" applyAlignment="1">
      <alignment vertical="center"/>
    </xf>
    <xf numFmtId="0" fontId="9" fillId="0" borderId="0" xfId="0" applyFont="1" applyAlignment="1" applyProtection="1">
      <alignment vertical="center"/>
      <protection locked="0"/>
    </xf>
    <xf numFmtId="0" fontId="0" fillId="0" borderId="0" xfId="0" applyAlignment="1" applyProtection="1">
      <alignment vertical="center"/>
      <protection locked="0"/>
    </xf>
    <xf numFmtId="0" fontId="24" fillId="0" borderId="0" xfId="0" applyFont="1" applyAlignment="1" applyProtection="1">
      <alignment vertical="center"/>
      <protection locked="0"/>
    </xf>
    <xf numFmtId="0" fontId="24" fillId="0" borderId="0" xfId="0" applyFont="1" applyAlignment="1">
      <alignment vertical="center"/>
    </xf>
    <xf numFmtId="0" fontId="12" fillId="0" borderId="0" xfId="0" applyFont="1" applyAlignment="1">
      <alignment vertical="center"/>
    </xf>
    <xf numFmtId="0" fontId="11" fillId="0" borderId="1" xfId="0" applyFont="1" applyBorder="1" applyAlignment="1">
      <alignment vertical="center"/>
    </xf>
    <xf numFmtId="0" fontId="11" fillId="0" borderId="0" xfId="0" applyFont="1" applyAlignment="1" applyProtection="1">
      <alignment vertical="center"/>
      <protection locked="0"/>
    </xf>
    <xf numFmtId="0" fontId="0" fillId="0" borderId="1" xfId="0" applyBorder="1" applyAlignment="1">
      <alignment vertical="center"/>
    </xf>
    <xf numFmtId="0" fontId="21" fillId="0" borderId="0" xfId="0" applyFont="1" applyAlignment="1">
      <alignment vertical="center"/>
    </xf>
    <xf numFmtId="0" fontId="8" fillId="0" borderId="0" xfId="0" applyFont="1" applyAlignment="1">
      <alignment vertical="center"/>
    </xf>
    <xf numFmtId="0" fontId="16" fillId="0" borderId="5" xfId="10" applyFont="1" applyBorder="1" applyAlignment="1">
      <alignment horizontal="left" vertical="center" wrapText="1"/>
    </xf>
    <xf numFmtId="0" fontId="16" fillId="0" borderId="8" xfId="10" applyFont="1" applyBorder="1" applyAlignment="1">
      <alignment horizontal="left" vertical="center"/>
    </xf>
    <xf numFmtId="0" fontId="17" fillId="0" borderId="19" xfId="5" applyFont="1" applyBorder="1" applyAlignment="1">
      <alignment vertical="center" wrapText="1"/>
    </xf>
    <xf numFmtId="0" fontId="5" fillId="5" borderId="24" xfId="10" applyFont="1" applyFill="1" applyBorder="1" applyAlignment="1">
      <alignment horizontal="center" vertical="center"/>
    </xf>
    <xf numFmtId="0" fontId="17" fillId="0" borderId="22" xfId="10" applyFont="1" applyBorder="1" applyAlignment="1">
      <alignment horizontal="center" vertical="center" wrapText="1"/>
    </xf>
    <xf numFmtId="0" fontId="0" fillId="0" borderId="2" xfId="0" applyBorder="1"/>
    <xf numFmtId="0" fontId="11"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9" fillId="0" borderId="7" xfId="0" applyFont="1" applyBorder="1" applyAlignment="1">
      <alignment horizontal="center" vertical="center" wrapText="1"/>
    </xf>
    <xf numFmtId="0" fontId="21" fillId="0" borderId="7" xfId="0" applyFont="1" applyBorder="1" applyAlignment="1">
      <alignment horizontal="center" vertical="center"/>
    </xf>
    <xf numFmtId="0" fontId="21" fillId="0" borderId="7" xfId="0" applyFont="1" applyBorder="1" applyAlignment="1">
      <alignment horizontal="center" vertical="center" wrapText="1"/>
    </xf>
    <xf numFmtId="0" fontId="11" fillId="0" borderId="7" xfId="0" applyFont="1" applyBorder="1" applyAlignment="1">
      <alignment horizontal="center" vertical="center"/>
    </xf>
    <xf numFmtId="0" fontId="11" fillId="0" borderId="7" xfId="0" applyFont="1" applyBorder="1" applyAlignment="1">
      <alignment wrapText="1"/>
    </xf>
    <xf numFmtId="0" fontId="21" fillId="0" borderId="7" xfId="0" applyFont="1" applyBorder="1" applyAlignment="1">
      <alignment wrapText="1"/>
    </xf>
    <xf numFmtId="0" fontId="11"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1"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7" fillId="0" borderId="0" xfId="0" applyFont="1" applyAlignment="1">
      <alignment vertical="center"/>
    </xf>
    <xf numFmtId="0" fontId="27" fillId="0" borderId="0" xfId="0" applyFont="1" applyAlignment="1">
      <alignment vertical="top"/>
    </xf>
    <xf numFmtId="0" fontId="27" fillId="0" borderId="0" xfId="0" applyFont="1" applyAlignment="1">
      <alignment vertical="top" wrapText="1"/>
    </xf>
    <xf numFmtId="0" fontId="27" fillId="0" borderId="0" xfId="0" applyFont="1" applyAlignment="1" applyProtection="1">
      <alignment vertical="top"/>
      <protection locked="0"/>
    </xf>
    <xf numFmtId="0" fontId="27" fillId="2" borderId="0" xfId="0" applyFont="1" applyFill="1" applyAlignment="1" applyProtection="1">
      <alignment vertical="top" wrapText="1"/>
      <protection locked="0"/>
    </xf>
    <xf numFmtId="0" fontId="27" fillId="2" borderId="0" xfId="0" applyFont="1" applyFill="1" applyAlignment="1" applyProtection="1">
      <alignment vertical="top"/>
      <protection locked="0"/>
    </xf>
    <xf numFmtId="9" fontId="11" fillId="0" borderId="0" xfId="7" applyFont="1" applyAlignment="1" applyProtection="1">
      <alignment vertical="top"/>
      <protection locked="0"/>
    </xf>
    <xf numFmtId="165" fontId="11" fillId="0" borderId="0" xfId="0" applyNumberFormat="1" applyFont="1" applyAlignment="1" applyProtection="1">
      <alignment vertical="top"/>
      <protection locked="0"/>
    </xf>
    <xf numFmtId="165" fontId="11" fillId="0" borderId="0" xfId="0" applyNumberFormat="1" applyFont="1" applyAlignment="1" applyProtection="1">
      <alignment vertical="top" wrapText="1"/>
      <protection locked="0"/>
    </xf>
    <xf numFmtId="9" fontId="11" fillId="0" borderId="0" xfId="7" applyFont="1" applyAlignment="1" applyProtection="1">
      <alignment vertical="top" wrapText="1"/>
      <protection locked="0"/>
    </xf>
    <xf numFmtId="165" fontId="12" fillId="0" borderId="0" xfId="0" applyNumberFormat="1" applyFont="1" applyAlignment="1" applyProtection="1">
      <alignment vertical="top"/>
      <protection locked="0"/>
    </xf>
    <xf numFmtId="9" fontId="12" fillId="0" borderId="0" xfId="7" applyFont="1" applyAlignment="1" applyProtection="1">
      <alignment vertical="top"/>
      <protection locked="0"/>
    </xf>
    <xf numFmtId="9" fontId="21" fillId="0" borderId="17" xfId="7" applyFont="1" applyBorder="1" applyAlignment="1" applyProtection="1">
      <alignment vertical="top"/>
      <protection locked="0"/>
    </xf>
    <xf numFmtId="0" fontId="21" fillId="0" borderId="18" xfId="0" applyFont="1" applyBorder="1" applyAlignment="1" applyProtection="1">
      <alignment vertical="top"/>
      <protection locked="0"/>
    </xf>
    <xf numFmtId="0" fontId="21" fillId="2" borderId="0" xfId="0" applyFont="1" applyFill="1" applyAlignment="1" applyProtection="1">
      <alignment vertical="top" wrapText="1"/>
      <protection locked="0"/>
    </xf>
    <xf numFmtId="0" fontId="21" fillId="2" borderId="0" xfId="0" applyFont="1" applyFill="1" applyAlignment="1" applyProtection="1">
      <alignment vertical="top"/>
      <protection locked="0"/>
    </xf>
    <xf numFmtId="0" fontId="0" fillId="0" borderId="0" xfId="0" applyAlignment="1" applyProtection="1">
      <alignment horizontal="left" vertical="center" wrapText="1"/>
      <protection locked="0"/>
    </xf>
    <xf numFmtId="49" fontId="27" fillId="0" borderId="0" xfId="0" applyNumberFormat="1" applyFont="1" applyAlignment="1">
      <alignment horizontal="left" vertical="top" wrapText="1"/>
    </xf>
    <xf numFmtId="164" fontId="5" fillId="2" borderId="16" xfId="10" applyNumberFormat="1" applyFont="1" applyFill="1" applyBorder="1" applyAlignment="1">
      <alignment horizontal="center" vertical="center"/>
    </xf>
    <xf numFmtId="164" fontId="5" fillId="2" borderId="7" xfId="10" applyNumberFormat="1" applyFont="1" applyFill="1" applyBorder="1" applyAlignment="1">
      <alignment horizontal="center" vertical="center"/>
    </xf>
    <xf numFmtId="164" fontId="5" fillId="2" borderId="4" xfId="10" applyNumberFormat="1" applyFont="1" applyFill="1" applyBorder="1" applyAlignment="1">
      <alignment horizontal="center" vertical="center"/>
    </xf>
    <xf numFmtId="1" fontId="25" fillId="2" borderId="7" xfId="5" applyNumberFormat="1" applyFont="1" applyFill="1" applyBorder="1" applyAlignment="1" applyProtection="1">
      <alignment horizontal="center" vertical="center"/>
      <protection locked="0"/>
    </xf>
    <xf numFmtId="49" fontId="27" fillId="0" borderId="0" xfId="0" applyNumberFormat="1" applyFont="1" applyAlignment="1" applyProtection="1">
      <alignment horizontal="left" vertical="top" wrapText="1"/>
      <protection locked="0"/>
    </xf>
    <xf numFmtId="0" fontId="27" fillId="0" borderId="0" xfId="0" applyFont="1" applyAlignment="1" applyProtection="1">
      <alignment vertical="center"/>
      <protection locked="0"/>
    </xf>
    <xf numFmtId="0" fontId="17" fillId="0" borderId="16" xfId="5" applyFont="1" applyBorder="1" applyAlignment="1">
      <alignment vertical="center" wrapText="1"/>
    </xf>
    <xf numFmtId="0" fontId="16" fillId="0" borderId="9" xfId="5" applyFont="1" applyBorder="1" applyAlignment="1">
      <alignment vertical="center" wrapText="1"/>
    </xf>
    <xf numFmtId="0" fontId="16" fillId="0" borderId="7" xfId="5" applyFont="1" applyBorder="1" applyAlignment="1">
      <alignment vertical="center" wrapText="1"/>
    </xf>
    <xf numFmtId="0" fontId="17"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0" fillId="0" borderId="7" xfId="6" applyFont="1" applyFill="1" applyBorder="1" applyAlignment="1">
      <alignment horizontal="center" vertical="center"/>
    </xf>
    <xf numFmtId="0" fontId="4" fillId="0" borderId="2" xfId="10" applyFont="1" applyBorder="1"/>
    <xf numFmtId="0" fontId="4" fillId="3" borderId="7" xfId="10" applyFont="1" applyFill="1" applyBorder="1" applyAlignment="1" applyProtection="1">
      <alignment horizontal="center" vertical="center"/>
      <protection locked="0"/>
    </xf>
    <xf numFmtId="2" fontId="4" fillId="3" borderId="7" xfId="10" applyNumberFormat="1" applyFont="1" applyFill="1" applyBorder="1" applyAlignment="1" applyProtection="1">
      <alignment horizontal="center" vertical="center"/>
      <protection locked="0"/>
    </xf>
    <xf numFmtId="0" fontId="11" fillId="0" borderId="0" xfId="0" applyFont="1" applyAlignment="1" applyProtection="1">
      <alignment horizontal="right" vertical="top"/>
      <protection locked="0"/>
    </xf>
    <xf numFmtId="165" fontId="11" fillId="0" borderId="0" xfId="0" applyNumberFormat="1" applyFont="1" applyAlignment="1" applyProtection="1">
      <alignment horizontal="right" vertical="top"/>
      <protection locked="0"/>
    </xf>
    <xf numFmtId="165" fontId="11" fillId="0" borderId="0" xfId="0" applyNumberFormat="1" applyFont="1" applyAlignment="1">
      <alignment horizontal="right" vertical="top"/>
    </xf>
    <xf numFmtId="0" fontId="21" fillId="0" borderId="17" xfId="0" applyFont="1" applyBorder="1" applyAlignment="1" applyProtection="1">
      <alignment horizontal="right" vertical="top"/>
      <protection locked="0"/>
    </xf>
    <xf numFmtId="165" fontId="11" fillId="0" borderId="0" xfId="0" applyNumberFormat="1" applyFont="1" applyAlignment="1" applyProtection="1">
      <alignment horizontal="right" vertical="top" wrapText="1"/>
      <protection locked="0"/>
    </xf>
    <xf numFmtId="0" fontId="9" fillId="0" borderId="33" xfId="0" applyFont="1" applyBorder="1" applyAlignment="1" applyProtection="1">
      <alignment horizontal="center" vertical="center" wrapText="1"/>
      <protection locked="0"/>
    </xf>
    <xf numFmtId="0" fontId="21" fillId="6" borderId="12" xfId="0" applyFont="1" applyFill="1" applyBorder="1" applyAlignment="1" applyProtection="1">
      <alignment horizontal="center" vertical="center" wrapText="1"/>
      <protection locked="0"/>
    </xf>
    <xf numFmtId="9" fontId="21" fillId="6" borderId="11" xfId="7" applyFont="1" applyFill="1" applyBorder="1" applyAlignment="1" applyProtection="1">
      <alignment horizontal="center" vertical="center" wrapText="1"/>
      <protection locked="0"/>
    </xf>
    <xf numFmtId="0" fontId="21" fillId="6" borderId="11" xfId="0" applyFont="1" applyFill="1" applyBorder="1" applyAlignment="1" applyProtection="1">
      <alignment horizontal="center" vertical="center" wrapText="1"/>
      <protection locked="0"/>
    </xf>
    <xf numFmtId="0" fontId="20" fillId="0" borderId="20" xfId="0" applyFont="1" applyBorder="1" applyProtection="1">
      <protection locked="0"/>
    </xf>
    <xf numFmtId="0" fontId="0" fillId="0" borderId="17" xfId="0" applyBorder="1" applyAlignment="1" applyProtection="1">
      <alignment vertical="top"/>
      <protection locked="0"/>
    </xf>
    <xf numFmtId="0" fontId="6" fillId="0" borderId="6" xfId="5" applyFont="1" applyBorder="1"/>
    <xf numFmtId="0" fontId="16" fillId="0" borderId="8" xfId="5" applyFont="1" applyBorder="1" applyAlignment="1">
      <alignment vertical="center"/>
    </xf>
    <xf numFmtId="0" fontId="3" fillId="3" borderId="7" xfId="5" applyFont="1" applyFill="1" applyBorder="1" applyAlignment="1" applyProtection="1">
      <alignment horizontal="center" vertical="center"/>
      <protection locked="0"/>
    </xf>
    <xf numFmtId="0" fontId="16" fillId="0" borderId="19" xfId="5" applyFont="1" applyBorder="1" applyAlignment="1">
      <alignment horizontal="left" vertical="center" wrapText="1"/>
    </xf>
    <xf numFmtId="0" fontId="16" fillId="0" borderId="28" xfId="5" applyFont="1" applyBorder="1" applyAlignment="1">
      <alignment horizontal="center" vertical="center" wrapText="1"/>
    </xf>
    <xf numFmtId="0" fontId="6" fillId="0" borderId="23" xfId="5" applyFont="1" applyBorder="1"/>
    <xf numFmtId="0" fontId="6" fillId="0" borderId="2" xfId="5" applyFont="1" applyBorder="1"/>
    <xf numFmtId="0" fontId="12" fillId="3" borderId="0" xfId="0" applyFont="1" applyFill="1" applyProtection="1">
      <protection locked="0"/>
    </xf>
    <xf numFmtId="0" fontId="22" fillId="2" borderId="0" xfId="0" applyFont="1" applyFill="1" applyProtection="1">
      <protection locked="0"/>
    </xf>
    <xf numFmtId="0" fontId="22" fillId="0" borderId="0" xfId="0" applyFont="1" applyProtection="1">
      <protection locked="0"/>
    </xf>
    <xf numFmtId="0" fontId="0" fillId="3" borderId="0" xfId="0" applyFill="1" applyProtection="1">
      <protection locked="0"/>
    </xf>
    <xf numFmtId="0" fontId="17" fillId="0" borderId="28" xfId="5" applyFont="1" applyBorder="1" applyAlignment="1">
      <alignment horizontal="center" vertical="center" wrapText="1"/>
    </xf>
    <xf numFmtId="0" fontId="17" fillId="0" borderId="36" xfId="5" applyFont="1" applyBorder="1" applyAlignment="1">
      <alignment horizontal="center" vertical="center" wrapText="1"/>
    </xf>
    <xf numFmtId="2" fontId="2" fillId="3" borderId="24" xfId="5" applyNumberFormat="1" applyFont="1" applyFill="1" applyBorder="1" applyAlignment="1" applyProtection="1">
      <alignment horizontal="center" vertical="center"/>
      <protection locked="0"/>
    </xf>
    <xf numFmtId="0" fontId="16" fillId="0" borderId="44" xfId="5" applyFont="1" applyBorder="1" applyAlignment="1">
      <alignment vertical="center"/>
    </xf>
    <xf numFmtId="0" fontId="16" fillId="0" borderId="34" xfId="5" applyFont="1" applyBorder="1" applyAlignment="1">
      <alignment vertical="center"/>
    </xf>
    <xf numFmtId="0" fontId="0" fillId="2" borderId="0" xfId="0" applyFill="1" applyAlignment="1">
      <alignment vertical="top" wrapText="1"/>
    </xf>
    <xf numFmtId="0" fontId="0" fillId="2" borderId="0" xfId="0" applyFill="1" applyAlignment="1">
      <alignment vertical="top"/>
    </xf>
    <xf numFmtId="165" fontId="11" fillId="7" borderId="0" xfId="0" applyNumberFormat="1" applyFont="1" applyFill="1" applyAlignment="1" applyProtection="1">
      <alignment horizontal="right" vertical="top"/>
      <protection locked="0"/>
    </xf>
    <xf numFmtId="9" fontId="11" fillId="7" borderId="0" xfId="7" applyFont="1" applyFill="1" applyAlignment="1" applyProtection="1">
      <alignment vertical="top"/>
      <protection locked="0"/>
    </xf>
    <xf numFmtId="165" fontId="11" fillId="7" borderId="0" xfId="0" applyNumberFormat="1" applyFont="1" applyFill="1" applyAlignment="1" applyProtection="1">
      <alignment vertical="top"/>
      <protection locked="0"/>
    </xf>
    <xf numFmtId="0" fontId="11" fillId="2" borderId="0" xfId="0" applyFont="1" applyFill="1" applyAlignment="1">
      <alignment vertical="top"/>
    </xf>
    <xf numFmtId="9" fontId="11" fillId="0" borderId="0" xfId="7" applyFont="1" applyAlignment="1">
      <alignment vertical="top"/>
    </xf>
    <xf numFmtId="165" fontId="11" fillId="0" borderId="0" xfId="0" applyNumberFormat="1" applyFont="1" applyAlignment="1">
      <alignment vertical="top"/>
    </xf>
    <xf numFmtId="0" fontId="13" fillId="0" borderId="0" xfId="0" applyFont="1"/>
    <xf numFmtId="0" fontId="11" fillId="0" borderId="0" xfId="0" applyFont="1"/>
    <xf numFmtId="0" fontId="12" fillId="0" borderId="0" xfId="0" applyFont="1"/>
    <xf numFmtId="0" fontId="12" fillId="8" borderId="0" xfId="0" applyFont="1" applyFill="1" applyAlignment="1" applyProtection="1">
      <alignment vertical="top"/>
      <protection locked="0"/>
    </xf>
    <xf numFmtId="0" fontId="12" fillId="8" borderId="0" xfId="0" applyFont="1" applyFill="1" applyAlignment="1" applyProtection="1">
      <alignment vertical="top" wrapText="1"/>
      <protection locked="0"/>
    </xf>
    <xf numFmtId="0" fontId="12" fillId="8" borderId="0" xfId="0" applyFont="1" applyFill="1" applyAlignment="1" applyProtection="1">
      <alignment vertical="center"/>
      <protection locked="0"/>
    </xf>
    <xf numFmtId="165" fontId="11" fillId="8" borderId="0" xfId="0" applyNumberFormat="1" applyFont="1" applyFill="1" applyAlignment="1" applyProtection="1">
      <alignment horizontal="right" vertical="top"/>
      <protection locked="0"/>
    </xf>
    <xf numFmtId="9" fontId="11" fillId="8" borderId="0" xfId="7" applyFont="1" applyFill="1" applyAlignment="1" applyProtection="1">
      <alignment vertical="top"/>
      <protection locked="0"/>
    </xf>
    <xf numFmtId="165" fontId="11" fillId="8" borderId="0" xfId="0" applyNumberFormat="1" applyFont="1" applyFill="1" applyAlignment="1" applyProtection="1">
      <alignment vertical="top"/>
      <protection locked="0"/>
    </xf>
    <xf numFmtId="0" fontId="11" fillId="8" borderId="0" xfId="0" applyFont="1" applyFill="1" applyAlignment="1" applyProtection="1">
      <alignment vertical="top"/>
      <protection locked="0"/>
    </xf>
    <xf numFmtId="0" fontId="21" fillId="0" borderId="0" xfId="0" applyFont="1" applyAlignment="1" applyProtection="1">
      <alignment vertical="top" wrapText="1"/>
      <protection locked="0"/>
    </xf>
    <xf numFmtId="0" fontId="11" fillId="0" borderId="0" xfId="0" applyFont="1" applyAlignment="1" applyProtection="1">
      <alignment vertical="center" wrapText="1"/>
      <protection locked="0"/>
    </xf>
    <xf numFmtId="0" fontId="1" fillId="3" borderId="7" xfId="10" applyFont="1" applyFill="1" applyBorder="1" applyAlignment="1" applyProtection="1">
      <alignment horizontal="center" vertical="center"/>
      <protection locked="0"/>
    </xf>
    <xf numFmtId="49" fontId="1" fillId="3" borderId="16" xfId="5" applyNumberFormat="1" applyFont="1" applyFill="1" applyBorder="1" applyAlignment="1" applyProtection="1">
      <alignment horizontal="center" vertical="center"/>
      <protection locked="0"/>
    </xf>
    <xf numFmtId="0" fontId="1" fillId="3" borderId="9" xfId="10" applyFont="1" applyFill="1" applyBorder="1" applyAlignment="1" applyProtection="1">
      <alignment horizontal="center" vertical="center"/>
      <protection locked="0"/>
    </xf>
    <xf numFmtId="0" fontId="1" fillId="3" borderId="4" xfId="10" applyFont="1" applyFill="1" applyBorder="1" applyAlignment="1" applyProtection="1">
      <alignment horizontal="center" vertical="center"/>
      <protection locked="0"/>
    </xf>
    <xf numFmtId="0" fontId="24" fillId="0" borderId="0" xfId="0" applyFont="1" applyAlignment="1" applyProtection="1">
      <alignment vertical="top" wrapText="1"/>
      <protection locked="0"/>
    </xf>
    <xf numFmtId="0" fontId="24" fillId="2" borderId="0" xfId="0" applyFont="1" applyFill="1" applyAlignment="1" applyProtection="1">
      <alignment vertical="top" wrapText="1"/>
      <protection locked="0"/>
    </xf>
    <xf numFmtId="0" fontId="24" fillId="2" borderId="0" xfId="0" applyFont="1" applyFill="1" applyAlignment="1" applyProtection="1">
      <alignment vertical="top"/>
      <protection locked="0"/>
    </xf>
    <xf numFmtId="165" fontId="24" fillId="0" borderId="0" xfId="0" applyNumberFormat="1" applyFont="1" applyAlignment="1" applyProtection="1">
      <alignment horizontal="right" vertical="top"/>
      <protection locked="0"/>
    </xf>
    <xf numFmtId="9" fontId="24" fillId="0" borderId="0" xfId="7" applyFont="1" applyAlignment="1" applyProtection="1">
      <alignment vertical="top"/>
      <protection locked="0"/>
    </xf>
    <xf numFmtId="165" fontId="24" fillId="0" borderId="0" xfId="0" applyNumberFormat="1" applyFont="1" applyAlignment="1" applyProtection="1">
      <alignment vertical="top"/>
      <protection locked="0"/>
    </xf>
    <xf numFmtId="0" fontId="8" fillId="2" borderId="0" xfId="0" applyFont="1" applyFill="1" applyAlignment="1" applyProtection="1">
      <alignment vertical="top"/>
      <protection locked="0"/>
    </xf>
    <xf numFmtId="0" fontId="8" fillId="0" borderId="0" xfId="0" applyFont="1" applyAlignment="1" applyProtection="1">
      <alignment vertical="top"/>
      <protection locked="0"/>
    </xf>
    <xf numFmtId="165" fontId="8" fillId="0" borderId="0" xfId="0" applyNumberFormat="1" applyFont="1" applyAlignment="1" applyProtection="1">
      <alignment horizontal="right" vertical="top"/>
      <protection locked="0"/>
    </xf>
    <xf numFmtId="9" fontId="8" fillId="0" borderId="0" xfId="7" applyFont="1" applyAlignment="1" applyProtection="1">
      <alignment vertical="top"/>
      <protection locked="0"/>
    </xf>
    <xf numFmtId="165" fontId="8" fillId="0" borderId="0" xfId="0" applyNumberFormat="1" applyFont="1" applyAlignment="1" applyProtection="1">
      <alignment vertical="top"/>
      <protection locked="0"/>
    </xf>
    <xf numFmtId="0" fontId="8" fillId="2" borderId="0" xfId="0" applyFont="1" applyFill="1" applyAlignment="1" applyProtection="1">
      <alignment vertical="top" wrapText="1"/>
      <protection locked="0"/>
    </xf>
    <xf numFmtId="0" fontId="8" fillId="0" borderId="0" xfId="0" applyFont="1" applyAlignment="1" applyProtection="1">
      <alignment vertical="top" wrapText="1"/>
      <protection locked="0"/>
    </xf>
    <xf numFmtId="0" fontId="8" fillId="0" borderId="0" xfId="0" applyFont="1" applyAlignment="1" applyProtection="1">
      <alignment vertical="center"/>
      <protection locked="0"/>
    </xf>
    <xf numFmtId="9" fontId="24" fillId="0" borderId="0" xfId="0" applyNumberFormat="1" applyFont="1" applyAlignment="1" applyProtection="1">
      <alignment vertical="top"/>
      <protection locked="0"/>
    </xf>
    <xf numFmtId="0" fontId="11" fillId="7" borderId="0" xfId="0" applyFont="1" applyFill="1" applyAlignment="1" applyProtection="1">
      <alignment vertical="top"/>
      <protection locked="0"/>
    </xf>
    <xf numFmtId="0" fontId="11" fillId="7" borderId="0" xfId="0" applyFont="1" applyFill="1" applyAlignment="1" applyProtection="1">
      <alignment vertical="top" wrapText="1"/>
      <protection locked="0"/>
    </xf>
    <xf numFmtId="0" fontId="11" fillId="7" borderId="0" xfId="0" applyFont="1" applyFill="1" applyAlignment="1" applyProtection="1">
      <alignment vertical="center"/>
      <protection locked="0"/>
    </xf>
    <xf numFmtId="0" fontId="0" fillId="7" borderId="0" xfId="0" applyFill="1" applyAlignment="1" applyProtection="1">
      <alignment vertical="center"/>
      <protection locked="0"/>
    </xf>
    <xf numFmtId="0" fontId="0" fillId="7" borderId="0" xfId="0" applyFill="1" applyProtection="1">
      <protection locked="0"/>
    </xf>
    <xf numFmtId="0" fontId="11" fillId="7" borderId="0" xfId="0" applyFont="1" applyFill="1" applyProtection="1">
      <protection locked="0"/>
    </xf>
    <xf numFmtId="0" fontId="5" fillId="0" borderId="29" xfId="10" applyFont="1" applyBorder="1" applyAlignment="1">
      <alignment horizontal="center" vertical="top" textRotation="90" wrapText="1"/>
    </xf>
    <xf numFmtId="0" fontId="0" fillId="0" borderId="27" xfId="0" applyBorder="1"/>
    <xf numFmtId="0" fontId="0" fillId="0" borderId="29" xfId="0" applyBorder="1"/>
    <xf numFmtId="0" fontId="5" fillId="0" borderId="33" xfId="10" applyFont="1" applyBorder="1" applyAlignment="1">
      <alignment horizontal="center" vertical="top" textRotation="90"/>
    </xf>
    <xf numFmtId="0" fontId="5" fillId="0" borderId="33" xfId="10" applyFont="1" applyBorder="1" applyAlignment="1">
      <alignment horizontal="center" vertical="top" textRotation="90" wrapText="1"/>
    </xf>
  </cellXfs>
  <cellStyles count="17">
    <cellStyle name="Check Cell" xfId="6" builtinId="2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14"/>
  <sheetViews>
    <sheetView tabSelected="1" zoomScaleNormal="60" workbookViewId="0">
      <pane ySplit="1" topLeftCell="A234" activePane="bottomLeft" state="frozen"/>
      <selection pane="bottomLeft" activeCell="C249" sqref="C249"/>
    </sheetView>
  </sheetViews>
  <sheetFormatPr baseColWidth="10" defaultColWidth="8.83203125" defaultRowHeight="15" x14ac:dyDescent="0.2"/>
  <cols>
    <col min="1" max="1" width="21.1640625" style="44" customWidth="1"/>
    <col min="2" max="2" width="32.1640625" style="44" customWidth="1"/>
    <col min="3" max="3" width="66" style="45" customWidth="1"/>
    <col min="4" max="4" width="16.83203125" style="45" customWidth="1"/>
    <col min="5" max="5" width="28" style="44" customWidth="1"/>
    <col min="6" max="6" width="15.5" style="44" customWidth="1"/>
    <col min="7" max="8" width="8.83203125" style="123" customWidth="1"/>
    <col min="9" max="9" width="29.1640625" style="123" customWidth="1"/>
    <col min="10" max="14" width="8.83203125" style="123" customWidth="1"/>
    <col min="15" max="18" width="8.83203125" style="44" customWidth="1"/>
    <col min="19" max="19" width="9.5" style="44" customWidth="1"/>
    <col min="20" max="20" width="8.83203125" style="44" customWidth="1"/>
    <col min="21" max="21" width="18.1640625" style="188" customWidth="1"/>
    <col min="22" max="22" width="18.5" style="160" customWidth="1"/>
    <col min="23" max="23" width="14.1640625" style="75" customWidth="1"/>
    <col min="24" max="24" width="19.5" style="75" hidden="1" customWidth="1"/>
    <col min="25" max="25" width="8.83203125" style="75" customWidth="1"/>
    <col min="26" max="26" width="8.83203125" style="44" customWidth="1"/>
    <col min="27" max="16384" width="8.83203125" style="44"/>
  </cols>
  <sheetData>
    <row r="1" spans="1:25" s="114" customFormat="1" ht="33" customHeight="1" thickBot="1" x14ac:dyDescent="0.25">
      <c r="A1" s="110" t="s">
        <v>0</v>
      </c>
      <c r="B1" s="110" t="s">
        <v>1</v>
      </c>
      <c r="C1" s="111" t="s">
        <v>2</v>
      </c>
      <c r="D1" s="112" t="s">
        <v>3</v>
      </c>
      <c r="E1" s="110" t="s">
        <v>4</v>
      </c>
      <c r="F1" s="113" t="s">
        <v>5</v>
      </c>
      <c r="G1" s="110" t="s">
        <v>6</v>
      </c>
      <c r="H1" s="110" t="s">
        <v>7</v>
      </c>
      <c r="I1" s="110" t="s">
        <v>8</v>
      </c>
      <c r="J1" s="110" t="s">
        <v>9</v>
      </c>
      <c r="K1" s="110" t="s">
        <v>10</v>
      </c>
      <c r="L1" s="110" t="s">
        <v>11</v>
      </c>
      <c r="M1" s="110" t="s">
        <v>12</v>
      </c>
      <c r="N1" s="110" t="s">
        <v>13</v>
      </c>
      <c r="S1" s="193" t="s">
        <v>14</v>
      </c>
      <c r="U1" s="194" t="s">
        <v>15</v>
      </c>
      <c r="V1" s="195" t="s">
        <v>16</v>
      </c>
      <c r="W1" s="196" t="s">
        <v>17</v>
      </c>
      <c r="X1" s="35" t="s">
        <v>18</v>
      </c>
      <c r="Y1" s="115"/>
    </row>
    <row r="2" spans="1:25" x14ac:dyDescent="0.2">
      <c r="A2" s="74" t="s">
        <v>19</v>
      </c>
      <c r="B2" s="74" t="s">
        <v>19</v>
      </c>
      <c r="C2" s="43"/>
      <c r="D2" s="87"/>
      <c r="E2" s="74"/>
      <c r="F2" s="88"/>
      <c r="G2" s="116"/>
      <c r="H2" s="116"/>
      <c r="I2" s="116"/>
      <c r="J2" s="116"/>
      <c r="K2" s="116"/>
      <c r="L2" s="116"/>
      <c r="M2" s="116"/>
      <c r="N2" s="116"/>
      <c r="U2" s="189"/>
      <c r="W2" s="161" t="str">
        <f>IF(U2&lt;&gt;"",U2*V2,"")</f>
        <v/>
      </c>
      <c r="X2" s="161" t="str">
        <f>IF(AND(U2&lt;&gt;"",S2="yes"),U2*V2,"")</f>
        <v/>
      </c>
    </row>
    <row r="3" spans="1:25" x14ac:dyDescent="0.2">
      <c r="A3" s="74" t="s">
        <v>20</v>
      </c>
      <c r="B3" s="74" t="s">
        <v>20</v>
      </c>
      <c r="C3" s="43"/>
      <c r="D3" s="87"/>
      <c r="E3" s="74"/>
      <c r="F3" s="88"/>
      <c r="G3" s="116"/>
      <c r="H3" s="116"/>
      <c r="I3" s="116"/>
      <c r="J3" s="116"/>
      <c r="K3" s="116"/>
      <c r="L3" s="116"/>
      <c r="M3" s="116"/>
      <c r="N3" s="116"/>
      <c r="U3" s="189"/>
      <c r="W3" s="161" t="str">
        <f>IF(U3&lt;&gt;"",U3*V3,"")</f>
        <v/>
      </c>
      <c r="X3" s="161" t="str">
        <f>IF(AND(U3&lt;&gt;"",S3="yes"),U3*V3,"")</f>
        <v/>
      </c>
    </row>
    <row r="4" spans="1:25" x14ac:dyDescent="0.2">
      <c r="A4" s="74" t="s">
        <v>21</v>
      </c>
      <c r="B4" s="74" t="s">
        <v>21</v>
      </c>
      <c r="C4" s="43"/>
      <c r="D4" s="87"/>
      <c r="E4" s="74"/>
      <c r="F4" s="88"/>
      <c r="G4" s="116"/>
      <c r="H4" s="116"/>
      <c r="I4" s="116"/>
      <c r="J4" s="116"/>
      <c r="K4" s="116"/>
      <c r="L4" s="116"/>
      <c r="M4" s="116"/>
      <c r="N4" s="116"/>
      <c r="U4" s="189"/>
      <c r="W4" s="161" t="str">
        <f>IF(U4&lt;&gt;"",U4*V4,"")</f>
        <v/>
      </c>
      <c r="X4" s="161" t="str">
        <f>IF(AND(U4&lt;&gt;"",S4="yes"),U4*V4,"")</f>
        <v/>
      </c>
    </row>
    <row r="5" spans="1:25" x14ac:dyDescent="0.2">
      <c r="A5" s="74" t="s">
        <v>22</v>
      </c>
      <c r="B5" s="74" t="s">
        <v>22</v>
      </c>
      <c r="C5" s="43"/>
      <c r="D5" s="87"/>
      <c r="E5" s="74"/>
      <c r="F5" s="88"/>
      <c r="G5" s="116"/>
      <c r="H5" s="116"/>
      <c r="I5" s="116"/>
      <c r="J5" s="116"/>
      <c r="K5" s="116"/>
      <c r="L5" s="116"/>
      <c r="M5" s="116"/>
      <c r="N5" s="116"/>
      <c r="U5" s="189"/>
      <c r="W5" s="161" t="str">
        <f>IF(U5&lt;&gt;"",U5*V5,"")</f>
        <v/>
      </c>
      <c r="X5" s="161" t="str">
        <f>IF(AND(U5&lt;&gt;"",S5="yes"),U5*V5,"")</f>
        <v/>
      </c>
    </row>
    <row r="6" spans="1:25" x14ac:dyDescent="0.2">
      <c r="A6" s="74" t="s">
        <v>23</v>
      </c>
      <c r="B6" s="74" t="s">
        <v>23</v>
      </c>
      <c r="C6" s="43"/>
      <c r="D6" s="87"/>
      <c r="E6" s="74"/>
      <c r="F6" s="88"/>
      <c r="G6" s="116"/>
      <c r="H6" s="116"/>
      <c r="I6" s="116"/>
      <c r="J6" s="116"/>
      <c r="K6" s="116"/>
      <c r="L6" s="116"/>
      <c r="M6" s="116"/>
      <c r="N6" s="116"/>
      <c r="U6" s="189"/>
      <c r="W6" s="161"/>
      <c r="X6" s="161"/>
    </row>
    <row r="7" spans="1:25" x14ac:dyDescent="0.2">
      <c r="A7" s="74" t="s">
        <v>24</v>
      </c>
      <c r="B7" s="74" t="s">
        <v>25</v>
      </c>
      <c r="C7" s="43"/>
      <c r="D7" s="87"/>
      <c r="E7" s="74"/>
      <c r="F7" s="88"/>
      <c r="G7" s="116"/>
      <c r="H7" s="116"/>
      <c r="I7" s="116"/>
      <c r="J7" s="116"/>
      <c r="K7" s="44"/>
      <c r="L7" s="116"/>
      <c r="M7" s="116"/>
      <c r="N7" s="116" t="s">
        <v>26</v>
      </c>
      <c r="U7" s="189"/>
      <c r="W7" s="161"/>
      <c r="X7" s="161"/>
    </row>
    <row r="8" spans="1:25" x14ac:dyDescent="0.2">
      <c r="A8" s="74" t="s">
        <v>27</v>
      </c>
      <c r="B8" s="74" t="s">
        <v>27</v>
      </c>
      <c r="C8" s="43"/>
      <c r="D8" s="87"/>
      <c r="E8" s="74"/>
      <c r="F8" s="88"/>
      <c r="G8" s="116"/>
      <c r="H8" s="116"/>
      <c r="I8" s="116"/>
      <c r="J8" s="116"/>
      <c r="K8" s="116" t="s">
        <v>28</v>
      </c>
      <c r="L8" s="116"/>
      <c r="M8" s="116" t="s">
        <v>29</v>
      </c>
      <c r="N8" s="116"/>
      <c r="U8" s="189"/>
      <c r="W8" s="161"/>
      <c r="X8" s="161"/>
    </row>
    <row r="9" spans="1:25" s="75" customFormat="1" ht="16" customHeight="1" x14ac:dyDescent="0.2">
      <c r="A9" s="75" t="s">
        <v>30</v>
      </c>
      <c r="B9" s="75" t="s">
        <v>31</v>
      </c>
      <c r="C9" s="46" t="s">
        <v>32</v>
      </c>
      <c r="D9" s="98"/>
      <c r="F9" s="100"/>
      <c r="G9" s="128"/>
      <c r="H9" s="128"/>
      <c r="J9" s="128"/>
      <c r="K9" s="128"/>
      <c r="L9" s="128"/>
      <c r="M9" s="128"/>
      <c r="N9" s="128"/>
      <c r="U9" s="189"/>
      <c r="V9" s="160"/>
      <c r="W9" s="161"/>
      <c r="X9" s="161"/>
    </row>
    <row r="10" spans="1:25" ht="16" customHeight="1" x14ac:dyDescent="0.2">
      <c r="A10" s="74" t="s">
        <v>33</v>
      </c>
      <c r="B10" s="74" t="s">
        <v>34</v>
      </c>
      <c r="C10" s="43" t="s">
        <v>35</v>
      </c>
      <c r="D10" s="87"/>
      <c r="E10" s="74"/>
      <c r="F10" s="88"/>
      <c r="G10" s="116" t="s">
        <v>36</v>
      </c>
      <c r="H10" s="116"/>
      <c r="I10" s="116"/>
      <c r="J10" s="116"/>
      <c r="K10" s="116"/>
      <c r="L10" s="117" t="s">
        <v>37</v>
      </c>
      <c r="M10" s="116"/>
      <c r="N10" s="116"/>
      <c r="S10" s="44" t="s">
        <v>38</v>
      </c>
      <c r="U10" s="189"/>
      <c r="W10" s="161" t="str">
        <f>IF(U10&lt;&gt;"",U10*V10,"")</f>
        <v/>
      </c>
      <c r="X10" s="161" t="str">
        <f>IF(AND(U10&lt;&gt;"",S10="yes"),U10*V10,"")</f>
        <v/>
      </c>
    </row>
    <row r="11" spans="1:25" x14ac:dyDescent="0.2">
      <c r="A11" s="74" t="s">
        <v>24</v>
      </c>
      <c r="B11" s="74" t="s">
        <v>39</v>
      </c>
      <c r="C11" s="43"/>
      <c r="D11" s="87"/>
      <c r="E11" s="74"/>
      <c r="F11" s="88"/>
      <c r="G11" s="116"/>
      <c r="H11" s="116"/>
      <c r="I11" s="116"/>
      <c r="J11" s="116"/>
      <c r="K11" s="116"/>
      <c r="L11" s="116"/>
      <c r="M11" s="116"/>
      <c r="N11" s="116" t="s">
        <v>40</v>
      </c>
      <c r="S11" s="44" t="s">
        <v>38</v>
      </c>
      <c r="U11" s="189"/>
      <c r="W11" s="161" t="str">
        <f>IF(U11&lt;&gt;"",U11*V11,"")</f>
        <v/>
      </c>
      <c r="X11" s="161" t="str">
        <f>IF(AND(U11&lt;&gt;"",S11="yes"),U11*V11,"")</f>
        <v/>
      </c>
    </row>
    <row r="12" spans="1:25" s="76" customFormat="1" ht="16" customHeight="1" thickBot="1" x14ac:dyDescent="0.25">
      <c r="A12" s="83"/>
      <c r="B12" s="83"/>
      <c r="C12" s="84"/>
      <c r="D12" s="85"/>
      <c r="E12" s="83"/>
      <c r="F12" s="86"/>
      <c r="G12" s="119"/>
      <c r="H12" s="119"/>
      <c r="I12" s="119"/>
      <c r="J12" s="119"/>
      <c r="K12" s="119"/>
      <c r="L12" s="119"/>
      <c r="M12" s="119"/>
      <c r="N12" s="119"/>
      <c r="U12" s="189"/>
      <c r="V12" s="160"/>
      <c r="W12" s="161"/>
      <c r="X12" s="161"/>
      <c r="Y12" s="75"/>
    </row>
    <row r="13" spans="1:25" ht="225" customHeight="1" thickTop="1" x14ac:dyDescent="0.2">
      <c r="A13" s="74" t="s">
        <v>41</v>
      </c>
      <c r="B13" s="74" t="s">
        <v>42</v>
      </c>
      <c r="C13" s="170" t="s">
        <v>43</v>
      </c>
      <c r="D13" s="87"/>
      <c r="E13" s="74" t="s">
        <v>44</v>
      </c>
      <c r="F13" s="88"/>
      <c r="G13" s="116" t="s">
        <v>45</v>
      </c>
      <c r="H13" s="116"/>
      <c r="I13" s="116"/>
      <c r="J13" s="116"/>
      <c r="K13" s="116"/>
      <c r="L13" s="116"/>
      <c r="M13" s="116"/>
      <c r="N13" s="116"/>
      <c r="S13" s="44" t="s">
        <v>46</v>
      </c>
      <c r="U13" s="189">
        <v>50.822540283203118</v>
      </c>
      <c r="W13" s="161">
        <f t="shared" ref="W13:W44" si="0">IF(U13&lt;&gt;"",U13*V13,"")</f>
        <v>0</v>
      </c>
      <c r="X13" s="161" t="str">
        <f>IF(AND(U13&lt;&gt;"",S13="yes"),U13*V13,"")</f>
        <v/>
      </c>
    </row>
    <row r="14" spans="1:25" ht="16" customHeight="1" x14ac:dyDescent="0.2">
      <c r="A14" s="74" t="s">
        <v>47</v>
      </c>
      <c r="B14" s="74" t="s">
        <v>48</v>
      </c>
      <c r="C14" s="43" t="s">
        <v>49</v>
      </c>
      <c r="D14" s="87"/>
      <c r="E14" s="74"/>
      <c r="F14" s="88"/>
      <c r="G14" s="116" t="s">
        <v>45</v>
      </c>
      <c r="H14" s="116"/>
      <c r="I14" s="116"/>
      <c r="J14" s="116"/>
      <c r="K14" s="116"/>
      <c r="L14" s="116"/>
      <c r="M14" s="116"/>
      <c r="N14" s="116"/>
      <c r="S14" s="44" t="s">
        <v>38</v>
      </c>
      <c r="U14" s="189">
        <v>3.5</v>
      </c>
      <c r="V14" s="160">
        <f>1</f>
        <v>1</v>
      </c>
      <c r="W14" s="161">
        <f t="shared" si="0"/>
        <v>3.5</v>
      </c>
      <c r="X14" s="161">
        <f>IF(AND(U14&lt;&gt;"",S14="yes"),U14*V14,"")</f>
        <v>3.5</v>
      </c>
    </row>
    <row r="15" spans="1:25" s="76" customFormat="1" ht="16" customHeight="1" x14ac:dyDescent="0.2">
      <c r="A15" s="79" t="s">
        <v>50</v>
      </c>
      <c r="B15" s="79" t="s">
        <v>51</v>
      </c>
      <c r="C15" s="80" t="s">
        <v>52</v>
      </c>
      <c r="D15" s="78"/>
      <c r="E15" s="79" t="s">
        <v>53</v>
      </c>
      <c r="F15" s="82"/>
      <c r="G15" s="116" t="s">
        <v>45</v>
      </c>
      <c r="H15" s="117"/>
      <c r="I15" s="117"/>
      <c r="J15" s="117"/>
      <c r="K15" s="116" t="s">
        <v>54</v>
      </c>
      <c r="L15" s="117"/>
      <c r="M15" s="117"/>
      <c r="N15" s="117"/>
      <c r="U15" s="189">
        <v>0</v>
      </c>
      <c r="V15" s="160">
        <v>1</v>
      </c>
      <c r="W15" s="161">
        <f t="shared" si="0"/>
        <v>0</v>
      </c>
      <c r="X15" s="161"/>
      <c r="Y15" s="75"/>
    </row>
    <row r="16" spans="1:25" s="75" customFormat="1" ht="16" customHeight="1" x14ac:dyDescent="0.2">
      <c r="A16" s="79" t="s">
        <v>41</v>
      </c>
      <c r="B16" s="79" t="s">
        <v>55</v>
      </c>
      <c r="C16" s="80" t="s">
        <v>56</v>
      </c>
      <c r="D16" s="98"/>
      <c r="E16" s="79"/>
      <c r="F16" s="100"/>
      <c r="G16" s="118" t="s">
        <v>45</v>
      </c>
      <c r="H16" s="118"/>
      <c r="I16" s="118"/>
      <c r="J16" s="118"/>
      <c r="K16" s="118" t="s">
        <v>57</v>
      </c>
      <c r="L16" s="118"/>
      <c r="M16" s="118"/>
      <c r="N16" s="118"/>
      <c r="S16" s="75" t="s">
        <v>46</v>
      </c>
      <c r="U16" s="189">
        <v>0</v>
      </c>
      <c r="V16" s="160">
        <v>1</v>
      </c>
      <c r="W16" s="161">
        <f t="shared" si="0"/>
        <v>0</v>
      </c>
      <c r="X16" s="161" t="str">
        <f t="shared" ref="X16:X44" si="1">IF(AND(U16&lt;&gt;"",S16="yes"),U16*V16,"")</f>
        <v/>
      </c>
    </row>
    <row r="17" spans="1:25" s="75" customFormat="1" ht="16" customHeight="1" thickBot="1" x14ac:dyDescent="0.25">
      <c r="A17" s="89"/>
      <c r="B17" s="89"/>
      <c r="C17" s="90"/>
      <c r="D17" s="91"/>
      <c r="E17" s="89"/>
      <c r="F17" s="92"/>
      <c r="G17" s="120"/>
      <c r="H17" s="120"/>
      <c r="I17" s="120"/>
      <c r="J17" s="120"/>
      <c r="K17" s="120"/>
      <c r="L17" s="120"/>
      <c r="M17" s="120"/>
      <c r="N17" s="120"/>
      <c r="U17" s="189"/>
      <c r="V17" s="160"/>
      <c r="W17" s="161" t="str">
        <f t="shared" si="0"/>
        <v/>
      </c>
      <c r="X17" s="161" t="str">
        <f t="shared" si="1"/>
        <v/>
      </c>
    </row>
    <row r="18" spans="1:25" s="72" customFormat="1" ht="17" customHeight="1" thickTop="1" x14ac:dyDescent="0.2">
      <c r="A18" s="69" t="s">
        <v>58</v>
      </c>
      <c r="B18" s="69" t="s">
        <v>59</v>
      </c>
      <c r="C18" s="93" t="s">
        <v>60</v>
      </c>
      <c r="D18" s="70"/>
      <c r="E18" s="69"/>
      <c r="F18" s="71"/>
      <c r="G18" s="121" t="s">
        <v>45</v>
      </c>
      <c r="H18" s="121"/>
      <c r="I18" s="121"/>
      <c r="J18" s="121"/>
      <c r="K18" s="121" t="s">
        <v>54</v>
      </c>
      <c r="L18" s="121"/>
      <c r="M18" s="121"/>
      <c r="N18" s="121"/>
      <c r="S18" s="44" t="s">
        <v>38</v>
      </c>
      <c r="U18" s="189"/>
      <c r="V18" s="160"/>
      <c r="W18" s="161" t="str">
        <f t="shared" si="0"/>
        <v/>
      </c>
      <c r="X18" s="161" t="str">
        <f t="shared" si="1"/>
        <v/>
      </c>
      <c r="Y18" s="73"/>
    </row>
    <row r="19" spans="1:25" s="76" customFormat="1" x14ac:dyDescent="0.2">
      <c r="C19" s="77"/>
      <c r="D19" s="78"/>
      <c r="F19" s="82"/>
      <c r="G19" s="117"/>
      <c r="H19" s="117"/>
      <c r="I19" s="117"/>
      <c r="J19" s="117"/>
      <c r="K19" s="117"/>
      <c r="L19" s="117"/>
      <c r="M19" s="117"/>
      <c r="N19" s="117"/>
      <c r="U19" s="189"/>
      <c r="V19" s="75"/>
      <c r="W19" s="161" t="str">
        <f t="shared" si="0"/>
        <v/>
      </c>
      <c r="X19" s="161" t="str">
        <f t="shared" si="1"/>
        <v/>
      </c>
      <c r="Y19" s="75"/>
    </row>
    <row r="20" spans="1:25" s="76" customFormat="1" ht="16" customHeight="1" x14ac:dyDescent="0.2">
      <c r="A20" s="79" t="s">
        <v>61</v>
      </c>
      <c r="B20" s="79" t="s">
        <v>62</v>
      </c>
      <c r="C20" s="80" t="s">
        <v>63</v>
      </c>
      <c r="D20" s="78"/>
      <c r="E20" s="75" t="s">
        <v>64</v>
      </c>
      <c r="F20" s="82"/>
      <c r="G20" s="118" t="s">
        <v>36</v>
      </c>
      <c r="H20" s="118"/>
      <c r="I20" s="118"/>
      <c r="J20" s="118"/>
      <c r="K20" s="118"/>
      <c r="L20" s="118"/>
      <c r="M20" s="118"/>
      <c r="N20" s="118"/>
      <c r="S20" s="75" t="s">
        <v>38</v>
      </c>
      <c r="U20" s="189">
        <v>10</v>
      </c>
      <c r="V20" s="160">
        <f>1</f>
        <v>1</v>
      </c>
      <c r="W20" s="161">
        <f t="shared" si="0"/>
        <v>10</v>
      </c>
      <c r="X20" s="161">
        <f t="shared" si="1"/>
        <v>10</v>
      </c>
      <c r="Y20" s="75"/>
    </row>
    <row r="21" spans="1:25" s="76" customFormat="1" ht="16" customHeight="1" x14ac:dyDescent="0.2">
      <c r="A21" s="79" t="s">
        <v>61</v>
      </c>
      <c r="B21" s="79" t="s">
        <v>65</v>
      </c>
      <c r="C21" s="80" t="s">
        <v>66</v>
      </c>
      <c r="D21" s="78"/>
      <c r="E21" s="75" t="s">
        <v>67</v>
      </c>
      <c r="F21" s="82"/>
      <c r="G21" s="118" t="s">
        <v>36</v>
      </c>
      <c r="H21" s="118"/>
      <c r="I21" s="118"/>
      <c r="J21" s="118"/>
      <c r="K21" s="118"/>
      <c r="L21" s="118"/>
      <c r="M21" s="118"/>
      <c r="N21" s="118"/>
      <c r="S21" s="75" t="s">
        <v>38</v>
      </c>
      <c r="U21" s="189">
        <v>10</v>
      </c>
      <c r="V21" s="160">
        <f>1</f>
        <v>1</v>
      </c>
      <c r="W21" s="161">
        <f t="shared" si="0"/>
        <v>10</v>
      </c>
      <c r="X21" s="161">
        <f t="shared" si="1"/>
        <v>10</v>
      </c>
      <c r="Y21" s="75"/>
    </row>
    <row r="22" spans="1:25" s="76" customFormat="1" x14ac:dyDescent="0.2">
      <c r="C22" s="77"/>
      <c r="D22" s="78"/>
      <c r="F22" s="82"/>
      <c r="G22" s="117"/>
      <c r="H22" s="117"/>
      <c r="I22" s="117"/>
      <c r="J22" s="117"/>
      <c r="K22" s="117"/>
      <c r="L22" s="117"/>
      <c r="M22" s="117"/>
      <c r="N22" s="117"/>
      <c r="U22" s="189"/>
      <c r="V22" s="160">
        <f>1</f>
        <v>1</v>
      </c>
      <c r="W22" s="161" t="str">
        <f t="shared" si="0"/>
        <v/>
      </c>
      <c r="X22" s="161" t="str">
        <f t="shared" si="1"/>
        <v/>
      </c>
      <c r="Y22" s="75"/>
    </row>
    <row r="23" spans="1:25" ht="16" customHeight="1" x14ac:dyDescent="0.2">
      <c r="A23" s="74" t="s">
        <v>68</v>
      </c>
      <c r="B23" s="74" t="s">
        <v>69</v>
      </c>
      <c r="C23" s="43" t="s">
        <v>70</v>
      </c>
      <c r="D23" s="98"/>
      <c r="E23" s="79" t="s">
        <v>71</v>
      </c>
      <c r="F23" s="88"/>
      <c r="G23" s="116" t="s">
        <v>36</v>
      </c>
      <c r="H23" s="116"/>
      <c r="I23" s="116" t="s">
        <v>72</v>
      </c>
      <c r="J23" s="116"/>
      <c r="K23" s="116"/>
      <c r="L23" s="116"/>
      <c r="M23" s="116"/>
      <c r="N23" s="116"/>
      <c r="S23" s="44" t="s">
        <v>38</v>
      </c>
      <c r="U23" s="189">
        <v>13.753072738647459</v>
      </c>
      <c r="V23" s="160">
        <f>1</f>
        <v>1</v>
      </c>
      <c r="W23" s="161">
        <f t="shared" si="0"/>
        <v>13.753072738647459</v>
      </c>
      <c r="X23" s="161">
        <f t="shared" si="1"/>
        <v>13.753072738647459</v>
      </c>
    </row>
    <row r="24" spans="1:25" x14ac:dyDescent="0.2">
      <c r="D24" s="87"/>
      <c r="F24" s="88"/>
      <c r="U24" s="189"/>
      <c r="V24" s="160">
        <f>1</f>
        <v>1</v>
      </c>
      <c r="W24" s="161" t="str">
        <f t="shared" si="0"/>
        <v/>
      </c>
      <c r="X24" s="161" t="str">
        <f t="shared" si="1"/>
        <v/>
      </c>
    </row>
    <row r="25" spans="1:25" s="75" customFormat="1" ht="16" customHeight="1" x14ac:dyDescent="0.2">
      <c r="A25" s="75" t="s">
        <v>73</v>
      </c>
      <c r="B25" s="75" t="s">
        <v>74</v>
      </c>
      <c r="C25" s="46" t="s">
        <v>75</v>
      </c>
      <c r="D25" s="98"/>
      <c r="E25" s="75" t="s">
        <v>76</v>
      </c>
      <c r="F25" s="100"/>
      <c r="G25" s="128" t="s">
        <v>36</v>
      </c>
      <c r="H25" s="128"/>
      <c r="I25" s="128"/>
      <c r="J25" s="128"/>
      <c r="K25" s="128"/>
      <c r="L25" s="128"/>
      <c r="M25" s="128"/>
      <c r="N25" s="128"/>
      <c r="S25" s="75" t="s">
        <v>46</v>
      </c>
      <c r="U25" s="189">
        <v>2.1173560619354248</v>
      </c>
      <c r="V25" s="160">
        <f>1</f>
        <v>1</v>
      </c>
      <c r="W25" s="161">
        <f t="shared" si="0"/>
        <v>2.1173560619354248</v>
      </c>
      <c r="X25" s="161" t="str">
        <f t="shared" si="1"/>
        <v/>
      </c>
    </row>
    <row r="26" spans="1:25" s="76" customFormat="1" x14ac:dyDescent="0.2">
      <c r="C26" s="77"/>
      <c r="D26" s="78"/>
      <c r="F26" s="82"/>
      <c r="G26" s="126"/>
      <c r="H26" s="126"/>
      <c r="I26" s="126"/>
      <c r="J26" s="125"/>
      <c r="K26" s="126"/>
      <c r="L26" s="126"/>
      <c r="M26" s="117"/>
      <c r="N26" s="117"/>
      <c r="U26" s="189"/>
      <c r="V26" s="160">
        <f>1</f>
        <v>1</v>
      </c>
      <c r="W26" s="161" t="str">
        <f t="shared" si="0"/>
        <v/>
      </c>
      <c r="X26" s="161" t="str">
        <f t="shared" si="1"/>
        <v/>
      </c>
      <c r="Y26" s="75"/>
    </row>
    <row r="27" spans="1:25" s="95" customFormat="1" ht="16" customHeight="1" x14ac:dyDescent="0.2">
      <c r="A27" s="155" t="s">
        <v>61</v>
      </c>
      <c r="B27" s="155" t="s">
        <v>77</v>
      </c>
      <c r="C27" s="156" t="s">
        <v>78</v>
      </c>
      <c r="D27" s="158"/>
      <c r="E27" s="157"/>
      <c r="F27" s="159"/>
      <c r="G27" s="154" t="s">
        <v>36</v>
      </c>
      <c r="H27" s="154" t="s">
        <v>79</v>
      </c>
      <c r="I27" s="126" t="s">
        <v>80</v>
      </c>
      <c r="J27" s="154" t="s">
        <v>81</v>
      </c>
      <c r="K27" s="154"/>
      <c r="L27" s="154"/>
      <c r="M27" s="154"/>
      <c r="N27" s="125"/>
      <c r="S27" s="157" t="s">
        <v>82</v>
      </c>
      <c r="U27" s="189">
        <v>10</v>
      </c>
      <c r="V27" s="160">
        <f>1</f>
        <v>1</v>
      </c>
      <c r="W27" s="161">
        <f t="shared" si="0"/>
        <v>10</v>
      </c>
      <c r="X27" s="161" t="str">
        <f t="shared" si="1"/>
        <v/>
      </c>
    </row>
    <row r="28" spans="1:25" s="95" customFormat="1" ht="32" customHeight="1" x14ac:dyDescent="0.2">
      <c r="A28" s="155" t="s">
        <v>83</v>
      </c>
      <c r="B28" s="155" t="s">
        <v>84</v>
      </c>
      <c r="C28" s="156" t="s">
        <v>85</v>
      </c>
      <c r="D28" s="158"/>
      <c r="E28" s="157"/>
      <c r="F28" s="159"/>
      <c r="G28" s="154" t="s">
        <v>36</v>
      </c>
      <c r="H28" s="154"/>
      <c r="I28" s="125"/>
      <c r="J28" s="154"/>
      <c r="K28" s="154"/>
      <c r="L28" s="154"/>
      <c r="M28" s="154"/>
      <c r="N28" s="125"/>
      <c r="S28" s="157" t="s">
        <v>82</v>
      </c>
      <c r="U28" s="189">
        <v>10</v>
      </c>
      <c r="V28" s="160">
        <f>1</f>
        <v>1</v>
      </c>
      <c r="W28" s="161">
        <f t="shared" si="0"/>
        <v>10</v>
      </c>
      <c r="X28" s="161" t="str">
        <f t="shared" si="1"/>
        <v/>
      </c>
    </row>
    <row r="29" spans="1:25" s="95" customFormat="1" ht="16" customHeight="1" x14ac:dyDescent="0.2">
      <c r="A29" s="155" t="s">
        <v>61</v>
      </c>
      <c r="B29" s="155" t="s">
        <v>86</v>
      </c>
      <c r="C29" s="156" t="s">
        <v>87</v>
      </c>
      <c r="D29" s="158"/>
      <c r="E29" s="157"/>
      <c r="F29" s="159"/>
      <c r="G29" s="154" t="s">
        <v>36</v>
      </c>
      <c r="H29" s="154" t="s">
        <v>79</v>
      </c>
      <c r="I29" s="126" t="s">
        <v>80</v>
      </c>
      <c r="J29" s="154" t="s">
        <v>81</v>
      </c>
      <c r="K29" s="154" t="s">
        <v>88</v>
      </c>
      <c r="L29" s="154"/>
      <c r="M29" s="154"/>
      <c r="N29" s="125"/>
      <c r="S29" s="157" t="s">
        <v>82</v>
      </c>
      <c r="U29" s="189">
        <v>10</v>
      </c>
      <c r="V29" s="160">
        <f>1</f>
        <v>1</v>
      </c>
      <c r="W29" s="161">
        <f t="shared" si="0"/>
        <v>10</v>
      </c>
      <c r="X29" s="161" t="str">
        <f t="shared" si="1"/>
        <v/>
      </c>
    </row>
    <row r="30" spans="1:25" s="95" customFormat="1" ht="16" customHeight="1" x14ac:dyDescent="0.2">
      <c r="A30" s="155" t="s">
        <v>61</v>
      </c>
      <c r="B30" s="155" t="s">
        <v>89</v>
      </c>
      <c r="C30" s="156" t="s">
        <v>90</v>
      </c>
      <c r="D30" s="158"/>
      <c r="E30" s="157"/>
      <c r="F30" s="159"/>
      <c r="G30" s="154" t="s">
        <v>36</v>
      </c>
      <c r="H30" s="154"/>
      <c r="I30" s="125"/>
      <c r="J30" s="154"/>
      <c r="K30" s="154" t="s">
        <v>91</v>
      </c>
      <c r="L30" s="154"/>
      <c r="M30" s="154"/>
      <c r="N30" s="125"/>
      <c r="S30" s="157" t="s">
        <v>82</v>
      </c>
      <c r="U30" s="189">
        <v>10</v>
      </c>
      <c r="V30" s="160">
        <f>1</f>
        <v>1</v>
      </c>
      <c r="W30" s="161">
        <f t="shared" si="0"/>
        <v>10</v>
      </c>
      <c r="X30" s="161" t="str">
        <f t="shared" si="1"/>
        <v/>
      </c>
    </row>
    <row r="31" spans="1:25" s="95" customFormat="1" ht="32" customHeight="1" x14ac:dyDescent="0.2">
      <c r="A31" s="155" t="s">
        <v>83</v>
      </c>
      <c r="B31" s="155" t="s">
        <v>92</v>
      </c>
      <c r="C31" s="156" t="s">
        <v>85</v>
      </c>
      <c r="D31" s="158"/>
      <c r="E31" s="157"/>
      <c r="F31" s="159"/>
      <c r="G31" s="154" t="s">
        <v>36</v>
      </c>
      <c r="H31" s="154"/>
      <c r="I31" s="125"/>
      <c r="J31" s="154"/>
      <c r="K31" s="154" t="s">
        <v>93</v>
      </c>
      <c r="L31" s="154"/>
      <c r="M31" s="154"/>
      <c r="N31" s="125"/>
      <c r="S31" s="157" t="s">
        <v>82</v>
      </c>
      <c r="U31" s="189">
        <v>10</v>
      </c>
      <c r="V31" s="160">
        <f>1</f>
        <v>1</v>
      </c>
      <c r="W31" s="161">
        <f t="shared" si="0"/>
        <v>10</v>
      </c>
      <c r="X31" s="161" t="str">
        <f t="shared" si="1"/>
        <v/>
      </c>
    </row>
    <row r="32" spans="1:25" s="95" customFormat="1" ht="16" customHeight="1" x14ac:dyDescent="0.2">
      <c r="A32" s="155" t="s">
        <v>61</v>
      </c>
      <c r="B32" s="155" t="s">
        <v>94</v>
      </c>
      <c r="C32" s="156" t="s">
        <v>87</v>
      </c>
      <c r="D32" s="158"/>
      <c r="E32" s="157"/>
      <c r="F32" s="159"/>
      <c r="G32" s="154" t="s">
        <v>36</v>
      </c>
      <c r="H32" s="154" t="s">
        <v>79</v>
      </c>
      <c r="I32" s="126" t="s">
        <v>80</v>
      </c>
      <c r="J32" s="154" t="s">
        <v>81</v>
      </c>
      <c r="K32" s="154" t="s">
        <v>95</v>
      </c>
      <c r="L32" s="154"/>
      <c r="M32" s="154"/>
      <c r="N32" s="125"/>
      <c r="S32" s="157" t="s">
        <v>82</v>
      </c>
      <c r="U32" s="189">
        <v>10</v>
      </c>
      <c r="V32" s="160">
        <f>1</f>
        <v>1</v>
      </c>
      <c r="W32" s="161">
        <f t="shared" si="0"/>
        <v>10</v>
      </c>
      <c r="X32" s="161" t="str">
        <f t="shared" si="1"/>
        <v/>
      </c>
    </row>
    <row r="33" spans="1:25" s="95" customFormat="1" ht="16" customHeight="1" x14ac:dyDescent="0.2">
      <c r="A33" s="155" t="s">
        <v>61</v>
      </c>
      <c r="B33" s="155" t="s">
        <v>96</v>
      </c>
      <c r="C33" s="156" t="s">
        <v>90</v>
      </c>
      <c r="D33" s="158"/>
      <c r="E33" s="157"/>
      <c r="F33" s="159"/>
      <c r="G33" s="154" t="s">
        <v>36</v>
      </c>
      <c r="H33" s="154"/>
      <c r="I33" s="125"/>
      <c r="J33" s="154"/>
      <c r="K33" s="154" t="s">
        <v>97</v>
      </c>
      <c r="L33" s="154"/>
      <c r="M33" s="154"/>
      <c r="N33" s="125"/>
      <c r="S33" s="157" t="s">
        <v>82</v>
      </c>
      <c r="U33" s="189">
        <v>10</v>
      </c>
      <c r="V33" s="160">
        <f>1</f>
        <v>1</v>
      </c>
      <c r="W33" s="161">
        <f t="shared" si="0"/>
        <v>10</v>
      </c>
      <c r="X33" s="161" t="str">
        <f t="shared" si="1"/>
        <v/>
      </c>
    </row>
    <row r="34" spans="1:25" s="76" customFormat="1" x14ac:dyDescent="0.2">
      <c r="C34" s="77"/>
      <c r="D34" s="78"/>
      <c r="F34" s="82"/>
      <c r="G34" s="117"/>
      <c r="H34" s="117"/>
      <c r="I34" s="117"/>
      <c r="J34" s="124"/>
      <c r="K34" s="117"/>
      <c r="L34" s="117"/>
      <c r="M34" s="117"/>
      <c r="N34" s="117"/>
      <c r="U34" s="189"/>
      <c r="V34" s="160">
        <f>1</f>
        <v>1</v>
      </c>
      <c r="W34" s="161" t="str">
        <f t="shared" si="0"/>
        <v/>
      </c>
      <c r="X34" s="161" t="str">
        <f t="shared" si="1"/>
        <v/>
      </c>
      <c r="Y34" s="75"/>
    </row>
    <row r="35" spans="1:25" ht="16" customHeight="1" x14ac:dyDescent="0.2">
      <c r="A35" s="74" t="s">
        <v>98</v>
      </c>
      <c r="B35" s="74" t="s">
        <v>99</v>
      </c>
      <c r="C35" s="43" t="s">
        <v>100</v>
      </c>
      <c r="D35" s="87"/>
      <c r="E35" s="74" t="s">
        <v>101</v>
      </c>
      <c r="F35" s="88"/>
      <c r="G35" s="116" t="s">
        <v>36</v>
      </c>
      <c r="H35" s="116" t="s">
        <v>102</v>
      </c>
      <c r="I35" s="116"/>
      <c r="J35" s="125"/>
      <c r="K35" s="116"/>
      <c r="L35" s="116"/>
      <c r="M35" s="116"/>
      <c r="N35" s="116"/>
      <c r="S35" s="44" t="s">
        <v>38</v>
      </c>
      <c r="U35" s="189">
        <v>8.8000000000000007</v>
      </c>
      <c r="V35" s="160">
        <f>1</f>
        <v>1</v>
      </c>
      <c r="W35" s="161">
        <f t="shared" si="0"/>
        <v>8.8000000000000007</v>
      </c>
      <c r="X35" s="161">
        <f t="shared" si="1"/>
        <v>8.8000000000000007</v>
      </c>
    </row>
    <row r="36" spans="1:25" x14ac:dyDescent="0.2">
      <c r="A36" s="74" t="s">
        <v>24</v>
      </c>
      <c r="B36" s="74" t="s">
        <v>103</v>
      </c>
      <c r="C36" s="43"/>
      <c r="D36" s="87"/>
      <c r="E36" s="74"/>
      <c r="F36" s="88"/>
      <c r="G36" s="116"/>
      <c r="H36" s="116"/>
      <c r="I36" s="116"/>
      <c r="J36" s="116"/>
      <c r="K36" s="116"/>
      <c r="L36" s="116"/>
      <c r="M36" s="116"/>
      <c r="N36" s="116" t="s">
        <v>104</v>
      </c>
      <c r="S36" s="44" t="s">
        <v>38</v>
      </c>
      <c r="U36" s="189"/>
      <c r="V36" s="160">
        <f>1</f>
        <v>1</v>
      </c>
      <c r="W36" s="161" t="str">
        <f t="shared" si="0"/>
        <v/>
      </c>
      <c r="X36" s="161" t="str">
        <f t="shared" si="1"/>
        <v/>
      </c>
    </row>
    <row r="37" spans="1:25" ht="16" customHeight="1" x14ac:dyDescent="0.2">
      <c r="A37" s="74" t="s">
        <v>105</v>
      </c>
      <c r="B37" s="74" t="s">
        <v>106</v>
      </c>
      <c r="C37" s="43" t="s">
        <v>107</v>
      </c>
      <c r="D37" s="87"/>
      <c r="E37" s="74"/>
      <c r="F37" s="88"/>
      <c r="G37" s="116" t="s">
        <v>36</v>
      </c>
      <c r="H37" s="116" t="s">
        <v>102</v>
      </c>
      <c r="I37" s="116"/>
      <c r="J37" s="116"/>
      <c r="K37" s="116"/>
      <c r="L37" s="116" t="s">
        <v>108</v>
      </c>
      <c r="M37" s="116"/>
      <c r="N37" s="116"/>
      <c r="S37" s="44" t="s">
        <v>38</v>
      </c>
      <c r="U37" s="189">
        <v>10.4</v>
      </c>
      <c r="V37" s="160">
        <f>1</f>
        <v>1</v>
      </c>
      <c r="W37" s="161">
        <f t="shared" si="0"/>
        <v>10.4</v>
      </c>
      <c r="X37" s="161">
        <f t="shared" si="1"/>
        <v>10.4</v>
      </c>
    </row>
    <row r="38" spans="1:25" x14ac:dyDescent="0.2">
      <c r="A38" s="74" t="s">
        <v>24</v>
      </c>
      <c r="B38" s="74" t="s">
        <v>109</v>
      </c>
      <c r="C38" s="43"/>
      <c r="D38" s="87"/>
      <c r="E38" s="74"/>
      <c r="F38" s="88"/>
      <c r="G38" s="116"/>
      <c r="H38" s="116"/>
      <c r="I38" s="116"/>
      <c r="J38" s="116"/>
      <c r="K38" s="116"/>
      <c r="L38" s="116"/>
      <c r="M38" s="116"/>
      <c r="N38" s="116" t="s">
        <v>110</v>
      </c>
      <c r="S38" s="44" t="s">
        <v>38</v>
      </c>
      <c r="U38" s="189"/>
      <c r="V38" s="160">
        <f>1</f>
        <v>1</v>
      </c>
      <c r="W38" s="161" t="str">
        <f t="shared" si="0"/>
        <v/>
      </c>
      <c r="X38" s="161" t="str">
        <f t="shared" si="1"/>
        <v/>
      </c>
    </row>
    <row r="39" spans="1:25" x14ac:dyDescent="0.2">
      <c r="D39" s="87"/>
      <c r="F39" s="88"/>
      <c r="U39" s="189"/>
      <c r="V39" s="160">
        <f>1</f>
        <v>1</v>
      </c>
      <c r="W39" s="161" t="str">
        <f t="shared" si="0"/>
        <v/>
      </c>
      <c r="X39" s="161" t="str">
        <f t="shared" si="1"/>
        <v/>
      </c>
    </row>
    <row r="40" spans="1:25" s="45" customFormat="1" ht="48" customHeight="1" x14ac:dyDescent="0.2">
      <c r="A40" s="43" t="s">
        <v>111</v>
      </c>
      <c r="B40" s="43" t="s">
        <v>112</v>
      </c>
      <c r="C40" s="43" t="s">
        <v>113</v>
      </c>
      <c r="D40" s="87"/>
      <c r="E40" s="105" t="s">
        <v>114</v>
      </c>
      <c r="F40" s="87"/>
      <c r="G40" s="42" t="s">
        <v>36</v>
      </c>
      <c r="H40" s="42"/>
      <c r="I40" s="42"/>
      <c r="J40" s="42"/>
      <c r="K40" s="42"/>
      <c r="L40" s="42"/>
      <c r="M40" s="42"/>
      <c r="N40" s="42"/>
      <c r="S40" s="45" t="s">
        <v>38</v>
      </c>
      <c r="U40" s="192">
        <v>31.372377395629879</v>
      </c>
      <c r="V40" s="160">
        <f>1</f>
        <v>1</v>
      </c>
      <c r="W40" s="162">
        <f t="shared" si="0"/>
        <v>31.372377395629879</v>
      </c>
      <c r="X40" s="162">
        <f t="shared" si="1"/>
        <v>31.372377395629879</v>
      </c>
      <c r="Y40" s="46"/>
    </row>
    <row r="41" spans="1:25" x14ac:dyDescent="0.2">
      <c r="D41" s="87"/>
      <c r="F41" s="88"/>
      <c r="U41" s="189"/>
      <c r="V41" s="160">
        <f>1</f>
        <v>1</v>
      </c>
      <c r="W41" s="161" t="str">
        <f t="shared" si="0"/>
        <v/>
      </c>
      <c r="X41" s="161" t="str">
        <f t="shared" si="1"/>
        <v/>
      </c>
    </row>
    <row r="42" spans="1:25" s="75" customFormat="1" ht="16" customHeight="1" thickBot="1" x14ac:dyDescent="0.25">
      <c r="A42" s="96" t="s">
        <v>115</v>
      </c>
      <c r="B42" s="96"/>
      <c r="C42" s="97"/>
      <c r="D42" s="91"/>
      <c r="E42" s="96"/>
      <c r="F42" s="92"/>
      <c r="G42" s="127"/>
      <c r="H42" s="127"/>
      <c r="I42" s="127"/>
      <c r="J42" s="127"/>
      <c r="K42" s="127"/>
      <c r="L42" s="127"/>
      <c r="M42" s="127"/>
      <c r="N42" s="127"/>
      <c r="U42" s="189"/>
      <c r="V42" s="160"/>
      <c r="W42" s="161" t="str">
        <f t="shared" si="0"/>
        <v/>
      </c>
      <c r="X42" s="161" t="str">
        <f t="shared" si="1"/>
        <v/>
      </c>
    </row>
    <row r="43" spans="1:25" s="72" customFormat="1" ht="17" customHeight="1" thickTop="1" x14ac:dyDescent="0.2">
      <c r="A43" s="69" t="s">
        <v>58</v>
      </c>
      <c r="B43" s="69" t="s">
        <v>116</v>
      </c>
      <c r="C43" s="93" t="s">
        <v>117</v>
      </c>
      <c r="D43" s="70"/>
      <c r="E43" s="69"/>
      <c r="F43" s="71"/>
      <c r="G43" s="121" t="s">
        <v>45</v>
      </c>
      <c r="H43" s="121"/>
      <c r="I43" s="121"/>
      <c r="J43" s="121"/>
      <c r="K43" s="121" t="s">
        <v>118</v>
      </c>
      <c r="L43" s="121"/>
      <c r="M43" s="121"/>
      <c r="N43" s="121"/>
      <c r="S43" s="44" t="s">
        <v>38</v>
      </c>
      <c r="U43" s="189"/>
      <c r="V43" s="160"/>
      <c r="W43" s="161" t="str">
        <f t="shared" si="0"/>
        <v/>
      </c>
      <c r="X43" s="161" t="str">
        <f t="shared" si="1"/>
        <v/>
      </c>
      <c r="Y43" s="73"/>
    </row>
    <row r="44" spans="1:25" x14ac:dyDescent="0.2">
      <c r="D44" s="87"/>
      <c r="F44" s="88"/>
      <c r="U44" s="189"/>
      <c r="V44" s="160">
        <f>1</f>
        <v>1</v>
      </c>
      <c r="W44" s="161" t="str">
        <f t="shared" si="0"/>
        <v/>
      </c>
      <c r="X44" s="161" t="str">
        <f t="shared" si="1"/>
        <v/>
      </c>
    </row>
    <row r="45" spans="1:25" ht="16" customHeight="1" x14ac:dyDescent="0.2">
      <c r="A45" s="74" t="s">
        <v>119</v>
      </c>
      <c r="B45" s="74" t="s">
        <v>120</v>
      </c>
      <c r="C45" s="43" t="s">
        <v>121</v>
      </c>
      <c r="D45" s="215"/>
      <c r="E45" s="74"/>
      <c r="F45" s="216"/>
      <c r="G45" s="116" t="s">
        <v>36</v>
      </c>
      <c r="H45" s="116"/>
      <c r="I45" s="116"/>
      <c r="J45" s="116"/>
      <c r="K45" s="116"/>
      <c r="L45" s="116"/>
      <c r="M45" s="116"/>
      <c r="N45" s="116"/>
      <c r="S45" s="44" t="s">
        <v>38</v>
      </c>
      <c r="U45" s="217"/>
      <c r="V45" s="218"/>
      <c r="W45" s="219"/>
      <c r="X45" s="161"/>
    </row>
    <row r="46" spans="1:25" ht="16" customHeight="1" x14ac:dyDescent="0.2">
      <c r="A46" s="74" t="s">
        <v>73</v>
      </c>
      <c r="B46" s="74" t="s">
        <v>122</v>
      </c>
      <c r="C46" s="43" t="s">
        <v>123</v>
      </c>
      <c r="D46" s="87"/>
      <c r="E46" s="74"/>
      <c r="F46" s="88"/>
      <c r="G46" s="116" t="s">
        <v>36</v>
      </c>
      <c r="H46" s="116"/>
      <c r="I46" s="116"/>
      <c r="J46" s="116"/>
      <c r="K46" s="116" t="s">
        <v>124</v>
      </c>
      <c r="L46" s="116"/>
      <c r="M46" s="116"/>
      <c r="N46" s="116"/>
      <c r="S46" s="44" t="s">
        <v>38</v>
      </c>
      <c r="U46" s="189">
        <v>10.08573150634766</v>
      </c>
      <c r="V46" s="160">
        <f>1</f>
        <v>1</v>
      </c>
      <c r="W46" s="161">
        <f t="shared" ref="W46:W71" si="2">IF(U46&lt;&gt;"",U46*V46,"")</f>
        <v>10.08573150634766</v>
      </c>
      <c r="X46" s="161">
        <f t="shared" ref="X46:X71" si="3">IF(AND(U46&lt;&gt;"",S46="yes"),U46*V46,"")</f>
        <v>10.08573150634766</v>
      </c>
    </row>
    <row r="47" spans="1:25" x14ac:dyDescent="0.2">
      <c r="D47" s="87"/>
      <c r="F47" s="88"/>
      <c r="U47" s="189"/>
      <c r="V47" s="160">
        <f>1</f>
        <v>1</v>
      </c>
      <c r="W47" s="161" t="str">
        <f t="shared" si="2"/>
        <v/>
      </c>
      <c r="X47" s="161" t="str">
        <f t="shared" si="3"/>
        <v/>
      </c>
    </row>
    <row r="48" spans="1:25" ht="16" customHeight="1" x14ac:dyDescent="0.2">
      <c r="A48" s="74" t="s">
        <v>125</v>
      </c>
      <c r="B48" s="74" t="s">
        <v>126</v>
      </c>
      <c r="C48" s="43" t="s">
        <v>127</v>
      </c>
      <c r="D48" s="87"/>
      <c r="E48" s="74"/>
      <c r="F48" s="88"/>
      <c r="G48" s="116" t="s">
        <v>36</v>
      </c>
      <c r="H48" s="116"/>
      <c r="I48" s="116"/>
      <c r="J48" s="116"/>
      <c r="K48" s="116"/>
      <c r="L48" s="116"/>
      <c r="M48" s="116"/>
      <c r="N48" s="116"/>
      <c r="S48" s="44" t="s">
        <v>38</v>
      </c>
      <c r="U48" s="189">
        <v>12.894034385681151</v>
      </c>
      <c r="V48" s="160">
        <f>1</f>
        <v>1</v>
      </c>
      <c r="W48" s="161">
        <f t="shared" si="2"/>
        <v>12.894034385681151</v>
      </c>
      <c r="X48" s="161">
        <f t="shared" si="3"/>
        <v>12.894034385681151</v>
      </c>
    </row>
    <row r="49" spans="1:25" x14ac:dyDescent="0.2">
      <c r="D49" s="87"/>
      <c r="F49" s="88"/>
      <c r="U49" s="189"/>
      <c r="V49" s="160">
        <f>1</f>
        <v>1</v>
      </c>
      <c r="W49" s="161" t="str">
        <f t="shared" si="2"/>
        <v/>
      </c>
      <c r="X49" s="161" t="str">
        <f t="shared" si="3"/>
        <v/>
      </c>
    </row>
    <row r="50" spans="1:25" s="75" customFormat="1" ht="16" customHeight="1" x14ac:dyDescent="0.2">
      <c r="A50" s="75" t="s">
        <v>128</v>
      </c>
      <c r="B50" s="75" t="s">
        <v>129</v>
      </c>
      <c r="C50" s="46" t="s">
        <v>130</v>
      </c>
      <c r="D50" s="98"/>
      <c r="E50" s="99"/>
      <c r="F50" s="100"/>
      <c r="G50" s="123" t="s">
        <v>36</v>
      </c>
      <c r="H50" s="128"/>
      <c r="I50" s="128"/>
      <c r="J50" s="128"/>
      <c r="K50" s="128"/>
      <c r="L50" s="128"/>
      <c r="M50" s="128"/>
      <c r="N50" s="128"/>
      <c r="S50" s="75" t="s">
        <v>38</v>
      </c>
      <c r="U50" s="189">
        <v>15.265829086303709</v>
      </c>
      <c r="V50" s="160">
        <f>1</f>
        <v>1</v>
      </c>
      <c r="W50" s="161">
        <f t="shared" si="2"/>
        <v>15.265829086303709</v>
      </c>
      <c r="X50" s="161">
        <f t="shared" si="3"/>
        <v>15.265829086303709</v>
      </c>
    </row>
    <row r="51" spans="1:25" s="75" customFormat="1" ht="16" customHeight="1" x14ac:dyDescent="0.2">
      <c r="A51" s="75" t="s">
        <v>131</v>
      </c>
      <c r="B51" s="75" t="s">
        <v>132</v>
      </c>
      <c r="C51" s="46" t="s">
        <v>133</v>
      </c>
      <c r="D51" s="98"/>
      <c r="E51" s="99"/>
      <c r="F51" s="100"/>
      <c r="G51" s="123" t="s">
        <v>36</v>
      </c>
      <c r="H51" s="128"/>
      <c r="I51" s="128"/>
      <c r="J51" s="128"/>
      <c r="K51" s="128"/>
      <c r="L51" s="128"/>
      <c r="M51" s="128"/>
      <c r="N51" s="128"/>
      <c r="S51" s="75" t="s">
        <v>38</v>
      </c>
      <c r="U51" s="189">
        <v>15.12371826171875</v>
      </c>
      <c r="V51" s="160">
        <f>1</f>
        <v>1</v>
      </c>
      <c r="W51" s="161">
        <f t="shared" si="2"/>
        <v>15.12371826171875</v>
      </c>
      <c r="X51" s="161">
        <f t="shared" si="3"/>
        <v>15.12371826171875</v>
      </c>
    </row>
    <row r="52" spans="1:25" s="75" customFormat="1" ht="16" customHeight="1" x14ac:dyDescent="0.2">
      <c r="A52" s="75" t="s">
        <v>134</v>
      </c>
      <c r="B52" s="75" t="s">
        <v>135</v>
      </c>
      <c r="C52" s="46" t="s">
        <v>136</v>
      </c>
      <c r="D52" s="98"/>
      <c r="E52" s="99"/>
      <c r="F52" s="100"/>
      <c r="G52" s="123" t="s">
        <v>36</v>
      </c>
      <c r="H52" s="128"/>
      <c r="I52" s="128"/>
      <c r="J52" s="128"/>
      <c r="K52" s="128"/>
      <c r="L52" s="128"/>
      <c r="M52" s="128"/>
      <c r="N52" s="128"/>
      <c r="S52" s="75" t="s">
        <v>38</v>
      </c>
      <c r="U52" s="189">
        <v>13.76013851165771</v>
      </c>
      <c r="V52" s="160">
        <f>1</f>
        <v>1</v>
      </c>
      <c r="W52" s="161">
        <f t="shared" si="2"/>
        <v>13.76013851165771</v>
      </c>
      <c r="X52" s="161">
        <f t="shared" si="3"/>
        <v>13.76013851165771</v>
      </c>
    </row>
    <row r="53" spans="1:25" s="75" customFormat="1" x14ac:dyDescent="0.2">
      <c r="C53" s="46"/>
      <c r="D53" s="98"/>
      <c r="E53" s="99"/>
      <c r="F53" s="100"/>
      <c r="G53" s="128"/>
      <c r="H53" s="128"/>
      <c r="I53" s="128"/>
      <c r="J53" s="128"/>
      <c r="K53" s="128"/>
      <c r="L53" s="128"/>
      <c r="M53" s="128"/>
      <c r="N53" s="128"/>
      <c r="U53" s="189"/>
      <c r="V53" s="160">
        <f>1</f>
        <v>1</v>
      </c>
      <c r="W53" s="161" t="str">
        <f t="shared" si="2"/>
        <v/>
      </c>
      <c r="X53" s="161" t="str">
        <f t="shared" si="3"/>
        <v/>
      </c>
    </row>
    <row r="54" spans="1:25" s="226" customFormat="1" ht="16" customHeight="1" x14ac:dyDescent="0.2">
      <c r="A54" s="226" t="s">
        <v>137</v>
      </c>
      <c r="B54" s="226" t="s">
        <v>138</v>
      </c>
      <c r="C54" s="227" t="s">
        <v>139</v>
      </c>
      <c r="D54" s="227"/>
      <c r="E54" s="226" t="s">
        <v>140</v>
      </c>
      <c r="G54" s="228" t="s">
        <v>36</v>
      </c>
      <c r="H54" s="228"/>
      <c r="I54" s="228"/>
      <c r="J54" s="228"/>
      <c r="K54" s="228"/>
      <c r="L54" s="228"/>
      <c r="M54" s="228"/>
      <c r="N54" s="228"/>
      <c r="S54" s="226" t="s">
        <v>46</v>
      </c>
      <c r="U54" s="229">
        <v>30.646188735961911</v>
      </c>
      <c r="V54" s="230">
        <f>1</f>
        <v>1</v>
      </c>
      <c r="W54" s="231">
        <f t="shared" si="2"/>
        <v>30.646188735961911</v>
      </c>
      <c r="X54" s="231" t="str">
        <f t="shared" si="3"/>
        <v/>
      </c>
      <c r="Y54" s="232"/>
    </row>
    <row r="55" spans="1:25" s="75" customFormat="1" ht="16" customHeight="1" x14ac:dyDescent="0.2">
      <c r="A55" s="75" t="s">
        <v>68</v>
      </c>
      <c r="B55" s="75" t="s">
        <v>141</v>
      </c>
      <c r="C55" s="46" t="s">
        <v>142</v>
      </c>
      <c r="D55" s="98"/>
      <c r="E55" s="75" t="s">
        <v>143</v>
      </c>
      <c r="F55" s="100"/>
      <c r="G55" s="128" t="s">
        <v>36</v>
      </c>
      <c r="H55" s="128"/>
      <c r="I55" s="128" t="s">
        <v>144</v>
      </c>
      <c r="J55" s="128"/>
      <c r="K55" s="128"/>
      <c r="L55" s="128"/>
      <c r="M55" s="128"/>
      <c r="N55" s="128"/>
      <c r="S55" s="75" t="s">
        <v>46</v>
      </c>
      <c r="U55" s="189">
        <v>15.21184825897217</v>
      </c>
      <c r="V55" s="160">
        <f>1</f>
        <v>1</v>
      </c>
      <c r="W55" s="161">
        <f t="shared" si="2"/>
        <v>15.21184825897217</v>
      </c>
      <c r="X55" s="161" t="str">
        <f t="shared" si="3"/>
        <v/>
      </c>
    </row>
    <row r="56" spans="1:25" s="75" customFormat="1" ht="16" customHeight="1" x14ac:dyDescent="0.2">
      <c r="A56" s="75" t="s">
        <v>145</v>
      </c>
      <c r="B56" s="75" t="s">
        <v>146</v>
      </c>
      <c r="C56" s="46" t="s">
        <v>147</v>
      </c>
      <c r="D56" s="98"/>
      <c r="E56" s="75" t="s">
        <v>148</v>
      </c>
      <c r="F56" s="100"/>
      <c r="G56" s="128" t="s">
        <v>36</v>
      </c>
      <c r="H56" s="128"/>
      <c r="I56" s="128" t="s">
        <v>149</v>
      </c>
      <c r="J56" s="128"/>
      <c r="K56" s="128"/>
      <c r="L56" s="128"/>
      <c r="M56" s="128"/>
      <c r="N56" s="128"/>
      <c r="S56" s="75" t="s">
        <v>46</v>
      </c>
      <c r="U56" s="189">
        <v>17</v>
      </c>
      <c r="V56" s="160">
        <f>1</f>
        <v>1</v>
      </c>
      <c r="W56" s="161">
        <f t="shared" si="2"/>
        <v>17</v>
      </c>
      <c r="X56" s="161" t="str">
        <f t="shared" si="3"/>
        <v/>
      </c>
    </row>
    <row r="57" spans="1:25" s="75" customFormat="1" ht="16" customHeight="1" x14ac:dyDescent="0.2">
      <c r="A57" s="75" t="s">
        <v>150</v>
      </c>
      <c r="B57" s="75" t="s">
        <v>151</v>
      </c>
      <c r="C57" s="46" t="s">
        <v>152</v>
      </c>
      <c r="D57" s="98"/>
      <c r="E57" s="75" t="s">
        <v>148</v>
      </c>
      <c r="F57" s="100"/>
      <c r="G57" s="128" t="s">
        <v>36</v>
      </c>
      <c r="H57" s="128"/>
      <c r="I57" s="128" t="s">
        <v>149</v>
      </c>
      <c r="J57" s="128"/>
      <c r="K57" s="128"/>
      <c r="L57" s="128"/>
      <c r="M57" s="128"/>
      <c r="N57" s="128"/>
      <c r="S57" s="75" t="s">
        <v>46</v>
      </c>
      <c r="U57" s="189">
        <v>17</v>
      </c>
      <c r="V57" s="160">
        <f>1</f>
        <v>1</v>
      </c>
      <c r="W57" s="161">
        <f t="shared" si="2"/>
        <v>17</v>
      </c>
      <c r="X57" s="161" t="str">
        <f t="shared" si="3"/>
        <v/>
      </c>
    </row>
    <row r="58" spans="1:25" s="75" customFormat="1" ht="16" customHeight="1" x14ac:dyDescent="0.2">
      <c r="A58" s="75" t="s">
        <v>153</v>
      </c>
      <c r="B58" s="75" t="s">
        <v>154</v>
      </c>
      <c r="C58" s="46" t="s">
        <v>155</v>
      </c>
      <c r="D58" s="98"/>
      <c r="F58" s="100"/>
      <c r="G58" s="128" t="s">
        <v>36</v>
      </c>
      <c r="H58" s="128"/>
      <c r="I58" s="128"/>
      <c r="J58" s="128"/>
      <c r="K58" s="128"/>
      <c r="L58" s="128"/>
      <c r="M58" s="128"/>
      <c r="N58" s="128"/>
      <c r="S58" s="75" t="s">
        <v>46</v>
      </c>
      <c r="U58" s="189">
        <v>17</v>
      </c>
      <c r="V58" s="160">
        <f>1</f>
        <v>1</v>
      </c>
      <c r="W58" s="161">
        <f t="shared" si="2"/>
        <v>17</v>
      </c>
      <c r="X58" s="161" t="str">
        <f t="shared" si="3"/>
        <v/>
      </c>
    </row>
    <row r="59" spans="1:25" s="75" customFormat="1" ht="16" customHeight="1" x14ac:dyDescent="0.2">
      <c r="A59" s="75" t="s">
        <v>156</v>
      </c>
      <c r="B59" s="75" t="s">
        <v>157</v>
      </c>
      <c r="C59" s="46" t="s">
        <v>158</v>
      </c>
      <c r="D59" s="98"/>
      <c r="F59" s="100"/>
      <c r="G59" s="128" t="s">
        <v>36</v>
      </c>
      <c r="H59" s="128"/>
      <c r="I59" s="128"/>
      <c r="J59" s="128"/>
      <c r="K59" s="128"/>
      <c r="L59" s="128"/>
      <c r="M59" s="128"/>
      <c r="N59" s="128"/>
      <c r="S59" s="75" t="s">
        <v>46</v>
      </c>
      <c r="U59" s="189">
        <v>8.2288064956665039</v>
      </c>
      <c r="V59" s="160">
        <f>1</f>
        <v>1</v>
      </c>
      <c r="W59" s="161">
        <f t="shared" si="2"/>
        <v>8.2288064956665039</v>
      </c>
      <c r="X59" s="161" t="str">
        <f t="shared" si="3"/>
        <v/>
      </c>
    </row>
    <row r="60" spans="1:25" s="76" customFormat="1" x14ac:dyDescent="0.2">
      <c r="C60" s="77"/>
      <c r="D60" s="78"/>
      <c r="F60" s="82"/>
      <c r="G60" s="117"/>
      <c r="H60" s="117"/>
      <c r="I60" s="117"/>
      <c r="J60" s="117"/>
      <c r="K60" s="117"/>
      <c r="L60" s="117"/>
      <c r="M60" s="117"/>
      <c r="N60" s="117"/>
      <c r="U60" s="189"/>
      <c r="V60" s="160">
        <f>1</f>
        <v>1</v>
      </c>
      <c r="W60" s="161" t="str">
        <f t="shared" si="2"/>
        <v/>
      </c>
      <c r="X60" s="161" t="str">
        <f t="shared" si="3"/>
        <v/>
      </c>
      <c r="Y60" s="75"/>
    </row>
    <row r="61" spans="1:25" ht="16" customHeight="1" thickBot="1" x14ac:dyDescent="0.25">
      <c r="A61" s="101" t="s">
        <v>115</v>
      </c>
      <c r="B61" s="101"/>
      <c r="C61" s="102"/>
      <c r="D61" s="108"/>
      <c r="E61" s="101"/>
      <c r="F61" s="109"/>
      <c r="G61" s="129"/>
      <c r="H61" s="129"/>
      <c r="I61" s="129"/>
      <c r="J61" s="129"/>
      <c r="K61" s="129"/>
      <c r="L61" s="129"/>
      <c r="M61" s="129"/>
      <c r="N61" s="129"/>
      <c r="U61" s="189"/>
      <c r="V61" s="160">
        <f>1</f>
        <v>1</v>
      </c>
      <c r="W61" s="161" t="str">
        <f t="shared" si="2"/>
        <v/>
      </c>
      <c r="X61" s="161" t="str">
        <f t="shared" si="3"/>
        <v/>
      </c>
    </row>
    <row r="62" spans="1:25" s="72" customFormat="1" ht="17" customHeight="1" thickTop="1" x14ac:dyDescent="0.2">
      <c r="A62" s="81" t="s">
        <v>58</v>
      </c>
      <c r="B62" s="81" t="s">
        <v>159</v>
      </c>
      <c r="C62" s="103" t="s">
        <v>160</v>
      </c>
      <c r="D62" s="168"/>
      <c r="E62" s="81"/>
      <c r="F62" s="169"/>
      <c r="G62" s="130" t="s">
        <v>45</v>
      </c>
      <c r="H62" s="130"/>
      <c r="I62" s="130"/>
      <c r="J62" s="130"/>
      <c r="K62" s="130" t="s">
        <v>118</v>
      </c>
      <c r="L62" s="130"/>
      <c r="M62" s="130"/>
      <c r="N62" s="130"/>
      <c r="S62" s="44" t="s">
        <v>38</v>
      </c>
      <c r="U62" s="189"/>
      <c r="V62" s="160">
        <f>1</f>
        <v>1</v>
      </c>
      <c r="W62" s="161" t="str">
        <f t="shared" si="2"/>
        <v/>
      </c>
      <c r="X62" s="161" t="str">
        <f t="shared" si="3"/>
        <v/>
      </c>
      <c r="Y62" s="73"/>
    </row>
    <row r="63" spans="1:25" x14ac:dyDescent="0.2">
      <c r="D63" s="87"/>
      <c r="F63" s="88"/>
      <c r="U63" s="189"/>
      <c r="V63" s="160">
        <f>1</f>
        <v>1</v>
      </c>
      <c r="W63" s="161" t="str">
        <f t="shared" si="2"/>
        <v/>
      </c>
      <c r="X63" s="161" t="str">
        <f t="shared" si="3"/>
        <v/>
      </c>
    </row>
    <row r="64" spans="1:25" ht="16" customHeight="1" x14ac:dyDescent="0.2">
      <c r="A64" s="79" t="s">
        <v>161</v>
      </c>
      <c r="B64" s="79" t="s">
        <v>162</v>
      </c>
      <c r="C64" s="80" t="s">
        <v>163</v>
      </c>
      <c r="D64" s="98"/>
      <c r="E64" s="75" t="s">
        <v>164</v>
      </c>
      <c r="F64" s="100"/>
      <c r="G64" s="118" t="s">
        <v>36</v>
      </c>
      <c r="H64" s="118" t="s">
        <v>102</v>
      </c>
      <c r="I64" s="118"/>
      <c r="J64" s="118"/>
      <c r="K64" s="118"/>
      <c r="L64" s="118"/>
      <c r="M64" s="118"/>
      <c r="N64" s="118"/>
      <c r="S64" s="44" t="s">
        <v>38</v>
      </c>
      <c r="U64" s="189">
        <v>36.928733825683587</v>
      </c>
      <c r="V64" s="160">
        <f>1</f>
        <v>1</v>
      </c>
      <c r="W64" s="161">
        <f t="shared" si="2"/>
        <v>36.928733825683587</v>
      </c>
      <c r="X64" s="161">
        <f t="shared" si="3"/>
        <v>36.928733825683587</v>
      </c>
    </row>
    <row r="65" spans="1:24" x14ac:dyDescent="0.2">
      <c r="A65" s="79" t="s">
        <v>24</v>
      </c>
      <c r="B65" s="79" t="s">
        <v>165</v>
      </c>
      <c r="C65" s="80"/>
      <c r="D65" s="98"/>
      <c r="E65" s="75"/>
      <c r="F65" s="100"/>
      <c r="G65" s="118"/>
      <c r="H65" s="118"/>
      <c r="I65" s="118"/>
      <c r="J65" s="118"/>
      <c r="K65" s="118"/>
      <c r="L65" s="118"/>
      <c r="M65" s="118"/>
      <c r="N65" s="118" t="s">
        <v>166</v>
      </c>
      <c r="S65" s="44" t="s">
        <v>38</v>
      </c>
      <c r="U65" s="189"/>
      <c r="V65" s="160">
        <f>1</f>
        <v>1</v>
      </c>
      <c r="W65" s="161" t="str">
        <f t="shared" si="2"/>
        <v/>
      </c>
      <c r="X65" s="161" t="str">
        <f t="shared" si="3"/>
        <v/>
      </c>
    </row>
    <row r="66" spans="1:24" ht="16" customHeight="1" x14ac:dyDescent="0.2">
      <c r="A66" s="79" t="s">
        <v>119</v>
      </c>
      <c r="B66" s="79" t="s">
        <v>167</v>
      </c>
      <c r="C66" s="80" t="s">
        <v>168</v>
      </c>
      <c r="D66" s="98"/>
      <c r="E66" s="75"/>
      <c r="F66" s="100"/>
      <c r="G66" s="118" t="s">
        <v>36</v>
      </c>
      <c r="H66" s="118"/>
      <c r="I66" s="118"/>
      <c r="J66" s="118"/>
      <c r="K66" s="118" t="s">
        <v>169</v>
      </c>
      <c r="L66" s="118"/>
      <c r="M66" s="118"/>
      <c r="N66" s="118"/>
      <c r="S66" s="44" t="s">
        <v>38</v>
      </c>
      <c r="U66" s="189">
        <v>0</v>
      </c>
      <c r="V66" s="160">
        <f>1</f>
        <v>1</v>
      </c>
      <c r="W66" s="161">
        <f t="shared" si="2"/>
        <v>0</v>
      </c>
      <c r="X66" s="161">
        <f t="shared" si="3"/>
        <v>0</v>
      </c>
    </row>
    <row r="67" spans="1:24" ht="32" customHeight="1" x14ac:dyDescent="0.2">
      <c r="A67" s="79" t="s">
        <v>119</v>
      </c>
      <c r="B67" s="79" t="s">
        <v>170</v>
      </c>
      <c r="C67" s="80" t="s">
        <v>171</v>
      </c>
      <c r="D67" s="98"/>
      <c r="E67" s="75"/>
      <c r="F67" s="100"/>
      <c r="G67" s="118" t="s">
        <v>36</v>
      </c>
      <c r="H67" s="118"/>
      <c r="I67" s="118"/>
      <c r="J67" s="118"/>
      <c r="K67" s="118" t="s">
        <v>172</v>
      </c>
      <c r="L67" s="118"/>
      <c r="M67" s="118"/>
      <c r="N67" s="118"/>
      <c r="S67" s="44" t="s">
        <v>38</v>
      </c>
      <c r="U67" s="189">
        <v>0</v>
      </c>
      <c r="V67" s="160">
        <f>1</f>
        <v>1</v>
      </c>
      <c r="W67" s="161">
        <f t="shared" si="2"/>
        <v>0</v>
      </c>
      <c r="X67" s="161">
        <f t="shared" si="3"/>
        <v>0</v>
      </c>
    </row>
    <row r="68" spans="1:24" ht="32" customHeight="1" x14ac:dyDescent="0.2">
      <c r="A68" s="79" t="s">
        <v>119</v>
      </c>
      <c r="B68" s="79" t="s">
        <v>173</v>
      </c>
      <c r="C68" s="80" t="s">
        <v>174</v>
      </c>
      <c r="D68" s="98"/>
      <c r="E68" s="75"/>
      <c r="F68" s="100"/>
      <c r="G68" s="118" t="s">
        <v>36</v>
      </c>
      <c r="H68" s="118"/>
      <c r="I68" s="118"/>
      <c r="J68" s="118"/>
      <c r="K68" s="118" t="s">
        <v>175</v>
      </c>
      <c r="L68" s="118"/>
      <c r="M68" s="118"/>
      <c r="N68" s="118"/>
      <c r="S68" s="44" t="s">
        <v>38</v>
      </c>
      <c r="U68" s="189">
        <v>0</v>
      </c>
      <c r="V68" s="160">
        <f>1</f>
        <v>1</v>
      </c>
      <c r="W68" s="161">
        <f t="shared" si="2"/>
        <v>0</v>
      </c>
      <c r="X68" s="161">
        <f t="shared" si="3"/>
        <v>0</v>
      </c>
    </row>
    <row r="69" spans="1:24" x14ac:dyDescent="0.2">
      <c r="D69" s="87"/>
      <c r="F69" s="88"/>
      <c r="U69" s="189"/>
      <c r="V69" s="160">
        <f>1</f>
        <v>1</v>
      </c>
      <c r="W69" s="161" t="str">
        <f t="shared" si="2"/>
        <v/>
      </c>
      <c r="X69" s="161" t="str">
        <f t="shared" si="3"/>
        <v/>
      </c>
    </row>
    <row r="70" spans="1:24" s="95" customFormat="1" ht="32" customHeight="1" x14ac:dyDescent="0.2">
      <c r="A70" s="95" t="s">
        <v>176</v>
      </c>
      <c r="B70" s="95" t="s">
        <v>177</v>
      </c>
      <c r="C70" s="239" t="s">
        <v>178</v>
      </c>
      <c r="D70" s="240"/>
      <c r="E70" s="95" t="s">
        <v>179</v>
      </c>
      <c r="F70" s="241"/>
      <c r="G70" s="124" t="s">
        <v>36</v>
      </c>
      <c r="H70" s="124"/>
      <c r="I70" s="124" t="s">
        <v>180</v>
      </c>
      <c r="J70" s="124"/>
      <c r="K70" s="124" t="s">
        <v>181</v>
      </c>
      <c r="L70" s="124"/>
      <c r="M70" s="124"/>
      <c r="N70" s="124"/>
      <c r="S70" s="95" t="s">
        <v>46</v>
      </c>
      <c r="U70" s="242">
        <v>40.047317504882812</v>
      </c>
      <c r="V70" s="243">
        <f>1</f>
        <v>1</v>
      </c>
      <c r="W70" s="244">
        <f t="shared" si="2"/>
        <v>40.047317504882812</v>
      </c>
      <c r="X70" s="244" t="str">
        <f t="shared" si="3"/>
        <v/>
      </c>
    </row>
    <row r="71" spans="1:24" s="95" customFormat="1" x14ac:dyDescent="0.2">
      <c r="A71" s="95" t="s">
        <v>182</v>
      </c>
      <c r="B71" s="95" t="s">
        <v>183</v>
      </c>
      <c r="C71" s="95" t="s">
        <v>184</v>
      </c>
      <c r="D71" s="241"/>
      <c r="E71" s="95" t="s">
        <v>185</v>
      </c>
      <c r="F71" s="241"/>
      <c r="G71" s="124" t="s">
        <v>45</v>
      </c>
      <c r="H71" s="124"/>
      <c r="I71" s="124"/>
      <c r="J71" s="124"/>
      <c r="K71" s="124" t="s">
        <v>186</v>
      </c>
      <c r="L71" s="124"/>
      <c r="M71" s="124"/>
      <c r="N71" s="124"/>
      <c r="S71" s="95" t="s">
        <v>46</v>
      </c>
      <c r="U71" s="242">
        <v>3.6870110034942631</v>
      </c>
      <c r="V71" s="243">
        <f>1</f>
        <v>1</v>
      </c>
      <c r="W71" s="244">
        <f t="shared" si="2"/>
        <v>3.6870110034942631</v>
      </c>
      <c r="X71" s="244" t="str">
        <f t="shared" si="3"/>
        <v/>
      </c>
    </row>
    <row r="72" spans="1:24" x14ac:dyDescent="0.2">
      <c r="D72" s="82"/>
      <c r="F72" s="82"/>
    </row>
    <row r="73" spans="1:24" s="79" customFormat="1" x14ac:dyDescent="0.2">
      <c r="A73" s="79" t="s">
        <v>187</v>
      </c>
      <c r="B73" s="79" t="s">
        <v>188</v>
      </c>
      <c r="C73" s="79" t="s">
        <v>189</v>
      </c>
      <c r="D73" s="220"/>
      <c r="F73" s="220"/>
      <c r="G73" s="118" t="s">
        <v>36</v>
      </c>
      <c r="H73" s="118"/>
      <c r="I73" s="118"/>
      <c r="J73" s="118"/>
      <c r="K73" s="118" t="s">
        <v>181</v>
      </c>
      <c r="L73" s="118"/>
      <c r="M73" s="118"/>
      <c r="N73" s="118"/>
      <c r="U73" s="190"/>
      <c r="V73" s="221"/>
      <c r="W73" s="222"/>
      <c r="X73" s="222"/>
    </row>
    <row r="74" spans="1:24" s="79" customFormat="1" x14ac:dyDescent="0.2">
      <c r="A74" s="79" t="s">
        <v>190</v>
      </c>
      <c r="B74" s="79" t="s">
        <v>191</v>
      </c>
      <c r="C74" s="79" t="s">
        <v>192</v>
      </c>
      <c r="D74" s="220"/>
      <c r="F74" s="220"/>
      <c r="G74" s="118" t="s">
        <v>36</v>
      </c>
      <c r="H74" s="118"/>
      <c r="I74" s="118"/>
      <c r="J74" s="118"/>
      <c r="K74" s="118" t="s">
        <v>181</v>
      </c>
      <c r="L74" s="118"/>
      <c r="M74" s="118"/>
      <c r="N74" s="118"/>
      <c r="U74" s="190"/>
      <c r="V74" s="221"/>
      <c r="W74" s="222"/>
      <c r="X74" s="222"/>
    </row>
    <row r="75" spans="1:24" x14ac:dyDescent="0.2">
      <c r="D75" s="87"/>
      <c r="F75" s="88"/>
      <c r="U75" s="189"/>
      <c r="V75" s="160">
        <f>1</f>
        <v>1</v>
      </c>
      <c r="W75" s="161" t="str">
        <f t="shared" ref="W75:W86" si="4">IF(U75&lt;&gt;"",U75*V75,"")</f>
        <v/>
      </c>
      <c r="X75" s="161" t="str">
        <f t="shared" ref="X75:X86" si="5">IF(AND(U75&lt;&gt;"",S75="yes"),U75*V75,"")</f>
        <v/>
      </c>
    </row>
    <row r="76" spans="1:24" ht="32" customHeight="1" x14ac:dyDescent="0.2">
      <c r="A76" s="79" t="s">
        <v>193</v>
      </c>
      <c r="B76" s="79" t="s">
        <v>194</v>
      </c>
      <c r="C76" s="80" t="s">
        <v>195</v>
      </c>
      <c r="D76" s="98"/>
      <c r="E76" s="79"/>
      <c r="F76" s="100"/>
      <c r="G76" s="118" t="s">
        <v>36</v>
      </c>
      <c r="H76" s="118"/>
      <c r="I76" s="118"/>
      <c r="J76" s="118"/>
      <c r="K76" s="118" t="s">
        <v>181</v>
      </c>
      <c r="L76" s="118"/>
      <c r="M76" s="118"/>
      <c r="N76" s="118"/>
      <c r="S76" s="44" t="s">
        <v>38</v>
      </c>
      <c r="U76" s="189">
        <v>27.242166519165039</v>
      </c>
      <c r="V76" s="160">
        <f>1</f>
        <v>1</v>
      </c>
      <c r="W76" s="161">
        <f t="shared" si="4"/>
        <v>27.242166519165039</v>
      </c>
      <c r="X76" s="161">
        <f t="shared" si="5"/>
        <v>27.242166519165039</v>
      </c>
    </row>
    <row r="77" spans="1:24" x14ac:dyDescent="0.2">
      <c r="D77" s="87"/>
      <c r="F77" s="88"/>
      <c r="U77" s="189"/>
      <c r="V77" s="160">
        <f>1</f>
        <v>1</v>
      </c>
      <c r="W77" s="161" t="str">
        <f t="shared" si="4"/>
        <v/>
      </c>
      <c r="X77" s="161" t="str">
        <f t="shared" si="5"/>
        <v/>
      </c>
    </row>
    <row r="78" spans="1:24" ht="32" customHeight="1" x14ac:dyDescent="0.2">
      <c r="A78" s="79" t="s">
        <v>196</v>
      </c>
      <c r="B78" s="79" t="s">
        <v>197</v>
      </c>
      <c r="C78" s="80" t="s">
        <v>198</v>
      </c>
      <c r="D78" s="98"/>
      <c r="E78" s="75" t="s">
        <v>199</v>
      </c>
      <c r="F78" s="100"/>
      <c r="G78" s="118" t="s">
        <v>36</v>
      </c>
      <c r="H78" s="118" t="s">
        <v>102</v>
      </c>
      <c r="I78" s="118"/>
      <c r="J78" s="118"/>
      <c r="K78" s="118" t="s">
        <v>181</v>
      </c>
      <c r="L78" s="118" t="s">
        <v>200</v>
      </c>
      <c r="M78" s="118"/>
      <c r="N78" s="118"/>
      <c r="S78" s="44" t="s">
        <v>38</v>
      </c>
      <c r="U78" s="189">
        <v>25.308004379272461</v>
      </c>
      <c r="V78" s="160">
        <f>1</f>
        <v>1</v>
      </c>
      <c r="W78" s="161">
        <f t="shared" si="4"/>
        <v>25.308004379272461</v>
      </c>
      <c r="X78" s="161">
        <f t="shared" si="5"/>
        <v>25.308004379272461</v>
      </c>
    </row>
    <row r="79" spans="1:24" x14ac:dyDescent="0.2">
      <c r="A79" s="79" t="s">
        <v>24</v>
      </c>
      <c r="B79" s="79" t="s">
        <v>201</v>
      </c>
      <c r="C79" s="80"/>
      <c r="D79" s="98"/>
      <c r="E79" s="75"/>
      <c r="F79" s="100"/>
      <c r="G79" s="118"/>
      <c r="H79" s="118"/>
      <c r="I79" s="118"/>
      <c r="J79" s="118"/>
      <c r="K79" s="118"/>
      <c r="L79" s="118"/>
      <c r="M79" s="118"/>
      <c r="N79" s="118" t="s">
        <v>202</v>
      </c>
      <c r="S79" s="44" t="s">
        <v>38</v>
      </c>
      <c r="U79" s="189"/>
      <c r="V79" s="160">
        <f>1</f>
        <v>1</v>
      </c>
      <c r="W79" s="161" t="str">
        <f t="shared" si="4"/>
        <v/>
      </c>
      <c r="X79" s="161" t="str">
        <f t="shared" si="5"/>
        <v/>
      </c>
    </row>
    <row r="80" spans="1:24" ht="16" customHeight="1" x14ac:dyDescent="0.2">
      <c r="A80" s="79" t="s">
        <v>119</v>
      </c>
      <c r="B80" s="79" t="s">
        <v>203</v>
      </c>
      <c r="C80" s="80" t="s">
        <v>168</v>
      </c>
      <c r="D80" s="98"/>
      <c r="E80" s="75"/>
      <c r="F80" s="100"/>
      <c r="G80" s="118" t="s">
        <v>36</v>
      </c>
      <c r="H80" s="118"/>
      <c r="I80" s="118"/>
      <c r="J80" s="118"/>
      <c r="K80" s="118" t="s">
        <v>204</v>
      </c>
      <c r="L80" s="118"/>
      <c r="M80" s="118"/>
      <c r="N80" s="118"/>
      <c r="S80" s="44" t="s">
        <v>38</v>
      </c>
      <c r="U80" s="189">
        <v>0</v>
      </c>
      <c r="V80" s="160">
        <f>1</f>
        <v>1</v>
      </c>
      <c r="W80" s="161">
        <f t="shared" si="4"/>
        <v>0</v>
      </c>
      <c r="X80" s="161">
        <f t="shared" si="5"/>
        <v>0</v>
      </c>
    </row>
    <row r="81" spans="1:25" ht="32" customHeight="1" x14ac:dyDescent="0.2">
      <c r="A81" s="79" t="s">
        <v>119</v>
      </c>
      <c r="B81" s="79" t="s">
        <v>205</v>
      </c>
      <c r="C81" s="80" t="s">
        <v>171</v>
      </c>
      <c r="D81" s="98"/>
      <c r="E81" s="75"/>
      <c r="F81" s="100"/>
      <c r="G81" s="118" t="s">
        <v>36</v>
      </c>
      <c r="H81" s="118"/>
      <c r="I81" s="118"/>
      <c r="J81" s="118"/>
      <c r="K81" s="118" t="s">
        <v>206</v>
      </c>
      <c r="L81" s="118"/>
      <c r="M81" s="118"/>
      <c r="N81" s="118"/>
      <c r="S81" s="44" t="s">
        <v>38</v>
      </c>
      <c r="U81" s="189">
        <v>0</v>
      </c>
      <c r="V81" s="160">
        <f>1</f>
        <v>1</v>
      </c>
      <c r="W81" s="161">
        <f t="shared" si="4"/>
        <v>0</v>
      </c>
      <c r="X81" s="161">
        <f t="shared" si="5"/>
        <v>0</v>
      </c>
    </row>
    <row r="82" spans="1:25" ht="16" customHeight="1" x14ac:dyDescent="0.2">
      <c r="A82" s="79" t="s">
        <v>119</v>
      </c>
      <c r="B82" s="79" t="s">
        <v>207</v>
      </c>
      <c r="C82" s="80" t="s">
        <v>208</v>
      </c>
      <c r="D82" s="98"/>
      <c r="E82" s="75"/>
      <c r="F82" s="100"/>
      <c r="G82" s="118" t="s">
        <v>36</v>
      </c>
      <c r="H82" s="118"/>
      <c r="I82" s="118"/>
      <c r="J82" s="118"/>
      <c r="K82" s="118" t="s">
        <v>209</v>
      </c>
      <c r="L82" s="118"/>
      <c r="M82" s="118"/>
      <c r="N82" s="118"/>
      <c r="S82" s="44" t="s">
        <v>38</v>
      </c>
      <c r="U82" s="189">
        <v>0</v>
      </c>
      <c r="V82" s="160">
        <f>1</f>
        <v>1</v>
      </c>
      <c r="W82" s="161">
        <f t="shared" si="4"/>
        <v>0</v>
      </c>
      <c r="X82" s="161">
        <f t="shared" si="5"/>
        <v>0</v>
      </c>
    </row>
    <row r="83" spans="1:25" x14ac:dyDescent="0.2">
      <c r="D83" s="87"/>
      <c r="F83" s="88"/>
      <c r="U83" s="189"/>
      <c r="V83" s="160">
        <f>1</f>
        <v>1</v>
      </c>
      <c r="W83" s="161" t="str">
        <f t="shared" si="4"/>
        <v/>
      </c>
      <c r="X83" s="161" t="str">
        <f t="shared" si="5"/>
        <v/>
      </c>
    </row>
    <row r="84" spans="1:25" s="95" customFormat="1" ht="32" customHeight="1" x14ac:dyDescent="0.2">
      <c r="A84" s="95" t="s">
        <v>176</v>
      </c>
      <c r="B84" s="95" t="s">
        <v>210</v>
      </c>
      <c r="C84" s="239" t="s">
        <v>211</v>
      </c>
      <c r="D84" s="240"/>
      <c r="E84" s="95" t="s">
        <v>179</v>
      </c>
      <c r="F84" s="241"/>
      <c r="G84" s="124" t="s">
        <v>36</v>
      </c>
      <c r="H84" s="124"/>
      <c r="I84" s="124" t="s">
        <v>180</v>
      </c>
      <c r="J84" s="124"/>
      <c r="K84" s="124" t="s">
        <v>212</v>
      </c>
      <c r="L84" s="124"/>
      <c r="M84" s="124"/>
      <c r="N84" s="124"/>
      <c r="S84" s="95" t="s">
        <v>46</v>
      </c>
      <c r="U84" s="242">
        <v>30.828470230102539</v>
      </c>
      <c r="V84" s="243">
        <f>1</f>
        <v>1</v>
      </c>
      <c r="W84" s="244">
        <f t="shared" si="4"/>
        <v>30.828470230102539</v>
      </c>
      <c r="X84" s="244" t="str">
        <f t="shared" si="5"/>
        <v/>
      </c>
    </row>
    <row r="85" spans="1:25" s="95" customFormat="1" x14ac:dyDescent="0.2">
      <c r="A85" s="95" t="s">
        <v>182</v>
      </c>
      <c r="B85" s="95" t="s">
        <v>213</v>
      </c>
      <c r="C85" s="95" t="s">
        <v>184</v>
      </c>
      <c r="D85" s="240"/>
      <c r="E85" s="95" t="s">
        <v>185</v>
      </c>
      <c r="F85" s="241"/>
      <c r="G85" s="124" t="s">
        <v>45</v>
      </c>
      <c r="H85" s="124"/>
      <c r="I85" s="124"/>
      <c r="J85" s="124"/>
      <c r="K85" s="124" t="s">
        <v>214</v>
      </c>
      <c r="L85" s="124"/>
      <c r="M85" s="124"/>
      <c r="N85" s="124"/>
      <c r="S85" s="95" t="s">
        <v>46</v>
      </c>
      <c r="U85" s="242">
        <v>2.29411768913269</v>
      </c>
      <c r="V85" s="243">
        <f>1</f>
        <v>1</v>
      </c>
      <c r="W85" s="244">
        <f t="shared" si="4"/>
        <v>2.29411768913269</v>
      </c>
      <c r="X85" s="244" t="str">
        <f t="shared" si="5"/>
        <v/>
      </c>
    </row>
    <row r="86" spans="1:25" s="76" customFormat="1" x14ac:dyDescent="0.2">
      <c r="C86" s="77"/>
      <c r="D86" s="78"/>
      <c r="F86" s="82"/>
      <c r="G86" s="117"/>
      <c r="H86" s="117"/>
      <c r="I86" s="117"/>
      <c r="J86" s="117"/>
      <c r="K86" s="117"/>
      <c r="L86" s="117"/>
      <c r="M86" s="117"/>
      <c r="N86" s="117"/>
      <c r="U86" s="189"/>
      <c r="V86" s="160">
        <f>1</f>
        <v>1</v>
      </c>
      <c r="W86" s="161" t="str">
        <f t="shared" si="4"/>
        <v/>
      </c>
      <c r="X86" s="161" t="str">
        <f t="shared" si="5"/>
        <v/>
      </c>
      <c r="Y86" s="75"/>
    </row>
    <row r="87" spans="1:25" s="75" customFormat="1" ht="14.25" customHeight="1" x14ac:dyDescent="0.2">
      <c r="A87" s="75" t="s">
        <v>187</v>
      </c>
      <c r="B87" s="75" t="s">
        <v>215</v>
      </c>
      <c r="C87" s="75" t="s">
        <v>189</v>
      </c>
      <c r="D87" s="100"/>
      <c r="F87" s="100"/>
      <c r="G87" s="128" t="s">
        <v>36</v>
      </c>
      <c r="H87" s="128"/>
      <c r="I87" s="128"/>
      <c r="J87" s="128"/>
      <c r="K87" s="128" t="s">
        <v>212</v>
      </c>
      <c r="L87" s="128"/>
      <c r="M87" s="128"/>
      <c r="N87" s="128"/>
      <c r="U87" s="189"/>
      <c r="V87" s="160"/>
      <c r="W87" s="161"/>
      <c r="X87" s="161"/>
    </row>
    <row r="88" spans="1:25" s="75" customFormat="1" x14ac:dyDescent="0.2">
      <c r="A88" s="75" t="s">
        <v>190</v>
      </c>
      <c r="B88" s="75" t="s">
        <v>216</v>
      </c>
      <c r="C88" s="75" t="s">
        <v>192</v>
      </c>
      <c r="D88" s="100"/>
      <c r="F88" s="100"/>
      <c r="G88" s="128" t="s">
        <v>36</v>
      </c>
      <c r="H88" s="128"/>
      <c r="I88" s="128"/>
      <c r="J88" s="128"/>
      <c r="K88" s="128" t="s">
        <v>212</v>
      </c>
      <c r="L88" s="128"/>
      <c r="M88" s="128"/>
      <c r="N88" s="128"/>
      <c r="U88" s="189"/>
      <c r="V88" s="160"/>
      <c r="W88" s="161"/>
      <c r="X88" s="161"/>
    </row>
    <row r="89" spans="1:25" s="76" customFormat="1" x14ac:dyDescent="0.2">
      <c r="C89" s="77"/>
      <c r="D89" s="78"/>
      <c r="F89" s="82"/>
      <c r="G89" s="117"/>
      <c r="H89" s="117"/>
      <c r="I89" s="117"/>
      <c r="J89" s="117"/>
      <c r="K89" s="117"/>
      <c r="L89" s="117"/>
      <c r="M89" s="117"/>
      <c r="N89" s="117"/>
      <c r="U89" s="189"/>
      <c r="V89" s="160">
        <f>1</f>
        <v>1</v>
      </c>
      <c r="W89" s="161" t="str">
        <f t="shared" ref="W89:W118" si="6">IF(U89&lt;&gt;"",U89*V89,"")</f>
        <v/>
      </c>
      <c r="X89" s="161" t="str">
        <f t="shared" ref="X89:X118" si="7">IF(AND(U89&lt;&gt;"",S89="yes"),U89*V89,"")</f>
        <v/>
      </c>
      <c r="Y89" s="75"/>
    </row>
    <row r="90" spans="1:25" ht="32" customHeight="1" x14ac:dyDescent="0.2">
      <c r="A90" s="79" t="s">
        <v>193</v>
      </c>
      <c r="B90" s="79" t="s">
        <v>217</v>
      </c>
      <c r="C90" s="80" t="s">
        <v>218</v>
      </c>
      <c r="D90" s="98"/>
      <c r="E90" s="79"/>
      <c r="F90" s="100"/>
      <c r="G90" s="118" t="s">
        <v>36</v>
      </c>
      <c r="H90" s="118"/>
      <c r="I90" s="118"/>
      <c r="J90" s="118"/>
      <c r="K90" s="118" t="s">
        <v>212</v>
      </c>
      <c r="L90" s="118"/>
      <c r="M90" s="118"/>
      <c r="N90" s="118"/>
      <c r="S90" s="44" t="s">
        <v>38</v>
      </c>
      <c r="U90" s="189">
        <v>21.193256378173832</v>
      </c>
      <c r="V90" s="160">
        <f>1</f>
        <v>1</v>
      </c>
      <c r="W90" s="161">
        <f t="shared" si="6"/>
        <v>21.193256378173832</v>
      </c>
      <c r="X90" s="161">
        <f t="shared" si="7"/>
        <v>21.193256378173832</v>
      </c>
    </row>
    <row r="91" spans="1:25" x14ac:dyDescent="0.2">
      <c r="D91" s="87"/>
      <c r="F91" s="88"/>
      <c r="K91" s="128"/>
      <c r="U91" s="189"/>
      <c r="V91" s="160">
        <f>1</f>
        <v>1</v>
      </c>
      <c r="W91" s="161" t="str">
        <f t="shared" si="6"/>
        <v/>
      </c>
      <c r="X91" s="161" t="str">
        <f t="shared" si="7"/>
        <v/>
      </c>
    </row>
    <row r="92" spans="1:25" s="75" customFormat="1" x14ac:dyDescent="0.2">
      <c r="A92" s="79" t="s">
        <v>219</v>
      </c>
      <c r="B92" s="79" t="s">
        <v>220</v>
      </c>
      <c r="C92" s="79" t="s">
        <v>221</v>
      </c>
      <c r="D92" s="100"/>
      <c r="E92" s="75" t="s">
        <v>199</v>
      </c>
      <c r="F92" s="100"/>
      <c r="G92" s="118" t="s">
        <v>36</v>
      </c>
      <c r="H92" s="118" t="s">
        <v>102</v>
      </c>
      <c r="I92" s="118"/>
      <c r="J92" s="118"/>
      <c r="K92" s="118" t="s">
        <v>212</v>
      </c>
      <c r="L92" s="118" t="s">
        <v>222</v>
      </c>
      <c r="M92" s="118"/>
      <c r="N92" s="118"/>
      <c r="S92" s="75" t="s">
        <v>38</v>
      </c>
      <c r="U92" s="189">
        <v>20.229927062988281</v>
      </c>
      <c r="V92" s="160">
        <f>1</f>
        <v>1</v>
      </c>
      <c r="W92" s="161">
        <f t="shared" si="6"/>
        <v>20.229927062988281</v>
      </c>
      <c r="X92" s="161">
        <f t="shared" si="7"/>
        <v>20.229927062988281</v>
      </c>
    </row>
    <row r="93" spans="1:25" s="75" customFormat="1" x14ac:dyDescent="0.2">
      <c r="A93" s="79" t="s">
        <v>24</v>
      </c>
      <c r="B93" s="79" t="s">
        <v>223</v>
      </c>
      <c r="C93" s="80"/>
      <c r="D93" s="98"/>
      <c r="F93" s="100"/>
      <c r="G93" s="118"/>
      <c r="H93" s="118"/>
      <c r="I93" s="118"/>
      <c r="J93" s="118"/>
      <c r="K93" s="118"/>
      <c r="L93" s="118"/>
      <c r="M93" s="118"/>
      <c r="N93" s="118" t="s">
        <v>224</v>
      </c>
      <c r="S93" s="75" t="s">
        <v>38</v>
      </c>
      <c r="U93" s="189"/>
      <c r="V93" s="160">
        <f>1</f>
        <v>1</v>
      </c>
      <c r="W93" s="161" t="str">
        <f t="shared" si="6"/>
        <v/>
      </c>
      <c r="X93" s="161" t="str">
        <f t="shared" si="7"/>
        <v/>
      </c>
    </row>
    <row r="94" spans="1:25" s="75" customFormat="1" ht="16" customHeight="1" x14ac:dyDescent="0.2">
      <c r="A94" s="79" t="s">
        <v>119</v>
      </c>
      <c r="B94" s="79" t="s">
        <v>225</v>
      </c>
      <c r="C94" s="80" t="s">
        <v>168</v>
      </c>
      <c r="D94" s="98"/>
      <c r="F94" s="100"/>
      <c r="G94" s="118" t="s">
        <v>36</v>
      </c>
      <c r="H94" s="118"/>
      <c r="I94" s="118"/>
      <c r="J94" s="118"/>
      <c r="K94" s="118" t="s">
        <v>226</v>
      </c>
      <c r="L94" s="118"/>
      <c r="M94" s="118"/>
      <c r="N94" s="118"/>
      <c r="S94" s="75" t="s">
        <v>38</v>
      </c>
      <c r="U94" s="189">
        <v>0</v>
      </c>
      <c r="V94" s="160">
        <f>1</f>
        <v>1</v>
      </c>
      <c r="W94" s="161">
        <f t="shared" si="6"/>
        <v>0</v>
      </c>
      <c r="X94" s="161">
        <f t="shared" si="7"/>
        <v>0</v>
      </c>
    </row>
    <row r="95" spans="1:25" s="75" customFormat="1" ht="32" customHeight="1" x14ac:dyDescent="0.2">
      <c r="A95" s="79" t="s">
        <v>119</v>
      </c>
      <c r="B95" s="79" t="s">
        <v>227</v>
      </c>
      <c r="C95" s="80" t="s">
        <v>171</v>
      </c>
      <c r="D95" s="98"/>
      <c r="F95" s="100"/>
      <c r="G95" s="118" t="s">
        <v>36</v>
      </c>
      <c r="H95" s="118"/>
      <c r="I95" s="118"/>
      <c r="J95" s="118"/>
      <c r="K95" s="118" t="s">
        <v>228</v>
      </c>
      <c r="L95" s="118"/>
      <c r="M95" s="118"/>
      <c r="N95" s="118"/>
      <c r="S95" s="75" t="s">
        <v>38</v>
      </c>
      <c r="U95" s="189">
        <v>0</v>
      </c>
      <c r="V95" s="160">
        <f>1</f>
        <v>1</v>
      </c>
      <c r="W95" s="161">
        <f t="shared" si="6"/>
        <v>0</v>
      </c>
      <c r="X95" s="161">
        <f t="shared" si="7"/>
        <v>0</v>
      </c>
    </row>
    <row r="96" spans="1:25" s="75" customFormat="1" ht="16" customHeight="1" x14ac:dyDescent="0.2">
      <c r="A96" s="79" t="s">
        <v>119</v>
      </c>
      <c r="B96" s="79" t="s">
        <v>229</v>
      </c>
      <c r="C96" s="80" t="s">
        <v>208</v>
      </c>
      <c r="D96" s="98"/>
      <c r="F96" s="100"/>
      <c r="G96" s="118" t="s">
        <v>36</v>
      </c>
      <c r="H96" s="118"/>
      <c r="I96" s="118"/>
      <c r="J96" s="118"/>
      <c r="K96" s="118" t="s">
        <v>230</v>
      </c>
      <c r="L96" s="118"/>
      <c r="M96" s="118"/>
      <c r="N96" s="118"/>
      <c r="S96" s="75" t="s">
        <v>38</v>
      </c>
      <c r="U96" s="189">
        <v>0</v>
      </c>
      <c r="V96" s="160">
        <f>1</f>
        <v>1</v>
      </c>
      <c r="W96" s="161">
        <f t="shared" si="6"/>
        <v>0</v>
      </c>
      <c r="X96" s="161">
        <f t="shared" si="7"/>
        <v>0</v>
      </c>
    </row>
    <row r="97" spans="1:25" s="246" customFormat="1" x14ac:dyDescent="0.2">
      <c r="C97" s="251"/>
      <c r="D97" s="250"/>
      <c r="F97" s="245"/>
      <c r="G97" s="252"/>
      <c r="H97" s="252"/>
      <c r="I97" s="252"/>
      <c r="J97" s="252"/>
      <c r="K97" s="252"/>
      <c r="L97" s="252"/>
      <c r="M97" s="252"/>
      <c r="N97" s="252"/>
      <c r="U97" s="247"/>
      <c r="V97" s="248">
        <f>1</f>
        <v>1</v>
      </c>
      <c r="W97" s="249" t="str">
        <f t="shared" si="6"/>
        <v/>
      </c>
      <c r="X97" s="249" t="str">
        <f t="shared" si="7"/>
        <v/>
      </c>
    </row>
    <row r="98" spans="1:25" s="246" customFormat="1" x14ac:dyDescent="0.2">
      <c r="C98" s="251"/>
      <c r="D98" s="250"/>
      <c r="F98" s="245"/>
      <c r="G98" s="252"/>
      <c r="H98" s="252"/>
      <c r="I98" s="252"/>
      <c r="J98" s="252"/>
      <c r="K98" s="252"/>
      <c r="L98" s="252"/>
      <c r="M98" s="252"/>
      <c r="N98" s="252"/>
      <c r="U98" s="247"/>
      <c r="V98" s="248">
        <f>1</f>
        <v>1</v>
      </c>
      <c r="W98" s="249" t="str">
        <f t="shared" si="6"/>
        <v/>
      </c>
      <c r="X98" s="249" t="str">
        <f t="shared" si="7"/>
        <v/>
      </c>
    </row>
    <row r="99" spans="1:25" s="75" customFormat="1" ht="32" customHeight="1" x14ac:dyDescent="0.2">
      <c r="A99" s="79" t="s">
        <v>193</v>
      </c>
      <c r="B99" s="79" t="s">
        <v>231</v>
      </c>
      <c r="C99" s="80" t="s">
        <v>232</v>
      </c>
      <c r="D99" s="98"/>
      <c r="E99" s="79"/>
      <c r="F99" s="100"/>
      <c r="G99" s="118" t="s">
        <v>36</v>
      </c>
      <c r="H99" s="118"/>
      <c r="I99" s="118"/>
      <c r="J99" s="118"/>
      <c r="K99" s="118" t="s">
        <v>233</v>
      </c>
      <c r="L99" s="118"/>
      <c r="M99" s="118"/>
      <c r="N99" s="118"/>
      <c r="S99" s="75" t="s">
        <v>38</v>
      </c>
      <c r="U99" s="189">
        <v>16.348396301269531</v>
      </c>
      <c r="V99" s="160">
        <f>1</f>
        <v>1</v>
      </c>
      <c r="W99" s="161">
        <f t="shared" si="6"/>
        <v>16.348396301269531</v>
      </c>
      <c r="X99" s="161">
        <f t="shared" si="7"/>
        <v>16.348396301269531</v>
      </c>
    </row>
    <row r="100" spans="1:25" s="76" customFormat="1" x14ac:dyDescent="0.2">
      <c r="C100" s="77"/>
      <c r="D100" s="78"/>
      <c r="F100" s="82"/>
      <c r="G100" s="117"/>
      <c r="H100" s="117"/>
      <c r="I100" s="117"/>
      <c r="J100" s="117"/>
      <c r="K100" s="117"/>
      <c r="L100" s="117"/>
      <c r="M100" s="117"/>
      <c r="N100" s="117"/>
      <c r="U100" s="189"/>
      <c r="V100" s="160">
        <f>1</f>
        <v>1</v>
      </c>
      <c r="W100" s="161" t="str">
        <f t="shared" si="6"/>
        <v/>
      </c>
      <c r="X100" s="161" t="str">
        <f t="shared" si="7"/>
        <v/>
      </c>
      <c r="Y100" s="75"/>
    </row>
    <row r="101" spans="1:25" ht="48" customHeight="1" x14ac:dyDescent="0.2">
      <c r="A101" s="79" t="s">
        <v>234</v>
      </c>
      <c r="B101" s="79" t="s">
        <v>235</v>
      </c>
      <c r="C101" s="80" t="s">
        <v>236</v>
      </c>
      <c r="D101" s="98"/>
      <c r="E101" s="79" t="s">
        <v>237</v>
      </c>
      <c r="F101" s="100"/>
      <c r="G101" s="118" t="s">
        <v>36</v>
      </c>
      <c r="H101" s="118"/>
      <c r="I101" s="118" t="s">
        <v>238</v>
      </c>
      <c r="J101" s="118"/>
      <c r="K101" s="118"/>
      <c r="L101" s="118"/>
      <c r="M101" s="118"/>
      <c r="N101" s="118"/>
      <c r="S101" s="44" t="s">
        <v>38</v>
      </c>
      <c r="U101" s="189">
        <v>46.247528076171882</v>
      </c>
      <c r="V101" s="160">
        <f>1</f>
        <v>1</v>
      </c>
      <c r="W101" s="161">
        <f t="shared" si="6"/>
        <v>46.247528076171882</v>
      </c>
      <c r="X101" s="161">
        <f t="shared" si="7"/>
        <v>46.247528076171882</v>
      </c>
    </row>
    <row r="102" spans="1:25" x14ac:dyDescent="0.2">
      <c r="D102" s="87"/>
      <c r="F102" s="88"/>
      <c r="U102" s="189"/>
      <c r="V102" s="160">
        <f>1</f>
        <v>1</v>
      </c>
      <c r="W102" s="161" t="str">
        <f t="shared" si="6"/>
        <v/>
      </c>
      <c r="X102" s="161" t="str">
        <f t="shared" si="7"/>
        <v/>
      </c>
    </row>
    <row r="103" spans="1:25" s="75" customFormat="1" ht="48" customHeight="1" x14ac:dyDescent="0.2">
      <c r="A103" s="75" t="s">
        <v>61</v>
      </c>
      <c r="B103" s="75" t="s">
        <v>239</v>
      </c>
      <c r="C103" s="46" t="s">
        <v>240</v>
      </c>
      <c r="D103" s="98"/>
      <c r="E103" s="75" t="s">
        <v>241</v>
      </c>
      <c r="F103" s="100"/>
      <c r="G103" s="128" t="s">
        <v>45</v>
      </c>
      <c r="H103" s="128"/>
      <c r="I103" s="128"/>
      <c r="J103" s="128"/>
      <c r="K103" s="128" t="s">
        <v>242</v>
      </c>
      <c r="L103" s="128"/>
      <c r="M103" s="128"/>
      <c r="N103" s="128"/>
      <c r="S103" s="75" t="s">
        <v>46</v>
      </c>
      <c r="U103" s="189">
        <v>26.118782043457031</v>
      </c>
      <c r="V103" s="160">
        <f>1</f>
        <v>1</v>
      </c>
      <c r="W103" s="161">
        <f t="shared" si="6"/>
        <v>26.118782043457031</v>
      </c>
      <c r="X103" s="161" t="str">
        <f t="shared" si="7"/>
        <v/>
      </c>
    </row>
    <row r="104" spans="1:25" x14ac:dyDescent="0.2">
      <c r="D104" s="87"/>
      <c r="F104" s="88"/>
      <c r="K104" s="128"/>
      <c r="U104" s="189"/>
      <c r="V104" s="160">
        <f>1</f>
        <v>1</v>
      </c>
      <c r="W104" s="161" t="str">
        <f t="shared" si="6"/>
        <v/>
      </c>
      <c r="X104" s="161" t="str">
        <f t="shared" si="7"/>
        <v/>
      </c>
    </row>
    <row r="105" spans="1:25" ht="16" customHeight="1" thickBot="1" x14ac:dyDescent="0.25">
      <c r="A105" s="96" t="s">
        <v>115</v>
      </c>
      <c r="B105" s="96"/>
      <c r="C105" s="97"/>
      <c r="D105" s="91"/>
      <c r="E105" s="96"/>
      <c r="F105" s="92"/>
      <c r="G105" s="127"/>
      <c r="H105" s="127"/>
      <c r="I105" s="127"/>
      <c r="J105" s="127"/>
      <c r="K105" s="127"/>
      <c r="L105" s="127"/>
      <c r="M105" s="127"/>
      <c r="N105" s="127"/>
      <c r="U105" s="189"/>
      <c r="V105" s="75"/>
      <c r="W105" s="161" t="str">
        <f t="shared" si="6"/>
        <v/>
      </c>
      <c r="X105" s="161" t="str">
        <f t="shared" si="7"/>
        <v/>
      </c>
    </row>
    <row r="106" spans="1:25" s="72" customFormat="1" ht="17" customHeight="1" thickTop="1" x14ac:dyDescent="0.2">
      <c r="A106" s="69" t="s">
        <v>58</v>
      </c>
      <c r="B106" s="69" t="s">
        <v>243</v>
      </c>
      <c r="C106" s="93" t="s">
        <v>244</v>
      </c>
      <c r="D106" s="70"/>
      <c r="E106" s="69"/>
      <c r="F106" s="71"/>
      <c r="G106" s="121" t="s">
        <v>45</v>
      </c>
      <c r="H106" s="121"/>
      <c r="I106" s="121"/>
      <c r="J106" s="121"/>
      <c r="K106" s="121" t="s">
        <v>245</v>
      </c>
      <c r="L106" s="121"/>
      <c r="M106" s="121"/>
      <c r="N106" s="121"/>
      <c r="S106" s="44" t="s">
        <v>38</v>
      </c>
      <c r="U106" s="189"/>
      <c r="V106" s="73"/>
      <c r="W106" s="161" t="str">
        <f t="shared" si="6"/>
        <v/>
      </c>
      <c r="X106" s="161" t="str">
        <f t="shared" si="7"/>
        <v/>
      </c>
      <c r="Y106" s="73"/>
    </row>
    <row r="107" spans="1:25" s="45" customFormat="1" ht="49" customHeight="1" x14ac:dyDescent="0.2">
      <c r="A107" s="43" t="s">
        <v>41</v>
      </c>
      <c r="B107" s="43" t="s">
        <v>246</v>
      </c>
      <c r="C107" s="43" t="s">
        <v>247</v>
      </c>
      <c r="D107" s="87"/>
      <c r="E107" s="43"/>
      <c r="F107" s="87"/>
      <c r="G107" s="42"/>
      <c r="H107" s="42"/>
      <c r="I107" s="42"/>
      <c r="J107" s="42"/>
      <c r="K107" s="42"/>
      <c r="L107" s="42"/>
      <c r="M107" s="42"/>
      <c r="N107" s="42"/>
      <c r="S107" s="45" t="s">
        <v>38</v>
      </c>
      <c r="U107" s="192">
        <v>7.5</v>
      </c>
      <c r="V107" s="163">
        <f>'Additional information'!$D$18</f>
        <v>0.91</v>
      </c>
      <c r="W107" s="162">
        <f t="shared" si="6"/>
        <v>6.8250000000000002</v>
      </c>
      <c r="X107" s="162">
        <f t="shared" si="7"/>
        <v>6.8250000000000002</v>
      </c>
      <c r="Y107" s="46"/>
    </row>
    <row r="108" spans="1:25" x14ac:dyDescent="0.2">
      <c r="D108" s="87"/>
      <c r="F108" s="88"/>
      <c r="U108" s="189"/>
      <c r="V108" s="160">
        <f>'Additional information'!$D$18</f>
        <v>0.91</v>
      </c>
      <c r="W108" s="161" t="str">
        <f t="shared" si="6"/>
        <v/>
      </c>
      <c r="X108" s="161" t="str">
        <f t="shared" si="7"/>
        <v/>
      </c>
    </row>
    <row r="109" spans="1:25" s="75" customFormat="1" ht="16" customHeight="1" x14ac:dyDescent="0.2">
      <c r="A109" s="79" t="s">
        <v>176</v>
      </c>
      <c r="B109" s="79" t="s">
        <v>248</v>
      </c>
      <c r="C109" s="80" t="s">
        <v>249</v>
      </c>
      <c r="D109" s="98"/>
      <c r="E109" s="79" t="s">
        <v>250</v>
      </c>
      <c r="F109" s="100"/>
      <c r="G109" s="118" t="s">
        <v>36</v>
      </c>
      <c r="H109" s="118"/>
      <c r="I109" s="118" t="s">
        <v>251</v>
      </c>
      <c r="J109" s="118"/>
      <c r="K109" s="118"/>
      <c r="L109" s="118"/>
      <c r="M109" s="118"/>
      <c r="N109" s="118"/>
      <c r="S109" s="75" t="s">
        <v>38</v>
      </c>
      <c r="U109" s="189">
        <v>17</v>
      </c>
      <c r="V109" s="160">
        <f>'Additional information'!$D$18</f>
        <v>0.91</v>
      </c>
      <c r="W109" s="161">
        <f t="shared" si="6"/>
        <v>15.47</v>
      </c>
      <c r="X109" s="161">
        <f t="shared" si="7"/>
        <v>15.47</v>
      </c>
    </row>
    <row r="110" spans="1:25" s="75" customFormat="1" ht="16" customHeight="1" x14ac:dyDescent="0.2">
      <c r="A110" s="79" t="s">
        <v>252</v>
      </c>
      <c r="B110" s="79" t="s">
        <v>253</v>
      </c>
      <c r="C110" s="80" t="s">
        <v>254</v>
      </c>
      <c r="D110" s="98"/>
      <c r="E110" s="79" t="s">
        <v>255</v>
      </c>
      <c r="F110" s="100"/>
      <c r="G110" s="118" t="s">
        <v>36</v>
      </c>
      <c r="H110" s="118"/>
      <c r="I110" s="118"/>
      <c r="J110" s="118"/>
      <c r="K110" s="118" t="s">
        <v>256</v>
      </c>
      <c r="L110" s="118"/>
      <c r="M110" s="118"/>
      <c r="N110" s="118"/>
      <c r="S110" s="75" t="s">
        <v>38</v>
      </c>
      <c r="U110" s="189">
        <v>0</v>
      </c>
      <c r="V110" s="160">
        <f>'Additional information'!$D$18</f>
        <v>0.91</v>
      </c>
      <c r="W110" s="161">
        <f t="shared" si="6"/>
        <v>0</v>
      </c>
      <c r="X110" s="161">
        <f t="shared" si="7"/>
        <v>0</v>
      </c>
    </row>
    <row r="111" spans="1:25" s="72" customFormat="1" x14ac:dyDescent="0.2">
      <c r="C111" s="94"/>
      <c r="D111" s="70"/>
      <c r="F111" s="71"/>
      <c r="G111" s="122"/>
      <c r="H111" s="122"/>
      <c r="I111" s="122"/>
      <c r="J111" s="122"/>
      <c r="K111" s="122"/>
      <c r="L111" s="122"/>
      <c r="M111" s="122"/>
      <c r="N111" s="122"/>
      <c r="S111" s="44"/>
      <c r="U111" s="189"/>
      <c r="V111" s="160">
        <f>'Additional information'!$D$18</f>
        <v>0.91</v>
      </c>
      <c r="W111" s="161" t="str">
        <f t="shared" si="6"/>
        <v/>
      </c>
      <c r="X111" s="161" t="str">
        <f t="shared" si="7"/>
        <v/>
      </c>
      <c r="Y111" s="73"/>
    </row>
    <row r="112" spans="1:25" ht="32" customHeight="1" x14ac:dyDescent="0.2">
      <c r="A112" s="74" t="s">
        <v>257</v>
      </c>
      <c r="B112" s="74" t="s">
        <v>258</v>
      </c>
      <c r="C112" s="43" t="s">
        <v>259</v>
      </c>
      <c r="D112" s="87"/>
      <c r="E112" s="74" t="s">
        <v>260</v>
      </c>
      <c r="F112" s="88"/>
      <c r="G112" s="116" t="s">
        <v>36</v>
      </c>
      <c r="H112" s="116" t="s">
        <v>102</v>
      </c>
      <c r="I112" s="116"/>
      <c r="J112" s="116"/>
      <c r="K112" s="116"/>
      <c r="L112" s="116"/>
      <c r="M112" s="116"/>
      <c r="N112" s="116"/>
      <c r="S112" s="44" t="s">
        <v>38</v>
      </c>
      <c r="U112" s="189">
        <v>27.057552337646481</v>
      </c>
      <c r="V112" s="160">
        <f>'Additional information'!$D$18</f>
        <v>0.91</v>
      </c>
      <c r="W112" s="161">
        <f t="shared" si="6"/>
        <v>24.622372627258297</v>
      </c>
      <c r="X112" s="161">
        <f t="shared" si="7"/>
        <v>24.622372627258297</v>
      </c>
    </row>
    <row r="113" spans="1:25" x14ac:dyDescent="0.2">
      <c r="A113" s="74" t="s">
        <v>24</v>
      </c>
      <c r="B113" s="74" t="s">
        <v>261</v>
      </c>
      <c r="C113" s="43"/>
      <c r="D113" s="87"/>
      <c r="F113" s="88"/>
      <c r="G113" s="116"/>
      <c r="H113" s="116"/>
      <c r="I113" s="116"/>
      <c r="J113" s="116"/>
      <c r="K113" s="116"/>
      <c r="L113" s="116"/>
      <c r="M113" s="116"/>
      <c r="N113" s="116" t="s">
        <v>262</v>
      </c>
      <c r="S113" s="44" t="s">
        <v>38</v>
      </c>
      <c r="U113" s="189"/>
      <c r="V113" s="160">
        <f>'Additional information'!$D$18</f>
        <v>0.91</v>
      </c>
      <c r="W113" s="161" t="str">
        <f t="shared" si="6"/>
        <v/>
      </c>
      <c r="X113" s="161" t="str">
        <f t="shared" si="7"/>
        <v/>
      </c>
    </row>
    <row r="114" spans="1:25" ht="16" customHeight="1" x14ac:dyDescent="0.2">
      <c r="A114" s="74" t="s">
        <v>263</v>
      </c>
      <c r="B114" s="74" t="s">
        <v>264</v>
      </c>
      <c r="C114" s="43" t="s">
        <v>265</v>
      </c>
      <c r="D114" s="87"/>
      <c r="F114" s="88"/>
      <c r="G114" s="116" t="s">
        <v>36</v>
      </c>
      <c r="H114" s="116"/>
      <c r="I114" s="116"/>
      <c r="J114" s="116"/>
      <c r="K114" s="116" t="s">
        <v>266</v>
      </c>
      <c r="L114" s="116"/>
      <c r="M114" s="116"/>
      <c r="N114" s="116"/>
      <c r="S114" s="44" t="s">
        <v>38</v>
      </c>
      <c r="U114" s="189">
        <v>0</v>
      </c>
      <c r="V114" s="160">
        <f>'Additional information'!$D$18</f>
        <v>0.91</v>
      </c>
      <c r="W114" s="161">
        <f t="shared" si="6"/>
        <v>0</v>
      </c>
      <c r="X114" s="161">
        <f t="shared" si="7"/>
        <v>0</v>
      </c>
    </row>
    <row r="115" spans="1:25" s="75" customFormat="1" x14ac:dyDescent="0.2">
      <c r="C115" s="46"/>
      <c r="D115" s="98"/>
      <c r="F115" s="100"/>
      <c r="G115" s="128"/>
      <c r="H115" s="128"/>
      <c r="I115" s="128"/>
      <c r="J115" s="128"/>
      <c r="K115" s="128"/>
      <c r="L115" s="128"/>
      <c r="M115" s="128"/>
      <c r="N115" s="128"/>
      <c r="U115" s="189"/>
      <c r="V115" s="160">
        <f>'Additional information'!$D$18</f>
        <v>0.91</v>
      </c>
      <c r="W115" s="161" t="str">
        <f t="shared" si="6"/>
        <v/>
      </c>
      <c r="X115" s="161" t="str">
        <f t="shared" si="7"/>
        <v/>
      </c>
    </row>
    <row r="116" spans="1:25" ht="31.75" customHeight="1" x14ac:dyDescent="0.2">
      <c r="A116" s="74" t="s">
        <v>267</v>
      </c>
      <c r="B116" s="74" t="s">
        <v>268</v>
      </c>
      <c r="C116" s="74" t="s">
        <v>269</v>
      </c>
      <c r="D116" s="88"/>
      <c r="F116" s="88"/>
      <c r="G116" s="116" t="s">
        <v>36</v>
      </c>
      <c r="H116" s="116"/>
      <c r="I116" s="116"/>
      <c r="J116" s="116"/>
      <c r="K116" s="116" t="s">
        <v>270</v>
      </c>
      <c r="L116" s="116"/>
      <c r="M116" s="116"/>
      <c r="N116" s="116"/>
      <c r="S116" s="44" t="s">
        <v>38</v>
      </c>
      <c r="U116" s="189">
        <v>15.95429515838623</v>
      </c>
      <c r="V116" s="160">
        <f>'Additional information'!$D$18</f>
        <v>0.91</v>
      </c>
      <c r="W116" s="161">
        <f t="shared" si="6"/>
        <v>14.51840859413147</v>
      </c>
      <c r="X116" s="161">
        <f t="shared" si="7"/>
        <v>14.51840859413147</v>
      </c>
    </row>
    <row r="117" spans="1:25" ht="15.75" customHeight="1" x14ac:dyDescent="0.2">
      <c r="A117" s="74" t="s">
        <v>61</v>
      </c>
      <c r="B117" s="74" t="s">
        <v>271</v>
      </c>
      <c r="C117" s="80" t="s">
        <v>272</v>
      </c>
      <c r="D117" s="98"/>
      <c r="E117" s="75" t="s">
        <v>273</v>
      </c>
      <c r="F117" s="88"/>
      <c r="G117" s="116" t="s">
        <v>36</v>
      </c>
      <c r="H117" s="116"/>
      <c r="I117" s="116"/>
      <c r="J117" s="116"/>
      <c r="K117" s="116" t="s">
        <v>274</v>
      </c>
      <c r="L117" s="116"/>
      <c r="M117" s="116"/>
      <c r="N117" s="116"/>
      <c r="S117" s="44" t="s">
        <v>38</v>
      </c>
      <c r="U117" s="189"/>
      <c r="V117" s="160">
        <f>'Additional information'!$D$18</f>
        <v>0.91</v>
      </c>
      <c r="W117" s="161" t="str">
        <f t="shared" si="6"/>
        <v/>
      </c>
      <c r="X117" s="161" t="str">
        <f t="shared" si="7"/>
        <v/>
      </c>
    </row>
    <row r="118" spans="1:25" s="76" customFormat="1" ht="15.75" customHeight="1" x14ac:dyDescent="0.2">
      <c r="C118" s="77"/>
      <c r="D118" s="78"/>
      <c r="F118" s="82"/>
      <c r="G118" s="117"/>
      <c r="H118" s="117"/>
      <c r="I118" s="117"/>
      <c r="J118" s="117"/>
      <c r="K118" s="117"/>
      <c r="L118" s="117"/>
      <c r="M118" s="117"/>
      <c r="N118" s="117"/>
      <c r="U118" s="189"/>
      <c r="V118" s="160">
        <f>'Additional information'!$D$18</f>
        <v>0.91</v>
      </c>
      <c r="W118" s="161" t="str">
        <f t="shared" si="6"/>
        <v/>
      </c>
      <c r="X118" s="161" t="str">
        <f t="shared" si="7"/>
        <v/>
      </c>
      <c r="Y118" s="75"/>
    </row>
    <row r="119" spans="1:25" s="95" customFormat="1" ht="15.75" customHeight="1" x14ac:dyDescent="0.2">
      <c r="A119" s="95" t="s">
        <v>275</v>
      </c>
      <c r="B119" s="95" t="s">
        <v>276</v>
      </c>
      <c r="C119" s="239" t="s">
        <v>277</v>
      </c>
      <c r="D119" s="240"/>
      <c r="F119" s="241"/>
      <c r="G119" s="124"/>
      <c r="H119" s="124"/>
      <c r="I119" s="124"/>
      <c r="J119" s="124"/>
      <c r="K119" s="124" t="s">
        <v>278</v>
      </c>
      <c r="L119" s="124"/>
      <c r="M119" s="124"/>
      <c r="N119" s="124"/>
      <c r="U119" s="242"/>
      <c r="V119" s="243"/>
      <c r="W119" s="244"/>
      <c r="X119" s="244"/>
    </row>
    <row r="120" spans="1:25" s="95" customFormat="1" ht="15.75" customHeight="1" x14ac:dyDescent="0.2">
      <c r="A120" s="95" t="s">
        <v>119</v>
      </c>
      <c r="B120" s="95" t="s">
        <v>279</v>
      </c>
      <c r="C120" s="239" t="s">
        <v>280</v>
      </c>
      <c r="D120" s="240"/>
      <c r="F120" s="241"/>
      <c r="G120" s="124"/>
      <c r="H120" s="124"/>
      <c r="I120" s="124"/>
      <c r="J120" s="124"/>
      <c r="K120" s="124" t="s">
        <v>278</v>
      </c>
      <c r="L120" s="124"/>
      <c r="M120" s="124"/>
      <c r="N120" s="124"/>
      <c r="U120" s="242"/>
      <c r="V120" s="243"/>
      <c r="W120" s="244"/>
      <c r="X120" s="244"/>
    </row>
    <row r="121" spans="1:25" s="75" customFormat="1" ht="16" customHeight="1" x14ac:dyDescent="0.2">
      <c r="A121" s="75" t="s">
        <v>281</v>
      </c>
      <c r="B121" s="75" t="s">
        <v>282</v>
      </c>
      <c r="C121" s="46" t="s">
        <v>283</v>
      </c>
      <c r="D121" s="98"/>
      <c r="E121" s="75" t="s">
        <v>284</v>
      </c>
      <c r="F121" s="100"/>
      <c r="G121" s="128" t="s">
        <v>36</v>
      </c>
      <c r="H121" s="128"/>
      <c r="I121" s="128" t="s">
        <v>285</v>
      </c>
      <c r="J121" s="128"/>
      <c r="K121" s="128" t="s">
        <v>270</v>
      </c>
      <c r="L121" s="128"/>
      <c r="M121" s="128"/>
      <c r="N121" s="128"/>
      <c r="S121" s="75" t="s">
        <v>46</v>
      </c>
      <c r="U121" s="189">
        <v>17.928909301757809</v>
      </c>
      <c r="V121" s="160">
        <f>'Additional information'!$D$18</f>
        <v>0.91</v>
      </c>
      <c r="W121" s="161">
        <f t="shared" ref="W121:W130" si="8">IF(U121&lt;&gt;"",U121*V121,"")</f>
        <v>16.315307464599606</v>
      </c>
      <c r="X121" s="161" t="str">
        <f t="shared" ref="X121:X130" si="9">IF(AND(U121&lt;&gt;"",S121="yes"),U121*V121,"")</f>
        <v/>
      </c>
    </row>
    <row r="122" spans="1:25" s="76" customFormat="1" x14ac:dyDescent="0.2">
      <c r="C122" s="77"/>
      <c r="D122" s="78"/>
      <c r="F122" s="82"/>
      <c r="G122" s="117"/>
      <c r="H122" s="117"/>
      <c r="I122" s="117"/>
      <c r="J122" s="117"/>
      <c r="K122" s="117"/>
      <c r="L122" s="117"/>
      <c r="M122" s="117"/>
      <c r="N122" s="117"/>
      <c r="U122" s="189"/>
      <c r="V122" s="160">
        <f>'Additional information'!$D$18</f>
        <v>0.91</v>
      </c>
      <c r="W122" s="161" t="str">
        <f t="shared" si="8"/>
        <v/>
      </c>
      <c r="X122" s="161" t="str">
        <f t="shared" si="9"/>
        <v/>
      </c>
      <c r="Y122" s="75"/>
    </row>
    <row r="123" spans="1:25" ht="32" customHeight="1" x14ac:dyDescent="0.2">
      <c r="A123" s="74" t="s">
        <v>193</v>
      </c>
      <c r="B123" s="74" t="s">
        <v>286</v>
      </c>
      <c r="C123" s="43" t="s">
        <v>287</v>
      </c>
      <c r="D123" s="87"/>
      <c r="E123" s="74"/>
      <c r="F123" s="88"/>
      <c r="G123" s="116" t="s">
        <v>36</v>
      </c>
      <c r="H123" s="116"/>
      <c r="I123" s="116"/>
      <c r="J123" s="116"/>
      <c r="K123" s="118" t="s">
        <v>270</v>
      </c>
      <c r="L123" s="116"/>
      <c r="M123" s="116"/>
      <c r="N123" s="116"/>
      <c r="S123" s="44" t="s">
        <v>38</v>
      </c>
      <c r="U123" s="189">
        <v>25.436874389648441</v>
      </c>
      <c r="V123" s="160">
        <f>'Additional information'!$D$18</f>
        <v>0.91</v>
      </c>
      <c r="W123" s="161">
        <f t="shared" si="8"/>
        <v>23.147555694580081</v>
      </c>
      <c r="X123" s="161">
        <f t="shared" si="9"/>
        <v>23.147555694580081</v>
      </c>
    </row>
    <row r="124" spans="1:25" x14ac:dyDescent="0.2">
      <c r="D124" s="87"/>
      <c r="F124" s="88"/>
      <c r="K124" s="128"/>
      <c r="U124" s="189"/>
      <c r="V124" s="160">
        <f>'Additional information'!$D$18</f>
        <v>0.91</v>
      </c>
      <c r="W124" s="161" t="str">
        <f t="shared" si="8"/>
        <v/>
      </c>
      <c r="X124" s="161" t="str">
        <f t="shared" si="9"/>
        <v/>
      </c>
    </row>
    <row r="125" spans="1:25" ht="32" customHeight="1" x14ac:dyDescent="0.2">
      <c r="A125" s="74" t="s">
        <v>193</v>
      </c>
      <c r="B125" s="74" t="s">
        <v>288</v>
      </c>
      <c r="C125" s="43" t="s">
        <v>289</v>
      </c>
      <c r="D125" s="87"/>
      <c r="F125" s="88"/>
      <c r="G125" s="116" t="s">
        <v>36</v>
      </c>
      <c r="H125" s="116"/>
      <c r="I125" s="116"/>
      <c r="J125" s="116"/>
      <c r="K125" s="118" t="s">
        <v>270</v>
      </c>
      <c r="L125" s="116"/>
      <c r="M125" s="116"/>
      <c r="N125" s="116"/>
      <c r="S125" s="44" t="s">
        <v>38</v>
      </c>
      <c r="U125" s="189">
        <v>19.364946365356449</v>
      </c>
      <c r="V125" s="160">
        <f>'Additional information'!$D$18</f>
        <v>0.91</v>
      </c>
      <c r="W125" s="161">
        <f t="shared" si="8"/>
        <v>17.622101192474368</v>
      </c>
      <c r="X125" s="161">
        <f t="shared" si="9"/>
        <v>17.622101192474368</v>
      </c>
    </row>
    <row r="126" spans="1:25" s="75" customFormat="1" ht="16" customHeight="1" x14ac:dyDescent="0.2">
      <c r="A126" s="75" t="s">
        <v>176</v>
      </c>
      <c r="B126" s="75" t="s">
        <v>290</v>
      </c>
      <c r="C126" s="46" t="s">
        <v>291</v>
      </c>
      <c r="D126" s="98"/>
      <c r="E126" s="75" t="s">
        <v>292</v>
      </c>
      <c r="F126" s="100"/>
      <c r="G126" s="128" t="s">
        <v>36</v>
      </c>
      <c r="H126" s="128"/>
      <c r="I126" s="128" t="s">
        <v>251</v>
      </c>
      <c r="J126" s="128"/>
      <c r="K126" s="128" t="s">
        <v>270</v>
      </c>
      <c r="L126" s="128"/>
      <c r="M126" s="128"/>
      <c r="N126" s="128"/>
      <c r="S126" s="75" t="s">
        <v>46</v>
      </c>
      <c r="U126" s="189">
        <v>17</v>
      </c>
      <c r="V126" s="160">
        <f>'Additional information'!$D$18</f>
        <v>0.91</v>
      </c>
      <c r="W126" s="161">
        <f t="shared" si="8"/>
        <v>15.47</v>
      </c>
      <c r="X126" s="161" t="str">
        <f t="shared" si="9"/>
        <v/>
      </c>
    </row>
    <row r="127" spans="1:25" s="75" customFormat="1" ht="16" customHeight="1" x14ac:dyDescent="0.2">
      <c r="A127" s="75" t="s">
        <v>293</v>
      </c>
      <c r="B127" s="75" t="s">
        <v>294</v>
      </c>
      <c r="C127" s="46" t="s">
        <v>295</v>
      </c>
      <c r="D127" s="98"/>
      <c r="F127" s="100"/>
      <c r="G127" s="128" t="s">
        <v>36</v>
      </c>
      <c r="H127" s="128"/>
      <c r="I127" s="128"/>
      <c r="J127" s="128"/>
      <c r="K127" s="128" t="s">
        <v>296</v>
      </c>
      <c r="L127" s="128"/>
      <c r="M127" s="128"/>
      <c r="N127" s="128"/>
      <c r="S127" s="75" t="s">
        <v>46</v>
      </c>
      <c r="U127" s="189">
        <v>17</v>
      </c>
      <c r="V127" s="160">
        <f>'Additional information'!$D$18</f>
        <v>0.91</v>
      </c>
      <c r="W127" s="161">
        <f t="shared" si="8"/>
        <v>15.47</v>
      </c>
      <c r="X127" s="161" t="str">
        <f t="shared" si="9"/>
        <v/>
      </c>
    </row>
    <row r="128" spans="1:25" s="75" customFormat="1" x14ac:dyDescent="0.2">
      <c r="A128" s="75" t="s">
        <v>24</v>
      </c>
      <c r="B128" s="75" t="s">
        <v>297</v>
      </c>
      <c r="C128" s="46"/>
      <c r="D128" s="98"/>
      <c r="F128" s="100"/>
      <c r="G128" s="128"/>
      <c r="H128" s="128"/>
      <c r="I128" s="128"/>
      <c r="J128" s="128"/>
      <c r="K128" s="128"/>
      <c r="L128" s="128"/>
      <c r="M128" s="128"/>
      <c r="N128" s="128" t="s">
        <v>298</v>
      </c>
      <c r="S128" s="75" t="s">
        <v>46</v>
      </c>
      <c r="U128" s="189"/>
      <c r="V128" s="160">
        <f>'Additional information'!$D$18</f>
        <v>0.91</v>
      </c>
      <c r="W128" s="161" t="str">
        <f t="shared" si="8"/>
        <v/>
      </c>
      <c r="X128" s="161" t="str">
        <f t="shared" si="9"/>
        <v/>
      </c>
    </row>
    <row r="129" spans="1:25" s="75" customFormat="1" ht="16" customHeight="1" x14ac:dyDescent="0.2">
      <c r="A129" s="75" t="s">
        <v>176</v>
      </c>
      <c r="B129" s="75" t="s">
        <v>299</v>
      </c>
      <c r="C129" s="46" t="s">
        <v>300</v>
      </c>
      <c r="D129" s="98"/>
      <c r="E129" s="75" t="s">
        <v>301</v>
      </c>
      <c r="F129" s="100"/>
      <c r="G129" s="128" t="s">
        <v>36</v>
      </c>
      <c r="H129" s="128"/>
      <c r="I129" s="128"/>
      <c r="J129" s="128"/>
      <c r="K129" s="128" t="s">
        <v>302</v>
      </c>
      <c r="L129" s="128"/>
      <c r="M129" s="128"/>
      <c r="N129" s="128"/>
      <c r="S129" s="75" t="s">
        <v>46</v>
      </c>
      <c r="U129" s="189">
        <v>17</v>
      </c>
      <c r="V129" s="160">
        <f>'Additional information'!$D$18</f>
        <v>0.91</v>
      </c>
      <c r="W129" s="161">
        <f t="shared" si="8"/>
        <v>15.47</v>
      </c>
      <c r="X129" s="161" t="str">
        <f t="shared" si="9"/>
        <v/>
      </c>
    </row>
    <row r="130" spans="1:25" s="75" customFormat="1" ht="32" customHeight="1" x14ac:dyDescent="0.2">
      <c r="A130" s="75" t="s">
        <v>68</v>
      </c>
      <c r="B130" s="75" t="s">
        <v>303</v>
      </c>
      <c r="C130" s="46" t="s">
        <v>304</v>
      </c>
      <c r="D130" s="98"/>
      <c r="E130" s="75" t="s">
        <v>301</v>
      </c>
      <c r="F130" s="100"/>
      <c r="G130" s="128" t="s">
        <v>36</v>
      </c>
      <c r="H130" s="128"/>
      <c r="I130" s="128" t="s">
        <v>251</v>
      </c>
      <c r="J130" s="128"/>
      <c r="K130" s="128" t="s">
        <v>305</v>
      </c>
      <c r="L130" s="128"/>
      <c r="M130" s="128"/>
      <c r="N130" s="128"/>
      <c r="S130" s="75" t="s">
        <v>46</v>
      </c>
      <c r="U130" s="189">
        <v>17</v>
      </c>
      <c r="V130" s="160">
        <f>'Additional information'!$D$18</f>
        <v>0.91</v>
      </c>
      <c r="W130" s="161">
        <f t="shared" si="8"/>
        <v>15.47</v>
      </c>
      <c r="X130" s="161" t="str">
        <f t="shared" si="9"/>
        <v/>
      </c>
    </row>
    <row r="131" spans="1:25" s="75" customFormat="1" x14ac:dyDescent="0.2">
      <c r="C131" s="46"/>
      <c r="D131" s="98"/>
      <c r="F131" s="100"/>
      <c r="G131" s="128"/>
      <c r="H131" s="128"/>
      <c r="I131" s="128"/>
      <c r="J131" s="128"/>
      <c r="K131" s="128"/>
      <c r="L131" s="128"/>
      <c r="M131" s="128"/>
      <c r="N131" s="128"/>
      <c r="U131" s="189"/>
      <c r="V131" s="160"/>
      <c r="W131" s="161"/>
      <c r="X131" s="161"/>
    </row>
    <row r="132" spans="1:25" s="254" customFormat="1" ht="32" customHeight="1" x14ac:dyDescent="0.2">
      <c r="A132" s="254" t="s">
        <v>68</v>
      </c>
      <c r="B132" s="254" t="s">
        <v>306</v>
      </c>
      <c r="C132" s="255" t="s">
        <v>307</v>
      </c>
      <c r="D132" s="255"/>
      <c r="E132" s="254" t="s">
        <v>308</v>
      </c>
      <c r="G132" s="256"/>
      <c r="H132" s="256"/>
      <c r="I132" s="257" t="s">
        <v>309</v>
      </c>
      <c r="J132" s="256"/>
      <c r="K132" s="256" t="s">
        <v>305</v>
      </c>
      <c r="L132" s="256"/>
      <c r="M132" s="256"/>
      <c r="N132" s="256"/>
      <c r="S132" s="254" t="s">
        <v>46</v>
      </c>
      <c r="U132" s="217"/>
      <c r="V132" s="218"/>
      <c r="W132" s="219"/>
      <c r="X132" s="219"/>
    </row>
    <row r="133" spans="1:25" s="254" customFormat="1" ht="16" customHeight="1" x14ac:dyDescent="0.2">
      <c r="A133" s="254" t="s">
        <v>310</v>
      </c>
      <c r="B133" s="254" t="s">
        <v>311</v>
      </c>
      <c r="C133" s="255" t="s">
        <v>312</v>
      </c>
      <c r="D133" s="255"/>
      <c r="G133" s="256"/>
      <c r="H133" s="256"/>
      <c r="I133" s="256"/>
      <c r="J133" s="256"/>
      <c r="K133" s="256" t="s">
        <v>313</v>
      </c>
      <c r="L133" s="256"/>
      <c r="M133" s="256"/>
      <c r="N133" s="256"/>
      <c r="S133" s="254" t="s">
        <v>46</v>
      </c>
      <c r="U133" s="217"/>
      <c r="V133" s="218"/>
      <c r="W133" s="219"/>
      <c r="X133" s="219"/>
    </row>
    <row r="134" spans="1:25" s="76" customFormat="1" x14ac:dyDescent="0.2">
      <c r="C134" s="77"/>
      <c r="D134" s="78"/>
      <c r="F134" s="82"/>
      <c r="G134" s="117"/>
      <c r="H134" s="117"/>
      <c r="I134" s="117"/>
      <c r="J134" s="117"/>
      <c r="K134" s="117"/>
      <c r="L134" s="117"/>
      <c r="M134" s="117"/>
      <c r="N134" s="117"/>
      <c r="U134" s="189"/>
      <c r="V134" s="160">
        <f>'Additional information'!$D$18</f>
        <v>0.91</v>
      </c>
      <c r="W134" s="161" t="str">
        <f t="shared" ref="W134:W144" si="10">IF(U134&lt;&gt;"",U134*V134,"")</f>
        <v/>
      </c>
      <c r="X134" s="161" t="str">
        <f t="shared" ref="X134:X142" si="11">IF(AND(U134&lt;&gt;"",S134="yes"),U134*V134,"")</f>
        <v/>
      </c>
      <c r="Y134" s="75"/>
    </row>
    <row r="135" spans="1:25" ht="32" customHeight="1" x14ac:dyDescent="0.2">
      <c r="A135" s="74" t="s">
        <v>119</v>
      </c>
      <c r="B135" s="74" t="s">
        <v>314</v>
      </c>
      <c r="C135" s="43" t="s">
        <v>315</v>
      </c>
      <c r="D135" s="87"/>
      <c r="F135" s="88"/>
      <c r="G135" s="116" t="s">
        <v>36</v>
      </c>
      <c r="H135" s="116"/>
      <c r="I135" s="116"/>
      <c r="J135" s="116"/>
      <c r="K135" s="118" t="s">
        <v>316</v>
      </c>
      <c r="L135" s="116"/>
      <c r="M135" s="116"/>
      <c r="N135" s="116"/>
      <c r="S135" s="44" t="s">
        <v>38</v>
      </c>
      <c r="U135" s="189">
        <v>13.458864212036129</v>
      </c>
      <c r="V135" s="160">
        <f>'Additional information'!$D$18</f>
        <v>0.91</v>
      </c>
      <c r="W135" s="161">
        <f t="shared" si="10"/>
        <v>12.247566432952878</v>
      </c>
      <c r="X135" s="161">
        <f t="shared" si="11"/>
        <v>12.247566432952878</v>
      </c>
    </row>
    <row r="136" spans="1:25" ht="16" customHeight="1" x14ac:dyDescent="0.2">
      <c r="A136" s="74" t="s">
        <v>317</v>
      </c>
      <c r="B136" s="74" t="s">
        <v>318</v>
      </c>
      <c r="C136" s="43" t="s">
        <v>319</v>
      </c>
      <c r="D136" s="87"/>
      <c r="E136" s="44" t="s">
        <v>320</v>
      </c>
      <c r="F136" s="88"/>
      <c r="G136" s="116" t="s">
        <v>36</v>
      </c>
      <c r="H136" s="116"/>
      <c r="I136" s="118" t="s">
        <v>285</v>
      </c>
      <c r="J136" s="116"/>
      <c r="K136" s="118" t="s">
        <v>321</v>
      </c>
      <c r="L136" s="116"/>
      <c r="M136" s="116"/>
      <c r="N136" s="116"/>
      <c r="S136" s="44" t="s">
        <v>38</v>
      </c>
      <c r="U136" s="189">
        <v>37.523288726806641</v>
      </c>
      <c r="V136" s="160">
        <f>'Additional information'!$D$18</f>
        <v>0.91</v>
      </c>
      <c r="W136" s="161">
        <f t="shared" si="10"/>
        <v>34.146192741394046</v>
      </c>
      <c r="X136" s="161">
        <f t="shared" si="11"/>
        <v>34.146192741394046</v>
      </c>
    </row>
    <row r="137" spans="1:25" x14ac:dyDescent="0.2">
      <c r="D137" s="87"/>
      <c r="F137" s="88"/>
      <c r="K137" s="128"/>
      <c r="U137" s="189"/>
      <c r="V137" s="160">
        <f>'Additional information'!$D$18</f>
        <v>0.91</v>
      </c>
      <c r="W137" s="161" t="str">
        <f t="shared" si="10"/>
        <v/>
      </c>
      <c r="X137" s="161" t="str">
        <f t="shared" si="11"/>
        <v/>
      </c>
    </row>
    <row r="138" spans="1:25" s="75" customFormat="1" ht="32" customHeight="1" x14ac:dyDescent="0.2">
      <c r="A138" s="75" t="s">
        <v>322</v>
      </c>
      <c r="B138" s="75" t="s">
        <v>323</v>
      </c>
      <c r="C138" s="46" t="s">
        <v>324</v>
      </c>
      <c r="D138" s="98"/>
      <c r="F138" s="100"/>
      <c r="G138" s="128" t="s">
        <v>36</v>
      </c>
      <c r="H138" s="128"/>
      <c r="I138" s="128"/>
      <c r="J138" s="128"/>
      <c r="K138" s="128" t="s">
        <v>325</v>
      </c>
      <c r="L138" s="128"/>
      <c r="M138" s="128"/>
      <c r="N138" s="128"/>
      <c r="S138" s="75" t="s">
        <v>46</v>
      </c>
      <c r="U138" s="189">
        <v>17</v>
      </c>
      <c r="V138" s="160">
        <f>'Additional information'!$D$18</f>
        <v>0.91</v>
      </c>
      <c r="W138" s="161">
        <f t="shared" si="10"/>
        <v>15.47</v>
      </c>
      <c r="X138" s="161" t="str">
        <f t="shared" si="11"/>
        <v/>
      </c>
    </row>
    <row r="139" spans="1:25" s="75" customFormat="1" ht="16" customHeight="1" x14ac:dyDescent="0.2">
      <c r="A139" s="75" t="s">
        <v>326</v>
      </c>
      <c r="B139" s="75" t="s">
        <v>327</v>
      </c>
      <c r="C139" s="46" t="s">
        <v>328</v>
      </c>
      <c r="D139" s="98"/>
      <c r="E139" s="75" t="s">
        <v>329</v>
      </c>
      <c r="F139" s="100"/>
      <c r="G139" s="128" t="s">
        <v>36</v>
      </c>
      <c r="H139" s="128" t="s">
        <v>102</v>
      </c>
      <c r="I139" s="128" t="s">
        <v>330</v>
      </c>
      <c r="J139" s="128"/>
      <c r="K139" s="128" t="s">
        <v>325</v>
      </c>
      <c r="L139" s="128" t="s">
        <v>331</v>
      </c>
      <c r="M139" s="128"/>
      <c r="N139" s="128"/>
      <c r="S139" s="75" t="s">
        <v>46</v>
      </c>
      <c r="U139" s="189">
        <v>17</v>
      </c>
      <c r="V139" s="160">
        <f>'Additional information'!$D$18</f>
        <v>0.91</v>
      </c>
      <c r="W139" s="161">
        <f t="shared" si="10"/>
        <v>15.47</v>
      </c>
      <c r="X139" s="161" t="str">
        <f t="shared" si="11"/>
        <v/>
      </c>
    </row>
    <row r="140" spans="1:25" x14ac:dyDescent="0.2">
      <c r="D140" s="87"/>
      <c r="F140" s="88"/>
      <c r="K140" s="128"/>
      <c r="U140" s="189"/>
      <c r="V140" s="160">
        <f>'Additional information'!$D$18</f>
        <v>0.91</v>
      </c>
      <c r="W140" s="161" t="str">
        <f t="shared" si="10"/>
        <v/>
      </c>
      <c r="X140" s="161" t="str">
        <f t="shared" si="11"/>
        <v/>
      </c>
    </row>
    <row r="141" spans="1:25" ht="16" customHeight="1" thickBot="1" x14ac:dyDescent="0.25">
      <c r="A141" s="101" t="s">
        <v>115</v>
      </c>
      <c r="B141" s="101"/>
      <c r="C141" s="102"/>
      <c r="D141" s="108"/>
      <c r="E141" s="101"/>
      <c r="F141" s="109"/>
      <c r="G141" s="129"/>
      <c r="H141" s="129"/>
      <c r="I141" s="129"/>
      <c r="J141" s="129"/>
      <c r="K141" s="129"/>
      <c r="L141" s="129"/>
      <c r="M141" s="129"/>
      <c r="N141" s="129"/>
      <c r="U141" s="189"/>
      <c r="W141" s="161" t="str">
        <f t="shared" si="10"/>
        <v/>
      </c>
      <c r="X141" s="161" t="str">
        <f t="shared" si="11"/>
        <v/>
      </c>
    </row>
    <row r="142" spans="1:25" s="72" customFormat="1" ht="17" customHeight="1" thickTop="1" x14ac:dyDescent="0.2">
      <c r="A142" s="69" t="s">
        <v>58</v>
      </c>
      <c r="B142" s="69" t="s">
        <v>332</v>
      </c>
      <c r="C142" s="93" t="s">
        <v>333</v>
      </c>
      <c r="D142" s="70"/>
      <c r="E142" s="69"/>
      <c r="F142" s="71"/>
      <c r="G142" s="121" t="s">
        <v>45</v>
      </c>
      <c r="H142" s="121"/>
      <c r="I142" s="121"/>
      <c r="J142" s="121"/>
      <c r="K142" s="121" t="s">
        <v>334</v>
      </c>
      <c r="L142" s="121"/>
      <c r="M142" s="121"/>
      <c r="N142" s="121"/>
      <c r="S142" s="44" t="s">
        <v>38</v>
      </c>
      <c r="U142" s="189"/>
      <c r="V142" s="160"/>
      <c r="W142" s="161" t="str">
        <f t="shared" si="10"/>
        <v/>
      </c>
      <c r="X142" s="161" t="str">
        <f t="shared" si="11"/>
        <v/>
      </c>
      <c r="Y142" s="73"/>
    </row>
    <row r="143" spans="1:25" ht="16" customHeight="1" x14ac:dyDescent="0.2">
      <c r="A143" s="74" t="s">
        <v>119</v>
      </c>
      <c r="B143" s="74" t="s">
        <v>335</v>
      </c>
      <c r="C143" s="80" t="s">
        <v>336</v>
      </c>
      <c r="D143" s="87"/>
      <c r="F143" s="88"/>
      <c r="G143" s="118" t="s">
        <v>36</v>
      </c>
      <c r="H143" s="118"/>
      <c r="I143" s="118"/>
      <c r="J143" s="118"/>
      <c r="K143" s="118"/>
      <c r="L143" s="79"/>
      <c r="M143" s="118"/>
      <c r="N143" s="118"/>
      <c r="S143" s="44" t="s">
        <v>38</v>
      </c>
      <c r="U143" s="189">
        <v>13.55</v>
      </c>
      <c r="V143" s="160">
        <f>'Additional information'!$D$18</f>
        <v>0.91</v>
      </c>
      <c r="W143" s="161">
        <f t="shared" si="10"/>
        <v>12.330500000000001</v>
      </c>
      <c r="X143" s="161"/>
    </row>
    <row r="144" spans="1:25" ht="16" customHeight="1" x14ac:dyDescent="0.2">
      <c r="A144" s="74" t="s">
        <v>337</v>
      </c>
      <c r="B144" s="74" t="s">
        <v>338</v>
      </c>
      <c r="C144" s="43" t="s">
        <v>339</v>
      </c>
      <c r="D144" s="87"/>
      <c r="F144" s="88"/>
      <c r="G144" s="118" t="s">
        <v>36</v>
      </c>
      <c r="H144" s="118" t="s">
        <v>102</v>
      </c>
      <c r="I144" s="118"/>
      <c r="J144" s="118"/>
      <c r="K144" s="118" t="s">
        <v>340</v>
      </c>
      <c r="L144" s="118" t="s">
        <v>331</v>
      </c>
      <c r="M144" s="118"/>
      <c r="N144" s="118"/>
      <c r="S144" s="44" t="s">
        <v>38</v>
      </c>
      <c r="U144" s="189">
        <v>13.55</v>
      </c>
      <c r="V144" s="160">
        <f>'Additional information'!$D$18</f>
        <v>0.91</v>
      </c>
      <c r="W144" s="161">
        <f t="shared" si="10"/>
        <v>12.330500000000001</v>
      </c>
      <c r="X144" s="161"/>
    </row>
    <row r="145" spans="1:25" x14ac:dyDescent="0.2">
      <c r="A145" s="74" t="s">
        <v>24</v>
      </c>
      <c r="B145" s="74" t="s">
        <v>341</v>
      </c>
      <c r="C145" s="43"/>
      <c r="D145" s="87"/>
      <c r="F145" s="88"/>
      <c r="G145" s="118"/>
      <c r="H145" s="118"/>
      <c r="I145" s="118"/>
      <c r="J145" s="118"/>
      <c r="K145" s="118"/>
      <c r="L145" s="118"/>
      <c r="M145" s="118"/>
      <c r="N145" s="118" t="s">
        <v>342</v>
      </c>
      <c r="S145" s="44" t="s">
        <v>38</v>
      </c>
      <c r="U145" s="189"/>
      <c r="V145" s="160">
        <f>'Additional information'!$D$18</f>
        <v>0.91</v>
      </c>
      <c r="W145" s="161"/>
      <c r="X145" s="161"/>
    </row>
    <row r="146" spans="1:25" x14ac:dyDescent="0.2">
      <c r="A146" s="74" t="s">
        <v>24</v>
      </c>
      <c r="B146" s="74" t="s">
        <v>343</v>
      </c>
      <c r="C146" s="43"/>
      <c r="D146" s="87"/>
      <c r="F146" s="88"/>
      <c r="G146" s="118"/>
      <c r="H146" s="118"/>
      <c r="I146" s="118"/>
      <c r="J146" s="118"/>
      <c r="K146" s="118"/>
      <c r="L146" s="118"/>
      <c r="M146" s="118"/>
      <c r="N146" s="118" t="s">
        <v>344</v>
      </c>
      <c r="S146" s="44" t="s">
        <v>38</v>
      </c>
      <c r="U146" s="189"/>
      <c r="V146" s="160">
        <f>'Additional information'!$D$18</f>
        <v>0.91</v>
      </c>
      <c r="W146" s="161"/>
      <c r="X146" s="161"/>
    </row>
    <row r="147" spans="1:25" x14ac:dyDescent="0.2">
      <c r="D147" s="87"/>
      <c r="F147" s="88"/>
      <c r="U147" s="189"/>
      <c r="V147" s="160">
        <f>'Additional information'!$D$18</f>
        <v>0.91</v>
      </c>
      <c r="W147" s="161"/>
      <c r="X147" s="161"/>
    </row>
    <row r="148" spans="1:25" ht="32" customHeight="1" x14ac:dyDescent="0.2">
      <c r="A148" s="74" t="s">
        <v>119</v>
      </c>
      <c r="B148" s="74" t="s">
        <v>345</v>
      </c>
      <c r="C148" s="43" t="s">
        <v>346</v>
      </c>
      <c r="D148" s="87"/>
      <c r="E148" s="99"/>
      <c r="F148" s="104"/>
      <c r="G148" s="116" t="s">
        <v>36</v>
      </c>
      <c r="H148" s="116"/>
      <c r="I148" s="116"/>
      <c r="J148" s="116"/>
      <c r="K148" s="116"/>
      <c r="L148" s="116"/>
      <c r="M148" s="116"/>
      <c r="N148" s="116"/>
      <c r="S148" s="44" t="s">
        <v>38</v>
      </c>
      <c r="U148" s="189">
        <v>12.68148708343506</v>
      </c>
      <c r="V148" s="160">
        <f>'Additional information'!$D$18</f>
        <v>0.91</v>
      </c>
      <c r="W148" s="161">
        <f t="shared" ref="W148:W179" si="12">IF(U148&lt;&gt;"",U148*V148,"")</f>
        <v>11.540153245925906</v>
      </c>
      <c r="X148" s="161">
        <f t="shared" ref="X148:X179" si="13">IF(AND(U148&lt;&gt;"",S148="yes"),U148*V148,"")</f>
        <v>11.540153245925906</v>
      </c>
    </row>
    <row r="149" spans="1:25" ht="32" customHeight="1" x14ac:dyDescent="0.2">
      <c r="A149" s="74" t="s">
        <v>347</v>
      </c>
      <c r="B149" s="74" t="s">
        <v>348</v>
      </c>
      <c r="C149" s="80" t="s">
        <v>349</v>
      </c>
      <c r="D149" s="98"/>
      <c r="E149" s="44" t="s">
        <v>320</v>
      </c>
      <c r="F149" s="88"/>
      <c r="G149" s="116" t="s">
        <v>36</v>
      </c>
      <c r="H149" s="116"/>
      <c r="I149" s="118" t="s">
        <v>350</v>
      </c>
      <c r="J149" s="116"/>
      <c r="K149" s="118" t="s">
        <v>351</v>
      </c>
      <c r="L149" s="116"/>
      <c r="M149" s="116"/>
      <c r="N149" s="116"/>
      <c r="S149" s="44" t="s">
        <v>38</v>
      </c>
      <c r="U149" s="189">
        <v>22.61360931396484</v>
      </c>
      <c r="V149" s="160">
        <f>'Additional information'!$D$18</f>
        <v>0.91</v>
      </c>
      <c r="W149" s="161">
        <f t="shared" si="12"/>
        <v>20.578384475708006</v>
      </c>
      <c r="X149" s="161">
        <f t="shared" si="13"/>
        <v>20.578384475708006</v>
      </c>
    </row>
    <row r="150" spans="1:25" x14ac:dyDescent="0.2">
      <c r="D150" s="87"/>
      <c r="F150" s="88"/>
      <c r="K150" s="128"/>
      <c r="U150" s="189"/>
      <c r="V150" s="160">
        <f>'Additional information'!$D$18</f>
        <v>0.91</v>
      </c>
      <c r="W150" s="161" t="str">
        <f t="shared" si="12"/>
        <v/>
      </c>
      <c r="X150" s="161" t="str">
        <f t="shared" si="13"/>
        <v/>
      </c>
    </row>
    <row r="151" spans="1:25" ht="32" customHeight="1" x14ac:dyDescent="0.2">
      <c r="A151" s="74" t="s">
        <v>193</v>
      </c>
      <c r="B151" s="74" t="s">
        <v>352</v>
      </c>
      <c r="C151" s="80" t="s">
        <v>353</v>
      </c>
      <c r="D151" s="98"/>
      <c r="E151" s="105" t="s">
        <v>354</v>
      </c>
      <c r="F151" s="104"/>
      <c r="G151" s="116" t="s">
        <v>36</v>
      </c>
      <c r="H151" s="116"/>
      <c r="I151" s="116"/>
      <c r="J151" s="116"/>
      <c r="K151" s="118"/>
      <c r="L151" s="116"/>
      <c r="M151" s="116"/>
      <c r="N151" s="116"/>
      <c r="S151" s="44" t="s">
        <v>38</v>
      </c>
      <c r="U151" s="189">
        <v>21.701908111572269</v>
      </c>
      <c r="V151" s="160">
        <f>'Additional information'!$D$18</f>
        <v>0.91</v>
      </c>
      <c r="W151" s="161">
        <f t="shared" si="12"/>
        <v>19.748736381530765</v>
      </c>
      <c r="X151" s="161">
        <f t="shared" si="13"/>
        <v>19.748736381530765</v>
      </c>
    </row>
    <row r="152" spans="1:25" x14ac:dyDescent="0.2">
      <c r="C152" s="46"/>
      <c r="D152" s="98"/>
      <c r="E152" s="99"/>
      <c r="F152" s="104"/>
      <c r="K152" s="128"/>
      <c r="U152" s="189"/>
      <c r="V152" s="160">
        <f>'Additional information'!$D$18</f>
        <v>0.91</v>
      </c>
      <c r="W152" s="161" t="str">
        <f t="shared" si="12"/>
        <v/>
      </c>
      <c r="X152" s="161" t="str">
        <f t="shared" si="13"/>
        <v/>
      </c>
    </row>
    <row r="153" spans="1:25" ht="16" customHeight="1" thickBot="1" x14ac:dyDescent="0.25">
      <c r="A153" s="101" t="s">
        <v>115</v>
      </c>
      <c r="B153" s="101"/>
      <c r="C153" s="102"/>
      <c r="D153" s="108"/>
      <c r="E153" s="101"/>
      <c r="F153" s="109"/>
      <c r="G153" s="129"/>
      <c r="H153" s="129"/>
      <c r="I153" s="129"/>
      <c r="J153" s="129"/>
      <c r="K153" s="129"/>
      <c r="L153" s="129"/>
      <c r="M153" s="129"/>
      <c r="N153" s="129"/>
      <c r="U153" s="189"/>
      <c r="W153" s="161" t="str">
        <f t="shared" si="12"/>
        <v/>
      </c>
      <c r="X153" s="161" t="str">
        <f t="shared" si="13"/>
        <v/>
      </c>
    </row>
    <row r="154" spans="1:25" s="72" customFormat="1" ht="17" customHeight="1" thickTop="1" x14ac:dyDescent="0.2">
      <c r="A154" s="69" t="s">
        <v>58</v>
      </c>
      <c r="B154" s="69" t="s">
        <v>355</v>
      </c>
      <c r="C154" s="93" t="s">
        <v>356</v>
      </c>
      <c r="D154" s="70"/>
      <c r="E154" s="69"/>
      <c r="F154" s="71"/>
      <c r="G154" s="121" t="s">
        <v>45</v>
      </c>
      <c r="H154" s="121"/>
      <c r="I154" s="121"/>
      <c r="J154" s="121"/>
      <c r="K154" s="121" t="s">
        <v>357</v>
      </c>
      <c r="L154" s="121"/>
      <c r="M154" s="121"/>
      <c r="N154" s="121"/>
      <c r="S154" s="44" t="s">
        <v>38</v>
      </c>
      <c r="U154" s="189"/>
      <c r="V154" s="73"/>
      <c r="W154" s="161" t="str">
        <f t="shared" si="12"/>
        <v/>
      </c>
      <c r="X154" s="161" t="str">
        <f t="shared" si="13"/>
        <v/>
      </c>
      <c r="Y154" s="73"/>
    </row>
    <row r="155" spans="1:25" ht="32" customHeight="1" x14ac:dyDescent="0.2">
      <c r="A155" s="74" t="s">
        <v>41</v>
      </c>
      <c r="B155" s="74" t="s">
        <v>358</v>
      </c>
      <c r="C155" s="43" t="s">
        <v>359</v>
      </c>
      <c r="D155" s="87"/>
      <c r="E155" s="74"/>
      <c r="F155" s="88"/>
      <c r="G155" s="116"/>
      <c r="H155" s="116"/>
      <c r="I155" s="116"/>
      <c r="J155" s="116"/>
      <c r="K155" s="116"/>
      <c r="L155" s="116"/>
      <c r="M155" s="116"/>
      <c r="N155" s="116"/>
      <c r="S155" s="44" t="s">
        <v>38</v>
      </c>
      <c r="U155" s="189">
        <v>7.5</v>
      </c>
      <c r="V155" s="106">
        <f>'Additional information'!$D$19</f>
        <v>0.91</v>
      </c>
      <c r="W155" s="161">
        <f t="shared" si="12"/>
        <v>6.8250000000000002</v>
      </c>
      <c r="X155" s="161">
        <f t="shared" si="13"/>
        <v>6.8250000000000002</v>
      </c>
    </row>
    <row r="156" spans="1:25" s="72" customFormat="1" x14ac:dyDescent="0.2">
      <c r="C156" s="94"/>
      <c r="D156" s="70"/>
      <c r="F156" s="71"/>
      <c r="G156" s="122"/>
      <c r="H156" s="122"/>
      <c r="I156" s="122"/>
      <c r="J156" s="122"/>
      <c r="K156" s="122"/>
      <c r="L156" s="122"/>
      <c r="M156" s="122"/>
      <c r="N156" s="122"/>
      <c r="S156" s="44"/>
      <c r="U156" s="189"/>
      <c r="V156" s="106">
        <f>'Additional information'!$D$19</f>
        <v>0.91</v>
      </c>
      <c r="W156" s="161" t="str">
        <f t="shared" si="12"/>
        <v/>
      </c>
      <c r="X156" s="161" t="str">
        <f t="shared" si="13"/>
        <v/>
      </c>
      <c r="Y156" s="73"/>
    </row>
    <row r="157" spans="1:25" ht="32" customHeight="1" x14ac:dyDescent="0.2">
      <c r="A157" s="74" t="s">
        <v>360</v>
      </c>
      <c r="B157" s="74" t="s">
        <v>361</v>
      </c>
      <c r="C157" s="43" t="s">
        <v>362</v>
      </c>
      <c r="D157" s="87"/>
      <c r="E157" s="44" t="s">
        <v>363</v>
      </c>
      <c r="F157" s="88"/>
      <c r="G157" s="116" t="s">
        <v>36</v>
      </c>
      <c r="H157" s="116" t="s">
        <v>102</v>
      </c>
      <c r="I157" s="116"/>
      <c r="J157" s="116"/>
      <c r="K157" s="116"/>
      <c r="L157" s="116"/>
      <c r="M157" s="116"/>
      <c r="N157" s="116"/>
      <c r="S157" s="44" t="s">
        <v>38</v>
      </c>
      <c r="U157" s="189">
        <v>20.2944221496582</v>
      </c>
      <c r="V157" s="106">
        <f>'Additional information'!$D$19</f>
        <v>0.91</v>
      </c>
      <c r="W157" s="161">
        <f t="shared" si="12"/>
        <v>18.467924156188964</v>
      </c>
      <c r="X157" s="161">
        <f t="shared" si="13"/>
        <v>18.467924156188964</v>
      </c>
    </row>
    <row r="158" spans="1:25" x14ac:dyDescent="0.2">
      <c r="A158" s="74" t="s">
        <v>24</v>
      </c>
      <c r="B158" s="74" t="s">
        <v>364</v>
      </c>
      <c r="C158" s="43"/>
      <c r="D158" s="87"/>
      <c r="F158" s="88"/>
      <c r="G158" s="116"/>
      <c r="H158" s="116"/>
      <c r="I158" s="116"/>
      <c r="J158" s="116"/>
      <c r="K158" s="116"/>
      <c r="L158" s="116"/>
      <c r="M158" s="116"/>
      <c r="N158" s="116" t="s">
        <v>365</v>
      </c>
      <c r="S158" s="44" t="s">
        <v>38</v>
      </c>
      <c r="U158" s="189"/>
      <c r="V158" s="106">
        <f>'Additional information'!$D$19</f>
        <v>0.91</v>
      </c>
      <c r="W158" s="161" t="str">
        <f t="shared" si="12"/>
        <v/>
      </c>
      <c r="X158" s="161" t="str">
        <f t="shared" si="13"/>
        <v/>
      </c>
    </row>
    <row r="159" spans="1:25" x14ac:dyDescent="0.2">
      <c r="D159" s="87"/>
      <c r="F159" s="88"/>
      <c r="K159" s="128"/>
      <c r="U159" s="189"/>
      <c r="V159" s="106">
        <f>'Additional information'!$D$19</f>
        <v>0.91</v>
      </c>
      <c r="W159" s="161" t="str">
        <f t="shared" si="12"/>
        <v/>
      </c>
      <c r="X159" s="161" t="str">
        <f t="shared" si="13"/>
        <v/>
      </c>
    </row>
    <row r="160" spans="1:25" ht="16" customHeight="1" x14ac:dyDescent="0.2">
      <c r="A160" s="74" t="s">
        <v>68</v>
      </c>
      <c r="B160" s="74" t="s">
        <v>366</v>
      </c>
      <c r="C160" s="43" t="s">
        <v>367</v>
      </c>
      <c r="D160" s="87"/>
      <c r="E160" s="74" t="s">
        <v>368</v>
      </c>
      <c r="F160" s="88"/>
      <c r="G160" s="116" t="s">
        <v>36</v>
      </c>
      <c r="H160" s="116"/>
      <c r="I160" s="116" t="s">
        <v>369</v>
      </c>
      <c r="J160" s="116"/>
      <c r="K160" s="116" t="s">
        <v>370</v>
      </c>
      <c r="L160" s="116"/>
      <c r="M160" s="116"/>
      <c r="N160" s="116"/>
      <c r="S160" s="44" t="s">
        <v>38</v>
      </c>
      <c r="U160" s="189">
        <v>18.539077758789059</v>
      </c>
      <c r="V160" s="106">
        <f>'Additional information'!$D$19</f>
        <v>0.91</v>
      </c>
      <c r="W160" s="161">
        <f t="shared" si="12"/>
        <v>16.870560760498044</v>
      </c>
      <c r="X160" s="161">
        <f t="shared" si="13"/>
        <v>16.870560760498044</v>
      </c>
    </row>
    <row r="161" spans="1:25" ht="16" customHeight="1" x14ac:dyDescent="0.2">
      <c r="A161" s="74" t="s">
        <v>68</v>
      </c>
      <c r="B161" s="74" t="s">
        <v>371</v>
      </c>
      <c r="C161" s="43" t="s">
        <v>372</v>
      </c>
      <c r="D161" s="87"/>
      <c r="E161" s="74" t="s">
        <v>368</v>
      </c>
      <c r="F161" s="88"/>
      <c r="G161" s="116" t="s">
        <v>36</v>
      </c>
      <c r="H161" s="116"/>
      <c r="I161" s="116" t="s">
        <v>369</v>
      </c>
      <c r="J161" s="116"/>
      <c r="K161" s="116" t="s">
        <v>370</v>
      </c>
      <c r="L161" s="116"/>
      <c r="M161" s="116"/>
      <c r="N161" s="116"/>
      <c r="S161" s="44" t="s">
        <v>38</v>
      </c>
      <c r="U161" s="189">
        <v>8.9158916473388672</v>
      </c>
      <c r="V161" s="106">
        <f>'Additional information'!$D$19</f>
        <v>0.91</v>
      </c>
      <c r="W161" s="161">
        <f t="shared" si="12"/>
        <v>8.1134613990783695</v>
      </c>
      <c r="X161" s="161">
        <f t="shared" si="13"/>
        <v>8.1134613990783695</v>
      </c>
    </row>
    <row r="162" spans="1:25" ht="16" customHeight="1" x14ac:dyDescent="0.2">
      <c r="A162" s="74" t="s">
        <v>24</v>
      </c>
      <c r="B162" s="74" t="s">
        <v>373</v>
      </c>
      <c r="C162" s="43" t="s">
        <v>374</v>
      </c>
      <c r="D162" s="87"/>
      <c r="E162" s="74"/>
      <c r="F162" s="88"/>
      <c r="G162" s="116" t="s">
        <v>36</v>
      </c>
      <c r="H162" s="116"/>
      <c r="I162" s="116"/>
      <c r="J162" s="116"/>
      <c r="K162" s="116" t="s">
        <v>375</v>
      </c>
      <c r="L162" s="116"/>
      <c r="M162" s="116"/>
      <c r="N162" s="116" t="s">
        <v>376</v>
      </c>
      <c r="S162" s="44" t="s">
        <v>38</v>
      </c>
      <c r="U162" s="189"/>
      <c r="V162" s="106">
        <f>'Additional information'!$D$19</f>
        <v>0.91</v>
      </c>
      <c r="W162" s="161" t="str">
        <f t="shared" si="12"/>
        <v/>
      </c>
      <c r="X162" s="161" t="str">
        <f t="shared" si="13"/>
        <v/>
      </c>
    </row>
    <row r="163" spans="1:25" x14ac:dyDescent="0.2">
      <c r="D163" s="87"/>
      <c r="F163" s="88"/>
      <c r="U163" s="189"/>
      <c r="V163" s="106">
        <f>'Additional information'!$D$19</f>
        <v>0.91</v>
      </c>
      <c r="W163" s="161" t="str">
        <f t="shared" si="12"/>
        <v/>
      </c>
      <c r="X163" s="161" t="str">
        <f t="shared" si="13"/>
        <v/>
      </c>
    </row>
    <row r="164" spans="1:25" ht="16" customHeight="1" x14ac:dyDescent="0.2">
      <c r="A164" s="74" t="s">
        <v>377</v>
      </c>
      <c r="B164" s="74" t="s">
        <v>378</v>
      </c>
      <c r="C164" s="43" t="s">
        <v>379</v>
      </c>
      <c r="D164" s="87"/>
      <c r="E164" s="44" t="s">
        <v>284</v>
      </c>
      <c r="F164" s="88"/>
      <c r="G164" s="116" t="s">
        <v>36</v>
      </c>
      <c r="H164" s="116"/>
      <c r="I164" s="116" t="s">
        <v>380</v>
      </c>
      <c r="J164" s="116"/>
      <c r="K164" s="116" t="s">
        <v>370</v>
      </c>
      <c r="L164" s="116"/>
      <c r="M164" s="116"/>
      <c r="N164" s="116"/>
      <c r="S164" s="44" t="s">
        <v>38</v>
      </c>
      <c r="U164" s="189">
        <v>25.81001091003418</v>
      </c>
      <c r="V164" s="106">
        <f>'Additional information'!$D$19</f>
        <v>0.91</v>
      </c>
      <c r="W164" s="161">
        <f t="shared" si="12"/>
        <v>23.487109928131105</v>
      </c>
      <c r="X164" s="161">
        <f t="shared" si="13"/>
        <v>23.487109928131105</v>
      </c>
    </row>
    <row r="165" spans="1:25" x14ac:dyDescent="0.2">
      <c r="D165" s="87"/>
      <c r="F165" s="88"/>
      <c r="K165" s="128"/>
      <c r="U165" s="189"/>
      <c r="V165" s="106">
        <f>'Additional information'!$D$19</f>
        <v>0.91</v>
      </c>
      <c r="W165" s="161" t="str">
        <f t="shared" si="12"/>
        <v/>
      </c>
      <c r="X165" s="161" t="str">
        <f t="shared" si="13"/>
        <v/>
      </c>
    </row>
    <row r="166" spans="1:25" s="75" customFormat="1" ht="16" customHeight="1" x14ac:dyDescent="0.2">
      <c r="A166" s="75" t="s">
        <v>381</v>
      </c>
      <c r="B166" s="75" t="s">
        <v>382</v>
      </c>
      <c r="C166" s="46" t="s">
        <v>383</v>
      </c>
      <c r="D166" s="98"/>
      <c r="E166" s="75" t="s">
        <v>284</v>
      </c>
      <c r="F166" s="100"/>
      <c r="G166" s="128" t="s">
        <v>36</v>
      </c>
      <c r="H166" s="128"/>
      <c r="I166" s="128" t="s">
        <v>350</v>
      </c>
      <c r="J166" s="128"/>
      <c r="K166" s="128"/>
      <c r="L166" s="128"/>
      <c r="M166" s="128"/>
      <c r="N166" s="128"/>
      <c r="S166" s="75" t="s">
        <v>46</v>
      </c>
      <c r="U166" s="189">
        <v>19.55319786071777</v>
      </c>
      <c r="V166" s="106">
        <f>'Additional information'!$D$19</f>
        <v>0.91</v>
      </c>
      <c r="W166" s="161">
        <f t="shared" si="12"/>
        <v>17.793410053253172</v>
      </c>
      <c r="X166" s="161" t="str">
        <f t="shared" si="13"/>
        <v/>
      </c>
    </row>
    <row r="167" spans="1:25" s="76" customFormat="1" x14ac:dyDescent="0.2">
      <c r="C167" s="77"/>
      <c r="D167" s="78"/>
      <c r="F167" s="82"/>
      <c r="G167" s="117"/>
      <c r="H167" s="117"/>
      <c r="I167" s="117"/>
      <c r="J167" s="117"/>
      <c r="K167" s="117"/>
      <c r="L167" s="117"/>
      <c r="M167" s="117"/>
      <c r="N167" s="117"/>
      <c r="U167" s="189"/>
      <c r="V167" s="106">
        <f>'Additional information'!$D$19</f>
        <v>0.91</v>
      </c>
      <c r="W167" s="161" t="str">
        <f t="shared" si="12"/>
        <v/>
      </c>
      <c r="X167" s="161" t="str">
        <f t="shared" si="13"/>
        <v/>
      </c>
      <c r="Y167" s="75"/>
    </row>
    <row r="168" spans="1:25" ht="32" customHeight="1" x14ac:dyDescent="0.2">
      <c r="A168" s="74" t="s">
        <v>119</v>
      </c>
      <c r="B168" s="74" t="s">
        <v>384</v>
      </c>
      <c r="C168" s="43" t="s">
        <v>385</v>
      </c>
      <c r="D168" s="87"/>
      <c r="F168" s="88"/>
      <c r="G168" s="116" t="s">
        <v>36</v>
      </c>
      <c r="H168" s="116"/>
      <c r="I168" s="116"/>
      <c r="J168" s="116"/>
      <c r="K168" s="118"/>
      <c r="L168" s="116"/>
      <c r="M168" s="116"/>
      <c r="N168" s="116"/>
      <c r="S168" s="44" t="s">
        <v>38</v>
      </c>
      <c r="U168" s="189">
        <v>13.613316535949711</v>
      </c>
      <c r="V168" s="106">
        <f>'Additional information'!$D$19</f>
        <v>0.91</v>
      </c>
      <c r="W168" s="161">
        <f t="shared" si="12"/>
        <v>12.388118047714237</v>
      </c>
      <c r="X168" s="161">
        <f t="shared" si="13"/>
        <v>12.388118047714237</v>
      </c>
    </row>
    <row r="169" spans="1:25" ht="32" customHeight="1" x14ac:dyDescent="0.2">
      <c r="A169" s="74" t="s">
        <v>386</v>
      </c>
      <c r="B169" s="74" t="s">
        <v>387</v>
      </c>
      <c r="C169" s="43" t="s">
        <v>388</v>
      </c>
      <c r="D169" s="87"/>
      <c r="E169" s="44" t="s">
        <v>320</v>
      </c>
      <c r="F169" s="88"/>
      <c r="G169" s="116" t="s">
        <v>36</v>
      </c>
      <c r="H169" s="116"/>
      <c r="I169" s="118" t="s">
        <v>350</v>
      </c>
      <c r="J169" s="116"/>
      <c r="K169" s="118" t="s">
        <v>389</v>
      </c>
      <c r="L169" s="116"/>
      <c r="M169" s="116"/>
      <c r="N169" s="116"/>
      <c r="S169" s="44" t="s">
        <v>38</v>
      </c>
      <c r="U169" s="189">
        <v>27.754648208618161</v>
      </c>
      <c r="V169" s="106">
        <f>'Additional information'!$D$19</f>
        <v>0.91</v>
      </c>
      <c r="W169" s="161">
        <f t="shared" si="12"/>
        <v>25.256729869842527</v>
      </c>
      <c r="X169" s="161">
        <f t="shared" si="13"/>
        <v>25.256729869842527</v>
      </c>
    </row>
    <row r="170" spans="1:25" x14ac:dyDescent="0.2">
      <c r="D170" s="87"/>
      <c r="F170" s="88"/>
      <c r="K170" s="128"/>
      <c r="U170" s="189"/>
      <c r="V170" s="106">
        <f>'Additional information'!$D$19</f>
        <v>0.91</v>
      </c>
      <c r="W170" s="161" t="str">
        <f t="shared" si="12"/>
        <v/>
      </c>
      <c r="X170" s="161" t="str">
        <f t="shared" si="13"/>
        <v/>
      </c>
    </row>
    <row r="171" spans="1:25" s="75" customFormat="1" ht="16" customHeight="1" x14ac:dyDescent="0.2">
      <c r="A171" s="75" t="s">
        <v>390</v>
      </c>
      <c r="B171" s="75" t="s">
        <v>391</v>
      </c>
      <c r="C171" s="46" t="s">
        <v>392</v>
      </c>
      <c r="D171" s="98"/>
      <c r="E171" s="75" t="s">
        <v>393</v>
      </c>
      <c r="F171" s="100"/>
      <c r="G171" s="128" t="s">
        <v>36</v>
      </c>
      <c r="H171" s="128" t="s">
        <v>102</v>
      </c>
      <c r="I171" s="128" t="s">
        <v>394</v>
      </c>
      <c r="J171" s="128"/>
      <c r="K171" s="128" t="s">
        <v>395</v>
      </c>
      <c r="L171" s="128" t="s">
        <v>396</v>
      </c>
      <c r="M171" s="128"/>
      <c r="N171" s="128"/>
      <c r="S171" s="75" t="s">
        <v>46</v>
      </c>
      <c r="U171" s="189">
        <v>17</v>
      </c>
      <c r="V171" s="106">
        <f>'Additional information'!$D$19</f>
        <v>0.91</v>
      </c>
      <c r="W171" s="161">
        <f t="shared" si="12"/>
        <v>15.47</v>
      </c>
      <c r="X171" s="161" t="str">
        <f t="shared" si="13"/>
        <v/>
      </c>
    </row>
    <row r="172" spans="1:25" x14ac:dyDescent="0.2">
      <c r="D172" s="87"/>
      <c r="F172" s="88"/>
      <c r="K172" s="128"/>
      <c r="U172" s="189"/>
      <c r="V172" s="106">
        <f>'Additional information'!$D$19</f>
        <v>0.91</v>
      </c>
      <c r="W172" s="161" t="str">
        <f t="shared" si="12"/>
        <v/>
      </c>
      <c r="X172" s="161" t="str">
        <f t="shared" si="13"/>
        <v/>
      </c>
    </row>
    <row r="173" spans="1:25" ht="16" customHeight="1" thickBot="1" x14ac:dyDescent="0.25">
      <c r="A173" s="101" t="s">
        <v>115</v>
      </c>
      <c r="B173" s="101"/>
      <c r="C173" s="102"/>
      <c r="D173" s="108"/>
      <c r="E173" s="101"/>
      <c r="F173" s="109"/>
      <c r="G173" s="129"/>
      <c r="H173" s="129"/>
      <c r="I173" s="129"/>
      <c r="J173" s="129"/>
      <c r="K173" s="129"/>
      <c r="L173" s="129"/>
      <c r="M173" s="129"/>
      <c r="N173" s="129"/>
      <c r="U173" s="189"/>
      <c r="W173" s="161" t="str">
        <f t="shared" si="12"/>
        <v/>
      </c>
      <c r="X173" s="161" t="str">
        <f t="shared" si="13"/>
        <v/>
      </c>
    </row>
    <row r="174" spans="1:25" s="72" customFormat="1" ht="17" customHeight="1" thickTop="1" x14ac:dyDescent="0.2">
      <c r="A174" s="69" t="s">
        <v>58</v>
      </c>
      <c r="B174" s="69" t="s">
        <v>397</v>
      </c>
      <c r="C174" s="93" t="s">
        <v>398</v>
      </c>
      <c r="D174" s="70"/>
      <c r="E174" s="69"/>
      <c r="F174" s="71"/>
      <c r="G174" s="121" t="s">
        <v>45</v>
      </c>
      <c r="H174" s="121"/>
      <c r="I174" s="121"/>
      <c r="J174" s="121"/>
      <c r="K174" s="121" t="s">
        <v>399</v>
      </c>
      <c r="L174" s="121"/>
      <c r="M174" s="121"/>
      <c r="N174" s="121"/>
      <c r="S174" s="44" t="s">
        <v>38</v>
      </c>
      <c r="U174" s="189"/>
      <c r="V174" s="160"/>
      <c r="W174" s="161" t="str">
        <f t="shared" si="12"/>
        <v/>
      </c>
      <c r="X174" s="161" t="str">
        <f t="shared" si="13"/>
        <v/>
      </c>
      <c r="Y174" s="73"/>
    </row>
    <row r="175" spans="1:25" s="72" customFormat="1" x14ac:dyDescent="0.2">
      <c r="C175" s="94"/>
      <c r="D175" s="70"/>
      <c r="F175" s="71"/>
      <c r="G175" s="122"/>
      <c r="H175" s="122"/>
      <c r="I175" s="122"/>
      <c r="J175" s="122"/>
      <c r="K175" s="122"/>
      <c r="L175" s="122"/>
      <c r="M175" s="122"/>
      <c r="N175" s="122"/>
      <c r="S175" s="44"/>
      <c r="U175" s="189"/>
      <c r="V175" s="106">
        <f>'Additional information'!$D$19</f>
        <v>0.91</v>
      </c>
      <c r="W175" s="161" t="str">
        <f t="shared" si="12"/>
        <v/>
      </c>
      <c r="X175" s="161" t="str">
        <f t="shared" si="13"/>
        <v/>
      </c>
      <c r="Y175" s="73"/>
    </row>
    <row r="176" spans="1:25" s="72" customFormat="1" ht="32" customHeight="1" x14ac:dyDescent="0.2">
      <c r="A176" s="74" t="s">
        <v>400</v>
      </c>
      <c r="B176" s="74" t="s">
        <v>401</v>
      </c>
      <c r="C176" s="43" t="s">
        <v>402</v>
      </c>
      <c r="D176" s="87"/>
      <c r="E176" s="44"/>
      <c r="F176" s="88"/>
      <c r="G176" s="116" t="s">
        <v>36</v>
      </c>
      <c r="H176" s="116" t="s">
        <v>102</v>
      </c>
      <c r="I176" s="121"/>
      <c r="J176" s="121"/>
      <c r="K176" s="121"/>
      <c r="L176" s="121"/>
      <c r="M176" s="121"/>
      <c r="N176" s="121"/>
      <c r="S176" s="44" t="s">
        <v>38</v>
      </c>
      <c r="U176" s="189">
        <v>13.99939060211182</v>
      </c>
      <c r="V176" s="106">
        <f>'Additional information'!$D$19</f>
        <v>0.91</v>
      </c>
      <c r="W176" s="161">
        <f t="shared" si="12"/>
        <v>12.739445447921756</v>
      </c>
      <c r="X176" s="161">
        <f t="shared" si="13"/>
        <v>12.739445447921756</v>
      </c>
      <c r="Y176" s="73"/>
    </row>
    <row r="177" spans="1:25" x14ac:dyDescent="0.2">
      <c r="A177" s="74" t="s">
        <v>24</v>
      </c>
      <c r="B177" s="74" t="s">
        <v>403</v>
      </c>
      <c r="C177" s="43"/>
      <c r="D177" s="87"/>
      <c r="F177" s="88"/>
      <c r="G177" s="116"/>
      <c r="H177" s="116"/>
      <c r="I177" s="116"/>
      <c r="J177" s="116"/>
      <c r="K177" s="116"/>
      <c r="L177" s="116"/>
      <c r="M177" s="116"/>
      <c r="N177" s="116" t="s">
        <v>404</v>
      </c>
      <c r="S177" s="44" t="s">
        <v>38</v>
      </c>
      <c r="U177" s="189"/>
      <c r="V177" s="106">
        <f>'Additional information'!$D$19</f>
        <v>0.91</v>
      </c>
      <c r="W177" s="161" t="str">
        <f t="shared" si="12"/>
        <v/>
      </c>
      <c r="X177" s="161" t="str">
        <f t="shared" si="13"/>
        <v/>
      </c>
    </row>
    <row r="178" spans="1:25" x14ac:dyDescent="0.2">
      <c r="D178" s="87"/>
      <c r="F178" s="88"/>
      <c r="U178" s="189"/>
      <c r="V178" s="106">
        <f>'Additional information'!$D$19</f>
        <v>0.91</v>
      </c>
      <c r="W178" s="161" t="str">
        <f t="shared" si="12"/>
        <v/>
      </c>
      <c r="X178" s="161" t="str">
        <f t="shared" si="13"/>
        <v/>
      </c>
    </row>
    <row r="179" spans="1:25" ht="32" customHeight="1" x14ac:dyDescent="0.2">
      <c r="A179" s="74" t="s">
        <v>119</v>
      </c>
      <c r="B179" s="74" t="s">
        <v>405</v>
      </c>
      <c r="C179" s="43" t="s">
        <v>406</v>
      </c>
      <c r="D179" s="87"/>
      <c r="F179" s="88"/>
      <c r="G179" s="116" t="s">
        <v>36</v>
      </c>
      <c r="H179" s="116"/>
      <c r="I179" s="116"/>
      <c r="J179" s="116"/>
      <c r="K179" s="116"/>
      <c r="L179" s="116"/>
      <c r="M179" s="116"/>
      <c r="N179" s="116"/>
      <c r="S179" s="44" t="s">
        <v>38</v>
      </c>
      <c r="U179" s="189">
        <v>10.25279426574707</v>
      </c>
      <c r="V179" s="106">
        <f>'Additional information'!$D$19</f>
        <v>0.91</v>
      </c>
      <c r="W179" s="161">
        <f t="shared" si="12"/>
        <v>9.3300427818298335</v>
      </c>
      <c r="X179" s="161">
        <f t="shared" si="13"/>
        <v>9.3300427818298335</v>
      </c>
    </row>
    <row r="180" spans="1:25" ht="32" customHeight="1" x14ac:dyDescent="0.2">
      <c r="A180" s="74" t="s">
        <v>407</v>
      </c>
      <c r="B180" s="74" t="s">
        <v>408</v>
      </c>
      <c r="C180" s="43" t="s">
        <v>409</v>
      </c>
      <c r="D180" s="87"/>
      <c r="E180" s="44" t="s">
        <v>320</v>
      </c>
      <c r="F180" s="88"/>
      <c r="G180" s="116" t="s">
        <v>36</v>
      </c>
      <c r="H180" s="116"/>
      <c r="I180" s="118" t="s">
        <v>350</v>
      </c>
      <c r="J180" s="118"/>
      <c r="K180" s="118" t="s">
        <v>410</v>
      </c>
      <c r="L180" s="116"/>
      <c r="M180" s="116"/>
      <c r="N180" s="116"/>
      <c r="S180" s="44" t="s">
        <v>38</v>
      </c>
      <c r="U180" s="189">
        <v>24.194343566894531</v>
      </c>
      <c r="V180" s="106">
        <f>'Additional information'!$D$19</f>
        <v>0.91</v>
      </c>
      <c r="W180" s="161">
        <f t="shared" ref="W180:W211" si="14">IF(U180&lt;&gt;"",U180*V180,"")</f>
        <v>22.016852645874025</v>
      </c>
      <c r="X180" s="161">
        <f t="shared" ref="X180:X211" si="15">IF(AND(U180&lt;&gt;"",S180="yes"),U180*V180,"")</f>
        <v>22.016852645874025</v>
      </c>
    </row>
    <row r="181" spans="1:25" x14ac:dyDescent="0.2">
      <c r="D181" s="87"/>
      <c r="F181" s="88"/>
      <c r="K181" s="128"/>
      <c r="U181" s="189"/>
      <c r="V181" s="106">
        <f>'Additional information'!$D$19</f>
        <v>0.91</v>
      </c>
      <c r="W181" s="161" t="str">
        <f t="shared" si="14"/>
        <v/>
      </c>
      <c r="X181" s="161" t="str">
        <f t="shared" si="15"/>
        <v/>
      </c>
    </row>
    <row r="182" spans="1:25" ht="32" customHeight="1" x14ac:dyDescent="0.2">
      <c r="A182" s="74" t="s">
        <v>193</v>
      </c>
      <c r="B182" s="74" t="s">
        <v>411</v>
      </c>
      <c r="C182" s="80" t="s">
        <v>412</v>
      </c>
      <c r="D182" s="87"/>
      <c r="E182" s="74" t="s">
        <v>354</v>
      </c>
      <c r="F182" s="88"/>
      <c r="G182" s="116" t="s">
        <v>36</v>
      </c>
      <c r="H182" s="116"/>
      <c r="I182" s="116"/>
      <c r="J182" s="116"/>
      <c r="K182" s="118"/>
      <c r="L182" s="116"/>
      <c r="M182" s="116"/>
      <c r="N182" s="116"/>
      <c r="S182" s="44" t="s">
        <v>38</v>
      </c>
      <c r="U182" s="189">
        <v>19.321737289428711</v>
      </c>
      <c r="V182" s="106">
        <f>'Additional information'!$D$19</f>
        <v>0.91</v>
      </c>
      <c r="W182" s="161">
        <f t="shared" si="14"/>
        <v>17.582780933380128</v>
      </c>
      <c r="X182" s="161">
        <f t="shared" si="15"/>
        <v>17.582780933380128</v>
      </c>
    </row>
    <row r="183" spans="1:25" x14ac:dyDescent="0.2">
      <c r="C183" s="46"/>
      <c r="D183" s="87"/>
      <c r="F183" s="88"/>
      <c r="K183" s="128"/>
      <c r="U183" s="189"/>
      <c r="V183" s="106">
        <f>'Additional information'!$D$19</f>
        <v>0.91</v>
      </c>
      <c r="W183" s="161" t="str">
        <f t="shared" si="14"/>
        <v/>
      </c>
      <c r="X183" s="161" t="str">
        <f t="shared" si="15"/>
        <v/>
      </c>
    </row>
    <row r="184" spans="1:25" ht="16" customHeight="1" thickBot="1" x14ac:dyDescent="0.25">
      <c r="A184" s="101" t="s">
        <v>115</v>
      </c>
      <c r="B184" s="101"/>
      <c r="C184" s="102"/>
      <c r="D184" s="108"/>
      <c r="E184" s="101"/>
      <c r="F184" s="109"/>
      <c r="G184" s="129"/>
      <c r="H184" s="129"/>
      <c r="I184" s="129"/>
      <c r="J184" s="129"/>
      <c r="K184" s="129"/>
      <c r="L184" s="129"/>
      <c r="M184" s="129"/>
      <c r="N184" s="129"/>
      <c r="U184" s="189"/>
      <c r="W184" s="161" t="str">
        <f t="shared" si="14"/>
        <v/>
      </c>
      <c r="X184" s="161" t="str">
        <f t="shared" si="15"/>
        <v/>
      </c>
    </row>
    <row r="185" spans="1:25" s="72" customFormat="1" ht="17" customHeight="1" thickTop="1" x14ac:dyDescent="0.2">
      <c r="A185" s="69" t="s">
        <v>58</v>
      </c>
      <c r="B185" s="69" t="s">
        <v>413</v>
      </c>
      <c r="C185" s="93" t="s">
        <v>414</v>
      </c>
      <c r="D185" s="70"/>
      <c r="E185" s="69"/>
      <c r="F185" s="71"/>
      <c r="G185" s="121" t="s">
        <v>45</v>
      </c>
      <c r="H185" s="121"/>
      <c r="I185" s="121"/>
      <c r="J185" s="121"/>
      <c r="K185" s="121" t="s">
        <v>415</v>
      </c>
      <c r="L185" s="121"/>
      <c r="M185" s="121"/>
      <c r="N185" s="121"/>
      <c r="S185" s="44" t="s">
        <v>38</v>
      </c>
      <c r="U185" s="189"/>
      <c r="V185" s="73"/>
      <c r="W185" s="161" t="str">
        <f t="shared" si="14"/>
        <v/>
      </c>
      <c r="X185" s="161" t="str">
        <f t="shared" si="15"/>
        <v/>
      </c>
      <c r="Y185" s="73"/>
    </row>
    <row r="186" spans="1:25" s="75" customFormat="1" ht="48" customHeight="1" x14ac:dyDescent="0.2">
      <c r="A186" s="79" t="s">
        <v>41</v>
      </c>
      <c r="B186" s="79" t="s">
        <v>416</v>
      </c>
      <c r="C186" s="80" t="s">
        <v>417</v>
      </c>
      <c r="D186" s="98"/>
      <c r="F186" s="100"/>
      <c r="G186" s="118"/>
      <c r="H186" s="118"/>
      <c r="I186" s="118"/>
      <c r="J186" s="118"/>
      <c r="K186" s="118"/>
      <c r="L186" s="118"/>
      <c r="M186" s="118"/>
      <c r="N186" s="118"/>
      <c r="S186" s="75" t="s">
        <v>38</v>
      </c>
      <c r="U186" s="189">
        <v>7.5</v>
      </c>
      <c r="V186" s="106">
        <f>'Additional information'!$D$20</f>
        <v>0.05</v>
      </c>
      <c r="W186" s="161">
        <f t="shared" si="14"/>
        <v>0.375</v>
      </c>
      <c r="X186" s="161">
        <f t="shared" si="15"/>
        <v>0.375</v>
      </c>
    </row>
    <row r="187" spans="1:25" s="72" customFormat="1" x14ac:dyDescent="0.2">
      <c r="C187" s="94"/>
      <c r="D187" s="70"/>
      <c r="F187" s="71"/>
      <c r="G187" s="122"/>
      <c r="H187" s="122"/>
      <c r="I187" s="122"/>
      <c r="J187" s="122"/>
      <c r="K187" s="122"/>
      <c r="L187" s="122"/>
      <c r="M187" s="122"/>
      <c r="N187" s="122"/>
      <c r="S187" s="44"/>
      <c r="U187" s="189"/>
      <c r="V187" s="106">
        <f>'Additional information'!$D$20</f>
        <v>0.05</v>
      </c>
      <c r="W187" s="161" t="str">
        <f t="shared" si="14"/>
        <v/>
      </c>
      <c r="X187" s="161" t="str">
        <f t="shared" si="15"/>
        <v/>
      </c>
      <c r="Y187" s="73"/>
    </row>
    <row r="188" spans="1:25" ht="16" customHeight="1" x14ac:dyDescent="0.2">
      <c r="A188" s="74" t="s">
        <v>418</v>
      </c>
      <c r="B188" s="74" t="s">
        <v>419</v>
      </c>
      <c r="C188" s="43" t="s">
        <v>420</v>
      </c>
      <c r="D188" s="87"/>
      <c r="E188" s="44" t="s">
        <v>421</v>
      </c>
      <c r="F188" s="88"/>
      <c r="G188" s="116" t="s">
        <v>36</v>
      </c>
      <c r="H188" s="116"/>
      <c r="I188" s="116" t="s">
        <v>350</v>
      </c>
      <c r="J188" s="116"/>
      <c r="K188" s="116"/>
      <c r="L188" s="116"/>
      <c r="M188" s="116"/>
      <c r="N188" s="116"/>
      <c r="S188" s="44" t="s">
        <v>38</v>
      </c>
      <c r="U188" s="189">
        <v>19.090116500854489</v>
      </c>
      <c r="V188" s="106">
        <f>'Additional information'!$D$20</f>
        <v>0.05</v>
      </c>
      <c r="W188" s="161">
        <f t="shared" si="14"/>
        <v>0.95450582504272452</v>
      </c>
      <c r="X188" s="161">
        <f t="shared" si="15"/>
        <v>0.95450582504272452</v>
      </c>
    </row>
    <row r="189" spans="1:25" x14ac:dyDescent="0.2">
      <c r="D189" s="87"/>
      <c r="F189" s="88"/>
      <c r="U189" s="189"/>
      <c r="V189" s="106">
        <f>'Additional information'!$D$20</f>
        <v>0.05</v>
      </c>
      <c r="W189" s="161" t="str">
        <f t="shared" si="14"/>
        <v/>
      </c>
      <c r="X189" s="161" t="str">
        <f t="shared" si="15"/>
        <v/>
      </c>
    </row>
    <row r="190" spans="1:25" ht="32" customHeight="1" x14ac:dyDescent="0.2">
      <c r="A190" s="74" t="s">
        <v>193</v>
      </c>
      <c r="B190" s="74" t="s">
        <v>422</v>
      </c>
      <c r="C190" s="43" t="s">
        <v>423</v>
      </c>
      <c r="D190" s="87"/>
      <c r="F190" s="88"/>
      <c r="G190" s="116" t="s">
        <v>36</v>
      </c>
      <c r="H190" s="116"/>
      <c r="I190" s="116"/>
      <c r="J190" s="116"/>
      <c r="K190" s="116"/>
      <c r="L190" s="116"/>
      <c r="M190" s="116"/>
      <c r="N190" s="116"/>
      <c r="S190" s="44" t="s">
        <v>38</v>
      </c>
      <c r="U190" s="189">
        <v>17.656976699829102</v>
      </c>
      <c r="V190" s="106">
        <f>'Additional information'!$D$20</f>
        <v>0.05</v>
      </c>
      <c r="W190" s="161">
        <f t="shared" si="14"/>
        <v>0.88284883499145517</v>
      </c>
      <c r="X190" s="161">
        <f t="shared" si="15"/>
        <v>0.88284883499145517</v>
      </c>
    </row>
    <row r="191" spans="1:25" x14ac:dyDescent="0.2">
      <c r="D191" s="87"/>
      <c r="F191" s="88"/>
      <c r="U191" s="189"/>
      <c r="V191" s="106">
        <f>'Additional information'!$D$20</f>
        <v>0.05</v>
      </c>
      <c r="W191" s="161" t="str">
        <f t="shared" si="14"/>
        <v/>
      </c>
      <c r="X191" s="161" t="str">
        <f t="shared" si="15"/>
        <v/>
      </c>
    </row>
    <row r="192" spans="1:25" ht="32" customHeight="1" x14ac:dyDescent="0.2">
      <c r="A192" s="74" t="s">
        <v>119</v>
      </c>
      <c r="B192" s="74" t="s">
        <v>424</v>
      </c>
      <c r="C192" s="43" t="s">
        <v>425</v>
      </c>
      <c r="D192" s="87"/>
      <c r="F192" s="88"/>
      <c r="G192" s="116" t="s">
        <v>36</v>
      </c>
      <c r="H192" s="116"/>
      <c r="I192" s="116"/>
      <c r="J192" s="116"/>
      <c r="K192" s="116"/>
      <c r="L192" s="116"/>
      <c r="M192" s="116"/>
      <c r="N192" s="116"/>
      <c r="S192" s="44" t="s">
        <v>38</v>
      </c>
      <c r="U192" s="190">
        <v>8.7647056579589844</v>
      </c>
      <c r="V192" s="106">
        <f>'Additional information'!$D$20</f>
        <v>0.05</v>
      </c>
      <c r="W192" s="161">
        <f t="shared" si="14"/>
        <v>0.43823528289794922</v>
      </c>
      <c r="X192" s="161">
        <f t="shared" si="15"/>
        <v>0.43823528289794922</v>
      </c>
    </row>
    <row r="193" spans="1:25" ht="32" customHeight="1" x14ac:dyDescent="0.2">
      <c r="A193" s="74" t="s">
        <v>426</v>
      </c>
      <c r="B193" s="74" t="s">
        <v>427</v>
      </c>
      <c r="C193" s="43" t="s">
        <v>428</v>
      </c>
      <c r="D193" s="87"/>
      <c r="E193" s="44" t="s">
        <v>320</v>
      </c>
      <c r="F193" s="88"/>
      <c r="G193" s="116"/>
      <c r="H193" s="116"/>
      <c r="I193" s="118" t="s">
        <v>350</v>
      </c>
      <c r="J193" s="116"/>
      <c r="K193" s="118" t="s">
        <v>429</v>
      </c>
      <c r="L193" s="116"/>
      <c r="M193" s="116"/>
      <c r="N193" s="116"/>
      <c r="S193" s="44" t="s">
        <v>38</v>
      </c>
      <c r="U193" s="190">
        <v>27.9538459777832</v>
      </c>
      <c r="V193" s="106">
        <f>'Additional information'!$D$20</f>
        <v>0.05</v>
      </c>
      <c r="W193" s="161">
        <f t="shared" si="14"/>
        <v>1.39769229888916</v>
      </c>
      <c r="X193" s="161">
        <f t="shared" si="15"/>
        <v>1.39769229888916</v>
      </c>
    </row>
    <row r="194" spans="1:25" ht="16" customHeight="1" x14ac:dyDescent="0.2">
      <c r="A194" s="74" t="s">
        <v>61</v>
      </c>
      <c r="B194" s="74" t="s">
        <v>430</v>
      </c>
      <c r="C194" s="80" t="s">
        <v>272</v>
      </c>
      <c r="D194" s="98"/>
      <c r="E194" s="75" t="s">
        <v>273</v>
      </c>
      <c r="F194" s="88"/>
      <c r="G194" s="116" t="s">
        <v>36</v>
      </c>
      <c r="H194" s="116"/>
      <c r="I194" s="116"/>
      <c r="J194" s="116"/>
      <c r="K194" s="116" t="s">
        <v>431</v>
      </c>
      <c r="L194" s="116"/>
      <c r="M194" s="116"/>
      <c r="N194" s="116"/>
      <c r="S194" s="44" t="s">
        <v>38</v>
      </c>
      <c r="U194" s="189"/>
      <c r="V194" s="106">
        <f>'Additional information'!$D$20</f>
        <v>0.05</v>
      </c>
      <c r="W194" s="161" t="str">
        <f t="shared" si="14"/>
        <v/>
      </c>
      <c r="X194" s="161" t="str">
        <f t="shared" si="15"/>
        <v/>
      </c>
    </row>
    <row r="195" spans="1:25" x14ac:dyDescent="0.2">
      <c r="D195" s="87"/>
      <c r="F195" s="88"/>
      <c r="U195" s="189"/>
      <c r="V195" s="106">
        <f>'Additional information'!$D$20</f>
        <v>0.05</v>
      </c>
      <c r="W195" s="161" t="str">
        <f t="shared" si="14"/>
        <v/>
      </c>
      <c r="X195" s="161" t="str">
        <f t="shared" si="15"/>
        <v/>
      </c>
    </row>
    <row r="196" spans="1:25" s="75" customFormat="1" ht="32" customHeight="1" x14ac:dyDescent="0.2">
      <c r="A196" s="75" t="s">
        <v>432</v>
      </c>
      <c r="B196" s="75" t="s">
        <v>433</v>
      </c>
      <c r="C196" s="46" t="s">
        <v>434</v>
      </c>
      <c r="D196" s="98"/>
      <c r="E196" s="75" t="s">
        <v>421</v>
      </c>
      <c r="F196" s="100"/>
      <c r="G196" s="128" t="s">
        <v>36</v>
      </c>
      <c r="H196" s="128"/>
      <c r="I196" s="128" t="s">
        <v>350</v>
      </c>
      <c r="J196" s="128"/>
      <c r="K196" s="128" t="s">
        <v>435</v>
      </c>
      <c r="L196" s="128"/>
      <c r="M196" s="128"/>
      <c r="N196" s="128"/>
      <c r="S196" s="75" t="s">
        <v>46</v>
      </c>
      <c r="U196" s="189">
        <v>21.25</v>
      </c>
      <c r="V196" s="106">
        <f>'Additional information'!$D$20</f>
        <v>0.05</v>
      </c>
      <c r="W196" s="161">
        <f t="shared" si="14"/>
        <v>1.0625</v>
      </c>
      <c r="X196" s="161" t="str">
        <f t="shared" si="15"/>
        <v/>
      </c>
    </row>
    <row r="197" spans="1:25" s="75" customFormat="1" ht="16" customHeight="1" x14ac:dyDescent="0.2">
      <c r="A197" s="75" t="s">
        <v>61</v>
      </c>
      <c r="B197" s="75" t="s">
        <v>436</v>
      </c>
      <c r="C197" s="46" t="s">
        <v>272</v>
      </c>
      <c r="D197" s="98"/>
      <c r="E197" s="75" t="s">
        <v>273</v>
      </c>
      <c r="F197" s="100"/>
      <c r="G197" s="128" t="s">
        <v>36</v>
      </c>
      <c r="H197" s="128"/>
      <c r="I197" s="128"/>
      <c r="J197" s="128"/>
      <c r="K197" s="128" t="s">
        <v>437</v>
      </c>
      <c r="L197" s="128"/>
      <c r="M197" s="128"/>
      <c r="N197" s="128"/>
      <c r="S197" s="75" t="s">
        <v>46</v>
      </c>
      <c r="U197" s="189"/>
      <c r="V197" s="106">
        <f>'Additional information'!$D$20</f>
        <v>0.05</v>
      </c>
      <c r="W197" s="161" t="str">
        <f t="shared" si="14"/>
        <v/>
      </c>
      <c r="X197" s="161" t="str">
        <f t="shared" si="15"/>
        <v/>
      </c>
    </row>
    <row r="198" spans="1:25" s="76" customFormat="1" x14ac:dyDescent="0.2">
      <c r="C198" s="77"/>
      <c r="D198" s="78"/>
      <c r="F198" s="82"/>
      <c r="G198" s="117"/>
      <c r="H198" s="117"/>
      <c r="I198" s="117"/>
      <c r="J198" s="117"/>
      <c r="K198" s="117"/>
      <c r="L198" s="117"/>
      <c r="M198" s="117"/>
      <c r="N198" s="117"/>
      <c r="U198" s="189"/>
      <c r="V198" s="106">
        <f>'Additional information'!$D$20</f>
        <v>0.05</v>
      </c>
      <c r="W198" s="161" t="str">
        <f t="shared" si="14"/>
        <v/>
      </c>
      <c r="X198" s="161" t="str">
        <f t="shared" si="15"/>
        <v/>
      </c>
      <c r="Y198" s="75"/>
    </row>
    <row r="199" spans="1:25" ht="16" customHeight="1" thickBot="1" x14ac:dyDescent="0.25">
      <c r="A199" s="96" t="s">
        <v>115</v>
      </c>
      <c r="B199" s="96"/>
      <c r="C199" s="97"/>
      <c r="D199" s="91"/>
      <c r="E199" s="96"/>
      <c r="F199" s="92"/>
      <c r="G199" s="127"/>
      <c r="H199" s="127"/>
      <c r="I199" s="127"/>
      <c r="J199" s="127"/>
      <c r="K199" s="127"/>
      <c r="L199" s="127"/>
      <c r="M199" s="127"/>
      <c r="N199" s="127"/>
      <c r="U199" s="189"/>
      <c r="W199" s="161" t="str">
        <f t="shared" si="14"/>
        <v/>
      </c>
      <c r="X199" s="161" t="str">
        <f t="shared" si="15"/>
        <v/>
      </c>
    </row>
    <row r="200" spans="1:25" s="72" customFormat="1" ht="17" customHeight="1" thickTop="1" x14ac:dyDescent="0.2">
      <c r="A200" s="69" t="s">
        <v>58</v>
      </c>
      <c r="B200" s="69" t="s">
        <v>438</v>
      </c>
      <c r="C200" s="93" t="s">
        <v>439</v>
      </c>
      <c r="D200" s="70"/>
      <c r="E200" s="69"/>
      <c r="F200" s="71"/>
      <c r="G200" s="121" t="s">
        <v>45</v>
      </c>
      <c r="H200" s="121"/>
      <c r="I200" s="121"/>
      <c r="J200" s="121"/>
      <c r="K200" s="121" t="s">
        <v>440</v>
      </c>
      <c r="L200" s="121"/>
      <c r="M200" s="121"/>
      <c r="N200" s="121"/>
      <c r="S200" s="44" t="s">
        <v>38</v>
      </c>
      <c r="U200" s="189"/>
      <c r="V200" s="73"/>
      <c r="W200" s="161" t="str">
        <f t="shared" si="14"/>
        <v/>
      </c>
      <c r="X200" s="161" t="str">
        <f t="shared" si="15"/>
        <v/>
      </c>
      <c r="Y200" s="73"/>
    </row>
    <row r="201" spans="1:25" s="72" customFormat="1" x14ac:dyDescent="0.2">
      <c r="C201" s="94"/>
      <c r="D201" s="70"/>
      <c r="F201" s="71"/>
      <c r="G201" s="122"/>
      <c r="H201" s="122"/>
      <c r="I201" s="122"/>
      <c r="J201" s="122"/>
      <c r="K201" s="122"/>
      <c r="L201" s="122"/>
      <c r="M201" s="122"/>
      <c r="N201" s="122"/>
      <c r="S201" s="44"/>
      <c r="U201" s="189"/>
      <c r="V201" s="106">
        <f>'Additional information'!$D$20</f>
        <v>0.05</v>
      </c>
      <c r="W201" s="161" t="str">
        <f t="shared" si="14"/>
        <v/>
      </c>
      <c r="X201" s="161" t="str">
        <f t="shared" si="15"/>
        <v/>
      </c>
      <c r="Y201" s="73"/>
    </row>
    <row r="202" spans="1:25" s="72" customFormat="1" ht="16" customHeight="1" x14ac:dyDescent="0.2">
      <c r="A202" s="74" t="s">
        <v>441</v>
      </c>
      <c r="B202" s="74" t="s">
        <v>442</v>
      </c>
      <c r="C202" s="43" t="s">
        <v>443</v>
      </c>
      <c r="D202" s="87"/>
      <c r="E202" s="74"/>
      <c r="F202" s="88"/>
      <c r="G202" s="116" t="s">
        <v>36</v>
      </c>
      <c r="H202" s="121"/>
      <c r="I202" s="121"/>
      <c r="J202" s="121"/>
      <c r="K202" s="121"/>
      <c r="L202" s="121"/>
      <c r="M202" s="121"/>
      <c r="N202" s="121"/>
      <c r="S202" s="44" t="s">
        <v>38</v>
      </c>
      <c r="U202" s="189">
        <v>14.38495540618896</v>
      </c>
      <c r="V202" s="106">
        <f>'Additional information'!$D$20</f>
        <v>0.05</v>
      </c>
      <c r="W202" s="161">
        <f t="shared" si="14"/>
        <v>0.71924777030944798</v>
      </c>
      <c r="X202" s="161">
        <f t="shared" si="15"/>
        <v>0.71924777030944798</v>
      </c>
      <c r="Y202" s="73"/>
    </row>
    <row r="203" spans="1:25" x14ac:dyDescent="0.2">
      <c r="A203" s="74" t="s">
        <v>24</v>
      </c>
      <c r="B203" s="74" t="s">
        <v>444</v>
      </c>
      <c r="C203" s="43"/>
      <c r="D203" s="87"/>
      <c r="E203" s="74"/>
      <c r="F203" s="88"/>
      <c r="G203" s="116"/>
      <c r="H203" s="116"/>
      <c r="I203" s="116"/>
      <c r="J203" s="116"/>
      <c r="K203" s="116"/>
      <c r="L203" s="116"/>
      <c r="M203" s="116"/>
      <c r="N203" s="116" t="s">
        <v>445</v>
      </c>
      <c r="S203" s="44" t="s">
        <v>38</v>
      </c>
      <c r="U203" s="189"/>
      <c r="V203" s="106">
        <f>'Additional information'!$D$20</f>
        <v>0.05</v>
      </c>
      <c r="W203" s="161" t="str">
        <f t="shared" si="14"/>
        <v/>
      </c>
      <c r="X203" s="161" t="str">
        <f t="shared" si="15"/>
        <v/>
      </c>
    </row>
    <row r="204" spans="1:25" ht="16" customHeight="1" x14ac:dyDescent="0.2">
      <c r="A204" s="74" t="s">
        <v>61</v>
      </c>
      <c r="B204" s="74" t="s">
        <v>446</v>
      </c>
      <c r="C204" s="80" t="s">
        <v>272</v>
      </c>
      <c r="D204" s="98"/>
      <c r="E204" s="75" t="s">
        <v>273</v>
      </c>
      <c r="F204" s="88"/>
      <c r="G204" s="116" t="s">
        <v>36</v>
      </c>
      <c r="H204" s="116"/>
      <c r="I204" s="116"/>
      <c r="J204" s="116"/>
      <c r="K204" s="118" t="s">
        <v>447</v>
      </c>
      <c r="L204" s="116"/>
      <c r="M204" s="116"/>
      <c r="N204" s="116"/>
      <c r="S204" s="44" t="s">
        <v>38</v>
      </c>
      <c r="U204" s="189"/>
      <c r="V204" s="106">
        <f>'Additional information'!$D$20</f>
        <v>0.05</v>
      </c>
      <c r="W204" s="161" t="str">
        <f t="shared" si="14"/>
        <v/>
      </c>
      <c r="X204" s="161" t="str">
        <f t="shared" si="15"/>
        <v/>
      </c>
    </row>
    <row r="205" spans="1:25" x14ac:dyDescent="0.2">
      <c r="D205" s="87"/>
      <c r="F205" s="88"/>
      <c r="K205" s="128"/>
      <c r="U205" s="189"/>
      <c r="V205" s="106">
        <f>'Additional information'!$D$20</f>
        <v>0.05</v>
      </c>
      <c r="W205" s="161" t="str">
        <f t="shared" si="14"/>
        <v/>
      </c>
      <c r="X205" s="161" t="str">
        <f t="shared" si="15"/>
        <v/>
      </c>
    </row>
    <row r="206" spans="1:25" ht="32" customHeight="1" x14ac:dyDescent="0.2">
      <c r="A206" s="74" t="s">
        <v>119</v>
      </c>
      <c r="B206" s="74" t="s">
        <v>448</v>
      </c>
      <c r="C206" s="43" t="s">
        <v>449</v>
      </c>
      <c r="D206" s="87"/>
      <c r="E206" s="74"/>
      <c r="F206" s="88"/>
      <c r="G206" s="116" t="s">
        <v>36</v>
      </c>
      <c r="H206" s="116"/>
      <c r="I206" s="116"/>
      <c r="J206" s="116"/>
      <c r="K206" s="116"/>
      <c r="L206" s="116"/>
      <c r="M206" s="116"/>
      <c r="N206" s="116"/>
      <c r="S206" s="44" t="s">
        <v>38</v>
      </c>
      <c r="U206" s="189">
        <v>9.4380531311035156</v>
      </c>
      <c r="V206" s="106">
        <f>'Additional information'!$D$20</f>
        <v>0.05</v>
      </c>
      <c r="W206" s="161">
        <f t="shared" si="14"/>
        <v>0.47190265655517583</v>
      </c>
      <c r="X206" s="161">
        <f t="shared" si="15"/>
        <v>0.47190265655517583</v>
      </c>
    </row>
    <row r="207" spans="1:25" ht="32" customHeight="1" x14ac:dyDescent="0.2">
      <c r="A207" s="74" t="s">
        <v>450</v>
      </c>
      <c r="B207" s="74" t="s">
        <v>451</v>
      </c>
      <c r="C207" s="43" t="s">
        <v>452</v>
      </c>
      <c r="D207" s="87"/>
      <c r="E207" s="74" t="s">
        <v>284</v>
      </c>
      <c r="F207" s="88"/>
      <c r="G207" s="116" t="s">
        <v>36</v>
      </c>
      <c r="H207" s="116"/>
      <c r="I207" s="118" t="s">
        <v>350</v>
      </c>
      <c r="J207" s="116"/>
      <c r="K207" s="118" t="s">
        <v>453</v>
      </c>
      <c r="L207" s="116"/>
      <c r="M207" s="116"/>
      <c r="N207" s="116"/>
      <c r="S207" s="44" t="s">
        <v>38</v>
      </c>
      <c r="U207" s="189">
        <v>27.76699066162109</v>
      </c>
      <c r="V207" s="106">
        <f>'Additional information'!$D$20</f>
        <v>0.05</v>
      </c>
      <c r="W207" s="161">
        <f t="shared" si="14"/>
        <v>1.3883495330810547</v>
      </c>
      <c r="X207" s="161">
        <f t="shared" si="15"/>
        <v>1.3883495330810547</v>
      </c>
    </row>
    <row r="208" spans="1:25" ht="16" customHeight="1" x14ac:dyDescent="0.2">
      <c r="A208" s="74" t="s">
        <v>61</v>
      </c>
      <c r="B208" s="74" t="s">
        <v>454</v>
      </c>
      <c r="C208" s="80" t="s">
        <v>272</v>
      </c>
      <c r="D208" s="98"/>
      <c r="E208" s="75" t="s">
        <v>273</v>
      </c>
      <c r="F208" s="88"/>
      <c r="G208" s="116" t="s">
        <v>36</v>
      </c>
      <c r="H208" s="116"/>
      <c r="I208" s="116"/>
      <c r="J208" s="116"/>
      <c r="K208" s="118" t="s">
        <v>455</v>
      </c>
      <c r="L208" s="116"/>
      <c r="M208" s="116"/>
      <c r="N208" s="116"/>
      <c r="S208" s="44" t="s">
        <v>38</v>
      </c>
      <c r="U208" s="189"/>
      <c r="V208" s="106">
        <f>'Additional information'!$D$20</f>
        <v>0.05</v>
      </c>
      <c r="W208" s="161" t="str">
        <f t="shared" si="14"/>
        <v/>
      </c>
      <c r="X208" s="161" t="str">
        <f t="shared" si="15"/>
        <v/>
      </c>
    </row>
    <row r="209" spans="1:25" x14ac:dyDescent="0.2">
      <c r="D209" s="87"/>
      <c r="F209" s="88"/>
      <c r="K209" s="128"/>
      <c r="U209" s="189"/>
      <c r="V209" s="106">
        <f>'Additional information'!$D$20</f>
        <v>0.05</v>
      </c>
      <c r="W209" s="161" t="str">
        <f t="shared" si="14"/>
        <v/>
      </c>
      <c r="X209" s="161" t="str">
        <f t="shared" si="15"/>
        <v/>
      </c>
    </row>
    <row r="210" spans="1:25" ht="32" customHeight="1" x14ac:dyDescent="0.2">
      <c r="A210" s="74" t="s">
        <v>193</v>
      </c>
      <c r="B210" s="74" t="s">
        <v>456</v>
      </c>
      <c r="C210" s="80" t="s">
        <v>457</v>
      </c>
      <c r="D210" s="87"/>
      <c r="E210" s="74" t="s">
        <v>354</v>
      </c>
      <c r="F210" s="88"/>
      <c r="G210" s="116" t="s">
        <v>36</v>
      </c>
      <c r="H210" s="116"/>
      <c r="I210" s="116"/>
      <c r="J210" s="116"/>
      <c r="K210" s="118"/>
      <c r="L210" s="116"/>
      <c r="M210" s="116"/>
      <c r="N210" s="116"/>
      <c r="S210" s="44" t="s">
        <v>38</v>
      </c>
      <c r="U210" s="189">
        <v>13.705752372741699</v>
      </c>
      <c r="V210" s="106">
        <f>'Additional information'!$D$20</f>
        <v>0.05</v>
      </c>
      <c r="W210" s="161">
        <f t="shared" si="14"/>
        <v>0.68528761863708498</v>
      </c>
      <c r="X210" s="161">
        <f t="shared" si="15"/>
        <v>0.68528761863708498</v>
      </c>
    </row>
    <row r="211" spans="1:25" x14ac:dyDescent="0.2">
      <c r="C211" s="46"/>
      <c r="D211" s="87"/>
      <c r="F211" s="88"/>
      <c r="K211" s="128"/>
      <c r="U211" s="189"/>
      <c r="V211" s="106">
        <f>'Additional information'!$D$20</f>
        <v>0.05</v>
      </c>
      <c r="W211" s="161" t="str">
        <f t="shared" si="14"/>
        <v/>
      </c>
      <c r="X211" s="161" t="str">
        <f t="shared" si="15"/>
        <v/>
      </c>
    </row>
    <row r="212" spans="1:25" ht="16" customHeight="1" thickBot="1" x14ac:dyDescent="0.25">
      <c r="A212" s="101" t="s">
        <v>115</v>
      </c>
      <c r="B212" s="101"/>
      <c r="C212" s="102"/>
      <c r="D212" s="108"/>
      <c r="E212" s="101"/>
      <c r="F212" s="109"/>
      <c r="G212" s="129"/>
      <c r="H212" s="129"/>
      <c r="I212" s="129"/>
      <c r="J212" s="129"/>
      <c r="K212" s="129"/>
      <c r="L212" s="129"/>
      <c r="M212" s="129"/>
      <c r="N212" s="129"/>
      <c r="U212" s="189"/>
      <c r="W212" s="161" t="str">
        <f t="shared" ref="W212:W243" si="16">IF(U212&lt;&gt;"",U212*V212,"")</f>
        <v/>
      </c>
      <c r="X212" s="161" t="str">
        <f t="shared" ref="X212:X243" si="17">IF(AND(U212&lt;&gt;"",S212="yes"),U212*V212,"")</f>
        <v/>
      </c>
    </row>
    <row r="213" spans="1:25" s="72" customFormat="1" ht="17" customHeight="1" thickTop="1" x14ac:dyDescent="0.2">
      <c r="A213" s="69" t="s">
        <v>58</v>
      </c>
      <c r="B213" s="69" t="s">
        <v>458</v>
      </c>
      <c r="C213" s="93" t="s">
        <v>459</v>
      </c>
      <c r="D213" s="70"/>
      <c r="E213" s="69"/>
      <c r="F213" s="71"/>
      <c r="G213" s="121" t="s">
        <v>45</v>
      </c>
      <c r="H213" s="121"/>
      <c r="I213" s="121"/>
      <c r="J213" s="121"/>
      <c r="K213" s="121" t="s">
        <v>118</v>
      </c>
      <c r="L213" s="121"/>
      <c r="M213" s="121"/>
      <c r="N213" s="121"/>
      <c r="S213" s="44" t="s">
        <v>38</v>
      </c>
      <c r="U213" s="189"/>
      <c r="V213" s="73"/>
      <c r="W213" s="161" t="str">
        <f t="shared" si="16"/>
        <v/>
      </c>
      <c r="X213" s="161" t="str">
        <f t="shared" si="17"/>
        <v/>
      </c>
      <c r="Y213" s="73"/>
    </row>
    <row r="214" spans="1:25" x14ac:dyDescent="0.2">
      <c r="C214" s="46"/>
      <c r="D214" s="87"/>
      <c r="F214" s="88"/>
      <c r="K214" s="128"/>
      <c r="U214" s="189"/>
      <c r="V214" s="106">
        <v>1</v>
      </c>
      <c r="W214" s="161" t="str">
        <f t="shared" si="16"/>
        <v/>
      </c>
      <c r="X214" s="161" t="str">
        <f t="shared" si="17"/>
        <v/>
      </c>
    </row>
    <row r="215" spans="1:25" s="72" customFormat="1" ht="48" customHeight="1" x14ac:dyDescent="0.2">
      <c r="A215" s="74" t="s">
        <v>41</v>
      </c>
      <c r="B215" s="74" t="s">
        <v>460</v>
      </c>
      <c r="C215" s="43" t="s">
        <v>461</v>
      </c>
      <c r="D215" s="70"/>
      <c r="F215" s="71"/>
      <c r="G215" s="121"/>
      <c r="H215" s="121"/>
      <c r="I215" s="121"/>
      <c r="J215" s="121"/>
      <c r="K215" s="121"/>
      <c r="L215" s="121"/>
      <c r="M215" s="121"/>
      <c r="N215" s="121"/>
      <c r="S215" s="44" t="s">
        <v>46</v>
      </c>
      <c r="U215" s="189"/>
      <c r="V215" s="107">
        <v>1</v>
      </c>
      <c r="W215" s="161" t="str">
        <f t="shared" si="16"/>
        <v/>
      </c>
      <c r="X215" s="161" t="str">
        <f t="shared" si="17"/>
        <v/>
      </c>
      <c r="Y215" s="73"/>
    </row>
    <row r="216" spans="1:25" x14ac:dyDescent="0.2">
      <c r="C216" s="46"/>
      <c r="D216" s="87"/>
      <c r="F216" s="88"/>
      <c r="K216" s="128"/>
      <c r="U216" s="189"/>
      <c r="V216" s="106">
        <v>1</v>
      </c>
      <c r="W216" s="161" t="str">
        <f t="shared" si="16"/>
        <v/>
      </c>
      <c r="X216" s="161" t="str">
        <f t="shared" si="17"/>
        <v/>
      </c>
    </row>
    <row r="217" spans="1:25" s="72" customFormat="1" ht="16" customHeight="1" x14ac:dyDescent="0.2">
      <c r="A217" s="74" t="s">
        <v>58</v>
      </c>
      <c r="B217" s="74" t="s">
        <v>462</v>
      </c>
      <c r="C217" s="93" t="s">
        <v>463</v>
      </c>
      <c r="D217" s="70"/>
      <c r="E217" s="69"/>
      <c r="F217" s="71"/>
      <c r="G217" s="121"/>
      <c r="H217" s="121"/>
      <c r="I217" s="121"/>
      <c r="J217" s="121"/>
      <c r="K217" s="121"/>
      <c r="L217" s="121"/>
      <c r="M217" s="121"/>
      <c r="N217" s="121"/>
      <c r="S217" s="44"/>
      <c r="U217" s="189"/>
      <c r="V217" s="107">
        <v>1</v>
      </c>
      <c r="W217" s="161" t="str">
        <f t="shared" si="16"/>
        <v/>
      </c>
      <c r="X217" s="161" t="str">
        <f t="shared" si="17"/>
        <v/>
      </c>
      <c r="Y217" s="73"/>
    </row>
    <row r="218" spans="1:25" ht="32" customHeight="1" x14ac:dyDescent="0.2">
      <c r="A218" s="74" t="s">
        <v>41</v>
      </c>
      <c r="B218" s="74" t="s">
        <v>464</v>
      </c>
      <c r="C218" s="43" t="s">
        <v>465</v>
      </c>
      <c r="D218" s="87"/>
      <c r="E218" s="74"/>
      <c r="F218" s="88"/>
      <c r="G218" s="116" t="s">
        <v>45</v>
      </c>
      <c r="H218" s="116"/>
      <c r="I218" s="116"/>
      <c r="J218" s="116"/>
      <c r="K218" s="116"/>
      <c r="L218" s="116"/>
      <c r="M218" s="116"/>
      <c r="N218" s="116"/>
      <c r="S218" s="44" t="s">
        <v>38</v>
      </c>
      <c r="U218" s="189">
        <v>12.77690315246582</v>
      </c>
      <c r="V218" s="107">
        <v>1</v>
      </c>
      <c r="W218" s="161">
        <f t="shared" si="16"/>
        <v>12.77690315246582</v>
      </c>
      <c r="X218" s="161">
        <f t="shared" si="17"/>
        <v>12.77690315246582</v>
      </c>
    </row>
    <row r="219" spans="1:25" ht="48" customHeight="1" x14ac:dyDescent="0.2">
      <c r="A219" s="74" t="s">
        <v>119</v>
      </c>
      <c r="B219" s="74" t="s">
        <v>466</v>
      </c>
      <c r="C219" s="43" t="s">
        <v>467</v>
      </c>
      <c r="D219" s="87"/>
      <c r="E219" s="74"/>
      <c r="F219" s="88"/>
      <c r="G219" s="116" t="s">
        <v>36</v>
      </c>
      <c r="H219" s="116"/>
      <c r="I219" s="116"/>
      <c r="J219" s="116"/>
      <c r="K219" s="116"/>
      <c r="L219" s="116"/>
      <c r="M219" s="116"/>
      <c r="N219" s="116"/>
      <c r="S219" s="44" t="s">
        <v>38</v>
      </c>
      <c r="U219" s="189">
        <v>21.398605346679691</v>
      </c>
      <c r="V219" s="107">
        <v>1</v>
      </c>
      <c r="W219" s="161">
        <f t="shared" si="16"/>
        <v>21.398605346679691</v>
      </c>
      <c r="X219" s="161">
        <f t="shared" si="17"/>
        <v>21.398605346679691</v>
      </c>
    </row>
    <row r="220" spans="1:25" ht="48" customHeight="1" x14ac:dyDescent="0.2">
      <c r="A220" s="74" t="s">
        <v>119</v>
      </c>
      <c r="B220" s="74" t="s">
        <v>468</v>
      </c>
      <c r="C220" s="43" t="s">
        <v>469</v>
      </c>
      <c r="D220" s="87"/>
      <c r="E220" s="74"/>
      <c r="F220" s="88"/>
      <c r="G220" s="116" t="s">
        <v>36</v>
      </c>
      <c r="H220" s="116"/>
      <c r="I220" s="116"/>
      <c r="J220" s="116"/>
      <c r="K220" s="116"/>
      <c r="L220" s="116"/>
      <c r="M220" s="116"/>
      <c r="N220" s="116"/>
      <c r="S220" s="44" t="s">
        <v>38</v>
      </c>
      <c r="U220" s="189">
        <v>14.980740547180179</v>
      </c>
      <c r="V220" s="107">
        <v>1</v>
      </c>
      <c r="W220" s="161">
        <f t="shared" si="16"/>
        <v>14.980740547180179</v>
      </c>
      <c r="X220" s="161">
        <f t="shared" si="17"/>
        <v>14.980740547180179</v>
      </c>
    </row>
    <row r="221" spans="1:25" ht="32" customHeight="1" x14ac:dyDescent="0.2">
      <c r="A221" s="74" t="s">
        <v>119</v>
      </c>
      <c r="B221" s="74" t="s">
        <v>470</v>
      </c>
      <c r="C221" s="43" t="s">
        <v>471</v>
      </c>
      <c r="D221" s="87"/>
      <c r="E221" s="74"/>
      <c r="F221" s="88"/>
      <c r="G221" s="116" t="s">
        <v>36</v>
      </c>
      <c r="H221" s="116"/>
      <c r="I221" s="116"/>
      <c r="J221" s="116"/>
      <c r="K221" s="116"/>
      <c r="L221" s="116"/>
      <c r="M221" s="116"/>
      <c r="N221" s="116"/>
      <c r="S221" s="44" t="s">
        <v>38</v>
      </c>
      <c r="U221" s="189">
        <v>13.72302150726318</v>
      </c>
      <c r="V221" s="107">
        <v>1</v>
      </c>
      <c r="W221" s="161">
        <f t="shared" si="16"/>
        <v>13.72302150726318</v>
      </c>
      <c r="X221" s="161">
        <f t="shared" si="17"/>
        <v>13.72302150726318</v>
      </c>
    </row>
    <row r="222" spans="1:25" ht="32" customHeight="1" x14ac:dyDescent="0.2">
      <c r="A222" s="74" t="s">
        <v>119</v>
      </c>
      <c r="B222" s="74" t="s">
        <v>472</v>
      </c>
      <c r="C222" s="43" t="s">
        <v>473</v>
      </c>
      <c r="D222" s="87"/>
      <c r="E222" s="74"/>
      <c r="F222" s="88"/>
      <c r="G222" s="116" t="s">
        <v>36</v>
      </c>
      <c r="H222" s="116"/>
      <c r="I222" s="116"/>
      <c r="J222" s="116"/>
      <c r="K222" s="116"/>
      <c r="L222" s="116"/>
      <c r="M222" s="116"/>
      <c r="N222" s="116"/>
      <c r="S222" s="44" t="s">
        <v>38</v>
      </c>
      <c r="U222" s="189">
        <v>13.06220054626465</v>
      </c>
      <c r="V222" s="107">
        <v>1</v>
      </c>
      <c r="W222" s="161">
        <f t="shared" si="16"/>
        <v>13.06220054626465</v>
      </c>
      <c r="X222" s="161">
        <f t="shared" si="17"/>
        <v>13.06220054626465</v>
      </c>
    </row>
    <row r="223" spans="1:25" ht="48" customHeight="1" x14ac:dyDescent="0.2">
      <c r="A223" s="74" t="s">
        <v>119</v>
      </c>
      <c r="B223" s="74" t="s">
        <v>474</v>
      </c>
      <c r="C223" s="43" t="s">
        <v>475</v>
      </c>
      <c r="D223" s="87"/>
      <c r="E223" s="74"/>
      <c r="F223" s="88"/>
      <c r="G223" s="116" t="s">
        <v>36</v>
      </c>
      <c r="H223" s="116"/>
      <c r="I223" s="116"/>
      <c r="J223" s="116"/>
      <c r="K223" s="116"/>
      <c r="L223" s="116"/>
      <c r="M223" s="116"/>
      <c r="N223" s="116"/>
      <c r="S223" s="44" t="s">
        <v>38</v>
      </c>
      <c r="U223" s="189">
        <v>13.09532356262207</v>
      </c>
      <c r="V223" s="107">
        <v>1</v>
      </c>
      <c r="W223" s="161">
        <f t="shared" si="16"/>
        <v>13.09532356262207</v>
      </c>
      <c r="X223" s="161">
        <f t="shared" si="17"/>
        <v>13.09532356262207</v>
      </c>
    </row>
    <row r="224" spans="1:25" ht="32" customHeight="1" x14ac:dyDescent="0.2">
      <c r="A224" s="74" t="s">
        <v>119</v>
      </c>
      <c r="B224" s="74" t="s">
        <v>476</v>
      </c>
      <c r="C224" s="43" t="s">
        <v>477</v>
      </c>
      <c r="D224" s="87"/>
      <c r="E224" s="74"/>
      <c r="F224" s="88"/>
      <c r="G224" s="116" t="s">
        <v>36</v>
      </c>
      <c r="H224" s="116"/>
      <c r="I224" s="116"/>
      <c r="J224" s="116"/>
      <c r="K224" s="116"/>
      <c r="L224" s="116"/>
      <c r="M224" s="116"/>
      <c r="N224" s="116"/>
      <c r="S224" s="44" t="s">
        <v>38</v>
      </c>
      <c r="U224" s="189">
        <v>16.10101918465228</v>
      </c>
      <c r="V224" s="107">
        <v>1</v>
      </c>
      <c r="W224" s="161">
        <f t="shared" si="16"/>
        <v>16.10101918465228</v>
      </c>
      <c r="X224" s="161">
        <f t="shared" si="17"/>
        <v>16.10101918465228</v>
      </c>
    </row>
    <row r="225" spans="1:24" s="75" customFormat="1" ht="16" customHeight="1" x14ac:dyDescent="0.2">
      <c r="A225" s="79" t="s">
        <v>478</v>
      </c>
      <c r="B225" s="79" t="s">
        <v>479</v>
      </c>
      <c r="C225" s="80" t="s">
        <v>480</v>
      </c>
      <c r="D225" s="98"/>
      <c r="E225" s="79"/>
      <c r="F225" s="100"/>
      <c r="G225" s="118" t="s">
        <v>36</v>
      </c>
      <c r="H225" s="118"/>
      <c r="I225" s="118"/>
      <c r="J225" s="118"/>
      <c r="K225" s="118" t="s">
        <v>481</v>
      </c>
      <c r="L225" s="118"/>
      <c r="M225" s="118"/>
      <c r="N225" s="118"/>
      <c r="S225" s="75" t="s">
        <v>38</v>
      </c>
      <c r="U225" s="189">
        <v>11.76504325866699</v>
      </c>
      <c r="V225" s="107">
        <v>1</v>
      </c>
      <c r="W225" s="161">
        <f t="shared" si="16"/>
        <v>11.76504325866699</v>
      </c>
      <c r="X225" s="161">
        <f t="shared" si="17"/>
        <v>11.76504325866699</v>
      </c>
    </row>
    <row r="226" spans="1:24" s="75" customFormat="1" ht="32" customHeight="1" x14ac:dyDescent="0.2">
      <c r="A226" s="79" t="s">
        <v>119</v>
      </c>
      <c r="B226" s="79" t="s">
        <v>482</v>
      </c>
      <c r="C226" s="80" t="s">
        <v>483</v>
      </c>
      <c r="D226" s="98"/>
      <c r="E226" s="79"/>
      <c r="F226" s="100"/>
      <c r="G226" s="118" t="s">
        <v>36</v>
      </c>
      <c r="H226" s="118"/>
      <c r="I226" s="118"/>
      <c r="J226" s="118"/>
      <c r="K226" s="118"/>
      <c r="L226" s="118"/>
      <c r="M226" s="118"/>
      <c r="N226" s="118"/>
      <c r="S226" s="75" t="s">
        <v>38</v>
      </c>
      <c r="U226" s="189">
        <v>12.432478904724119</v>
      </c>
      <c r="V226" s="107">
        <v>1</v>
      </c>
      <c r="W226" s="161">
        <f t="shared" si="16"/>
        <v>12.432478904724119</v>
      </c>
      <c r="X226" s="161">
        <f t="shared" si="17"/>
        <v>12.432478904724119</v>
      </c>
    </row>
    <row r="227" spans="1:24" s="75" customFormat="1" ht="16" customHeight="1" x14ac:dyDescent="0.2">
      <c r="A227" s="79" t="s">
        <v>478</v>
      </c>
      <c r="B227" s="79" t="s">
        <v>484</v>
      </c>
      <c r="C227" s="80" t="s">
        <v>480</v>
      </c>
      <c r="D227" s="98"/>
      <c r="E227" s="79"/>
      <c r="F227" s="100"/>
      <c r="G227" s="118" t="s">
        <v>36</v>
      </c>
      <c r="H227" s="118"/>
      <c r="I227" s="118"/>
      <c r="J227" s="118"/>
      <c r="K227" s="118" t="s">
        <v>485</v>
      </c>
      <c r="L227" s="118"/>
      <c r="M227" s="118"/>
      <c r="N227" s="118"/>
      <c r="S227" s="75" t="s">
        <v>38</v>
      </c>
      <c r="U227" s="189">
        <v>8.9801836013793945</v>
      </c>
      <c r="V227" s="107">
        <v>1</v>
      </c>
      <c r="W227" s="161">
        <f t="shared" si="16"/>
        <v>8.9801836013793945</v>
      </c>
      <c r="X227" s="161">
        <f t="shared" si="17"/>
        <v>8.9801836013793945</v>
      </c>
    </row>
    <row r="228" spans="1:24" s="75" customFormat="1" ht="32" customHeight="1" x14ac:dyDescent="0.2">
      <c r="A228" s="79" t="s">
        <v>119</v>
      </c>
      <c r="B228" s="79" t="s">
        <v>486</v>
      </c>
      <c r="C228" s="80" t="s">
        <v>487</v>
      </c>
      <c r="D228" s="98"/>
      <c r="E228" s="79"/>
      <c r="F228" s="100"/>
      <c r="G228" s="118" t="s">
        <v>36</v>
      </c>
      <c r="H228" s="118"/>
      <c r="I228" s="118"/>
      <c r="J228" s="118"/>
      <c r="K228" s="118"/>
      <c r="L228" s="118"/>
      <c r="M228" s="118"/>
      <c r="N228" s="118"/>
      <c r="S228" s="75" t="s">
        <v>38</v>
      </c>
      <c r="U228" s="189">
        <v>11.089328765869141</v>
      </c>
      <c r="V228" s="107">
        <v>1</v>
      </c>
      <c r="W228" s="161">
        <f t="shared" si="16"/>
        <v>11.089328765869141</v>
      </c>
      <c r="X228" s="161">
        <f t="shared" si="17"/>
        <v>11.089328765869141</v>
      </c>
    </row>
    <row r="229" spans="1:24" s="75" customFormat="1" ht="16" customHeight="1" x14ac:dyDescent="0.2">
      <c r="A229" s="79" t="s">
        <v>478</v>
      </c>
      <c r="B229" s="79" t="s">
        <v>488</v>
      </c>
      <c r="C229" s="80" t="s">
        <v>480</v>
      </c>
      <c r="D229" s="98"/>
      <c r="E229" s="79"/>
      <c r="F229" s="100"/>
      <c r="G229" s="118" t="s">
        <v>36</v>
      </c>
      <c r="H229" s="118"/>
      <c r="I229" s="118"/>
      <c r="J229" s="118"/>
      <c r="K229" s="118" t="s">
        <v>489</v>
      </c>
      <c r="L229" s="118"/>
      <c r="M229" s="118"/>
      <c r="N229" s="118"/>
      <c r="S229" s="75" t="s">
        <v>38</v>
      </c>
      <c r="U229" s="189">
        <v>8.0683355331420898</v>
      </c>
      <c r="V229" s="107">
        <v>1</v>
      </c>
      <c r="W229" s="161">
        <f t="shared" si="16"/>
        <v>8.0683355331420898</v>
      </c>
      <c r="X229" s="161">
        <f t="shared" si="17"/>
        <v>8.0683355331420898</v>
      </c>
    </row>
    <row r="230" spans="1:24" x14ac:dyDescent="0.2">
      <c r="A230" s="79" t="s">
        <v>115</v>
      </c>
      <c r="B230" s="79"/>
      <c r="C230" s="43"/>
      <c r="D230" s="87"/>
      <c r="E230" s="74"/>
      <c r="F230" s="88"/>
      <c r="G230" s="116"/>
      <c r="H230" s="116"/>
      <c r="I230" s="116"/>
      <c r="J230" s="116"/>
      <c r="K230" s="116"/>
      <c r="L230" s="116"/>
      <c r="M230" s="116"/>
      <c r="N230" s="116"/>
      <c r="U230" s="189"/>
      <c r="V230" s="107">
        <v>1</v>
      </c>
      <c r="W230" s="161" t="str">
        <f t="shared" si="16"/>
        <v/>
      </c>
      <c r="X230" s="161" t="str">
        <f t="shared" si="17"/>
        <v/>
      </c>
    </row>
    <row r="231" spans="1:24" x14ac:dyDescent="0.2">
      <c r="A231" s="75"/>
      <c r="B231" s="75"/>
      <c r="D231" s="87"/>
      <c r="F231" s="88"/>
      <c r="U231" s="189"/>
      <c r="V231" s="107">
        <v>1</v>
      </c>
      <c r="W231" s="161" t="str">
        <f t="shared" si="16"/>
        <v/>
      </c>
      <c r="X231" s="161" t="str">
        <f t="shared" si="17"/>
        <v/>
      </c>
    </row>
    <row r="232" spans="1:24" s="75" customFormat="1" ht="16" customHeight="1" x14ac:dyDescent="0.2">
      <c r="A232" s="75" t="s">
        <v>58</v>
      </c>
      <c r="B232" s="75" t="s">
        <v>490</v>
      </c>
      <c r="C232" s="233" t="s">
        <v>491</v>
      </c>
      <c r="D232" s="98"/>
      <c r="F232" s="100"/>
      <c r="G232" s="128"/>
      <c r="H232" s="128" t="s">
        <v>492</v>
      </c>
      <c r="I232" s="128"/>
      <c r="J232" s="128"/>
      <c r="K232" s="128"/>
      <c r="L232" s="128"/>
      <c r="M232" s="128"/>
      <c r="N232" s="128"/>
      <c r="U232" s="189"/>
      <c r="V232" s="107">
        <v>1</v>
      </c>
      <c r="W232" s="161" t="str">
        <f t="shared" si="16"/>
        <v/>
      </c>
      <c r="X232" s="161" t="str">
        <f t="shared" si="17"/>
        <v/>
      </c>
    </row>
    <row r="233" spans="1:24" s="75" customFormat="1" ht="64" customHeight="1" x14ac:dyDescent="0.2">
      <c r="A233" s="75" t="s">
        <v>41</v>
      </c>
      <c r="B233" s="75" t="s">
        <v>493</v>
      </c>
      <c r="C233" s="46" t="s">
        <v>494</v>
      </c>
      <c r="D233" s="98"/>
      <c r="F233" s="100"/>
      <c r="G233" s="128"/>
      <c r="H233" s="128"/>
      <c r="I233" s="128"/>
      <c r="J233" s="128"/>
      <c r="K233" s="128"/>
      <c r="L233" s="128"/>
      <c r="M233" s="128"/>
      <c r="N233" s="128"/>
      <c r="S233" s="75" t="s">
        <v>46</v>
      </c>
      <c r="U233" s="189">
        <v>5.7112536430358887</v>
      </c>
      <c r="V233" s="107">
        <v>1</v>
      </c>
      <c r="W233" s="161">
        <f t="shared" si="16"/>
        <v>5.7112536430358887</v>
      </c>
      <c r="X233" s="161" t="str">
        <f t="shared" si="17"/>
        <v/>
      </c>
    </row>
    <row r="234" spans="1:24" s="75" customFormat="1" ht="16" customHeight="1" x14ac:dyDescent="0.2">
      <c r="A234" s="75" t="s">
        <v>495</v>
      </c>
      <c r="B234" s="75" t="s">
        <v>496</v>
      </c>
      <c r="C234" s="46" t="s">
        <v>497</v>
      </c>
      <c r="D234" s="98"/>
      <c r="F234" s="100"/>
      <c r="G234" s="128" t="s">
        <v>36</v>
      </c>
      <c r="H234" s="128" t="s">
        <v>102</v>
      </c>
      <c r="I234" s="128"/>
      <c r="J234" s="128"/>
      <c r="K234" s="128"/>
      <c r="L234" s="128"/>
      <c r="M234" s="128"/>
      <c r="N234" s="128"/>
      <c r="S234" s="75" t="s">
        <v>46</v>
      </c>
      <c r="U234" s="189">
        <v>15.436671257019039</v>
      </c>
      <c r="V234" s="107">
        <v>1</v>
      </c>
      <c r="W234" s="161">
        <f t="shared" si="16"/>
        <v>15.436671257019039</v>
      </c>
      <c r="X234" s="161" t="str">
        <f t="shared" si="17"/>
        <v/>
      </c>
    </row>
    <row r="235" spans="1:24" s="75" customFormat="1" ht="16" customHeight="1" x14ac:dyDescent="0.2">
      <c r="A235" s="75" t="s">
        <v>495</v>
      </c>
      <c r="B235" s="75" t="s">
        <v>498</v>
      </c>
      <c r="C235" s="46" t="s">
        <v>499</v>
      </c>
      <c r="D235" s="98"/>
      <c r="F235" s="100"/>
      <c r="G235" s="128" t="s">
        <v>36</v>
      </c>
      <c r="H235" s="128" t="s">
        <v>102</v>
      </c>
      <c r="I235" s="128"/>
      <c r="J235" s="128"/>
      <c r="K235" s="128"/>
      <c r="L235" s="128"/>
      <c r="M235" s="128"/>
      <c r="N235" s="128"/>
      <c r="S235" s="75" t="s">
        <v>46</v>
      </c>
      <c r="U235" s="189">
        <v>13.39993858337402</v>
      </c>
      <c r="V235" s="107">
        <v>1</v>
      </c>
      <c r="W235" s="161">
        <f t="shared" si="16"/>
        <v>13.39993858337402</v>
      </c>
      <c r="X235" s="161" t="str">
        <f t="shared" si="17"/>
        <v/>
      </c>
    </row>
    <row r="236" spans="1:24" s="75" customFormat="1" ht="16" customHeight="1" x14ac:dyDescent="0.2">
      <c r="A236" s="75" t="s">
        <v>495</v>
      </c>
      <c r="B236" s="75" t="s">
        <v>500</v>
      </c>
      <c r="C236" s="46" t="s">
        <v>501</v>
      </c>
      <c r="D236" s="98"/>
      <c r="F236" s="100"/>
      <c r="G236" s="128" t="s">
        <v>36</v>
      </c>
      <c r="H236" s="128" t="s">
        <v>102</v>
      </c>
      <c r="I236" s="128"/>
      <c r="J236" s="128"/>
      <c r="K236" s="128"/>
      <c r="L236" s="128"/>
      <c r="M236" s="128"/>
      <c r="N236" s="128"/>
      <c r="S236" s="75" t="s">
        <v>46</v>
      </c>
      <c r="U236" s="189">
        <v>12.4080867767334</v>
      </c>
      <c r="V236" s="107">
        <v>1</v>
      </c>
      <c r="W236" s="161">
        <f t="shared" si="16"/>
        <v>12.4080867767334</v>
      </c>
      <c r="X236" s="161" t="str">
        <f t="shared" si="17"/>
        <v/>
      </c>
    </row>
    <row r="237" spans="1:24" s="75" customFormat="1" ht="16" customHeight="1" x14ac:dyDescent="0.2">
      <c r="A237" s="75" t="s">
        <v>495</v>
      </c>
      <c r="B237" s="75" t="s">
        <v>502</v>
      </c>
      <c r="C237" s="46" t="s">
        <v>503</v>
      </c>
      <c r="D237" s="98"/>
      <c r="F237" s="100"/>
      <c r="G237" s="128" t="s">
        <v>36</v>
      </c>
      <c r="H237" s="128" t="s">
        <v>102</v>
      </c>
      <c r="I237" s="128"/>
      <c r="J237" s="128"/>
      <c r="K237" s="128"/>
      <c r="L237" s="128"/>
      <c r="M237" s="128"/>
      <c r="N237" s="128"/>
      <c r="S237" s="75" t="s">
        <v>46</v>
      </c>
      <c r="U237" s="189">
        <v>9.2894678115844727</v>
      </c>
      <c r="V237" s="107">
        <v>1</v>
      </c>
      <c r="W237" s="161">
        <f t="shared" si="16"/>
        <v>9.2894678115844727</v>
      </c>
      <c r="X237" s="161" t="str">
        <f t="shared" si="17"/>
        <v/>
      </c>
    </row>
    <row r="238" spans="1:24" s="75" customFormat="1" ht="16" customHeight="1" x14ac:dyDescent="0.2">
      <c r="A238" s="75" t="s">
        <v>495</v>
      </c>
      <c r="B238" s="75" t="s">
        <v>504</v>
      </c>
      <c r="C238" s="46" t="s">
        <v>505</v>
      </c>
      <c r="D238" s="98"/>
      <c r="F238" s="100"/>
      <c r="G238" s="128" t="s">
        <v>36</v>
      </c>
      <c r="H238" s="128" t="s">
        <v>102</v>
      </c>
      <c r="I238" s="128"/>
      <c r="J238" s="128"/>
      <c r="K238" s="128"/>
      <c r="L238" s="128"/>
      <c r="M238" s="128"/>
      <c r="N238" s="128"/>
      <c r="S238" s="75" t="s">
        <v>46</v>
      </c>
      <c r="U238" s="189">
        <v>12</v>
      </c>
      <c r="V238" s="107">
        <v>1</v>
      </c>
      <c r="W238" s="161">
        <f t="shared" si="16"/>
        <v>12</v>
      </c>
      <c r="X238" s="161" t="str">
        <f t="shared" si="17"/>
        <v/>
      </c>
    </row>
    <row r="239" spans="1:24" s="95" customFormat="1" ht="16" customHeight="1" x14ac:dyDescent="0.2">
      <c r="A239" s="95" t="s">
        <v>495</v>
      </c>
      <c r="B239" s="95" t="s">
        <v>506</v>
      </c>
      <c r="C239" s="239" t="s">
        <v>507</v>
      </c>
      <c r="D239" s="240"/>
      <c r="F239" s="241"/>
      <c r="G239" s="124" t="s">
        <v>36</v>
      </c>
      <c r="H239" s="124" t="s">
        <v>102</v>
      </c>
      <c r="I239" s="124"/>
      <c r="J239" s="124"/>
      <c r="K239" s="124"/>
      <c r="L239" s="124"/>
      <c r="M239" s="124"/>
      <c r="N239" s="124"/>
      <c r="S239" s="95" t="s">
        <v>46</v>
      </c>
      <c r="U239" s="242">
        <v>12.996181488037109</v>
      </c>
      <c r="V239" s="253">
        <v>1</v>
      </c>
      <c r="W239" s="244">
        <f t="shared" si="16"/>
        <v>12.996181488037109</v>
      </c>
      <c r="X239" s="244" t="str">
        <f t="shared" si="17"/>
        <v/>
      </c>
    </row>
    <row r="240" spans="1:24" s="75" customFormat="1" ht="32" customHeight="1" x14ac:dyDescent="0.2">
      <c r="A240" s="75" t="s">
        <v>495</v>
      </c>
      <c r="B240" s="75" t="s">
        <v>508</v>
      </c>
      <c r="C240" s="46" t="s">
        <v>509</v>
      </c>
      <c r="D240" s="98"/>
      <c r="F240" s="100"/>
      <c r="G240" s="128" t="s">
        <v>36</v>
      </c>
      <c r="H240" s="128" t="s">
        <v>102</v>
      </c>
      <c r="I240" s="128"/>
      <c r="J240" s="128"/>
      <c r="K240" s="128"/>
      <c r="L240" s="128"/>
      <c r="M240" s="128"/>
      <c r="N240" s="128"/>
      <c r="S240" s="75" t="s">
        <v>46</v>
      </c>
      <c r="U240" s="189">
        <v>14.752389907836911</v>
      </c>
      <c r="V240" s="107">
        <v>1</v>
      </c>
      <c r="W240" s="161">
        <f t="shared" si="16"/>
        <v>14.752389907836911</v>
      </c>
      <c r="X240" s="161" t="str">
        <f t="shared" si="17"/>
        <v/>
      </c>
    </row>
    <row r="241" spans="1:24" s="75" customFormat="1" ht="16" customHeight="1" x14ac:dyDescent="0.2">
      <c r="A241" s="75" t="s">
        <v>495</v>
      </c>
      <c r="B241" s="75" t="s">
        <v>510</v>
      </c>
      <c r="C241" s="46" t="s">
        <v>511</v>
      </c>
      <c r="D241" s="98"/>
      <c r="F241" s="100"/>
      <c r="G241" s="128" t="s">
        <v>36</v>
      </c>
      <c r="H241" s="128" t="s">
        <v>102</v>
      </c>
      <c r="I241" s="128"/>
      <c r="J241" s="128"/>
      <c r="K241" s="128"/>
      <c r="L241" s="128"/>
      <c r="M241" s="128"/>
      <c r="N241" s="128"/>
      <c r="S241" s="75" t="s">
        <v>46</v>
      </c>
      <c r="U241" s="189">
        <v>9.716710090637207</v>
      </c>
      <c r="V241" s="107">
        <v>1</v>
      </c>
      <c r="W241" s="161">
        <f t="shared" si="16"/>
        <v>9.716710090637207</v>
      </c>
      <c r="X241" s="161" t="str">
        <f t="shared" si="17"/>
        <v/>
      </c>
    </row>
    <row r="242" spans="1:24" s="75" customFormat="1" ht="16" customHeight="1" x14ac:dyDescent="0.2">
      <c r="A242" s="75" t="s">
        <v>495</v>
      </c>
      <c r="B242" s="75" t="s">
        <v>512</v>
      </c>
      <c r="C242" s="46" t="s">
        <v>513</v>
      </c>
      <c r="D242" s="98"/>
      <c r="F242" s="100"/>
      <c r="G242" s="128" t="s">
        <v>36</v>
      </c>
      <c r="H242" s="128" t="s">
        <v>102</v>
      </c>
      <c r="I242" s="128"/>
      <c r="J242" s="128"/>
      <c r="K242" s="128"/>
      <c r="L242" s="128"/>
      <c r="M242" s="128"/>
      <c r="N242" s="128"/>
      <c r="S242" s="75" t="s">
        <v>46</v>
      </c>
      <c r="U242" s="189">
        <v>10.953365325927731</v>
      </c>
      <c r="V242" s="107">
        <v>1</v>
      </c>
      <c r="W242" s="161">
        <f t="shared" si="16"/>
        <v>10.953365325927731</v>
      </c>
      <c r="X242" s="161" t="str">
        <f t="shared" si="17"/>
        <v/>
      </c>
    </row>
    <row r="243" spans="1:24" s="75" customFormat="1" ht="16" customHeight="1" x14ac:dyDescent="0.2">
      <c r="A243" s="75" t="s">
        <v>495</v>
      </c>
      <c r="B243" s="75" t="s">
        <v>514</v>
      </c>
      <c r="C243" s="46" t="s">
        <v>515</v>
      </c>
      <c r="D243" s="98"/>
      <c r="F243" s="100"/>
      <c r="G243" s="128" t="s">
        <v>36</v>
      </c>
      <c r="H243" s="128" t="s">
        <v>102</v>
      </c>
      <c r="I243" s="128"/>
      <c r="J243" s="128"/>
      <c r="K243" s="128"/>
      <c r="L243" s="128"/>
      <c r="M243" s="128"/>
      <c r="N243" s="128"/>
      <c r="S243" s="75" t="s">
        <v>46</v>
      </c>
      <c r="U243" s="189">
        <v>10.114131927490231</v>
      </c>
      <c r="V243" s="107">
        <v>1</v>
      </c>
      <c r="W243" s="161">
        <f t="shared" si="16"/>
        <v>10.114131927490231</v>
      </c>
      <c r="X243" s="161" t="str">
        <f t="shared" si="17"/>
        <v/>
      </c>
    </row>
    <row r="244" spans="1:24" s="75" customFormat="1" x14ac:dyDescent="0.2">
      <c r="A244" s="75" t="s">
        <v>115</v>
      </c>
      <c r="C244" s="46"/>
      <c r="D244" s="98"/>
      <c r="F244" s="100"/>
      <c r="G244" s="128"/>
      <c r="H244" s="128"/>
      <c r="I244" s="128"/>
      <c r="J244" s="128"/>
      <c r="K244" s="128"/>
      <c r="L244" s="128"/>
      <c r="M244" s="128"/>
      <c r="N244" s="128"/>
      <c r="U244" s="189"/>
      <c r="V244" s="107">
        <v>1</v>
      </c>
      <c r="W244" s="161" t="str">
        <f t="shared" ref="W244:W275" si="18">IF(U244&lt;&gt;"",U244*V244,"")</f>
        <v/>
      </c>
      <c r="X244" s="161" t="str">
        <f t="shared" ref="X244:X275" si="19">IF(AND(U244&lt;&gt;"",S244="yes"),U244*V244,"")</f>
        <v/>
      </c>
    </row>
    <row r="245" spans="1:24" x14ac:dyDescent="0.2">
      <c r="A245" s="75"/>
      <c r="B245" s="75"/>
      <c r="D245" s="87"/>
      <c r="F245" s="88"/>
      <c r="U245" s="189"/>
      <c r="V245" s="107">
        <v>1</v>
      </c>
      <c r="W245" s="161" t="str">
        <f t="shared" si="18"/>
        <v/>
      </c>
      <c r="X245" s="161" t="str">
        <f t="shared" si="19"/>
        <v/>
      </c>
    </row>
    <row r="246" spans="1:24" ht="16" customHeight="1" x14ac:dyDescent="0.2">
      <c r="A246" s="79" t="s">
        <v>58</v>
      </c>
      <c r="B246" s="79" t="s">
        <v>516</v>
      </c>
      <c r="C246" s="93" t="s">
        <v>517</v>
      </c>
      <c r="D246" s="87"/>
      <c r="E246" s="74"/>
      <c r="F246" s="88"/>
      <c r="G246" s="116"/>
      <c r="H246" s="116"/>
      <c r="I246" s="116"/>
      <c r="J246" s="116"/>
      <c r="K246" s="116"/>
      <c r="L246" s="116"/>
      <c r="M246" s="116"/>
      <c r="N246" s="116"/>
      <c r="U246" s="189"/>
      <c r="V246" s="107">
        <v>1</v>
      </c>
      <c r="W246" s="161" t="str">
        <f t="shared" si="18"/>
        <v/>
      </c>
      <c r="X246" s="161" t="str">
        <f t="shared" si="19"/>
        <v/>
      </c>
    </row>
    <row r="247" spans="1:24" ht="32" customHeight="1" x14ac:dyDescent="0.2">
      <c r="A247" s="74" t="s">
        <v>41</v>
      </c>
      <c r="B247" s="74" t="s">
        <v>518</v>
      </c>
      <c r="C247" s="43" t="s">
        <v>519</v>
      </c>
      <c r="D247" s="87"/>
      <c r="E247" s="74"/>
      <c r="F247" s="88"/>
      <c r="G247" s="116" t="s">
        <v>45</v>
      </c>
      <c r="H247" s="116"/>
      <c r="I247" s="116"/>
      <c r="J247" s="116"/>
      <c r="K247" s="116"/>
      <c r="L247" s="116"/>
      <c r="M247" s="116"/>
      <c r="N247" s="116"/>
      <c r="S247" s="44" t="s">
        <v>38</v>
      </c>
      <c r="U247" s="189"/>
      <c r="V247" s="107">
        <v>1</v>
      </c>
      <c r="W247" s="161" t="str">
        <f t="shared" si="18"/>
        <v/>
      </c>
      <c r="X247" s="161" t="str">
        <f t="shared" si="19"/>
        <v/>
      </c>
    </row>
    <row r="248" spans="1:24" ht="48" customHeight="1" x14ac:dyDescent="0.2">
      <c r="A248" s="74" t="s">
        <v>520</v>
      </c>
      <c r="B248" s="74" t="s">
        <v>521</v>
      </c>
      <c r="C248" s="43" t="s">
        <v>522</v>
      </c>
      <c r="D248" s="87"/>
      <c r="E248" s="74" t="s">
        <v>523</v>
      </c>
      <c r="F248" s="88"/>
      <c r="G248" s="116" t="s">
        <v>36</v>
      </c>
      <c r="H248" s="116"/>
      <c r="I248" s="116"/>
      <c r="J248" s="116"/>
      <c r="K248" s="116"/>
      <c r="L248" s="116"/>
      <c r="M248" s="116"/>
      <c r="N248" s="116"/>
      <c r="S248" s="44" t="s">
        <v>38</v>
      </c>
      <c r="U248" s="189">
        <v>72.295135498046875</v>
      </c>
      <c r="V248" s="107">
        <v>1</v>
      </c>
      <c r="W248" s="161">
        <f t="shared" si="18"/>
        <v>72.295135498046875</v>
      </c>
      <c r="X248" s="161">
        <f t="shared" si="19"/>
        <v>72.295135498046875</v>
      </c>
    </row>
    <row r="249" spans="1:24" ht="48" customHeight="1" x14ac:dyDescent="0.2">
      <c r="A249" s="74" t="s">
        <v>41</v>
      </c>
      <c r="B249" s="74" t="s">
        <v>524</v>
      </c>
      <c r="C249" s="43" t="s">
        <v>525</v>
      </c>
      <c r="D249" s="87"/>
      <c r="E249" s="74"/>
      <c r="F249" s="88"/>
      <c r="G249" s="116" t="s">
        <v>45</v>
      </c>
      <c r="H249" s="116"/>
      <c r="I249" s="116"/>
      <c r="J249" s="116"/>
      <c r="K249" s="116"/>
      <c r="L249" s="116"/>
      <c r="M249" s="116"/>
      <c r="N249" s="116"/>
      <c r="S249" s="44" t="s">
        <v>38</v>
      </c>
      <c r="U249" s="189">
        <v>3.7052218914031978</v>
      </c>
      <c r="V249" s="107">
        <v>1</v>
      </c>
      <c r="W249" s="161">
        <f t="shared" si="18"/>
        <v>3.7052218914031978</v>
      </c>
      <c r="X249" s="161">
        <f t="shared" si="19"/>
        <v>3.7052218914031978</v>
      </c>
    </row>
    <row r="250" spans="1:24" ht="16" customHeight="1" x14ac:dyDescent="0.2">
      <c r="A250" s="74" t="s">
        <v>115</v>
      </c>
      <c r="B250" s="74"/>
      <c r="C250" s="43"/>
      <c r="D250" s="87"/>
      <c r="E250" s="74"/>
      <c r="F250" s="88"/>
      <c r="G250" s="116"/>
      <c r="H250" s="116"/>
      <c r="I250" s="116"/>
      <c r="J250" s="116"/>
      <c r="K250" s="116"/>
      <c r="L250" s="116"/>
      <c r="M250" s="116"/>
      <c r="N250" s="116"/>
      <c r="U250" s="189"/>
      <c r="V250" s="107">
        <v>1</v>
      </c>
      <c r="W250" s="161" t="str">
        <f t="shared" si="18"/>
        <v/>
      </c>
      <c r="X250" s="161" t="str">
        <f t="shared" si="19"/>
        <v/>
      </c>
    </row>
    <row r="251" spans="1:24" x14ac:dyDescent="0.2">
      <c r="A251" s="75"/>
      <c r="B251" s="75"/>
      <c r="D251" s="87"/>
      <c r="F251" s="88"/>
      <c r="U251" s="189"/>
      <c r="V251" s="107">
        <v>1</v>
      </c>
      <c r="W251" s="161" t="str">
        <f t="shared" si="18"/>
        <v/>
      </c>
      <c r="X251" s="161" t="str">
        <f t="shared" si="19"/>
        <v/>
      </c>
    </row>
    <row r="252" spans="1:24" s="75" customFormat="1" ht="16" customHeight="1" x14ac:dyDescent="0.2">
      <c r="A252" s="75" t="s">
        <v>58</v>
      </c>
      <c r="B252" s="75" t="s">
        <v>526</v>
      </c>
      <c r="C252" s="46" t="s">
        <v>527</v>
      </c>
      <c r="D252" s="98"/>
      <c r="F252" s="100"/>
      <c r="G252" s="128"/>
      <c r="H252" s="128"/>
      <c r="I252" s="128"/>
      <c r="J252" s="128"/>
      <c r="K252" s="128"/>
      <c r="L252" s="128"/>
      <c r="M252" s="128"/>
      <c r="N252" s="128"/>
      <c r="S252" s="75" t="s">
        <v>46</v>
      </c>
      <c r="U252" s="189"/>
      <c r="V252" s="107">
        <v>1</v>
      </c>
      <c r="W252" s="161" t="str">
        <f t="shared" si="18"/>
        <v/>
      </c>
      <c r="X252" s="161" t="str">
        <f t="shared" si="19"/>
        <v/>
      </c>
    </row>
    <row r="253" spans="1:24" s="46" customFormat="1" ht="32" customHeight="1" x14ac:dyDescent="0.2">
      <c r="A253" s="46" t="s">
        <v>41</v>
      </c>
      <c r="B253" s="46" t="s">
        <v>528</v>
      </c>
      <c r="C253" s="46" t="s">
        <v>529</v>
      </c>
      <c r="D253" s="98"/>
      <c r="F253" s="98"/>
      <c r="G253" s="128" t="s">
        <v>45</v>
      </c>
      <c r="H253" s="234"/>
      <c r="I253" s="234"/>
      <c r="J253" s="128"/>
      <c r="K253" s="234"/>
      <c r="L253" s="234"/>
      <c r="M253" s="234"/>
      <c r="N253" s="234"/>
      <c r="S253" s="46" t="s">
        <v>46</v>
      </c>
      <c r="U253" s="189">
        <v>0</v>
      </c>
      <c r="V253" s="107">
        <v>1</v>
      </c>
      <c r="W253" s="161">
        <f t="shared" si="18"/>
        <v>0</v>
      </c>
      <c r="X253" s="161" t="str">
        <f t="shared" si="19"/>
        <v/>
      </c>
    </row>
    <row r="254" spans="1:24" s="46" customFormat="1" ht="48" customHeight="1" x14ac:dyDescent="0.2">
      <c r="A254" s="46" t="s">
        <v>68</v>
      </c>
      <c r="B254" s="46" t="s">
        <v>530</v>
      </c>
      <c r="C254" s="46" t="s">
        <v>531</v>
      </c>
      <c r="D254" s="98"/>
      <c r="E254" s="75" t="s">
        <v>532</v>
      </c>
      <c r="F254" s="98"/>
      <c r="G254" s="128" t="s">
        <v>36</v>
      </c>
      <c r="H254" s="234"/>
      <c r="I254" s="234" t="s">
        <v>533</v>
      </c>
      <c r="J254" s="128" t="s">
        <v>534</v>
      </c>
      <c r="K254" s="234"/>
      <c r="L254" s="234"/>
      <c r="M254" s="234"/>
      <c r="N254" s="234"/>
      <c r="S254" s="46" t="s">
        <v>46</v>
      </c>
      <c r="U254" s="189">
        <v>17</v>
      </c>
      <c r="V254" s="107">
        <v>1</v>
      </c>
      <c r="W254" s="161">
        <f t="shared" si="18"/>
        <v>17</v>
      </c>
      <c r="X254" s="161" t="str">
        <f t="shared" si="19"/>
        <v/>
      </c>
    </row>
    <row r="255" spans="1:24" s="46" customFormat="1" ht="48" customHeight="1" x14ac:dyDescent="0.2">
      <c r="A255" s="46" t="s">
        <v>68</v>
      </c>
      <c r="B255" s="46" t="s">
        <v>535</v>
      </c>
      <c r="C255" s="46" t="s">
        <v>536</v>
      </c>
      <c r="D255" s="98"/>
      <c r="E255" s="75" t="s">
        <v>532</v>
      </c>
      <c r="F255" s="98"/>
      <c r="G255" s="128" t="s">
        <v>36</v>
      </c>
      <c r="H255" s="234"/>
      <c r="I255" s="234" t="s">
        <v>533</v>
      </c>
      <c r="J255" s="128" t="s">
        <v>534</v>
      </c>
      <c r="K255" s="234"/>
      <c r="L255" s="234"/>
      <c r="M255" s="234"/>
      <c r="N255" s="234"/>
      <c r="S255" s="46" t="s">
        <v>46</v>
      </c>
      <c r="U255" s="189">
        <v>17</v>
      </c>
      <c r="V255" s="107">
        <v>1</v>
      </c>
      <c r="W255" s="161">
        <f t="shared" si="18"/>
        <v>17</v>
      </c>
      <c r="X255" s="161" t="str">
        <f t="shared" si="19"/>
        <v/>
      </c>
    </row>
    <row r="256" spans="1:24" s="46" customFormat="1" ht="32" customHeight="1" x14ac:dyDescent="0.2">
      <c r="A256" s="46" t="s">
        <v>68</v>
      </c>
      <c r="B256" s="46" t="s">
        <v>537</v>
      </c>
      <c r="C256" s="46" t="s">
        <v>538</v>
      </c>
      <c r="D256" s="98"/>
      <c r="E256" s="75" t="s">
        <v>532</v>
      </c>
      <c r="F256" s="98"/>
      <c r="G256" s="128" t="s">
        <v>36</v>
      </c>
      <c r="H256" s="234"/>
      <c r="I256" s="234" t="s">
        <v>533</v>
      </c>
      <c r="J256" s="128" t="s">
        <v>534</v>
      </c>
      <c r="K256" s="234"/>
      <c r="L256" s="234"/>
      <c r="M256" s="234"/>
      <c r="N256" s="234"/>
      <c r="S256" s="46" t="s">
        <v>46</v>
      </c>
      <c r="U256" s="189">
        <v>17</v>
      </c>
      <c r="V256" s="107">
        <v>1</v>
      </c>
      <c r="W256" s="161">
        <f t="shared" si="18"/>
        <v>17</v>
      </c>
      <c r="X256" s="161" t="str">
        <f t="shared" si="19"/>
        <v/>
      </c>
    </row>
    <row r="257" spans="1:25" s="46" customFormat="1" ht="32" customHeight="1" x14ac:dyDescent="0.2">
      <c r="A257" s="46" t="s">
        <v>68</v>
      </c>
      <c r="B257" s="46" t="s">
        <v>539</v>
      </c>
      <c r="C257" s="46" t="s">
        <v>540</v>
      </c>
      <c r="D257" s="98"/>
      <c r="E257" s="75" t="s">
        <v>532</v>
      </c>
      <c r="F257" s="98"/>
      <c r="G257" s="128" t="s">
        <v>36</v>
      </c>
      <c r="H257" s="234"/>
      <c r="I257" s="234" t="s">
        <v>533</v>
      </c>
      <c r="J257" s="128" t="s">
        <v>534</v>
      </c>
      <c r="K257" s="234"/>
      <c r="L257" s="234"/>
      <c r="M257" s="234"/>
      <c r="N257" s="234"/>
      <c r="S257" s="46" t="s">
        <v>46</v>
      </c>
      <c r="U257" s="189">
        <v>17</v>
      </c>
      <c r="V257" s="107">
        <v>1</v>
      </c>
      <c r="W257" s="161">
        <f t="shared" si="18"/>
        <v>17</v>
      </c>
      <c r="X257" s="161" t="str">
        <f t="shared" si="19"/>
        <v/>
      </c>
    </row>
    <row r="258" spans="1:25" s="46" customFormat="1" ht="48" customHeight="1" x14ac:dyDescent="0.2">
      <c r="A258" s="46" t="s">
        <v>68</v>
      </c>
      <c r="B258" s="46" t="s">
        <v>541</v>
      </c>
      <c r="C258" s="46" t="s">
        <v>542</v>
      </c>
      <c r="D258" s="98"/>
      <c r="E258" s="75" t="s">
        <v>532</v>
      </c>
      <c r="F258" s="98"/>
      <c r="G258" s="128" t="s">
        <v>36</v>
      </c>
      <c r="H258" s="234"/>
      <c r="I258" s="234" t="s">
        <v>533</v>
      </c>
      <c r="J258" s="128" t="s">
        <v>534</v>
      </c>
      <c r="K258" s="234"/>
      <c r="L258" s="234"/>
      <c r="M258" s="234"/>
      <c r="N258" s="234"/>
      <c r="S258" s="46" t="s">
        <v>46</v>
      </c>
      <c r="U258" s="189">
        <v>17</v>
      </c>
      <c r="V258" s="107">
        <v>1</v>
      </c>
      <c r="W258" s="161">
        <f t="shared" si="18"/>
        <v>17</v>
      </c>
      <c r="X258" s="161" t="str">
        <f t="shared" si="19"/>
        <v/>
      </c>
    </row>
    <row r="259" spans="1:25" s="46" customFormat="1" ht="48" customHeight="1" x14ac:dyDescent="0.2">
      <c r="A259" s="46" t="s">
        <v>68</v>
      </c>
      <c r="B259" s="46" t="s">
        <v>543</v>
      </c>
      <c r="C259" s="46" t="s">
        <v>544</v>
      </c>
      <c r="D259" s="98"/>
      <c r="E259" s="75" t="s">
        <v>532</v>
      </c>
      <c r="F259" s="98"/>
      <c r="G259" s="128" t="s">
        <v>36</v>
      </c>
      <c r="H259" s="234"/>
      <c r="I259" s="234" t="s">
        <v>533</v>
      </c>
      <c r="J259" s="128" t="s">
        <v>534</v>
      </c>
      <c r="K259" s="234"/>
      <c r="L259" s="234"/>
      <c r="M259" s="234"/>
      <c r="N259" s="234"/>
      <c r="S259" s="46" t="s">
        <v>46</v>
      </c>
      <c r="U259" s="189">
        <v>17</v>
      </c>
      <c r="V259" s="107">
        <v>1</v>
      </c>
      <c r="W259" s="161">
        <f t="shared" si="18"/>
        <v>17</v>
      </c>
      <c r="X259" s="161" t="str">
        <f t="shared" si="19"/>
        <v/>
      </c>
    </row>
    <row r="260" spans="1:25" s="46" customFormat="1" ht="48" customHeight="1" x14ac:dyDescent="0.2">
      <c r="A260" s="46" t="s">
        <v>68</v>
      </c>
      <c r="B260" s="46" t="s">
        <v>545</v>
      </c>
      <c r="C260" s="46" t="s">
        <v>546</v>
      </c>
      <c r="D260" s="98"/>
      <c r="E260" s="75" t="s">
        <v>532</v>
      </c>
      <c r="F260" s="98"/>
      <c r="G260" s="128" t="s">
        <v>36</v>
      </c>
      <c r="H260" s="234"/>
      <c r="I260" s="234" t="s">
        <v>533</v>
      </c>
      <c r="J260" s="128" t="s">
        <v>534</v>
      </c>
      <c r="K260" s="234"/>
      <c r="L260" s="234"/>
      <c r="M260" s="234"/>
      <c r="N260" s="234"/>
      <c r="S260" s="46" t="s">
        <v>46</v>
      </c>
      <c r="U260" s="189">
        <v>17</v>
      </c>
      <c r="V260" s="107">
        <v>1</v>
      </c>
      <c r="W260" s="161">
        <f t="shared" si="18"/>
        <v>17</v>
      </c>
      <c r="X260" s="161" t="str">
        <f t="shared" si="19"/>
        <v/>
      </c>
    </row>
    <row r="261" spans="1:25" s="46" customFormat="1" ht="48" customHeight="1" x14ac:dyDescent="0.2">
      <c r="A261" s="46" t="s">
        <v>68</v>
      </c>
      <c r="B261" s="46" t="s">
        <v>547</v>
      </c>
      <c r="C261" s="46" t="s">
        <v>548</v>
      </c>
      <c r="D261" s="98"/>
      <c r="E261" s="75" t="s">
        <v>532</v>
      </c>
      <c r="F261" s="98"/>
      <c r="G261" s="128" t="s">
        <v>36</v>
      </c>
      <c r="H261" s="234"/>
      <c r="I261" s="234" t="s">
        <v>533</v>
      </c>
      <c r="J261" s="128" t="s">
        <v>534</v>
      </c>
      <c r="K261" s="234"/>
      <c r="L261" s="234"/>
      <c r="M261" s="234"/>
      <c r="N261" s="234"/>
      <c r="S261" s="46" t="s">
        <v>46</v>
      </c>
      <c r="U261" s="189">
        <v>17</v>
      </c>
      <c r="V261" s="107">
        <v>1</v>
      </c>
      <c r="W261" s="161">
        <f t="shared" si="18"/>
        <v>17</v>
      </c>
      <c r="X261" s="161" t="str">
        <f t="shared" si="19"/>
        <v/>
      </c>
    </row>
    <row r="262" spans="1:25" s="46" customFormat="1" ht="48" customHeight="1" x14ac:dyDescent="0.2">
      <c r="A262" s="46" t="s">
        <v>68</v>
      </c>
      <c r="B262" s="46" t="s">
        <v>549</v>
      </c>
      <c r="C262" s="46" t="s">
        <v>550</v>
      </c>
      <c r="D262" s="98"/>
      <c r="E262" s="75" t="s">
        <v>532</v>
      </c>
      <c r="F262" s="98"/>
      <c r="G262" s="128" t="s">
        <v>36</v>
      </c>
      <c r="H262" s="234"/>
      <c r="I262" s="234" t="s">
        <v>533</v>
      </c>
      <c r="J262" s="128" t="s">
        <v>534</v>
      </c>
      <c r="K262" s="234"/>
      <c r="L262" s="234"/>
      <c r="M262" s="234"/>
      <c r="N262" s="234"/>
      <c r="S262" s="46" t="s">
        <v>46</v>
      </c>
      <c r="U262" s="189">
        <v>17</v>
      </c>
      <c r="V262" s="107">
        <v>1</v>
      </c>
      <c r="W262" s="161">
        <f t="shared" si="18"/>
        <v>17</v>
      </c>
      <c r="X262" s="161" t="str">
        <f t="shared" si="19"/>
        <v/>
      </c>
    </row>
    <row r="263" spans="1:25" s="75" customFormat="1" x14ac:dyDescent="0.2">
      <c r="A263" s="75" t="s">
        <v>115</v>
      </c>
      <c r="C263" s="46"/>
      <c r="D263" s="98"/>
      <c r="F263" s="100"/>
      <c r="G263" s="128"/>
      <c r="H263" s="128"/>
      <c r="I263" s="128"/>
      <c r="J263" s="128"/>
      <c r="K263" s="128"/>
      <c r="L263" s="128"/>
      <c r="M263" s="128"/>
      <c r="N263" s="128"/>
      <c r="U263" s="189">
        <v>17</v>
      </c>
      <c r="V263" s="107">
        <v>1</v>
      </c>
      <c r="W263" s="161">
        <f t="shared" si="18"/>
        <v>17</v>
      </c>
      <c r="X263" s="161" t="str">
        <f t="shared" si="19"/>
        <v/>
      </c>
    </row>
    <row r="264" spans="1:25" s="76" customFormat="1" x14ac:dyDescent="0.2">
      <c r="C264" s="77"/>
      <c r="D264" s="78"/>
      <c r="F264" s="82"/>
      <c r="G264" s="117"/>
      <c r="H264" s="117"/>
      <c r="I264" s="117"/>
      <c r="J264" s="117"/>
      <c r="K264" s="117"/>
      <c r="L264" s="117"/>
      <c r="M264" s="117"/>
      <c r="N264" s="117"/>
      <c r="U264" s="189">
        <v>17</v>
      </c>
      <c r="V264" s="107">
        <v>1</v>
      </c>
      <c r="W264" s="161">
        <f t="shared" si="18"/>
        <v>17</v>
      </c>
      <c r="X264" s="161" t="str">
        <f t="shared" si="19"/>
        <v/>
      </c>
      <c r="Y264" s="75"/>
    </row>
    <row r="265" spans="1:25" s="75" customFormat="1" ht="16" customHeight="1" x14ac:dyDescent="0.2">
      <c r="A265" s="75" t="s">
        <v>58</v>
      </c>
      <c r="B265" s="75" t="s">
        <v>551</v>
      </c>
      <c r="C265" s="46" t="s">
        <v>552</v>
      </c>
      <c r="D265" s="98"/>
      <c r="F265" s="100"/>
      <c r="G265" s="128"/>
      <c r="H265" s="128"/>
      <c r="I265" s="128"/>
      <c r="J265" s="128"/>
      <c r="K265" s="128"/>
      <c r="L265" s="128"/>
      <c r="M265" s="128"/>
      <c r="N265" s="128"/>
      <c r="S265" s="75" t="s">
        <v>46</v>
      </c>
      <c r="U265" s="189"/>
      <c r="V265" s="107">
        <v>1</v>
      </c>
      <c r="W265" s="161" t="str">
        <f t="shared" si="18"/>
        <v/>
      </c>
      <c r="X265" s="161" t="str">
        <f t="shared" si="19"/>
        <v/>
      </c>
    </row>
    <row r="266" spans="1:25" s="75" customFormat="1" ht="48" customHeight="1" x14ac:dyDescent="0.2">
      <c r="A266" s="75" t="s">
        <v>41</v>
      </c>
      <c r="B266" s="75" t="s">
        <v>553</v>
      </c>
      <c r="C266" s="46" t="s">
        <v>554</v>
      </c>
      <c r="D266" s="98"/>
      <c r="F266" s="100"/>
      <c r="G266" s="128" t="s">
        <v>45</v>
      </c>
      <c r="H266" s="128"/>
      <c r="I266" s="128"/>
      <c r="J266" s="128"/>
      <c r="K266" s="128"/>
      <c r="L266" s="128"/>
      <c r="M266" s="128"/>
      <c r="N266" s="128"/>
      <c r="S266" s="75" t="s">
        <v>46</v>
      </c>
      <c r="U266" s="189">
        <v>17</v>
      </c>
      <c r="V266" s="107">
        <v>1</v>
      </c>
      <c r="W266" s="161">
        <f t="shared" si="18"/>
        <v>17</v>
      </c>
      <c r="X266" s="161" t="str">
        <f t="shared" si="19"/>
        <v/>
      </c>
    </row>
    <row r="267" spans="1:25" s="75" customFormat="1" ht="32" customHeight="1" x14ac:dyDescent="0.2">
      <c r="A267" s="75" t="s">
        <v>68</v>
      </c>
      <c r="B267" s="75" t="s">
        <v>555</v>
      </c>
      <c r="C267" s="46" t="s">
        <v>556</v>
      </c>
      <c r="D267" s="98"/>
      <c r="E267" s="75" t="s">
        <v>557</v>
      </c>
      <c r="F267" s="100"/>
      <c r="G267" s="128" t="s">
        <v>36</v>
      </c>
      <c r="H267" s="128"/>
      <c r="I267" s="128" t="s">
        <v>533</v>
      </c>
      <c r="J267" s="128" t="s">
        <v>534</v>
      </c>
      <c r="K267" s="128"/>
      <c r="L267" s="128"/>
      <c r="M267" s="128"/>
      <c r="N267" s="128"/>
      <c r="S267" s="75" t="s">
        <v>46</v>
      </c>
      <c r="U267" s="189">
        <v>17</v>
      </c>
      <c r="V267" s="107">
        <v>1</v>
      </c>
      <c r="W267" s="161">
        <f t="shared" si="18"/>
        <v>17</v>
      </c>
      <c r="X267" s="161" t="str">
        <f t="shared" si="19"/>
        <v/>
      </c>
    </row>
    <row r="268" spans="1:25" s="75" customFormat="1" ht="32" customHeight="1" x14ac:dyDescent="0.2">
      <c r="A268" s="75" t="s">
        <v>68</v>
      </c>
      <c r="B268" s="75" t="s">
        <v>558</v>
      </c>
      <c r="C268" s="46" t="s">
        <v>559</v>
      </c>
      <c r="D268" s="98"/>
      <c r="E268" s="75" t="s">
        <v>557</v>
      </c>
      <c r="F268" s="100"/>
      <c r="G268" s="128" t="s">
        <v>36</v>
      </c>
      <c r="H268" s="128"/>
      <c r="I268" s="128" t="s">
        <v>533</v>
      </c>
      <c r="J268" s="128" t="s">
        <v>534</v>
      </c>
      <c r="K268" s="128"/>
      <c r="L268" s="128"/>
      <c r="M268" s="128"/>
      <c r="N268" s="128"/>
      <c r="S268" s="75" t="s">
        <v>46</v>
      </c>
      <c r="U268" s="189">
        <v>17</v>
      </c>
      <c r="V268" s="107">
        <v>1</v>
      </c>
      <c r="W268" s="161">
        <f t="shared" si="18"/>
        <v>17</v>
      </c>
      <c r="X268" s="161" t="str">
        <f t="shared" si="19"/>
        <v/>
      </c>
    </row>
    <row r="269" spans="1:25" s="75" customFormat="1" ht="32" customHeight="1" x14ac:dyDescent="0.2">
      <c r="A269" s="75" t="s">
        <v>68</v>
      </c>
      <c r="B269" s="75" t="s">
        <v>560</v>
      </c>
      <c r="C269" s="46" t="s">
        <v>561</v>
      </c>
      <c r="D269" s="98"/>
      <c r="E269" s="75" t="s">
        <v>557</v>
      </c>
      <c r="F269" s="100"/>
      <c r="G269" s="128" t="s">
        <v>36</v>
      </c>
      <c r="H269" s="128"/>
      <c r="I269" s="128" t="s">
        <v>533</v>
      </c>
      <c r="J269" s="128" t="s">
        <v>534</v>
      </c>
      <c r="K269" s="128"/>
      <c r="L269" s="128"/>
      <c r="M269" s="128"/>
      <c r="N269" s="128"/>
      <c r="S269" s="75" t="s">
        <v>46</v>
      </c>
      <c r="U269" s="189">
        <v>17</v>
      </c>
      <c r="V269" s="107">
        <v>1</v>
      </c>
      <c r="W269" s="161">
        <f t="shared" si="18"/>
        <v>17</v>
      </c>
      <c r="X269" s="161" t="str">
        <f t="shared" si="19"/>
        <v/>
      </c>
    </row>
    <row r="270" spans="1:25" s="75" customFormat="1" ht="32" customHeight="1" x14ac:dyDescent="0.2">
      <c r="A270" s="75" t="s">
        <v>68</v>
      </c>
      <c r="B270" s="75" t="s">
        <v>562</v>
      </c>
      <c r="C270" s="46" t="s">
        <v>563</v>
      </c>
      <c r="D270" s="98"/>
      <c r="E270" s="75" t="s">
        <v>557</v>
      </c>
      <c r="F270" s="100"/>
      <c r="G270" s="128" t="s">
        <v>36</v>
      </c>
      <c r="H270" s="128"/>
      <c r="I270" s="128" t="s">
        <v>533</v>
      </c>
      <c r="J270" s="128" t="s">
        <v>534</v>
      </c>
      <c r="K270" s="128"/>
      <c r="L270" s="128"/>
      <c r="M270" s="128"/>
      <c r="N270" s="128"/>
      <c r="S270" s="75" t="s">
        <v>46</v>
      </c>
      <c r="U270" s="189">
        <v>17</v>
      </c>
      <c r="V270" s="107">
        <v>1</v>
      </c>
      <c r="W270" s="161">
        <f t="shared" si="18"/>
        <v>17</v>
      </c>
      <c r="X270" s="161" t="str">
        <f t="shared" si="19"/>
        <v/>
      </c>
    </row>
    <row r="271" spans="1:25" s="75" customFormat="1" ht="32" customHeight="1" x14ac:dyDescent="0.2">
      <c r="A271" s="75" t="s">
        <v>68</v>
      </c>
      <c r="B271" s="75" t="s">
        <v>564</v>
      </c>
      <c r="C271" s="46" t="s">
        <v>565</v>
      </c>
      <c r="D271" s="98"/>
      <c r="E271" s="75" t="s">
        <v>557</v>
      </c>
      <c r="F271" s="100"/>
      <c r="G271" s="128" t="s">
        <v>36</v>
      </c>
      <c r="H271" s="128"/>
      <c r="I271" s="128" t="s">
        <v>533</v>
      </c>
      <c r="J271" s="128" t="s">
        <v>534</v>
      </c>
      <c r="K271" s="128"/>
      <c r="L271" s="128"/>
      <c r="M271" s="128"/>
      <c r="N271" s="128"/>
      <c r="S271" s="75" t="s">
        <v>46</v>
      </c>
      <c r="U271" s="189">
        <v>17</v>
      </c>
      <c r="V271" s="107">
        <v>1</v>
      </c>
      <c r="W271" s="161">
        <f t="shared" si="18"/>
        <v>17</v>
      </c>
      <c r="X271" s="161" t="str">
        <f t="shared" si="19"/>
        <v/>
      </c>
    </row>
    <row r="272" spans="1:25" s="75" customFormat="1" x14ac:dyDescent="0.2">
      <c r="A272" s="75" t="s">
        <v>115</v>
      </c>
      <c r="C272" s="46"/>
      <c r="D272" s="98"/>
      <c r="F272" s="100"/>
      <c r="G272" s="128"/>
      <c r="H272" s="128"/>
      <c r="I272" s="128"/>
      <c r="J272" s="128"/>
      <c r="K272" s="128"/>
      <c r="L272" s="128"/>
      <c r="M272" s="128"/>
      <c r="N272" s="128"/>
      <c r="U272" s="189"/>
      <c r="V272" s="107">
        <v>1</v>
      </c>
      <c r="W272" s="161" t="str">
        <f t="shared" si="18"/>
        <v/>
      </c>
      <c r="X272" s="161" t="str">
        <f t="shared" si="19"/>
        <v/>
      </c>
    </row>
    <row r="273" spans="1:25" s="76" customFormat="1" x14ac:dyDescent="0.2">
      <c r="C273" s="77"/>
      <c r="D273" s="78"/>
      <c r="F273" s="82"/>
      <c r="G273" s="117"/>
      <c r="H273" s="117"/>
      <c r="I273" s="117"/>
      <c r="J273" s="117"/>
      <c r="K273" s="117"/>
      <c r="L273" s="117"/>
      <c r="M273" s="117"/>
      <c r="N273" s="117"/>
      <c r="U273" s="189"/>
      <c r="V273" s="107">
        <v>1</v>
      </c>
      <c r="W273" s="161" t="str">
        <f t="shared" si="18"/>
        <v/>
      </c>
      <c r="X273" s="161" t="str">
        <f t="shared" si="19"/>
        <v/>
      </c>
    </row>
    <row r="274" spans="1:25" ht="16" customHeight="1" thickBot="1" x14ac:dyDescent="0.25">
      <c r="A274" s="101" t="s">
        <v>115</v>
      </c>
      <c r="B274" s="101"/>
      <c r="C274" s="102"/>
      <c r="D274" s="108"/>
      <c r="E274" s="101"/>
      <c r="F274" s="109"/>
      <c r="G274" s="129"/>
      <c r="H274" s="129"/>
      <c r="I274" s="129"/>
      <c r="J274" s="129"/>
      <c r="K274" s="129"/>
      <c r="L274" s="129"/>
      <c r="M274" s="129"/>
      <c r="N274" s="129"/>
      <c r="U274" s="189"/>
      <c r="W274" s="161" t="str">
        <f t="shared" si="18"/>
        <v/>
      </c>
      <c r="X274" s="161" t="str">
        <f t="shared" si="19"/>
        <v/>
      </c>
    </row>
    <row r="275" spans="1:25" s="72" customFormat="1" ht="15" customHeight="1" thickTop="1" x14ac:dyDescent="0.2">
      <c r="A275" s="69" t="s">
        <v>58</v>
      </c>
      <c r="B275" s="69" t="s">
        <v>566</v>
      </c>
      <c r="C275" s="93" t="s">
        <v>567</v>
      </c>
      <c r="D275" s="70"/>
      <c r="E275" s="69"/>
      <c r="F275" s="71"/>
      <c r="G275" s="121" t="s">
        <v>45</v>
      </c>
      <c r="H275" s="121"/>
      <c r="I275" s="121"/>
      <c r="J275" s="121"/>
      <c r="K275" s="121" t="s">
        <v>568</v>
      </c>
      <c r="L275" s="121"/>
      <c r="M275" s="121"/>
      <c r="N275" s="121"/>
      <c r="S275" s="44" t="s">
        <v>38</v>
      </c>
      <c r="U275" s="189"/>
      <c r="V275" s="73"/>
      <c r="W275" s="161" t="str">
        <f t="shared" si="18"/>
        <v/>
      </c>
      <c r="X275" s="161" t="str">
        <f t="shared" si="19"/>
        <v/>
      </c>
      <c r="Y275" s="73"/>
    </row>
    <row r="276" spans="1:25" s="72" customFormat="1" ht="15" customHeight="1" x14ac:dyDescent="0.2">
      <c r="C276" s="94"/>
      <c r="D276" s="70"/>
      <c r="F276" s="71"/>
      <c r="G276" s="122"/>
      <c r="H276" s="122"/>
      <c r="I276" s="122"/>
      <c r="J276" s="122"/>
      <c r="K276" s="122"/>
      <c r="L276" s="122"/>
      <c r="M276" s="122"/>
      <c r="N276" s="122"/>
      <c r="S276" s="44"/>
      <c r="U276" s="189"/>
      <c r="V276" s="107">
        <v>1</v>
      </c>
      <c r="W276" s="161" t="str">
        <f t="shared" ref="W276:W284" si="20">IF(U276&lt;&gt;"",U276*V276,"")</f>
        <v/>
      </c>
      <c r="X276" s="161" t="str">
        <f t="shared" ref="X276:X284" si="21">IF(AND(U276&lt;&gt;"",S276="yes"),U276*V276,"")</f>
        <v/>
      </c>
      <c r="Y276" s="73"/>
    </row>
    <row r="277" spans="1:25" ht="32" customHeight="1" x14ac:dyDescent="0.2">
      <c r="A277" s="74" t="s">
        <v>119</v>
      </c>
      <c r="B277" s="74" t="s">
        <v>569</v>
      </c>
      <c r="C277" s="43" t="s">
        <v>570</v>
      </c>
      <c r="D277" s="87"/>
      <c r="E277" s="74"/>
      <c r="F277" s="88"/>
      <c r="G277" s="116" t="s">
        <v>36</v>
      </c>
      <c r="H277" s="116"/>
      <c r="I277" s="116"/>
      <c r="J277" s="116"/>
      <c r="K277" s="116"/>
      <c r="L277" s="116"/>
      <c r="M277" s="116"/>
      <c r="N277" s="116"/>
      <c r="S277" s="44" t="s">
        <v>38</v>
      </c>
      <c r="U277" s="189">
        <v>19.828245162963871</v>
      </c>
      <c r="V277" s="107">
        <v>1</v>
      </c>
      <c r="W277" s="161">
        <f t="shared" si="20"/>
        <v>19.828245162963871</v>
      </c>
      <c r="X277" s="161">
        <f t="shared" si="21"/>
        <v>19.828245162963871</v>
      </c>
    </row>
    <row r="278" spans="1:25" ht="48" customHeight="1" x14ac:dyDescent="0.2">
      <c r="A278" s="74" t="s">
        <v>571</v>
      </c>
      <c r="B278" s="74" t="s">
        <v>572</v>
      </c>
      <c r="C278" s="43" t="s">
        <v>573</v>
      </c>
      <c r="D278" s="87"/>
      <c r="E278" s="74" t="s">
        <v>574</v>
      </c>
      <c r="F278" s="88"/>
      <c r="G278" s="116" t="s">
        <v>36</v>
      </c>
      <c r="H278" s="116"/>
      <c r="I278" s="118" t="s">
        <v>350</v>
      </c>
      <c r="J278" s="116"/>
      <c r="K278" s="116" t="s">
        <v>575</v>
      </c>
      <c r="L278" s="116"/>
      <c r="M278" s="116"/>
      <c r="N278" s="116"/>
      <c r="S278" s="44" t="s">
        <v>38</v>
      </c>
      <c r="U278" s="189">
        <v>49.529693603515618</v>
      </c>
      <c r="V278" s="107">
        <v>1</v>
      </c>
      <c r="W278" s="161">
        <f t="shared" si="20"/>
        <v>49.529693603515618</v>
      </c>
      <c r="X278" s="161">
        <f t="shared" si="21"/>
        <v>49.529693603515618</v>
      </c>
    </row>
    <row r="279" spans="1:25" ht="16" customHeight="1" x14ac:dyDescent="0.2">
      <c r="A279" s="74" t="s">
        <v>61</v>
      </c>
      <c r="B279" s="74" t="s">
        <v>576</v>
      </c>
      <c r="C279" s="80" t="s">
        <v>272</v>
      </c>
      <c r="D279" s="98"/>
      <c r="E279" s="75" t="s">
        <v>273</v>
      </c>
      <c r="F279" s="88"/>
      <c r="G279" s="116" t="s">
        <v>36</v>
      </c>
      <c r="H279" s="116"/>
      <c r="I279" s="116"/>
      <c r="J279" s="116"/>
      <c r="K279" s="116" t="s">
        <v>577</v>
      </c>
      <c r="L279" s="116"/>
      <c r="M279" s="116"/>
      <c r="N279" s="116"/>
      <c r="S279" s="44" t="s">
        <v>38</v>
      </c>
      <c r="U279" s="189"/>
      <c r="V279" s="107">
        <v>1</v>
      </c>
      <c r="W279" s="161" t="str">
        <f t="shared" si="20"/>
        <v/>
      </c>
      <c r="X279" s="161" t="str">
        <f t="shared" si="21"/>
        <v/>
      </c>
    </row>
    <row r="280" spans="1:25" x14ac:dyDescent="0.2">
      <c r="D280" s="87"/>
      <c r="F280" s="88"/>
      <c r="U280" s="189"/>
      <c r="V280" s="107">
        <v>1</v>
      </c>
      <c r="W280" s="161" t="str">
        <f t="shared" si="20"/>
        <v/>
      </c>
      <c r="X280" s="161" t="str">
        <f t="shared" si="21"/>
        <v/>
      </c>
    </row>
    <row r="281" spans="1:25" s="75" customFormat="1" ht="32" customHeight="1" x14ac:dyDescent="0.2">
      <c r="A281" s="79" t="s">
        <v>578</v>
      </c>
      <c r="B281" s="79" t="s">
        <v>579</v>
      </c>
      <c r="C281" s="80" t="s">
        <v>580</v>
      </c>
      <c r="D281" s="98"/>
      <c r="E281" s="79" t="s">
        <v>581</v>
      </c>
      <c r="F281" s="100"/>
      <c r="G281" s="118" t="s">
        <v>36</v>
      </c>
      <c r="H281" s="118"/>
      <c r="I281" s="118" t="s">
        <v>582</v>
      </c>
      <c r="J281" s="118"/>
      <c r="K281" s="118"/>
      <c r="L281" s="118"/>
      <c r="M281" s="118"/>
      <c r="N281" s="118"/>
      <c r="S281" s="75" t="s">
        <v>46</v>
      </c>
      <c r="U281" s="189">
        <v>22.029750823974609</v>
      </c>
      <c r="V281" s="107">
        <v>1</v>
      </c>
      <c r="W281" s="161">
        <f t="shared" si="20"/>
        <v>22.029750823974609</v>
      </c>
      <c r="X281" s="161" t="str">
        <f t="shared" si="21"/>
        <v/>
      </c>
    </row>
    <row r="282" spans="1:25" s="75" customFormat="1" ht="16" customHeight="1" x14ac:dyDescent="0.2">
      <c r="A282" s="79" t="s">
        <v>61</v>
      </c>
      <c r="B282" s="79" t="s">
        <v>583</v>
      </c>
      <c r="C282" s="80" t="s">
        <v>272</v>
      </c>
      <c r="D282" s="98"/>
      <c r="E282" s="79" t="s">
        <v>273</v>
      </c>
      <c r="F282" s="100"/>
      <c r="G282" s="118" t="s">
        <v>36</v>
      </c>
      <c r="H282" s="118"/>
      <c r="I282" s="118"/>
      <c r="J282" s="118"/>
      <c r="K282" s="118" t="s">
        <v>584</v>
      </c>
      <c r="L282" s="118"/>
      <c r="M282" s="118"/>
      <c r="N282" s="118"/>
      <c r="S282" s="75" t="s">
        <v>46</v>
      </c>
      <c r="U282" s="189"/>
      <c r="V282" s="107">
        <v>1</v>
      </c>
      <c r="W282" s="161" t="str">
        <f t="shared" si="20"/>
        <v/>
      </c>
      <c r="X282" s="161" t="str">
        <f t="shared" si="21"/>
        <v/>
      </c>
    </row>
    <row r="283" spans="1:25" s="75" customFormat="1" ht="16" customHeight="1" x14ac:dyDescent="0.2">
      <c r="A283" s="79" t="s">
        <v>585</v>
      </c>
      <c r="B283" s="79" t="s">
        <v>586</v>
      </c>
      <c r="C283" s="80" t="s">
        <v>587</v>
      </c>
      <c r="D283" s="98"/>
      <c r="E283" s="79" t="s">
        <v>588</v>
      </c>
      <c r="F283" s="100"/>
      <c r="G283" s="118" t="s">
        <v>36</v>
      </c>
      <c r="H283" s="118"/>
      <c r="I283" s="118"/>
      <c r="J283" s="118"/>
      <c r="K283" s="118" t="s">
        <v>589</v>
      </c>
      <c r="L283" s="118"/>
      <c r="M283" s="118"/>
      <c r="N283" s="118"/>
      <c r="S283" s="75" t="s">
        <v>46</v>
      </c>
      <c r="U283" s="189">
        <v>17</v>
      </c>
      <c r="V283" s="107">
        <v>1</v>
      </c>
      <c r="W283" s="161">
        <f t="shared" si="20"/>
        <v>17</v>
      </c>
      <c r="X283" s="161" t="str">
        <f t="shared" si="21"/>
        <v/>
      </c>
    </row>
    <row r="284" spans="1:25" s="76" customFormat="1" x14ac:dyDescent="0.2">
      <c r="C284" s="77"/>
      <c r="D284" s="78"/>
      <c r="F284" s="82"/>
      <c r="G284" s="117"/>
      <c r="H284" s="117"/>
      <c r="I284" s="117"/>
      <c r="J284" s="117"/>
      <c r="K284" s="117"/>
      <c r="L284" s="117"/>
      <c r="M284" s="117"/>
      <c r="N284" s="117"/>
      <c r="P284" s="44"/>
      <c r="U284" s="189"/>
      <c r="V284" s="107">
        <v>1</v>
      </c>
      <c r="W284" s="161" t="str">
        <f t="shared" si="20"/>
        <v/>
      </c>
      <c r="X284" s="161" t="str">
        <f t="shared" si="21"/>
        <v/>
      </c>
      <c r="Y284" s="75"/>
    </row>
    <row r="285" spans="1:25" s="75" customFormat="1" ht="16" customHeight="1" x14ac:dyDescent="0.2">
      <c r="A285" s="75" t="s">
        <v>590</v>
      </c>
      <c r="B285" s="75" t="s">
        <v>591</v>
      </c>
      <c r="C285" s="46" t="s">
        <v>592</v>
      </c>
      <c r="D285" s="98"/>
      <c r="E285" s="75" t="s">
        <v>593</v>
      </c>
      <c r="F285" s="100"/>
      <c r="G285" s="128" t="s">
        <v>36</v>
      </c>
      <c r="H285" s="128"/>
      <c r="I285" s="118" t="s">
        <v>350</v>
      </c>
      <c r="J285" s="128"/>
      <c r="K285" s="118" t="s">
        <v>589</v>
      </c>
      <c r="L285" s="128"/>
      <c r="M285" s="128"/>
      <c r="N285" s="128"/>
      <c r="U285" s="189"/>
      <c r="V285" s="107"/>
      <c r="W285" s="161"/>
      <c r="X285" s="161"/>
    </row>
    <row r="286" spans="1:25" s="76" customFormat="1" x14ac:dyDescent="0.2">
      <c r="C286" s="77"/>
      <c r="D286" s="78"/>
      <c r="F286" s="82"/>
      <c r="G286" s="117"/>
      <c r="H286" s="117"/>
      <c r="I286" s="117"/>
      <c r="J286" s="117"/>
      <c r="K286" s="117"/>
      <c r="L286" s="117"/>
      <c r="M286" s="117"/>
      <c r="N286" s="117"/>
      <c r="P286" s="44"/>
      <c r="U286" s="189"/>
      <c r="V286" s="107"/>
      <c r="W286" s="161"/>
      <c r="X286" s="161"/>
      <c r="Y286" s="75"/>
    </row>
    <row r="287" spans="1:25" ht="16" customHeight="1" thickBot="1" x14ac:dyDescent="0.25">
      <c r="A287" s="101" t="s">
        <v>115</v>
      </c>
      <c r="B287" s="101"/>
      <c r="C287" s="102"/>
      <c r="D287" s="108"/>
      <c r="E287" s="101"/>
      <c r="F287" s="109"/>
      <c r="G287" s="129"/>
      <c r="H287" s="129"/>
      <c r="I287" s="129"/>
      <c r="J287" s="129"/>
      <c r="K287" s="129"/>
      <c r="L287" s="129"/>
      <c r="M287" s="129"/>
      <c r="N287" s="129"/>
      <c r="U287" s="189"/>
      <c r="W287" s="161" t="str">
        <f t="shared" ref="W287:W303" si="22">IF(U287&lt;&gt;"",U287*V287,"")</f>
        <v/>
      </c>
      <c r="X287" s="161" t="str">
        <f t="shared" ref="X287:X303" si="23">IF(AND(U287&lt;&gt;"",S287="yes"),U287*V287,"")</f>
        <v/>
      </c>
    </row>
    <row r="288" spans="1:25" s="72" customFormat="1" ht="17" customHeight="1" thickTop="1" x14ac:dyDescent="0.2">
      <c r="A288" s="69" t="s">
        <v>58</v>
      </c>
      <c r="B288" s="69" t="s">
        <v>594</v>
      </c>
      <c r="C288" s="93" t="s">
        <v>595</v>
      </c>
      <c r="D288" s="70"/>
      <c r="E288" s="69"/>
      <c r="F288" s="71"/>
      <c r="G288" s="121" t="s">
        <v>45</v>
      </c>
      <c r="H288" s="121"/>
      <c r="I288" s="121"/>
      <c r="J288" s="121"/>
      <c r="K288" s="121" t="s">
        <v>118</v>
      </c>
      <c r="L288" s="121"/>
      <c r="M288" s="121"/>
      <c r="N288" s="121"/>
      <c r="S288" s="44" t="s">
        <v>38</v>
      </c>
      <c r="U288" s="189"/>
      <c r="V288" s="160"/>
      <c r="W288" s="161" t="str">
        <f t="shared" si="22"/>
        <v/>
      </c>
      <c r="X288" s="161" t="str">
        <f t="shared" si="23"/>
        <v/>
      </c>
      <c r="Y288" s="73"/>
    </row>
    <row r="289" spans="1:25" s="72" customFormat="1" x14ac:dyDescent="0.2">
      <c r="C289" s="94"/>
      <c r="D289" s="70"/>
      <c r="F289" s="71"/>
      <c r="G289" s="122"/>
      <c r="H289" s="122"/>
      <c r="I289" s="122"/>
      <c r="J289" s="122"/>
      <c r="K289" s="122"/>
      <c r="L289" s="122"/>
      <c r="M289" s="122"/>
      <c r="N289" s="122"/>
      <c r="S289" s="44"/>
      <c r="U289" s="189"/>
      <c r="V289" s="107">
        <v>1</v>
      </c>
      <c r="W289" s="161" t="str">
        <f t="shared" si="22"/>
        <v/>
      </c>
      <c r="X289" s="161" t="str">
        <f t="shared" si="23"/>
        <v/>
      </c>
      <c r="Y289" s="73"/>
    </row>
    <row r="290" spans="1:25" ht="32" customHeight="1" x14ac:dyDescent="0.2">
      <c r="A290" s="74" t="s">
        <v>47</v>
      </c>
      <c r="B290" s="74" t="s">
        <v>596</v>
      </c>
      <c r="C290" s="43" t="s">
        <v>597</v>
      </c>
      <c r="D290" s="87"/>
      <c r="E290" s="74"/>
      <c r="F290" s="88"/>
      <c r="G290" s="116" t="s">
        <v>36</v>
      </c>
      <c r="H290" s="116"/>
      <c r="I290" s="116"/>
      <c r="J290" s="116"/>
      <c r="K290" s="116"/>
      <c r="L290" s="116"/>
      <c r="M290" s="116"/>
      <c r="N290" s="116"/>
      <c r="S290" s="44" t="s">
        <v>38</v>
      </c>
      <c r="U290" s="189">
        <v>36.783046722412109</v>
      </c>
      <c r="V290" s="107">
        <v>1</v>
      </c>
      <c r="W290" s="161">
        <f t="shared" si="22"/>
        <v>36.783046722412109</v>
      </c>
      <c r="X290" s="161">
        <f t="shared" si="23"/>
        <v>36.783046722412109</v>
      </c>
    </row>
    <row r="291" spans="1:25" x14ac:dyDescent="0.2">
      <c r="D291" s="87"/>
      <c r="F291" s="88"/>
      <c r="U291" s="189"/>
      <c r="V291" s="107">
        <v>1</v>
      </c>
      <c r="W291" s="161" t="str">
        <f t="shared" si="22"/>
        <v/>
      </c>
      <c r="X291" s="161" t="str">
        <f t="shared" si="23"/>
        <v/>
      </c>
    </row>
    <row r="292" spans="1:25" s="95" customFormat="1" ht="16" customHeight="1" x14ac:dyDescent="0.2">
      <c r="A292" s="157" t="s">
        <v>119</v>
      </c>
      <c r="B292" s="157" t="s">
        <v>598</v>
      </c>
      <c r="C292" s="176" t="s">
        <v>599</v>
      </c>
      <c r="D292" s="158"/>
      <c r="E292" s="157"/>
      <c r="F292" s="159"/>
      <c r="G292" s="177" t="s">
        <v>36</v>
      </c>
      <c r="H292" s="177"/>
      <c r="I292" s="124"/>
      <c r="J292" s="177"/>
      <c r="K292" s="177" t="s">
        <v>600</v>
      </c>
      <c r="L292" s="124"/>
      <c r="M292" s="124"/>
      <c r="N292" s="124"/>
      <c r="S292" s="157" t="s">
        <v>601</v>
      </c>
      <c r="U292" s="189">
        <v>10</v>
      </c>
      <c r="V292" s="107">
        <v>1</v>
      </c>
      <c r="W292" s="161">
        <f t="shared" si="22"/>
        <v>10</v>
      </c>
      <c r="X292" s="161" t="str">
        <f t="shared" si="23"/>
        <v/>
      </c>
    </row>
    <row r="293" spans="1:25" s="95" customFormat="1" ht="16" customHeight="1" x14ac:dyDescent="0.2">
      <c r="A293" s="157" t="s">
        <v>602</v>
      </c>
      <c r="B293" s="157" t="s">
        <v>603</v>
      </c>
      <c r="C293" s="176" t="s">
        <v>604</v>
      </c>
      <c r="D293" s="158"/>
      <c r="E293" s="157"/>
      <c r="F293" s="159"/>
      <c r="G293" s="177" t="s">
        <v>36</v>
      </c>
      <c r="H293" s="177"/>
      <c r="I293" s="124"/>
      <c r="J293" s="177"/>
      <c r="K293" s="177" t="s">
        <v>605</v>
      </c>
      <c r="L293" s="124"/>
      <c r="M293" s="124"/>
      <c r="N293" s="124"/>
      <c r="S293" s="157" t="s">
        <v>601</v>
      </c>
      <c r="U293" s="189">
        <v>10</v>
      </c>
      <c r="V293" s="107">
        <v>1</v>
      </c>
      <c r="W293" s="161">
        <f t="shared" si="22"/>
        <v>10</v>
      </c>
      <c r="X293" s="161" t="str">
        <f t="shared" si="23"/>
        <v/>
      </c>
    </row>
    <row r="294" spans="1:25" s="76" customFormat="1" ht="16" customHeight="1" x14ac:dyDescent="0.2">
      <c r="A294" s="157" t="s">
        <v>61</v>
      </c>
      <c r="B294" s="157" t="s">
        <v>606</v>
      </c>
      <c r="C294" s="176" t="s">
        <v>607</v>
      </c>
      <c r="D294" s="158"/>
      <c r="E294" s="157"/>
      <c r="F294" s="159"/>
      <c r="G294" s="177" t="s">
        <v>36</v>
      </c>
      <c r="H294" s="177" t="s">
        <v>79</v>
      </c>
      <c r="I294" s="117" t="s">
        <v>80</v>
      </c>
      <c r="J294" s="177" t="s">
        <v>81</v>
      </c>
      <c r="K294" s="177" t="s">
        <v>605</v>
      </c>
      <c r="L294" s="117"/>
      <c r="M294" s="117"/>
      <c r="N294" s="117"/>
      <c r="S294" s="157" t="s">
        <v>601</v>
      </c>
      <c r="U294" s="189">
        <v>10</v>
      </c>
      <c r="V294" s="107">
        <v>1</v>
      </c>
      <c r="W294" s="161">
        <f t="shared" si="22"/>
        <v>10</v>
      </c>
      <c r="X294" s="161" t="str">
        <f t="shared" si="23"/>
        <v/>
      </c>
      <c r="Y294" s="75"/>
    </row>
    <row r="295" spans="1:25" s="76" customFormat="1" ht="16" customHeight="1" x14ac:dyDescent="0.2">
      <c r="A295" s="157" t="s">
        <v>61</v>
      </c>
      <c r="B295" s="157" t="s">
        <v>608</v>
      </c>
      <c r="C295" s="176" t="s">
        <v>609</v>
      </c>
      <c r="D295" s="158"/>
      <c r="E295" s="157"/>
      <c r="F295" s="159"/>
      <c r="G295" s="177" t="s">
        <v>36</v>
      </c>
      <c r="H295" s="177"/>
      <c r="I295" s="117"/>
      <c r="J295" s="177"/>
      <c r="K295" s="177" t="s">
        <v>605</v>
      </c>
      <c r="L295" s="117"/>
      <c r="M295" s="117"/>
      <c r="N295" s="117"/>
      <c r="S295" s="157" t="s">
        <v>601</v>
      </c>
      <c r="U295" s="189">
        <v>10</v>
      </c>
      <c r="V295" s="107">
        <v>1</v>
      </c>
      <c r="W295" s="161">
        <f t="shared" si="22"/>
        <v>10</v>
      </c>
      <c r="X295" s="161" t="str">
        <f t="shared" si="23"/>
        <v/>
      </c>
      <c r="Y295" s="75"/>
    </row>
    <row r="296" spans="1:25" s="76" customFormat="1" ht="16" customHeight="1" x14ac:dyDescent="0.2">
      <c r="A296" s="155" t="s">
        <v>610</v>
      </c>
      <c r="B296" s="155" t="s">
        <v>611</v>
      </c>
      <c r="C296" s="171" t="s">
        <v>612</v>
      </c>
      <c r="D296" s="158"/>
      <c r="E296" s="155" t="s">
        <v>613</v>
      </c>
      <c r="F296" s="159"/>
      <c r="G296" s="154" t="s">
        <v>36</v>
      </c>
      <c r="H296" s="154"/>
      <c r="I296" s="131"/>
      <c r="J296" s="154"/>
      <c r="K296" s="154" t="s">
        <v>600</v>
      </c>
      <c r="L296" s="126"/>
      <c r="M296" s="126"/>
      <c r="N296" s="126"/>
      <c r="S296" s="157" t="s">
        <v>82</v>
      </c>
      <c r="U296" s="189">
        <v>10</v>
      </c>
      <c r="V296" s="107">
        <v>1</v>
      </c>
      <c r="W296" s="161">
        <f t="shared" si="22"/>
        <v>10</v>
      </c>
      <c r="X296" s="161" t="str">
        <f t="shared" si="23"/>
        <v/>
      </c>
      <c r="Y296" s="75"/>
    </row>
    <row r="297" spans="1:25" s="76" customFormat="1" ht="16" customHeight="1" x14ac:dyDescent="0.2">
      <c r="A297" s="155" t="s">
        <v>614</v>
      </c>
      <c r="B297" s="155" t="s">
        <v>615</v>
      </c>
      <c r="C297" s="171" t="s">
        <v>616</v>
      </c>
      <c r="D297" s="158"/>
      <c r="E297" s="155" t="s">
        <v>613</v>
      </c>
      <c r="F297" s="159"/>
      <c r="G297" s="154" t="s">
        <v>36</v>
      </c>
      <c r="H297" s="154"/>
      <c r="I297" s="131"/>
      <c r="J297" s="154"/>
      <c r="K297" s="154" t="s">
        <v>600</v>
      </c>
      <c r="L297" s="126"/>
      <c r="M297" s="126"/>
      <c r="N297" s="126"/>
      <c r="S297" s="157" t="s">
        <v>82</v>
      </c>
      <c r="U297" s="189">
        <v>10</v>
      </c>
      <c r="V297" s="107">
        <v>1</v>
      </c>
      <c r="W297" s="161">
        <f t="shared" si="22"/>
        <v>10</v>
      </c>
      <c r="X297" s="161" t="str">
        <f t="shared" si="23"/>
        <v/>
      </c>
      <c r="Y297" s="75"/>
    </row>
    <row r="298" spans="1:25" s="76" customFormat="1" x14ac:dyDescent="0.2">
      <c r="C298" s="77"/>
      <c r="D298" s="78"/>
      <c r="F298" s="82"/>
      <c r="G298" s="117"/>
      <c r="H298" s="117"/>
      <c r="I298" s="117"/>
      <c r="J298" s="117"/>
      <c r="K298" s="117"/>
      <c r="L298" s="117"/>
      <c r="M298" s="117"/>
      <c r="N298" s="117"/>
      <c r="U298" s="189"/>
      <c r="V298" s="107">
        <v>1</v>
      </c>
      <c r="W298" s="161" t="str">
        <f t="shared" si="22"/>
        <v/>
      </c>
      <c r="X298" s="161" t="str">
        <f t="shared" si="23"/>
        <v/>
      </c>
      <c r="Y298" s="75"/>
    </row>
    <row r="299" spans="1:25" ht="16" customHeight="1" x14ac:dyDescent="0.2">
      <c r="A299" s="74" t="s">
        <v>617</v>
      </c>
      <c r="B299" s="74" t="s">
        <v>618</v>
      </c>
      <c r="C299" s="43" t="s">
        <v>619</v>
      </c>
      <c r="D299" s="87"/>
      <c r="E299" s="74"/>
      <c r="F299" s="88"/>
      <c r="G299" s="116" t="s">
        <v>36</v>
      </c>
      <c r="H299" s="116"/>
      <c r="I299" s="116"/>
      <c r="J299" s="116"/>
      <c r="K299" s="116"/>
      <c r="L299" s="116"/>
      <c r="M299" s="116"/>
      <c r="N299" s="116"/>
      <c r="S299" s="44" t="s">
        <v>38</v>
      </c>
      <c r="U299" s="189">
        <v>3</v>
      </c>
      <c r="V299" s="107">
        <v>1</v>
      </c>
      <c r="W299" s="161">
        <f t="shared" si="22"/>
        <v>3</v>
      </c>
      <c r="X299" s="161">
        <f t="shared" si="23"/>
        <v>3</v>
      </c>
    </row>
    <row r="300" spans="1:25" x14ac:dyDescent="0.2">
      <c r="D300" s="87"/>
      <c r="F300" s="88"/>
      <c r="U300" s="189"/>
      <c r="V300" s="107">
        <v>1</v>
      </c>
      <c r="W300" s="161" t="str">
        <f t="shared" si="22"/>
        <v/>
      </c>
      <c r="X300" s="161" t="str">
        <f t="shared" si="23"/>
        <v/>
      </c>
    </row>
    <row r="301" spans="1:25" ht="16" customHeight="1" x14ac:dyDescent="0.2">
      <c r="A301" s="74" t="s">
        <v>41</v>
      </c>
      <c r="B301" s="74" t="s">
        <v>620</v>
      </c>
      <c r="C301" s="43" t="s">
        <v>621</v>
      </c>
      <c r="D301" s="87"/>
      <c r="E301" s="74"/>
      <c r="F301" s="88"/>
      <c r="G301" s="116" t="s">
        <v>45</v>
      </c>
      <c r="H301" s="116"/>
      <c r="I301" s="116"/>
      <c r="J301" s="116"/>
      <c r="K301" s="116"/>
      <c r="L301" s="116"/>
      <c r="M301" s="116"/>
      <c r="N301" s="116"/>
      <c r="S301" s="44" t="s">
        <v>46</v>
      </c>
      <c r="U301" s="189">
        <v>0</v>
      </c>
      <c r="V301" s="107">
        <v>1</v>
      </c>
      <c r="W301" s="161">
        <f t="shared" si="22"/>
        <v>0</v>
      </c>
      <c r="X301" s="161" t="str">
        <f t="shared" si="23"/>
        <v/>
      </c>
    </row>
    <row r="302" spans="1:25" x14ac:dyDescent="0.2">
      <c r="D302" s="87"/>
      <c r="F302" s="88"/>
      <c r="U302" s="189"/>
      <c r="V302" s="107">
        <v>1</v>
      </c>
      <c r="W302" s="161" t="str">
        <f t="shared" si="22"/>
        <v/>
      </c>
      <c r="X302" s="161" t="str">
        <f t="shared" si="23"/>
        <v/>
      </c>
    </row>
    <row r="303" spans="1:25" ht="16" customHeight="1" thickBot="1" x14ac:dyDescent="0.25">
      <c r="A303" s="101" t="s">
        <v>115</v>
      </c>
      <c r="B303" s="101"/>
      <c r="C303" s="102"/>
      <c r="D303" s="108"/>
      <c r="E303" s="101"/>
      <c r="F303" s="109"/>
      <c r="G303" s="129"/>
      <c r="H303" s="129"/>
      <c r="I303" s="129"/>
      <c r="J303" s="129"/>
      <c r="K303" s="129"/>
      <c r="L303" s="129"/>
      <c r="M303" s="129"/>
      <c r="N303" s="129"/>
      <c r="U303" s="189"/>
      <c r="W303" s="161" t="str">
        <f t="shared" si="22"/>
        <v/>
      </c>
      <c r="X303" s="161" t="str">
        <f t="shared" si="23"/>
        <v/>
      </c>
    </row>
    <row r="304" spans="1:25" s="76" customFormat="1" ht="16" customHeight="1" thickTop="1" x14ac:dyDescent="0.2">
      <c r="C304" s="77"/>
      <c r="D304" s="77"/>
      <c r="G304" s="117"/>
      <c r="H304" s="117"/>
      <c r="I304" s="117"/>
      <c r="J304" s="117"/>
      <c r="K304" s="117"/>
      <c r="L304" s="117"/>
      <c r="M304" s="117"/>
      <c r="N304" s="117"/>
      <c r="U304" s="189"/>
      <c r="V304" s="165"/>
      <c r="W304" s="164"/>
    </row>
    <row r="305" spans="1:24" ht="16" customHeight="1" x14ac:dyDescent="0.2">
      <c r="A305" s="74" t="s">
        <v>622</v>
      </c>
      <c r="B305" s="74" t="s">
        <v>623</v>
      </c>
      <c r="C305" s="43" t="s">
        <v>624</v>
      </c>
      <c r="E305" s="74"/>
      <c r="G305" s="116" t="s">
        <v>36</v>
      </c>
      <c r="H305" s="116"/>
      <c r="I305" s="116"/>
      <c r="J305" s="116"/>
      <c r="K305" s="116" t="s">
        <v>54</v>
      </c>
      <c r="L305" s="116"/>
      <c r="M305" s="116"/>
      <c r="N305" s="116"/>
      <c r="S305" s="44" t="s">
        <v>46</v>
      </c>
      <c r="U305" s="189"/>
      <c r="W305" s="161"/>
    </row>
    <row r="306" spans="1:24" ht="32" customHeight="1" x14ac:dyDescent="0.2">
      <c r="A306" s="74" t="s">
        <v>50</v>
      </c>
      <c r="B306" s="74" t="s">
        <v>625</v>
      </c>
      <c r="C306" s="43" t="s">
        <v>626</v>
      </c>
      <c r="D306" s="182"/>
      <c r="E306" s="74"/>
      <c r="F306" s="183"/>
      <c r="G306" s="116" t="s">
        <v>627</v>
      </c>
      <c r="H306" s="116"/>
      <c r="I306" s="116"/>
      <c r="J306" s="116"/>
      <c r="K306" s="116" t="s">
        <v>628</v>
      </c>
      <c r="L306" s="116"/>
      <c r="M306" s="116"/>
      <c r="N306" s="116"/>
      <c r="U306" s="189"/>
      <c r="W306" s="161"/>
    </row>
    <row r="307" spans="1:24" s="75" customFormat="1" ht="16" customHeight="1" x14ac:dyDescent="0.2">
      <c r="A307" s="75" t="s">
        <v>61</v>
      </c>
      <c r="B307" s="75" t="s">
        <v>629</v>
      </c>
      <c r="C307" s="46" t="s">
        <v>630</v>
      </c>
      <c r="D307" s="98"/>
      <c r="E307" s="75" t="s">
        <v>631</v>
      </c>
      <c r="F307" s="100"/>
      <c r="G307" s="128" t="s">
        <v>45</v>
      </c>
      <c r="H307" s="128"/>
      <c r="I307" s="128"/>
      <c r="J307" s="128"/>
      <c r="K307" s="128"/>
      <c r="L307" s="128"/>
      <c r="M307" s="128"/>
      <c r="N307" s="128"/>
      <c r="S307" s="75" t="s">
        <v>46</v>
      </c>
      <c r="U307" s="189"/>
      <c r="V307" s="107"/>
      <c r="W307" s="161"/>
      <c r="X307" s="161" t="str">
        <f>IF(AND(U307&lt;&gt;"",S307="yes"),U307*V307,"")</f>
        <v/>
      </c>
    </row>
    <row r="308" spans="1:24" x14ac:dyDescent="0.2">
      <c r="A308" s="74" t="s">
        <v>24</v>
      </c>
      <c r="B308" s="74" t="s">
        <v>632</v>
      </c>
      <c r="C308" s="43"/>
      <c r="E308" s="74"/>
      <c r="G308" s="116" t="s">
        <v>45</v>
      </c>
      <c r="H308" s="116"/>
      <c r="I308" s="116"/>
      <c r="J308" s="116"/>
      <c r="K308" s="116"/>
      <c r="L308" s="116"/>
      <c r="M308" s="116"/>
      <c r="N308" s="116" t="s">
        <v>633</v>
      </c>
      <c r="S308" s="44" t="s">
        <v>46</v>
      </c>
      <c r="U308" s="189"/>
    </row>
    <row r="309" spans="1:24" x14ac:dyDescent="0.2">
      <c r="U309" s="189"/>
    </row>
    <row r="313" spans="1:24" ht="16" customHeight="1" thickBot="1" x14ac:dyDescent="0.25"/>
    <row r="314" spans="1:24" ht="17" customHeight="1" thickBot="1" x14ac:dyDescent="0.25">
      <c r="Q314" s="197" t="s">
        <v>634</v>
      </c>
      <c r="R314" s="198"/>
      <c r="S314" s="198"/>
      <c r="T314" s="198"/>
      <c r="U314" s="191"/>
      <c r="V314" s="166"/>
      <c r="W314" s="167">
        <f>(SUM(W4:W301)/60)</f>
        <v>33.917251192864839</v>
      </c>
      <c r="X314" s="167">
        <f>(SUM(X4:X49)+AVERAGE(X50:X52)+SUM(X53:X301))/60</f>
        <v>17.374864741472127</v>
      </c>
    </row>
  </sheetData>
  <sheetProtection algorithmName="SHA-512" hashValue="sSSxC0BYqvcYpNeMbfrcNpQDgBOu5ZQnANcstON2vpvO0ubYrp34M51cQMdu8P0GZndGBXZfm7OqdDwYaY+f8w==" saltValue="r0KbkiqMga3RYSz3FJyblg==" spinCount="100000" sheet="1" formatCells="0" formatColumns="0" formatRows="0" insertColumns="0" insertRows="0" deleteColumns="0" deleteRow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77"/>
  <sheetViews>
    <sheetView zoomScaleNormal="110" workbookViewId="0">
      <pane ySplit="1" topLeftCell="A2" activePane="bottomLeft" state="frozen"/>
      <selection pane="bottomLeft" activeCell="C40" sqref="C40"/>
    </sheetView>
  </sheetViews>
  <sheetFormatPr baseColWidth="10" defaultColWidth="8.83203125" defaultRowHeight="15" x14ac:dyDescent="0.2"/>
  <cols>
    <col min="1" max="1" width="8.83203125" style="3" customWidth="1"/>
    <col min="2" max="2" width="30" style="3" customWidth="1"/>
    <col min="3" max="3" width="27.1640625" style="3" customWidth="1"/>
    <col min="4" max="4" width="20" style="3" customWidth="1"/>
    <col min="5" max="5" width="16.1640625" style="3" customWidth="1"/>
    <col min="6" max="6" width="8.83203125" style="3" customWidth="1"/>
    <col min="7" max="16384" width="8.83203125" style="3"/>
  </cols>
  <sheetData>
    <row r="1" spans="1:5" x14ac:dyDescent="0.2">
      <c r="A1" s="6" t="s">
        <v>635</v>
      </c>
      <c r="B1" s="6" t="s">
        <v>1</v>
      </c>
      <c r="C1" s="6" t="s">
        <v>2</v>
      </c>
      <c r="D1" s="1" t="s">
        <v>3</v>
      </c>
      <c r="E1" s="6" t="s">
        <v>636</v>
      </c>
    </row>
    <row r="2" spans="1:5" s="13" customFormat="1" x14ac:dyDescent="0.2">
      <c r="A2" s="13" t="s">
        <v>637</v>
      </c>
      <c r="B2" s="206">
        <v>1</v>
      </c>
      <c r="C2" s="206" t="s">
        <v>638</v>
      </c>
      <c r="D2" s="207"/>
      <c r="E2" s="208"/>
    </row>
    <row r="3" spans="1:5" s="13" customFormat="1" x14ac:dyDescent="0.2">
      <c r="A3" s="13" t="s">
        <v>637</v>
      </c>
      <c r="B3" s="206">
        <v>2</v>
      </c>
      <c r="C3" s="206" t="s">
        <v>639</v>
      </c>
      <c r="D3" s="207"/>
      <c r="E3" s="208"/>
    </row>
    <row r="4" spans="1:5" s="13" customFormat="1" x14ac:dyDescent="0.2">
      <c r="A4" s="13" t="s">
        <v>637</v>
      </c>
      <c r="B4" s="206">
        <v>3</v>
      </c>
      <c r="C4" s="206" t="s">
        <v>640</v>
      </c>
      <c r="D4" s="207"/>
      <c r="E4" s="208"/>
    </row>
    <row r="5" spans="1:5" s="13" customFormat="1" x14ac:dyDescent="0.2">
      <c r="A5" s="13" t="s">
        <v>637</v>
      </c>
      <c r="B5" s="206">
        <v>4</v>
      </c>
      <c r="C5" s="206" t="s">
        <v>641</v>
      </c>
      <c r="D5" s="207"/>
      <c r="E5" s="208"/>
    </row>
    <row r="6" spans="1:5" x14ac:dyDescent="0.2">
      <c r="A6" s="2"/>
      <c r="B6" s="2"/>
      <c r="C6" s="2"/>
      <c r="D6" s="1"/>
      <c r="E6" s="2"/>
    </row>
    <row r="7" spans="1:5" x14ac:dyDescent="0.2">
      <c r="A7" t="s">
        <v>34</v>
      </c>
      <c r="B7" s="3">
        <v>1</v>
      </c>
      <c r="C7" s="5" t="s">
        <v>642</v>
      </c>
      <c r="D7" s="4"/>
      <c r="E7" s="209"/>
    </row>
    <row r="8" spans="1:5" x14ac:dyDescent="0.2">
      <c r="A8" t="s">
        <v>34</v>
      </c>
      <c r="B8" s="3">
        <v>2</v>
      </c>
      <c r="C8" s="5" t="s">
        <v>643</v>
      </c>
      <c r="D8" s="4"/>
      <c r="E8" s="209"/>
    </row>
    <row r="9" spans="1:5" x14ac:dyDescent="0.2">
      <c r="A9" t="s">
        <v>34</v>
      </c>
      <c r="B9" s="3">
        <v>3</v>
      </c>
      <c r="C9" s="5" t="s">
        <v>644</v>
      </c>
      <c r="D9" s="4"/>
      <c r="E9" s="209"/>
    </row>
    <row r="10" spans="1:5" x14ac:dyDescent="0.2">
      <c r="D10" s="4"/>
    </row>
    <row r="11" spans="1:5" x14ac:dyDescent="0.2">
      <c r="A11" t="s">
        <v>645</v>
      </c>
      <c r="B11">
        <v>1</v>
      </c>
      <c r="C11" t="s">
        <v>646</v>
      </c>
      <c r="D11" s="4"/>
    </row>
    <row r="12" spans="1:5" x14ac:dyDescent="0.2">
      <c r="A12" t="s">
        <v>645</v>
      </c>
      <c r="B12">
        <v>2</v>
      </c>
      <c r="C12" t="s">
        <v>647</v>
      </c>
      <c r="D12" s="4"/>
    </row>
    <row r="13" spans="1:5" x14ac:dyDescent="0.2">
      <c r="A13" t="s">
        <v>645</v>
      </c>
      <c r="B13" s="223">
        <v>3</v>
      </c>
      <c r="C13" t="s">
        <v>648</v>
      </c>
      <c r="D13" s="4"/>
    </row>
    <row r="14" spans="1:5" x14ac:dyDescent="0.2">
      <c r="A14" t="s">
        <v>645</v>
      </c>
      <c r="B14" s="223">
        <v>4</v>
      </c>
      <c r="C14" t="s">
        <v>649</v>
      </c>
      <c r="D14" s="4"/>
    </row>
    <row r="15" spans="1:5" x14ac:dyDescent="0.2">
      <c r="D15" s="4"/>
    </row>
    <row r="16" spans="1:5" x14ac:dyDescent="0.2">
      <c r="A16" t="s">
        <v>650</v>
      </c>
      <c r="B16" t="s">
        <v>650</v>
      </c>
      <c r="C16" t="s">
        <v>650</v>
      </c>
      <c r="D16" s="4"/>
    </row>
    <row r="17" spans="1:4" x14ac:dyDescent="0.2">
      <c r="D17" s="4"/>
    </row>
    <row r="18" spans="1:4" x14ac:dyDescent="0.2">
      <c r="A18" t="s">
        <v>651</v>
      </c>
      <c r="B18">
        <v>1</v>
      </c>
      <c r="C18" t="s">
        <v>652</v>
      </c>
      <c r="D18" s="4"/>
    </row>
    <row r="19" spans="1:4" x14ac:dyDescent="0.2">
      <c r="A19" t="s">
        <v>651</v>
      </c>
      <c r="B19">
        <v>2</v>
      </c>
      <c r="C19" t="s">
        <v>653</v>
      </c>
      <c r="D19" s="4"/>
    </row>
    <row r="20" spans="1:4" x14ac:dyDescent="0.2">
      <c r="D20" s="4"/>
    </row>
    <row r="21" spans="1:4" s="11" customFormat="1" x14ac:dyDescent="0.2">
      <c r="A21" s="224" t="s">
        <v>654</v>
      </c>
      <c r="B21" s="224" t="s">
        <v>655</v>
      </c>
      <c r="C21" s="224" t="s">
        <v>656</v>
      </c>
      <c r="D21" s="7"/>
    </row>
    <row r="22" spans="1:4" s="11" customFormat="1" x14ac:dyDescent="0.2">
      <c r="A22" s="14" t="s">
        <v>654</v>
      </c>
      <c r="B22" s="5" t="s">
        <v>657</v>
      </c>
      <c r="C22" s="5" t="s">
        <v>658</v>
      </c>
      <c r="D22" s="7"/>
    </row>
    <row r="23" spans="1:4" s="11" customFormat="1" x14ac:dyDescent="0.2">
      <c r="A23" s="14" t="s">
        <v>654</v>
      </c>
      <c r="B23" s="5" t="s">
        <v>659</v>
      </c>
      <c r="C23" s="5" t="s">
        <v>659</v>
      </c>
      <c r="D23" s="7"/>
    </row>
    <row r="24" spans="1:4" x14ac:dyDescent="0.2">
      <c r="D24" s="4"/>
    </row>
    <row r="25" spans="1:4" x14ac:dyDescent="0.2">
      <c r="A25" t="s">
        <v>660</v>
      </c>
      <c r="B25">
        <v>1</v>
      </c>
      <c r="C25" t="s">
        <v>661</v>
      </c>
      <c r="D25" s="4"/>
    </row>
    <row r="26" spans="1:4" x14ac:dyDescent="0.2">
      <c r="A26" t="s">
        <v>660</v>
      </c>
      <c r="B26">
        <v>2</v>
      </c>
      <c r="C26" t="s">
        <v>662</v>
      </c>
      <c r="D26" s="4"/>
    </row>
    <row r="27" spans="1:4" x14ac:dyDescent="0.2">
      <c r="A27" t="s">
        <v>660</v>
      </c>
      <c r="B27" s="223">
        <v>3</v>
      </c>
      <c r="C27" s="224" t="s">
        <v>648</v>
      </c>
      <c r="D27" s="4"/>
    </row>
    <row r="28" spans="1:4" x14ac:dyDescent="0.2">
      <c r="A28" t="s">
        <v>660</v>
      </c>
      <c r="B28" s="223">
        <v>4</v>
      </c>
      <c r="C28" s="224" t="s">
        <v>649</v>
      </c>
      <c r="D28" s="4"/>
    </row>
    <row r="29" spans="1:4" x14ac:dyDescent="0.2">
      <c r="C29" s="14"/>
      <c r="D29" s="4"/>
    </row>
    <row r="30" spans="1:4" x14ac:dyDescent="0.2">
      <c r="A30" t="s">
        <v>663</v>
      </c>
      <c r="B30">
        <v>1</v>
      </c>
      <c r="C30" s="224" t="s">
        <v>664</v>
      </c>
      <c r="D30" s="4"/>
    </row>
    <row r="31" spans="1:4" x14ac:dyDescent="0.2">
      <c r="A31" t="s">
        <v>663</v>
      </c>
      <c r="B31">
        <v>2</v>
      </c>
      <c r="C31" s="224" t="s">
        <v>665</v>
      </c>
      <c r="D31" s="4"/>
    </row>
    <row r="32" spans="1:4" x14ac:dyDescent="0.2">
      <c r="A32" t="s">
        <v>663</v>
      </c>
      <c r="B32">
        <v>3</v>
      </c>
      <c r="C32" s="224" t="s">
        <v>647</v>
      </c>
      <c r="D32" s="4"/>
    </row>
    <row r="33" spans="1:4" x14ac:dyDescent="0.2">
      <c r="C33" s="14"/>
      <c r="D33" s="4"/>
    </row>
    <row r="34" spans="1:4" x14ac:dyDescent="0.2">
      <c r="A34" t="s">
        <v>666</v>
      </c>
      <c r="B34">
        <v>1</v>
      </c>
      <c r="C34" t="s">
        <v>667</v>
      </c>
      <c r="D34" s="4"/>
    </row>
    <row r="35" spans="1:4" x14ac:dyDescent="0.2">
      <c r="A35" t="s">
        <v>666</v>
      </c>
      <c r="B35">
        <v>2</v>
      </c>
      <c r="C35" t="s">
        <v>668</v>
      </c>
      <c r="D35" s="4"/>
    </row>
    <row r="36" spans="1:4" x14ac:dyDescent="0.2">
      <c r="A36" t="s">
        <v>666</v>
      </c>
      <c r="B36">
        <v>3</v>
      </c>
      <c r="C36" t="s">
        <v>669</v>
      </c>
      <c r="D36" s="4"/>
    </row>
    <row r="37" spans="1:4" x14ac:dyDescent="0.2">
      <c r="A37" t="s">
        <v>666</v>
      </c>
      <c r="B37">
        <v>4</v>
      </c>
      <c r="C37" t="s">
        <v>653</v>
      </c>
      <c r="D37" s="4"/>
    </row>
    <row r="38" spans="1:4" x14ac:dyDescent="0.2">
      <c r="A38" t="s">
        <v>666</v>
      </c>
      <c r="B38" s="223">
        <v>5</v>
      </c>
      <c r="C38" s="224" t="s">
        <v>648</v>
      </c>
      <c r="D38" s="4"/>
    </row>
    <row r="39" spans="1:4" x14ac:dyDescent="0.2">
      <c r="A39" t="s">
        <v>666</v>
      </c>
      <c r="B39" s="223">
        <v>6</v>
      </c>
      <c r="C39" t="s">
        <v>649</v>
      </c>
      <c r="D39" s="4"/>
    </row>
    <row r="40" spans="1:4" x14ac:dyDescent="0.2">
      <c r="D40" s="4"/>
    </row>
    <row r="41" spans="1:4" x14ac:dyDescent="0.2">
      <c r="A41" t="s">
        <v>670</v>
      </c>
      <c r="B41">
        <v>1</v>
      </c>
      <c r="C41" s="224" t="s">
        <v>671</v>
      </c>
      <c r="D41" s="4"/>
    </row>
    <row r="42" spans="1:4" x14ac:dyDescent="0.2">
      <c r="A42" t="s">
        <v>670</v>
      </c>
      <c r="B42">
        <v>2</v>
      </c>
      <c r="C42" s="224" t="s">
        <v>672</v>
      </c>
      <c r="D42" s="4"/>
    </row>
    <row r="43" spans="1:4" x14ac:dyDescent="0.2">
      <c r="A43" t="s">
        <v>670</v>
      </c>
      <c r="B43">
        <v>3</v>
      </c>
      <c r="C43" s="224" t="s">
        <v>673</v>
      </c>
      <c r="D43" s="4"/>
    </row>
    <row r="44" spans="1:4" x14ac:dyDescent="0.2">
      <c r="A44" t="s">
        <v>670</v>
      </c>
      <c r="B44">
        <v>4</v>
      </c>
      <c r="C44" s="224" t="s">
        <v>674</v>
      </c>
      <c r="D44" s="4"/>
    </row>
    <row r="45" spans="1:4" x14ac:dyDescent="0.2">
      <c r="A45" t="s">
        <v>670</v>
      </c>
      <c r="B45">
        <v>5</v>
      </c>
      <c r="C45" s="224" t="s">
        <v>675</v>
      </c>
      <c r="D45" s="4"/>
    </row>
    <row r="46" spans="1:4" x14ac:dyDescent="0.2">
      <c r="A46" t="s">
        <v>670</v>
      </c>
      <c r="B46" s="223">
        <v>6</v>
      </c>
      <c r="C46" t="s">
        <v>648</v>
      </c>
      <c r="D46" s="4"/>
    </row>
    <row r="47" spans="1:4" x14ac:dyDescent="0.2">
      <c r="A47" t="s">
        <v>670</v>
      </c>
      <c r="B47" s="223">
        <v>7</v>
      </c>
      <c r="C47" t="s">
        <v>649</v>
      </c>
      <c r="D47" s="4"/>
    </row>
    <row r="48" spans="1:4" x14ac:dyDescent="0.2">
      <c r="B48" s="10"/>
      <c r="D48" s="4"/>
    </row>
    <row r="49" spans="1:4" x14ac:dyDescent="0.2">
      <c r="A49" t="s">
        <v>676</v>
      </c>
      <c r="B49" s="223">
        <v>1</v>
      </c>
      <c r="C49" t="s">
        <v>677</v>
      </c>
      <c r="D49" s="4"/>
    </row>
    <row r="50" spans="1:4" x14ac:dyDescent="0.2">
      <c r="A50" t="s">
        <v>676</v>
      </c>
      <c r="B50" s="223">
        <v>2</v>
      </c>
      <c r="C50" t="s">
        <v>678</v>
      </c>
      <c r="D50" s="4"/>
    </row>
    <row r="51" spans="1:4" x14ac:dyDescent="0.2">
      <c r="A51" t="s">
        <v>676</v>
      </c>
      <c r="B51" s="223">
        <v>3</v>
      </c>
      <c r="C51" t="s">
        <v>679</v>
      </c>
      <c r="D51" s="4"/>
    </row>
    <row r="52" spans="1:4" x14ac:dyDescent="0.2">
      <c r="A52" t="s">
        <v>676</v>
      </c>
      <c r="B52" s="223">
        <v>4</v>
      </c>
      <c r="C52" t="s">
        <v>680</v>
      </c>
      <c r="D52" s="4"/>
    </row>
    <row r="53" spans="1:4" x14ac:dyDescent="0.2">
      <c r="A53" t="s">
        <v>676</v>
      </c>
      <c r="B53" s="223">
        <v>5</v>
      </c>
      <c r="C53" t="s">
        <v>681</v>
      </c>
      <c r="D53" s="4"/>
    </row>
    <row r="54" spans="1:4" x14ac:dyDescent="0.2">
      <c r="A54" t="s">
        <v>676</v>
      </c>
      <c r="B54" s="223">
        <v>6</v>
      </c>
      <c r="C54" t="s">
        <v>682</v>
      </c>
      <c r="D54" s="4"/>
    </row>
    <row r="55" spans="1:4" x14ac:dyDescent="0.2">
      <c r="A55" t="s">
        <v>676</v>
      </c>
      <c r="B55" s="223">
        <v>7</v>
      </c>
      <c r="C55" t="s">
        <v>683</v>
      </c>
      <c r="D55" s="4"/>
    </row>
    <row r="56" spans="1:4" x14ac:dyDescent="0.2">
      <c r="A56" t="s">
        <v>676</v>
      </c>
      <c r="B56" s="223">
        <v>8</v>
      </c>
      <c r="C56" t="s">
        <v>684</v>
      </c>
      <c r="D56" s="4"/>
    </row>
    <row r="57" spans="1:4" x14ac:dyDescent="0.2">
      <c r="A57" t="s">
        <v>676</v>
      </c>
      <c r="B57" s="223">
        <v>9</v>
      </c>
      <c r="C57" t="s">
        <v>685</v>
      </c>
      <c r="D57" s="4"/>
    </row>
    <row r="58" spans="1:4" x14ac:dyDescent="0.2">
      <c r="A58" t="s">
        <v>676</v>
      </c>
      <c r="B58" s="223">
        <v>10</v>
      </c>
      <c r="C58" t="s">
        <v>686</v>
      </c>
      <c r="D58" s="4"/>
    </row>
    <row r="59" spans="1:4" x14ac:dyDescent="0.2">
      <c r="A59" t="s">
        <v>676</v>
      </c>
      <c r="B59" s="223">
        <v>11</v>
      </c>
      <c r="C59" t="s">
        <v>648</v>
      </c>
      <c r="D59" s="4"/>
    </row>
    <row r="60" spans="1:4" x14ac:dyDescent="0.2">
      <c r="A60" t="s">
        <v>676</v>
      </c>
      <c r="B60" s="223">
        <v>12</v>
      </c>
      <c r="C60" t="s">
        <v>649</v>
      </c>
      <c r="D60" s="4"/>
    </row>
    <row r="61" spans="1:4" x14ac:dyDescent="0.2">
      <c r="B61" s="10"/>
      <c r="D61" s="4"/>
    </row>
    <row r="62" spans="1:4" x14ac:dyDescent="0.2">
      <c r="A62" t="s">
        <v>687</v>
      </c>
      <c r="B62" s="223">
        <v>1</v>
      </c>
      <c r="C62" t="s">
        <v>688</v>
      </c>
      <c r="D62" s="4"/>
    </row>
    <row r="63" spans="1:4" x14ac:dyDescent="0.2">
      <c r="A63" t="s">
        <v>687</v>
      </c>
      <c r="B63" s="223">
        <v>2</v>
      </c>
      <c r="C63" t="s">
        <v>689</v>
      </c>
      <c r="D63" s="4"/>
    </row>
    <row r="64" spans="1:4" x14ac:dyDescent="0.2">
      <c r="A64" t="s">
        <v>687</v>
      </c>
      <c r="B64" s="223">
        <v>3</v>
      </c>
      <c r="C64" t="s">
        <v>690</v>
      </c>
      <c r="D64" s="4"/>
    </row>
    <row r="65" spans="1:4" x14ac:dyDescent="0.2">
      <c r="A65" t="s">
        <v>687</v>
      </c>
      <c r="B65" s="223">
        <v>4</v>
      </c>
      <c r="C65" t="s">
        <v>691</v>
      </c>
      <c r="D65" s="4"/>
    </row>
    <row r="66" spans="1:4" x14ac:dyDescent="0.2">
      <c r="A66" t="s">
        <v>687</v>
      </c>
      <c r="B66" s="223">
        <v>5</v>
      </c>
      <c r="C66" t="s">
        <v>692</v>
      </c>
      <c r="D66" s="4"/>
    </row>
    <row r="67" spans="1:4" x14ac:dyDescent="0.2">
      <c r="A67" t="s">
        <v>687</v>
      </c>
      <c r="B67" s="223">
        <v>6</v>
      </c>
      <c r="C67" t="s">
        <v>648</v>
      </c>
      <c r="D67" s="4"/>
    </row>
    <row r="68" spans="1:4" x14ac:dyDescent="0.2">
      <c r="A68" t="s">
        <v>687</v>
      </c>
      <c r="B68" s="223">
        <v>7</v>
      </c>
      <c r="C68" t="s">
        <v>649</v>
      </c>
      <c r="D68" s="4"/>
    </row>
    <row r="69" spans="1:4" x14ac:dyDescent="0.2">
      <c r="B69" s="10"/>
      <c r="D69" s="4"/>
    </row>
    <row r="70" spans="1:4" x14ac:dyDescent="0.2">
      <c r="A70" t="s">
        <v>693</v>
      </c>
      <c r="B70" s="223">
        <v>1</v>
      </c>
      <c r="C70" t="s">
        <v>694</v>
      </c>
      <c r="D70" s="4"/>
    </row>
    <row r="71" spans="1:4" x14ac:dyDescent="0.2">
      <c r="A71" t="s">
        <v>693</v>
      </c>
      <c r="B71" s="223">
        <v>2</v>
      </c>
      <c r="C71" t="s">
        <v>695</v>
      </c>
      <c r="D71" s="4"/>
    </row>
    <row r="72" spans="1:4" x14ac:dyDescent="0.2">
      <c r="A72" t="s">
        <v>693</v>
      </c>
      <c r="B72" s="223">
        <v>3</v>
      </c>
      <c r="C72" t="s">
        <v>696</v>
      </c>
      <c r="D72" s="4"/>
    </row>
    <row r="73" spans="1:4" x14ac:dyDescent="0.2">
      <c r="A73" t="s">
        <v>693</v>
      </c>
      <c r="B73" s="223">
        <v>4</v>
      </c>
      <c r="C73" t="s">
        <v>697</v>
      </c>
      <c r="D73" s="4"/>
    </row>
    <row r="74" spans="1:4" x14ac:dyDescent="0.2">
      <c r="A74" t="s">
        <v>693</v>
      </c>
      <c r="B74" s="223">
        <v>5</v>
      </c>
      <c r="C74" t="s">
        <v>698</v>
      </c>
      <c r="D74" s="4"/>
    </row>
    <row r="75" spans="1:4" x14ac:dyDescent="0.2">
      <c r="A75" t="s">
        <v>693</v>
      </c>
      <c r="B75" s="223">
        <v>6</v>
      </c>
      <c r="C75" t="s">
        <v>699</v>
      </c>
      <c r="D75" s="4"/>
    </row>
    <row r="76" spans="1:4" x14ac:dyDescent="0.2">
      <c r="A76" t="s">
        <v>693</v>
      </c>
      <c r="B76" s="223">
        <v>7</v>
      </c>
      <c r="C76" t="s">
        <v>648</v>
      </c>
      <c r="D76" s="4"/>
    </row>
    <row r="77" spans="1:4" x14ac:dyDescent="0.2">
      <c r="A77" t="s">
        <v>693</v>
      </c>
      <c r="B77" s="223">
        <v>8</v>
      </c>
      <c r="C77" t="s">
        <v>649</v>
      </c>
      <c r="D77" s="4"/>
    </row>
    <row r="78" spans="1:4" x14ac:dyDescent="0.2">
      <c r="D78" s="4"/>
    </row>
    <row r="79" spans="1:4" x14ac:dyDescent="0.2">
      <c r="A79" s="225" t="s">
        <v>700</v>
      </c>
      <c r="B79" s="225">
        <v>1</v>
      </c>
      <c r="C79" s="225" t="s">
        <v>701</v>
      </c>
      <c r="D79" s="4"/>
    </row>
    <row r="80" spans="1:4" x14ac:dyDescent="0.2">
      <c r="A80" s="225" t="s">
        <v>700</v>
      </c>
      <c r="B80" s="225">
        <v>2</v>
      </c>
      <c r="C80" s="225" t="s">
        <v>702</v>
      </c>
      <c r="D80" s="4"/>
    </row>
    <row r="81" spans="1:4" x14ac:dyDescent="0.2">
      <c r="A81" s="225" t="s">
        <v>700</v>
      </c>
      <c r="B81" s="225">
        <v>3</v>
      </c>
      <c r="C81" s="225" t="s">
        <v>703</v>
      </c>
      <c r="D81" s="4"/>
    </row>
    <row r="82" spans="1:4" x14ac:dyDescent="0.2">
      <c r="A82" s="225" t="s">
        <v>700</v>
      </c>
      <c r="B82" s="225">
        <v>4</v>
      </c>
      <c r="C82" s="225" t="s">
        <v>704</v>
      </c>
      <c r="D82" s="4"/>
    </row>
    <row r="83" spans="1:4" x14ac:dyDescent="0.2">
      <c r="A83" s="225" t="s">
        <v>700</v>
      </c>
      <c r="B83" s="225">
        <v>5</v>
      </c>
      <c r="C83" s="225" t="s">
        <v>705</v>
      </c>
      <c r="D83" s="4"/>
    </row>
    <row r="84" spans="1:4" x14ac:dyDescent="0.2">
      <c r="A84" s="225" t="s">
        <v>700</v>
      </c>
      <c r="B84" s="225">
        <v>6</v>
      </c>
      <c r="C84" s="225" t="s">
        <v>648</v>
      </c>
      <c r="D84" s="4"/>
    </row>
    <row r="85" spans="1:4" x14ac:dyDescent="0.2">
      <c r="A85" s="225" t="s">
        <v>700</v>
      </c>
      <c r="B85" s="225">
        <v>7</v>
      </c>
      <c r="C85" s="225" t="s">
        <v>649</v>
      </c>
      <c r="D85" s="4"/>
    </row>
    <row r="86" spans="1:4" x14ac:dyDescent="0.2">
      <c r="A86" s="13"/>
      <c r="B86" s="13"/>
      <c r="C86" s="13"/>
      <c r="D86" s="4"/>
    </row>
    <row r="87" spans="1:4" x14ac:dyDescent="0.2">
      <c r="A87" s="225" t="s">
        <v>706</v>
      </c>
      <c r="B87" s="225" t="s">
        <v>707</v>
      </c>
      <c r="C87" s="225" t="s">
        <v>708</v>
      </c>
      <c r="D87" s="4"/>
    </row>
    <row r="88" spans="1:4" x14ac:dyDescent="0.2">
      <c r="A88" s="225" t="s">
        <v>706</v>
      </c>
      <c r="B88" s="225" t="s">
        <v>709</v>
      </c>
      <c r="C88" s="225" t="s">
        <v>710</v>
      </c>
      <c r="D88" s="4"/>
    </row>
    <row r="89" spans="1:4" x14ac:dyDescent="0.2">
      <c r="A89" s="225" t="s">
        <v>706</v>
      </c>
      <c r="B89" s="225" t="s">
        <v>711</v>
      </c>
      <c r="C89" s="225" t="s">
        <v>712</v>
      </c>
      <c r="D89" s="4"/>
    </row>
    <row r="90" spans="1:4" x14ac:dyDescent="0.2">
      <c r="A90" s="225" t="s">
        <v>706</v>
      </c>
      <c r="B90" s="225" t="s">
        <v>713</v>
      </c>
      <c r="C90" s="225" t="s">
        <v>714</v>
      </c>
      <c r="D90" s="4"/>
    </row>
    <row r="91" spans="1:4" x14ac:dyDescent="0.2">
      <c r="A91" s="225" t="s">
        <v>706</v>
      </c>
      <c r="B91" s="225" t="s">
        <v>715</v>
      </c>
      <c r="C91" s="225" t="s">
        <v>716</v>
      </c>
      <c r="D91" s="4"/>
    </row>
    <row r="92" spans="1:4" x14ac:dyDescent="0.2">
      <c r="A92" s="225" t="s">
        <v>706</v>
      </c>
      <c r="B92" s="225" t="s">
        <v>717</v>
      </c>
      <c r="C92" s="225" t="s">
        <v>718</v>
      </c>
      <c r="D92" s="4"/>
    </row>
    <row r="93" spans="1:4" x14ac:dyDescent="0.2">
      <c r="A93" s="225" t="s">
        <v>706</v>
      </c>
      <c r="B93" s="225" t="s">
        <v>719</v>
      </c>
      <c r="C93" s="225" t="s">
        <v>720</v>
      </c>
      <c r="D93" s="4"/>
    </row>
    <row r="94" spans="1:4" x14ac:dyDescent="0.2">
      <c r="A94" s="225" t="s">
        <v>706</v>
      </c>
      <c r="B94" s="225" t="s">
        <v>721</v>
      </c>
      <c r="C94" s="225" t="s">
        <v>648</v>
      </c>
      <c r="D94" s="4"/>
    </row>
    <row r="95" spans="1:4" x14ac:dyDescent="0.2">
      <c r="A95" s="225" t="s">
        <v>706</v>
      </c>
      <c r="B95" s="225" t="s">
        <v>722</v>
      </c>
      <c r="C95" s="225" t="s">
        <v>649</v>
      </c>
      <c r="D95" s="4"/>
    </row>
    <row r="96" spans="1:4" x14ac:dyDescent="0.2">
      <c r="A96" s="13"/>
      <c r="B96" s="13"/>
      <c r="C96" s="13"/>
      <c r="D96" s="4"/>
    </row>
    <row r="97" spans="1:4" x14ac:dyDescent="0.2">
      <c r="A97" s="225" t="s">
        <v>723</v>
      </c>
      <c r="B97" s="225" t="s">
        <v>724</v>
      </c>
      <c r="C97" s="225" t="s">
        <v>725</v>
      </c>
      <c r="D97" s="4"/>
    </row>
    <row r="98" spans="1:4" x14ac:dyDescent="0.2">
      <c r="A98" s="225" t="s">
        <v>723</v>
      </c>
      <c r="B98" s="225" t="s">
        <v>726</v>
      </c>
      <c r="C98" s="225" t="s">
        <v>727</v>
      </c>
      <c r="D98" s="4"/>
    </row>
    <row r="99" spans="1:4" x14ac:dyDescent="0.2">
      <c r="A99" s="225" t="s">
        <v>723</v>
      </c>
      <c r="B99" s="225" t="s">
        <v>728</v>
      </c>
      <c r="C99" s="225" t="s">
        <v>729</v>
      </c>
      <c r="D99" s="4"/>
    </row>
    <row r="100" spans="1:4" x14ac:dyDescent="0.2">
      <c r="A100" s="225" t="s">
        <v>723</v>
      </c>
      <c r="B100" s="225" t="s">
        <v>730</v>
      </c>
      <c r="C100" s="225" t="s">
        <v>731</v>
      </c>
      <c r="D100" s="4"/>
    </row>
    <row r="101" spans="1:4" x14ac:dyDescent="0.2">
      <c r="A101" s="225" t="s">
        <v>723</v>
      </c>
      <c r="B101" s="225" t="s">
        <v>732</v>
      </c>
      <c r="C101" s="225" t="s">
        <v>733</v>
      </c>
      <c r="D101" s="4"/>
    </row>
    <row r="102" spans="1:4" x14ac:dyDescent="0.2">
      <c r="A102" s="225" t="s">
        <v>723</v>
      </c>
      <c r="B102" s="225" t="s">
        <v>734</v>
      </c>
      <c r="C102" s="225" t="s">
        <v>735</v>
      </c>
      <c r="D102" s="4"/>
    </row>
    <row r="103" spans="1:4" x14ac:dyDescent="0.2">
      <c r="A103" s="225" t="s">
        <v>723</v>
      </c>
      <c r="B103" s="225" t="s">
        <v>717</v>
      </c>
      <c r="C103" s="225" t="s">
        <v>736</v>
      </c>
      <c r="D103" s="4"/>
    </row>
    <row r="104" spans="1:4" x14ac:dyDescent="0.2">
      <c r="A104" s="225" t="s">
        <v>723</v>
      </c>
      <c r="B104" s="225" t="s">
        <v>719</v>
      </c>
      <c r="C104" s="225" t="s">
        <v>737</v>
      </c>
      <c r="D104" s="4"/>
    </row>
    <row r="105" spans="1:4" x14ac:dyDescent="0.2">
      <c r="A105" s="225" t="s">
        <v>723</v>
      </c>
      <c r="B105" s="225" t="s">
        <v>721</v>
      </c>
      <c r="C105" s="225" t="s">
        <v>648</v>
      </c>
      <c r="D105" s="4"/>
    </row>
    <row r="106" spans="1:4" x14ac:dyDescent="0.2">
      <c r="A106" s="225" t="s">
        <v>723</v>
      </c>
      <c r="B106" s="225" t="s">
        <v>722</v>
      </c>
      <c r="C106" s="225" t="s">
        <v>649</v>
      </c>
      <c r="D106" s="4"/>
    </row>
    <row r="107" spans="1:4" x14ac:dyDescent="0.2">
      <c r="A107" s="13"/>
      <c r="B107" s="13"/>
      <c r="C107" s="13"/>
      <c r="D107" s="4"/>
    </row>
    <row r="108" spans="1:4" x14ac:dyDescent="0.2">
      <c r="A108" s="225" t="s">
        <v>738</v>
      </c>
      <c r="B108" s="225">
        <v>1</v>
      </c>
      <c r="C108" s="225" t="s">
        <v>739</v>
      </c>
      <c r="D108" s="4"/>
    </row>
    <row r="109" spans="1:4" x14ac:dyDescent="0.2">
      <c r="A109" s="225" t="s">
        <v>738</v>
      </c>
      <c r="B109" s="225">
        <v>2</v>
      </c>
      <c r="C109" s="225" t="s">
        <v>740</v>
      </c>
      <c r="D109" s="4"/>
    </row>
    <row r="110" spans="1:4" x14ac:dyDescent="0.2">
      <c r="A110" s="225" t="s">
        <v>738</v>
      </c>
      <c r="B110" s="225">
        <v>3</v>
      </c>
      <c r="C110" s="225" t="s">
        <v>741</v>
      </c>
      <c r="D110" s="4"/>
    </row>
    <row r="111" spans="1:4" x14ac:dyDescent="0.2">
      <c r="A111" s="225" t="s">
        <v>738</v>
      </c>
      <c r="B111" s="225">
        <v>4</v>
      </c>
      <c r="C111" s="225" t="s">
        <v>742</v>
      </c>
      <c r="D111" s="4"/>
    </row>
    <row r="112" spans="1:4" x14ac:dyDescent="0.2">
      <c r="A112" s="225" t="s">
        <v>738</v>
      </c>
      <c r="B112" s="225">
        <v>5</v>
      </c>
      <c r="C112" s="225" t="s">
        <v>743</v>
      </c>
      <c r="D112" s="4"/>
    </row>
    <row r="113" spans="1:4" x14ac:dyDescent="0.2">
      <c r="A113" s="225" t="s">
        <v>738</v>
      </c>
      <c r="B113" s="225">
        <v>6</v>
      </c>
      <c r="C113" s="225" t="s">
        <v>744</v>
      </c>
      <c r="D113" s="4"/>
    </row>
    <row r="114" spans="1:4" x14ac:dyDescent="0.2">
      <c r="A114" s="225" t="s">
        <v>738</v>
      </c>
      <c r="B114" s="225">
        <v>7</v>
      </c>
      <c r="C114" s="225" t="s">
        <v>745</v>
      </c>
      <c r="D114" s="4"/>
    </row>
    <row r="115" spans="1:4" x14ac:dyDescent="0.2">
      <c r="A115" s="13"/>
      <c r="B115" s="13"/>
      <c r="C115" s="13"/>
      <c r="D115" s="4"/>
    </row>
    <row r="116" spans="1:4" x14ac:dyDescent="0.2">
      <c r="A116" s="225" t="s">
        <v>746</v>
      </c>
      <c r="B116" s="225">
        <v>1</v>
      </c>
      <c r="C116" s="225" t="s">
        <v>747</v>
      </c>
      <c r="D116" s="4"/>
    </row>
    <row r="117" spans="1:4" x14ac:dyDescent="0.2">
      <c r="A117" s="225" t="s">
        <v>746</v>
      </c>
      <c r="B117" s="225">
        <v>2</v>
      </c>
      <c r="C117" s="225" t="s">
        <v>748</v>
      </c>
      <c r="D117" s="4"/>
    </row>
    <row r="118" spans="1:4" x14ac:dyDescent="0.2">
      <c r="A118" s="225" t="s">
        <v>746</v>
      </c>
      <c r="B118" s="225">
        <v>3</v>
      </c>
      <c r="C118" s="225" t="s">
        <v>749</v>
      </c>
      <c r="D118" s="4"/>
    </row>
    <row r="119" spans="1:4" x14ac:dyDescent="0.2">
      <c r="A119" s="225" t="s">
        <v>746</v>
      </c>
      <c r="B119" s="225">
        <v>4</v>
      </c>
      <c r="C119" s="225" t="s">
        <v>750</v>
      </c>
      <c r="D119" s="4"/>
    </row>
    <row r="120" spans="1:4" x14ac:dyDescent="0.2">
      <c r="A120" s="225" t="s">
        <v>746</v>
      </c>
      <c r="B120" s="225">
        <v>5</v>
      </c>
      <c r="C120" s="225" t="s">
        <v>648</v>
      </c>
      <c r="D120" s="4"/>
    </row>
    <row r="121" spans="1:4" x14ac:dyDescent="0.2">
      <c r="A121" s="225" t="s">
        <v>746</v>
      </c>
      <c r="B121" s="225">
        <v>6</v>
      </c>
      <c r="C121" s="225" t="s">
        <v>649</v>
      </c>
      <c r="D121" s="4"/>
    </row>
    <row r="122" spans="1:4" x14ac:dyDescent="0.2">
      <c r="A122" s="13"/>
      <c r="B122" s="13"/>
      <c r="C122" s="13"/>
      <c r="D122" s="4"/>
    </row>
    <row r="123" spans="1:4" x14ac:dyDescent="0.2">
      <c r="A123" t="s">
        <v>751</v>
      </c>
      <c r="B123">
        <v>1</v>
      </c>
      <c r="C123" t="s">
        <v>752</v>
      </c>
      <c r="D123" s="4"/>
    </row>
    <row r="124" spans="1:4" x14ac:dyDescent="0.2">
      <c r="A124" t="s">
        <v>751</v>
      </c>
      <c r="B124">
        <v>2</v>
      </c>
      <c r="C124" t="s">
        <v>753</v>
      </c>
      <c r="D124" s="4"/>
    </row>
    <row r="125" spans="1:4" x14ac:dyDescent="0.2">
      <c r="A125" t="s">
        <v>751</v>
      </c>
      <c r="B125">
        <v>3</v>
      </c>
      <c r="C125" t="s">
        <v>754</v>
      </c>
      <c r="D125" s="4"/>
    </row>
    <row r="126" spans="1:4" x14ac:dyDescent="0.2">
      <c r="A126" t="s">
        <v>751</v>
      </c>
      <c r="B126">
        <v>4</v>
      </c>
      <c r="C126" t="s">
        <v>755</v>
      </c>
      <c r="D126" s="4"/>
    </row>
    <row r="127" spans="1:4" x14ac:dyDescent="0.2">
      <c r="A127" t="s">
        <v>751</v>
      </c>
      <c r="B127">
        <v>5</v>
      </c>
      <c r="C127" t="s">
        <v>756</v>
      </c>
      <c r="D127" s="4"/>
    </row>
    <row r="128" spans="1:4" x14ac:dyDescent="0.2">
      <c r="A128" t="s">
        <v>751</v>
      </c>
      <c r="B128">
        <v>6</v>
      </c>
      <c r="C128" t="s">
        <v>757</v>
      </c>
      <c r="D128" s="4"/>
    </row>
    <row r="129" spans="1:4" x14ac:dyDescent="0.2">
      <c r="A129" t="s">
        <v>751</v>
      </c>
      <c r="B129">
        <v>7</v>
      </c>
      <c r="C129" t="s">
        <v>758</v>
      </c>
      <c r="D129" s="4"/>
    </row>
    <row r="130" spans="1:4" x14ac:dyDescent="0.2">
      <c r="A130" t="s">
        <v>751</v>
      </c>
      <c r="B130">
        <v>8</v>
      </c>
      <c r="C130" t="s">
        <v>759</v>
      </c>
      <c r="D130" s="4"/>
    </row>
    <row r="131" spans="1:4" x14ac:dyDescent="0.2">
      <c r="A131" t="s">
        <v>751</v>
      </c>
      <c r="B131">
        <v>9</v>
      </c>
      <c r="C131" t="s">
        <v>760</v>
      </c>
      <c r="D131" s="4"/>
    </row>
    <row r="132" spans="1:4" x14ac:dyDescent="0.2">
      <c r="A132" t="s">
        <v>751</v>
      </c>
      <c r="B132">
        <v>10</v>
      </c>
      <c r="C132" t="s">
        <v>761</v>
      </c>
      <c r="D132" s="4"/>
    </row>
    <row r="133" spans="1:4" x14ac:dyDescent="0.2">
      <c r="A133" t="s">
        <v>751</v>
      </c>
      <c r="B133">
        <v>11</v>
      </c>
      <c r="C133" t="s">
        <v>762</v>
      </c>
      <c r="D133" s="4"/>
    </row>
    <row r="134" spans="1:4" x14ac:dyDescent="0.2">
      <c r="A134" t="s">
        <v>751</v>
      </c>
      <c r="B134">
        <v>12</v>
      </c>
      <c r="C134" t="s">
        <v>763</v>
      </c>
      <c r="D134" s="4"/>
    </row>
    <row r="135" spans="1:4" x14ac:dyDescent="0.2">
      <c r="A135" t="s">
        <v>751</v>
      </c>
      <c r="B135">
        <v>13</v>
      </c>
      <c r="C135" t="s">
        <v>764</v>
      </c>
      <c r="D135" s="4"/>
    </row>
    <row r="136" spans="1:4" x14ac:dyDescent="0.2">
      <c r="A136" t="s">
        <v>751</v>
      </c>
      <c r="B136">
        <v>14</v>
      </c>
      <c r="C136" t="s">
        <v>765</v>
      </c>
      <c r="D136" s="4"/>
    </row>
    <row r="137" spans="1:4" x14ac:dyDescent="0.2">
      <c r="A137" t="s">
        <v>751</v>
      </c>
      <c r="B137">
        <v>15</v>
      </c>
      <c r="C137" t="s">
        <v>766</v>
      </c>
      <c r="D137" s="4"/>
    </row>
    <row r="138" spans="1:4" x14ac:dyDescent="0.2">
      <c r="A138" t="s">
        <v>751</v>
      </c>
      <c r="B138">
        <v>16</v>
      </c>
      <c r="C138" t="s">
        <v>767</v>
      </c>
      <c r="D138" s="4"/>
    </row>
    <row r="139" spans="1:4" x14ac:dyDescent="0.2">
      <c r="A139" t="s">
        <v>751</v>
      </c>
      <c r="B139">
        <v>17</v>
      </c>
      <c r="C139" t="s">
        <v>768</v>
      </c>
      <c r="D139" s="4"/>
    </row>
    <row r="140" spans="1:4" x14ac:dyDescent="0.2">
      <c r="A140" t="s">
        <v>751</v>
      </c>
      <c r="B140">
        <v>18</v>
      </c>
      <c r="C140" t="s">
        <v>769</v>
      </c>
      <c r="D140" s="4"/>
    </row>
    <row r="141" spans="1:4" x14ac:dyDescent="0.2">
      <c r="A141" t="s">
        <v>751</v>
      </c>
      <c r="B141">
        <v>19</v>
      </c>
      <c r="C141" t="s">
        <v>770</v>
      </c>
      <c r="D141" s="4"/>
    </row>
    <row r="142" spans="1:4" x14ac:dyDescent="0.2">
      <c r="A142" t="s">
        <v>751</v>
      </c>
      <c r="B142">
        <v>20</v>
      </c>
      <c r="C142" t="s">
        <v>649</v>
      </c>
      <c r="D142" s="4"/>
    </row>
    <row r="143" spans="1:4" x14ac:dyDescent="0.2">
      <c r="D143" s="4"/>
    </row>
    <row r="144" spans="1:4" x14ac:dyDescent="0.2">
      <c r="A144" t="s">
        <v>771</v>
      </c>
      <c r="B144">
        <v>1</v>
      </c>
      <c r="C144" t="s">
        <v>661</v>
      </c>
      <c r="D144" s="4"/>
    </row>
    <row r="145" spans="1:4" x14ac:dyDescent="0.2">
      <c r="A145" t="s">
        <v>771</v>
      </c>
      <c r="B145">
        <v>2</v>
      </c>
      <c r="C145" t="s">
        <v>662</v>
      </c>
      <c r="D145" s="4"/>
    </row>
    <row r="146" spans="1:4" x14ac:dyDescent="0.2">
      <c r="A146" t="s">
        <v>771</v>
      </c>
      <c r="B146">
        <v>3</v>
      </c>
      <c r="C146" t="s">
        <v>772</v>
      </c>
      <c r="D146" s="4"/>
    </row>
    <row r="147" spans="1:4" x14ac:dyDescent="0.2">
      <c r="A147" t="s">
        <v>771</v>
      </c>
      <c r="B147">
        <v>4</v>
      </c>
      <c r="C147" t="s">
        <v>648</v>
      </c>
      <c r="D147" s="4"/>
    </row>
    <row r="148" spans="1:4" x14ac:dyDescent="0.2">
      <c r="A148" t="s">
        <v>771</v>
      </c>
      <c r="B148">
        <v>5</v>
      </c>
      <c r="C148" t="s">
        <v>649</v>
      </c>
      <c r="D148" s="4"/>
    </row>
    <row r="149" spans="1:4" x14ac:dyDescent="0.2">
      <c r="D149" s="4"/>
    </row>
    <row r="150" spans="1:4" x14ac:dyDescent="0.2">
      <c r="A150" t="s">
        <v>773</v>
      </c>
      <c r="B150">
        <v>1</v>
      </c>
      <c r="C150" t="s">
        <v>774</v>
      </c>
      <c r="D150" s="4"/>
    </row>
    <row r="151" spans="1:4" x14ac:dyDescent="0.2">
      <c r="A151" t="s">
        <v>773</v>
      </c>
      <c r="B151">
        <v>2</v>
      </c>
      <c r="C151" t="s">
        <v>775</v>
      </c>
      <c r="D151" s="4"/>
    </row>
    <row r="152" spans="1:4" x14ac:dyDescent="0.2">
      <c r="A152" t="s">
        <v>773</v>
      </c>
      <c r="B152">
        <v>3</v>
      </c>
      <c r="C152" t="s">
        <v>776</v>
      </c>
      <c r="D152" s="4"/>
    </row>
    <row r="153" spans="1:4" x14ac:dyDescent="0.2">
      <c r="A153" t="s">
        <v>773</v>
      </c>
      <c r="B153">
        <v>4</v>
      </c>
      <c r="C153" t="s">
        <v>648</v>
      </c>
      <c r="D153" s="4"/>
    </row>
    <row r="154" spans="1:4" x14ac:dyDescent="0.2">
      <c r="A154" t="s">
        <v>773</v>
      </c>
      <c r="B154">
        <v>5</v>
      </c>
      <c r="C154" t="s">
        <v>649</v>
      </c>
      <c r="D154" s="4"/>
    </row>
    <row r="155" spans="1:4" x14ac:dyDescent="0.2">
      <c r="D155" s="4"/>
    </row>
    <row r="156" spans="1:4" x14ac:dyDescent="0.2">
      <c r="A156" t="s">
        <v>777</v>
      </c>
      <c r="B156">
        <v>1</v>
      </c>
      <c r="C156" t="s">
        <v>778</v>
      </c>
      <c r="D156" s="4"/>
    </row>
    <row r="157" spans="1:4" x14ac:dyDescent="0.2">
      <c r="A157" t="s">
        <v>777</v>
      </c>
      <c r="B157">
        <v>2</v>
      </c>
      <c r="C157" t="s">
        <v>779</v>
      </c>
      <c r="D157" s="4"/>
    </row>
    <row r="158" spans="1:4" x14ac:dyDescent="0.2">
      <c r="A158" t="s">
        <v>777</v>
      </c>
      <c r="B158">
        <v>3</v>
      </c>
      <c r="C158" t="s">
        <v>780</v>
      </c>
      <c r="D158" s="4"/>
    </row>
    <row r="159" spans="1:4" x14ac:dyDescent="0.2">
      <c r="A159" t="s">
        <v>777</v>
      </c>
      <c r="B159">
        <v>4</v>
      </c>
      <c r="C159" t="s">
        <v>781</v>
      </c>
      <c r="D159" s="4"/>
    </row>
    <row r="160" spans="1:4" x14ac:dyDescent="0.2">
      <c r="A160" t="s">
        <v>777</v>
      </c>
      <c r="B160">
        <v>5</v>
      </c>
      <c r="C160" t="s">
        <v>782</v>
      </c>
      <c r="D160" s="4"/>
    </row>
    <row r="161" spans="1:4" x14ac:dyDescent="0.2">
      <c r="A161" t="s">
        <v>777</v>
      </c>
      <c r="B161" s="223">
        <v>6</v>
      </c>
      <c r="C161" t="s">
        <v>648</v>
      </c>
      <c r="D161" s="4"/>
    </row>
    <row r="162" spans="1:4" x14ac:dyDescent="0.2">
      <c r="A162" t="s">
        <v>777</v>
      </c>
      <c r="B162" s="223">
        <v>7</v>
      </c>
      <c r="C162" t="s">
        <v>649</v>
      </c>
      <c r="D162" s="4"/>
    </row>
    <row r="163" spans="1:4" x14ac:dyDescent="0.2">
      <c r="D163" s="4"/>
    </row>
    <row r="164" spans="1:4" s="14" customFormat="1" x14ac:dyDescent="0.2">
      <c r="A164" s="224" t="s">
        <v>783</v>
      </c>
      <c r="B164">
        <v>1</v>
      </c>
      <c r="C164" t="s">
        <v>752</v>
      </c>
      <c r="D164" s="5"/>
    </row>
    <row r="165" spans="1:4" s="14" customFormat="1" x14ac:dyDescent="0.2">
      <c r="A165" s="224" t="s">
        <v>783</v>
      </c>
      <c r="B165">
        <v>2</v>
      </c>
      <c r="C165" t="s">
        <v>753</v>
      </c>
      <c r="D165" s="5"/>
    </row>
    <row r="166" spans="1:4" s="14" customFormat="1" x14ac:dyDescent="0.2">
      <c r="A166" s="224" t="s">
        <v>783</v>
      </c>
      <c r="B166">
        <v>3</v>
      </c>
      <c r="C166" t="s">
        <v>754</v>
      </c>
      <c r="D166" s="5"/>
    </row>
    <row r="167" spans="1:4" s="14" customFormat="1" x14ac:dyDescent="0.2">
      <c r="A167" s="224" t="s">
        <v>783</v>
      </c>
      <c r="B167">
        <v>4</v>
      </c>
      <c r="C167" t="s">
        <v>755</v>
      </c>
      <c r="D167" s="5"/>
    </row>
    <row r="168" spans="1:4" s="14" customFormat="1" x14ac:dyDescent="0.2">
      <c r="A168" s="224" t="s">
        <v>783</v>
      </c>
      <c r="B168">
        <v>5</v>
      </c>
      <c r="C168" t="s">
        <v>756</v>
      </c>
      <c r="D168" s="5"/>
    </row>
    <row r="169" spans="1:4" s="14" customFormat="1" x14ac:dyDescent="0.2">
      <c r="A169" s="224" t="s">
        <v>783</v>
      </c>
      <c r="B169">
        <v>6</v>
      </c>
      <c r="C169" t="s">
        <v>757</v>
      </c>
      <c r="D169" s="5"/>
    </row>
    <row r="170" spans="1:4" s="14" customFormat="1" x14ac:dyDescent="0.2">
      <c r="A170" s="224" t="s">
        <v>783</v>
      </c>
      <c r="B170">
        <v>7</v>
      </c>
      <c r="C170" t="s">
        <v>758</v>
      </c>
      <c r="D170" s="5"/>
    </row>
    <row r="171" spans="1:4" s="14" customFormat="1" x14ac:dyDescent="0.2">
      <c r="A171" s="224" t="s">
        <v>783</v>
      </c>
      <c r="B171">
        <v>8</v>
      </c>
      <c r="C171" t="s">
        <v>759</v>
      </c>
      <c r="D171" s="5"/>
    </row>
    <row r="172" spans="1:4" s="14" customFormat="1" x14ac:dyDescent="0.2">
      <c r="A172" s="224" t="s">
        <v>783</v>
      </c>
      <c r="B172">
        <v>9</v>
      </c>
      <c r="C172" t="s">
        <v>760</v>
      </c>
      <c r="D172" s="5"/>
    </row>
    <row r="173" spans="1:4" s="14" customFormat="1" x14ac:dyDescent="0.2">
      <c r="A173" s="224" t="s">
        <v>783</v>
      </c>
      <c r="B173">
        <v>10</v>
      </c>
      <c r="C173" t="s">
        <v>761</v>
      </c>
      <c r="D173" s="5"/>
    </row>
    <row r="174" spans="1:4" s="14" customFormat="1" x14ac:dyDescent="0.2">
      <c r="A174" s="224" t="s">
        <v>783</v>
      </c>
      <c r="B174">
        <v>11</v>
      </c>
      <c r="C174" t="s">
        <v>762</v>
      </c>
      <c r="D174" s="5"/>
    </row>
    <row r="175" spans="1:4" s="14" customFormat="1" x14ac:dyDescent="0.2">
      <c r="A175" s="224" t="s">
        <v>783</v>
      </c>
      <c r="B175">
        <v>12</v>
      </c>
      <c r="C175" t="s">
        <v>763</v>
      </c>
      <c r="D175" s="5"/>
    </row>
    <row r="176" spans="1:4" s="14" customFormat="1" x14ac:dyDescent="0.2">
      <c r="A176" s="224" t="s">
        <v>783</v>
      </c>
      <c r="B176">
        <v>13</v>
      </c>
      <c r="C176" t="s">
        <v>764</v>
      </c>
      <c r="D176" s="5"/>
    </row>
    <row r="177" spans="1:4" s="14" customFormat="1" x14ac:dyDescent="0.2">
      <c r="A177" s="224" t="s">
        <v>783</v>
      </c>
      <c r="B177">
        <v>14</v>
      </c>
      <c r="C177" t="s">
        <v>765</v>
      </c>
      <c r="D177" s="5"/>
    </row>
    <row r="178" spans="1:4" s="14" customFormat="1" x14ac:dyDescent="0.2">
      <c r="A178" s="224" t="s">
        <v>783</v>
      </c>
      <c r="B178" s="224">
        <v>15</v>
      </c>
      <c r="C178" s="224" t="s">
        <v>766</v>
      </c>
      <c r="D178" s="5"/>
    </row>
    <row r="179" spans="1:4" s="14" customFormat="1" x14ac:dyDescent="0.2">
      <c r="A179" s="224" t="s">
        <v>783</v>
      </c>
      <c r="B179" s="224">
        <v>16</v>
      </c>
      <c r="C179" s="224" t="s">
        <v>767</v>
      </c>
      <c r="D179" s="5"/>
    </row>
    <row r="180" spans="1:4" s="14" customFormat="1" x14ac:dyDescent="0.2">
      <c r="A180" s="224" t="s">
        <v>783</v>
      </c>
      <c r="B180" s="224">
        <v>17</v>
      </c>
      <c r="C180" s="224" t="s">
        <v>768</v>
      </c>
      <c r="D180" s="5"/>
    </row>
    <row r="181" spans="1:4" s="14" customFormat="1" x14ac:dyDescent="0.2">
      <c r="A181" s="224" t="s">
        <v>783</v>
      </c>
      <c r="B181" s="224">
        <v>18</v>
      </c>
      <c r="C181" s="224" t="s">
        <v>784</v>
      </c>
      <c r="D181" s="5"/>
    </row>
    <row r="182" spans="1:4" s="14" customFormat="1" x14ac:dyDescent="0.2">
      <c r="A182" s="224" t="s">
        <v>783</v>
      </c>
      <c r="B182" s="224">
        <v>19</v>
      </c>
      <c r="C182" s="224" t="s">
        <v>785</v>
      </c>
      <c r="D182" s="5"/>
    </row>
    <row r="183" spans="1:4" s="14" customFormat="1" x14ac:dyDescent="0.2">
      <c r="A183" s="224" t="s">
        <v>783</v>
      </c>
      <c r="B183" s="223">
        <v>20</v>
      </c>
      <c r="C183" s="224" t="s">
        <v>648</v>
      </c>
      <c r="D183" s="5"/>
    </row>
    <row r="184" spans="1:4" s="14" customFormat="1" x14ac:dyDescent="0.2">
      <c r="A184" s="224" t="s">
        <v>783</v>
      </c>
      <c r="B184" s="223">
        <v>21</v>
      </c>
      <c r="C184" s="224" t="s">
        <v>649</v>
      </c>
      <c r="D184" s="5"/>
    </row>
    <row r="185" spans="1:4" s="14" customFormat="1" x14ac:dyDescent="0.2">
      <c r="D185" s="5"/>
    </row>
    <row r="186" spans="1:4" s="14" customFormat="1" x14ac:dyDescent="0.2">
      <c r="A186" s="224" t="s">
        <v>786</v>
      </c>
      <c r="B186">
        <v>1</v>
      </c>
      <c r="C186" t="s">
        <v>752</v>
      </c>
      <c r="D186" s="5"/>
    </row>
    <row r="187" spans="1:4" s="14" customFormat="1" x14ac:dyDescent="0.2">
      <c r="A187" s="224" t="s">
        <v>786</v>
      </c>
      <c r="B187">
        <v>2</v>
      </c>
      <c r="C187" t="s">
        <v>753</v>
      </c>
      <c r="D187" s="5"/>
    </row>
    <row r="188" spans="1:4" s="14" customFormat="1" x14ac:dyDescent="0.2">
      <c r="A188" s="224" t="s">
        <v>786</v>
      </c>
      <c r="B188">
        <v>3</v>
      </c>
      <c r="C188" t="s">
        <v>754</v>
      </c>
      <c r="D188" s="5"/>
    </row>
    <row r="189" spans="1:4" s="14" customFormat="1" x14ac:dyDescent="0.2">
      <c r="A189" s="224" t="s">
        <v>786</v>
      </c>
      <c r="B189">
        <v>4</v>
      </c>
      <c r="C189" t="s">
        <v>755</v>
      </c>
      <c r="D189" s="5"/>
    </row>
    <row r="190" spans="1:4" s="14" customFormat="1" x14ac:dyDescent="0.2">
      <c r="A190" s="224" t="s">
        <v>786</v>
      </c>
      <c r="B190">
        <v>5</v>
      </c>
      <c r="C190" t="s">
        <v>756</v>
      </c>
      <c r="D190" s="5"/>
    </row>
    <row r="191" spans="1:4" s="14" customFormat="1" x14ac:dyDescent="0.2">
      <c r="A191" s="224" t="s">
        <v>786</v>
      </c>
      <c r="B191">
        <v>6</v>
      </c>
      <c r="C191" t="s">
        <v>757</v>
      </c>
      <c r="D191" s="5"/>
    </row>
    <row r="192" spans="1:4" s="14" customFormat="1" x14ac:dyDescent="0.2">
      <c r="A192" s="224" t="s">
        <v>786</v>
      </c>
      <c r="B192">
        <v>7</v>
      </c>
      <c r="C192" t="s">
        <v>758</v>
      </c>
      <c r="D192" s="5"/>
    </row>
    <row r="193" spans="1:4" s="14" customFormat="1" x14ac:dyDescent="0.2">
      <c r="A193" s="224" t="s">
        <v>786</v>
      </c>
      <c r="B193">
        <v>8</v>
      </c>
      <c r="C193" t="s">
        <v>759</v>
      </c>
      <c r="D193" s="5"/>
    </row>
    <row r="194" spans="1:4" s="14" customFormat="1" x14ac:dyDescent="0.2">
      <c r="A194" s="224" t="s">
        <v>786</v>
      </c>
      <c r="B194">
        <v>9</v>
      </c>
      <c r="C194" t="s">
        <v>760</v>
      </c>
      <c r="D194" s="5"/>
    </row>
    <row r="195" spans="1:4" s="14" customFormat="1" x14ac:dyDescent="0.2">
      <c r="A195" s="224" t="s">
        <v>786</v>
      </c>
      <c r="B195">
        <v>10</v>
      </c>
      <c r="C195" t="s">
        <v>761</v>
      </c>
      <c r="D195" s="5"/>
    </row>
    <row r="196" spans="1:4" s="14" customFormat="1" x14ac:dyDescent="0.2">
      <c r="A196" s="224" t="s">
        <v>786</v>
      </c>
      <c r="B196">
        <v>11</v>
      </c>
      <c r="C196" t="s">
        <v>762</v>
      </c>
      <c r="D196" s="5"/>
    </row>
    <row r="197" spans="1:4" s="14" customFormat="1" x14ac:dyDescent="0.2">
      <c r="A197" s="224" t="s">
        <v>786</v>
      </c>
      <c r="B197">
        <v>12</v>
      </c>
      <c r="C197" t="s">
        <v>763</v>
      </c>
      <c r="D197" s="5"/>
    </row>
    <row r="198" spans="1:4" s="14" customFormat="1" x14ac:dyDescent="0.2">
      <c r="A198" s="224" t="s">
        <v>786</v>
      </c>
      <c r="B198">
        <v>13</v>
      </c>
      <c r="C198" t="s">
        <v>764</v>
      </c>
      <c r="D198" s="5"/>
    </row>
    <row r="199" spans="1:4" s="14" customFormat="1" x14ac:dyDescent="0.2">
      <c r="A199" s="224" t="s">
        <v>786</v>
      </c>
      <c r="B199">
        <v>14</v>
      </c>
      <c r="C199" t="s">
        <v>765</v>
      </c>
      <c r="D199" s="5"/>
    </row>
    <row r="200" spans="1:4" s="14" customFormat="1" x14ac:dyDescent="0.2">
      <c r="A200" s="224" t="s">
        <v>786</v>
      </c>
      <c r="B200" s="224">
        <v>15</v>
      </c>
      <c r="C200" s="224" t="s">
        <v>766</v>
      </c>
      <c r="D200" s="5"/>
    </row>
    <row r="201" spans="1:4" s="14" customFormat="1" x14ac:dyDescent="0.2">
      <c r="A201" s="224" t="s">
        <v>786</v>
      </c>
      <c r="B201" s="224">
        <v>16</v>
      </c>
      <c r="C201" s="224" t="s">
        <v>767</v>
      </c>
      <c r="D201" s="5"/>
    </row>
    <row r="202" spans="1:4" s="14" customFormat="1" x14ac:dyDescent="0.2">
      <c r="A202" s="224" t="s">
        <v>786</v>
      </c>
      <c r="B202" s="224">
        <v>17</v>
      </c>
      <c r="C202" s="224" t="s">
        <v>768</v>
      </c>
      <c r="D202" s="5"/>
    </row>
    <row r="203" spans="1:4" s="14" customFormat="1" x14ac:dyDescent="0.2">
      <c r="A203" s="224" t="s">
        <v>786</v>
      </c>
      <c r="B203" s="224">
        <v>18</v>
      </c>
      <c r="C203" s="224" t="s">
        <v>787</v>
      </c>
      <c r="D203" s="5"/>
    </row>
    <row r="204" spans="1:4" s="14" customFormat="1" x14ac:dyDescent="0.2">
      <c r="A204" s="224" t="s">
        <v>786</v>
      </c>
      <c r="B204" s="224">
        <v>19</v>
      </c>
      <c r="C204" s="224" t="s">
        <v>788</v>
      </c>
      <c r="D204" s="5"/>
    </row>
    <row r="205" spans="1:4" s="14" customFormat="1" x14ac:dyDescent="0.2">
      <c r="A205" s="224" t="s">
        <v>786</v>
      </c>
      <c r="B205" s="223">
        <v>20</v>
      </c>
      <c r="C205" s="224" t="s">
        <v>648</v>
      </c>
      <c r="D205" s="5"/>
    </row>
    <row r="206" spans="1:4" s="14" customFormat="1" x14ac:dyDescent="0.2">
      <c r="A206" s="224" t="s">
        <v>786</v>
      </c>
      <c r="B206" s="223">
        <v>21</v>
      </c>
      <c r="C206" s="224" t="s">
        <v>649</v>
      </c>
      <c r="D206" s="5"/>
    </row>
    <row r="207" spans="1:4" s="12" customFormat="1" x14ac:dyDescent="0.2">
      <c r="D207" s="8"/>
    </row>
    <row r="208" spans="1:4" x14ac:dyDescent="0.2">
      <c r="A208" t="s">
        <v>235</v>
      </c>
      <c r="B208" t="s">
        <v>789</v>
      </c>
      <c r="C208" t="s">
        <v>790</v>
      </c>
      <c r="D208" s="4"/>
    </row>
    <row r="209" spans="1:4" x14ac:dyDescent="0.2">
      <c r="A209" t="s">
        <v>235</v>
      </c>
      <c r="B209" t="s">
        <v>791</v>
      </c>
      <c r="C209" t="s">
        <v>792</v>
      </c>
      <c r="D209" s="4"/>
    </row>
    <row r="210" spans="1:4" x14ac:dyDescent="0.2">
      <c r="A210" t="s">
        <v>235</v>
      </c>
      <c r="B210" t="s">
        <v>793</v>
      </c>
      <c r="C210" t="s">
        <v>794</v>
      </c>
      <c r="D210" s="4"/>
    </row>
    <row r="211" spans="1:4" x14ac:dyDescent="0.2">
      <c r="A211" t="s">
        <v>235</v>
      </c>
      <c r="B211" t="s">
        <v>795</v>
      </c>
      <c r="C211" t="s">
        <v>796</v>
      </c>
      <c r="D211" s="4"/>
    </row>
    <row r="212" spans="1:4" x14ac:dyDescent="0.2">
      <c r="A212" t="s">
        <v>235</v>
      </c>
      <c r="B212" t="s">
        <v>797</v>
      </c>
      <c r="C212" t="s">
        <v>798</v>
      </c>
      <c r="D212" s="4"/>
    </row>
    <row r="213" spans="1:4" x14ac:dyDescent="0.2">
      <c r="A213" t="s">
        <v>235</v>
      </c>
      <c r="B213" t="s">
        <v>799</v>
      </c>
      <c r="C213" t="s">
        <v>800</v>
      </c>
      <c r="D213" s="4"/>
    </row>
    <row r="214" spans="1:4" x14ac:dyDescent="0.2">
      <c r="A214" t="s">
        <v>235</v>
      </c>
      <c r="B214" t="s">
        <v>801</v>
      </c>
      <c r="C214" t="s">
        <v>802</v>
      </c>
      <c r="D214" s="4"/>
    </row>
    <row r="215" spans="1:4" x14ac:dyDescent="0.2">
      <c r="A215" t="s">
        <v>235</v>
      </c>
      <c r="B215" t="s">
        <v>803</v>
      </c>
      <c r="C215" t="s">
        <v>804</v>
      </c>
      <c r="D215" s="4"/>
    </row>
    <row r="216" spans="1:4" x14ac:dyDescent="0.2">
      <c r="A216" t="s">
        <v>235</v>
      </c>
      <c r="B216" t="s">
        <v>805</v>
      </c>
      <c r="C216" t="s">
        <v>806</v>
      </c>
      <c r="D216" s="4"/>
    </row>
    <row r="217" spans="1:4" x14ac:dyDescent="0.2">
      <c r="A217" t="s">
        <v>235</v>
      </c>
      <c r="B217" t="s">
        <v>807</v>
      </c>
      <c r="C217" t="s">
        <v>808</v>
      </c>
      <c r="D217" s="4"/>
    </row>
    <row r="218" spans="1:4" x14ac:dyDescent="0.2">
      <c r="A218" t="s">
        <v>235</v>
      </c>
      <c r="B218" t="s">
        <v>809</v>
      </c>
      <c r="C218" t="s">
        <v>810</v>
      </c>
      <c r="D218" s="4"/>
    </row>
    <row r="219" spans="1:4" x14ac:dyDescent="0.2">
      <c r="A219" t="s">
        <v>235</v>
      </c>
      <c r="B219" t="s">
        <v>811</v>
      </c>
      <c r="C219" t="s">
        <v>812</v>
      </c>
      <c r="D219" s="4"/>
    </row>
    <row r="220" spans="1:4" x14ac:dyDescent="0.2">
      <c r="A220" t="s">
        <v>235</v>
      </c>
      <c r="B220" t="s">
        <v>813</v>
      </c>
      <c r="C220" t="s">
        <v>814</v>
      </c>
      <c r="D220" s="4"/>
    </row>
    <row r="221" spans="1:4" x14ac:dyDescent="0.2">
      <c r="A221" t="s">
        <v>235</v>
      </c>
      <c r="B221" t="s">
        <v>815</v>
      </c>
      <c r="C221" t="s">
        <v>816</v>
      </c>
      <c r="D221" s="4"/>
    </row>
    <row r="222" spans="1:4" x14ac:dyDescent="0.2">
      <c r="A222" t="s">
        <v>235</v>
      </c>
      <c r="B222" t="s">
        <v>817</v>
      </c>
      <c r="C222" t="s">
        <v>818</v>
      </c>
      <c r="D222" s="4"/>
    </row>
    <row r="223" spans="1:4" x14ac:dyDescent="0.2">
      <c r="A223" t="s">
        <v>235</v>
      </c>
      <c r="B223" t="s">
        <v>819</v>
      </c>
      <c r="C223" t="s">
        <v>820</v>
      </c>
      <c r="D223" s="4"/>
    </row>
    <row r="224" spans="1:4" x14ac:dyDescent="0.2">
      <c r="A224" t="s">
        <v>235</v>
      </c>
      <c r="B224" t="s">
        <v>821</v>
      </c>
      <c r="C224" t="s">
        <v>822</v>
      </c>
      <c r="D224" s="4"/>
    </row>
    <row r="225" spans="1:4" x14ac:dyDescent="0.2">
      <c r="A225" t="s">
        <v>235</v>
      </c>
      <c r="B225" t="s">
        <v>823</v>
      </c>
      <c r="C225" t="s">
        <v>824</v>
      </c>
      <c r="D225" s="4"/>
    </row>
    <row r="226" spans="1:4" x14ac:dyDescent="0.2">
      <c r="A226" t="s">
        <v>235</v>
      </c>
      <c r="B226" t="s">
        <v>825</v>
      </c>
      <c r="C226" t="s">
        <v>826</v>
      </c>
      <c r="D226" s="4"/>
    </row>
    <row r="227" spans="1:4" x14ac:dyDescent="0.2">
      <c r="A227" t="s">
        <v>235</v>
      </c>
      <c r="B227" t="s">
        <v>827</v>
      </c>
      <c r="C227" t="s">
        <v>828</v>
      </c>
      <c r="D227" s="4"/>
    </row>
    <row r="228" spans="1:4" x14ac:dyDescent="0.2">
      <c r="A228" t="s">
        <v>235</v>
      </c>
      <c r="B228" t="s">
        <v>829</v>
      </c>
      <c r="C228" t="s">
        <v>830</v>
      </c>
      <c r="D228" s="4"/>
    </row>
    <row r="229" spans="1:4" x14ac:dyDescent="0.2">
      <c r="A229" t="s">
        <v>235</v>
      </c>
      <c r="B229" t="s">
        <v>831</v>
      </c>
      <c r="C229" t="s">
        <v>832</v>
      </c>
      <c r="D229" s="4"/>
    </row>
    <row r="230" spans="1:4" x14ac:dyDescent="0.2">
      <c r="A230" t="s">
        <v>235</v>
      </c>
      <c r="B230" t="s">
        <v>833</v>
      </c>
      <c r="C230" t="s">
        <v>834</v>
      </c>
      <c r="D230" s="4"/>
    </row>
    <row r="231" spans="1:4" x14ac:dyDescent="0.2">
      <c r="A231" t="s">
        <v>235</v>
      </c>
      <c r="B231" t="s">
        <v>835</v>
      </c>
      <c r="C231" t="s">
        <v>836</v>
      </c>
      <c r="D231" s="4"/>
    </row>
    <row r="232" spans="1:4" x14ac:dyDescent="0.2">
      <c r="A232" t="s">
        <v>235</v>
      </c>
      <c r="B232" t="s">
        <v>837</v>
      </c>
      <c r="C232" t="s">
        <v>838</v>
      </c>
      <c r="D232" s="4"/>
    </row>
    <row r="233" spans="1:4" x14ac:dyDescent="0.2">
      <c r="A233" t="s">
        <v>235</v>
      </c>
      <c r="B233" t="s">
        <v>721</v>
      </c>
      <c r="C233" t="s">
        <v>648</v>
      </c>
      <c r="D233" s="4"/>
    </row>
    <row r="234" spans="1:4" x14ac:dyDescent="0.2">
      <c r="A234" t="s">
        <v>235</v>
      </c>
      <c r="B234" t="s">
        <v>722</v>
      </c>
      <c r="C234" t="s">
        <v>649</v>
      </c>
      <c r="D234" s="4"/>
    </row>
    <row r="235" spans="1:4" x14ac:dyDescent="0.2">
      <c r="D235" s="4"/>
    </row>
    <row r="236" spans="1:4" x14ac:dyDescent="0.2">
      <c r="A236" t="s">
        <v>839</v>
      </c>
      <c r="B236" t="s">
        <v>840</v>
      </c>
      <c r="C236" t="s">
        <v>841</v>
      </c>
      <c r="D236" s="4"/>
    </row>
    <row r="237" spans="1:4" x14ac:dyDescent="0.2">
      <c r="A237" t="s">
        <v>839</v>
      </c>
      <c r="B237" t="s">
        <v>842</v>
      </c>
      <c r="C237" t="s">
        <v>843</v>
      </c>
      <c r="D237" s="4"/>
    </row>
    <row r="238" spans="1:4" x14ac:dyDescent="0.2">
      <c r="A238" t="s">
        <v>839</v>
      </c>
      <c r="B238" t="s">
        <v>844</v>
      </c>
      <c r="C238" t="s">
        <v>845</v>
      </c>
      <c r="D238" s="4"/>
    </row>
    <row r="239" spans="1:4" x14ac:dyDescent="0.2">
      <c r="A239" t="s">
        <v>839</v>
      </c>
      <c r="B239" t="s">
        <v>846</v>
      </c>
      <c r="C239" t="s">
        <v>847</v>
      </c>
      <c r="D239" s="4"/>
    </row>
    <row r="240" spans="1:4" x14ac:dyDescent="0.2">
      <c r="A240" t="s">
        <v>839</v>
      </c>
      <c r="B240" t="s">
        <v>848</v>
      </c>
      <c r="C240" t="s">
        <v>849</v>
      </c>
      <c r="D240" s="4"/>
    </row>
    <row r="241" spans="1:4" x14ac:dyDescent="0.2">
      <c r="A241" t="s">
        <v>839</v>
      </c>
      <c r="B241" t="s">
        <v>850</v>
      </c>
      <c r="C241" t="s">
        <v>851</v>
      </c>
      <c r="D241" s="4"/>
    </row>
    <row r="242" spans="1:4" x14ac:dyDescent="0.2">
      <c r="A242" t="s">
        <v>839</v>
      </c>
      <c r="B242" t="s">
        <v>852</v>
      </c>
      <c r="C242" t="s">
        <v>853</v>
      </c>
      <c r="D242" s="4"/>
    </row>
    <row r="243" spans="1:4" x14ac:dyDescent="0.2">
      <c r="A243" t="s">
        <v>839</v>
      </c>
      <c r="B243" t="s">
        <v>854</v>
      </c>
      <c r="C243" t="s">
        <v>855</v>
      </c>
      <c r="D243" s="4"/>
    </row>
    <row r="244" spans="1:4" x14ac:dyDescent="0.2">
      <c r="A244" t="s">
        <v>839</v>
      </c>
      <c r="B244" t="s">
        <v>717</v>
      </c>
      <c r="C244" t="s">
        <v>856</v>
      </c>
      <c r="D244" s="4"/>
    </row>
    <row r="245" spans="1:4" x14ac:dyDescent="0.2">
      <c r="A245" t="s">
        <v>839</v>
      </c>
      <c r="B245" t="s">
        <v>719</v>
      </c>
      <c r="C245" t="s">
        <v>857</v>
      </c>
      <c r="D245" s="4"/>
    </row>
    <row r="246" spans="1:4" x14ac:dyDescent="0.2">
      <c r="A246" t="s">
        <v>839</v>
      </c>
      <c r="B246" t="s">
        <v>721</v>
      </c>
      <c r="C246" t="s">
        <v>648</v>
      </c>
      <c r="D246" s="4"/>
    </row>
    <row r="247" spans="1:4" x14ac:dyDescent="0.2">
      <c r="A247" t="s">
        <v>839</v>
      </c>
      <c r="B247" t="s">
        <v>722</v>
      </c>
      <c r="C247" t="s">
        <v>649</v>
      </c>
      <c r="D247" s="4"/>
    </row>
    <row r="248" spans="1:4" x14ac:dyDescent="0.2">
      <c r="D248" s="4"/>
    </row>
    <row r="249" spans="1:4" s="13" customFormat="1" x14ac:dyDescent="0.2">
      <c r="A249" s="224" t="s">
        <v>858</v>
      </c>
      <c r="B249" s="224">
        <v>1</v>
      </c>
      <c r="C249" s="224" t="s">
        <v>859</v>
      </c>
      <c r="D249" s="15"/>
    </row>
    <row r="250" spans="1:4" s="13" customFormat="1" x14ac:dyDescent="0.2">
      <c r="A250" s="224" t="s">
        <v>858</v>
      </c>
      <c r="B250" s="224">
        <v>2</v>
      </c>
      <c r="C250" s="224" t="s">
        <v>860</v>
      </c>
      <c r="D250" s="15"/>
    </row>
    <row r="251" spans="1:4" s="13" customFormat="1" x14ac:dyDescent="0.2">
      <c r="A251" s="224" t="s">
        <v>858</v>
      </c>
      <c r="B251" s="224">
        <v>3</v>
      </c>
      <c r="C251" s="224" t="s">
        <v>861</v>
      </c>
      <c r="D251" s="15"/>
    </row>
    <row r="252" spans="1:4" s="13" customFormat="1" x14ac:dyDescent="0.2">
      <c r="A252" s="224" t="s">
        <v>858</v>
      </c>
      <c r="B252" s="224">
        <v>4</v>
      </c>
      <c r="C252" s="224" t="s">
        <v>862</v>
      </c>
      <c r="D252" s="15"/>
    </row>
    <row r="253" spans="1:4" s="13" customFormat="1" x14ac:dyDescent="0.2">
      <c r="D253" s="15"/>
    </row>
    <row r="254" spans="1:4" s="14" customFormat="1" x14ac:dyDescent="0.2">
      <c r="A254" s="224" t="s">
        <v>863</v>
      </c>
      <c r="B254" s="224">
        <v>1</v>
      </c>
      <c r="C254" s="224" t="s">
        <v>864</v>
      </c>
      <c r="D254" s="5"/>
    </row>
    <row r="255" spans="1:4" s="14" customFormat="1" x14ac:dyDescent="0.2">
      <c r="A255" s="224" t="s">
        <v>863</v>
      </c>
      <c r="B255" s="224">
        <v>2</v>
      </c>
      <c r="C255" s="224" t="s">
        <v>865</v>
      </c>
      <c r="D255" s="5"/>
    </row>
    <row r="256" spans="1:4" s="13" customFormat="1" x14ac:dyDescent="0.2">
      <c r="D256" s="15"/>
    </row>
    <row r="257" spans="1:4" s="13" customFormat="1" x14ac:dyDescent="0.2">
      <c r="A257" s="224" t="s">
        <v>866</v>
      </c>
      <c r="B257" s="224">
        <v>1</v>
      </c>
      <c r="C257" s="224" t="s">
        <v>867</v>
      </c>
      <c r="D257" s="15"/>
    </row>
    <row r="258" spans="1:4" s="13" customFormat="1" x14ac:dyDescent="0.2">
      <c r="A258" s="224" t="s">
        <v>866</v>
      </c>
      <c r="B258" s="224">
        <v>2</v>
      </c>
      <c r="C258" s="224" t="s">
        <v>868</v>
      </c>
      <c r="D258" s="15"/>
    </row>
    <row r="259" spans="1:4" s="13" customFormat="1" x14ac:dyDescent="0.2">
      <c r="A259" s="224" t="s">
        <v>866</v>
      </c>
      <c r="B259" s="224">
        <v>3</v>
      </c>
      <c r="C259" s="224" t="s">
        <v>869</v>
      </c>
      <c r="D259" s="15"/>
    </row>
    <row r="260" spans="1:4" s="13" customFormat="1" x14ac:dyDescent="0.2">
      <c r="A260" s="224" t="s">
        <v>866</v>
      </c>
      <c r="B260" s="224">
        <v>4</v>
      </c>
      <c r="C260" s="224" t="s">
        <v>870</v>
      </c>
      <c r="D260" s="15"/>
    </row>
    <row r="261" spans="1:4" s="13" customFormat="1" x14ac:dyDescent="0.2">
      <c r="A261" s="224" t="s">
        <v>866</v>
      </c>
      <c r="B261" s="224">
        <v>5</v>
      </c>
      <c r="C261" s="224" t="s">
        <v>871</v>
      </c>
      <c r="D261" s="15"/>
    </row>
    <row r="262" spans="1:4" s="13" customFormat="1" x14ac:dyDescent="0.2">
      <c r="A262" s="224" t="s">
        <v>866</v>
      </c>
      <c r="B262" s="224">
        <v>6</v>
      </c>
      <c r="C262" s="224" t="s">
        <v>856</v>
      </c>
      <c r="D262" s="15"/>
    </row>
    <row r="263" spans="1:4" s="13" customFormat="1" x14ac:dyDescent="0.2">
      <c r="A263" s="224" t="s">
        <v>866</v>
      </c>
      <c r="B263" s="224">
        <v>7</v>
      </c>
      <c r="C263" s="224" t="s">
        <v>648</v>
      </c>
      <c r="D263" s="15"/>
    </row>
    <row r="264" spans="1:4" s="13" customFormat="1" x14ac:dyDescent="0.2">
      <c r="A264" s="224" t="s">
        <v>866</v>
      </c>
      <c r="B264" s="224">
        <v>8</v>
      </c>
      <c r="C264" s="224" t="s">
        <v>649</v>
      </c>
      <c r="D264" s="15"/>
    </row>
    <row r="265" spans="1:4" x14ac:dyDescent="0.2">
      <c r="D265" s="4"/>
    </row>
    <row r="266" spans="1:4" s="13" customFormat="1" x14ac:dyDescent="0.2">
      <c r="A266" s="225" t="s">
        <v>872</v>
      </c>
      <c r="B266" s="225">
        <v>1</v>
      </c>
      <c r="C266" s="225" t="s">
        <v>873</v>
      </c>
      <c r="D266" s="15"/>
    </row>
    <row r="267" spans="1:4" s="13" customFormat="1" x14ac:dyDescent="0.2">
      <c r="A267" s="225" t="s">
        <v>872</v>
      </c>
      <c r="B267" s="225">
        <v>2</v>
      </c>
      <c r="C267" s="225" t="s">
        <v>874</v>
      </c>
      <c r="D267" s="15"/>
    </row>
    <row r="268" spans="1:4" s="13" customFormat="1" x14ac:dyDescent="0.2">
      <c r="A268" s="225" t="s">
        <v>872</v>
      </c>
      <c r="B268" s="225">
        <v>3</v>
      </c>
      <c r="C268" s="225" t="s">
        <v>875</v>
      </c>
      <c r="D268" s="15"/>
    </row>
    <row r="269" spans="1:4" s="13" customFormat="1" x14ac:dyDescent="0.2">
      <c r="A269" s="225" t="s">
        <v>872</v>
      </c>
      <c r="B269" s="225">
        <v>4</v>
      </c>
      <c r="C269" s="225" t="s">
        <v>876</v>
      </c>
      <c r="D269" s="15"/>
    </row>
    <row r="270" spans="1:4" s="13" customFormat="1" x14ac:dyDescent="0.2">
      <c r="A270" s="225" t="s">
        <v>872</v>
      </c>
      <c r="B270" s="225">
        <v>5</v>
      </c>
      <c r="C270" s="225" t="s">
        <v>877</v>
      </c>
      <c r="D270" s="15"/>
    </row>
    <row r="271" spans="1:4" s="13" customFormat="1" x14ac:dyDescent="0.2">
      <c r="A271" s="225" t="s">
        <v>872</v>
      </c>
      <c r="B271" s="225">
        <v>6</v>
      </c>
      <c r="C271" s="225" t="s">
        <v>648</v>
      </c>
      <c r="D271" s="15"/>
    </row>
    <row r="272" spans="1:4" s="13" customFormat="1" x14ac:dyDescent="0.2">
      <c r="A272" s="225" t="s">
        <v>872</v>
      </c>
      <c r="B272" s="225">
        <v>7</v>
      </c>
      <c r="C272" s="225" t="s">
        <v>649</v>
      </c>
      <c r="D272" s="15"/>
    </row>
    <row r="273" spans="1:4" x14ac:dyDescent="0.2">
      <c r="D273" s="4"/>
    </row>
    <row r="274" spans="1:4" s="13" customFormat="1" x14ac:dyDescent="0.2">
      <c r="A274" s="225" t="s">
        <v>878</v>
      </c>
      <c r="B274" s="225" t="s">
        <v>879</v>
      </c>
      <c r="C274" s="225" t="s">
        <v>880</v>
      </c>
      <c r="D274" s="15"/>
    </row>
    <row r="275" spans="1:4" s="13" customFormat="1" x14ac:dyDescent="0.2">
      <c r="A275" s="225" t="s">
        <v>878</v>
      </c>
      <c r="B275" s="225" t="s">
        <v>881</v>
      </c>
      <c r="C275" s="225" t="s">
        <v>882</v>
      </c>
      <c r="D275" s="15"/>
    </row>
    <row r="276" spans="1:4" s="13" customFormat="1" x14ac:dyDescent="0.2">
      <c r="A276" s="225" t="s">
        <v>878</v>
      </c>
      <c r="B276" s="225" t="s">
        <v>883</v>
      </c>
      <c r="C276" s="225" t="s">
        <v>884</v>
      </c>
      <c r="D276" s="15"/>
    </row>
    <row r="277" spans="1:4" s="13" customFormat="1" x14ac:dyDescent="0.2">
      <c r="A277" s="225" t="s">
        <v>878</v>
      </c>
      <c r="B277" s="225" t="s">
        <v>885</v>
      </c>
      <c r="C277" s="225" t="s">
        <v>886</v>
      </c>
      <c r="D277" s="15"/>
    </row>
    <row r="278" spans="1:4" s="13" customFormat="1" x14ac:dyDescent="0.2">
      <c r="A278" s="225" t="s">
        <v>878</v>
      </c>
      <c r="B278" s="225" t="s">
        <v>887</v>
      </c>
      <c r="C278" s="225" t="s">
        <v>888</v>
      </c>
      <c r="D278" s="15"/>
    </row>
    <row r="279" spans="1:4" s="13" customFormat="1" x14ac:dyDescent="0.2">
      <c r="A279" s="225" t="s">
        <v>878</v>
      </c>
      <c r="B279" s="225" t="s">
        <v>889</v>
      </c>
      <c r="C279" s="225" t="s">
        <v>890</v>
      </c>
      <c r="D279" s="15"/>
    </row>
    <row r="280" spans="1:4" s="13" customFormat="1" x14ac:dyDescent="0.2">
      <c r="A280" s="225" t="s">
        <v>878</v>
      </c>
      <c r="B280" s="225" t="s">
        <v>891</v>
      </c>
      <c r="C280" s="225" t="s">
        <v>892</v>
      </c>
      <c r="D280" s="15"/>
    </row>
    <row r="281" spans="1:4" s="13" customFormat="1" x14ac:dyDescent="0.2">
      <c r="A281" s="225" t="s">
        <v>878</v>
      </c>
      <c r="B281" s="225" t="s">
        <v>717</v>
      </c>
      <c r="C281" s="225" t="s">
        <v>893</v>
      </c>
      <c r="D281" s="15"/>
    </row>
    <row r="282" spans="1:4" s="13" customFormat="1" x14ac:dyDescent="0.2">
      <c r="A282" s="225" t="s">
        <v>878</v>
      </c>
      <c r="B282" s="225" t="s">
        <v>721</v>
      </c>
      <c r="C282" s="225" t="s">
        <v>648</v>
      </c>
      <c r="D282" s="15"/>
    </row>
    <row r="283" spans="1:4" s="13" customFormat="1" x14ac:dyDescent="0.2">
      <c r="A283" s="225" t="s">
        <v>878</v>
      </c>
      <c r="B283" s="225" t="s">
        <v>722</v>
      </c>
      <c r="C283" s="225" t="s">
        <v>649</v>
      </c>
      <c r="D283" s="15"/>
    </row>
    <row r="284" spans="1:4" x14ac:dyDescent="0.2">
      <c r="D284" s="4"/>
    </row>
    <row r="285" spans="1:4" x14ac:dyDescent="0.2">
      <c r="A285" s="225" t="s">
        <v>894</v>
      </c>
      <c r="B285" s="225">
        <v>1</v>
      </c>
      <c r="C285" s="225" t="s">
        <v>895</v>
      </c>
      <c r="D285" s="4"/>
    </row>
    <row r="286" spans="1:4" x14ac:dyDescent="0.2">
      <c r="A286" s="225" t="s">
        <v>894</v>
      </c>
      <c r="B286" s="225">
        <v>2</v>
      </c>
      <c r="C286" s="225" t="s">
        <v>896</v>
      </c>
      <c r="D286" s="4"/>
    </row>
    <row r="287" spans="1:4" x14ac:dyDescent="0.2">
      <c r="A287" s="225" t="s">
        <v>894</v>
      </c>
      <c r="B287" s="225">
        <v>3</v>
      </c>
      <c r="C287" s="225" t="s">
        <v>897</v>
      </c>
      <c r="D287" s="4"/>
    </row>
    <row r="288" spans="1:4" x14ac:dyDescent="0.2">
      <c r="A288" s="225" t="s">
        <v>894</v>
      </c>
      <c r="B288" s="225">
        <v>4</v>
      </c>
      <c r="C288" s="225" t="s">
        <v>898</v>
      </c>
      <c r="D288" s="4"/>
    </row>
    <row r="289" spans="1:4" x14ac:dyDescent="0.2">
      <c r="A289" s="225" t="s">
        <v>894</v>
      </c>
      <c r="B289" s="225">
        <v>5</v>
      </c>
      <c r="C289" s="225" t="s">
        <v>899</v>
      </c>
      <c r="D289" s="4"/>
    </row>
    <row r="290" spans="1:4" x14ac:dyDescent="0.2">
      <c r="A290" s="225" t="s">
        <v>894</v>
      </c>
      <c r="B290" s="225">
        <v>6</v>
      </c>
      <c r="C290" s="225" t="s">
        <v>900</v>
      </c>
      <c r="D290" s="4"/>
    </row>
    <row r="291" spans="1:4" x14ac:dyDescent="0.2">
      <c r="A291" s="225" t="s">
        <v>894</v>
      </c>
      <c r="B291" s="225">
        <v>7</v>
      </c>
      <c r="C291" s="225" t="s">
        <v>901</v>
      </c>
      <c r="D291" s="4"/>
    </row>
    <row r="292" spans="1:4" x14ac:dyDescent="0.2">
      <c r="A292" s="225" t="s">
        <v>894</v>
      </c>
      <c r="B292" s="225">
        <v>8</v>
      </c>
      <c r="C292" s="225" t="s">
        <v>902</v>
      </c>
      <c r="D292" s="4"/>
    </row>
    <row r="293" spans="1:4" x14ac:dyDescent="0.2">
      <c r="A293" s="225" t="s">
        <v>894</v>
      </c>
      <c r="B293" s="225">
        <v>9</v>
      </c>
      <c r="C293" s="225" t="s">
        <v>856</v>
      </c>
      <c r="D293" s="4"/>
    </row>
    <row r="294" spans="1:4" x14ac:dyDescent="0.2">
      <c r="D294" s="4"/>
    </row>
    <row r="295" spans="1:4" x14ac:dyDescent="0.2">
      <c r="A295" s="224" t="s">
        <v>903</v>
      </c>
      <c r="B295" s="224" t="s">
        <v>904</v>
      </c>
      <c r="C295" s="224" t="s">
        <v>905</v>
      </c>
      <c r="D295" s="4"/>
    </row>
    <row r="296" spans="1:4" x14ac:dyDescent="0.2">
      <c r="A296" s="224" t="s">
        <v>903</v>
      </c>
      <c r="B296" s="224" t="s">
        <v>906</v>
      </c>
      <c r="C296" s="224" t="s">
        <v>907</v>
      </c>
      <c r="D296" s="4"/>
    </row>
    <row r="297" spans="1:4" x14ac:dyDescent="0.2">
      <c r="A297" s="224" t="s">
        <v>903</v>
      </c>
      <c r="B297" s="224" t="s">
        <v>908</v>
      </c>
      <c r="C297" s="224" t="s">
        <v>909</v>
      </c>
      <c r="D297" s="4"/>
    </row>
    <row r="298" spans="1:4" x14ac:dyDescent="0.2">
      <c r="A298" s="224" t="s">
        <v>903</v>
      </c>
      <c r="B298" s="224" t="s">
        <v>910</v>
      </c>
      <c r="C298" s="224" t="s">
        <v>911</v>
      </c>
      <c r="D298" s="4"/>
    </row>
    <row r="299" spans="1:4" x14ac:dyDescent="0.2">
      <c r="A299" s="224" t="s">
        <v>903</v>
      </c>
      <c r="B299" s="224" t="s">
        <v>912</v>
      </c>
      <c r="C299" s="224" t="s">
        <v>913</v>
      </c>
      <c r="D299" s="4"/>
    </row>
    <row r="300" spans="1:4" x14ac:dyDescent="0.2">
      <c r="A300" s="224" t="s">
        <v>903</v>
      </c>
      <c r="B300" s="224" t="s">
        <v>914</v>
      </c>
      <c r="C300" s="224" t="s">
        <v>915</v>
      </c>
      <c r="D300" s="4"/>
    </row>
    <row r="301" spans="1:4" x14ac:dyDescent="0.2">
      <c r="A301" s="224" t="s">
        <v>903</v>
      </c>
      <c r="B301" s="224" t="s">
        <v>916</v>
      </c>
      <c r="C301" s="224" t="s">
        <v>917</v>
      </c>
      <c r="D301" s="4"/>
    </row>
    <row r="302" spans="1:4" x14ac:dyDescent="0.2">
      <c r="A302" s="224" t="s">
        <v>903</v>
      </c>
      <c r="B302" s="224" t="s">
        <v>918</v>
      </c>
      <c r="C302" s="224" t="s">
        <v>919</v>
      </c>
      <c r="D302" s="4"/>
    </row>
    <row r="303" spans="1:4" x14ac:dyDescent="0.2">
      <c r="A303" s="224" t="s">
        <v>903</v>
      </c>
      <c r="B303" s="224" t="s">
        <v>920</v>
      </c>
      <c r="C303" s="224" t="s">
        <v>921</v>
      </c>
      <c r="D303" s="4"/>
    </row>
    <row r="304" spans="1:4" x14ac:dyDescent="0.2">
      <c r="A304" s="224" t="s">
        <v>903</v>
      </c>
      <c r="B304" s="224" t="s">
        <v>922</v>
      </c>
      <c r="C304" s="224" t="s">
        <v>923</v>
      </c>
      <c r="D304" s="4"/>
    </row>
    <row r="305" spans="1:4" x14ac:dyDescent="0.2">
      <c r="A305" s="224" t="s">
        <v>903</v>
      </c>
      <c r="B305" s="224" t="s">
        <v>924</v>
      </c>
      <c r="C305" s="224" t="s">
        <v>925</v>
      </c>
      <c r="D305" s="4"/>
    </row>
    <row r="306" spans="1:4" x14ac:dyDescent="0.2">
      <c r="A306" s="224" t="s">
        <v>903</v>
      </c>
      <c r="B306" s="224" t="s">
        <v>926</v>
      </c>
      <c r="C306" s="224" t="s">
        <v>927</v>
      </c>
      <c r="D306" s="4"/>
    </row>
    <row r="307" spans="1:4" x14ac:dyDescent="0.2">
      <c r="A307" s="224" t="s">
        <v>903</v>
      </c>
      <c r="B307" s="224" t="s">
        <v>928</v>
      </c>
      <c r="C307" s="224" t="s">
        <v>929</v>
      </c>
      <c r="D307" s="4"/>
    </row>
    <row r="308" spans="1:4" x14ac:dyDescent="0.2">
      <c r="A308" s="224" t="s">
        <v>903</v>
      </c>
      <c r="B308" s="224" t="s">
        <v>930</v>
      </c>
      <c r="C308" s="224" t="s">
        <v>931</v>
      </c>
      <c r="D308" s="4"/>
    </row>
    <row r="309" spans="1:4" x14ac:dyDescent="0.2">
      <c r="A309" s="224" t="s">
        <v>903</v>
      </c>
      <c r="B309" s="224" t="s">
        <v>932</v>
      </c>
      <c r="C309" s="224" t="s">
        <v>933</v>
      </c>
      <c r="D309" s="4"/>
    </row>
    <row r="310" spans="1:4" x14ac:dyDescent="0.2">
      <c r="A310" s="224" t="s">
        <v>903</v>
      </c>
      <c r="B310" s="224" t="s">
        <v>717</v>
      </c>
      <c r="C310" s="224" t="s">
        <v>893</v>
      </c>
      <c r="D310" s="4"/>
    </row>
    <row r="311" spans="1:4" x14ac:dyDescent="0.2">
      <c r="A311" s="224" t="s">
        <v>903</v>
      </c>
      <c r="B311" s="224" t="s">
        <v>721</v>
      </c>
      <c r="C311" s="224" t="s">
        <v>648</v>
      </c>
      <c r="D311" s="4"/>
    </row>
    <row r="312" spans="1:4" x14ac:dyDescent="0.2">
      <c r="A312" s="224" t="s">
        <v>903</v>
      </c>
      <c r="B312" s="224" t="s">
        <v>722</v>
      </c>
      <c r="C312" s="224" t="s">
        <v>649</v>
      </c>
      <c r="D312" s="4"/>
    </row>
    <row r="313" spans="1:4" x14ac:dyDescent="0.2">
      <c r="D313" s="4"/>
    </row>
    <row r="314" spans="1:4" s="13" customFormat="1" x14ac:dyDescent="0.2">
      <c r="A314" s="225" t="s">
        <v>934</v>
      </c>
      <c r="B314" s="225">
        <v>1</v>
      </c>
      <c r="C314" s="225" t="s">
        <v>935</v>
      </c>
      <c r="D314" s="15"/>
    </row>
    <row r="315" spans="1:4" s="13" customFormat="1" x14ac:dyDescent="0.2">
      <c r="A315" s="225" t="s">
        <v>934</v>
      </c>
      <c r="B315" s="225">
        <v>2</v>
      </c>
      <c r="C315" s="225" t="s">
        <v>936</v>
      </c>
      <c r="D315" s="15"/>
    </row>
    <row r="316" spans="1:4" s="13" customFormat="1" x14ac:dyDescent="0.2">
      <c r="A316" s="225" t="s">
        <v>934</v>
      </c>
      <c r="B316" s="225">
        <v>3</v>
      </c>
      <c r="C316" s="225" t="s">
        <v>937</v>
      </c>
      <c r="D316" s="15"/>
    </row>
    <row r="317" spans="1:4" s="13" customFormat="1" x14ac:dyDescent="0.2">
      <c r="A317" s="225" t="s">
        <v>934</v>
      </c>
      <c r="B317" s="225">
        <v>4</v>
      </c>
      <c r="C317" s="225" t="s">
        <v>938</v>
      </c>
      <c r="D317" s="15"/>
    </row>
    <row r="318" spans="1:4" s="13" customFormat="1" x14ac:dyDescent="0.2">
      <c r="A318" s="225" t="s">
        <v>934</v>
      </c>
      <c r="B318" s="225">
        <v>5</v>
      </c>
      <c r="C318" s="225" t="s">
        <v>939</v>
      </c>
      <c r="D318" s="15"/>
    </row>
    <row r="319" spans="1:4" s="13" customFormat="1" x14ac:dyDescent="0.2">
      <c r="A319" s="225" t="s">
        <v>934</v>
      </c>
      <c r="B319" s="225">
        <v>6</v>
      </c>
      <c r="C319" s="225" t="s">
        <v>940</v>
      </c>
      <c r="D319" s="15"/>
    </row>
    <row r="320" spans="1:4" s="13" customFormat="1" x14ac:dyDescent="0.2">
      <c r="A320" s="225" t="s">
        <v>934</v>
      </c>
      <c r="B320" s="225">
        <v>7</v>
      </c>
      <c r="C320" s="225" t="s">
        <v>648</v>
      </c>
      <c r="D320" s="15"/>
    </row>
    <row r="321" spans="1:5" x14ac:dyDescent="0.2">
      <c r="A321" s="225" t="s">
        <v>934</v>
      </c>
      <c r="B321" s="225">
        <v>8</v>
      </c>
      <c r="C321" s="225" t="s">
        <v>649</v>
      </c>
      <c r="D321" s="15"/>
      <c r="E321" s="13"/>
    </row>
    <row r="322" spans="1:5" x14ac:dyDescent="0.2">
      <c r="D322" s="4"/>
    </row>
    <row r="323" spans="1:5" x14ac:dyDescent="0.2">
      <c r="A323" t="s">
        <v>941</v>
      </c>
      <c r="B323" t="s">
        <v>942</v>
      </c>
      <c r="C323" t="s">
        <v>943</v>
      </c>
      <c r="D323" s="4"/>
    </row>
    <row r="324" spans="1:5" x14ac:dyDescent="0.2">
      <c r="A324" t="s">
        <v>941</v>
      </c>
      <c r="B324" t="s">
        <v>944</v>
      </c>
      <c r="C324" t="s">
        <v>945</v>
      </c>
      <c r="D324" s="4"/>
    </row>
    <row r="325" spans="1:5" x14ac:dyDescent="0.2">
      <c r="A325" t="s">
        <v>941</v>
      </c>
      <c r="B325" t="s">
        <v>946</v>
      </c>
      <c r="C325" t="s">
        <v>947</v>
      </c>
      <c r="D325" s="4"/>
    </row>
    <row r="326" spans="1:5" x14ac:dyDescent="0.2">
      <c r="A326" t="s">
        <v>941</v>
      </c>
      <c r="B326" t="s">
        <v>948</v>
      </c>
      <c r="C326" t="s">
        <v>949</v>
      </c>
      <c r="D326" s="4"/>
    </row>
    <row r="327" spans="1:5" x14ac:dyDescent="0.2">
      <c r="A327" t="s">
        <v>941</v>
      </c>
      <c r="B327" t="s">
        <v>950</v>
      </c>
      <c r="C327" t="s">
        <v>951</v>
      </c>
      <c r="D327" s="4"/>
    </row>
    <row r="328" spans="1:5" x14ac:dyDescent="0.2">
      <c r="A328" t="s">
        <v>941</v>
      </c>
      <c r="B328" t="s">
        <v>952</v>
      </c>
      <c r="C328" t="s">
        <v>953</v>
      </c>
      <c r="D328" s="4"/>
    </row>
    <row r="329" spans="1:5" x14ac:dyDescent="0.2">
      <c r="A329" t="s">
        <v>941</v>
      </c>
      <c r="B329" t="s">
        <v>954</v>
      </c>
      <c r="C329" t="s">
        <v>955</v>
      </c>
      <c r="D329" s="4"/>
    </row>
    <row r="330" spans="1:5" x14ac:dyDescent="0.2">
      <c r="A330" t="s">
        <v>941</v>
      </c>
      <c r="B330" t="s">
        <v>717</v>
      </c>
      <c r="C330" t="s">
        <v>893</v>
      </c>
      <c r="D330" s="4"/>
    </row>
    <row r="331" spans="1:5" x14ac:dyDescent="0.2">
      <c r="A331" t="s">
        <v>941</v>
      </c>
      <c r="B331" t="s">
        <v>721</v>
      </c>
      <c r="C331" t="s">
        <v>648</v>
      </c>
      <c r="D331" s="4"/>
    </row>
    <row r="332" spans="1:5" x14ac:dyDescent="0.2">
      <c r="A332" t="s">
        <v>941</v>
      </c>
      <c r="B332" t="s">
        <v>722</v>
      </c>
      <c r="C332" t="s">
        <v>649</v>
      </c>
      <c r="D332" s="4"/>
    </row>
    <row r="333" spans="1:5" x14ac:dyDescent="0.2">
      <c r="D333" s="4"/>
    </row>
    <row r="334" spans="1:5" x14ac:dyDescent="0.2">
      <c r="A334" t="s">
        <v>364</v>
      </c>
      <c r="B334">
        <v>1</v>
      </c>
      <c r="C334" t="s">
        <v>956</v>
      </c>
      <c r="D334" s="4"/>
    </row>
    <row r="335" spans="1:5" x14ac:dyDescent="0.2">
      <c r="A335" t="s">
        <v>364</v>
      </c>
      <c r="B335">
        <v>2</v>
      </c>
      <c r="C335" t="s">
        <v>957</v>
      </c>
      <c r="D335" s="4"/>
    </row>
    <row r="336" spans="1:5" x14ac:dyDescent="0.2">
      <c r="A336" t="s">
        <v>364</v>
      </c>
      <c r="B336">
        <v>3</v>
      </c>
      <c r="C336" t="s">
        <v>958</v>
      </c>
      <c r="D336" s="4"/>
    </row>
    <row r="337" spans="1:4" x14ac:dyDescent="0.2">
      <c r="A337" t="s">
        <v>364</v>
      </c>
      <c r="B337">
        <v>4</v>
      </c>
      <c r="C337" t="s">
        <v>959</v>
      </c>
      <c r="D337" s="4"/>
    </row>
    <row r="338" spans="1:4" x14ac:dyDescent="0.2">
      <c r="A338" t="s">
        <v>364</v>
      </c>
      <c r="B338">
        <v>5</v>
      </c>
      <c r="C338" t="s">
        <v>960</v>
      </c>
      <c r="D338" s="4"/>
    </row>
    <row r="339" spans="1:4" x14ac:dyDescent="0.2">
      <c r="A339" t="s">
        <v>364</v>
      </c>
      <c r="B339">
        <v>6</v>
      </c>
      <c r="C339" t="s">
        <v>961</v>
      </c>
      <c r="D339" s="4"/>
    </row>
    <row r="340" spans="1:4" x14ac:dyDescent="0.2">
      <c r="A340" t="s">
        <v>364</v>
      </c>
      <c r="B340">
        <v>7</v>
      </c>
      <c r="C340" t="s">
        <v>962</v>
      </c>
      <c r="D340" s="4"/>
    </row>
    <row r="341" spans="1:4" x14ac:dyDescent="0.2">
      <c r="A341" t="s">
        <v>364</v>
      </c>
      <c r="B341">
        <v>8</v>
      </c>
      <c r="C341" t="s">
        <v>963</v>
      </c>
      <c r="D341" s="4"/>
    </row>
    <row r="342" spans="1:4" x14ac:dyDescent="0.2">
      <c r="A342" t="s">
        <v>364</v>
      </c>
      <c r="B342">
        <v>9</v>
      </c>
      <c r="C342" t="s">
        <v>893</v>
      </c>
      <c r="D342" s="4"/>
    </row>
    <row r="343" spans="1:4" x14ac:dyDescent="0.2">
      <c r="A343" t="s">
        <v>364</v>
      </c>
      <c r="B343" s="223">
        <v>10</v>
      </c>
      <c r="C343" t="s">
        <v>648</v>
      </c>
      <c r="D343" s="4"/>
    </row>
    <row r="344" spans="1:4" x14ac:dyDescent="0.2">
      <c r="A344" t="s">
        <v>364</v>
      </c>
      <c r="B344" s="223">
        <v>11</v>
      </c>
      <c r="C344" t="s">
        <v>649</v>
      </c>
      <c r="D344" s="4"/>
    </row>
    <row r="345" spans="1:4" x14ac:dyDescent="0.2">
      <c r="D345" s="4"/>
    </row>
    <row r="346" spans="1:4" x14ac:dyDescent="0.2">
      <c r="A346" t="s">
        <v>964</v>
      </c>
      <c r="B346" t="s">
        <v>965</v>
      </c>
      <c r="C346" t="s">
        <v>966</v>
      </c>
      <c r="D346" s="4"/>
    </row>
    <row r="347" spans="1:4" x14ac:dyDescent="0.2">
      <c r="A347" t="s">
        <v>964</v>
      </c>
      <c r="B347" t="s">
        <v>967</v>
      </c>
      <c r="C347" t="s">
        <v>968</v>
      </c>
      <c r="D347" s="4"/>
    </row>
    <row r="348" spans="1:4" x14ac:dyDescent="0.2">
      <c r="A348" t="s">
        <v>964</v>
      </c>
      <c r="B348" t="s">
        <v>969</v>
      </c>
      <c r="C348" t="s">
        <v>970</v>
      </c>
      <c r="D348" s="4"/>
    </row>
    <row r="349" spans="1:4" x14ac:dyDescent="0.2">
      <c r="A349" t="s">
        <v>964</v>
      </c>
      <c r="B349" t="s">
        <v>971</v>
      </c>
      <c r="C349" t="s">
        <v>972</v>
      </c>
      <c r="D349" s="4"/>
    </row>
    <row r="350" spans="1:4" x14ac:dyDescent="0.2">
      <c r="A350" t="s">
        <v>964</v>
      </c>
      <c r="B350" t="s">
        <v>973</v>
      </c>
      <c r="C350" t="s">
        <v>974</v>
      </c>
      <c r="D350" s="4"/>
    </row>
    <row r="351" spans="1:4" x14ac:dyDescent="0.2">
      <c r="A351" t="s">
        <v>964</v>
      </c>
      <c r="B351" t="s">
        <v>975</v>
      </c>
      <c r="C351" t="s">
        <v>976</v>
      </c>
      <c r="D351" s="4"/>
    </row>
    <row r="352" spans="1:4" x14ac:dyDescent="0.2">
      <c r="A352" t="s">
        <v>964</v>
      </c>
      <c r="B352" t="s">
        <v>977</v>
      </c>
      <c r="C352" t="s">
        <v>978</v>
      </c>
      <c r="D352" s="4"/>
    </row>
    <row r="353" spans="1:4" x14ac:dyDescent="0.2">
      <c r="A353" t="s">
        <v>964</v>
      </c>
      <c r="B353" t="s">
        <v>979</v>
      </c>
      <c r="C353" t="s">
        <v>980</v>
      </c>
      <c r="D353" s="4"/>
    </row>
    <row r="354" spans="1:4" x14ac:dyDescent="0.2">
      <c r="A354" t="s">
        <v>964</v>
      </c>
      <c r="B354" t="s">
        <v>981</v>
      </c>
      <c r="C354" t="s">
        <v>982</v>
      </c>
      <c r="D354" s="4"/>
    </row>
    <row r="355" spans="1:4" x14ac:dyDescent="0.2">
      <c r="A355" t="s">
        <v>964</v>
      </c>
      <c r="B355" t="s">
        <v>983</v>
      </c>
      <c r="C355" t="s">
        <v>984</v>
      </c>
      <c r="D355" s="4"/>
    </row>
    <row r="356" spans="1:4" x14ac:dyDescent="0.2">
      <c r="A356" t="s">
        <v>964</v>
      </c>
      <c r="B356" t="s">
        <v>985</v>
      </c>
      <c r="C356" t="s">
        <v>986</v>
      </c>
      <c r="D356" s="4"/>
    </row>
    <row r="357" spans="1:4" x14ac:dyDescent="0.2">
      <c r="A357" t="s">
        <v>964</v>
      </c>
      <c r="B357" t="s">
        <v>987</v>
      </c>
      <c r="C357" t="s">
        <v>893</v>
      </c>
      <c r="D357" s="4"/>
    </row>
    <row r="358" spans="1:4" x14ac:dyDescent="0.2">
      <c r="A358" t="s">
        <v>964</v>
      </c>
      <c r="B358" t="s">
        <v>988</v>
      </c>
      <c r="C358" t="s">
        <v>648</v>
      </c>
      <c r="D358" s="4"/>
    </row>
    <row r="359" spans="1:4" ht="14.25" customHeight="1" x14ac:dyDescent="0.2">
      <c r="A359" t="s">
        <v>964</v>
      </c>
      <c r="B359" t="s">
        <v>989</v>
      </c>
      <c r="C359" t="s">
        <v>649</v>
      </c>
      <c r="D359" s="4"/>
    </row>
    <row r="360" spans="1:4" ht="14.25" customHeight="1" x14ac:dyDescent="0.2">
      <c r="D360" s="4"/>
    </row>
    <row r="361" spans="1:4" s="13" customFormat="1" ht="14.25" customHeight="1" x14ac:dyDescent="0.2">
      <c r="A361" s="225" t="s">
        <v>990</v>
      </c>
      <c r="B361" s="225" t="s">
        <v>991</v>
      </c>
      <c r="C361" s="225" t="s">
        <v>992</v>
      </c>
      <c r="D361" s="15"/>
    </row>
    <row r="362" spans="1:4" s="13" customFormat="1" ht="14.25" customHeight="1" x14ac:dyDescent="0.2">
      <c r="A362" s="225" t="s">
        <v>990</v>
      </c>
      <c r="B362" s="225" t="s">
        <v>993</v>
      </c>
      <c r="C362" s="225" t="s">
        <v>994</v>
      </c>
      <c r="D362" s="15"/>
    </row>
    <row r="363" spans="1:4" s="13" customFormat="1" ht="14.25" customHeight="1" x14ac:dyDescent="0.2">
      <c r="A363" s="225" t="s">
        <v>990</v>
      </c>
      <c r="B363" s="225" t="s">
        <v>995</v>
      </c>
      <c r="C363" s="225" t="s">
        <v>996</v>
      </c>
      <c r="D363" s="15"/>
    </row>
    <row r="364" spans="1:4" s="13" customFormat="1" ht="14.25" customHeight="1" x14ac:dyDescent="0.2">
      <c r="A364" s="225" t="s">
        <v>990</v>
      </c>
      <c r="B364" s="225" t="s">
        <v>997</v>
      </c>
      <c r="C364" s="225" t="s">
        <v>998</v>
      </c>
      <c r="D364" s="15"/>
    </row>
    <row r="365" spans="1:4" s="13" customFormat="1" ht="14.25" customHeight="1" x14ac:dyDescent="0.2">
      <c r="A365" s="225" t="s">
        <v>990</v>
      </c>
      <c r="B365" s="225" t="s">
        <v>999</v>
      </c>
      <c r="C365" s="225" t="s">
        <v>1000</v>
      </c>
      <c r="D365" s="15"/>
    </row>
    <row r="366" spans="1:4" s="13" customFormat="1" ht="14.25" customHeight="1" x14ac:dyDescent="0.2">
      <c r="A366" s="225" t="s">
        <v>990</v>
      </c>
      <c r="B366" s="225" t="s">
        <v>717</v>
      </c>
      <c r="C366" s="225" t="s">
        <v>1001</v>
      </c>
      <c r="D366" s="15"/>
    </row>
    <row r="367" spans="1:4" s="13" customFormat="1" ht="14.25" customHeight="1" x14ac:dyDescent="0.2">
      <c r="A367" s="225" t="s">
        <v>990</v>
      </c>
      <c r="B367" s="225" t="s">
        <v>721</v>
      </c>
      <c r="C367" s="225" t="s">
        <v>648</v>
      </c>
      <c r="D367" s="15"/>
    </row>
    <row r="368" spans="1:4" s="13" customFormat="1" ht="14.25" customHeight="1" x14ac:dyDescent="0.2">
      <c r="A368" s="225" t="s">
        <v>990</v>
      </c>
      <c r="B368" s="225" t="s">
        <v>722</v>
      </c>
      <c r="C368" s="225" t="s">
        <v>649</v>
      </c>
      <c r="D368" s="15"/>
    </row>
    <row r="369" spans="1:4" ht="14.25" customHeight="1" x14ac:dyDescent="0.2">
      <c r="D369" s="4"/>
    </row>
    <row r="370" spans="1:4" x14ac:dyDescent="0.2">
      <c r="A370" t="s">
        <v>1002</v>
      </c>
      <c r="B370" t="s">
        <v>1003</v>
      </c>
      <c r="C370" t="s">
        <v>1004</v>
      </c>
      <c r="D370" s="4"/>
    </row>
    <row r="371" spans="1:4" x14ac:dyDescent="0.2">
      <c r="A371" t="s">
        <v>1002</v>
      </c>
      <c r="B371" t="s">
        <v>1005</v>
      </c>
      <c r="C371" t="s">
        <v>1006</v>
      </c>
      <c r="D371" s="4"/>
    </row>
    <row r="372" spans="1:4" x14ac:dyDescent="0.2">
      <c r="A372" t="s">
        <v>1002</v>
      </c>
      <c r="B372" t="s">
        <v>1007</v>
      </c>
      <c r="C372" t="s">
        <v>1008</v>
      </c>
      <c r="D372" s="4"/>
    </row>
    <row r="373" spans="1:4" x14ac:dyDescent="0.2">
      <c r="A373" t="s">
        <v>1002</v>
      </c>
      <c r="B373" t="s">
        <v>1009</v>
      </c>
      <c r="C373" t="s">
        <v>1010</v>
      </c>
      <c r="D373" s="4"/>
    </row>
    <row r="374" spans="1:4" x14ac:dyDescent="0.2">
      <c r="A374" t="s">
        <v>1002</v>
      </c>
      <c r="B374" t="s">
        <v>1011</v>
      </c>
      <c r="C374" t="s">
        <v>1012</v>
      </c>
      <c r="D374" s="4"/>
    </row>
    <row r="375" spans="1:4" x14ac:dyDescent="0.2">
      <c r="A375" t="s">
        <v>1002</v>
      </c>
      <c r="B375" t="s">
        <v>1013</v>
      </c>
      <c r="C375" t="s">
        <v>1014</v>
      </c>
      <c r="D375" s="4"/>
    </row>
    <row r="376" spans="1:4" x14ac:dyDescent="0.2">
      <c r="A376" t="s">
        <v>1002</v>
      </c>
      <c r="B376" t="s">
        <v>1015</v>
      </c>
      <c r="C376" t="s">
        <v>1016</v>
      </c>
      <c r="D376" s="4"/>
    </row>
    <row r="377" spans="1:4" x14ac:dyDescent="0.2">
      <c r="A377" t="s">
        <v>1002</v>
      </c>
      <c r="B377" t="s">
        <v>1017</v>
      </c>
      <c r="C377" t="s">
        <v>1018</v>
      </c>
      <c r="D377" s="4"/>
    </row>
    <row r="378" spans="1:4" x14ac:dyDescent="0.2">
      <c r="A378" t="s">
        <v>1002</v>
      </c>
      <c r="B378" t="s">
        <v>932</v>
      </c>
      <c r="C378" t="s">
        <v>933</v>
      </c>
      <c r="D378" s="4"/>
    </row>
    <row r="379" spans="1:4" x14ac:dyDescent="0.2">
      <c r="A379" t="s">
        <v>1002</v>
      </c>
      <c r="B379" t="s">
        <v>920</v>
      </c>
      <c r="C379" t="s">
        <v>921</v>
      </c>
      <c r="D379" s="4"/>
    </row>
    <row r="380" spans="1:4" x14ac:dyDescent="0.2">
      <c r="A380" t="s">
        <v>1002</v>
      </c>
      <c r="B380" t="s">
        <v>717</v>
      </c>
      <c r="C380" t="s">
        <v>893</v>
      </c>
      <c r="D380" s="4"/>
    </row>
    <row r="381" spans="1:4" x14ac:dyDescent="0.2">
      <c r="A381" t="s">
        <v>1002</v>
      </c>
      <c r="B381" t="s">
        <v>721</v>
      </c>
      <c r="C381" t="s">
        <v>648</v>
      </c>
      <c r="D381" s="4"/>
    </row>
    <row r="382" spans="1:4" x14ac:dyDescent="0.2">
      <c r="A382" t="s">
        <v>1002</v>
      </c>
      <c r="B382" t="s">
        <v>722</v>
      </c>
      <c r="C382" t="s">
        <v>649</v>
      </c>
      <c r="D382" s="4"/>
    </row>
    <row r="383" spans="1:4" x14ac:dyDescent="0.2">
      <c r="D383" s="4"/>
    </row>
    <row r="384" spans="1:4" x14ac:dyDescent="0.2">
      <c r="A384" s="225" t="s">
        <v>1019</v>
      </c>
      <c r="B384" s="225">
        <v>1</v>
      </c>
      <c r="C384" s="225" t="s">
        <v>956</v>
      </c>
      <c r="D384" s="4"/>
    </row>
    <row r="385" spans="1:4" x14ac:dyDescent="0.2">
      <c r="A385" s="225" t="s">
        <v>1019</v>
      </c>
      <c r="B385" s="225">
        <v>2</v>
      </c>
      <c r="C385" s="225" t="s">
        <v>957</v>
      </c>
      <c r="D385" s="4"/>
    </row>
    <row r="386" spans="1:4" x14ac:dyDescent="0.2">
      <c r="A386" s="225" t="s">
        <v>1019</v>
      </c>
      <c r="B386" s="225">
        <v>3</v>
      </c>
      <c r="C386" s="225" t="s">
        <v>958</v>
      </c>
      <c r="D386" s="4"/>
    </row>
    <row r="387" spans="1:4" x14ac:dyDescent="0.2">
      <c r="A387" s="225" t="s">
        <v>1019</v>
      </c>
      <c r="B387" s="225">
        <v>4</v>
      </c>
      <c r="C387" s="225" t="s">
        <v>959</v>
      </c>
      <c r="D387" s="4"/>
    </row>
    <row r="388" spans="1:4" x14ac:dyDescent="0.2">
      <c r="A388" s="225" t="s">
        <v>1019</v>
      </c>
      <c r="B388" s="225">
        <v>5</v>
      </c>
      <c r="C388" s="225" t="s">
        <v>960</v>
      </c>
      <c r="D388" s="4"/>
    </row>
    <row r="389" spans="1:4" x14ac:dyDescent="0.2">
      <c r="A389" s="225" t="s">
        <v>1019</v>
      </c>
      <c r="B389" s="225">
        <v>6</v>
      </c>
      <c r="C389" s="225" t="s">
        <v>961</v>
      </c>
      <c r="D389" s="4"/>
    </row>
    <row r="390" spans="1:4" x14ac:dyDescent="0.2">
      <c r="A390" s="225" t="s">
        <v>1019</v>
      </c>
      <c r="B390" s="225">
        <v>7</v>
      </c>
      <c r="C390" s="225" t="s">
        <v>962</v>
      </c>
      <c r="D390" s="4"/>
    </row>
    <row r="391" spans="1:4" x14ac:dyDescent="0.2">
      <c r="A391" s="225" t="s">
        <v>1019</v>
      </c>
      <c r="B391" s="225">
        <v>8</v>
      </c>
      <c r="C391" s="225" t="s">
        <v>963</v>
      </c>
      <c r="D391" s="4"/>
    </row>
    <row r="392" spans="1:4" x14ac:dyDescent="0.2">
      <c r="A392" s="225" t="s">
        <v>1019</v>
      </c>
      <c r="B392" s="225">
        <v>9</v>
      </c>
      <c r="C392" s="225" t="s">
        <v>893</v>
      </c>
      <c r="D392" s="4"/>
    </row>
    <row r="393" spans="1:4" x14ac:dyDescent="0.2">
      <c r="A393" s="225" t="s">
        <v>1019</v>
      </c>
      <c r="B393" s="225">
        <v>666</v>
      </c>
      <c r="C393" s="225" t="s">
        <v>1020</v>
      </c>
      <c r="D393" s="4"/>
    </row>
    <row r="394" spans="1:4" x14ac:dyDescent="0.2">
      <c r="A394" s="225" t="s">
        <v>1019</v>
      </c>
      <c r="B394" s="225">
        <v>10</v>
      </c>
      <c r="C394" s="225" t="s">
        <v>648</v>
      </c>
      <c r="D394" s="4"/>
    </row>
    <row r="395" spans="1:4" x14ac:dyDescent="0.2">
      <c r="A395" s="225" t="s">
        <v>1019</v>
      </c>
      <c r="B395" s="225">
        <v>11</v>
      </c>
      <c r="C395" s="225" t="s">
        <v>649</v>
      </c>
      <c r="D395" s="4"/>
    </row>
    <row r="396" spans="1:4" x14ac:dyDescent="0.2">
      <c r="B396" s="10"/>
      <c r="D396" s="4"/>
    </row>
    <row r="397" spans="1:4" x14ac:dyDescent="0.2">
      <c r="A397" t="s">
        <v>1021</v>
      </c>
      <c r="B397">
        <v>1</v>
      </c>
      <c r="C397" t="s">
        <v>956</v>
      </c>
      <c r="D397" s="4"/>
    </row>
    <row r="398" spans="1:4" x14ac:dyDescent="0.2">
      <c r="A398" t="s">
        <v>1021</v>
      </c>
      <c r="B398">
        <v>2</v>
      </c>
      <c r="C398" t="s">
        <v>957</v>
      </c>
      <c r="D398" s="4"/>
    </row>
    <row r="399" spans="1:4" x14ac:dyDescent="0.2">
      <c r="A399" t="s">
        <v>1021</v>
      </c>
      <c r="B399">
        <v>3</v>
      </c>
      <c r="C399" t="s">
        <v>958</v>
      </c>
      <c r="D399" s="4"/>
    </row>
    <row r="400" spans="1:4" x14ac:dyDescent="0.2">
      <c r="A400" t="s">
        <v>1021</v>
      </c>
      <c r="B400">
        <v>4</v>
      </c>
      <c r="C400" s="224" t="s">
        <v>959</v>
      </c>
      <c r="D400" s="4"/>
    </row>
    <row r="401" spans="1:4" x14ac:dyDescent="0.2">
      <c r="A401" t="s">
        <v>1021</v>
      </c>
      <c r="B401">
        <v>5</v>
      </c>
      <c r="C401" t="s">
        <v>1022</v>
      </c>
      <c r="D401" s="4"/>
    </row>
    <row r="402" spans="1:4" x14ac:dyDescent="0.2">
      <c r="A402" t="s">
        <v>1021</v>
      </c>
      <c r="B402">
        <v>6</v>
      </c>
      <c r="C402" t="s">
        <v>961</v>
      </c>
      <c r="D402" s="4"/>
    </row>
    <row r="403" spans="1:4" x14ac:dyDescent="0.2">
      <c r="A403" t="s">
        <v>1021</v>
      </c>
      <c r="B403">
        <v>7</v>
      </c>
      <c r="C403" t="s">
        <v>1023</v>
      </c>
      <c r="D403" s="4"/>
    </row>
    <row r="404" spans="1:4" x14ac:dyDescent="0.2">
      <c r="A404" t="s">
        <v>1021</v>
      </c>
      <c r="B404">
        <v>8</v>
      </c>
      <c r="C404" t="s">
        <v>963</v>
      </c>
      <c r="D404" s="4"/>
    </row>
    <row r="405" spans="1:4" x14ac:dyDescent="0.2">
      <c r="A405" t="s">
        <v>1021</v>
      </c>
      <c r="B405">
        <v>9</v>
      </c>
      <c r="C405" t="s">
        <v>1024</v>
      </c>
      <c r="D405" s="4"/>
    </row>
    <row r="406" spans="1:4" x14ac:dyDescent="0.2">
      <c r="A406" t="s">
        <v>1021</v>
      </c>
      <c r="B406">
        <v>10</v>
      </c>
      <c r="C406" t="s">
        <v>1025</v>
      </c>
      <c r="D406" s="4"/>
    </row>
    <row r="407" spans="1:4" x14ac:dyDescent="0.2">
      <c r="A407" t="s">
        <v>1021</v>
      </c>
      <c r="B407">
        <v>11</v>
      </c>
      <c r="C407" t="s">
        <v>1026</v>
      </c>
      <c r="D407" s="4"/>
    </row>
    <row r="408" spans="1:4" x14ac:dyDescent="0.2">
      <c r="A408" t="s">
        <v>1021</v>
      </c>
      <c r="B408" s="223">
        <v>12</v>
      </c>
      <c r="C408" t="s">
        <v>648</v>
      </c>
      <c r="D408" s="4"/>
    </row>
    <row r="409" spans="1:4" x14ac:dyDescent="0.2">
      <c r="A409" t="s">
        <v>1021</v>
      </c>
      <c r="B409" s="223">
        <v>13</v>
      </c>
      <c r="C409" t="s">
        <v>649</v>
      </c>
      <c r="D409" s="4"/>
    </row>
    <row r="410" spans="1:4" x14ac:dyDescent="0.2">
      <c r="D410" s="4"/>
    </row>
    <row r="411" spans="1:4" ht="16" customHeight="1" x14ac:dyDescent="0.2">
      <c r="A411" t="s">
        <v>1027</v>
      </c>
      <c r="B411" t="s">
        <v>942</v>
      </c>
      <c r="C411" t="s">
        <v>943</v>
      </c>
      <c r="D411" s="4"/>
    </row>
    <row r="412" spans="1:4" ht="16" customHeight="1" x14ac:dyDescent="0.2">
      <c r="A412" t="s">
        <v>1027</v>
      </c>
      <c r="B412" t="s">
        <v>944</v>
      </c>
      <c r="C412" t="s">
        <v>1028</v>
      </c>
      <c r="D412" s="4"/>
    </row>
    <row r="413" spans="1:4" ht="16" customHeight="1" x14ac:dyDescent="0.2">
      <c r="A413" t="s">
        <v>1027</v>
      </c>
      <c r="B413" t="s">
        <v>946</v>
      </c>
      <c r="C413" t="s">
        <v>1029</v>
      </c>
      <c r="D413" s="4"/>
    </row>
    <row r="414" spans="1:4" ht="16" customHeight="1" x14ac:dyDescent="0.2">
      <c r="A414" t="s">
        <v>1027</v>
      </c>
      <c r="B414" t="s">
        <v>948</v>
      </c>
      <c r="C414" t="s">
        <v>949</v>
      </c>
      <c r="D414" s="4"/>
    </row>
    <row r="415" spans="1:4" ht="16" customHeight="1" x14ac:dyDescent="0.2">
      <c r="A415" t="s">
        <v>1027</v>
      </c>
      <c r="B415" t="s">
        <v>950</v>
      </c>
      <c r="C415" t="s">
        <v>951</v>
      </c>
      <c r="D415" s="4"/>
    </row>
    <row r="416" spans="1:4" ht="16" customHeight="1" x14ac:dyDescent="0.2">
      <c r="A416" t="s">
        <v>1027</v>
      </c>
      <c r="B416" t="s">
        <v>1030</v>
      </c>
      <c r="C416" t="s">
        <v>1031</v>
      </c>
      <c r="D416" s="4"/>
    </row>
    <row r="417" spans="1:4" ht="16" customHeight="1" x14ac:dyDescent="0.2">
      <c r="A417" t="s">
        <v>1027</v>
      </c>
      <c r="B417" t="s">
        <v>952</v>
      </c>
      <c r="C417" t="s">
        <v>1032</v>
      </c>
      <c r="D417" s="4"/>
    </row>
    <row r="418" spans="1:4" ht="16" customHeight="1" x14ac:dyDescent="0.2">
      <c r="A418" t="s">
        <v>1027</v>
      </c>
      <c r="B418" t="s">
        <v>954</v>
      </c>
      <c r="C418" t="s">
        <v>955</v>
      </c>
      <c r="D418" s="4"/>
    </row>
    <row r="419" spans="1:4" ht="16" customHeight="1" x14ac:dyDescent="0.2">
      <c r="A419" t="s">
        <v>1027</v>
      </c>
      <c r="B419" t="s">
        <v>717</v>
      </c>
      <c r="C419" t="s">
        <v>893</v>
      </c>
      <c r="D419" s="4"/>
    </row>
    <row r="420" spans="1:4" ht="16" customHeight="1" x14ac:dyDescent="0.2">
      <c r="A420" t="s">
        <v>1027</v>
      </c>
      <c r="B420" t="s">
        <v>721</v>
      </c>
      <c r="C420" t="s">
        <v>648</v>
      </c>
      <c r="D420" s="4"/>
    </row>
    <row r="421" spans="1:4" ht="16" customHeight="1" x14ac:dyDescent="0.2">
      <c r="A421" t="s">
        <v>1027</v>
      </c>
      <c r="B421" t="s">
        <v>722</v>
      </c>
      <c r="C421" t="s">
        <v>649</v>
      </c>
      <c r="D421" s="4"/>
    </row>
    <row r="422" spans="1:4" ht="16" customHeight="1" x14ac:dyDescent="0.2">
      <c r="D422" s="4"/>
    </row>
    <row r="423" spans="1:4" x14ac:dyDescent="0.2">
      <c r="A423" t="s">
        <v>1033</v>
      </c>
      <c r="B423" t="s">
        <v>1034</v>
      </c>
      <c r="C423" t="s">
        <v>1035</v>
      </c>
      <c r="D423" s="4"/>
    </row>
    <row r="424" spans="1:4" x14ac:dyDescent="0.2">
      <c r="A424" t="s">
        <v>1033</v>
      </c>
      <c r="B424" t="s">
        <v>1036</v>
      </c>
      <c r="C424" t="s">
        <v>1037</v>
      </c>
      <c r="D424" s="4"/>
    </row>
    <row r="425" spans="1:4" x14ac:dyDescent="0.2">
      <c r="A425" t="s">
        <v>1033</v>
      </c>
      <c r="B425" t="s">
        <v>1038</v>
      </c>
      <c r="C425" t="s">
        <v>1039</v>
      </c>
      <c r="D425" s="4"/>
    </row>
    <row r="426" spans="1:4" x14ac:dyDescent="0.2">
      <c r="A426" t="s">
        <v>1033</v>
      </c>
      <c r="B426" t="s">
        <v>1040</v>
      </c>
      <c r="C426" t="s">
        <v>1041</v>
      </c>
      <c r="D426" s="4"/>
    </row>
    <row r="427" spans="1:4" x14ac:dyDescent="0.2">
      <c r="A427" t="s">
        <v>1033</v>
      </c>
      <c r="B427" t="s">
        <v>721</v>
      </c>
      <c r="C427" t="s">
        <v>648</v>
      </c>
      <c r="D427" s="4"/>
    </row>
    <row r="428" spans="1:4" x14ac:dyDescent="0.2">
      <c r="A428" t="s">
        <v>1033</v>
      </c>
      <c r="B428" t="s">
        <v>722</v>
      </c>
      <c r="C428" t="s">
        <v>649</v>
      </c>
      <c r="D428" s="4"/>
    </row>
    <row r="429" spans="1:4" x14ac:dyDescent="0.2">
      <c r="D429" s="4"/>
    </row>
    <row r="430" spans="1:4" x14ac:dyDescent="0.2">
      <c r="A430" t="s">
        <v>1042</v>
      </c>
      <c r="B430" t="s">
        <v>1043</v>
      </c>
      <c r="C430" t="s">
        <v>1044</v>
      </c>
      <c r="D430" s="4"/>
    </row>
    <row r="431" spans="1:4" x14ac:dyDescent="0.2">
      <c r="A431" t="s">
        <v>1042</v>
      </c>
      <c r="B431" t="s">
        <v>1045</v>
      </c>
      <c r="C431" t="s">
        <v>1046</v>
      </c>
      <c r="D431" s="4"/>
    </row>
    <row r="432" spans="1:4" x14ac:dyDescent="0.2">
      <c r="A432" t="s">
        <v>1042</v>
      </c>
      <c r="B432" t="s">
        <v>1047</v>
      </c>
      <c r="C432" t="s">
        <v>1048</v>
      </c>
      <c r="D432" s="4"/>
    </row>
    <row r="433" spans="1:4" x14ac:dyDescent="0.2">
      <c r="A433" t="s">
        <v>1042</v>
      </c>
      <c r="B433" t="s">
        <v>1049</v>
      </c>
      <c r="C433" t="s">
        <v>1050</v>
      </c>
      <c r="D433" s="4"/>
    </row>
    <row r="434" spans="1:4" x14ac:dyDescent="0.2">
      <c r="A434" t="s">
        <v>1042</v>
      </c>
      <c r="B434" t="s">
        <v>1051</v>
      </c>
      <c r="C434" t="s">
        <v>1052</v>
      </c>
      <c r="D434" s="4"/>
    </row>
    <row r="435" spans="1:4" x14ac:dyDescent="0.2">
      <c r="A435" t="s">
        <v>1042</v>
      </c>
      <c r="B435" t="s">
        <v>1053</v>
      </c>
      <c r="C435" t="s">
        <v>1054</v>
      </c>
      <c r="D435" s="4"/>
    </row>
    <row r="436" spans="1:4" x14ac:dyDescent="0.2">
      <c r="A436" t="s">
        <v>1042</v>
      </c>
      <c r="B436" t="s">
        <v>1055</v>
      </c>
      <c r="C436" t="s">
        <v>1056</v>
      </c>
      <c r="D436" s="4"/>
    </row>
    <row r="437" spans="1:4" x14ac:dyDescent="0.2">
      <c r="A437" t="s">
        <v>1042</v>
      </c>
      <c r="B437" t="s">
        <v>1057</v>
      </c>
      <c r="C437" t="s">
        <v>1058</v>
      </c>
      <c r="D437" s="4"/>
    </row>
    <row r="438" spans="1:4" x14ac:dyDescent="0.2">
      <c r="A438" t="s">
        <v>1042</v>
      </c>
      <c r="B438" t="s">
        <v>717</v>
      </c>
      <c r="C438" t="s">
        <v>856</v>
      </c>
      <c r="D438" s="4"/>
    </row>
    <row r="439" spans="1:4" x14ac:dyDescent="0.2">
      <c r="A439" t="s">
        <v>1042</v>
      </c>
      <c r="B439" t="s">
        <v>721</v>
      </c>
      <c r="C439" t="s">
        <v>648</v>
      </c>
      <c r="D439" s="4"/>
    </row>
    <row r="440" spans="1:4" x14ac:dyDescent="0.2">
      <c r="A440" t="s">
        <v>1042</v>
      </c>
      <c r="B440" t="s">
        <v>722</v>
      </c>
      <c r="C440" t="s">
        <v>649</v>
      </c>
      <c r="D440" s="4"/>
    </row>
    <row r="441" spans="1:4" x14ac:dyDescent="0.2">
      <c r="D441" s="4"/>
    </row>
    <row r="442" spans="1:4" s="13" customFormat="1" x14ac:dyDescent="0.2">
      <c r="A442" s="225" t="s">
        <v>1059</v>
      </c>
      <c r="B442" s="225" t="s">
        <v>1060</v>
      </c>
      <c r="C442" s="225" t="s">
        <v>1061</v>
      </c>
      <c r="D442" s="15"/>
    </row>
    <row r="443" spans="1:4" s="13" customFormat="1" x14ac:dyDescent="0.2">
      <c r="A443" s="225" t="s">
        <v>1059</v>
      </c>
      <c r="B443" s="225" t="s">
        <v>1062</v>
      </c>
      <c r="C443" s="225" t="s">
        <v>1063</v>
      </c>
      <c r="D443" s="15"/>
    </row>
    <row r="444" spans="1:4" s="13" customFormat="1" x14ac:dyDescent="0.2">
      <c r="A444" s="225" t="s">
        <v>1059</v>
      </c>
      <c r="B444" s="225" t="s">
        <v>1064</v>
      </c>
      <c r="C444" s="225" t="s">
        <v>1065</v>
      </c>
      <c r="D444" s="15"/>
    </row>
    <row r="445" spans="1:4" s="13" customFormat="1" x14ac:dyDescent="0.2">
      <c r="A445" s="225" t="s">
        <v>1059</v>
      </c>
      <c r="B445" s="225" t="s">
        <v>1066</v>
      </c>
      <c r="C445" s="225" t="s">
        <v>1067</v>
      </c>
      <c r="D445" s="15"/>
    </row>
    <row r="446" spans="1:4" s="13" customFormat="1" x14ac:dyDescent="0.2">
      <c r="A446" s="225" t="s">
        <v>1059</v>
      </c>
      <c r="B446" s="225" t="s">
        <v>1049</v>
      </c>
      <c r="C446" s="225" t="s">
        <v>1068</v>
      </c>
      <c r="D446" s="15"/>
    </row>
    <row r="447" spans="1:4" s="13" customFormat="1" x14ac:dyDescent="0.2">
      <c r="A447" s="225" t="s">
        <v>1059</v>
      </c>
      <c r="B447" s="225" t="s">
        <v>1069</v>
      </c>
      <c r="C447" s="225" t="s">
        <v>1070</v>
      </c>
      <c r="D447" s="15"/>
    </row>
    <row r="448" spans="1:4" s="13" customFormat="1" x14ac:dyDescent="0.2">
      <c r="A448" s="225" t="s">
        <v>1059</v>
      </c>
      <c r="B448" s="225" t="s">
        <v>1053</v>
      </c>
      <c r="C448" s="225" t="s">
        <v>1071</v>
      </c>
      <c r="D448" s="15"/>
    </row>
    <row r="449" spans="1:5" s="13" customFormat="1" x14ac:dyDescent="0.2">
      <c r="A449" s="225" t="s">
        <v>1059</v>
      </c>
      <c r="B449" s="225" t="s">
        <v>717</v>
      </c>
      <c r="C449" s="225" t="s">
        <v>856</v>
      </c>
      <c r="D449" s="15"/>
    </row>
    <row r="450" spans="1:5" s="13" customFormat="1" x14ac:dyDescent="0.2">
      <c r="A450" s="225" t="s">
        <v>1059</v>
      </c>
      <c r="B450" s="225" t="s">
        <v>721</v>
      </c>
      <c r="C450" s="225" t="s">
        <v>648</v>
      </c>
      <c r="D450" s="15"/>
    </row>
    <row r="451" spans="1:5" s="13" customFormat="1" x14ac:dyDescent="0.2">
      <c r="A451" s="225" t="s">
        <v>1059</v>
      </c>
      <c r="B451" s="225" t="s">
        <v>722</v>
      </c>
      <c r="C451" s="225" t="s">
        <v>649</v>
      </c>
      <c r="D451" s="15"/>
    </row>
    <row r="452" spans="1:5" s="13" customFormat="1" x14ac:dyDescent="0.2">
      <c r="D452" s="15"/>
    </row>
    <row r="453" spans="1:5" x14ac:dyDescent="0.2">
      <c r="A453" t="s">
        <v>1072</v>
      </c>
      <c r="B453">
        <v>1</v>
      </c>
      <c r="C453" t="s">
        <v>1073</v>
      </c>
      <c r="D453" s="4"/>
    </row>
    <row r="454" spans="1:5" x14ac:dyDescent="0.2">
      <c r="A454" t="s">
        <v>1072</v>
      </c>
      <c r="B454">
        <v>2</v>
      </c>
      <c r="C454" t="s">
        <v>1074</v>
      </c>
      <c r="D454" s="4"/>
    </row>
    <row r="455" spans="1:5" x14ac:dyDescent="0.2">
      <c r="A455" t="s">
        <v>1072</v>
      </c>
      <c r="B455">
        <v>3</v>
      </c>
      <c r="C455" t="s">
        <v>1075</v>
      </c>
      <c r="D455" s="4"/>
    </row>
    <row r="456" spans="1:5" x14ac:dyDescent="0.2">
      <c r="A456" t="s">
        <v>1072</v>
      </c>
      <c r="B456">
        <v>4</v>
      </c>
      <c r="C456" t="s">
        <v>1076</v>
      </c>
      <c r="D456" s="4"/>
    </row>
    <row r="457" spans="1:5" x14ac:dyDescent="0.2">
      <c r="A457" t="s">
        <v>1072</v>
      </c>
      <c r="B457">
        <v>5</v>
      </c>
      <c r="C457" t="s">
        <v>856</v>
      </c>
      <c r="D457" s="4"/>
    </row>
    <row r="458" spans="1:5" x14ac:dyDescent="0.2">
      <c r="A458" t="s">
        <v>1072</v>
      </c>
      <c r="B458" s="223">
        <v>6</v>
      </c>
      <c r="C458" t="s">
        <v>648</v>
      </c>
      <c r="D458" s="4"/>
    </row>
    <row r="459" spans="1:5" x14ac:dyDescent="0.2">
      <c r="A459" t="s">
        <v>1072</v>
      </c>
      <c r="B459" s="223">
        <v>7</v>
      </c>
      <c r="C459" t="s">
        <v>1077</v>
      </c>
      <c r="D459" s="4"/>
    </row>
    <row r="460" spans="1:5" x14ac:dyDescent="0.2">
      <c r="D460" s="4"/>
    </row>
    <row r="461" spans="1:5" x14ac:dyDescent="0.2">
      <c r="A461" t="s">
        <v>1078</v>
      </c>
      <c r="B461" t="s">
        <v>942</v>
      </c>
      <c r="C461" t="s">
        <v>943</v>
      </c>
      <c r="D461" s="4"/>
      <c r="E461" s="13"/>
    </row>
    <row r="462" spans="1:5" x14ac:dyDescent="0.2">
      <c r="A462" t="s">
        <v>1078</v>
      </c>
      <c r="B462" t="s">
        <v>944</v>
      </c>
      <c r="C462" t="s">
        <v>1079</v>
      </c>
      <c r="D462" s="4"/>
      <c r="E462" s="13"/>
    </row>
    <row r="463" spans="1:5" x14ac:dyDescent="0.2">
      <c r="A463" t="s">
        <v>1078</v>
      </c>
      <c r="B463" t="s">
        <v>946</v>
      </c>
      <c r="C463" t="s">
        <v>1080</v>
      </c>
      <c r="D463" s="4"/>
      <c r="E463" s="13"/>
    </row>
    <row r="464" spans="1:5" x14ac:dyDescent="0.2">
      <c r="A464" t="s">
        <v>1078</v>
      </c>
      <c r="B464" t="s">
        <v>948</v>
      </c>
      <c r="C464" t="s">
        <v>1081</v>
      </c>
      <c r="D464" s="4"/>
      <c r="E464" s="13"/>
    </row>
    <row r="465" spans="1:5" x14ac:dyDescent="0.2">
      <c r="A465" t="s">
        <v>1078</v>
      </c>
      <c r="B465" t="s">
        <v>1082</v>
      </c>
      <c r="C465" t="s">
        <v>951</v>
      </c>
      <c r="D465" s="4"/>
      <c r="E465" s="13"/>
    </row>
    <row r="466" spans="1:5" x14ac:dyDescent="0.2">
      <c r="A466" t="s">
        <v>1078</v>
      </c>
      <c r="B466" t="s">
        <v>952</v>
      </c>
      <c r="C466" t="s">
        <v>1083</v>
      </c>
      <c r="D466" s="4"/>
      <c r="E466" s="13"/>
    </row>
    <row r="467" spans="1:5" x14ac:dyDescent="0.2">
      <c r="A467" t="s">
        <v>1078</v>
      </c>
      <c r="B467" t="s">
        <v>954</v>
      </c>
      <c r="C467" t="s">
        <v>1084</v>
      </c>
      <c r="D467" s="4"/>
      <c r="E467" s="13"/>
    </row>
    <row r="468" spans="1:5" x14ac:dyDescent="0.2">
      <c r="A468" t="s">
        <v>1078</v>
      </c>
      <c r="B468" t="s">
        <v>717</v>
      </c>
      <c r="C468" t="s">
        <v>893</v>
      </c>
      <c r="D468" s="4"/>
    </row>
    <row r="469" spans="1:5" x14ac:dyDescent="0.2">
      <c r="A469" t="s">
        <v>1078</v>
      </c>
      <c r="B469" t="s">
        <v>721</v>
      </c>
      <c r="C469" t="s">
        <v>648</v>
      </c>
      <c r="D469" s="4"/>
    </row>
    <row r="470" spans="1:5" ht="16" customHeight="1" x14ac:dyDescent="0.2">
      <c r="A470" t="s">
        <v>1078</v>
      </c>
      <c r="B470" t="s">
        <v>722</v>
      </c>
      <c r="C470" t="s">
        <v>649</v>
      </c>
      <c r="D470" s="4"/>
    </row>
    <row r="471" spans="1:5" ht="16" customHeight="1" x14ac:dyDescent="0.2">
      <c r="D471" s="4"/>
    </row>
    <row r="472" spans="1:5" x14ac:dyDescent="0.2">
      <c r="A472" t="s">
        <v>1085</v>
      </c>
      <c r="B472">
        <v>1</v>
      </c>
      <c r="C472" t="s">
        <v>1086</v>
      </c>
      <c r="D472" s="4"/>
    </row>
    <row r="473" spans="1:5" x14ac:dyDescent="0.2">
      <c r="A473" t="s">
        <v>1085</v>
      </c>
      <c r="B473">
        <v>2</v>
      </c>
      <c r="C473" t="s">
        <v>1087</v>
      </c>
      <c r="D473" s="4"/>
    </row>
    <row r="474" spans="1:5" x14ac:dyDescent="0.2">
      <c r="A474" t="s">
        <v>1085</v>
      </c>
      <c r="B474">
        <v>3</v>
      </c>
      <c r="C474" t="s">
        <v>1088</v>
      </c>
      <c r="D474" s="4"/>
    </row>
    <row r="475" spans="1:5" x14ac:dyDescent="0.2">
      <c r="A475" t="s">
        <v>1085</v>
      </c>
      <c r="B475">
        <v>4</v>
      </c>
      <c r="C475" t="s">
        <v>1089</v>
      </c>
      <c r="D475" s="4"/>
    </row>
    <row r="476" spans="1:5" x14ac:dyDescent="0.2">
      <c r="A476" t="s">
        <v>1085</v>
      </c>
      <c r="B476" s="223">
        <v>5</v>
      </c>
      <c r="C476" t="s">
        <v>649</v>
      </c>
      <c r="D476" s="4"/>
    </row>
    <row r="477" spans="1:5" x14ac:dyDescent="0.2">
      <c r="D477" s="4"/>
    </row>
    <row r="478" spans="1:5" x14ac:dyDescent="0.2">
      <c r="A478" t="s">
        <v>1090</v>
      </c>
      <c r="B478">
        <v>1</v>
      </c>
      <c r="C478" t="s">
        <v>652</v>
      </c>
      <c r="D478" s="4"/>
    </row>
    <row r="479" spans="1:5" x14ac:dyDescent="0.2">
      <c r="A479" t="s">
        <v>1090</v>
      </c>
      <c r="B479">
        <v>2</v>
      </c>
      <c r="C479" t="s">
        <v>1091</v>
      </c>
      <c r="D479" s="4"/>
    </row>
    <row r="480" spans="1:5" x14ac:dyDescent="0.2">
      <c r="A480" t="s">
        <v>1090</v>
      </c>
      <c r="B480">
        <v>3</v>
      </c>
      <c r="C480" t="s">
        <v>1092</v>
      </c>
      <c r="D480" s="4"/>
    </row>
    <row r="481" spans="1:4" x14ac:dyDescent="0.2">
      <c r="A481" t="s">
        <v>1090</v>
      </c>
      <c r="B481">
        <v>4</v>
      </c>
      <c r="C481" t="s">
        <v>1093</v>
      </c>
      <c r="D481" s="4"/>
    </row>
    <row r="482" spans="1:4" x14ac:dyDescent="0.2">
      <c r="A482" t="s">
        <v>1090</v>
      </c>
      <c r="B482" s="223">
        <v>5</v>
      </c>
      <c r="C482" t="s">
        <v>648</v>
      </c>
      <c r="D482" s="4"/>
    </row>
    <row r="483" spans="1:4" x14ac:dyDescent="0.2">
      <c r="A483" t="s">
        <v>1090</v>
      </c>
      <c r="B483" s="223">
        <v>6</v>
      </c>
      <c r="C483" t="s">
        <v>649</v>
      </c>
      <c r="D483" s="4"/>
    </row>
    <row r="484" spans="1:4" x14ac:dyDescent="0.2">
      <c r="D484" s="4"/>
    </row>
    <row r="485" spans="1:4" x14ac:dyDescent="0.2">
      <c r="A485" t="s">
        <v>521</v>
      </c>
      <c r="B485" t="s">
        <v>1094</v>
      </c>
      <c r="C485" t="s">
        <v>1095</v>
      </c>
      <c r="D485" s="4"/>
    </row>
    <row r="486" spans="1:4" x14ac:dyDescent="0.2">
      <c r="A486" t="s">
        <v>521</v>
      </c>
      <c r="B486" t="s">
        <v>1096</v>
      </c>
      <c r="C486" t="s">
        <v>1097</v>
      </c>
      <c r="D486" s="4"/>
    </row>
    <row r="487" spans="1:4" x14ac:dyDescent="0.2">
      <c r="A487" t="s">
        <v>521</v>
      </c>
      <c r="B487" t="s">
        <v>1098</v>
      </c>
      <c r="C487" t="s">
        <v>1099</v>
      </c>
      <c r="D487" s="4"/>
    </row>
    <row r="488" spans="1:4" x14ac:dyDescent="0.2">
      <c r="A488" t="s">
        <v>521</v>
      </c>
      <c r="B488" t="s">
        <v>1100</v>
      </c>
      <c r="C488" t="s">
        <v>1101</v>
      </c>
      <c r="D488" s="4"/>
    </row>
    <row r="489" spans="1:4" x14ac:dyDescent="0.2">
      <c r="A489" t="s">
        <v>521</v>
      </c>
      <c r="B489" t="s">
        <v>1102</v>
      </c>
      <c r="C489" t="s">
        <v>1103</v>
      </c>
      <c r="D489" s="4"/>
    </row>
    <row r="490" spans="1:4" x14ac:dyDescent="0.2">
      <c r="A490" t="s">
        <v>521</v>
      </c>
      <c r="B490" t="s">
        <v>1104</v>
      </c>
      <c r="C490" t="s">
        <v>1024</v>
      </c>
      <c r="D490" s="4"/>
    </row>
    <row r="491" spans="1:4" x14ac:dyDescent="0.2">
      <c r="A491" t="s">
        <v>521</v>
      </c>
      <c r="B491" t="s">
        <v>1105</v>
      </c>
      <c r="C491" t="s">
        <v>1106</v>
      </c>
      <c r="D491" s="4"/>
    </row>
    <row r="492" spans="1:4" x14ac:dyDescent="0.2">
      <c r="A492" t="s">
        <v>521</v>
      </c>
      <c r="B492" t="s">
        <v>1107</v>
      </c>
      <c r="C492" t="s">
        <v>1108</v>
      </c>
      <c r="D492" s="4"/>
    </row>
    <row r="493" spans="1:4" x14ac:dyDescent="0.2">
      <c r="A493" t="s">
        <v>521</v>
      </c>
      <c r="B493" t="s">
        <v>1109</v>
      </c>
      <c r="C493" t="s">
        <v>1110</v>
      </c>
      <c r="D493" s="4"/>
    </row>
    <row r="494" spans="1:4" x14ac:dyDescent="0.2">
      <c r="A494" t="s">
        <v>521</v>
      </c>
      <c r="B494" t="s">
        <v>1111</v>
      </c>
      <c r="C494" t="s">
        <v>1112</v>
      </c>
      <c r="D494" s="4"/>
    </row>
    <row r="495" spans="1:4" x14ac:dyDescent="0.2">
      <c r="A495" t="s">
        <v>521</v>
      </c>
      <c r="B495" t="s">
        <v>1113</v>
      </c>
      <c r="C495" t="s">
        <v>1114</v>
      </c>
      <c r="D495" s="4"/>
    </row>
    <row r="496" spans="1:4" x14ac:dyDescent="0.2">
      <c r="A496" t="s">
        <v>521</v>
      </c>
      <c r="B496" t="s">
        <v>1115</v>
      </c>
      <c r="C496" t="s">
        <v>1116</v>
      </c>
      <c r="D496" s="4"/>
    </row>
    <row r="497" spans="1:4" x14ac:dyDescent="0.2">
      <c r="D497" s="4"/>
    </row>
    <row r="498" spans="1:4" x14ac:dyDescent="0.2">
      <c r="A498" t="s">
        <v>1117</v>
      </c>
      <c r="B498" t="s">
        <v>1118</v>
      </c>
      <c r="C498" t="s">
        <v>1119</v>
      </c>
      <c r="D498" s="4"/>
    </row>
    <row r="499" spans="1:4" x14ac:dyDescent="0.2">
      <c r="A499" t="s">
        <v>1117</v>
      </c>
      <c r="B499" t="s">
        <v>1120</v>
      </c>
      <c r="C499" t="s">
        <v>1121</v>
      </c>
      <c r="D499" s="4"/>
    </row>
    <row r="500" spans="1:4" x14ac:dyDescent="0.2">
      <c r="A500" t="s">
        <v>1117</v>
      </c>
      <c r="B500" t="s">
        <v>1122</v>
      </c>
      <c r="C500" t="s">
        <v>1123</v>
      </c>
      <c r="D500" s="4"/>
    </row>
    <row r="501" spans="1:4" x14ac:dyDescent="0.2">
      <c r="A501" t="s">
        <v>1117</v>
      </c>
      <c r="B501" t="s">
        <v>1124</v>
      </c>
      <c r="C501" t="s">
        <v>1125</v>
      </c>
      <c r="D501" s="4"/>
    </row>
    <row r="502" spans="1:4" x14ac:dyDescent="0.2">
      <c r="A502" t="s">
        <v>1117</v>
      </c>
      <c r="B502" t="s">
        <v>1126</v>
      </c>
      <c r="C502" t="s">
        <v>1127</v>
      </c>
      <c r="D502" s="4"/>
    </row>
    <row r="503" spans="1:4" x14ac:dyDescent="0.2">
      <c r="A503" t="s">
        <v>1117</v>
      </c>
      <c r="B503" t="s">
        <v>1128</v>
      </c>
      <c r="C503" t="s">
        <v>1129</v>
      </c>
      <c r="D503" s="4"/>
    </row>
    <row r="504" spans="1:4" x14ac:dyDescent="0.2">
      <c r="A504" t="s">
        <v>1117</v>
      </c>
      <c r="B504" t="s">
        <v>382</v>
      </c>
      <c r="C504" t="s">
        <v>1130</v>
      </c>
      <c r="D504" s="4"/>
    </row>
    <row r="505" spans="1:4" x14ac:dyDescent="0.2">
      <c r="A505" t="s">
        <v>1117</v>
      </c>
      <c r="B505" t="s">
        <v>1131</v>
      </c>
      <c r="C505" t="s">
        <v>1132</v>
      </c>
      <c r="D505" s="4"/>
    </row>
    <row r="506" spans="1:4" x14ac:dyDescent="0.2">
      <c r="A506" t="s">
        <v>1117</v>
      </c>
      <c r="B506" t="s">
        <v>1133</v>
      </c>
      <c r="C506" t="s">
        <v>1134</v>
      </c>
      <c r="D506" s="4"/>
    </row>
    <row r="507" spans="1:4" x14ac:dyDescent="0.2">
      <c r="A507" t="s">
        <v>1117</v>
      </c>
      <c r="B507" t="s">
        <v>1135</v>
      </c>
      <c r="C507" t="s">
        <v>1136</v>
      </c>
      <c r="D507" s="4"/>
    </row>
    <row r="508" spans="1:4" x14ac:dyDescent="0.2">
      <c r="A508" t="s">
        <v>1117</v>
      </c>
      <c r="B508" t="s">
        <v>1137</v>
      </c>
      <c r="C508" t="s">
        <v>1138</v>
      </c>
      <c r="D508" s="4"/>
    </row>
    <row r="509" spans="1:4" x14ac:dyDescent="0.2">
      <c r="A509" t="s">
        <v>1117</v>
      </c>
      <c r="B509" t="s">
        <v>1139</v>
      </c>
      <c r="C509" t="s">
        <v>1140</v>
      </c>
      <c r="D509" s="4"/>
    </row>
    <row r="510" spans="1:4" x14ac:dyDescent="0.2">
      <c r="A510" t="s">
        <v>1117</v>
      </c>
      <c r="B510" t="s">
        <v>1141</v>
      </c>
      <c r="C510" t="s">
        <v>1142</v>
      </c>
      <c r="D510" s="4"/>
    </row>
    <row r="511" spans="1:4" x14ac:dyDescent="0.2">
      <c r="A511" t="s">
        <v>1117</v>
      </c>
      <c r="B511" t="s">
        <v>1143</v>
      </c>
      <c r="C511" t="s">
        <v>1144</v>
      </c>
      <c r="D511" s="4"/>
    </row>
    <row r="512" spans="1:4" x14ac:dyDescent="0.2">
      <c r="A512" t="s">
        <v>1117</v>
      </c>
      <c r="B512" t="s">
        <v>1145</v>
      </c>
      <c r="C512" t="s">
        <v>1146</v>
      </c>
      <c r="D512" s="4"/>
    </row>
    <row r="513" spans="1:4" x14ac:dyDescent="0.2">
      <c r="A513" t="s">
        <v>1117</v>
      </c>
      <c r="B513" t="s">
        <v>1147</v>
      </c>
      <c r="C513" t="s">
        <v>1148</v>
      </c>
      <c r="D513" s="4"/>
    </row>
    <row r="514" spans="1:4" x14ac:dyDescent="0.2">
      <c r="A514" t="s">
        <v>1117</v>
      </c>
      <c r="B514" t="s">
        <v>717</v>
      </c>
      <c r="C514" t="s">
        <v>856</v>
      </c>
      <c r="D514" s="4"/>
    </row>
    <row r="515" spans="1:4" x14ac:dyDescent="0.2">
      <c r="A515" t="s">
        <v>1117</v>
      </c>
      <c r="B515" t="s">
        <v>721</v>
      </c>
      <c r="C515" t="s">
        <v>648</v>
      </c>
      <c r="D515" s="4"/>
    </row>
    <row r="516" spans="1:4" x14ac:dyDescent="0.2">
      <c r="A516" t="s">
        <v>1117</v>
      </c>
      <c r="B516" t="s">
        <v>722</v>
      </c>
      <c r="C516" t="s">
        <v>649</v>
      </c>
      <c r="D516" s="4"/>
    </row>
    <row r="517" spans="1:4" x14ac:dyDescent="0.2">
      <c r="D517" s="4"/>
    </row>
    <row r="518" spans="1:4" x14ac:dyDescent="0.2">
      <c r="A518" t="s">
        <v>1149</v>
      </c>
      <c r="B518" t="s">
        <v>1118</v>
      </c>
      <c r="C518" t="s">
        <v>1119</v>
      </c>
      <c r="D518" s="4"/>
    </row>
    <row r="519" spans="1:4" x14ac:dyDescent="0.2">
      <c r="A519" t="s">
        <v>1149</v>
      </c>
      <c r="B519" t="s">
        <v>1120</v>
      </c>
      <c r="C519" t="s">
        <v>1150</v>
      </c>
      <c r="D519" s="4"/>
    </row>
    <row r="520" spans="1:4" x14ac:dyDescent="0.2">
      <c r="A520" t="s">
        <v>1149</v>
      </c>
      <c r="B520" t="s">
        <v>1122</v>
      </c>
      <c r="C520" t="s">
        <v>1151</v>
      </c>
      <c r="D520" s="4"/>
    </row>
    <row r="521" spans="1:4" x14ac:dyDescent="0.2">
      <c r="A521" t="s">
        <v>1149</v>
      </c>
      <c r="B521" t="s">
        <v>1152</v>
      </c>
      <c r="C521" t="s">
        <v>1153</v>
      </c>
      <c r="D521" s="4"/>
    </row>
    <row r="522" spans="1:4" x14ac:dyDescent="0.2">
      <c r="A522" t="s">
        <v>1149</v>
      </c>
      <c r="B522" t="s">
        <v>1154</v>
      </c>
      <c r="C522" t="s">
        <v>1155</v>
      </c>
      <c r="D522" s="4"/>
    </row>
    <row r="523" spans="1:4" x14ac:dyDescent="0.2">
      <c r="A523" t="s">
        <v>1149</v>
      </c>
      <c r="B523" t="s">
        <v>1156</v>
      </c>
      <c r="C523" t="s">
        <v>1157</v>
      </c>
      <c r="D523" s="4"/>
    </row>
    <row r="524" spans="1:4" x14ac:dyDescent="0.2">
      <c r="A524" t="s">
        <v>1149</v>
      </c>
      <c r="B524" t="s">
        <v>1158</v>
      </c>
      <c r="C524" t="s">
        <v>1144</v>
      </c>
      <c r="D524" s="4"/>
    </row>
    <row r="525" spans="1:4" x14ac:dyDescent="0.2">
      <c r="A525" t="s">
        <v>1149</v>
      </c>
      <c r="B525" t="s">
        <v>1159</v>
      </c>
      <c r="C525" t="s">
        <v>1148</v>
      </c>
      <c r="D525" s="4"/>
    </row>
    <row r="526" spans="1:4" x14ac:dyDescent="0.2">
      <c r="A526" t="s">
        <v>1149</v>
      </c>
      <c r="B526" t="s">
        <v>717</v>
      </c>
      <c r="C526" t="s">
        <v>856</v>
      </c>
      <c r="D526" s="4"/>
    </row>
    <row r="527" spans="1:4" x14ac:dyDescent="0.2">
      <c r="A527" t="s">
        <v>1149</v>
      </c>
      <c r="B527" t="s">
        <v>719</v>
      </c>
      <c r="C527" t="s">
        <v>1160</v>
      </c>
      <c r="D527" s="4"/>
    </row>
    <row r="528" spans="1:4" x14ac:dyDescent="0.2">
      <c r="A528" t="s">
        <v>1149</v>
      </c>
      <c r="B528" t="s">
        <v>721</v>
      </c>
      <c r="C528" t="s">
        <v>1089</v>
      </c>
      <c r="D528" s="4"/>
    </row>
    <row r="529" spans="1:4" x14ac:dyDescent="0.2">
      <c r="A529" t="s">
        <v>1149</v>
      </c>
      <c r="B529" t="s">
        <v>722</v>
      </c>
      <c r="C529" t="s">
        <v>649</v>
      </c>
      <c r="D529" s="4"/>
    </row>
    <row r="530" spans="1:4" x14ac:dyDescent="0.2">
      <c r="D530" s="4"/>
    </row>
    <row r="531" spans="1:4" x14ac:dyDescent="0.2">
      <c r="A531" t="s">
        <v>1161</v>
      </c>
      <c r="B531">
        <v>1</v>
      </c>
      <c r="C531" t="s">
        <v>652</v>
      </c>
      <c r="D531" s="4"/>
    </row>
    <row r="532" spans="1:4" x14ac:dyDescent="0.2">
      <c r="A532" t="s">
        <v>1161</v>
      </c>
      <c r="B532">
        <v>2</v>
      </c>
      <c r="C532" t="s">
        <v>1162</v>
      </c>
      <c r="D532" s="4"/>
    </row>
    <row r="533" spans="1:4" x14ac:dyDescent="0.2">
      <c r="A533" t="s">
        <v>1161</v>
      </c>
      <c r="B533">
        <v>3</v>
      </c>
      <c r="C533" t="s">
        <v>1163</v>
      </c>
      <c r="D533" s="4"/>
    </row>
    <row r="534" spans="1:4" x14ac:dyDescent="0.2">
      <c r="A534" t="s">
        <v>1161</v>
      </c>
      <c r="B534">
        <v>4</v>
      </c>
      <c r="C534" t="s">
        <v>1164</v>
      </c>
      <c r="D534" s="4"/>
    </row>
    <row r="535" spans="1:4" x14ac:dyDescent="0.2">
      <c r="A535" t="s">
        <v>1161</v>
      </c>
      <c r="B535">
        <v>5</v>
      </c>
      <c r="C535" t="s">
        <v>1165</v>
      </c>
      <c r="D535" s="4"/>
    </row>
    <row r="536" spans="1:4" x14ac:dyDescent="0.2">
      <c r="A536" t="s">
        <v>1161</v>
      </c>
      <c r="B536">
        <v>6</v>
      </c>
      <c r="C536" t="s">
        <v>1166</v>
      </c>
      <c r="D536" s="4"/>
    </row>
    <row r="537" spans="1:4" x14ac:dyDescent="0.2">
      <c r="A537" t="s">
        <v>1161</v>
      </c>
      <c r="B537">
        <v>7</v>
      </c>
      <c r="C537" t="s">
        <v>648</v>
      </c>
      <c r="D537" s="4"/>
    </row>
    <row r="538" spans="1:4" x14ac:dyDescent="0.2">
      <c r="A538" t="s">
        <v>1161</v>
      </c>
      <c r="B538">
        <v>8</v>
      </c>
      <c r="C538" t="s">
        <v>649</v>
      </c>
      <c r="D538" s="4"/>
    </row>
    <row r="539" spans="1:4" x14ac:dyDescent="0.2">
      <c r="D539" s="4"/>
    </row>
    <row r="540" spans="1:4" x14ac:dyDescent="0.2">
      <c r="A540" t="s">
        <v>1167</v>
      </c>
      <c r="B540" t="s">
        <v>1168</v>
      </c>
      <c r="C540" t="s">
        <v>1169</v>
      </c>
      <c r="D540" s="4"/>
    </row>
    <row r="541" spans="1:4" x14ac:dyDescent="0.2">
      <c r="A541" t="s">
        <v>1167</v>
      </c>
      <c r="B541" t="s">
        <v>1170</v>
      </c>
      <c r="C541" t="s">
        <v>1171</v>
      </c>
      <c r="D541" s="4"/>
    </row>
    <row r="542" spans="1:4" x14ac:dyDescent="0.2">
      <c r="A542" t="s">
        <v>1167</v>
      </c>
      <c r="B542" t="s">
        <v>1172</v>
      </c>
      <c r="C542" t="s">
        <v>1173</v>
      </c>
      <c r="D542" s="4"/>
    </row>
    <row r="543" spans="1:4" x14ac:dyDescent="0.2">
      <c r="A543" t="s">
        <v>1167</v>
      </c>
      <c r="B543" t="s">
        <v>889</v>
      </c>
      <c r="C543" t="s">
        <v>1174</v>
      </c>
      <c r="D543" s="4"/>
    </row>
    <row r="544" spans="1:4" x14ac:dyDescent="0.2">
      <c r="A544" t="s">
        <v>1167</v>
      </c>
      <c r="B544" t="s">
        <v>885</v>
      </c>
      <c r="C544" t="s">
        <v>1175</v>
      </c>
      <c r="D544" s="4"/>
    </row>
    <row r="545" spans="1:4" x14ac:dyDescent="0.2">
      <c r="A545" t="s">
        <v>1167</v>
      </c>
      <c r="B545" t="s">
        <v>721</v>
      </c>
      <c r="C545" t="s">
        <v>648</v>
      </c>
      <c r="D545" s="4"/>
    </row>
    <row r="546" spans="1:4" x14ac:dyDescent="0.2">
      <c r="A546" t="s">
        <v>1167</v>
      </c>
      <c r="B546" t="s">
        <v>722</v>
      </c>
      <c r="C546" t="s">
        <v>649</v>
      </c>
      <c r="D546" s="4"/>
    </row>
    <row r="547" spans="1:4" x14ac:dyDescent="0.2">
      <c r="D547" s="4"/>
    </row>
    <row r="548" spans="1:4" x14ac:dyDescent="0.2">
      <c r="A548" t="s">
        <v>1176</v>
      </c>
      <c r="B548">
        <v>1</v>
      </c>
      <c r="C548" t="s">
        <v>1177</v>
      </c>
      <c r="D548" s="4"/>
    </row>
    <row r="549" spans="1:4" x14ac:dyDescent="0.2">
      <c r="A549" t="s">
        <v>1176</v>
      </c>
      <c r="B549">
        <v>2</v>
      </c>
      <c r="C549" t="s">
        <v>1178</v>
      </c>
      <c r="D549" s="4"/>
    </row>
    <row r="550" spans="1:4" x14ac:dyDescent="0.2">
      <c r="A550" t="s">
        <v>1176</v>
      </c>
      <c r="B550">
        <v>3</v>
      </c>
      <c r="C550" t="s">
        <v>1179</v>
      </c>
      <c r="D550" s="4"/>
    </row>
    <row r="551" spans="1:4" x14ac:dyDescent="0.2">
      <c r="A551" t="s">
        <v>1176</v>
      </c>
      <c r="B551">
        <v>4</v>
      </c>
      <c r="C551" t="s">
        <v>1180</v>
      </c>
      <c r="D551" s="4"/>
    </row>
    <row r="552" spans="1:4" x14ac:dyDescent="0.2">
      <c r="A552" t="s">
        <v>1176</v>
      </c>
      <c r="B552">
        <v>5</v>
      </c>
      <c r="C552" t="s">
        <v>1181</v>
      </c>
      <c r="D552" s="4"/>
    </row>
    <row r="553" spans="1:4" x14ac:dyDescent="0.2">
      <c r="A553" t="s">
        <v>1176</v>
      </c>
      <c r="B553">
        <v>6</v>
      </c>
      <c r="C553" t="s">
        <v>648</v>
      </c>
      <c r="D553" s="4"/>
    </row>
    <row r="554" spans="1:4" x14ac:dyDescent="0.2">
      <c r="A554" t="s">
        <v>1176</v>
      </c>
      <c r="B554">
        <v>7</v>
      </c>
      <c r="C554" t="s">
        <v>649</v>
      </c>
      <c r="D554" s="4"/>
    </row>
    <row r="555" spans="1:4" x14ac:dyDescent="0.2">
      <c r="D555" s="4"/>
    </row>
    <row r="556" spans="1:4" x14ac:dyDescent="0.2">
      <c r="A556" t="s">
        <v>1182</v>
      </c>
      <c r="B556" t="s">
        <v>1183</v>
      </c>
      <c r="C556" t="s">
        <v>1184</v>
      </c>
      <c r="D556" s="4"/>
    </row>
    <row r="557" spans="1:4" x14ac:dyDescent="0.2">
      <c r="A557" t="s">
        <v>1182</v>
      </c>
      <c r="B557" t="s">
        <v>1185</v>
      </c>
      <c r="C557" t="s">
        <v>1186</v>
      </c>
      <c r="D557" s="4"/>
    </row>
    <row r="558" spans="1:4" x14ac:dyDescent="0.2">
      <c r="A558" t="s">
        <v>1182</v>
      </c>
      <c r="B558" t="s">
        <v>1187</v>
      </c>
      <c r="C558" t="s">
        <v>1188</v>
      </c>
      <c r="D558" s="4"/>
    </row>
    <row r="559" spans="1:4" x14ac:dyDescent="0.2">
      <c r="A559" t="s">
        <v>1182</v>
      </c>
      <c r="B559" t="s">
        <v>1189</v>
      </c>
      <c r="C559" t="s">
        <v>1190</v>
      </c>
      <c r="D559" s="4"/>
    </row>
    <row r="560" spans="1:4" x14ac:dyDescent="0.2">
      <c r="A560" t="s">
        <v>1182</v>
      </c>
      <c r="B560" t="s">
        <v>1191</v>
      </c>
      <c r="C560" t="s">
        <v>1192</v>
      </c>
      <c r="D560" s="4"/>
    </row>
    <row r="561" spans="1:5" x14ac:dyDescent="0.2">
      <c r="A561" t="s">
        <v>1182</v>
      </c>
      <c r="B561" t="s">
        <v>1193</v>
      </c>
      <c r="C561" t="s">
        <v>1194</v>
      </c>
      <c r="D561" s="4"/>
    </row>
    <row r="562" spans="1:5" x14ac:dyDescent="0.2">
      <c r="A562" t="s">
        <v>1182</v>
      </c>
      <c r="B562" t="s">
        <v>1195</v>
      </c>
      <c r="C562" t="s">
        <v>1196</v>
      </c>
      <c r="D562" s="4"/>
    </row>
    <row r="563" spans="1:5" x14ac:dyDescent="0.2">
      <c r="D563" s="4"/>
    </row>
    <row r="564" spans="1:5" x14ac:dyDescent="0.2">
      <c r="A564" t="s">
        <v>622</v>
      </c>
      <c r="B564" t="s">
        <v>1197</v>
      </c>
      <c r="C564" t="s">
        <v>1198</v>
      </c>
      <c r="D564" s="4"/>
    </row>
    <row r="565" spans="1:5" x14ac:dyDescent="0.2">
      <c r="A565" t="s">
        <v>622</v>
      </c>
      <c r="B565" t="s">
        <v>1199</v>
      </c>
      <c r="C565" t="s">
        <v>1200</v>
      </c>
      <c r="D565" s="4"/>
    </row>
    <row r="566" spans="1:5" x14ac:dyDescent="0.2">
      <c r="A566" t="s">
        <v>622</v>
      </c>
      <c r="B566" t="s">
        <v>1201</v>
      </c>
      <c r="C566" t="s">
        <v>1202</v>
      </c>
      <c r="D566" s="4"/>
    </row>
    <row r="567" spans="1:5" x14ac:dyDescent="0.2">
      <c r="D567" s="4"/>
    </row>
    <row r="568" spans="1:5" x14ac:dyDescent="0.2">
      <c r="A568" s="258" t="s">
        <v>1203</v>
      </c>
      <c r="B568" s="258">
        <v>1</v>
      </c>
      <c r="C568" s="258" t="s">
        <v>1204</v>
      </c>
      <c r="D568" s="4"/>
    </row>
    <row r="569" spans="1:5" x14ac:dyDescent="0.2">
      <c r="A569" s="258" t="s">
        <v>1203</v>
      </c>
      <c r="B569" s="258">
        <v>2</v>
      </c>
      <c r="C569" s="258" t="s">
        <v>1205</v>
      </c>
    </row>
    <row r="570" spans="1:5" x14ac:dyDescent="0.2">
      <c r="A570" s="258" t="s">
        <v>1203</v>
      </c>
      <c r="B570" s="258">
        <v>3</v>
      </c>
      <c r="C570" s="258" t="s">
        <v>1206</v>
      </c>
    </row>
    <row r="571" spans="1:5" x14ac:dyDescent="0.2">
      <c r="A571" s="258" t="s">
        <v>1203</v>
      </c>
      <c r="B571" s="258">
        <v>4</v>
      </c>
      <c r="C571" s="258" t="s">
        <v>1207</v>
      </c>
    </row>
    <row r="572" spans="1:5" x14ac:dyDescent="0.2">
      <c r="A572" s="258" t="s">
        <v>1203</v>
      </c>
      <c r="B572" s="259">
        <v>5</v>
      </c>
      <c r="C572" s="258" t="s">
        <v>648</v>
      </c>
      <c r="D572" s="7"/>
      <c r="E572" s="11"/>
    </row>
    <row r="573" spans="1:5" x14ac:dyDescent="0.2">
      <c r="A573" s="258" t="s">
        <v>1203</v>
      </c>
      <c r="B573" s="258">
        <v>6</v>
      </c>
      <c r="C573" s="258" t="s">
        <v>649</v>
      </c>
    </row>
    <row r="575" spans="1:5" x14ac:dyDescent="0.2">
      <c r="A575" t="s">
        <v>1208</v>
      </c>
      <c r="B575" t="s">
        <v>1209</v>
      </c>
      <c r="C575" t="s">
        <v>1210</v>
      </c>
    </row>
    <row r="576" spans="1:5" x14ac:dyDescent="0.2">
      <c r="A576" t="s">
        <v>1208</v>
      </c>
      <c r="B576" t="s">
        <v>1211</v>
      </c>
      <c r="C576" t="s">
        <v>1212</v>
      </c>
    </row>
    <row r="577" spans="1:3" x14ac:dyDescent="0.2">
      <c r="A577" t="s">
        <v>1208</v>
      </c>
      <c r="B577" t="s">
        <v>1213</v>
      </c>
      <c r="C577" t="s">
        <v>1214</v>
      </c>
    </row>
    <row r="578" spans="1:3" x14ac:dyDescent="0.2">
      <c r="A578" t="s">
        <v>1208</v>
      </c>
      <c r="B578" t="s">
        <v>1215</v>
      </c>
      <c r="C578" t="s">
        <v>1216</v>
      </c>
    </row>
    <row r="579" spans="1:3" x14ac:dyDescent="0.2">
      <c r="A579" t="s">
        <v>1208</v>
      </c>
      <c r="B579" t="s">
        <v>1217</v>
      </c>
      <c r="C579" t="s">
        <v>1218</v>
      </c>
    </row>
    <row r="580" spans="1:3" x14ac:dyDescent="0.2">
      <c r="A580" t="s">
        <v>1208</v>
      </c>
      <c r="B580" t="s">
        <v>1219</v>
      </c>
      <c r="C580" t="s">
        <v>1220</v>
      </c>
    </row>
    <row r="581" spans="1:3" x14ac:dyDescent="0.2">
      <c r="A581" t="s">
        <v>1208</v>
      </c>
      <c r="B581" t="s">
        <v>1221</v>
      </c>
      <c r="C581" t="s">
        <v>1222</v>
      </c>
    </row>
    <row r="582" spans="1:3" x14ac:dyDescent="0.2">
      <c r="A582" t="s">
        <v>1208</v>
      </c>
      <c r="B582" t="s">
        <v>1223</v>
      </c>
      <c r="C582" t="s">
        <v>1224</v>
      </c>
    </row>
    <row r="583" spans="1:3" x14ac:dyDescent="0.2">
      <c r="A583" t="s">
        <v>1208</v>
      </c>
      <c r="B583" t="s">
        <v>1225</v>
      </c>
      <c r="C583" t="s">
        <v>1226</v>
      </c>
    </row>
    <row r="584" spans="1:3" x14ac:dyDescent="0.2">
      <c r="A584" t="s">
        <v>1208</v>
      </c>
      <c r="B584" t="s">
        <v>1227</v>
      </c>
      <c r="C584" t="s">
        <v>1228</v>
      </c>
    </row>
    <row r="585" spans="1:3" x14ac:dyDescent="0.2">
      <c r="A585" t="s">
        <v>1208</v>
      </c>
      <c r="B585" t="s">
        <v>1229</v>
      </c>
      <c r="C585" t="s">
        <v>1230</v>
      </c>
    </row>
    <row r="586" spans="1:3" x14ac:dyDescent="0.2">
      <c r="A586" t="s">
        <v>1208</v>
      </c>
      <c r="B586" t="s">
        <v>1231</v>
      </c>
      <c r="C586" t="s">
        <v>1232</v>
      </c>
    </row>
    <row r="587" spans="1:3" x14ac:dyDescent="0.2">
      <c r="A587" t="s">
        <v>1208</v>
      </c>
      <c r="B587" t="s">
        <v>1233</v>
      </c>
      <c r="C587" t="s">
        <v>1234</v>
      </c>
    </row>
    <row r="588" spans="1:3" x14ac:dyDescent="0.2">
      <c r="A588" t="s">
        <v>1208</v>
      </c>
      <c r="B588" t="s">
        <v>1235</v>
      </c>
      <c r="C588" t="s">
        <v>1236</v>
      </c>
    </row>
    <row r="589" spans="1:3" x14ac:dyDescent="0.2">
      <c r="A589" t="s">
        <v>1208</v>
      </c>
      <c r="B589" t="s">
        <v>1237</v>
      </c>
      <c r="C589" t="s">
        <v>1238</v>
      </c>
    </row>
    <row r="590" spans="1:3" x14ac:dyDescent="0.2">
      <c r="A590" t="s">
        <v>1208</v>
      </c>
      <c r="B590" t="s">
        <v>1239</v>
      </c>
      <c r="C590" t="s">
        <v>1240</v>
      </c>
    </row>
    <row r="591" spans="1:3" x14ac:dyDescent="0.2">
      <c r="A591" t="s">
        <v>1208</v>
      </c>
      <c r="B591" t="s">
        <v>1241</v>
      </c>
      <c r="C591" t="s">
        <v>1242</v>
      </c>
    </row>
    <row r="592" spans="1:3" x14ac:dyDescent="0.2">
      <c r="A592" t="s">
        <v>1208</v>
      </c>
      <c r="B592" t="s">
        <v>1243</v>
      </c>
      <c r="C592" t="s">
        <v>1244</v>
      </c>
    </row>
    <row r="593" spans="1:3" x14ac:dyDescent="0.2">
      <c r="A593" t="s">
        <v>1208</v>
      </c>
      <c r="B593" t="s">
        <v>1245</v>
      </c>
      <c r="C593" t="s">
        <v>1246</v>
      </c>
    </row>
    <row r="594" spans="1:3" x14ac:dyDescent="0.2">
      <c r="A594" t="s">
        <v>1208</v>
      </c>
      <c r="B594" t="s">
        <v>1247</v>
      </c>
      <c r="C594" t="s">
        <v>1248</v>
      </c>
    </row>
    <row r="595" spans="1:3" x14ac:dyDescent="0.2">
      <c r="A595" t="s">
        <v>1208</v>
      </c>
      <c r="B595" t="s">
        <v>1249</v>
      </c>
      <c r="C595" t="s">
        <v>1250</v>
      </c>
    </row>
    <row r="596" spans="1:3" x14ac:dyDescent="0.2">
      <c r="A596" t="s">
        <v>1208</v>
      </c>
      <c r="B596" t="s">
        <v>1251</v>
      </c>
      <c r="C596" t="s">
        <v>1252</v>
      </c>
    </row>
    <row r="597" spans="1:3" x14ac:dyDescent="0.2">
      <c r="A597" t="s">
        <v>1208</v>
      </c>
      <c r="B597" t="s">
        <v>1253</v>
      </c>
      <c r="C597" t="s">
        <v>1254</v>
      </c>
    </row>
    <row r="598" spans="1:3" x14ac:dyDescent="0.2">
      <c r="A598" t="s">
        <v>1208</v>
      </c>
      <c r="B598" t="s">
        <v>1255</v>
      </c>
      <c r="C598" t="s">
        <v>1256</v>
      </c>
    </row>
    <row r="599" spans="1:3" x14ac:dyDescent="0.2">
      <c r="A599" t="s">
        <v>1208</v>
      </c>
      <c r="B599" t="s">
        <v>1257</v>
      </c>
      <c r="C599" t="s">
        <v>1258</v>
      </c>
    </row>
    <row r="600" spans="1:3" x14ac:dyDescent="0.2">
      <c r="A600" t="s">
        <v>1208</v>
      </c>
      <c r="B600" t="s">
        <v>1259</v>
      </c>
      <c r="C600" t="s">
        <v>1260</v>
      </c>
    </row>
    <row r="601" spans="1:3" x14ac:dyDescent="0.2">
      <c r="A601" t="s">
        <v>1208</v>
      </c>
      <c r="B601" t="s">
        <v>1261</v>
      </c>
      <c r="C601" t="s">
        <v>1262</v>
      </c>
    </row>
    <row r="602" spans="1:3" x14ac:dyDescent="0.2">
      <c r="A602" t="s">
        <v>1208</v>
      </c>
      <c r="B602" t="s">
        <v>1263</v>
      </c>
      <c r="C602" t="s">
        <v>1264</v>
      </c>
    </row>
    <row r="603" spans="1:3" x14ac:dyDescent="0.2">
      <c r="A603" t="s">
        <v>1208</v>
      </c>
      <c r="B603" t="s">
        <v>1265</v>
      </c>
      <c r="C603" t="s">
        <v>1266</v>
      </c>
    </row>
    <row r="604" spans="1:3" x14ac:dyDescent="0.2">
      <c r="A604" t="s">
        <v>1208</v>
      </c>
      <c r="B604" t="s">
        <v>1267</v>
      </c>
      <c r="C604" t="s">
        <v>1268</v>
      </c>
    </row>
    <row r="605" spans="1:3" x14ac:dyDescent="0.2">
      <c r="A605" t="s">
        <v>1208</v>
      </c>
      <c r="B605" t="s">
        <v>1269</v>
      </c>
      <c r="C605" t="s">
        <v>1270</v>
      </c>
    </row>
    <row r="606" spans="1:3" x14ac:dyDescent="0.2">
      <c r="A606" t="s">
        <v>1208</v>
      </c>
      <c r="B606" t="s">
        <v>1271</v>
      </c>
      <c r="C606" t="s">
        <v>1272</v>
      </c>
    </row>
    <row r="607" spans="1:3" x14ac:dyDescent="0.2">
      <c r="A607" t="s">
        <v>1208</v>
      </c>
      <c r="B607" t="s">
        <v>1273</v>
      </c>
      <c r="C607" t="s">
        <v>1274</v>
      </c>
    </row>
    <row r="608" spans="1:3" x14ac:dyDescent="0.2">
      <c r="A608" t="s">
        <v>1208</v>
      </c>
      <c r="B608" t="s">
        <v>1275</v>
      </c>
      <c r="C608" t="s">
        <v>1276</v>
      </c>
    </row>
    <row r="609" spans="1:3" x14ac:dyDescent="0.2">
      <c r="A609" t="s">
        <v>1208</v>
      </c>
      <c r="B609" t="s">
        <v>1277</v>
      </c>
      <c r="C609" t="s">
        <v>1278</v>
      </c>
    </row>
    <row r="610" spans="1:3" x14ac:dyDescent="0.2">
      <c r="A610" t="s">
        <v>1208</v>
      </c>
      <c r="B610" t="s">
        <v>1279</v>
      </c>
      <c r="C610" t="s">
        <v>1280</v>
      </c>
    </row>
    <row r="611" spans="1:3" x14ac:dyDescent="0.2">
      <c r="A611" t="s">
        <v>1208</v>
      </c>
      <c r="B611" t="s">
        <v>1281</v>
      </c>
      <c r="C611" t="s">
        <v>1282</v>
      </c>
    </row>
    <row r="612" spans="1:3" x14ac:dyDescent="0.2">
      <c r="A612" t="s">
        <v>1208</v>
      </c>
      <c r="B612" t="s">
        <v>1283</v>
      </c>
      <c r="C612" t="s">
        <v>1284</v>
      </c>
    </row>
    <row r="613" spans="1:3" x14ac:dyDescent="0.2">
      <c r="A613" t="s">
        <v>1208</v>
      </c>
      <c r="B613" t="s">
        <v>1285</v>
      </c>
      <c r="C613" t="s">
        <v>1286</v>
      </c>
    </row>
    <row r="614" spans="1:3" x14ac:dyDescent="0.2">
      <c r="A614" t="s">
        <v>1208</v>
      </c>
      <c r="B614" t="s">
        <v>1287</v>
      </c>
      <c r="C614" t="s">
        <v>1288</v>
      </c>
    </row>
    <row r="615" spans="1:3" x14ac:dyDescent="0.2">
      <c r="A615" t="s">
        <v>1208</v>
      </c>
      <c r="B615" t="s">
        <v>1289</v>
      </c>
      <c r="C615" t="s">
        <v>1290</v>
      </c>
    </row>
    <row r="616" spans="1:3" x14ac:dyDescent="0.2">
      <c r="A616" t="s">
        <v>1208</v>
      </c>
      <c r="B616" t="s">
        <v>1291</v>
      </c>
      <c r="C616" t="s">
        <v>1292</v>
      </c>
    </row>
    <row r="617" spans="1:3" x14ac:dyDescent="0.2">
      <c r="A617" t="s">
        <v>1208</v>
      </c>
      <c r="B617" t="s">
        <v>1293</v>
      </c>
      <c r="C617" t="s">
        <v>1294</v>
      </c>
    </row>
    <row r="618" spans="1:3" x14ac:dyDescent="0.2">
      <c r="A618" t="s">
        <v>1208</v>
      </c>
      <c r="B618" t="s">
        <v>1295</v>
      </c>
      <c r="C618" t="s">
        <v>1296</v>
      </c>
    </row>
    <row r="619" spans="1:3" x14ac:dyDescent="0.2">
      <c r="A619" t="s">
        <v>1208</v>
      </c>
      <c r="B619" t="s">
        <v>1297</v>
      </c>
      <c r="C619" t="s">
        <v>1298</v>
      </c>
    </row>
    <row r="620" spans="1:3" x14ac:dyDescent="0.2">
      <c r="A620" t="s">
        <v>1208</v>
      </c>
      <c r="B620" t="s">
        <v>1299</v>
      </c>
      <c r="C620" t="s">
        <v>1300</v>
      </c>
    </row>
    <row r="621" spans="1:3" x14ac:dyDescent="0.2">
      <c r="A621" t="s">
        <v>1208</v>
      </c>
      <c r="B621" t="s">
        <v>1301</v>
      </c>
      <c r="C621" t="s">
        <v>1302</v>
      </c>
    </row>
    <row r="622" spans="1:3" x14ac:dyDescent="0.2">
      <c r="A622" t="s">
        <v>1208</v>
      </c>
      <c r="B622" t="s">
        <v>1303</v>
      </c>
      <c r="C622" t="s">
        <v>1304</v>
      </c>
    </row>
    <row r="623" spans="1:3" x14ac:dyDescent="0.2">
      <c r="A623" t="s">
        <v>1208</v>
      </c>
      <c r="B623" t="s">
        <v>1305</v>
      </c>
      <c r="C623" t="s">
        <v>1306</v>
      </c>
    </row>
    <row r="624" spans="1:3" x14ac:dyDescent="0.2">
      <c r="A624" t="s">
        <v>1208</v>
      </c>
      <c r="B624" t="s">
        <v>1307</v>
      </c>
      <c r="C624" t="s">
        <v>1308</v>
      </c>
    </row>
    <row r="625" spans="1:3" x14ac:dyDescent="0.2">
      <c r="A625" t="s">
        <v>1208</v>
      </c>
      <c r="B625" t="s">
        <v>1309</v>
      </c>
      <c r="C625" t="s">
        <v>1310</v>
      </c>
    </row>
    <row r="626" spans="1:3" x14ac:dyDescent="0.2">
      <c r="A626" t="s">
        <v>1208</v>
      </c>
      <c r="B626" t="s">
        <v>1311</v>
      </c>
      <c r="C626" t="s">
        <v>1312</v>
      </c>
    </row>
    <row r="627" spans="1:3" x14ac:dyDescent="0.2">
      <c r="A627" t="s">
        <v>1208</v>
      </c>
      <c r="B627" t="s">
        <v>1313</v>
      </c>
      <c r="C627" t="s">
        <v>1314</v>
      </c>
    </row>
    <row r="628" spans="1:3" x14ac:dyDescent="0.2">
      <c r="A628" t="s">
        <v>1208</v>
      </c>
      <c r="B628" t="s">
        <v>1315</v>
      </c>
      <c r="C628" t="s">
        <v>1316</v>
      </c>
    </row>
    <row r="629" spans="1:3" x14ac:dyDescent="0.2">
      <c r="A629" t="s">
        <v>1208</v>
      </c>
      <c r="B629" t="s">
        <v>1317</v>
      </c>
      <c r="C629" t="s">
        <v>1318</v>
      </c>
    </row>
    <row r="630" spans="1:3" x14ac:dyDescent="0.2">
      <c r="A630" t="s">
        <v>1208</v>
      </c>
      <c r="B630" t="s">
        <v>1319</v>
      </c>
      <c r="C630" t="s">
        <v>1320</v>
      </c>
    </row>
    <row r="631" spans="1:3" x14ac:dyDescent="0.2">
      <c r="A631" t="s">
        <v>1208</v>
      </c>
      <c r="B631" t="s">
        <v>1321</v>
      </c>
      <c r="C631" t="s">
        <v>1322</v>
      </c>
    </row>
    <row r="632" spans="1:3" x14ac:dyDescent="0.2">
      <c r="A632" t="s">
        <v>1208</v>
      </c>
      <c r="B632" t="s">
        <v>1323</v>
      </c>
      <c r="C632" t="s">
        <v>1324</v>
      </c>
    </row>
    <row r="633" spans="1:3" x14ac:dyDescent="0.2">
      <c r="A633" t="s">
        <v>1208</v>
      </c>
      <c r="B633" t="s">
        <v>1325</v>
      </c>
      <c r="C633" t="s">
        <v>1326</v>
      </c>
    </row>
    <row r="634" spans="1:3" x14ac:dyDescent="0.2">
      <c r="A634" t="s">
        <v>1208</v>
      </c>
      <c r="B634" t="s">
        <v>1327</v>
      </c>
      <c r="C634" t="s">
        <v>1328</v>
      </c>
    </row>
    <row r="635" spans="1:3" x14ac:dyDescent="0.2">
      <c r="A635" t="s">
        <v>1208</v>
      </c>
      <c r="B635" t="s">
        <v>1329</v>
      </c>
      <c r="C635" t="s">
        <v>1330</v>
      </c>
    </row>
    <row r="636" spans="1:3" x14ac:dyDescent="0.2">
      <c r="A636" t="s">
        <v>1208</v>
      </c>
      <c r="B636" t="s">
        <v>1331</v>
      </c>
      <c r="C636" t="s">
        <v>1332</v>
      </c>
    </row>
    <row r="637" spans="1:3" x14ac:dyDescent="0.2">
      <c r="A637" t="s">
        <v>1208</v>
      </c>
      <c r="B637" t="s">
        <v>1333</v>
      </c>
      <c r="C637" t="s">
        <v>1334</v>
      </c>
    </row>
    <row r="638" spans="1:3" x14ac:dyDescent="0.2">
      <c r="A638" t="s">
        <v>1208</v>
      </c>
      <c r="B638" t="s">
        <v>1335</v>
      </c>
      <c r="C638" t="s">
        <v>1336</v>
      </c>
    </row>
    <row r="639" spans="1:3" x14ac:dyDescent="0.2">
      <c r="A639" t="s">
        <v>1208</v>
      </c>
      <c r="B639" t="s">
        <v>1337</v>
      </c>
      <c r="C639" t="s">
        <v>1338</v>
      </c>
    </row>
    <row r="640" spans="1:3" x14ac:dyDescent="0.2">
      <c r="A640" t="s">
        <v>1208</v>
      </c>
      <c r="B640" t="s">
        <v>1339</v>
      </c>
      <c r="C640" t="s">
        <v>1340</v>
      </c>
    </row>
    <row r="641" spans="1:3" x14ac:dyDescent="0.2">
      <c r="A641" t="s">
        <v>1208</v>
      </c>
      <c r="B641" t="s">
        <v>1341</v>
      </c>
      <c r="C641" t="s">
        <v>1342</v>
      </c>
    </row>
    <row r="642" spans="1:3" x14ac:dyDescent="0.2">
      <c r="A642" t="s">
        <v>1208</v>
      </c>
      <c r="B642" t="s">
        <v>1343</v>
      </c>
      <c r="C642" t="s">
        <v>1344</v>
      </c>
    </row>
    <row r="643" spans="1:3" x14ac:dyDescent="0.2">
      <c r="A643" t="s">
        <v>1208</v>
      </c>
      <c r="B643" t="s">
        <v>1345</v>
      </c>
      <c r="C643" t="s">
        <v>1346</v>
      </c>
    </row>
    <row r="644" spans="1:3" x14ac:dyDescent="0.2">
      <c r="A644" t="s">
        <v>1208</v>
      </c>
      <c r="B644" t="s">
        <v>1347</v>
      </c>
      <c r="C644" t="s">
        <v>1348</v>
      </c>
    </row>
    <row r="645" spans="1:3" x14ac:dyDescent="0.2">
      <c r="A645" t="s">
        <v>1208</v>
      </c>
      <c r="B645" t="s">
        <v>1349</v>
      </c>
      <c r="C645" t="s">
        <v>1350</v>
      </c>
    </row>
    <row r="646" spans="1:3" x14ac:dyDescent="0.2">
      <c r="A646" t="s">
        <v>1208</v>
      </c>
      <c r="B646" t="s">
        <v>1351</v>
      </c>
      <c r="C646" t="s">
        <v>1352</v>
      </c>
    </row>
    <row r="647" spans="1:3" x14ac:dyDescent="0.2">
      <c r="A647" t="s">
        <v>1208</v>
      </c>
      <c r="B647" t="s">
        <v>1353</v>
      </c>
      <c r="C647" t="s">
        <v>1354</v>
      </c>
    </row>
    <row r="648" spans="1:3" x14ac:dyDescent="0.2">
      <c r="A648" t="s">
        <v>1208</v>
      </c>
      <c r="B648" t="s">
        <v>1355</v>
      </c>
      <c r="C648" t="s">
        <v>1356</v>
      </c>
    </row>
    <row r="649" spans="1:3" x14ac:dyDescent="0.2">
      <c r="A649" t="s">
        <v>1208</v>
      </c>
      <c r="B649" t="s">
        <v>1357</v>
      </c>
      <c r="C649" t="s">
        <v>1358</v>
      </c>
    </row>
    <row r="650" spans="1:3" x14ac:dyDescent="0.2">
      <c r="A650" t="s">
        <v>1208</v>
      </c>
      <c r="B650" t="s">
        <v>1359</v>
      </c>
      <c r="C650" t="s">
        <v>1360</v>
      </c>
    </row>
    <row r="651" spans="1:3" x14ac:dyDescent="0.2">
      <c r="A651" t="s">
        <v>1208</v>
      </c>
      <c r="B651" t="s">
        <v>1361</v>
      </c>
      <c r="C651" t="s">
        <v>1362</v>
      </c>
    </row>
    <row r="652" spans="1:3" x14ac:dyDescent="0.2">
      <c r="A652" t="s">
        <v>1208</v>
      </c>
      <c r="B652" t="s">
        <v>1363</v>
      </c>
      <c r="C652" t="s">
        <v>1364</v>
      </c>
    </row>
    <row r="653" spans="1:3" x14ac:dyDescent="0.2">
      <c r="A653" t="s">
        <v>1208</v>
      </c>
      <c r="B653" t="s">
        <v>1365</v>
      </c>
      <c r="C653" t="s">
        <v>1366</v>
      </c>
    </row>
    <row r="654" spans="1:3" x14ac:dyDescent="0.2">
      <c r="A654" t="s">
        <v>1208</v>
      </c>
      <c r="B654" t="s">
        <v>1367</v>
      </c>
      <c r="C654" t="s">
        <v>1368</v>
      </c>
    </row>
    <row r="655" spans="1:3" x14ac:dyDescent="0.2">
      <c r="A655" t="s">
        <v>1208</v>
      </c>
      <c r="B655" t="s">
        <v>1369</v>
      </c>
      <c r="C655" t="s">
        <v>1370</v>
      </c>
    </row>
    <row r="656" spans="1:3" x14ac:dyDescent="0.2">
      <c r="A656" t="s">
        <v>1208</v>
      </c>
      <c r="B656" t="s">
        <v>1371</v>
      </c>
      <c r="C656" t="s">
        <v>1372</v>
      </c>
    </row>
    <row r="657" spans="1:3" x14ac:dyDescent="0.2">
      <c r="A657" t="s">
        <v>1208</v>
      </c>
      <c r="B657" t="s">
        <v>1373</v>
      </c>
      <c r="C657" t="s">
        <v>1374</v>
      </c>
    </row>
    <row r="658" spans="1:3" x14ac:dyDescent="0.2">
      <c r="A658" t="s">
        <v>1208</v>
      </c>
      <c r="B658" t="s">
        <v>1375</v>
      </c>
      <c r="C658" t="s">
        <v>1376</v>
      </c>
    </row>
    <row r="659" spans="1:3" x14ac:dyDescent="0.2">
      <c r="A659" t="s">
        <v>1208</v>
      </c>
      <c r="B659" t="s">
        <v>1377</v>
      </c>
      <c r="C659" t="s">
        <v>1378</v>
      </c>
    </row>
    <row r="660" spans="1:3" x14ac:dyDescent="0.2">
      <c r="A660" t="s">
        <v>1208</v>
      </c>
      <c r="B660" t="s">
        <v>1379</v>
      </c>
      <c r="C660" t="s">
        <v>1380</v>
      </c>
    </row>
    <row r="661" spans="1:3" x14ac:dyDescent="0.2">
      <c r="A661" t="s">
        <v>1208</v>
      </c>
      <c r="B661" t="s">
        <v>1381</v>
      </c>
      <c r="C661" t="s">
        <v>1382</v>
      </c>
    </row>
    <row r="662" spans="1:3" x14ac:dyDescent="0.2">
      <c r="A662" t="s">
        <v>1208</v>
      </c>
      <c r="B662" t="s">
        <v>1383</v>
      </c>
      <c r="C662" t="s">
        <v>1384</v>
      </c>
    </row>
    <row r="663" spans="1:3" x14ac:dyDescent="0.2">
      <c r="A663" t="s">
        <v>1208</v>
      </c>
      <c r="B663" t="s">
        <v>1385</v>
      </c>
      <c r="C663" t="s">
        <v>1386</v>
      </c>
    </row>
    <row r="664" spans="1:3" x14ac:dyDescent="0.2">
      <c r="A664" t="s">
        <v>1208</v>
      </c>
      <c r="B664" t="s">
        <v>1387</v>
      </c>
      <c r="C664" t="s">
        <v>1388</v>
      </c>
    </row>
    <row r="665" spans="1:3" x14ac:dyDescent="0.2">
      <c r="A665" t="s">
        <v>1208</v>
      </c>
      <c r="B665" t="s">
        <v>1389</v>
      </c>
      <c r="C665" t="s">
        <v>1390</v>
      </c>
    </row>
    <row r="666" spans="1:3" x14ac:dyDescent="0.2">
      <c r="A666" t="s">
        <v>1208</v>
      </c>
      <c r="B666" t="s">
        <v>1391</v>
      </c>
      <c r="C666" t="s">
        <v>1392</v>
      </c>
    </row>
    <row r="667" spans="1:3" x14ac:dyDescent="0.2">
      <c r="A667" t="s">
        <v>1208</v>
      </c>
      <c r="B667" t="s">
        <v>1393</v>
      </c>
      <c r="C667" t="s">
        <v>1394</v>
      </c>
    </row>
    <row r="669" spans="1:3" x14ac:dyDescent="0.2">
      <c r="A669" t="s">
        <v>1395</v>
      </c>
      <c r="B669" t="s">
        <v>1209</v>
      </c>
      <c r="C669" t="s">
        <v>1210</v>
      </c>
    </row>
    <row r="670" spans="1:3" x14ac:dyDescent="0.2">
      <c r="A670" t="s">
        <v>1395</v>
      </c>
      <c r="B670" t="s">
        <v>1211</v>
      </c>
      <c r="C670" t="s">
        <v>1212</v>
      </c>
    </row>
    <row r="671" spans="1:3" x14ac:dyDescent="0.2">
      <c r="A671" t="s">
        <v>1395</v>
      </c>
      <c r="B671" t="s">
        <v>1213</v>
      </c>
      <c r="C671" t="s">
        <v>1214</v>
      </c>
    </row>
    <row r="672" spans="1:3" x14ac:dyDescent="0.2">
      <c r="A672" t="s">
        <v>1395</v>
      </c>
      <c r="B672" t="s">
        <v>1215</v>
      </c>
      <c r="C672" t="s">
        <v>1216</v>
      </c>
    </row>
    <row r="673" spans="1:3" x14ac:dyDescent="0.2">
      <c r="A673" t="s">
        <v>1395</v>
      </c>
      <c r="B673" t="s">
        <v>1217</v>
      </c>
      <c r="C673" t="s">
        <v>1218</v>
      </c>
    </row>
    <row r="674" spans="1:3" x14ac:dyDescent="0.2">
      <c r="A674" t="s">
        <v>1395</v>
      </c>
      <c r="B674" t="s">
        <v>1219</v>
      </c>
      <c r="C674" t="s">
        <v>1220</v>
      </c>
    </row>
    <row r="675" spans="1:3" x14ac:dyDescent="0.2">
      <c r="A675" t="s">
        <v>1395</v>
      </c>
      <c r="B675" t="s">
        <v>1221</v>
      </c>
      <c r="C675" t="s">
        <v>1222</v>
      </c>
    </row>
    <row r="676" spans="1:3" x14ac:dyDescent="0.2">
      <c r="A676" t="s">
        <v>1395</v>
      </c>
      <c r="B676" t="s">
        <v>1223</v>
      </c>
      <c r="C676" t="s">
        <v>1224</v>
      </c>
    </row>
    <row r="677" spans="1:3" x14ac:dyDescent="0.2">
      <c r="A677" t="s">
        <v>1395</v>
      </c>
      <c r="B677" t="s">
        <v>1225</v>
      </c>
      <c r="C677" t="s">
        <v>1226</v>
      </c>
    </row>
    <row r="678" spans="1:3" x14ac:dyDescent="0.2">
      <c r="A678" t="s">
        <v>1395</v>
      </c>
      <c r="B678" t="s">
        <v>1227</v>
      </c>
      <c r="C678" t="s">
        <v>1228</v>
      </c>
    </row>
    <row r="679" spans="1:3" x14ac:dyDescent="0.2">
      <c r="A679" t="s">
        <v>1395</v>
      </c>
      <c r="B679" t="s">
        <v>1229</v>
      </c>
      <c r="C679" t="s">
        <v>1230</v>
      </c>
    </row>
    <row r="680" spans="1:3" x14ac:dyDescent="0.2">
      <c r="A680" t="s">
        <v>1395</v>
      </c>
      <c r="B680" t="s">
        <v>1231</v>
      </c>
      <c r="C680" t="s">
        <v>1232</v>
      </c>
    </row>
    <row r="681" spans="1:3" x14ac:dyDescent="0.2">
      <c r="A681" t="s">
        <v>1395</v>
      </c>
      <c r="B681" t="s">
        <v>1233</v>
      </c>
      <c r="C681" t="s">
        <v>1234</v>
      </c>
    </row>
    <row r="682" spans="1:3" x14ac:dyDescent="0.2">
      <c r="A682" t="s">
        <v>1395</v>
      </c>
      <c r="B682" t="s">
        <v>1235</v>
      </c>
      <c r="C682" t="s">
        <v>1236</v>
      </c>
    </row>
    <row r="683" spans="1:3" x14ac:dyDescent="0.2">
      <c r="A683" t="s">
        <v>1395</v>
      </c>
      <c r="B683" t="s">
        <v>1237</v>
      </c>
      <c r="C683" t="s">
        <v>1238</v>
      </c>
    </row>
    <row r="684" spans="1:3" x14ac:dyDescent="0.2">
      <c r="A684" t="s">
        <v>1395</v>
      </c>
      <c r="B684" t="s">
        <v>1239</v>
      </c>
      <c r="C684" t="s">
        <v>1240</v>
      </c>
    </row>
    <row r="685" spans="1:3" x14ac:dyDescent="0.2">
      <c r="A685" t="s">
        <v>1395</v>
      </c>
      <c r="B685" t="s">
        <v>1241</v>
      </c>
      <c r="C685" t="s">
        <v>1242</v>
      </c>
    </row>
    <row r="686" spans="1:3" x14ac:dyDescent="0.2">
      <c r="A686" t="s">
        <v>1395</v>
      </c>
      <c r="B686" t="s">
        <v>1243</v>
      </c>
      <c r="C686" t="s">
        <v>1244</v>
      </c>
    </row>
    <row r="687" spans="1:3" x14ac:dyDescent="0.2">
      <c r="A687" t="s">
        <v>1395</v>
      </c>
      <c r="B687" t="s">
        <v>1245</v>
      </c>
      <c r="C687" t="s">
        <v>1246</v>
      </c>
    </row>
    <row r="688" spans="1:3" x14ac:dyDescent="0.2">
      <c r="A688" t="s">
        <v>1395</v>
      </c>
      <c r="B688" t="s">
        <v>1247</v>
      </c>
      <c r="C688" t="s">
        <v>1248</v>
      </c>
    </row>
    <row r="689" spans="1:3" x14ac:dyDescent="0.2">
      <c r="A689" t="s">
        <v>1395</v>
      </c>
      <c r="B689" t="s">
        <v>1249</v>
      </c>
      <c r="C689" t="s">
        <v>1250</v>
      </c>
    </row>
    <row r="690" spans="1:3" x14ac:dyDescent="0.2">
      <c r="A690" t="s">
        <v>1395</v>
      </c>
      <c r="B690" t="s">
        <v>1251</v>
      </c>
      <c r="C690" t="s">
        <v>1252</v>
      </c>
    </row>
    <row r="691" spans="1:3" x14ac:dyDescent="0.2">
      <c r="A691" t="s">
        <v>1395</v>
      </c>
      <c r="B691" t="s">
        <v>1253</v>
      </c>
      <c r="C691" t="s">
        <v>1254</v>
      </c>
    </row>
    <row r="692" spans="1:3" x14ac:dyDescent="0.2">
      <c r="A692" t="s">
        <v>1395</v>
      </c>
      <c r="B692" t="s">
        <v>1255</v>
      </c>
      <c r="C692" t="s">
        <v>1256</v>
      </c>
    </row>
    <row r="693" spans="1:3" x14ac:dyDescent="0.2">
      <c r="A693" t="s">
        <v>1395</v>
      </c>
      <c r="B693" t="s">
        <v>1257</v>
      </c>
      <c r="C693" t="s">
        <v>1258</v>
      </c>
    </row>
    <row r="694" spans="1:3" x14ac:dyDescent="0.2">
      <c r="A694" t="s">
        <v>1395</v>
      </c>
      <c r="B694" t="s">
        <v>1259</v>
      </c>
      <c r="C694" t="s">
        <v>1260</v>
      </c>
    </row>
    <row r="695" spans="1:3" x14ac:dyDescent="0.2">
      <c r="A695" t="s">
        <v>1395</v>
      </c>
      <c r="B695" t="s">
        <v>1261</v>
      </c>
      <c r="C695" t="s">
        <v>1262</v>
      </c>
    </row>
    <row r="696" spans="1:3" x14ac:dyDescent="0.2">
      <c r="A696" t="s">
        <v>1395</v>
      </c>
      <c r="B696" t="s">
        <v>1263</v>
      </c>
      <c r="C696" t="s">
        <v>1264</v>
      </c>
    </row>
    <row r="697" spans="1:3" x14ac:dyDescent="0.2">
      <c r="A697" t="s">
        <v>1395</v>
      </c>
      <c r="B697" t="s">
        <v>1265</v>
      </c>
      <c r="C697" t="s">
        <v>1266</v>
      </c>
    </row>
    <row r="698" spans="1:3" x14ac:dyDescent="0.2">
      <c r="A698" t="s">
        <v>1395</v>
      </c>
      <c r="B698" t="s">
        <v>1267</v>
      </c>
      <c r="C698" t="s">
        <v>1268</v>
      </c>
    </row>
    <row r="699" spans="1:3" x14ac:dyDescent="0.2">
      <c r="A699" t="s">
        <v>1395</v>
      </c>
      <c r="B699" t="s">
        <v>1269</v>
      </c>
      <c r="C699" t="s">
        <v>1270</v>
      </c>
    </row>
    <row r="700" spans="1:3" x14ac:dyDescent="0.2">
      <c r="A700" t="s">
        <v>1395</v>
      </c>
      <c r="B700" t="s">
        <v>1271</v>
      </c>
      <c r="C700" t="s">
        <v>1272</v>
      </c>
    </row>
    <row r="701" spans="1:3" x14ac:dyDescent="0.2">
      <c r="A701" t="s">
        <v>1395</v>
      </c>
      <c r="B701" t="s">
        <v>1273</v>
      </c>
      <c r="C701" t="s">
        <v>1274</v>
      </c>
    </row>
    <row r="702" spans="1:3" x14ac:dyDescent="0.2">
      <c r="A702" t="s">
        <v>1395</v>
      </c>
      <c r="B702" t="s">
        <v>1275</v>
      </c>
      <c r="C702" t="s">
        <v>1276</v>
      </c>
    </row>
    <row r="703" spans="1:3" x14ac:dyDescent="0.2">
      <c r="A703" t="s">
        <v>1395</v>
      </c>
      <c r="B703" t="s">
        <v>1277</v>
      </c>
      <c r="C703" t="s">
        <v>1278</v>
      </c>
    </row>
    <row r="704" spans="1:3" x14ac:dyDescent="0.2">
      <c r="A704" t="s">
        <v>1395</v>
      </c>
      <c r="B704" t="s">
        <v>1279</v>
      </c>
      <c r="C704" t="s">
        <v>1280</v>
      </c>
    </row>
    <row r="705" spans="1:3" x14ac:dyDescent="0.2">
      <c r="A705" t="s">
        <v>1395</v>
      </c>
      <c r="B705" t="s">
        <v>1281</v>
      </c>
      <c r="C705" t="s">
        <v>1282</v>
      </c>
    </row>
    <row r="706" spans="1:3" x14ac:dyDescent="0.2">
      <c r="A706" t="s">
        <v>1395</v>
      </c>
      <c r="B706" t="s">
        <v>1283</v>
      </c>
      <c r="C706" t="s">
        <v>1284</v>
      </c>
    </row>
    <row r="707" spans="1:3" x14ac:dyDescent="0.2">
      <c r="A707" t="s">
        <v>1395</v>
      </c>
      <c r="B707" t="s">
        <v>1285</v>
      </c>
      <c r="C707" t="s">
        <v>1286</v>
      </c>
    </row>
    <row r="708" spans="1:3" x14ac:dyDescent="0.2">
      <c r="A708" t="s">
        <v>1395</v>
      </c>
      <c r="B708" t="s">
        <v>1287</v>
      </c>
      <c r="C708" t="s">
        <v>1288</v>
      </c>
    </row>
    <row r="709" spans="1:3" x14ac:dyDescent="0.2">
      <c r="A709" t="s">
        <v>1395</v>
      </c>
      <c r="B709" t="s">
        <v>1289</v>
      </c>
      <c r="C709" t="s">
        <v>1290</v>
      </c>
    </row>
    <row r="710" spans="1:3" x14ac:dyDescent="0.2">
      <c r="A710" t="s">
        <v>1395</v>
      </c>
      <c r="B710" t="s">
        <v>1291</v>
      </c>
      <c r="C710" t="s">
        <v>1292</v>
      </c>
    </row>
    <row r="711" spans="1:3" x14ac:dyDescent="0.2">
      <c r="A711" t="s">
        <v>1395</v>
      </c>
      <c r="B711" t="s">
        <v>1293</v>
      </c>
      <c r="C711" t="s">
        <v>1294</v>
      </c>
    </row>
    <row r="712" spans="1:3" x14ac:dyDescent="0.2">
      <c r="A712" t="s">
        <v>1395</v>
      </c>
      <c r="B712" t="s">
        <v>1295</v>
      </c>
      <c r="C712" t="s">
        <v>1296</v>
      </c>
    </row>
    <row r="713" spans="1:3" x14ac:dyDescent="0.2">
      <c r="A713" t="s">
        <v>1395</v>
      </c>
      <c r="B713" t="s">
        <v>1297</v>
      </c>
      <c r="C713" t="s">
        <v>1298</v>
      </c>
    </row>
    <row r="714" spans="1:3" x14ac:dyDescent="0.2">
      <c r="A714" t="s">
        <v>1395</v>
      </c>
      <c r="B714" t="s">
        <v>1299</v>
      </c>
      <c r="C714" t="s">
        <v>1300</v>
      </c>
    </row>
    <row r="715" spans="1:3" x14ac:dyDescent="0.2">
      <c r="A715" t="s">
        <v>1395</v>
      </c>
      <c r="B715" t="s">
        <v>1301</v>
      </c>
      <c r="C715" t="s">
        <v>1302</v>
      </c>
    </row>
    <row r="716" spans="1:3" x14ac:dyDescent="0.2">
      <c r="A716" t="s">
        <v>1395</v>
      </c>
      <c r="B716" t="s">
        <v>1303</v>
      </c>
      <c r="C716" t="s">
        <v>1304</v>
      </c>
    </row>
    <row r="717" spans="1:3" x14ac:dyDescent="0.2">
      <c r="A717" t="s">
        <v>1395</v>
      </c>
      <c r="B717" t="s">
        <v>1305</v>
      </c>
      <c r="C717" t="s">
        <v>1306</v>
      </c>
    </row>
    <row r="718" spans="1:3" x14ac:dyDescent="0.2">
      <c r="A718" t="s">
        <v>1395</v>
      </c>
      <c r="B718" t="s">
        <v>1307</v>
      </c>
      <c r="C718" t="s">
        <v>1308</v>
      </c>
    </row>
    <row r="719" spans="1:3" x14ac:dyDescent="0.2">
      <c r="A719" t="s">
        <v>1395</v>
      </c>
      <c r="B719" t="s">
        <v>1309</v>
      </c>
      <c r="C719" t="s">
        <v>1310</v>
      </c>
    </row>
    <row r="720" spans="1:3" x14ac:dyDescent="0.2">
      <c r="A720" t="s">
        <v>1395</v>
      </c>
      <c r="B720" t="s">
        <v>1311</v>
      </c>
      <c r="C720" t="s">
        <v>1312</v>
      </c>
    </row>
    <row r="721" spans="1:3" x14ac:dyDescent="0.2">
      <c r="A721" t="s">
        <v>1395</v>
      </c>
      <c r="B721" t="s">
        <v>1313</v>
      </c>
      <c r="C721" t="s">
        <v>1314</v>
      </c>
    </row>
    <row r="722" spans="1:3" x14ac:dyDescent="0.2">
      <c r="A722" t="s">
        <v>1395</v>
      </c>
      <c r="B722" t="s">
        <v>1315</v>
      </c>
      <c r="C722" t="s">
        <v>1316</v>
      </c>
    </row>
    <row r="723" spans="1:3" x14ac:dyDescent="0.2">
      <c r="A723" t="s">
        <v>1395</v>
      </c>
      <c r="B723" t="s">
        <v>1317</v>
      </c>
      <c r="C723" t="s">
        <v>1318</v>
      </c>
    </row>
    <row r="724" spans="1:3" x14ac:dyDescent="0.2">
      <c r="A724" t="s">
        <v>1395</v>
      </c>
      <c r="B724" t="s">
        <v>1319</v>
      </c>
      <c r="C724" t="s">
        <v>1320</v>
      </c>
    </row>
    <row r="725" spans="1:3" x14ac:dyDescent="0.2">
      <c r="A725" t="s">
        <v>1395</v>
      </c>
      <c r="B725" t="s">
        <v>1321</v>
      </c>
      <c r="C725" t="s">
        <v>1322</v>
      </c>
    </row>
    <row r="726" spans="1:3" x14ac:dyDescent="0.2">
      <c r="A726" t="s">
        <v>1395</v>
      </c>
      <c r="B726" t="s">
        <v>1323</v>
      </c>
      <c r="C726" t="s">
        <v>1324</v>
      </c>
    </row>
    <row r="727" spans="1:3" x14ac:dyDescent="0.2">
      <c r="A727" t="s">
        <v>1395</v>
      </c>
      <c r="B727" t="s">
        <v>1325</v>
      </c>
      <c r="C727" t="s">
        <v>1326</v>
      </c>
    </row>
    <row r="728" spans="1:3" x14ac:dyDescent="0.2">
      <c r="A728" t="s">
        <v>1395</v>
      </c>
      <c r="B728" t="s">
        <v>1327</v>
      </c>
      <c r="C728" t="s">
        <v>1328</v>
      </c>
    </row>
    <row r="729" spans="1:3" x14ac:dyDescent="0.2">
      <c r="A729" t="s">
        <v>1395</v>
      </c>
      <c r="B729" t="s">
        <v>1329</v>
      </c>
      <c r="C729" t="s">
        <v>1330</v>
      </c>
    </row>
    <row r="730" spans="1:3" x14ac:dyDescent="0.2">
      <c r="A730" t="s">
        <v>1395</v>
      </c>
      <c r="B730" t="s">
        <v>1331</v>
      </c>
      <c r="C730" t="s">
        <v>1332</v>
      </c>
    </row>
    <row r="731" spans="1:3" x14ac:dyDescent="0.2">
      <c r="A731" t="s">
        <v>1395</v>
      </c>
      <c r="B731" t="s">
        <v>1333</v>
      </c>
      <c r="C731" t="s">
        <v>1334</v>
      </c>
    </row>
    <row r="732" spans="1:3" x14ac:dyDescent="0.2">
      <c r="A732" t="s">
        <v>1395</v>
      </c>
      <c r="B732" t="s">
        <v>1335</v>
      </c>
      <c r="C732" t="s">
        <v>1336</v>
      </c>
    </row>
    <row r="733" spans="1:3" x14ac:dyDescent="0.2">
      <c r="A733" t="s">
        <v>1395</v>
      </c>
      <c r="B733" t="s">
        <v>1337</v>
      </c>
      <c r="C733" t="s">
        <v>1338</v>
      </c>
    </row>
    <row r="734" spans="1:3" x14ac:dyDescent="0.2">
      <c r="A734" t="s">
        <v>1395</v>
      </c>
      <c r="B734" t="s">
        <v>1339</v>
      </c>
      <c r="C734" t="s">
        <v>1340</v>
      </c>
    </row>
    <row r="735" spans="1:3" x14ac:dyDescent="0.2">
      <c r="A735" t="s">
        <v>1395</v>
      </c>
      <c r="B735" t="s">
        <v>1341</v>
      </c>
      <c r="C735" t="s">
        <v>1342</v>
      </c>
    </row>
    <row r="736" spans="1:3" x14ac:dyDescent="0.2">
      <c r="A736" t="s">
        <v>1395</v>
      </c>
      <c r="B736" t="s">
        <v>1343</v>
      </c>
      <c r="C736" t="s">
        <v>1344</v>
      </c>
    </row>
    <row r="737" spans="1:3" x14ac:dyDescent="0.2">
      <c r="A737" t="s">
        <v>1395</v>
      </c>
      <c r="B737" t="s">
        <v>1345</v>
      </c>
      <c r="C737" t="s">
        <v>1346</v>
      </c>
    </row>
    <row r="738" spans="1:3" x14ac:dyDescent="0.2">
      <c r="A738" t="s">
        <v>1395</v>
      </c>
      <c r="B738" t="s">
        <v>1347</v>
      </c>
      <c r="C738" t="s">
        <v>1348</v>
      </c>
    </row>
    <row r="739" spans="1:3" x14ac:dyDescent="0.2">
      <c r="A739" t="s">
        <v>1395</v>
      </c>
      <c r="B739" t="s">
        <v>1349</v>
      </c>
      <c r="C739" t="s">
        <v>1350</v>
      </c>
    </row>
    <row r="740" spans="1:3" x14ac:dyDescent="0.2">
      <c r="A740" t="s">
        <v>1395</v>
      </c>
      <c r="B740" t="s">
        <v>1351</v>
      </c>
      <c r="C740" t="s">
        <v>1352</v>
      </c>
    </row>
    <row r="741" spans="1:3" x14ac:dyDescent="0.2">
      <c r="A741" t="s">
        <v>1395</v>
      </c>
      <c r="B741" t="s">
        <v>1353</v>
      </c>
      <c r="C741" t="s">
        <v>1354</v>
      </c>
    </row>
    <row r="742" spans="1:3" x14ac:dyDescent="0.2">
      <c r="A742" t="s">
        <v>1395</v>
      </c>
      <c r="B742" t="s">
        <v>1355</v>
      </c>
      <c r="C742" t="s">
        <v>1356</v>
      </c>
    </row>
    <row r="743" spans="1:3" x14ac:dyDescent="0.2">
      <c r="A743" t="s">
        <v>1395</v>
      </c>
      <c r="B743" t="s">
        <v>1357</v>
      </c>
      <c r="C743" t="s">
        <v>1358</v>
      </c>
    </row>
    <row r="744" spans="1:3" x14ac:dyDescent="0.2">
      <c r="A744" t="s">
        <v>1395</v>
      </c>
      <c r="B744" t="s">
        <v>1359</v>
      </c>
      <c r="C744" t="s">
        <v>1360</v>
      </c>
    </row>
    <row r="745" spans="1:3" x14ac:dyDescent="0.2">
      <c r="A745" t="s">
        <v>1395</v>
      </c>
      <c r="B745" t="s">
        <v>1361</v>
      </c>
      <c r="C745" t="s">
        <v>1362</v>
      </c>
    </row>
    <row r="746" spans="1:3" x14ac:dyDescent="0.2">
      <c r="A746" t="s">
        <v>1395</v>
      </c>
      <c r="B746" t="s">
        <v>1363</v>
      </c>
      <c r="C746" t="s">
        <v>1364</v>
      </c>
    </row>
    <row r="747" spans="1:3" x14ac:dyDescent="0.2">
      <c r="A747" t="s">
        <v>1395</v>
      </c>
      <c r="B747" t="s">
        <v>1365</v>
      </c>
      <c r="C747" t="s">
        <v>1366</v>
      </c>
    </row>
    <row r="748" spans="1:3" x14ac:dyDescent="0.2">
      <c r="A748" t="s">
        <v>1395</v>
      </c>
      <c r="B748" t="s">
        <v>1367</v>
      </c>
      <c r="C748" t="s">
        <v>1368</v>
      </c>
    </row>
    <row r="749" spans="1:3" x14ac:dyDescent="0.2">
      <c r="A749" t="s">
        <v>1395</v>
      </c>
      <c r="B749" t="s">
        <v>1369</v>
      </c>
      <c r="C749" t="s">
        <v>1370</v>
      </c>
    </row>
    <row r="750" spans="1:3" x14ac:dyDescent="0.2">
      <c r="A750" t="s">
        <v>1395</v>
      </c>
      <c r="B750" t="s">
        <v>1371</v>
      </c>
      <c r="C750" t="s">
        <v>1372</v>
      </c>
    </row>
    <row r="751" spans="1:3" x14ac:dyDescent="0.2">
      <c r="A751" t="s">
        <v>1395</v>
      </c>
      <c r="B751" t="s">
        <v>1373</v>
      </c>
      <c r="C751" t="s">
        <v>1374</v>
      </c>
    </row>
    <row r="752" spans="1:3" x14ac:dyDescent="0.2">
      <c r="A752" t="s">
        <v>1395</v>
      </c>
      <c r="B752" t="s">
        <v>1375</v>
      </c>
      <c r="C752" t="s">
        <v>1376</v>
      </c>
    </row>
    <row r="753" spans="1:3" x14ac:dyDescent="0.2">
      <c r="A753" t="s">
        <v>1395</v>
      </c>
      <c r="B753" t="s">
        <v>1377</v>
      </c>
      <c r="C753" t="s">
        <v>1378</v>
      </c>
    </row>
    <row r="754" spans="1:3" x14ac:dyDescent="0.2">
      <c r="A754" t="s">
        <v>1395</v>
      </c>
      <c r="B754" t="s">
        <v>1379</v>
      </c>
      <c r="C754" t="s">
        <v>1380</v>
      </c>
    </row>
    <row r="755" spans="1:3" x14ac:dyDescent="0.2">
      <c r="A755" t="s">
        <v>1395</v>
      </c>
      <c r="B755" t="s">
        <v>1381</v>
      </c>
      <c r="C755" t="s">
        <v>1382</v>
      </c>
    </row>
    <row r="756" spans="1:3" x14ac:dyDescent="0.2">
      <c r="A756" t="s">
        <v>1395</v>
      </c>
      <c r="B756" t="s">
        <v>1383</v>
      </c>
      <c r="C756" t="s">
        <v>1384</v>
      </c>
    </row>
    <row r="757" spans="1:3" x14ac:dyDescent="0.2">
      <c r="A757" t="s">
        <v>1395</v>
      </c>
      <c r="B757" t="s">
        <v>1385</v>
      </c>
      <c r="C757" t="s">
        <v>1386</v>
      </c>
    </row>
    <row r="758" spans="1:3" x14ac:dyDescent="0.2">
      <c r="A758" t="s">
        <v>1395</v>
      </c>
      <c r="B758" t="s">
        <v>1387</v>
      </c>
      <c r="C758" t="s">
        <v>1388</v>
      </c>
    </row>
    <row r="759" spans="1:3" x14ac:dyDescent="0.2">
      <c r="A759" t="s">
        <v>1395</v>
      </c>
      <c r="B759" t="s">
        <v>1396</v>
      </c>
      <c r="C759" t="s">
        <v>1397</v>
      </c>
    </row>
    <row r="760" spans="1:3" x14ac:dyDescent="0.2">
      <c r="A760" t="s">
        <v>1395</v>
      </c>
      <c r="B760" t="s">
        <v>1391</v>
      </c>
      <c r="C760" t="s">
        <v>1392</v>
      </c>
    </row>
    <row r="761" spans="1:3" x14ac:dyDescent="0.2">
      <c r="A761" t="s">
        <v>1395</v>
      </c>
      <c r="B761" t="s">
        <v>1393</v>
      </c>
      <c r="C761" t="s">
        <v>1394</v>
      </c>
    </row>
    <row r="763" spans="1:3" x14ac:dyDescent="0.2">
      <c r="A763" t="s">
        <v>1398</v>
      </c>
      <c r="B763" t="s">
        <v>1209</v>
      </c>
      <c r="C763" t="s">
        <v>1210</v>
      </c>
    </row>
    <row r="764" spans="1:3" x14ac:dyDescent="0.2">
      <c r="A764" t="s">
        <v>1398</v>
      </c>
      <c r="B764" t="s">
        <v>1211</v>
      </c>
      <c r="C764" t="s">
        <v>1212</v>
      </c>
    </row>
    <row r="765" spans="1:3" x14ac:dyDescent="0.2">
      <c r="A765" t="s">
        <v>1398</v>
      </c>
      <c r="B765" t="s">
        <v>1213</v>
      </c>
      <c r="C765" t="s">
        <v>1214</v>
      </c>
    </row>
    <row r="766" spans="1:3" x14ac:dyDescent="0.2">
      <c r="A766" t="s">
        <v>1398</v>
      </c>
      <c r="B766" t="s">
        <v>1215</v>
      </c>
      <c r="C766" t="s">
        <v>1216</v>
      </c>
    </row>
    <row r="767" spans="1:3" x14ac:dyDescent="0.2">
      <c r="A767" t="s">
        <v>1398</v>
      </c>
      <c r="B767" t="s">
        <v>1217</v>
      </c>
      <c r="C767" t="s">
        <v>1218</v>
      </c>
    </row>
    <row r="768" spans="1:3" x14ac:dyDescent="0.2">
      <c r="A768" t="s">
        <v>1398</v>
      </c>
      <c r="B768" t="s">
        <v>1219</v>
      </c>
      <c r="C768" t="s">
        <v>1220</v>
      </c>
    </row>
    <row r="769" spans="1:3" x14ac:dyDescent="0.2">
      <c r="A769" t="s">
        <v>1398</v>
      </c>
      <c r="B769" t="s">
        <v>1221</v>
      </c>
      <c r="C769" t="s">
        <v>1222</v>
      </c>
    </row>
    <row r="770" spans="1:3" x14ac:dyDescent="0.2">
      <c r="A770" t="s">
        <v>1398</v>
      </c>
      <c r="B770" t="s">
        <v>1223</v>
      </c>
      <c r="C770" t="s">
        <v>1224</v>
      </c>
    </row>
    <row r="771" spans="1:3" x14ac:dyDescent="0.2">
      <c r="A771" t="s">
        <v>1398</v>
      </c>
      <c r="B771" t="s">
        <v>1225</v>
      </c>
      <c r="C771" t="s">
        <v>1226</v>
      </c>
    </row>
    <row r="772" spans="1:3" x14ac:dyDescent="0.2">
      <c r="A772" t="s">
        <v>1398</v>
      </c>
      <c r="B772" t="s">
        <v>1227</v>
      </c>
      <c r="C772" t="s">
        <v>1228</v>
      </c>
    </row>
    <row r="773" spans="1:3" x14ac:dyDescent="0.2">
      <c r="A773" t="s">
        <v>1398</v>
      </c>
      <c r="B773" t="s">
        <v>1229</v>
      </c>
      <c r="C773" t="s">
        <v>1230</v>
      </c>
    </row>
    <row r="774" spans="1:3" x14ac:dyDescent="0.2">
      <c r="A774" t="s">
        <v>1398</v>
      </c>
      <c r="B774" t="s">
        <v>1231</v>
      </c>
      <c r="C774" t="s">
        <v>1232</v>
      </c>
    </row>
    <row r="775" spans="1:3" x14ac:dyDescent="0.2">
      <c r="A775" t="s">
        <v>1398</v>
      </c>
      <c r="B775" t="s">
        <v>1233</v>
      </c>
      <c r="C775" t="s">
        <v>1234</v>
      </c>
    </row>
    <row r="776" spans="1:3" x14ac:dyDescent="0.2">
      <c r="A776" t="s">
        <v>1398</v>
      </c>
      <c r="B776" t="s">
        <v>1235</v>
      </c>
      <c r="C776" t="s">
        <v>1236</v>
      </c>
    </row>
    <row r="777" spans="1:3" x14ac:dyDescent="0.2">
      <c r="A777" t="s">
        <v>1398</v>
      </c>
      <c r="B777" t="s">
        <v>1237</v>
      </c>
      <c r="C777" t="s">
        <v>1238</v>
      </c>
    </row>
    <row r="778" spans="1:3" x14ac:dyDescent="0.2">
      <c r="A778" t="s">
        <v>1398</v>
      </c>
      <c r="B778" t="s">
        <v>1239</v>
      </c>
      <c r="C778" t="s">
        <v>1240</v>
      </c>
    </row>
    <row r="779" spans="1:3" x14ac:dyDescent="0.2">
      <c r="A779" t="s">
        <v>1398</v>
      </c>
      <c r="B779" t="s">
        <v>1241</v>
      </c>
      <c r="C779" t="s">
        <v>1242</v>
      </c>
    </row>
    <row r="780" spans="1:3" x14ac:dyDescent="0.2">
      <c r="A780" t="s">
        <v>1398</v>
      </c>
      <c r="B780" t="s">
        <v>1243</v>
      </c>
      <c r="C780" t="s">
        <v>1244</v>
      </c>
    </row>
    <row r="781" spans="1:3" x14ac:dyDescent="0.2">
      <c r="A781" t="s">
        <v>1398</v>
      </c>
      <c r="B781" t="s">
        <v>1245</v>
      </c>
      <c r="C781" t="s">
        <v>1246</v>
      </c>
    </row>
    <row r="782" spans="1:3" x14ac:dyDescent="0.2">
      <c r="A782" t="s">
        <v>1398</v>
      </c>
      <c r="B782" t="s">
        <v>1247</v>
      </c>
      <c r="C782" t="s">
        <v>1248</v>
      </c>
    </row>
    <row r="783" spans="1:3" x14ac:dyDescent="0.2">
      <c r="A783" t="s">
        <v>1398</v>
      </c>
      <c r="B783" t="s">
        <v>1249</v>
      </c>
      <c r="C783" t="s">
        <v>1250</v>
      </c>
    </row>
    <row r="784" spans="1:3" x14ac:dyDescent="0.2">
      <c r="A784" t="s">
        <v>1398</v>
      </c>
      <c r="B784" t="s">
        <v>1251</v>
      </c>
      <c r="C784" t="s">
        <v>1252</v>
      </c>
    </row>
    <row r="785" spans="1:3" x14ac:dyDescent="0.2">
      <c r="A785" t="s">
        <v>1398</v>
      </c>
      <c r="B785" t="s">
        <v>1253</v>
      </c>
      <c r="C785" t="s">
        <v>1254</v>
      </c>
    </row>
    <row r="786" spans="1:3" x14ac:dyDescent="0.2">
      <c r="A786" t="s">
        <v>1398</v>
      </c>
      <c r="B786" t="s">
        <v>1255</v>
      </c>
      <c r="C786" t="s">
        <v>1256</v>
      </c>
    </row>
    <row r="787" spans="1:3" x14ac:dyDescent="0.2">
      <c r="A787" t="s">
        <v>1398</v>
      </c>
      <c r="B787" t="s">
        <v>1257</v>
      </c>
      <c r="C787" t="s">
        <v>1258</v>
      </c>
    </row>
    <row r="788" spans="1:3" x14ac:dyDescent="0.2">
      <c r="A788" t="s">
        <v>1398</v>
      </c>
      <c r="B788" t="s">
        <v>1259</v>
      </c>
      <c r="C788" t="s">
        <v>1260</v>
      </c>
    </row>
    <row r="789" spans="1:3" x14ac:dyDescent="0.2">
      <c r="A789" t="s">
        <v>1398</v>
      </c>
      <c r="B789" t="s">
        <v>1261</v>
      </c>
      <c r="C789" t="s">
        <v>1262</v>
      </c>
    </row>
    <row r="790" spans="1:3" x14ac:dyDescent="0.2">
      <c r="A790" t="s">
        <v>1398</v>
      </c>
      <c r="B790" t="s">
        <v>1263</v>
      </c>
      <c r="C790" t="s">
        <v>1264</v>
      </c>
    </row>
    <row r="791" spans="1:3" x14ac:dyDescent="0.2">
      <c r="A791" t="s">
        <v>1398</v>
      </c>
      <c r="B791" t="s">
        <v>1265</v>
      </c>
      <c r="C791" t="s">
        <v>1266</v>
      </c>
    </row>
    <row r="792" spans="1:3" x14ac:dyDescent="0.2">
      <c r="A792" t="s">
        <v>1398</v>
      </c>
      <c r="B792" t="s">
        <v>1267</v>
      </c>
      <c r="C792" t="s">
        <v>1268</v>
      </c>
    </row>
    <row r="793" spans="1:3" x14ac:dyDescent="0.2">
      <c r="A793" t="s">
        <v>1398</v>
      </c>
      <c r="B793" t="s">
        <v>1269</v>
      </c>
      <c r="C793" t="s">
        <v>1270</v>
      </c>
    </row>
    <row r="794" spans="1:3" x14ac:dyDescent="0.2">
      <c r="A794" t="s">
        <v>1398</v>
      </c>
      <c r="B794" t="s">
        <v>1271</v>
      </c>
      <c r="C794" t="s">
        <v>1272</v>
      </c>
    </row>
    <row r="795" spans="1:3" x14ac:dyDescent="0.2">
      <c r="A795" t="s">
        <v>1398</v>
      </c>
      <c r="B795" t="s">
        <v>1273</v>
      </c>
      <c r="C795" t="s">
        <v>1274</v>
      </c>
    </row>
    <row r="796" spans="1:3" x14ac:dyDescent="0.2">
      <c r="A796" t="s">
        <v>1398</v>
      </c>
      <c r="B796" t="s">
        <v>1275</v>
      </c>
      <c r="C796" t="s">
        <v>1276</v>
      </c>
    </row>
    <row r="797" spans="1:3" x14ac:dyDescent="0.2">
      <c r="A797" t="s">
        <v>1398</v>
      </c>
      <c r="B797" t="s">
        <v>1277</v>
      </c>
      <c r="C797" t="s">
        <v>1278</v>
      </c>
    </row>
    <row r="798" spans="1:3" x14ac:dyDescent="0.2">
      <c r="A798" t="s">
        <v>1398</v>
      </c>
      <c r="B798" t="s">
        <v>1279</v>
      </c>
      <c r="C798" t="s">
        <v>1280</v>
      </c>
    </row>
    <row r="799" spans="1:3" x14ac:dyDescent="0.2">
      <c r="A799" t="s">
        <v>1398</v>
      </c>
      <c r="B799" t="s">
        <v>1281</v>
      </c>
      <c r="C799" t="s">
        <v>1282</v>
      </c>
    </row>
    <row r="800" spans="1:3" x14ac:dyDescent="0.2">
      <c r="A800" t="s">
        <v>1398</v>
      </c>
      <c r="B800" t="s">
        <v>1283</v>
      </c>
      <c r="C800" t="s">
        <v>1284</v>
      </c>
    </row>
    <row r="801" spans="1:3" x14ac:dyDescent="0.2">
      <c r="A801" t="s">
        <v>1398</v>
      </c>
      <c r="B801" t="s">
        <v>1285</v>
      </c>
      <c r="C801" t="s">
        <v>1286</v>
      </c>
    </row>
    <row r="802" spans="1:3" x14ac:dyDescent="0.2">
      <c r="A802" t="s">
        <v>1398</v>
      </c>
      <c r="B802" t="s">
        <v>1287</v>
      </c>
      <c r="C802" t="s">
        <v>1288</v>
      </c>
    </row>
    <row r="803" spans="1:3" x14ac:dyDescent="0.2">
      <c r="A803" t="s">
        <v>1398</v>
      </c>
      <c r="B803" t="s">
        <v>1289</v>
      </c>
      <c r="C803" t="s">
        <v>1290</v>
      </c>
    </row>
    <row r="804" spans="1:3" x14ac:dyDescent="0.2">
      <c r="A804" t="s">
        <v>1398</v>
      </c>
      <c r="B804" t="s">
        <v>1291</v>
      </c>
      <c r="C804" t="s">
        <v>1292</v>
      </c>
    </row>
    <row r="805" spans="1:3" x14ac:dyDescent="0.2">
      <c r="A805" t="s">
        <v>1398</v>
      </c>
      <c r="B805" t="s">
        <v>1293</v>
      </c>
      <c r="C805" t="s">
        <v>1294</v>
      </c>
    </row>
    <row r="806" spans="1:3" x14ac:dyDescent="0.2">
      <c r="A806" t="s">
        <v>1398</v>
      </c>
      <c r="B806" t="s">
        <v>1295</v>
      </c>
      <c r="C806" t="s">
        <v>1296</v>
      </c>
    </row>
    <row r="807" spans="1:3" x14ac:dyDescent="0.2">
      <c r="A807" t="s">
        <v>1398</v>
      </c>
      <c r="B807" t="s">
        <v>1297</v>
      </c>
      <c r="C807" t="s">
        <v>1298</v>
      </c>
    </row>
    <row r="808" spans="1:3" x14ac:dyDescent="0.2">
      <c r="A808" t="s">
        <v>1398</v>
      </c>
      <c r="B808" t="s">
        <v>1299</v>
      </c>
      <c r="C808" t="s">
        <v>1300</v>
      </c>
    </row>
    <row r="809" spans="1:3" x14ac:dyDescent="0.2">
      <c r="A809" t="s">
        <v>1398</v>
      </c>
      <c r="B809" t="s">
        <v>1301</v>
      </c>
      <c r="C809" t="s">
        <v>1302</v>
      </c>
    </row>
    <row r="810" spans="1:3" x14ac:dyDescent="0.2">
      <c r="A810" t="s">
        <v>1398</v>
      </c>
      <c r="B810" t="s">
        <v>1303</v>
      </c>
      <c r="C810" t="s">
        <v>1304</v>
      </c>
    </row>
    <row r="811" spans="1:3" x14ac:dyDescent="0.2">
      <c r="A811" t="s">
        <v>1398</v>
      </c>
      <c r="B811" t="s">
        <v>1305</v>
      </c>
      <c r="C811" t="s">
        <v>1306</v>
      </c>
    </row>
    <row r="812" spans="1:3" x14ac:dyDescent="0.2">
      <c r="A812" t="s">
        <v>1398</v>
      </c>
      <c r="B812" t="s">
        <v>1307</v>
      </c>
      <c r="C812" t="s">
        <v>1308</v>
      </c>
    </row>
    <row r="813" spans="1:3" x14ac:dyDescent="0.2">
      <c r="A813" t="s">
        <v>1398</v>
      </c>
      <c r="B813" t="s">
        <v>1309</v>
      </c>
      <c r="C813" t="s">
        <v>1310</v>
      </c>
    </row>
    <row r="814" spans="1:3" x14ac:dyDescent="0.2">
      <c r="A814" t="s">
        <v>1398</v>
      </c>
      <c r="B814" t="s">
        <v>1311</v>
      </c>
      <c r="C814" t="s">
        <v>1312</v>
      </c>
    </row>
    <row r="815" spans="1:3" x14ac:dyDescent="0.2">
      <c r="A815" t="s">
        <v>1398</v>
      </c>
      <c r="B815" t="s">
        <v>1313</v>
      </c>
      <c r="C815" t="s">
        <v>1314</v>
      </c>
    </row>
    <row r="816" spans="1:3" x14ac:dyDescent="0.2">
      <c r="A816" t="s">
        <v>1398</v>
      </c>
      <c r="B816" t="s">
        <v>1315</v>
      </c>
      <c r="C816" t="s">
        <v>1316</v>
      </c>
    </row>
    <row r="817" spans="1:3" x14ac:dyDescent="0.2">
      <c r="A817" t="s">
        <v>1398</v>
      </c>
      <c r="B817" t="s">
        <v>1317</v>
      </c>
      <c r="C817" t="s">
        <v>1318</v>
      </c>
    </row>
    <row r="818" spans="1:3" x14ac:dyDescent="0.2">
      <c r="A818" t="s">
        <v>1398</v>
      </c>
      <c r="B818" t="s">
        <v>1319</v>
      </c>
      <c r="C818" t="s">
        <v>1320</v>
      </c>
    </row>
    <row r="819" spans="1:3" x14ac:dyDescent="0.2">
      <c r="A819" t="s">
        <v>1398</v>
      </c>
      <c r="B819" t="s">
        <v>1321</v>
      </c>
      <c r="C819" t="s">
        <v>1322</v>
      </c>
    </row>
    <row r="820" spans="1:3" x14ac:dyDescent="0.2">
      <c r="A820" t="s">
        <v>1398</v>
      </c>
      <c r="B820" t="s">
        <v>1323</v>
      </c>
      <c r="C820" t="s">
        <v>1324</v>
      </c>
    </row>
    <row r="821" spans="1:3" x14ac:dyDescent="0.2">
      <c r="A821" t="s">
        <v>1398</v>
      </c>
      <c r="B821" t="s">
        <v>1325</v>
      </c>
      <c r="C821" t="s">
        <v>1326</v>
      </c>
    </row>
    <row r="822" spans="1:3" x14ac:dyDescent="0.2">
      <c r="A822" t="s">
        <v>1398</v>
      </c>
      <c r="B822" t="s">
        <v>1327</v>
      </c>
      <c r="C822" t="s">
        <v>1328</v>
      </c>
    </row>
    <row r="823" spans="1:3" x14ac:dyDescent="0.2">
      <c r="A823" t="s">
        <v>1398</v>
      </c>
      <c r="B823" t="s">
        <v>1329</v>
      </c>
      <c r="C823" t="s">
        <v>1330</v>
      </c>
    </row>
    <row r="824" spans="1:3" x14ac:dyDescent="0.2">
      <c r="A824" t="s">
        <v>1398</v>
      </c>
      <c r="B824" t="s">
        <v>1331</v>
      </c>
      <c r="C824" t="s">
        <v>1332</v>
      </c>
    </row>
    <row r="825" spans="1:3" x14ac:dyDescent="0.2">
      <c r="A825" t="s">
        <v>1398</v>
      </c>
      <c r="B825" t="s">
        <v>1333</v>
      </c>
      <c r="C825" t="s">
        <v>1334</v>
      </c>
    </row>
    <row r="826" spans="1:3" x14ac:dyDescent="0.2">
      <c r="A826" t="s">
        <v>1398</v>
      </c>
      <c r="B826" t="s">
        <v>1335</v>
      </c>
      <c r="C826" t="s">
        <v>1336</v>
      </c>
    </row>
    <row r="827" spans="1:3" x14ac:dyDescent="0.2">
      <c r="A827" t="s">
        <v>1398</v>
      </c>
      <c r="B827" t="s">
        <v>1337</v>
      </c>
      <c r="C827" t="s">
        <v>1338</v>
      </c>
    </row>
    <row r="828" spans="1:3" x14ac:dyDescent="0.2">
      <c r="A828" t="s">
        <v>1398</v>
      </c>
      <c r="B828" t="s">
        <v>1339</v>
      </c>
      <c r="C828" t="s">
        <v>1340</v>
      </c>
    </row>
    <row r="829" spans="1:3" x14ac:dyDescent="0.2">
      <c r="A829" t="s">
        <v>1398</v>
      </c>
      <c r="B829" t="s">
        <v>1341</v>
      </c>
      <c r="C829" t="s">
        <v>1342</v>
      </c>
    </row>
    <row r="830" spans="1:3" x14ac:dyDescent="0.2">
      <c r="A830" t="s">
        <v>1398</v>
      </c>
      <c r="B830" t="s">
        <v>1343</v>
      </c>
      <c r="C830" t="s">
        <v>1344</v>
      </c>
    </row>
    <row r="831" spans="1:3" x14ac:dyDescent="0.2">
      <c r="A831" t="s">
        <v>1398</v>
      </c>
      <c r="B831" t="s">
        <v>1345</v>
      </c>
      <c r="C831" t="s">
        <v>1346</v>
      </c>
    </row>
    <row r="832" spans="1:3" x14ac:dyDescent="0.2">
      <c r="A832" t="s">
        <v>1398</v>
      </c>
      <c r="B832" t="s">
        <v>1347</v>
      </c>
      <c r="C832" t="s">
        <v>1348</v>
      </c>
    </row>
    <row r="833" spans="1:3" x14ac:dyDescent="0.2">
      <c r="A833" t="s">
        <v>1398</v>
      </c>
      <c r="B833" t="s">
        <v>1349</v>
      </c>
      <c r="C833" t="s">
        <v>1350</v>
      </c>
    </row>
    <row r="834" spans="1:3" x14ac:dyDescent="0.2">
      <c r="A834" t="s">
        <v>1398</v>
      </c>
      <c r="B834" t="s">
        <v>1351</v>
      </c>
      <c r="C834" t="s">
        <v>1352</v>
      </c>
    </row>
    <row r="835" spans="1:3" x14ac:dyDescent="0.2">
      <c r="A835" t="s">
        <v>1398</v>
      </c>
      <c r="B835" t="s">
        <v>1353</v>
      </c>
      <c r="C835" t="s">
        <v>1354</v>
      </c>
    </row>
    <row r="836" spans="1:3" x14ac:dyDescent="0.2">
      <c r="A836" t="s">
        <v>1398</v>
      </c>
      <c r="B836" t="s">
        <v>1355</v>
      </c>
      <c r="C836" t="s">
        <v>1356</v>
      </c>
    </row>
    <row r="837" spans="1:3" x14ac:dyDescent="0.2">
      <c r="A837" t="s">
        <v>1398</v>
      </c>
      <c r="B837" t="s">
        <v>1357</v>
      </c>
      <c r="C837" t="s">
        <v>1358</v>
      </c>
    </row>
    <row r="838" spans="1:3" x14ac:dyDescent="0.2">
      <c r="A838" t="s">
        <v>1398</v>
      </c>
      <c r="B838" t="s">
        <v>1359</v>
      </c>
      <c r="C838" t="s">
        <v>1360</v>
      </c>
    </row>
    <row r="839" spans="1:3" x14ac:dyDescent="0.2">
      <c r="A839" t="s">
        <v>1398</v>
      </c>
      <c r="B839" t="s">
        <v>1361</v>
      </c>
      <c r="C839" t="s">
        <v>1362</v>
      </c>
    </row>
    <row r="840" spans="1:3" x14ac:dyDescent="0.2">
      <c r="A840" t="s">
        <v>1398</v>
      </c>
      <c r="B840" t="s">
        <v>1363</v>
      </c>
      <c r="C840" t="s">
        <v>1364</v>
      </c>
    </row>
    <row r="841" spans="1:3" x14ac:dyDescent="0.2">
      <c r="A841" t="s">
        <v>1398</v>
      </c>
      <c r="B841" t="s">
        <v>1365</v>
      </c>
      <c r="C841" t="s">
        <v>1366</v>
      </c>
    </row>
    <row r="842" spans="1:3" x14ac:dyDescent="0.2">
      <c r="A842" t="s">
        <v>1398</v>
      </c>
      <c r="B842" t="s">
        <v>1367</v>
      </c>
      <c r="C842" t="s">
        <v>1368</v>
      </c>
    </row>
    <row r="843" spans="1:3" x14ac:dyDescent="0.2">
      <c r="A843" t="s">
        <v>1398</v>
      </c>
      <c r="B843" t="s">
        <v>1369</v>
      </c>
      <c r="C843" t="s">
        <v>1370</v>
      </c>
    </row>
    <row r="844" spans="1:3" x14ac:dyDescent="0.2">
      <c r="A844" t="s">
        <v>1398</v>
      </c>
      <c r="B844" t="s">
        <v>1371</v>
      </c>
      <c r="C844" t="s">
        <v>1372</v>
      </c>
    </row>
    <row r="845" spans="1:3" x14ac:dyDescent="0.2">
      <c r="A845" t="s">
        <v>1398</v>
      </c>
      <c r="B845" t="s">
        <v>1373</v>
      </c>
      <c r="C845" t="s">
        <v>1374</v>
      </c>
    </row>
    <row r="846" spans="1:3" x14ac:dyDescent="0.2">
      <c r="A846" t="s">
        <v>1398</v>
      </c>
      <c r="B846" t="s">
        <v>1375</v>
      </c>
      <c r="C846" t="s">
        <v>1376</v>
      </c>
    </row>
    <row r="847" spans="1:3" x14ac:dyDescent="0.2">
      <c r="A847" t="s">
        <v>1398</v>
      </c>
      <c r="B847" t="s">
        <v>1377</v>
      </c>
      <c r="C847" t="s">
        <v>1378</v>
      </c>
    </row>
    <row r="848" spans="1:3" x14ac:dyDescent="0.2">
      <c r="A848" t="s">
        <v>1398</v>
      </c>
      <c r="B848" t="s">
        <v>1379</v>
      </c>
      <c r="C848" t="s">
        <v>1380</v>
      </c>
    </row>
    <row r="849" spans="1:5" x14ac:dyDescent="0.2">
      <c r="A849" t="s">
        <v>1398</v>
      </c>
      <c r="B849" t="s">
        <v>1381</v>
      </c>
      <c r="C849" t="s">
        <v>1382</v>
      </c>
    </row>
    <row r="850" spans="1:5" x14ac:dyDescent="0.2">
      <c r="A850" t="s">
        <v>1398</v>
      </c>
      <c r="B850" t="s">
        <v>1383</v>
      </c>
      <c r="C850" t="s">
        <v>1384</v>
      </c>
    </row>
    <row r="851" spans="1:5" x14ac:dyDescent="0.2">
      <c r="A851" t="s">
        <v>1398</v>
      </c>
      <c r="B851" t="s">
        <v>1385</v>
      </c>
      <c r="C851" t="s">
        <v>1386</v>
      </c>
    </row>
    <row r="852" spans="1:5" x14ac:dyDescent="0.2">
      <c r="A852" t="s">
        <v>1398</v>
      </c>
      <c r="B852" t="s">
        <v>1387</v>
      </c>
      <c r="C852" t="s">
        <v>1388</v>
      </c>
    </row>
    <row r="853" spans="1:5" x14ac:dyDescent="0.2">
      <c r="A853" t="s">
        <v>1398</v>
      </c>
      <c r="B853" t="s">
        <v>1391</v>
      </c>
      <c r="C853" t="s">
        <v>1392</v>
      </c>
    </row>
    <row r="854" spans="1:5" x14ac:dyDescent="0.2">
      <c r="A854" t="s">
        <v>1398</v>
      </c>
      <c r="B854" t="s">
        <v>1393</v>
      </c>
      <c r="C854" t="s">
        <v>1394</v>
      </c>
    </row>
    <row r="856" spans="1:5" x14ac:dyDescent="0.2">
      <c r="A856" t="s">
        <v>1399</v>
      </c>
      <c r="B856" t="s">
        <v>1400</v>
      </c>
      <c r="C856" t="s">
        <v>1401</v>
      </c>
    </row>
    <row r="857" spans="1:5" x14ac:dyDescent="0.2">
      <c r="A857" t="s">
        <v>1399</v>
      </c>
      <c r="B857" t="s">
        <v>1402</v>
      </c>
      <c r="C857" t="s">
        <v>1403</v>
      </c>
    </row>
    <row r="858" spans="1:5" x14ac:dyDescent="0.2">
      <c r="A858" t="s">
        <v>1399</v>
      </c>
      <c r="B858" t="s">
        <v>1404</v>
      </c>
      <c r="C858" t="s">
        <v>1405</v>
      </c>
    </row>
    <row r="859" spans="1:5" x14ac:dyDescent="0.2">
      <c r="A859" t="s">
        <v>1399</v>
      </c>
      <c r="B859" t="s">
        <v>1406</v>
      </c>
      <c r="C859" t="s">
        <v>1407</v>
      </c>
    </row>
    <row r="860" spans="1:5" x14ac:dyDescent="0.2">
      <c r="A860" t="s">
        <v>1399</v>
      </c>
      <c r="B860" t="s">
        <v>1408</v>
      </c>
      <c r="C860" t="s">
        <v>1409</v>
      </c>
    </row>
    <row r="862" spans="1:5" x14ac:dyDescent="0.2">
      <c r="A862" t="s">
        <v>1410</v>
      </c>
      <c r="B862" t="s">
        <v>1411</v>
      </c>
      <c r="C862" t="s">
        <v>1412</v>
      </c>
      <c r="E862" t="s">
        <v>1400</v>
      </c>
    </row>
    <row r="863" spans="1:5" x14ac:dyDescent="0.2">
      <c r="A863" t="s">
        <v>1410</v>
      </c>
      <c r="B863" t="s">
        <v>1413</v>
      </c>
      <c r="C863" t="s">
        <v>1414</v>
      </c>
      <c r="E863" t="s">
        <v>1400</v>
      </c>
    </row>
    <row r="864" spans="1:5" x14ac:dyDescent="0.2">
      <c r="A864" t="s">
        <v>1410</v>
      </c>
      <c r="B864" t="s">
        <v>1415</v>
      </c>
      <c r="C864" t="s">
        <v>1416</v>
      </c>
      <c r="E864" t="s">
        <v>1400</v>
      </c>
    </row>
    <row r="865" spans="1:5" x14ac:dyDescent="0.2">
      <c r="A865" t="s">
        <v>1410</v>
      </c>
      <c r="B865" t="s">
        <v>1417</v>
      </c>
      <c r="C865" t="s">
        <v>1418</v>
      </c>
      <c r="E865" t="s">
        <v>1402</v>
      </c>
    </row>
    <row r="866" spans="1:5" x14ac:dyDescent="0.2">
      <c r="A866" t="s">
        <v>1410</v>
      </c>
      <c r="B866" t="s">
        <v>1419</v>
      </c>
      <c r="C866" t="s">
        <v>1420</v>
      </c>
      <c r="E866" t="s">
        <v>1402</v>
      </c>
    </row>
    <row r="867" spans="1:5" x14ac:dyDescent="0.2">
      <c r="A867" t="s">
        <v>1410</v>
      </c>
      <c r="B867" t="s">
        <v>1421</v>
      </c>
      <c r="C867" t="s">
        <v>1422</v>
      </c>
      <c r="E867" t="s">
        <v>1402</v>
      </c>
    </row>
    <row r="868" spans="1:5" x14ac:dyDescent="0.2">
      <c r="A868" t="s">
        <v>1410</v>
      </c>
      <c r="B868" t="s">
        <v>1423</v>
      </c>
      <c r="C868" t="s">
        <v>1424</v>
      </c>
      <c r="E868" t="s">
        <v>1402</v>
      </c>
    </row>
    <row r="869" spans="1:5" x14ac:dyDescent="0.2">
      <c r="A869" t="s">
        <v>1410</v>
      </c>
      <c r="B869" t="s">
        <v>1425</v>
      </c>
      <c r="C869" t="s">
        <v>1426</v>
      </c>
      <c r="E869" t="s">
        <v>1404</v>
      </c>
    </row>
    <row r="870" spans="1:5" x14ac:dyDescent="0.2">
      <c r="A870" t="s">
        <v>1410</v>
      </c>
      <c r="B870" t="s">
        <v>1427</v>
      </c>
      <c r="C870" t="s">
        <v>1428</v>
      </c>
      <c r="E870" t="s">
        <v>1404</v>
      </c>
    </row>
    <row r="871" spans="1:5" x14ac:dyDescent="0.2">
      <c r="A871" t="s">
        <v>1410</v>
      </c>
      <c r="B871" t="s">
        <v>1429</v>
      </c>
      <c r="C871" t="s">
        <v>1430</v>
      </c>
      <c r="E871" t="s">
        <v>1404</v>
      </c>
    </row>
    <row r="872" spans="1:5" x14ac:dyDescent="0.2">
      <c r="A872" t="s">
        <v>1410</v>
      </c>
      <c r="B872" t="s">
        <v>1431</v>
      </c>
      <c r="C872" t="s">
        <v>1432</v>
      </c>
      <c r="E872" t="s">
        <v>1404</v>
      </c>
    </row>
    <row r="873" spans="1:5" x14ac:dyDescent="0.2">
      <c r="A873" t="s">
        <v>1410</v>
      </c>
      <c r="B873" t="s">
        <v>1433</v>
      </c>
      <c r="C873" t="s">
        <v>1434</v>
      </c>
      <c r="E873" t="s">
        <v>1406</v>
      </c>
    </row>
    <row r="874" spans="1:5" x14ac:dyDescent="0.2">
      <c r="A874" t="s">
        <v>1410</v>
      </c>
      <c r="B874" t="s">
        <v>1435</v>
      </c>
      <c r="C874" t="s">
        <v>1436</v>
      </c>
      <c r="E874" t="s">
        <v>1406</v>
      </c>
    </row>
    <row r="875" spans="1:5" x14ac:dyDescent="0.2">
      <c r="A875" t="s">
        <v>1410</v>
      </c>
      <c r="B875" t="s">
        <v>1437</v>
      </c>
      <c r="C875" t="s">
        <v>1438</v>
      </c>
      <c r="E875" t="s">
        <v>1408</v>
      </c>
    </row>
    <row r="876" spans="1:5" x14ac:dyDescent="0.2">
      <c r="A876" t="s">
        <v>1410</v>
      </c>
      <c r="B876" t="s">
        <v>1439</v>
      </c>
      <c r="C876" t="s">
        <v>1440</v>
      </c>
      <c r="E876" t="s">
        <v>1408</v>
      </c>
    </row>
    <row r="877" spans="1:5" x14ac:dyDescent="0.2">
      <c r="A877" t="s">
        <v>1410</v>
      </c>
      <c r="B877" t="s">
        <v>1441</v>
      </c>
      <c r="C877" t="s">
        <v>1442</v>
      </c>
      <c r="E877" t="s">
        <v>1408</v>
      </c>
    </row>
  </sheetData>
  <sheetProtection algorithmName="SHA-512" hashValue="18PMoY5lScxLNfaBoFr9Zb9ak6BdpOY24/gr6zNZQZngSchWB1Yl7jX7hqZJajJvi73EgcxMgnfZDOTeCF764w==" saltValue="TIRDFL3KzL0THuKWv75GWg==" spinCount="100000" sheet="1" formatCells="0" formatColumns="0" formatRows="0" insertColumns="0" insertRows="0" deleteColumns="0" deleteRows="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C40" sqref="C40"/>
    </sheetView>
  </sheetViews>
  <sheetFormatPr baseColWidth="10" defaultColWidth="8.83203125" defaultRowHeight="15" x14ac:dyDescent="0.2"/>
  <cols>
    <col min="1" max="4" width="28.1640625" style="3" customWidth="1"/>
    <col min="5" max="5" width="8.83203125" style="3" customWidth="1"/>
    <col min="6" max="16384" width="8.83203125" style="3"/>
  </cols>
  <sheetData>
    <row r="1" spans="1:4" s="2" customFormat="1" x14ac:dyDescent="0.2">
      <c r="A1" s="6" t="s">
        <v>1443</v>
      </c>
      <c r="B1" s="6" t="s">
        <v>1444</v>
      </c>
      <c r="C1" s="6" t="s">
        <v>1445</v>
      </c>
      <c r="D1" s="6" t="s">
        <v>1446</v>
      </c>
    </row>
    <row r="2" spans="1:4" x14ac:dyDescent="0.2">
      <c r="A2" s="3" t="s">
        <v>1447</v>
      </c>
      <c r="B2" s="4" t="s">
        <v>1448</v>
      </c>
      <c r="C2" t="s">
        <v>38</v>
      </c>
      <c r="D2" s="3" t="s">
        <v>1449</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94"/>
  <sheetViews>
    <sheetView workbookViewId="0">
      <pane ySplit="3" topLeftCell="A4" activePane="bottomLeft" state="frozen"/>
      <selection pane="bottomLeft" activeCell="C8" sqref="C8"/>
    </sheetView>
  </sheetViews>
  <sheetFormatPr baseColWidth="10" defaultColWidth="10.83203125" defaultRowHeight="15" x14ac:dyDescent="0.2"/>
  <cols>
    <col min="1" max="2" width="10.83203125" style="137" customWidth="1"/>
    <col min="3" max="3" width="15.1640625" style="151" customWidth="1"/>
    <col min="4" max="4" width="10.83203125" style="152" customWidth="1"/>
    <col min="5" max="5" width="28.5" style="153" customWidth="1"/>
    <col min="6" max="6" width="10.83203125" style="137" customWidth="1"/>
    <col min="7" max="16384" width="10.83203125" style="137"/>
  </cols>
  <sheetData>
    <row r="2" spans="2:5" x14ac:dyDescent="0.2">
      <c r="C2" s="138"/>
      <c r="D2" s="139"/>
      <c r="E2" s="140"/>
    </row>
    <row r="3" spans="2:5" ht="32" customHeight="1" x14ac:dyDescent="0.2">
      <c r="B3" s="141"/>
      <c r="C3" s="142" t="s">
        <v>1450</v>
      </c>
      <c r="D3" s="143" t="s">
        <v>1451</v>
      </c>
      <c r="E3" s="144" t="s">
        <v>1452</v>
      </c>
    </row>
    <row r="4" spans="2:5" ht="16" customHeight="1" x14ac:dyDescent="0.2">
      <c r="B4" s="141"/>
      <c r="C4" s="9" t="s">
        <v>1453</v>
      </c>
      <c r="D4" s="145" t="s">
        <v>1209</v>
      </c>
      <c r="E4" s="146" t="s">
        <v>1210</v>
      </c>
    </row>
    <row r="5" spans="2:5" ht="16" customHeight="1" x14ac:dyDescent="0.2">
      <c r="B5" s="141"/>
      <c r="C5" s="9"/>
      <c r="D5" s="145" t="s">
        <v>1229</v>
      </c>
      <c r="E5" s="146" t="s">
        <v>1230</v>
      </c>
    </row>
    <row r="6" spans="2:5" ht="16" customHeight="1" x14ac:dyDescent="0.2">
      <c r="B6" s="141"/>
      <c r="C6" s="9"/>
      <c r="D6" s="145" t="s">
        <v>1231</v>
      </c>
      <c r="E6" s="146" t="s">
        <v>1232</v>
      </c>
    </row>
    <row r="7" spans="2:5" ht="16" customHeight="1" x14ac:dyDescent="0.2">
      <c r="B7" s="141"/>
      <c r="C7" s="9"/>
      <c r="D7" s="145" t="s">
        <v>1233</v>
      </c>
      <c r="E7" s="146" t="s">
        <v>1234</v>
      </c>
    </row>
    <row r="8" spans="2:5" ht="16" customHeight="1" x14ac:dyDescent="0.2">
      <c r="B8" s="141"/>
      <c r="C8" s="9" t="s">
        <v>1453</v>
      </c>
      <c r="D8" s="145" t="s">
        <v>1211</v>
      </c>
      <c r="E8" s="146" t="s">
        <v>1212</v>
      </c>
    </row>
    <row r="9" spans="2:5" ht="16" customHeight="1" x14ac:dyDescent="0.2">
      <c r="B9" s="141"/>
      <c r="C9" s="9"/>
      <c r="D9" s="145" t="s">
        <v>1235</v>
      </c>
      <c r="E9" s="146" t="s">
        <v>1236</v>
      </c>
    </row>
    <row r="10" spans="2:5" ht="16" customHeight="1" x14ac:dyDescent="0.2">
      <c r="B10" s="141"/>
      <c r="C10" s="184"/>
      <c r="D10" s="145" t="s">
        <v>1237</v>
      </c>
      <c r="E10" s="147" t="s">
        <v>1238</v>
      </c>
    </row>
    <row r="11" spans="2:5" ht="16" customHeight="1" x14ac:dyDescent="0.2">
      <c r="B11" s="141"/>
      <c r="C11" s="9" t="s">
        <v>1453</v>
      </c>
      <c r="D11" s="145" t="s">
        <v>1213</v>
      </c>
      <c r="E11" s="146" t="s">
        <v>1214</v>
      </c>
    </row>
    <row r="12" spans="2:5" ht="16" customHeight="1" x14ac:dyDescent="0.2">
      <c r="B12" s="141"/>
      <c r="C12" s="9"/>
      <c r="D12" s="145" t="s">
        <v>1239</v>
      </c>
      <c r="E12" s="146" t="s">
        <v>1240</v>
      </c>
    </row>
    <row r="13" spans="2:5" ht="16" customHeight="1" x14ac:dyDescent="0.2">
      <c r="B13" s="141"/>
      <c r="C13" s="9" t="s">
        <v>1453</v>
      </c>
      <c r="D13" s="145" t="s">
        <v>1215</v>
      </c>
      <c r="E13" s="146" t="s">
        <v>1216</v>
      </c>
    </row>
    <row r="14" spans="2:5" ht="16" customHeight="1" x14ac:dyDescent="0.2">
      <c r="B14" s="141"/>
      <c r="C14" s="9"/>
      <c r="D14" s="145" t="s">
        <v>1241</v>
      </c>
      <c r="E14" s="146" t="s">
        <v>1242</v>
      </c>
    </row>
    <row r="15" spans="2:5" ht="16" customHeight="1" x14ac:dyDescent="0.2">
      <c r="B15" s="141"/>
      <c r="C15" s="9"/>
      <c r="D15" s="145" t="s">
        <v>1243</v>
      </c>
      <c r="E15" s="146" t="s">
        <v>1244</v>
      </c>
    </row>
    <row r="16" spans="2:5" ht="16" customHeight="1" x14ac:dyDescent="0.2">
      <c r="B16" s="141"/>
      <c r="C16" s="9"/>
      <c r="D16" s="145" t="s">
        <v>1245</v>
      </c>
      <c r="E16" s="146" t="s">
        <v>1246</v>
      </c>
    </row>
    <row r="17" spans="2:5" ht="16" customHeight="1" x14ac:dyDescent="0.2">
      <c r="B17" s="141"/>
      <c r="C17" s="184"/>
      <c r="D17" s="145" t="s">
        <v>1247</v>
      </c>
      <c r="E17" s="147" t="s">
        <v>1248</v>
      </c>
    </row>
    <row r="18" spans="2:5" ht="16" customHeight="1" x14ac:dyDescent="0.2">
      <c r="B18" s="141"/>
      <c r="C18" s="9" t="s">
        <v>1453</v>
      </c>
      <c r="D18" s="145" t="s">
        <v>1217</v>
      </c>
      <c r="E18" s="146" t="s">
        <v>1218</v>
      </c>
    </row>
    <row r="19" spans="2:5" ht="16" customHeight="1" x14ac:dyDescent="0.2">
      <c r="B19" s="141"/>
      <c r="C19" s="9"/>
      <c r="D19" s="145" t="s">
        <v>1249</v>
      </c>
      <c r="E19" s="146" t="s">
        <v>1250</v>
      </c>
    </row>
    <row r="20" spans="2:5" ht="16" customHeight="1" x14ac:dyDescent="0.2">
      <c r="B20" s="141"/>
      <c r="C20" s="9"/>
      <c r="D20" s="145" t="s">
        <v>1251</v>
      </c>
      <c r="E20" s="146" t="s">
        <v>1252</v>
      </c>
    </row>
    <row r="21" spans="2:5" ht="16" customHeight="1" x14ac:dyDescent="0.2">
      <c r="B21" s="141"/>
      <c r="C21" s="9"/>
      <c r="D21" s="145" t="s">
        <v>1253</v>
      </c>
      <c r="E21" s="146" t="s">
        <v>1254</v>
      </c>
    </row>
    <row r="22" spans="2:5" ht="16" customHeight="1" x14ac:dyDescent="0.2">
      <c r="B22" s="141"/>
      <c r="C22" s="9"/>
      <c r="D22" s="145" t="s">
        <v>1255</v>
      </c>
      <c r="E22" s="146" t="s">
        <v>1256</v>
      </c>
    </row>
    <row r="23" spans="2:5" ht="16" customHeight="1" x14ac:dyDescent="0.2">
      <c r="B23" s="141"/>
      <c r="C23" s="9"/>
      <c r="D23" s="145" t="s">
        <v>1257</v>
      </c>
      <c r="E23" s="146" t="s">
        <v>1258</v>
      </c>
    </row>
    <row r="24" spans="2:5" ht="16" customHeight="1" x14ac:dyDescent="0.2">
      <c r="B24" s="141"/>
      <c r="C24" s="9"/>
      <c r="D24" s="145" t="s">
        <v>1259</v>
      </c>
      <c r="E24" s="146" t="s">
        <v>1260</v>
      </c>
    </row>
    <row r="25" spans="2:5" ht="16" customHeight="1" x14ac:dyDescent="0.2">
      <c r="B25" s="141"/>
      <c r="C25" s="184"/>
      <c r="D25" s="145" t="s">
        <v>1261</v>
      </c>
      <c r="E25" s="147" t="s">
        <v>1262</v>
      </c>
    </row>
    <row r="26" spans="2:5" ht="16" customHeight="1" x14ac:dyDescent="0.2">
      <c r="B26" s="141"/>
      <c r="C26" s="9"/>
      <c r="D26" s="145" t="s">
        <v>1263</v>
      </c>
      <c r="E26" s="146" t="s">
        <v>1264</v>
      </c>
    </row>
    <row r="27" spans="2:5" ht="16" customHeight="1" x14ac:dyDescent="0.2">
      <c r="B27" s="141"/>
      <c r="C27" s="9"/>
      <c r="D27" s="145" t="s">
        <v>1267</v>
      </c>
      <c r="E27" s="146" t="s">
        <v>1268</v>
      </c>
    </row>
    <row r="28" spans="2:5" ht="16" customHeight="1" x14ac:dyDescent="0.2">
      <c r="B28" s="141"/>
      <c r="C28" s="9"/>
      <c r="D28" s="145" t="s">
        <v>1269</v>
      </c>
      <c r="E28" s="146" t="s">
        <v>1270</v>
      </c>
    </row>
    <row r="29" spans="2:5" ht="16" customHeight="1" x14ac:dyDescent="0.2">
      <c r="B29" s="141"/>
      <c r="C29" s="9"/>
      <c r="D29" s="145" t="s">
        <v>1271</v>
      </c>
      <c r="E29" s="146" t="s">
        <v>1272</v>
      </c>
    </row>
    <row r="30" spans="2:5" ht="16" customHeight="1" x14ac:dyDescent="0.2">
      <c r="B30" s="141"/>
      <c r="C30" s="9"/>
      <c r="D30" s="145" t="s">
        <v>1273</v>
      </c>
      <c r="E30" s="146" t="s">
        <v>1274</v>
      </c>
    </row>
    <row r="31" spans="2:5" ht="16" customHeight="1" x14ac:dyDescent="0.2">
      <c r="B31" s="141"/>
      <c r="C31" s="9"/>
      <c r="D31" s="145" t="s">
        <v>1275</v>
      </c>
      <c r="E31" s="146" t="s">
        <v>1276</v>
      </c>
    </row>
    <row r="32" spans="2:5" ht="16" customHeight="1" x14ac:dyDescent="0.2">
      <c r="B32" s="141"/>
      <c r="C32" s="9"/>
      <c r="D32" s="145" t="s">
        <v>1277</v>
      </c>
      <c r="E32" s="146" t="s">
        <v>1278</v>
      </c>
    </row>
    <row r="33" spans="2:5" ht="32" customHeight="1" x14ac:dyDescent="0.2">
      <c r="B33" s="141"/>
      <c r="C33" s="9"/>
      <c r="D33" s="145" t="s">
        <v>1279</v>
      </c>
      <c r="E33" s="146" t="s">
        <v>1280</v>
      </c>
    </row>
    <row r="34" spans="2:5" ht="16" customHeight="1" x14ac:dyDescent="0.2">
      <c r="B34" s="141"/>
      <c r="C34" s="9"/>
      <c r="D34" s="145" t="s">
        <v>1265</v>
      </c>
      <c r="E34" s="146" t="s">
        <v>1266</v>
      </c>
    </row>
    <row r="35" spans="2:5" ht="16" customHeight="1" x14ac:dyDescent="0.2">
      <c r="B35" s="141"/>
      <c r="C35" s="184"/>
      <c r="D35" s="145" t="s">
        <v>1281</v>
      </c>
      <c r="E35" s="147" t="s">
        <v>1282</v>
      </c>
    </row>
    <row r="36" spans="2:5" ht="16" customHeight="1" x14ac:dyDescent="0.2">
      <c r="B36" s="141"/>
      <c r="C36" s="9"/>
      <c r="D36" s="145" t="s">
        <v>1283</v>
      </c>
      <c r="E36" s="146" t="s">
        <v>1284</v>
      </c>
    </row>
    <row r="37" spans="2:5" ht="16" customHeight="1" x14ac:dyDescent="0.2">
      <c r="B37" s="141"/>
      <c r="C37" s="9"/>
      <c r="D37" s="145" t="s">
        <v>1289</v>
      </c>
      <c r="E37" s="146" t="s">
        <v>1290</v>
      </c>
    </row>
    <row r="38" spans="2:5" ht="16" customHeight="1" x14ac:dyDescent="0.2">
      <c r="B38" s="141"/>
      <c r="C38" s="9" t="s">
        <v>1453</v>
      </c>
      <c r="D38" s="145" t="s">
        <v>1219</v>
      </c>
      <c r="E38" s="146" t="s">
        <v>1220</v>
      </c>
    </row>
    <row r="39" spans="2:5" ht="16" customHeight="1" x14ac:dyDescent="0.2">
      <c r="B39" s="141"/>
      <c r="C39" s="9"/>
      <c r="D39" s="145" t="s">
        <v>1291</v>
      </c>
      <c r="E39" s="146" t="s">
        <v>1292</v>
      </c>
    </row>
    <row r="40" spans="2:5" ht="16" customHeight="1" x14ac:dyDescent="0.2">
      <c r="B40" s="141"/>
      <c r="C40" s="9"/>
      <c r="D40" s="145" t="s">
        <v>1293</v>
      </c>
      <c r="E40" s="146" t="s">
        <v>1294</v>
      </c>
    </row>
    <row r="41" spans="2:5" ht="16" customHeight="1" x14ac:dyDescent="0.2">
      <c r="B41" s="141"/>
      <c r="C41" s="9" t="s">
        <v>1453</v>
      </c>
      <c r="D41" s="145" t="s">
        <v>1221</v>
      </c>
      <c r="E41" s="146" t="s">
        <v>1222</v>
      </c>
    </row>
    <row r="42" spans="2:5" ht="16" customHeight="1" x14ac:dyDescent="0.2">
      <c r="B42" s="141"/>
      <c r="C42" s="9"/>
      <c r="D42" s="145" t="s">
        <v>1295</v>
      </c>
      <c r="E42" s="146" t="s">
        <v>1296</v>
      </c>
    </row>
    <row r="43" spans="2:5" ht="16" customHeight="1" x14ac:dyDescent="0.2">
      <c r="B43" s="141"/>
      <c r="C43" s="9"/>
      <c r="D43" s="145" t="s">
        <v>1297</v>
      </c>
      <c r="E43" s="146" t="s">
        <v>1298</v>
      </c>
    </row>
    <row r="44" spans="2:5" ht="16" customHeight="1" x14ac:dyDescent="0.2">
      <c r="B44" s="141"/>
      <c r="C44" s="9"/>
      <c r="D44" s="145" t="s">
        <v>1299</v>
      </c>
      <c r="E44" s="146" t="s">
        <v>1300</v>
      </c>
    </row>
    <row r="45" spans="2:5" ht="16" customHeight="1" x14ac:dyDescent="0.2">
      <c r="B45" s="141"/>
      <c r="C45" s="9"/>
      <c r="D45" s="145" t="s">
        <v>1285</v>
      </c>
      <c r="E45" s="146" t="s">
        <v>1286</v>
      </c>
    </row>
    <row r="46" spans="2:5" ht="16" customHeight="1" x14ac:dyDescent="0.2">
      <c r="B46" s="141"/>
      <c r="C46" s="9"/>
      <c r="D46" s="145" t="s">
        <v>1287</v>
      </c>
      <c r="E46" s="146" t="s">
        <v>1288</v>
      </c>
    </row>
    <row r="47" spans="2:5" ht="16" customHeight="1" x14ac:dyDescent="0.2">
      <c r="B47" s="141"/>
      <c r="C47" s="184"/>
      <c r="D47" s="145" t="s">
        <v>1301</v>
      </c>
      <c r="E47" s="147" t="s">
        <v>1302</v>
      </c>
    </row>
    <row r="48" spans="2:5" ht="16" customHeight="1" x14ac:dyDescent="0.2">
      <c r="B48" s="141"/>
      <c r="C48" s="9"/>
      <c r="D48" s="145" t="s">
        <v>1303</v>
      </c>
      <c r="E48" s="146" t="s">
        <v>1304</v>
      </c>
    </row>
    <row r="49" spans="2:5" ht="16" customHeight="1" x14ac:dyDescent="0.2">
      <c r="B49" s="141"/>
      <c r="C49" s="9"/>
      <c r="D49" s="145" t="s">
        <v>1305</v>
      </c>
      <c r="E49" s="146" t="s">
        <v>1306</v>
      </c>
    </row>
    <row r="50" spans="2:5" ht="16" customHeight="1" x14ac:dyDescent="0.2">
      <c r="B50" s="141"/>
      <c r="C50" s="9"/>
      <c r="D50" s="145" t="s">
        <v>1307</v>
      </c>
      <c r="E50" s="146" t="s">
        <v>1308</v>
      </c>
    </row>
    <row r="51" spans="2:5" ht="16" customHeight="1" x14ac:dyDescent="0.2">
      <c r="B51" s="141"/>
      <c r="C51" s="9"/>
      <c r="D51" s="145" t="s">
        <v>1309</v>
      </c>
      <c r="E51" s="146" t="s">
        <v>1310</v>
      </c>
    </row>
    <row r="52" spans="2:5" ht="16" customHeight="1" x14ac:dyDescent="0.2">
      <c r="B52" s="141"/>
      <c r="C52" s="184"/>
      <c r="D52" s="145" t="s">
        <v>1311</v>
      </c>
      <c r="E52" s="147" t="s">
        <v>1312</v>
      </c>
    </row>
    <row r="53" spans="2:5" ht="16" customHeight="1" x14ac:dyDescent="0.2">
      <c r="B53" s="141"/>
      <c r="C53" s="9"/>
      <c r="D53" s="145" t="s">
        <v>1313</v>
      </c>
      <c r="E53" s="146" t="s">
        <v>1314</v>
      </c>
    </row>
    <row r="54" spans="2:5" ht="16" customHeight="1" x14ac:dyDescent="0.2">
      <c r="B54" s="141"/>
      <c r="C54" s="9"/>
      <c r="D54" s="145" t="s">
        <v>1333</v>
      </c>
      <c r="E54" s="146" t="s">
        <v>1334</v>
      </c>
    </row>
    <row r="55" spans="2:5" ht="16" customHeight="1" x14ac:dyDescent="0.2">
      <c r="B55" s="141"/>
      <c r="C55" s="9"/>
      <c r="D55" s="145" t="s">
        <v>1335</v>
      </c>
      <c r="E55" s="146" t="s">
        <v>1336</v>
      </c>
    </row>
    <row r="56" spans="2:5" ht="16" customHeight="1" x14ac:dyDescent="0.2">
      <c r="B56" s="141"/>
      <c r="C56" s="9"/>
      <c r="D56" s="145" t="s">
        <v>1337</v>
      </c>
      <c r="E56" s="146" t="s">
        <v>1338</v>
      </c>
    </row>
    <row r="57" spans="2:5" ht="16" customHeight="1" x14ac:dyDescent="0.2">
      <c r="B57" s="141"/>
      <c r="C57" s="9"/>
      <c r="D57" s="145" t="s">
        <v>1339</v>
      </c>
      <c r="E57" s="146" t="s">
        <v>1340</v>
      </c>
    </row>
    <row r="58" spans="2:5" ht="16" customHeight="1" x14ac:dyDescent="0.2">
      <c r="B58" s="141"/>
      <c r="C58" s="9"/>
      <c r="D58" s="145" t="s">
        <v>1341</v>
      </c>
      <c r="E58" s="146" t="s">
        <v>1342</v>
      </c>
    </row>
    <row r="59" spans="2:5" ht="16" customHeight="1" x14ac:dyDescent="0.2">
      <c r="B59" s="141"/>
      <c r="C59" s="9"/>
      <c r="D59" s="145" t="s">
        <v>1343</v>
      </c>
      <c r="E59" s="146" t="s">
        <v>1344</v>
      </c>
    </row>
    <row r="60" spans="2:5" ht="16" customHeight="1" x14ac:dyDescent="0.2">
      <c r="B60" s="141"/>
      <c r="C60" s="9"/>
      <c r="D60" s="145" t="s">
        <v>1345</v>
      </c>
      <c r="E60" s="146" t="s">
        <v>1346</v>
      </c>
    </row>
    <row r="61" spans="2:5" ht="16" customHeight="1" x14ac:dyDescent="0.2">
      <c r="B61" s="141"/>
      <c r="C61" s="9"/>
      <c r="D61" s="145" t="s">
        <v>1347</v>
      </c>
      <c r="E61" s="146" t="s">
        <v>1348</v>
      </c>
    </row>
    <row r="62" spans="2:5" ht="16" customHeight="1" x14ac:dyDescent="0.2">
      <c r="B62" s="141"/>
      <c r="C62" s="9"/>
      <c r="D62" s="145" t="s">
        <v>1315</v>
      </c>
      <c r="E62" s="146" t="s">
        <v>1316</v>
      </c>
    </row>
    <row r="63" spans="2:5" ht="16" customHeight="1" x14ac:dyDescent="0.2">
      <c r="B63" s="141"/>
      <c r="C63" s="9"/>
      <c r="D63" s="145" t="s">
        <v>1317</v>
      </c>
      <c r="E63" s="146" t="s">
        <v>1318</v>
      </c>
    </row>
    <row r="64" spans="2:5" ht="16" customHeight="1" x14ac:dyDescent="0.2">
      <c r="B64" s="141"/>
      <c r="C64" s="9"/>
      <c r="D64" s="145" t="s">
        <v>1319</v>
      </c>
      <c r="E64" s="146" t="s">
        <v>1320</v>
      </c>
    </row>
    <row r="65" spans="2:5" ht="16" customHeight="1" x14ac:dyDescent="0.2">
      <c r="B65" s="141"/>
      <c r="C65" s="9"/>
      <c r="D65" s="145" t="s">
        <v>1321</v>
      </c>
      <c r="E65" s="146" t="s">
        <v>1322</v>
      </c>
    </row>
    <row r="66" spans="2:5" ht="16" customHeight="1" x14ac:dyDescent="0.2">
      <c r="B66" s="141"/>
      <c r="C66" s="9"/>
      <c r="D66" s="145" t="s">
        <v>1323</v>
      </c>
      <c r="E66" s="146" t="s">
        <v>1324</v>
      </c>
    </row>
    <row r="67" spans="2:5" ht="16" customHeight="1" x14ac:dyDescent="0.2">
      <c r="B67" s="141"/>
      <c r="C67" s="9"/>
      <c r="D67" s="145" t="s">
        <v>1325</v>
      </c>
      <c r="E67" s="146" t="s">
        <v>1326</v>
      </c>
    </row>
    <row r="68" spans="2:5" ht="16" customHeight="1" x14ac:dyDescent="0.2">
      <c r="B68" s="141"/>
      <c r="C68" s="9"/>
      <c r="D68" s="145" t="s">
        <v>1327</v>
      </c>
      <c r="E68" s="146" t="s">
        <v>1328</v>
      </c>
    </row>
    <row r="69" spans="2:5" ht="16" customHeight="1" x14ac:dyDescent="0.2">
      <c r="B69" s="141"/>
      <c r="C69" s="9"/>
      <c r="D69" s="145" t="s">
        <v>1329</v>
      </c>
      <c r="E69" s="146" t="s">
        <v>1330</v>
      </c>
    </row>
    <row r="70" spans="2:5" ht="16" customHeight="1" x14ac:dyDescent="0.2">
      <c r="B70" s="141"/>
      <c r="C70" s="9"/>
      <c r="D70" s="145" t="s">
        <v>1331</v>
      </c>
      <c r="E70" s="146" t="s">
        <v>1332</v>
      </c>
    </row>
    <row r="71" spans="2:5" ht="16" customHeight="1" x14ac:dyDescent="0.2">
      <c r="B71" s="141"/>
      <c r="C71" s="184"/>
      <c r="D71" s="145" t="s">
        <v>1349</v>
      </c>
      <c r="E71" s="147" t="s">
        <v>1350</v>
      </c>
    </row>
    <row r="72" spans="2:5" ht="16" customHeight="1" x14ac:dyDescent="0.2">
      <c r="B72" s="141"/>
      <c r="C72" s="9"/>
      <c r="D72" s="145" t="s">
        <v>1351</v>
      </c>
      <c r="E72" s="146" t="s">
        <v>1352</v>
      </c>
    </row>
    <row r="73" spans="2:5" ht="16" customHeight="1" x14ac:dyDescent="0.2">
      <c r="B73" s="141"/>
      <c r="C73" s="9" t="s">
        <v>1453</v>
      </c>
      <c r="D73" s="145" t="s">
        <v>1223</v>
      </c>
      <c r="E73" s="146" t="s">
        <v>1224</v>
      </c>
    </row>
    <row r="74" spans="2:5" ht="16" customHeight="1" x14ac:dyDescent="0.2">
      <c r="B74" s="141"/>
      <c r="C74" s="9"/>
      <c r="D74" s="145" t="s">
        <v>1353</v>
      </c>
      <c r="E74" s="146" t="s">
        <v>1354</v>
      </c>
    </row>
    <row r="75" spans="2:5" ht="16" customHeight="1" x14ac:dyDescent="0.2">
      <c r="B75" s="141"/>
      <c r="C75" s="9"/>
      <c r="D75" s="145" t="s">
        <v>1355</v>
      </c>
      <c r="E75" s="146" t="s">
        <v>1356</v>
      </c>
    </row>
    <row r="76" spans="2:5" ht="16" customHeight="1" x14ac:dyDescent="0.2">
      <c r="B76" s="141"/>
      <c r="C76" s="9"/>
      <c r="D76" s="145" t="s">
        <v>1357</v>
      </c>
      <c r="E76" s="146" t="s">
        <v>1358</v>
      </c>
    </row>
    <row r="77" spans="2:5" ht="16" customHeight="1" x14ac:dyDescent="0.2">
      <c r="B77" s="141"/>
      <c r="C77" s="9"/>
      <c r="D77" s="145" t="s">
        <v>1359</v>
      </c>
      <c r="E77" s="146" t="s">
        <v>1360</v>
      </c>
    </row>
    <row r="78" spans="2:5" ht="16" customHeight="1" x14ac:dyDescent="0.2">
      <c r="B78" s="141"/>
      <c r="C78" s="9"/>
      <c r="D78" s="145" t="s">
        <v>1361</v>
      </c>
      <c r="E78" s="146" t="s">
        <v>1362</v>
      </c>
    </row>
    <row r="79" spans="2:5" ht="16" customHeight="1" x14ac:dyDescent="0.2">
      <c r="B79" s="141"/>
      <c r="C79" s="9"/>
      <c r="D79" s="145" t="s">
        <v>1363</v>
      </c>
      <c r="E79" s="146" t="s">
        <v>1364</v>
      </c>
    </row>
    <row r="80" spans="2:5" ht="16" customHeight="1" x14ac:dyDescent="0.2">
      <c r="B80" s="141"/>
      <c r="C80" s="184"/>
      <c r="D80" s="145" t="s">
        <v>1365</v>
      </c>
      <c r="E80" s="147" t="s">
        <v>1366</v>
      </c>
    </row>
    <row r="81" spans="2:5" ht="16" customHeight="1" x14ac:dyDescent="0.2">
      <c r="B81" s="141"/>
      <c r="C81" s="9" t="s">
        <v>1453</v>
      </c>
      <c r="D81" s="145" t="s">
        <v>1225</v>
      </c>
      <c r="E81" s="146" t="s">
        <v>1226</v>
      </c>
    </row>
    <row r="82" spans="2:5" ht="16" customHeight="1" x14ac:dyDescent="0.2">
      <c r="B82" s="141"/>
      <c r="C82" s="9" t="s">
        <v>1453</v>
      </c>
      <c r="D82" s="145" t="s">
        <v>1227</v>
      </c>
      <c r="E82" s="146" t="s">
        <v>1228</v>
      </c>
    </row>
    <row r="83" spans="2:5" ht="16" customHeight="1" x14ac:dyDescent="0.2">
      <c r="B83" s="141"/>
      <c r="C83" s="9"/>
      <c r="D83" s="145" t="s">
        <v>1367</v>
      </c>
      <c r="E83" s="146" t="s">
        <v>1368</v>
      </c>
    </row>
    <row r="84" spans="2:5" ht="16" customHeight="1" x14ac:dyDescent="0.2">
      <c r="B84" s="141"/>
      <c r="C84" s="9"/>
      <c r="D84" s="145" t="s">
        <v>1369</v>
      </c>
      <c r="E84" s="146" t="s">
        <v>1370</v>
      </c>
    </row>
    <row r="85" spans="2:5" ht="16" customHeight="1" x14ac:dyDescent="0.2">
      <c r="B85" s="141"/>
      <c r="C85" s="9"/>
      <c r="D85" s="145" t="s">
        <v>1371</v>
      </c>
      <c r="E85" s="146" t="s">
        <v>1372</v>
      </c>
    </row>
    <row r="86" spans="2:5" ht="16" customHeight="1" x14ac:dyDescent="0.2">
      <c r="B86" s="141"/>
      <c r="C86" s="184"/>
      <c r="D86" s="145" t="s">
        <v>1373</v>
      </c>
      <c r="E86" s="147" t="s">
        <v>1374</v>
      </c>
    </row>
    <row r="87" spans="2:5" ht="16" customHeight="1" x14ac:dyDescent="0.2">
      <c r="B87" s="141"/>
      <c r="C87" s="9"/>
      <c r="D87" s="145" t="s">
        <v>1375</v>
      </c>
      <c r="E87" s="146" t="s">
        <v>1376</v>
      </c>
    </row>
    <row r="88" spans="2:5" ht="16" customHeight="1" x14ac:dyDescent="0.2">
      <c r="B88" s="141"/>
      <c r="C88" s="9"/>
      <c r="D88" s="145" t="s">
        <v>1377</v>
      </c>
      <c r="E88" s="146" t="s">
        <v>1378</v>
      </c>
    </row>
    <row r="89" spans="2:5" ht="16" customHeight="1" x14ac:dyDescent="0.2">
      <c r="B89" s="141"/>
      <c r="C89" s="9"/>
      <c r="D89" s="145" t="s">
        <v>1379</v>
      </c>
      <c r="E89" s="146" t="s">
        <v>1380</v>
      </c>
    </row>
    <row r="90" spans="2:5" ht="16" customHeight="1" x14ac:dyDescent="0.2">
      <c r="B90" s="141"/>
      <c r="C90" s="9"/>
      <c r="D90" s="145" t="s">
        <v>1381</v>
      </c>
      <c r="E90" s="146" t="s">
        <v>1382</v>
      </c>
    </row>
    <row r="91" spans="2:5" ht="16" customHeight="1" x14ac:dyDescent="0.2">
      <c r="B91" s="141"/>
      <c r="C91" s="9"/>
      <c r="D91" s="145" t="s">
        <v>1383</v>
      </c>
      <c r="E91" s="146" t="s">
        <v>1384</v>
      </c>
    </row>
    <row r="92" spans="2:5" ht="16" customHeight="1" x14ac:dyDescent="0.2">
      <c r="B92" s="141"/>
      <c r="C92" s="9"/>
      <c r="D92" s="145" t="s">
        <v>1385</v>
      </c>
      <c r="E92" s="146" t="s">
        <v>1386</v>
      </c>
    </row>
    <row r="93" spans="2:5" ht="16" customHeight="1" x14ac:dyDescent="0.2">
      <c r="B93" s="141"/>
      <c r="C93" s="184"/>
      <c r="D93" s="145" t="s">
        <v>1387</v>
      </c>
      <c r="E93" s="147" t="s">
        <v>1388</v>
      </c>
    </row>
    <row r="94" spans="2:5" x14ac:dyDescent="0.2">
      <c r="C94" s="148"/>
      <c r="D94" s="149"/>
      <c r="E94" s="150"/>
    </row>
  </sheetData>
  <sheetProtection algorithmName="SHA-512" hashValue="Qi5iwkTGSJaXWFJJ2Re58Sz5YDkRE7CXe+0klBaKIAOSY72uHhzTsfNQ1kB8AmT9UaSDo0M1TJV5tSKQEFTsuw==" saltValue="rXVDt8FxrrrRcd7PW0QIEw==" spinCount="100000" sheet="1" selectLockedCells="1"/>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80" zoomScaleNormal="80" workbookViewId="0"/>
  </sheetViews>
  <sheetFormatPr baseColWidth="10" defaultColWidth="10.83203125" defaultRowHeight="16" x14ac:dyDescent="0.2"/>
  <cols>
    <col min="1" max="1" width="10.83203125" style="16" customWidth="1"/>
    <col min="2" max="2" width="8.83203125" style="16" customWidth="1"/>
    <col min="3" max="3" width="27.5" style="16" customWidth="1"/>
    <col min="4" max="4" width="20.83203125" style="16" customWidth="1"/>
    <col min="5" max="5" width="46.5" style="41" customWidth="1"/>
    <col min="6" max="6" width="20.83203125" style="16" customWidth="1"/>
    <col min="7" max="7" width="10.83203125" style="16" customWidth="1"/>
    <col min="8" max="16384" width="10.83203125" style="16"/>
  </cols>
  <sheetData>
    <row r="1" spans="1:8" ht="17" customHeight="1" thickBot="1" x14ac:dyDescent="0.25">
      <c r="C1" s="17"/>
      <c r="D1" s="17"/>
      <c r="E1" s="37"/>
      <c r="F1" s="17"/>
    </row>
    <row r="2" spans="1:8" s="41" customFormat="1" ht="17" customHeight="1" thickBot="1" x14ac:dyDescent="0.25">
      <c r="A2" s="61"/>
      <c r="B2" s="62"/>
      <c r="C2" s="63" t="s">
        <v>1454</v>
      </c>
      <c r="D2" s="64" t="s">
        <v>1455</v>
      </c>
      <c r="E2" s="38" t="s">
        <v>1456</v>
      </c>
      <c r="F2" s="65" t="s">
        <v>1457</v>
      </c>
      <c r="G2" s="66"/>
    </row>
    <row r="3" spans="1:8" ht="62.5" customHeight="1" x14ac:dyDescent="0.2">
      <c r="A3" s="18"/>
      <c r="B3" s="264" t="s">
        <v>1458</v>
      </c>
      <c r="C3" s="47" t="s">
        <v>1459</v>
      </c>
      <c r="D3" s="236" t="s">
        <v>1460</v>
      </c>
      <c r="E3" s="178" t="s">
        <v>1461</v>
      </c>
      <c r="F3" s="67" t="s">
        <v>1462</v>
      </c>
      <c r="G3" s="19"/>
    </row>
    <row r="4" spans="1:8" ht="31.75" customHeight="1" x14ac:dyDescent="0.2">
      <c r="A4" s="18"/>
      <c r="B4" s="261"/>
      <c r="C4" s="29" t="s">
        <v>1463</v>
      </c>
      <c r="D4" s="175">
        <v>18</v>
      </c>
      <c r="E4" s="179" t="s">
        <v>1464</v>
      </c>
      <c r="F4" s="68">
        <v>18</v>
      </c>
      <c r="G4" s="19"/>
    </row>
    <row r="5" spans="1:8" ht="43.5" customHeight="1" x14ac:dyDescent="0.2">
      <c r="A5" s="18"/>
      <c r="B5" s="261"/>
      <c r="C5" s="30" t="s">
        <v>1465</v>
      </c>
      <c r="D5" s="235" t="s">
        <v>1466</v>
      </c>
      <c r="E5" s="179" t="s">
        <v>1467</v>
      </c>
      <c r="F5" s="20" t="s">
        <v>1468</v>
      </c>
      <c r="G5" s="19"/>
    </row>
    <row r="6" spans="1:8" ht="48" customHeight="1" x14ac:dyDescent="0.2">
      <c r="A6" s="18"/>
      <c r="B6" s="261"/>
      <c r="C6" s="31" t="s">
        <v>1469</v>
      </c>
      <c r="D6" s="235" t="s">
        <v>1470</v>
      </c>
      <c r="E6" s="180" t="s">
        <v>1471</v>
      </c>
      <c r="F6" s="21" t="s">
        <v>1472</v>
      </c>
      <c r="G6" s="19"/>
    </row>
    <row r="7" spans="1:8" s="205" customFormat="1" ht="80" customHeight="1" x14ac:dyDescent="0.2">
      <c r="A7" s="199"/>
      <c r="B7" s="261"/>
      <c r="C7" s="200" t="s">
        <v>1473</v>
      </c>
      <c r="D7" s="201" t="s">
        <v>1474</v>
      </c>
      <c r="E7" s="202" t="s">
        <v>1475</v>
      </c>
      <c r="F7" s="203" t="s">
        <v>1476</v>
      </c>
      <c r="G7" s="204"/>
    </row>
    <row r="8" spans="1:8" ht="80" customHeight="1" x14ac:dyDescent="0.2">
      <c r="A8" s="18"/>
      <c r="B8" s="261"/>
      <c r="C8" s="31" t="s">
        <v>1477</v>
      </c>
      <c r="D8" s="235" t="s">
        <v>1478</v>
      </c>
      <c r="E8" s="181" t="s">
        <v>1479</v>
      </c>
      <c r="F8" s="22" t="s">
        <v>1480</v>
      </c>
      <c r="G8" s="19"/>
      <c r="H8" s="185"/>
    </row>
    <row r="9" spans="1:8" ht="96" customHeight="1" x14ac:dyDescent="0.2">
      <c r="A9" s="18"/>
      <c r="B9" s="261"/>
      <c r="C9" s="31" t="s">
        <v>1481</v>
      </c>
      <c r="D9" s="186" t="s">
        <v>1482</v>
      </c>
      <c r="E9" s="181" t="s">
        <v>1483</v>
      </c>
      <c r="F9" s="22" t="s">
        <v>1484</v>
      </c>
      <c r="G9" s="19"/>
    </row>
    <row r="10" spans="1:8" s="205" customFormat="1" ht="58" customHeight="1" x14ac:dyDescent="0.2">
      <c r="A10" s="199"/>
      <c r="B10" s="261"/>
      <c r="C10" s="213" t="s">
        <v>1485</v>
      </c>
      <c r="D10" s="235"/>
      <c r="E10" s="24" t="s">
        <v>1486</v>
      </c>
      <c r="F10" s="210" t="s">
        <v>1487</v>
      </c>
      <c r="G10" s="204"/>
    </row>
    <row r="11" spans="1:8" s="205" customFormat="1" ht="50.25" customHeight="1" thickBot="1" x14ac:dyDescent="0.25">
      <c r="A11" s="199"/>
      <c r="B11" s="262"/>
      <c r="C11" s="214" t="s">
        <v>1488</v>
      </c>
      <c r="D11" s="212"/>
      <c r="E11" s="23" t="s">
        <v>1489</v>
      </c>
      <c r="F11" s="211">
        <v>0.2</v>
      </c>
      <c r="G11" s="204"/>
    </row>
    <row r="12" spans="1:8" ht="32" customHeight="1" x14ac:dyDescent="0.2">
      <c r="A12" s="18"/>
      <c r="B12" s="260" t="s">
        <v>1490</v>
      </c>
      <c r="C12" s="32" t="s">
        <v>1491</v>
      </c>
      <c r="D12" s="237" t="s">
        <v>1492</v>
      </c>
      <c r="E12" s="39" t="s">
        <v>1493</v>
      </c>
      <c r="F12" s="20" t="s">
        <v>1494</v>
      </c>
      <c r="G12" s="19"/>
    </row>
    <row r="13" spans="1:8" ht="96" customHeight="1" x14ac:dyDescent="0.2">
      <c r="A13" s="18"/>
      <c r="B13" s="261"/>
      <c r="C13" s="133" t="s">
        <v>1495</v>
      </c>
      <c r="D13" s="187">
        <v>1</v>
      </c>
      <c r="E13" s="134" t="s">
        <v>1496</v>
      </c>
      <c r="F13" s="22">
        <v>5</v>
      </c>
      <c r="G13" s="36"/>
      <c r="H13" s="58"/>
    </row>
    <row r="14" spans="1:8" ht="149.5" customHeight="1" x14ac:dyDescent="0.2">
      <c r="A14" s="18"/>
      <c r="B14" s="261"/>
      <c r="C14" s="133" t="s">
        <v>1497</v>
      </c>
      <c r="D14" s="187">
        <v>15000</v>
      </c>
      <c r="E14" s="24" t="s">
        <v>1498</v>
      </c>
      <c r="F14" s="22">
        <v>1200000</v>
      </c>
      <c r="G14" s="19"/>
    </row>
    <row r="15" spans="1:8" ht="32" customHeight="1" x14ac:dyDescent="0.2">
      <c r="A15" s="18"/>
      <c r="B15" s="261"/>
      <c r="C15" s="60" t="s">
        <v>1499</v>
      </c>
      <c r="D15" s="235" t="s">
        <v>1500</v>
      </c>
      <c r="E15" s="24" t="s">
        <v>1501</v>
      </c>
      <c r="F15" s="22" t="s">
        <v>1502</v>
      </c>
      <c r="G15" s="19"/>
    </row>
    <row r="16" spans="1:8" ht="33" customHeight="1" thickBot="1" x14ac:dyDescent="0.25">
      <c r="A16" s="18"/>
      <c r="B16" s="262"/>
      <c r="C16" s="132" t="s">
        <v>1503</v>
      </c>
      <c r="D16" s="238" t="s">
        <v>1504</v>
      </c>
      <c r="E16" s="25" t="s">
        <v>1505</v>
      </c>
      <c r="F16" s="136" t="s">
        <v>1506</v>
      </c>
      <c r="G16" s="19"/>
    </row>
    <row r="17" spans="1:7" s="59" customFormat="1" ht="5.5" customHeight="1" thickBot="1" x14ac:dyDescent="0.25">
      <c r="A17" s="53"/>
      <c r="B17" s="54"/>
      <c r="C17" s="55"/>
      <c r="D17" s="135"/>
      <c r="E17" s="56"/>
      <c r="F17" s="57"/>
      <c r="G17" s="58"/>
    </row>
    <row r="18" spans="1:7" ht="160" customHeight="1" x14ac:dyDescent="0.2">
      <c r="A18" s="18"/>
      <c r="B18" s="263" t="s">
        <v>1507</v>
      </c>
      <c r="C18" s="48" t="s">
        <v>1508</v>
      </c>
      <c r="D18" s="172">
        <v>0.91</v>
      </c>
      <c r="E18" s="50" t="s">
        <v>1509</v>
      </c>
      <c r="F18" s="49">
        <v>0.91</v>
      </c>
      <c r="G18" s="19"/>
    </row>
    <row r="19" spans="1:7" ht="160" customHeight="1" x14ac:dyDescent="0.2">
      <c r="A19" s="18"/>
      <c r="B19" s="261"/>
      <c r="C19" s="33" t="s">
        <v>1510</v>
      </c>
      <c r="D19" s="173">
        <v>0.91</v>
      </c>
      <c r="E19" s="51" t="s">
        <v>1511</v>
      </c>
      <c r="F19" s="26">
        <v>0.91</v>
      </c>
      <c r="G19" s="19"/>
    </row>
    <row r="20" spans="1:7" ht="141" customHeight="1" thickBot="1" x14ac:dyDescent="0.25">
      <c r="A20" s="18"/>
      <c r="B20" s="262"/>
      <c r="C20" s="34" t="s">
        <v>1512</v>
      </c>
      <c r="D20" s="174">
        <v>0.05</v>
      </c>
      <c r="E20" s="52" t="s">
        <v>1513</v>
      </c>
      <c r="F20" s="27">
        <v>0.05</v>
      </c>
      <c r="G20" s="19"/>
    </row>
    <row r="21" spans="1:7" x14ac:dyDescent="0.2">
      <c r="B21" s="28"/>
      <c r="C21" s="28"/>
      <c r="D21" s="28"/>
      <c r="E21" s="40"/>
      <c r="F21" s="28"/>
    </row>
  </sheetData>
  <sheetProtection algorithmName="SHA-512" hashValue="Nu1DlnWQ9CKKAhyfaxoX3fJ+/xnUoCkw8ayMpTgWf3HPPZAMqZwJvwROztznFUlvcQpxUfES3eOXQIX79/hkWQ==" saltValue="GqrH1WZKslx+bPyjvR+uGQ==" spinCount="100000" sheet="1" objects="1" scenarios="1"/>
  <mergeCells count="3">
    <mergeCell ref="B12:B16"/>
    <mergeCell ref="B18:B20"/>
    <mergeCell ref="B3:B11"/>
  </mergeCells>
  <dataValidations count="2">
    <dataValidation type="list" showInputMessage="1" showErrorMessage="1" sqref="D9" xr:uid="{00000000-0002-0000-0400-000000000000}">
      <formula1>"Not yet in season,Land preparation,Planting,Early growing,Growing,Maturing,Harvesting,Recently finished"</formula1>
    </dataValidation>
    <dataValidation type="list" showInputMessage="1" showErrorMessage="1" sqref="D7" xr:uid="{00000000-0002-0000-0400-000001000000}">
      <formula1>"last year, a normal year"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Ibrahim Ali Ahmad</cp:lastModifiedBy>
  <dcterms:created xsi:type="dcterms:W3CDTF">2021-01-05T14:16:30Z</dcterms:created>
  <dcterms:modified xsi:type="dcterms:W3CDTF">2023-12-14T15:14:23Z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2023-12-14T15:06:45Z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21c14e33-b159-46d8-953f-a73440f867a4</vt:lpwstr>
  </property>
  <property fmtid="{D5CDD505-2E9C-101B-9397-08002B2CF9AE}" pid="8" name="MSIP_Label_46ec50b2-b191-4ad7-ba82-7deb0436e358_ContentBits">
    <vt:lpwstr>0</vt:lpwstr>
  </property>
</Properties>
</file>