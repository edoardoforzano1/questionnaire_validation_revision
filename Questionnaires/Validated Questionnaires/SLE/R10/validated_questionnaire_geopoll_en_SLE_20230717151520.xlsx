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09"/>
  <workbookPr defaultThemeVersion="166925"/>
  <mc:AlternateContent xmlns:mc="http://schemas.openxmlformats.org/markup-compatibility/2006">
    <mc:Choice Requires="x15">
      <x15ac:absPath xmlns:x15ac="http://schemas.microsoft.com/office/spreadsheetml/2010/11/ac" url="/Users/ibrahim.aliahmad/Documents/FAO/Working Files/Questionnaire Validation/Script/questionnaire_validation/NEW Questionnaire/Questionnaires/Validated Questionnaires/SLE/R10/"/>
    </mc:Choice>
  </mc:AlternateContent>
  <xr:revisionPtr revIDLastSave="0" documentId="13_ncr:1_{8EEB2823-3543-2C4A-8A40-ED5070AFA807}" xr6:coauthVersionLast="47" xr6:coauthVersionMax="47" xr10:uidLastSave="{00000000-0000-0000-0000-000000000000}"/>
  <bookViews>
    <workbookView xWindow="0" yWindow="0" windowWidth="33600" windowHeight="21000" xr2:uid="{00000000-000D-0000-FFFF-FFFF00000000}"/>
  </bookViews>
  <sheets>
    <sheet name="survey" sheetId="1" r:id="rId1"/>
    <sheet name="New Durations" sheetId="2" state="hidden" r:id="rId2"/>
    <sheet name="Crop list" sheetId="3" state="hidden" r:id="rId3"/>
    <sheet name="Additional information" sheetId="4" state="hidden" r:id="rId4"/>
    <sheet name="Admin 2 info" sheetId="5" r:id="rId5"/>
  </sheets>
  <definedNames>
    <definedName name="_xlnm._FilterDatabase" localSheetId="2" hidden="1">'Crop list'!$C$3:$F$93</definedName>
    <definedName name="_xlnm._FilterDatabase" localSheetId="0" hidden="1">survey!$A$3:$XEN$3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 i="3" l="1" a="1"/>
  <c r="D93" i="3" s="1"/>
  <c r="X231" i="1"/>
  <c r="W231" i="1"/>
  <c r="E231" i="1"/>
  <c r="X230" i="1"/>
  <c r="W230" i="1"/>
  <c r="E230" i="1"/>
  <c r="X229" i="1"/>
  <c r="W229" i="1"/>
  <c r="X228" i="1"/>
  <c r="W228" i="1"/>
  <c r="E228" i="1"/>
  <c r="X227" i="1"/>
  <c r="W227" i="1"/>
  <c r="E227" i="1"/>
  <c r="X226" i="1"/>
  <c r="W226" i="1"/>
  <c r="E226" i="1"/>
  <c r="X225" i="1"/>
  <c r="W225" i="1"/>
  <c r="E225" i="1"/>
  <c r="X224" i="1"/>
  <c r="W224" i="1"/>
  <c r="E224" i="1"/>
  <c r="X223" i="1"/>
  <c r="W223" i="1"/>
  <c r="E223" i="1"/>
  <c r="X222" i="1"/>
  <c r="W222" i="1"/>
  <c r="E222" i="1"/>
  <c r="X221" i="1"/>
  <c r="W221" i="1"/>
  <c r="X220" i="1"/>
  <c r="W220" i="1"/>
  <c r="X219" i="1"/>
  <c r="W219" i="1"/>
  <c r="E219" i="1"/>
  <c r="X218" i="1"/>
  <c r="W218" i="1"/>
  <c r="X217" i="1"/>
  <c r="W217" i="1"/>
  <c r="E217" i="1"/>
  <c r="X216" i="1"/>
  <c r="W216" i="1"/>
  <c r="E216" i="1"/>
  <c r="X215" i="1"/>
  <c r="W215" i="1"/>
  <c r="X214" i="1"/>
  <c r="W214" i="1"/>
  <c r="E214" i="1"/>
  <c r="X213" i="1"/>
  <c r="W213" i="1"/>
  <c r="E213" i="1"/>
  <c r="X212" i="1"/>
  <c r="W212" i="1"/>
  <c r="X211" i="1"/>
  <c r="W211" i="1"/>
  <c r="E211" i="1"/>
  <c r="X210" i="1"/>
  <c r="W210" i="1"/>
  <c r="E210" i="1"/>
  <c r="X209" i="1"/>
  <c r="W209" i="1"/>
  <c r="E209" i="1"/>
  <c r="X208" i="1"/>
  <c r="W208" i="1"/>
  <c r="E208" i="1"/>
  <c r="X207" i="1"/>
  <c r="W207" i="1"/>
  <c r="E207" i="1"/>
  <c r="X206" i="1"/>
  <c r="W206" i="1"/>
  <c r="E206" i="1"/>
  <c r="X205" i="1"/>
  <c r="W205" i="1"/>
  <c r="E205" i="1"/>
  <c r="X204" i="1"/>
  <c r="W204" i="1"/>
  <c r="E204" i="1"/>
  <c r="X203" i="1"/>
  <c r="W203" i="1"/>
  <c r="E203" i="1"/>
  <c r="X202" i="1"/>
  <c r="W202" i="1"/>
  <c r="E202" i="1"/>
  <c r="X201" i="1"/>
  <c r="W201" i="1"/>
  <c r="E201" i="1"/>
  <c r="X200" i="1"/>
  <c r="W200" i="1"/>
  <c r="E200" i="1"/>
  <c r="X199" i="1"/>
  <c r="W199" i="1"/>
  <c r="E199" i="1"/>
  <c r="X198" i="1"/>
  <c r="W198" i="1"/>
  <c r="E198" i="1"/>
  <c r="X197" i="1"/>
  <c r="W197" i="1"/>
  <c r="E197" i="1"/>
  <c r="X196" i="1"/>
  <c r="W196" i="1"/>
  <c r="E196" i="1"/>
  <c r="W195" i="1"/>
  <c r="X195" i="1" s="1"/>
  <c r="E195" i="1"/>
  <c r="X194" i="1"/>
  <c r="W194" i="1"/>
  <c r="E194" i="1"/>
  <c r="A194" i="1"/>
  <c r="A195" i="1" s="1"/>
  <c r="A196" i="1" s="1"/>
  <c r="A197" i="1" s="1"/>
  <c r="A198" i="1" s="1"/>
  <c r="A199" i="1" s="1"/>
  <c r="A200" i="1" s="1"/>
  <c r="A201" i="1" s="1"/>
  <c r="A202" i="1" s="1"/>
  <c r="A203" i="1" s="1"/>
  <c r="A204" i="1" s="1"/>
  <c r="A206" i="1" s="1"/>
  <c r="A207" i="1" s="1"/>
  <c r="A208" i="1" s="1"/>
  <c r="A209" i="1" s="1"/>
  <c r="A210" i="1" s="1"/>
  <c r="A211" i="1" s="1"/>
  <c r="A213" i="1" s="1"/>
  <c r="A214" i="1" s="1"/>
  <c r="A216" i="1" s="1"/>
  <c r="A217" i="1" s="1"/>
  <c r="X193" i="1"/>
  <c r="W193" i="1"/>
  <c r="E193" i="1"/>
  <c r="X192" i="1"/>
  <c r="W192" i="1"/>
  <c r="E192" i="1"/>
  <c r="X191" i="1"/>
  <c r="W191" i="1"/>
  <c r="E191" i="1"/>
  <c r="A191" i="1"/>
  <c r="A192" i="1" s="1"/>
  <c r="A193" i="1" s="1"/>
  <c r="X190" i="1"/>
  <c r="W190" i="1"/>
  <c r="E190" i="1"/>
  <c r="X189" i="1"/>
  <c r="W189" i="1"/>
  <c r="E189" i="1"/>
  <c r="A189" i="1"/>
  <c r="A190" i="1" s="1"/>
  <c r="X188" i="1"/>
  <c r="W188" i="1"/>
  <c r="E188" i="1"/>
  <c r="A188" i="1"/>
  <c r="X187" i="1"/>
  <c r="W187" i="1"/>
  <c r="E187" i="1"/>
  <c r="X186" i="1"/>
  <c r="W186" i="1"/>
  <c r="E186" i="1"/>
  <c r="A186" i="1"/>
  <c r="A187" i="1" s="1"/>
  <c r="X185" i="1"/>
  <c r="W185" i="1"/>
  <c r="E185" i="1"/>
  <c r="A185" i="1"/>
  <c r="X184" i="1"/>
  <c r="W184" i="1"/>
  <c r="E184" i="1"/>
  <c r="A184" i="1"/>
  <c r="X183" i="1"/>
  <c r="W183" i="1"/>
  <c r="E183" i="1"/>
  <c r="X182" i="1"/>
  <c r="W182" i="1"/>
  <c r="E182" i="1"/>
  <c r="X181" i="1"/>
  <c r="W181" i="1"/>
  <c r="E181" i="1"/>
  <c r="W180" i="1"/>
  <c r="X180" i="1" s="1"/>
  <c r="E180" i="1"/>
  <c r="W179" i="1"/>
  <c r="X179" i="1" s="1"/>
  <c r="E179" i="1"/>
  <c r="X178" i="1"/>
  <c r="W178" i="1"/>
  <c r="E178" i="1"/>
  <c r="X177" i="1"/>
  <c r="W177" i="1"/>
  <c r="E177" i="1"/>
  <c r="W176" i="1"/>
  <c r="X176" i="1" s="1"/>
  <c r="E176" i="1"/>
  <c r="W175" i="1"/>
  <c r="X175" i="1" s="1"/>
  <c r="E175" i="1"/>
  <c r="X174" i="1"/>
  <c r="W174" i="1"/>
  <c r="E174" i="1"/>
  <c r="X173" i="1"/>
  <c r="W173" i="1"/>
  <c r="E173" i="1"/>
  <c r="W172" i="1"/>
  <c r="X172" i="1" s="1"/>
  <c r="E172" i="1"/>
  <c r="W171" i="1"/>
  <c r="X171" i="1" s="1"/>
  <c r="E171" i="1"/>
  <c r="X170" i="1"/>
  <c r="W170" i="1"/>
  <c r="X169" i="1"/>
  <c r="W169" i="1"/>
  <c r="O169" i="1"/>
  <c r="W168" i="1"/>
  <c r="X168" i="1" s="1"/>
  <c r="O168" i="1"/>
  <c r="E168" i="1"/>
  <c r="X167" i="1"/>
  <c r="W167" i="1"/>
  <c r="O167" i="1"/>
  <c r="O166" i="1"/>
  <c r="W166" i="1" s="1"/>
  <c r="X166" i="1" s="1"/>
  <c r="E166" i="1"/>
  <c r="O165" i="1"/>
  <c r="W165" i="1" s="1"/>
  <c r="X165" i="1" s="1"/>
  <c r="E165" i="1"/>
  <c r="X164" i="1"/>
  <c r="W164" i="1"/>
  <c r="O164" i="1"/>
  <c r="O163" i="1"/>
  <c r="W163" i="1" s="1"/>
  <c r="X163" i="1" s="1"/>
  <c r="E163" i="1"/>
  <c r="X162" i="1"/>
  <c r="W162" i="1"/>
  <c r="X161" i="1"/>
  <c r="W161" i="1"/>
  <c r="O161" i="1"/>
  <c r="X160" i="1"/>
  <c r="O160" i="1"/>
  <c r="W160" i="1" s="1"/>
  <c r="E160" i="1"/>
  <c r="X159" i="1"/>
  <c r="W159" i="1"/>
  <c r="O159" i="1"/>
  <c r="E159" i="1"/>
  <c r="O158" i="1"/>
  <c r="W158" i="1" s="1"/>
  <c r="X158" i="1" s="1"/>
  <c r="E158" i="1"/>
  <c r="X157" i="1"/>
  <c r="W157" i="1"/>
  <c r="O157" i="1"/>
  <c r="O156" i="1"/>
  <c r="W156" i="1" s="1"/>
  <c r="X156" i="1" s="1"/>
  <c r="E156" i="1"/>
  <c r="X155" i="1"/>
  <c r="W155" i="1"/>
  <c r="O155" i="1"/>
  <c r="O154" i="1"/>
  <c r="W154" i="1" s="1"/>
  <c r="X154" i="1" s="1"/>
  <c r="E154" i="1"/>
  <c r="X153" i="1"/>
  <c r="W153" i="1"/>
  <c r="O153" i="1"/>
  <c r="O152" i="1"/>
  <c r="W152" i="1" s="1"/>
  <c r="X152" i="1" s="1"/>
  <c r="E152" i="1"/>
  <c r="X151" i="1"/>
  <c r="W151" i="1"/>
  <c r="X150" i="1"/>
  <c r="W150" i="1"/>
  <c r="O150" i="1"/>
  <c r="O149" i="1"/>
  <c r="W149" i="1" s="1"/>
  <c r="X149" i="1" s="1"/>
  <c r="E149" i="1"/>
  <c r="X148" i="1"/>
  <c r="W148" i="1"/>
  <c r="O148" i="1"/>
  <c r="X147" i="1"/>
  <c r="W147" i="1"/>
  <c r="O147" i="1"/>
  <c r="E147" i="1"/>
  <c r="X146" i="1"/>
  <c r="W146" i="1"/>
  <c r="O146" i="1"/>
  <c r="E146" i="1"/>
  <c r="X145" i="1"/>
  <c r="W145" i="1"/>
  <c r="O145" i="1"/>
  <c r="W144" i="1"/>
  <c r="X144" i="1" s="1"/>
  <c r="O144" i="1"/>
  <c r="E144" i="1"/>
  <c r="X143" i="1"/>
  <c r="W143" i="1"/>
  <c r="X142" i="1"/>
  <c r="W142" i="1"/>
  <c r="O142" i="1"/>
  <c r="X141" i="1"/>
  <c r="W141" i="1"/>
  <c r="O141" i="1"/>
  <c r="E141" i="1"/>
  <c r="O140" i="1"/>
  <c r="W140" i="1" s="1"/>
  <c r="X140" i="1" s="1"/>
  <c r="E140" i="1"/>
  <c r="A140" i="1"/>
  <c r="A144" i="1" s="1"/>
  <c r="A146" i="1" s="1"/>
  <c r="A147" i="1" s="1"/>
  <c r="A149" i="1" s="1"/>
  <c r="A152" i="1" s="1"/>
  <c r="A154" i="1" s="1"/>
  <c r="A156" i="1" s="1"/>
  <c r="A158" i="1" s="1"/>
  <c r="A159" i="1" s="1"/>
  <c r="A160" i="1" s="1"/>
  <c r="A163" i="1" s="1"/>
  <c r="A165" i="1" s="1"/>
  <c r="A166" i="1" s="1"/>
  <c r="A168" i="1" s="1"/>
  <c r="A171" i="1" s="1"/>
  <c r="A172" i="1" s="1"/>
  <c r="A173" i="1" s="1"/>
  <c r="A174" i="1" s="1"/>
  <c r="A175" i="1" s="1"/>
  <c r="A176" i="1" s="1"/>
  <c r="A177" i="1" s="1"/>
  <c r="A178" i="1" s="1"/>
  <c r="A179" i="1" s="1"/>
  <c r="A180" i="1" s="1"/>
  <c r="A181" i="1" s="1"/>
  <c r="A182" i="1" s="1"/>
  <c r="A183" i="1" s="1"/>
  <c r="X139" i="1"/>
  <c r="W139" i="1"/>
  <c r="O139" i="1"/>
  <c r="E139" i="1"/>
  <c r="A139" i="1"/>
  <c r="X138" i="1"/>
  <c r="W138" i="1"/>
  <c r="O138" i="1"/>
  <c r="X137" i="1"/>
  <c r="O137" i="1"/>
  <c r="W137" i="1" s="1"/>
  <c r="E137" i="1"/>
  <c r="O136" i="1"/>
  <c r="W136" i="1" s="1"/>
  <c r="X136" i="1" s="1"/>
  <c r="E136" i="1"/>
  <c r="X135" i="1"/>
  <c r="W135" i="1"/>
  <c r="O135" i="1"/>
  <c r="E135" i="1"/>
  <c r="X134" i="1"/>
  <c r="W134" i="1"/>
  <c r="O134" i="1"/>
  <c r="E134" i="1"/>
  <c r="X133" i="1"/>
  <c r="W133" i="1"/>
  <c r="O133" i="1"/>
  <c r="W132" i="1"/>
  <c r="X132" i="1" s="1"/>
  <c r="O132" i="1"/>
  <c r="E132" i="1"/>
  <c r="X131" i="1"/>
  <c r="W131" i="1"/>
  <c r="O131" i="1"/>
  <c r="X130" i="1"/>
  <c r="W130" i="1"/>
  <c r="O130" i="1"/>
  <c r="E130" i="1"/>
  <c r="X129" i="1"/>
  <c r="W129" i="1"/>
  <c r="X128" i="1"/>
  <c r="W128" i="1"/>
  <c r="O128" i="1"/>
  <c r="W127" i="1"/>
  <c r="X127" i="1" s="1"/>
  <c r="O127" i="1"/>
  <c r="E127" i="1"/>
  <c r="X126" i="1"/>
  <c r="W126" i="1"/>
  <c r="O126" i="1"/>
  <c r="W125" i="1"/>
  <c r="X125" i="1" s="1"/>
  <c r="O125" i="1"/>
  <c r="E125" i="1"/>
  <c r="O124" i="1"/>
  <c r="W124" i="1" s="1"/>
  <c r="X124" i="1" s="1"/>
  <c r="E124" i="1"/>
  <c r="A124" i="1"/>
  <c r="A125" i="1" s="1"/>
  <c r="A127" i="1" s="1"/>
  <c r="A130" i="1" s="1"/>
  <c r="A132" i="1" s="1"/>
  <c r="A134" i="1" s="1"/>
  <c r="A135" i="1" s="1"/>
  <c r="X123" i="1"/>
  <c r="W123" i="1"/>
  <c r="O123" i="1"/>
  <c r="W122" i="1"/>
  <c r="X122" i="1" s="1"/>
  <c r="O122" i="1"/>
  <c r="E122" i="1"/>
  <c r="X121" i="1"/>
  <c r="W121" i="1"/>
  <c r="X120" i="1"/>
  <c r="W120" i="1"/>
  <c r="O120" i="1"/>
  <c r="X119" i="1"/>
  <c r="W119" i="1"/>
  <c r="O119" i="1"/>
  <c r="E119" i="1"/>
  <c r="X118" i="1"/>
  <c r="W118" i="1"/>
  <c r="O118" i="1"/>
  <c r="E118" i="1"/>
  <c r="A118" i="1"/>
  <c r="X117" i="1"/>
  <c r="W117" i="1"/>
  <c r="O117" i="1"/>
  <c r="O116" i="1"/>
  <c r="W116" i="1" s="1"/>
  <c r="X116" i="1" s="1"/>
  <c r="E116" i="1"/>
  <c r="A116" i="1"/>
  <c r="O115" i="1"/>
  <c r="W115" i="1" s="1"/>
  <c r="X115" i="1" s="1"/>
  <c r="E115" i="1"/>
  <c r="A115" i="1"/>
  <c r="X114" i="1"/>
  <c r="W114" i="1"/>
  <c r="O114" i="1"/>
  <c r="X113" i="1"/>
  <c r="O113" i="1"/>
  <c r="W113" i="1" s="1"/>
  <c r="E113" i="1"/>
  <c r="X112" i="1"/>
  <c r="W112" i="1"/>
  <c r="O112" i="1"/>
  <c r="E112" i="1"/>
  <c r="X111" i="1"/>
  <c r="W111" i="1"/>
  <c r="O111" i="1"/>
  <c r="E111" i="1"/>
  <c r="O110" i="1"/>
  <c r="W110" i="1" s="1"/>
  <c r="X110" i="1" s="1"/>
  <c r="E110" i="1"/>
  <c r="X109" i="1"/>
  <c r="W109" i="1"/>
  <c r="O109" i="1"/>
  <c r="W108" i="1"/>
  <c r="X108" i="1" s="1"/>
  <c r="O108" i="1"/>
  <c r="E108" i="1"/>
  <c r="X107" i="1"/>
  <c r="W107" i="1"/>
  <c r="O107" i="1"/>
  <c r="X106" i="1"/>
  <c r="O106" i="1"/>
  <c r="W106" i="1" s="1"/>
  <c r="E106" i="1"/>
  <c r="X105" i="1"/>
  <c r="W105" i="1"/>
  <c r="O105" i="1"/>
  <c r="W104" i="1"/>
  <c r="X104" i="1" s="1"/>
  <c r="O104" i="1"/>
  <c r="E104" i="1"/>
  <c r="X103" i="1"/>
  <c r="W103" i="1"/>
  <c r="O103" i="1"/>
  <c r="O102" i="1"/>
  <c r="W102" i="1" s="1"/>
  <c r="X102" i="1" s="1"/>
  <c r="E102" i="1"/>
  <c r="O101" i="1"/>
  <c r="W101" i="1" s="1"/>
  <c r="X101" i="1" s="1"/>
  <c r="E101" i="1"/>
  <c r="X100" i="1"/>
  <c r="W100" i="1"/>
  <c r="O100" i="1"/>
  <c r="X99" i="1"/>
  <c r="W99" i="1"/>
  <c r="O99" i="1"/>
  <c r="E99" i="1"/>
  <c r="O98" i="1"/>
  <c r="W98" i="1" s="1"/>
  <c r="X98" i="1" s="1"/>
  <c r="E98" i="1"/>
  <c r="X97" i="1"/>
  <c r="W97" i="1"/>
  <c r="O97" i="1"/>
  <c r="O96" i="1"/>
  <c r="W96" i="1" s="1"/>
  <c r="X96" i="1" s="1"/>
  <c r="E96" i="1"/>
  <c r="A96" i="1"/>
  <c r="A101" i="1" s="1"/>
  <c r="A104" i="1" s="1"/>
  <c r="A106" i="1" s="1"/>
  <c r="A108" i="1" s="1"/>
  <c r="A110" i="1" s="1"/>
  <c r="A111" i="1" s="1"/>
  <c r="A112" i="1" s="1"/>
  <c r="A113" i="1" s="1"/>
  <c r="X95" i="1"/>
  <c r="W95" i="1"/>
  <c r="X94" i="1"/>
  <c r="W94" i="1"/>
  <c r="O94" i="1"/>
  <c r="X93" i="1"/>
  <c r="W93" i="1"/>
  <c r="O93" i="1"/>
  <c r="E93" i="1"/>
  <c r="O92" i="1"/>
  <c r="W92" i="1" s="1"/>
  <c r="X92" i="1" s="1"/>
  <c r="E92" i="1"/>
  <c r="A92" i="1"/>
  <c r="X91" i="1"/>
  <c r="W91" i="1"/>
  <c r="O91" i="1"/>
  <c r="O90" i="1"/>
  <c r="W90" i="1" s="1"/>
  <c r="X90" i="1" s="1"/>
  <c r="E90" i="1"/>
  <c r="A90" i="1"/>
  <c r="X89" i="1"/>
  <c r="W89" i="1"/>
  <c r="O89" i="1"/>
  <c r="X88" i="1"/>
  <c r="W88" i="1"/>
  <c r="O88" i="1"/>
  <c r="W87" i="1"/>
  <c r="X87" i="1" s="1"/>
  <c r="O87" i="1"/>
  <c r="E87" i="1"/>
  <c r="X86" i="1"/>
  <c r="W86" i="1"/>
  <c r="O86" i="1"/>
  <c r="E86" i="1"/>
  <c r="O85" i="1"/>
  <c r="W85" i="1" s="1"/>
  <c r="X85" i="1" s="1"/>
  <c r="E85" i="1"/>
  <c r="O84" i="1"/>
  <c r="W84" i="1" s="1"/>
  <c r="X84" i="1" s="1"/>
  <c r="E84" i="1"/>
  <c r="X83" i="1"/>
  <c r="W83" i="1"/>
  <c r="O83" i="1"/>
  <c r="X82" i="1"/>
  <c r="W82" i="1"/>
  <c r="O82" i="1"/>
  <c r="E82" i="1"/>
  <c r="A82" i="1"/>
  <c r="A84" i="1" s="1"/>
  <c r="X81" i="1"/>
  <c r="W81" i="1"/>
  <c r="O81" i="1"/>
  <c r="X80" i="1"/>
  <c r="O80" i="1"/>
  <c r="W80" i="1" s="1"/>
  <c r="E80" i="1"/>
  <c r="X79" i="1"/>
  <c r="W79" i="1"/>
  <c r="O79" i="1"/>
  <c r="E79" i="1"/>
  <c r="X78" i="1"/>
  <c r="W78" i="1"/>
  <c r="O78" i="1"/>
  <c r="E78" i="1"/>
  <c r="A78" i="1"/>
  <c r="X77" i="1"/>
  <c r="O77" i="1"/>
  <c r="W77" i="1" s="1"/>
  <c r="E77" i="1"/>
  <c r="X76" i="1"/>
  <c r="W76" i="1"/>
  <c r="O76" i="1"/>
  <c r="W75" i="1"/>
  <c r="X75" i="1" s="1"/>
  <c r="O75" i="1"/>
  <c r="E75" i="1"/>
  <c r="X74" i="1"/>
  <c r="W74" i="1"/>
  <c r="O74" i="1"/>
  <c r="E74" i="1"/>
  <c r="O73" i="1"/>
  <c r="W73" i="1" s="1"/>
  <c r="X73" i="1" s="1"/>
  <c r="E73" i="1"/>
  <c r="O72" i="1"/>
  <c r="W72" i="1" s="1"/>
  <c r="X72" i="1" s="1"/>
  <c r="E72" i="1"/>
  <c r="X71" i="1"/>
  <c r="W71" i="1"/>
  <c r="O71" i="1"/>
  <c r="X70" i="1"/>
  <c r="W70" i="1"/>
  <c r="O70" i="1"/>
  <c r="E70" i="1"/>
  <c r="A70" i="1"/>
  <c r="A72" i="1" s="1"/>
  <c r="X69" i="1"/>
  <c r="W69" i="1"/>
  <c r="O69" i="1"/>
  <c r="X68" i="1"/>
  <c r="O68" i="1"/>
  <c r="W68" i="1" s="1"/>
  <c r="E68" i="1"/>
  <c r="X67" i="1"/>
  <c r="O67" i="1"/>
  <c r="W67" i="1" s="1"/>
  <c r="E67" i="1"/>
  <c r="X66" i="1"/>
  <c r="W66" i="1"/>
  <c r="O66" i="1"/>
  <c r="E66" i="1"/>
  <c r="X65" i="1"/>
  <c r="O65" i="1"/>
  <c r="W65" i="1" s="1"/>
  <c r="E65" i="1"/>
  <c r="X64" i="1"/>
  <c r="W64" i="1"/>
  <c r="O64" i="1"/>
  <c r="O63" i="1"/>
  <c r="W63" i="1" s="1"/>
  <c r="X63" i="1" s="1"/>
  <c r="E63" i="1"/>
  <c r="X62" i="1"/>
  <c r="W62" i="1"/>
  <c r="O62" i="1"/>
  <c r="E62" i="1"/>
  <c r="W61" i="1"/>
  <c r="X61" i="1" s="1"/>
  <c r="O61" i="1"/>
  <c r="E61" i="1"/>
  <c r="O60" i="1"/>
  <c r="W60" i="1" s="1"/>
  <c r="X60" i="1" s="1"/>
  <c r="E60" i="1"/>
  <c r="X59" i="1"/>
  <c r="W59" i="1"/>
  <c r="O59" i="1"/>
  <c r="X58" i="1"/>
  <c r="W58" i="1"/>
  <c r="X57" i="1"/>
  <c r="O57" i="1"/>
  <c r="W57" i="1" s="1"/>
  <c r="E57" i="1"/>
  <c r="X56" i="1"/>
  <c r="W56" i="1"/>
  <c r="O56" i="1"/>
  <c r="E56" i="1"/>
  <c r="X55" i="1"/>
  <c r="O55" i="1"/>
  <c r="W55" i="1" s="1"/>
  <c r="E55" i="1"/>
  <c r="X54" i="1"/>
  <c r="W54" i="1"/>
  <c r="O54" i="1"/>
  <c r="E54" i="1"/>
  <c r="X53" i="1"/>
  <c r="O53" i="1"/>
  <c r="W53" i="1" s="1"/>
  <c r="E53" i="1"/>
  <c r="X52" i="1"/>
  <c r="W52" i="1"/>
  <c r="O52" i="1"/>
  <c r="E52" i="1"/>
  <c r="A52" i="1"/>
  <c r="A53" i="1" s="1"/>
  <c r="A54" i="1" s="1"/>
  <c r="A55" i="1" s="1"/>
  <c r="A56" i="1" s="1"/>
  <c r="A57" i="1" s="1"/>
  <c r="A60" i="1" s="1"/>
  <c r="X51" i="1"/>
  <c r="W51" i="1"/>
  <c r="O51" i="1"/>
  <c r="O50" i="1"/>
  <c r="W50" i="1" s="1"/>
  <c r="X50" i="1" s="1"/>
  <c r="E50" i="1"/>
  <c r="W49" i="1"/>
  <c r="X49" i="1" s="1"/>
  <c r="O49" i="1"/>
  <c r="E49" i="1"/>
  <c r="W48" i="1"/>
  <c r="X48" i="1" s="1"/>
  <c r="O48" i="1"/>
  <c r="E48" i="1"/>
  <c r="X47" i="1"/>
  <c r="W47" i="1"/>
  <c r="O47" i="1"/>
  <c r="O46" i="1"/>
  <c r="W46" i="1" s="1"/>
  <c r="X46" i="1" s="1"/>
  <c r="E46" i="1"/>
  <c r="X45" i="1"/>
  <c r="W45" i="1"/>
  <c r="O45" i="1"/>
  <c r="O44" i="1"/>
  <c r="W44" i="1" s="1"/>
  <c r="X44" i="1" s="1"/>
  <c r="E44" i="1"/>
  <c r="W43" i="1"/>
  <c r="X43" i="1" s="1"/>
  <c r="E43" i="1"/>
  <c r="X42" i="1"/>
  <c r="W42" i="1"/>
  <c r="O42" i="1"/>
  <c r="X41" i="1"/>
  <c r="W41" i="1"/>
  <c r="X40" i="1"/>
  <c r="W40" i="1"/>
  <c r="O40" i="1"/>
  <c r="W39" i="1"/>
  <c r="X39" i="1" s="1"/>
  <c r="O39" i="1"/>
  <c r="E39" i="1"/>
  <c r="A39" i="1"/>
  <c r="A43" i="1" s="1"/>
  <c r="A44" i="1" s="1"/>
  <c r="A46" i="1" s="1"/>
  <c r="E38" i="1"/>
  <c r="X37" i="1"/>
  <c r="W37" i="1"/>
  <c r="O37" i="1"/>
  <c r="E37" i="1"/>
  <c r="A37" i="1"/>
  <c r="O36" i="1"/>
  <c r="W36" i="1" s="1"/>
  <c r="X36" i="1" s="1"/>
  <c r="E36" i="1"/>
  <c r="X35" i="1"/>
  <c r="W35" i="1"/>
  <c r="O35" i="1"/>
  <c r="X34" i="1"/>
  <c r="O34" i="1"/>
  <c r="W34" i="1" s="1"/>
  <c r="E34" i="1"/>
  <c r="X33" i="1"/>
  <c r="W33" i="1"/>
  <c r="O33" i="1"/>
  <c r="E33" i="1"/>
  <c r="X32" i="1"/>
  <c r="O32" i="1"/>
  <c r="W32" i="1" s="1"/>
  <c r="E32" i="1"/>
  <c r="X31" i="1"/>
  <c r="O31" i="1"/>
  <c r="W31" i="1" s="1"/>
  <c r="E31" i="1"/>
  <c r="X30" i="1"/>
  <c r="O30" i="1"/>
  <c r="W30" i="1" s="1"/>
  <c r="E30" i="1"/>
  <c r="X29" i="1"/>
  <c r="W29" i="1"/>
  <c r="O29" i="1"/>
  <c r="E29" i="1"/>
  <c r="X28" i="1"/>
  <c r="O28" i="1"/>
  <c r="W28" i="1" s="1"/>
  <c r="E28" i="1"/>
  <c r="X27" i="1"/>
  <c r="O27" i="1"/>
  <c r="W27" i="1" s="1"/>
  <c r="E27" i="1"/>
  <c r="X26" i="1"/>
  <c r="W26" i="1"/>
  <c r="O26" i="1"/>
  <c r="O25" i="1"/>
  <c r="W25" i="1" s="1"/>
  <c r="X25" i="1" s="1"/>
  <c r="E25" i="1"/>
  <c r="A25" i="1"/>
  <c r="O24" i="1"/>
  <c r="W24" i="1" s="1"/>
  <c r="X24" i="1" s="1"/>
  <c r="E24" i="1"/>
  <c r="O23" i="1"/>
  <c r="W23" i="1" s="1"/>
  <c r="X23" i="1" s="1"/>
  <c r="E23" i="1"/>
  <c r="O22" i="1"/>
  <c r="W22" i="1" s="1"/>
  <c r="X22" i="1" s="1"/>
  <c r="E22" i="1"/>
  <c r="X21" i="1"/>
  <c r="W21" i="1"/>
  <c r="X20" i="1"/>
  <c r="W20" i="1"/>
  <c r="E20" i="1"/>
  <c r="X19" i="1"/>
  <c r="W19" i="1"/>
  <c r="E19" i="1"/>
  <c r="X18" i="1"/>
  <c r="W18" i="1"/>
  <c r="E18" i="1"/>
  <c r="X17" i="1"/>
  <c r="W17" i="1"/>
  <c r="E17" i="1"/>
  <c r="X16" i="1"/>
  <c r="W16" i="1"/>
  <c r="E16" i="1"/>
  <c r="E15" i="1"/>
  <c r="X14" i="1"/>
  <c r="W14" i="1"/>
  <c r="E14" i="1"/>
  <c r="X13" i="1"/>
  <c r="W13" i="1"/>
  <c r="E13" i="1"/>
  <c r="X12" i="1"/>
  <c r="W12" i="1"/>
  <c r="E12" i="1"/>
  <c r="X11" i="1"/>
  <c r="W11" i="1"/>
  <c r="E11" i="1"/>
  <c r="X10" i="1"/>
  <c r="W10" i="1"/>
  <c r="E10" i="1"/>
  <c r="X9" i="1"/>
  <c r="W9" i="1"/>
  <c r="E9" i="1"/>
  <c r="X8" i="1"/>
  <c r="W8" i="1"/>
  <c r="E8" i="1"/>
  <c r="X7" i="1"/>
  <c r="W7" i="1"/>
  <c r="E7" i="1"/>
  <c r="W6" i="1"/>
  <c r="E6" i="1"/>
  <c r="X5" i="1"/>
  <c r="W5" i="1"/>
  <c r="E5" i="1"/>
  <c r="X4" i="1"/>
  <c r="W4" i="1"/>
  <c r="W236" i="1" l="1"/>
  <c r="W234" i="1"/>
  <c r="X6" i="1"/>
  <c r="X234" i="1" s="1"/>
  <c r="D14" i="3"/>
  <c r="D30" i="3"/>
  <c r="D46" i="3"/>
  <c r="D62" i="3"/>
  <c r="D78" i="3"/>
  <c r="D15" i="3"/>
  <c r="D31" i="3"/>
  <c r="D47" i="3"/>
  <c r="D63" i="3"/>
  <c r="D79" i="3"/>
  <c r="D16" i="3"/>
  <c r="D32" i="3"/>
  <c r="D48" i="3"/>
  <c r="D64" i="3"/>
  <c r="D80" i="3"/>
  <c r="W235" i="1"/>
  <c r="D17" i="3"/>
  <c r="D33" i="3"/>
  <c r="D49" i="3"/>
  <c r="D65" i="3"/>
  <c r="D81" i="3"/>
  <c r="D18" i="3"/>
  <c r="D34" i="3"/>
  <c r="D50" i="3"/>
  <c r="D66" i="3"/>
  <c r="D82" i="3"/>
  <c r="D4" i="3"/>
  <c r="D19" i="3"/>
  <c r="D35" i="3"/>
  <c r="D51" i="3"/>
  <c r="D67" i="3"/>
  <c r="D83" i="3"/>
  <c r="D20" i="3"/>
  <c r="D36" i="3"/>
  <c r="D52" i="3"/>
  <c r="D68" i="3"/>
  <c r="D84" i="3"/>
  <c r="D5" i="3"/>
  <c r="D21" i="3"/>
  <c r="D37" i="3"/>
  <c r="D53" i="3"/>
  <c r="D69" i="3"/>
  <c r="D85" i="3"/>
  <c r="D6" i="3"/>
  <c r="D22" i="3"/>
  <c r="D38" i="3"/>
  <c r="D54" i="3"/>
  <c r="D70" i="3"/>
  <c r="D86" i="3"/>
  <c r="D7" i="3"/>
  <c r="D23" i="3"/>
  <c r="D39" i="3"/>
  <c r="D55" i="3"/>
  <c r="D71" i="3"/>
  <c r="D87" i="3"/>
  <c r="D8" i="3"/>
  <c r="D24" i="3"/>
  <c r="D40" i="3"/>
  <c r="D56" i="3"/>
  <c r="D72" i="3"/>
  <c r="D88" i="3"/>
  <c r="D9" i="3"/>
  <c r="D25" i="3"/>
  <c r="D41" i="3"/>
  <c r="D57" i="3"/>
  <c r="D73" i="3"/>
  <c r="D89" i="3"/>
  <c r="D10" i="3"/>
  <c r="D26" i="3"/>
  <c r="D42" i="3"/>
  <c r="D58" i="3"/>
  <c r="D74" i="3"/>
  <c r="D90" i="3"/>
  <c r="D11" i="3"/>
  <c r="D27" i="3"/>
  <c r="D43" i="3"/>
  <c r="D59" i="3"/>
  <c r="D75" i="3"/>
  <c r="D91" i="3"/>
  <c r="D12" i="3"/>
  <c r="D28" i="3"/>
  <c r="D44" i="3"/>
  <c r="D60" i="3"/>
  <c r="D76" i="3"/>
  <c r="D92" i="3"/>
  <c r="D13" i="3"/>
  <c r="D29" i="3"/>
  <c r="D45" i="3"/>
  <c r="D61" i="3"/>
  <c r="D77" i="3"/>
</calcChain>
</file>

<file path=xl/sharedStrings.xml><?xml version="1.0" encoding="utf-8"?>
<sst xmlns="http://schemas.openxmlformats.org/spreadsheetml/2006/main" count="2457" uniqueCount="1167">
  <si>
    <t>GeoPoll Submission Form</t>
  </si>
  <si>
    <t>FAO - Household Questionnaire</t>
  </si>
  <si>
    <t>Additional notes</t>
  </si>
  <si>
    <t>Q #</t>
  </si>
  <si>
    <t>Q Name</t>
  </si>
  <si>
    <t>Suggested Qname</t>
  </si>
  <si>
    <t>English</t>
  </si>
  <si>
    <t>Length</t>
  </si>
  <si>
    <t>Q Type</t>
  </si>
  <si>
    <t>Randomize</t>
  </si>
  <si>
    <t>Conditional</t>
  </si>
  <si>
    <t>Programming Instructions</t>
  </si>
  <si>
    <t>Skip Pattern</t>
  </si>
  <si>
    <t>Codes</t>
  </si>
  <si>
    <t xml:space="preserve">Default skip patterns &amp; conditional </t>
  </si>
  <si>
    <t>Specify skip pattern variable (from blue text)</t>
  </si>
  <si>
    <t>Estimated percentage of repondents</t>
  </si>
  <si>
    <t>Mandatory</t>
  </si>
  <si>
    <t>Duration (sec)</t>
  </si>
  <si>
    <t>Weighted duration</t>
  </si>
  <si>
    <t>Core questions only</t>
  </si>
  <si>
    <t>A. PRESENTATION OF THE SURVEY AND ELIGIBILITY CRITERIA SELECTION</t>
  </si>
  <si>
    <t>no</t>
  </si>
  <si>
    <t>NA</t>
  </si>
  <si>
    <t>Optin</t>
  </si>
  <si>
    <t>Open Ended</t>
  </si>
  <si>
    <t>Form Type - TextBox</t>
  </si>
  <si>
    <t>Any Response = phone_number</t>
  </si>
  <si>
    <t>phone_number</t>
  </si>
  <si>
    <t xml:space="preserve">Input the phone number that you are contacting: </t>
  </si>
  <si>
    <t>Any Response = calldispo</t>
  </si>
  <si>
    <t>yes</t>
  </si>
  <si>
    <t>calldispo</t>
  </si>
  <si>
    <t>Phone number: #CATI_MOBILENUMBER#
1)Someone answers
2)Answering machine
3)No answer
4)Hang up or refusal
5)Call back
6)Under review
7)Disconnected</t>
  </si>
  <si>
    <t>Single Choice</t>
  </si>
  <si>
    <t>Form Type - Buttons</t>
  </si>
  <si>
    <t>1 = resp_language
2 = AnsweringMachine
3 = NoAnswer
4 = Refusal
5 = WhenCallBack
6 = UnderReview
7 = Disconnected</t>
  </si>
  <si>
    <t>AnsweringMachine</t>
  </si>
  <si>
    <t>calldispo_answeringmachine</t>
  </si>
  <si>
    <t>Reached an answering machine.</t>
  </si>
  <si>
    <t>End Poll AnsweringMachine</t>
  </si>
  <si>
    <t>NoAnswer</t>
  </si>
  <si>
    <t>calldispo_noanswer</t>
  </si>
  <si>
    <t>Phone rang and no one answered.</t>
  </si>
  <si>
    <t>End Poll NoAnswer</t>
  </si>
  <si>
    <t>UnderReview</t>
  </si>
  <si>
    <t>calldispo_underreview</t>
  </si>
  <si>
    <t>Case needs review by a supervisor.</t>
  </si>
  <si>
    <t>End Poll UnderReview</t>
  </si>
  <si>
    <t>Disconnected</t>
  </si>
  <si>
    <t>calldispo_disconnected</t>
  </si>
  <si>
    <t>Phone was disconnected or out of service.</t>
  </si>
  <si>
    <t>End Poll Disconnected</t>
  </si>
  <si>
    <t>resp_language</t>
  </si>
  <si>
    <t>Which language do you wish to proceed with?
[OPERATOR: READ ANSWER CHOICES. SINGLE RESPONSE.]
1)English
2)other options [add as many as necessary]</t>
  </si>
  <si>
    <t>1 = introduction [English]
2 = introduction [languages &amp; add more if needed]</t>
  </si>
  <si>
    <t>For any response, go to introduction</t>
  </si>
  <si>
    <t>Insert most common national languages here [max 4 for translation with GeoPoll].</t>
  </si>
  <si>
    <t>introduction</t>
  </si>
  <si>
    <t>Hello sir/ma'am, my name is #OPERATOR#, and I am calling from GeoPoll Polling Agency on behalf of the Food and Agriculture Organization of the United Nations [FAO]. We are conducting a survey on household livelihoods and the ability to access food in your area. I would like to ask you some questions about your household.
The survey usually takes 15/20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You will receive #TOPUP#! of communication credit as an incentive for the participation of the survey.
Please note that this call may be recorded for quality purposes.
Do you have any questions?
[OPERATOR: ADDRESS QUESTIONS FROM RESPONDENT, IF ANY.]
1)CONTINUE</t>
  </si>
  <si>
    <t>1 = Agree</t>
  </si>
  <si>
    <t>For any response, go to Agree</t>
  </si>
  <si>
    <t>Set the amount of incentive here, if any.</t>
  </si>
  <si>
    <t>Agree</t>
  </si>
  <si>
    <t>resp_agree</t>
  </si>
  <si>
    <t xml:space="preserve">Are you interested in participating in this survey?
[OPERATOR: SINGLE RESPONSE]
1)Yes 
2)Not now but another time in the week 
3)No </t>
  </si>
  <si>
    <t>StartRecording</t>
  </si>
  <si>
    <t>1 = [id_panel OR resp_firstname]
2 = WhenCallBack
3 = resp_refusalwhy</t>
  </si>
  <si>
    <t>if Agree = 1, go to id_panel OR resp_firstname
if Agree = 2, go to WhenCallBack
if Agree = 3, go to resp_refusalwhy</t>
  </si>
  <si>
    <t>id_panel</t>
  </si>
  <si>
    <t>Have you or any member of your household received a call on behalf of FAO regarding this topic in the past two years?
[OPERATOR: SINGLE RESPONSE.]
1)YES
2)NO
3)DON'T KNOW</t>
  </si>
  <si>
    <t>1-3 = resp_firstname</t>
  </si>
  <si>
    <t>For any response, go to resp_firstname</t>
  </si>
  <si>
    <t xml:space="preserve">It is highly recommended to include the question id_panel if a panelist approach is used. </t>
  </si>
  <si>
    <t>resp_refusalwhy</t>
  </si>
  <si>
    <t>Please let us know why you have REFUSED to take the survey.
[OPERATOR: SINGLE RESPONSE]
1)Not interested
2)Do not want to be recorded
3)Other [specify]</t>
  </si>
  <si>
    <t>Open Ended - Single Choice</t>
  </si>
  <si>
    <t>Form Type - RadioList</t>
  </si>
  <si>
    <t>Any Response = Refusal</t>
  </si>
  <si>
    <t>For any response, go to Refusal</t>
  </si>
  <si>
    <t>WhenCallBack</t>
  </si>
  <si>
    <t>resp_whencallback</t>
  </si>
  <si>
    <t>When would it be a good time to call you back?
[RECORD HH/MM/DD/MM OF CALLBACK]</t>
  </si>
  <si>
    <t>Form Type - TextBox
IsCallBackDemographic</t>
  </si>
  <si>
    <t>Any Response = CallbackMessageEN</t>
  </si>
  <si>
    <t>For any response, go to CallbackMessageEN</t>
  </si>
  <si>
    <t>CallbackMessageEN</t>
  </si>
  <si>
    <t>callbackmessage_en</t>
  </si>
  <si>
    <t>Thank you, we will call you back at {WhenCallBack} you requested. Thank you again and have a great day!
[OPERATOR: ENTER CALL NOTES BELOW, WHO YOU SPOKE TO AND WHAT THEY SAID]</t>
  </si>
  <si>
    <t>Any Response = End poll callback</t>
  </si>
  <si>
    <t>Ineligible</t>
  </si>
  <si>
    <t>You are ineligible for this survey. Thank you for your time and please look out for future surveys!</t>
  </si>
  <si>
    <t>End Poll Ineligible</t>
  </si>
  <si>
    <t>Refusal</t>
  </si>
  <si>
    <t>NA </t>
  </si>
  <si>
    <t>Thank you for your time, you will be removed from today's survey.</t>
  </si>
  <si>
    <t>End poll declined</t>
  </si>
  <si>
    <t>B. GENERAL INFORMATION &amp; ELIGIBILITY CRITERIA</t>
  </si>
  <si>
    <t>resp_firstname</t>
  </si>
  <si>
    <t>What is your first name?
[OPERATOR: RECORD THE RESPONDENT'S FIRST NAME. ENTER 999 FOR REFUSED.]</t>
  </si>
  <si>
    <t>Any Response = resp_lastname</t>
  </si>
  <si>
    <t>For any response, go to resp_lastname</t>
  </si>
  <si>
    <t>resp_lastname</t>
  </si>
  <si>
    <t>What is your last name? 
[OPERATOR: RECORD THE RESPONDENT'S LAST NAME. ENTER 999 FOR REFUSED.]</t>
  </si>
  <si>
    <t>Any Response = resp_age</t>
  </si>
  <si>
    <t>For any response, go to resp_age</t>
  </si>
  <si>
    <t>resp_age</t>
  </si>
  <si>
    <t>How old are you? 
[OPERATOR: RECORD AGE IN NUMBER OF YEARS. ROUND UP TO NEAREST WHOLE NUMBER. IF THE RESPONDENT GIVES BIRTH YEAR, REPEAT THE QUESTION. ENTER 00 FOR DON'T KNOW.]</t>
  </si>
  <si>
    <t>Range</t>
  </si>
  <si>
    <t>0-17 = Ineligible
18-100 = resp_gender
00 = Ineligible</t>
  </si>
  <si>
    <t>Only respondents from 18-100 will be eligible for the survey.</t>
  </si>
  <si>
    <t>resp_gender</t>
  </si>
  <si>
    <t>What is the gender of the respondent?
[OPERATOR: DO NOT ASK THIS QUESTION OUT LOUD. LISTEN TO THE VOICE AND SELECT THE GENDER.]
1)Male
2)Female
3)DON'T KNOW
4)REFUSED</t>
  </si>
  <si>
    <t>1-4 = phone_number_conf</t>
  </si>
  <si>
    <t>For any response, go to phone_number_conf</t>
  </si>
  <si>
    <t>phone_number_conf</t>
  </si>
  <si>
    <t>Is the phone number I am calling you on yours or a household members?
[OPERATOR: SINGLE RESPONSE.]
1)YES
2)NO
3)DON'T KNOW
4)REFUSED</t>
  </si>
  <si>
    <t>1 = contact_2
2 = phone_number_personal
3-4 = contact_2</t>
  </si>
  <si>
    <t>if phone_number_conf = 1, go to contact_2
if phone_number_conf = 2, go to phone_number_personal
if phone_number_conf = 3-4, go to contact_2</t>
  </si>
  <si>
    <t>yes - panel</t>
  </si>
  <si>
    <t>phone_number_personal</t>
  </si>
  <si>
    <t>phone_number_pers</t>
  </si>
  <si>
    <t>What is your phone number?
[OPERATOR: RECORD THE NUMBER GIVEN]</t>
  </si>
  <si>
    <t>Any Response = contact_2</t>
  </si>
  <si>
    <t>For any response, go to contact_2</t>
  </si>
  <si>
    <t>contact_2</t>
  </si>
  <si>
    <t>Can you give me an additonal phone number belonging to you, a relative or a friend at which you can be reached?
[OPERATOR: SINGLE RESPONSE.]
1)YES - mine 
2)YES - other household member
3)YES - friend or relative [non-household member]
4)NO
5)DON'T KNOW
6)REFUSED</t>
  </si>
  <si>
    <t>1-3 = phone_number_2
4-6 = hh_admin1</t>
  </si>
  <si>
    <t>if contact_2 = 1-3, go to phone_number_2
if contact_2 = 4-6, go to contact_3</t>
  </si>
  <si>
    <t>phone_number_2</t>
  </si>
  <si>
    <t>What is the additional phone number?
[OPERATOR: RECORD THE NUMBER GIVEN]</t>
  </si>
  <si>
    <t>Any Response = contact_2_name</t>
  </si>
  <si>
    <t>For any response, go to contact_2_name</t>
  </si>
  <si>
    <t>contact_2_name</t>
  </si>
  <si>
    <t>What is the name of the contact?
[OPERATOR: RECORD THE NAME OF THE CONTACT FOR THE PHONE NUMBER.]</t>
  </si>
  <si>
    <t>Send if "contact_2" "Equals" "YES - other household member" OR "contact_2" "Equals" "YES - friend or relative [non-household member]", if not satisfied go to "contact_3"</t>
  </si>
  <si>
    <t>Any Response = contact_3</t>
  </si>
  <si>
    <t>Asked if response to contact_2 was "YES - other household member" or "YES - friend or relative [non-household member]". Otherwise, it skips to "contact_3".
For any response, go to contact_3</t>
  </si>
  <si>
    <t>contact_3</t>
  </si>
  <si>
    <t>1-3= phone_number_3
4-6 = hh_admin1</t>
  </si>
  <si>
    <t>if contact_3 = 1-3, go to phone_number_3
if contact_3 = 4-6, go to hh_admin1</t>
  </si>
  <si>
    <t>phone_number_3</t>
  </si>
  <si>
    <t>Any Response = contact_3_name</t>
  </si>
  <si>
    <t>For any response, go to contact_3_name</t>
  </si>
  <si>
    <t>contact_3_name</t>
  </si>
  <si>
    <t>phone_number_3_name</t>
  </si>
  <si>
    <t>Send if "contact_3" "Equals" "YES - other household member" OR "contact_3" "Equals" "YES - friend or relative [non-household member]", if not satisfied go to "hh_admin1"</t>
  </si>
  <si>
    <t>Any Response = hh_admin1</t>
  </si>
  <si>
    <t>Asked if response to contact_3 was "YES - other household member" or "YES - friend or relative [non-household member]". Otherwise, it skips to "hh_admin1".
For any response, go to hh_admin1</t>
  </si>
  <si>
    <t>hh_admin1</t>
  </si>
  <si>
    <t xml:space="preserve">Currently, in which Region does your household reside?
[OPERATOR: SINGLE SELECTION.]
[HINT: HOUSEHOLD CONSISTS OF ALL MEMBERS LIVING TOGETHER, SHARING RESOURCES &amp; EATING FROM THE SAME POT.]
1)ADMIN1
2)DON'T KNOW
3)REFUSED </t>
  </si>
  <si>
    <t>Form Type - Buttons
IsDemographic - ADM1</t>
  </si>
  <si>
    <t>1 = hh_admin2_1
2-3 = Ineligible</t>
  </si>
  <si>
    <t xml:space="preserve">The administrative information will be updated by GeoPoll based on the sample design document and the administrative boundaries provided by the dashboard team after the questionnaire validation. </t>
  </si>
  <si>
    <t>hh_admin2_1</t>
  </si>
  <si>
    <t xml:space="preserve">Currently, in which District does your household reside?
[OPERATOR: SINGLE RESPONSE.]
1)ADMIN2
2)DON'T KNOW
3)REFUSED </t>
  </si>
  <si>
    <t>Form Type - Buttons
IsDemographic - ADM2</t>
  </si>
  <si>
    <t>1 =  hh_agricactivity
2-3 = Ineligible</t>
  </si>
  <si>
    <t>quotareached</t>
  </si>
  <si>
    <t>[OPERATOR: DO NOT READ. ANSWER QUESTION BELOW.]
THIS RESPONDENT REPORTED THEY LIVE IN:
{ADM1}
{ADM2}
1)THE GOAL FOR THIS LOCATION HAS BEEN ACHIEVED - END SURVEY
2)THE GOAL FOR THIS LOCATION IS OPEN - CONTINUE SURVEY</t>
  </si>
  <si>
    <t>1 = End Poll Quota Reached
2 = hh_agricactivity</t>
  </si>
  <si>
    <t>hh_agricactivity</t>
  </si>
  <si>
    <t xml:space="preserve">Has anybody in your household produced crops or livestock for household consumption or for sale in the past 12 months, including household members currently away for transhumance?
[OPERATOR: SINGLE RESPONSE.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
1)Yes - crop production 
2)Yes - livestock production
3)Yes - both crop and livestock production 
4)No
5)DON'T KNOW
6)REFUSED </t>
  </si>
  <si>
    <t>1-4 = resp_id
5-6 = Ineligible</t>
  </si>
  <si>
    <t xml:space="preserve">if hh_agricactivity = 1-4, go to resp_id. Otherwise, the respondent is ineligible. </t>
  </si>
  <si>
    <t>B. GENERAL HOUSEHOLD INFORMATION</t>
  </si>
  <si>
    <t>resp_id</t>
  </si>
  <si>
    <t xml:space="preserve">Are you the head of household? 
[OPERATOR: SINGLE RESPONSE.]
1)Yes
2)No
3)DON'T KNOW
4)REFUSED
</t>
  </si>
  <si>
    <t>1 = hh_education 
2-4 = hh_gender</t>
  </si>
  <si>
    <t>if resp_id = 1, go to hh_education. 
Otherwise, go to hh_gender.</t>
  </si>
  <si>
    <t>hh_gender</t>
  </si>
  <si>
    <t>Is the head of your household male or female?
[OPERATOR: SINGLE RESPONSE.]
1)Male 
2)Female
3)DON'T KNOW
4)REFUSED</t>
  </si>
  <si>
    <t>1-4 = hh_education</t>
  </si>
  <si>
    <t>if hh_gender = 1-4, go to hh_education.</t>
  </si>
  <si>
    <t>hh_education</t>
  </si>
  <si>
    <t>What is the educational level attained by the head of household?
[OPERATOR: SINGLE RESPONSE.]
1)None or did not complete primary school
2)Completed primary school
3)Completed secondary school
4)Completed higher education [University / College] degree
5)Religious or informal education only
6)DON'T KNOW
7)REFUSED</t>
  </si>
  <si>
    <t>1-7 = hh_wealth</t>
  </si>
  <si>
    <t>if hh_education = 1-7, go to hh_wealth.</t>
  </si>
  <si>
    <t>hh_wealth_water</t>
  </si>
  <si>
    <t>Where does the water that you drink at home come from?
[OPERATOR: SINGLE CHOICE.]
1)Private tap from piped water
2)Public tap
3)Protected well
4)Bottled water
5)Other safe source
6)River
7)Unprotected well
8)Spring water
9)Surface water [e.g. canals, ponds, dams]
10)Other unsafe source
11)DON'T KNOW
12)REFUSED</t>
  </si>
  <si>
    <t xml:space="preserve">
1-12 = [income_main OR other optional question]</t>
  </si>
  <si>
    <t>For any response, go to [income_main OR other optional question]</t>
  </si>
  <si>
    <t>Select wealth indicators based on baseline information available; you can delete those that you do not want to use. 
If none of these indicators work in the context of your country, other wealth proxies are proposed in the optional questions below. 
Remember that baseline data will be necessary, and the variable should be defined properly in the "weight_input_table".</t>
  </si>
  <si>
    <t>hh_wealth_toilet</t>
  </si>
  <si>
    <t>Where do household members typically go to use a toilet?
[OPERATOR: SINGLE CHOICE.]
1)Flush latrine [toilet with water]
2)Traditional pit latrine [no water]
3)Open pit [hole in the ground for excrement without water, roof or wall]
4)Communal latrine [with or without water]
5)None – bush
6)DON'T KNOW
7)REFUSED</t>
  </si>
  <si>
    <t xml:space="preserve">
1-7 = [income_main OR other optional question]</t>
  </si>
  <si>
    <t>hh_wealth_light</t>
  </si>
  <si>
    <t>What is the main source of light in your dwelling?
[OPERATOR: SINGLE RESPONSE.]
1)Electricity [from generator or electrical grid]
2)Candle
3)Petrol lamp
4)Lamp with batteries
5)Solar panel
6)Other [no electric supply to the house]
7)DON'T KNOW
8)REFUSED</t>
  </si>
  <si>
    <t xml:space="preserve">
1-8 = [income_main OR other optional question]</t>
  </si>
  <si>
    <t>hh_residencetype</t>
  </si>
  <si>
    <t>Which in the following types of residence best describes your residence?
[OPERATOR: READ OUT THE OPTIONS. SINGLE RESPONSE.]
[HINT: IF RESPONDENT IS ONLY AWAY FROM THE HOUSEHOLD FOR SHORT SEASONAL WORK (&lt;6 MONTHS) OR TRANSHUMANCE, MAKE SURE TO REFER TO THEIR HOUSEHOLD BACK WHERE THEY TYPICALLY ARE LOCATED.]
1)Permanent Resident - you have been living in your village / town for longer than two years and this is what you consider your habitual residence
2)Recent migrant not forcefully displaced - you have been living in your current place of residence for less than two years and you moved there voluntarily for work / family or other reasons that are not related to conflict or natural disaster
3)Returnee - you have only come back to this residence in the last two years after having been forced to move to another location having fled conflict or natural disaster [if return was over 2 years ago the respondent is considered a permanent resident]
4)Internally displaced person [IDP] - you were forced to flee your village or town because of conflict or natural disaster and you are now an internally displaced person in your current place of residence 
5)Refugee - you were forced to flee your country because of conflict or natural disaster and you are now a refugee in your current place of residence
6)DON'T KNOW
7)REFUSED</t>
  </si>
  <si>
    <t>1-7 = hh_size</t>
  </si>
  <si>
    <t>For any response, go to [next question]</t>
  </si>
  <si>
    <t>hh_size</t>
  </si>
  <si>
    <t>How many people are part of the household?
[OPERATOR: RECORD NUMBER OF MEMBERS IN HOUSEHOLD. ENTER 88 FOR DON'T KNOW &amp; 99 FOR REFUSED.]
[HINT: TO BE A PART OF THE SAME HOUSEHOLD, MEMBERS MUST LIVE UNDER THE SAME ROOF, SHARE THE SAME RESOURCES &amp; EAT FROM THE SAME POT.]</t>
  </si>
  <si>
    <t>1-50 = hh_asset_prod
88-88 = hh_asset_prod
99-99 = hh_asset_prod</t>
  </si>
  <si>
    <t>hh_asset_prod</t>
  </si>
  <si>
    <t>hh_asset_prod_
1) hh_asset_prod_process
2) hh_asset_prod_farmmach
3) hh_asset_prod_sewing
4) hh_asset_prod_taxi
5) hh_asset_prod_truck
6) hh_asset_prod_other
7) hh_asset_prod_none
8) hh_asset_prod_dk
9) hh_asset_prod_ref</t>
  </si>
  <si>
    <t>Does your household own any of the following productive assets? 
[OPERATOR: MULTIPLE RESPONSES POSSIBLE. READ ANSWER OPTIONS OUT LOUD.]
1)Processing assets [e.g. grinding/crushing machine, mill, oil press]
2)Farm machinery [e.g. tractor, plough, sickle, etc.]
3)Sewing machine or weaving tool 
4)Taxi
5)Truck
6)Other productive machines or assets
7)No productive machines or assets
8)DON'T KNOW
9)REFUSED</t>
  </si>
  <si>
    <t>Select All That Apply</t>
  </si>
  <si>
    <t>Form Type - Checklist
7,8,9 = IsNone</t>
  </si>
  <si>
    <t>1-9 = hh_asset_transp</t>
  </si>
  <si>
    <t>1)hh_asset_prod_process
2)hh_asset_prod_farmmach
3)hh_asset_prod_sewing
4)hh_asset_prod_taxi
5)hh_asset_prod_truck
6)hh_asset_prod_other
7)hh_asset_prod_none
8)hh_asset_prod_dk
9)hh_asset_prod_ref</t>
  </si>
  <si>
    <t xml:space="preserve">This wealth indicator may be useful to Identify poor households in middle income countries. It could be interesting for F2F surveys, to be used as baseline reference for follow-up surveys. </t>
  </si>
  <si>
    <t>hh_asset_transp</t>
  </si>
  <si>
    <t>hh_asset_transp_
1) hh_asset_transp_bici
2) hh_asset_transp_cart
3) hh_asset_transp_boat
4) hh_asset_transp_motorbike
5) hh_asset_transp_car
6) hh_asset_transp_van
7) hh_asset_transp_other
8) hh_asset_transp_none
9) hh_asset_transp_dk
10) hh_asset_transp_ref</t>
  </si>
  <si>
    <t>Do you or any member of your household own any of the following transportation assets? 
[OPERATOR: MULTIPLE RESPONSES POSSIBLE. READ ANSWER OPTIONS OUT LOUD.]
1)Bicycle
2)Cart [animal drawn]
3)Boat/canoe
4)Motorbike / scooter / auto rickshaw
5)Car
6)Van or small truck
7)Other motor vehicle
8)None of the above
9)DON'T KNOW
10)REFUSED</t>
  </si>
  <si>
    <t>Form Type - Checklist
8,9,10 = IsNone</t>
  </si>
  <si>
    <t>1-10 = hh_maritalstat</t>
  </si>
  <si>
    <t>1)hh_asset_transp_bici
2)hh_asset_transp_cart
3)hh_asset_transp_boat
4)hh_asset_transp_motorbike
5)hh_asset_transp_car
6)hh_asset_transp_van
7)hh_asset_transp_other
8)hh_asset_transp_none
9)hh_asset_transp_dk
10)hh_asset_transp_ref</t>
  </si>
  <si>
    <t>hh_maritalstat</t>
  </si>
  <si>
    <t xml:space="preserve">What is the head of household’s current marital status? 
[OPERATOR: SINGLE RESPONSE.]
1)Single / never married 
2)Married
3)Separated
4)Divorced
5)Widowed
6)DON’T KNOW
7)REFUSED </t>
  </si>
  <si>
    <t>1-7 = hh_age</t>
  </si>
  <si>
    <t>hh_age</t>
  </si>
  <si>
    <t>How old is the head of household? 
[OPERATOR: SINGLE RESPONSE.]
1)Under 18
2)18 to 40 
3)41 to 65 
4)Over 65
5)DON'T KNOW
6)REFUSED</t>
  </si>
  <si>
    <t>1-6 = income_main</t>
  </si>
  <si>
    <t>C. INCOME SOURCES, LIVELIHOOD AND SHOCKS</t>
  </si>
  <si>
    <t>income_main</t>
  </si>
  <si>
    <t>What was your household's main source of income in the past 3 months?
[OPERATOR: SINGLE RESPONSE. REFUSED OPTION SHOULD BE AVOIDED AS MUCH AS POSSIBLE.]
1)Production and sale of staple crops
2)Production and sale of vegetables or fruit 
3)Production and sale of cashcrops
4)Production and sale of livestock and livestock products 
5)Production and sale of honey or bee products
6)Production and sale of fish 
7)Collection and sale of forestry or bush products 
8)Agricultural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income source in the last 3 months and used exclusively savings / debt
20)REFUSED</t>
  </si>
  <si>
    <t>Form Type - Buttons
IsDemographic</t>
  </si>
  <si>
    <t>1-3 = income_main_crop_check
4 = income_main_ls_check 
5 = income_main_comp OR optional question
6 = income_main_fish_check 
7-18 = income_main_comp OR optional question
19-20 = shock</t>
  </si>
  <si>
    <t>if options #1-3 selected go to income_main_crop_check 
if options #4 selected go to income_main_ls_check 
if options #6 selected go to income_main_fish_check
if options #5, 7-18 selected, go to [income_main_comp OR optional question] 
if options #19-20 selected, go to shock</t>
  </si>
  <si>
    <t>income_main_crop_check</t>
  </si>
  <si>
    <t xml:space="preserve">Are the crops that you sell also produced by you or anyone in your household?
[OPERATOR: SINGLE RESPONSE.]
1)YES
2)NO
3)DON'T KNOW
4)REFUSED </t>
  </si>
  <si>
    <t>1-4 = income_main_comp OR optional question</t>
  </si>
  <si>
    <t>if income_main_crop_check = 1-4, go to [income_main_comp OR optional question]</t>
  </si>
  <si>
    <t>income_main_ls_check</t>
  </si>
  <si>
    <t xml:space="preserve">Are the livestock and livestock products that you sell also produced by you or anyone in your household?
[OPERATOR: SINGLE RESPONSE.]
1)YES
2)NO
3)DON'T KNOW
4)REFUSED </t>
  </si>
  <si>
    <t>if income_main_ls_check = 1-4, go to [income_main_comp OR optional question]</t>
  </si>
  <si>
    <t>income_main_fish_check</t>
  </si>
  <si>
    <t xml:space="preserve">Are the fish and/or fish products that you sell also captured or harvested by you or anyone in your household?
[OPERATOR: SINGLE RESPONSE.]
1)YES
2)NO
3)DON'T KNOW
4)REFUSED </t>
  </si>
  <si>
    <t>if income_main_fish_check = 1-4, go to [income_main_comp OR optional question]</t>
  </si>
  <si>
    <t>income_main_amount</t>
  </si>
  <si>
    <t>How much was earned [in Leones] from your main income source, {income_main}, in the past 3 months ?
[OPERATOR: MAKE SURE THE INFORMATION IS RECORDED IN THE CORRECT CURRENCY. ENTER 8888888 FOR DON'T KNOW AND 9999999 FOR REFUSED.]</t>
  </si>
  <si>
    <t>50 - 5000 = income_main_comp OR optional question
5000 - 20000 = income_main_amount_conf
8888888-8888888 = income_main_comp OR optional question
9999999-9999999 = income_main_comp OR optional question</t>
  </si>
  <si>
    <t>If the income amount is over the threshold set in "Additional information", the respondent will be asked to confirm with income_main_amount_conf. Otherwise, go to income_main_comp or optional question.</t>
  </si>
  <si>
    <t>We recommend using this pair of questions together.</t>
  </si>
  <si>
    <t>income_main_amount_conf</t>
  </si>
  <si>
    <t>Can you confirm the amount of income you just stated is correct?
[OPERATOR: IF THE AMOUNT EARNED FROM THIS INCOME SOURCE OVER THE PAST 3 MONTH IS INDEED OVER 5000, CLICK ON CONTINUE. OTHERWISE, GO BACK AND CHANGE THE AMOUNT ENTERED.]
1)CONTINUE</t>
  </si>
  <si>
    <t>1 = income_main_comp OR optional question</t>
  </si>
  <si>
    <t>if income_main_amount_conf = 1, go to income_main_comp or optional question</t>
  </si>
  <si>
    <t>income_main_gender</t>
  </si>
  <si>
    <t>What is the gender of the household member[s] generating income from this source? 
[OPERATOR: SINGLE RESPONSE.]
1)Male
2)Female
3)Joint [both male &amp; female]
4)DON'T KNOW
5)REFUSED</t>
  </si>
  <si>
    <t>1-5 = [income_main_comp OR optional question]</t>
  </si>
  <si>
    <t>if income_main_gender = 1-5, go to income_main_comp or optional question</t>
  </si>
  <si>
    <t>income_main_control</t>
  </si>
  <si>
    <t>Who controls the revenue that is earned from this source? 
[OPERATOR: SINGLE RESPONSE.]
1)Male household member[s]
2)Female household member[s]
3)Joint household members [both female &amp; male]
4)DON'T KNOW
5)REFUSED</t>
  </si>
  <si>
    <t>1-5 = income_main_comp</t>
  </si>
  <si>
    <t>if income_main_control = 1-5, go to income_main_comp</t>
  </si>
  <si>
    <t>income_main_comp</t>
  </si>
  <si>
    <t>Has your household's income from {income_main} changed in the last 3 months compared to the same period of a normal year?
[OPERATOR: SINGLE RESPONSE.]
1)A lot more [increased by more than 50%]
2)Slightly more
3)Same
4)Slightly less
5)A lot less [less than half as much]
6)DON'T KNOW
7)REFUSED</t>
  </si>
  <si>
    <t>1-7= income_sec</t>
  </si>
  <si>
    <t>if income_main_comp = 1-7, go to income_sec</t>
  </si>
  <si>
    <t>income_sec</t>
  </si>
  <si>
    <t>What was your household's second most important source of income in the past 3 months?
[OPERATOR: SINGLE RESPONSE. DON'T KNOW AND REFUSED OPTIONS SHOULD BE AVOIDED AS MUCH AS POSSIBLE.]
1)Production and sale of staple crops
2)Production and sale of vegetables or fruit 
3)Production and sale of cashcrops
4)Production and sale of livestock and livestock products 
5)Production and sale of honey or bee products
6)Production and sale of fish 
7)Collection and sale of forestry or bush products 
8)Agricultural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second most important source of income
20)DON'T KNOW
21)REFUSED</t>
  </si>
  <si>
    <t>Form Type - Buttons
exclude selected "income_main"
IsDemographic</t>
  </si>
  <si>
    <t>1-3 = income_sec_crop_check
4 = income_sec_ls_check
5 = income_sec_comp OR optional question
6 = income_sec_fish_check
7-18 = income_sec_comp OR optional question
19-21 = shock</t>
  </si>
  <si>
    <t>if options #1-3 selected, go to income_sec_crop_check
if options #4 selected, go to income_sec_ls_check
if options #6 selected, go to income_sec_fish_check 
if options #5, 7-18 selected, go to [income_sec_comp OR optional question]
if options #19-21 selected, go to shock</t>
  </si>
  <si>
    <t>income_sec_crop_check</t>
  </si>
  <si>
    <t>1-4 = income_sec_comp OR optional question</t>
  </si>
  <si>
    <t>if income_sec_crop_check = 1-4, go to [income_sec_comp OR optional question]</t>
  </si>
  <si>
    <t>income_sec_ls_check</t>
  </si>
  <si>
    <t>if income_sec_ls_check = 1-4, go to [income_sec_comp OR optional question]</t>
  </si>
  <si>
    <t>income_sec_fish_check</t>
  </si>
  <si>
    <t>if income_sec_fish_check = 1-4, go to [income_sec_comp OR optional question]</t>
  </si>
  <si>
    <t>income_sec_amount</t>
  </si>
  <si>
    <t>How much was earned [in Leones] from your second main income source, {income_sec}, in the past 3 months ?
[OPERATOR: MAKE SURE THE INFORMATION IS RECORDED IN THE CORRECT CURRENCY. ENTER 8888888 FOR DON'T KNOW AND 9999999 FOR REFUSED.]</t>
  </si>
  <si>
    <t>50 - 5000 = income_sec_comp or optional question
5000 - 20000 = income_sec_amount_conf
8888888-8888888 = income_sec_comp or optional question
9999999-9999999 = income_sec_comp or optional question</t>
  </si>
  <si>
    <t>If the income amount is over the threshold set in "Additional information", the respondent will be asked to confirm with income_sec_amount_conf. Otherwise, go to income_sec_comp.</t>
  </si>
  <si>
    <t>income_sec_amount_conf</t>
  </si>
  <si>
    <t>1 = income_sec_comp or optional question</t>
  </si>
  <si>
    <t>if income_sec_amount_conf = 1, go to income_sec_comp</t>
  </si>
  <si>
    <t>income_sec_gender</t>
  </si>
  <si>
    <t>1-5 = [income_sec_comp OR optional question]</t>
  </si>
  <si>
    <t>if income_sec_gender = 1-5, go to income_sec_comp or optional question</t>
  </si>
  <si>
    <t>income_sec_control</t>
  </si>
  <si>
    <t>1-5 = income_sec_comp</t>
  </si>
  <si>
    <t>if income_sec_control =  1-5, go to income_sec_comp</t>
  </si>
  <si>
    <t>income_sec_comp</t>
  </si>
  <si>
    <t>Has your household's income from {income_sec} changed in the last 3 months compared to the same period of a normal year? 
[OPERATOR: SINGLE RESPONSE.]
1)A lot more [increased by more than 50%]
2)Slightly more
3)Same
4)Slightly less
5)A lot less [less than half as much]
6)DON'T KNOW
7)REFUSED</t>
  </si>
  <si>
    <t>1-7= income_third</t>
  </si>
  <si>
    <t>if income_sec_comp = 1-7, go to income_third</t>
  </si>
  <si>
    <t>income_third</t>
  </si>
  <si>
    <t>What was your household's third most important source of income in the past 3 months?
[OPERATOR: SINGLE RESPONSE. DON'T KNOW AND REFUSED OPTIONS SHOULD RARELY/NOT AVOIDED AS MUCH AS POSSIBLE.]
1)Production and sale of staple crops
2)Production and sale of vegetables or fruit 
3)Production and sale of cashcrops
4)Production and sale of livestock and livestock products 
5)Production and sale of honey or bee products
6)Production and sale of fish 
7)Collection and sale of forestry or bush products 
8)Agricultural trade EXCLUDING producers [formal and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third most important source of income
20)DON'T KNOW
21)REFUSED</t>
  </si>
  <si>
    <t>Form Type - Buttons
exclude selected "income_main"
exclude selected "income_sec"
IsDemographic</t>
  </si>
  <si>
    <t>1-3 = income_third_crop_check
4 = income_third_ls_check
5 = income_third_comp OR optional question
6 = income_third_fish_check
7-18 = income_third_comp OR optional question
19-21 = shock</t>
  </si>
  <si>
    <t>if options #1-3 selected, go to income_third_crop_check
if options #4 selected, go to income_third_ls_check
if option #6 selected, go to income_third_fish_check 
if options #5, 7-18 selected, go to [income_third_comp OR optional question] 
if options #19-21 selected, go to shock</t>
  </si>
  <si>
    <t>income_third_crop_check</t>
  </si>
  <si>
    <t>1-4 = income_third_comp OR optional question</t>
  </si>
  <si>
    <t>if income_third_crop_check = 1-4, go to [income_third_comp OR optional question]</t>
  </si>
  <si>
    <t>income_third_ls_check</t>
  </si>
  <si>
    <t>if income_third_ls_check = 1-4, go to [income_third_comp OR optional question]</t>
  </si>
  <si>
    <t>income_third_fish_check</t>
  </si>
  <si>
    <t>if income_third_fish_check = 1-4, go to [income_third_comp OR optional question]</t>
  </si>
  <si>
    <t>income_third_comp</t>
  </si>
  <si>
    <t>Has your household's income from {income_third} changed in the last 3 months compared to the same period of a normal year?
[OPERATOR: SINGLE RESPONSE.]
1)A lot more [increased by more than 50%]
2)Slightly more
3)Same
4)Slightly less
5)A lot less [less than half as much]
6)DON'T KNOW
7)REFUSED</t>
  </si>
  <si>
    <t>1-7= shock</t>
  </si>
  <si>
    <t>if income_third_comp = 1-7, go to shock</t>
  </si>
  <si>
    <t>shock</t>
  </si>
  <si>
    <t>shock_
1) shock_noshock
2) shock_sicknessordeathofhh
3) shock_lostemplorwork
4) shock_otherintrahhshock
5) shock_higherfoodprices
6) shock_higherfuelprices
7) shock_mvtrestrict
8) shock_othereconomicshock
9) shock_pestoutbreak
10) shock_plantdisease
11) shock_animaldisease
12) shock_napasture
13) shock_othercropandlivests
14) shock_coldtemporhail
15) shock_flood
16) shock_hurricane
17) shock_drought
18) shock_earthquake
19) shock_landslides
20) shock_firenatural
21) shock_othernathazard
22) shock_violenceinsecconf
23) shock_theftofprodassets
24) shock_firemanmade
25) shock_othermanmadehazard
26) shock_dk
27) shock_ref</t>
  </si>
  <si>
    <t>Has your household or community faced any particular disaster or crisis affecting your household's ability to raise an income and/or to produce food for self consumption in the last 3 months, and if so, which one[s]? 
[OPERATOR: SELECT RELEVANT SHOCKS EXPERIENCED BY THE HOUSEHOLD. MULTIPLE RESPONSES POSSIBLE. REFER TO ECONOMIC SHOCKS, CROP AND LIVESTOCK SHOCKS, INTRA-HOUSEHOLD SHOCK, NATURAL HAZARDS AND HUMAN-INDUCED HAZARDS.]
1)No shock
2)Sickness or accident or death of household member[s] [sickness of breadwinner / unusually high medical expenditure / funeral expenses / death of breadwinner]
3)Lost employment or working opportunities [not due to illness/accident]
4)Other intra-household shock
5)Unusually high food prices
6)Unusually high fuel prices or transport prices 
7)Population movement restrictions [e.g. due to epidemic or infrastructure damage]
8)Other economic shock 
9)Pest outbreak
10)Plant disease
11)Animal disease [affecting many animals] or death
12)Lack of physical access to pasture 
13)Other crop and livestock shock
14)Cold temperatures or hail
15)Flood / riverbank erosion
16)Hurricane / cyclone / tornado
17)Drought / heat stress
18)Earthquake
19)Landslides
20)Fire from natural disaster
21)Other natural hazard
22)Violence and insecurity / conflict
23)Theft of production assets [land / livestock / tools / etc]
24)Fire from human-induced disaster
25)Other human-induced hazard
26)DON'T KNOW
27)REFUSED</t>
  </si>
  <si>
    <t>Form Type - Checklist 
1,26,27 = IsNone</t>
  </si>
  <si>
    <t>1-27 = [crp_intro or optional question]</t>
  </si>
  <si>
    <t>1)shock_noshock
2)shock_sicknessordeathofhh
3)shock_lostemplorwork
4)shock_otherintrahhshock
5)shock_higherfoodprices
6)shock_higherfuelprices
7)shock_mvtrestrict
8)shock_othereconomicshock
9)shock_pestoutbreak
10)shock_plantdisease
11)shock_animaldisease
12)shock_napasture
13)shock_othercropandlivests
14)shock_coldtemporhail
15)shock_flood
16)shock_hurricane
17)shock_drought
18)shock_earthquake
19)shock_landslides
20)shock_firenatural
21)shock_othernathazard
22)shock_violenceinsecconf
23)shock_theftofprodassets
24)shock_firemanmade
25)shock_othermanmadehazard
26)shock_dk
27)shock_ref</t>
  </si>
  <si>
    <t>if shock = 1-27, go to [crp_intro or optional question]</t>
  </si>
  <si>
    <t>hh_explanation</t>
  </si>
  <si>
    <t>If the household was affected by a major recent shock as indicated in this assessment [for example, an earthquake], what are the [already observed or expected] consequences for your household, in your own words?
[OPERATOR: RECORD IN FEW WORDS THE MAIN CONSEQUENCE OF THE RECENT SHOCKS. ENTER 88 FOR DON'T KNOW AND 99 FOR REFUSED.]</t>
  </si>
  <si>
    <t>Any Response = covid</t>
  </si>
  <si>
    <t>For any response to hh_explanation, go to covid.</t>
  </si>
  <si>
    <t>D. CROP PRODUCTION</t>
  </si>
  <si>
    <t>crp_intro</t>
  </si>
  <si>
    <t>We will now ask you some questions about crop production which apply to you and anyone in your household that is involved in crop production or sales. All questions refer to the crops grown during rain season.
1)CONTINUE</t>
  </si>
  <si>
    <t>Send if "hh_agricactivity" "Equals" "Yes - crop production" Or "hh_agricactivity" "Equals" "Yes - both crop and livestock production" Or "income_main_crop_check" "Equals" "YES" Or "income_sec_crop_check" "Equals" "YES" Or "income_third_crop_check" "Equals" "YES", if not satisfied go to "crp_salesmain"</t>
  </si>
  <si>
    <t>1 = crp_landsize_num</t>
  </si>
  <si>
    <t>If hh_agricactivity = "Yes - crop production" or "Yes - both crop and livestock production" or if they reported production and sales of crops in one of the three main income sources and confirmed that they are involved in production, then this section will be asked to respondents.
Otherwise, skip to crp_salesmain.
Next question is crp_landsize_num</t>
  </si>
  <si>
    <t>crp_landsize_num</t>
  </si>
  <si>
    <t>What is the total size of the land you can cultivate?
[OPERATOR: RECORD THE TOTAL LAND SIZE PROVIDED BY THE RESPONDENT. WRITE 8888888 FOR DON'T KNOW AND 9999999 FOR REFUSED. MEASUREMENT UNIT WILL BE SPECIFIED IN THE FOLLOWING QUESTION.]</t>
  </si>
  <si>
    <t>0-1000000 = crp_landsize_unit
8888888-8888888 = crp_main
9999999-9999999 = crp_main</t>
  </si>
  <si>
    <t>For any response, go to crp_landsize_unit. Range is between 0 and 1000000. For "Don't know" and "Refused", go to crp_main.</t>
  </si>
  <si>
    <t>crp_landsize_unit</t>
  </si>
  <si>
    <t xml:space="preserve">Unit of measurement for land size: 
[OPERATOR: DO NOT READ. SINGLE RESPONSE.]
1)Acres
2)Hectares
3)Square meters
4)Square feet
5)acres
</t>
  </si>
  <si>
    <t>1-5 = crp_main</t>
  </si>
  <si>
    <t>if crp_landsize_unit = 1-5, go to crp_main</t>
  </si>
  <si>
    <t>crp_main</t>
  </si>
  <si>
    <t>What has been the main crop that your household has grown for food and income generation in rain season, if any? 
 [OPERATOR: SINGLE RESPONSE. "NO CROP PRODUCTION" IS IN LAST OPTIONS AT THE END.] 
1)Rice
2)Maize
3)Cassava
4)Sweet Potatoes
5)Peas
6)Okra
7)Groundnut/peanut
8)Cashew Nut
9)Cocoa
10)Coffee
11)Wheat
12)Millet
13)Sorghum
14)Barley
15)Other Cereal
16)Potatoe
17)Yams
18)Carrots
19)Cocoyam
20)Other tubers
21)Beans
22)Lentils
23)Soybeans
24)Chickpeas
25)Fava beans
26)Broad beans
27)Other pulses
28)Cabbage
29)Cauliflower
30)Lettuce
31)Spinach-Amaranth
32)Cassava leaves
33)Potatoe leaves
34)Moringa
35)Sorrel Hibiscus / Rosselle
36)Green salad herbs [thyme, parsley, mint, rocca, other]
37)Other leafy vegetables
38)Tomatoes
39)Green peas
40)Fava beans green
41)Cucumber
42)Pumpkin
43)Eggplant/aubergine
44)Zucchini
45)Bell pepper
46)Onions
47)Haricot
48)Other non leafy vegs
49)Orange
50)Lemon
51)Grapefruit
52)Mandarins/clementines
53)Other citrus fruit
54)Sweet Banana
55)Figs
56)Grapes
57)Olives
58)Apple
59)Apricot
60)Cherries
61)Peach/nectarine
62)Strawberries
63)Melon [Cantaloupe]
64)Plantains
65)Papaya
66)Mango
67)Guava
68)Pineapple
69)Avocado
70)Water Melon
71)Dates
72)Other fruit
73)Coconuts
74)Kola Nut
75)Sesame
76)Bambara nut
77)Almond
78)Walnut
79)Other nuts
80)Tea
81)Sugarcane
82)Sunflower
83)Other food cash crop
84)Cotton
85)Rubber
86)Jute
87)Fodder
88)Tobacco
89)Qat
90)Other non-food cash crop
91)No crop production
92)DON'T KNOW
93)REFUSED</t>
  </si>
  <si>
    <t>Form Type - Dropdown
IsDemographic</t>
  </si>
  <si>
    <t>1-90 = crp_irrig_source
91 = crp_main_check
92-93 = crp_salesmain</t>
  </si>
  <si>
    <t>1)1.1
2)1.5
3)2.1
4)2.3
5)3.3
6)5.6
7)8.2
8)8.3
9)9.1
10)9.2
11)1.2
12)1.3
13)1.4
14)1.6
15)1.99
16)2.2
17)2.4
18)2.5
19)2.6
20)2.99
21)3.1
22)3.2
23)3.4
24)3.5
25)3.6
26)3.7
27)3.99
28)4.1
29)4.101
30)4.2
31)4.3
32)4.4
33)4.5
34)4.6
35)4.7
36)4.9
37)4.99
38)5.1
39)5.101
40)5.11
41)5.2
42)5.3
43)5.4
44)5.5
45)5.7
46)5.8
47)5.9
48)5.99
49)6.1
50)6.2
51)6.3
52)6.4
53)6.99
54)7.1
55)7.101
56)7.11
57)7.12
58)7.13
59)7.14
60)7.15
61)7.16
62)7.17
63)7.18
64)7.2
65)7.3
66)7.4
67)7.5
68)7.6
69)7.7
70)7.8
71)7.9
72)7.99
73)8.1
74)8.4
75)8.5
76)8.6
77)8.7
78)8.8
79)8.99
80)9.3
81)9.4
82)9.5
83)9.99
84)10.1
85)10.2
86)10.3
87)10.4
88)10.5
89)10.6
90)10.99
91)777
92)888
93)999</t>
  </si>
  <si>
    <t>if crp_main = any type of crop, go to crp_irrig_source;
if crp_main = "No crop production", go to crp_main_check
if crp_main = "Don't know" or "Refused", go to crp_salesmain</t>
  </si>
  <si>
    <t>crp_main_check</t>
  </si>
  <si>
    <t>Why did you not produce any crops in rain season?
[OPERATOR: SINGLE RESPONSE.]
1)Don’t usually produce during this season 
2)Wasn't able to produce [e.g. due to difficulties]</t>
  </si>
  <si>
    <t>1 = crp_salesmain
2 = crp_proddif</t>
  </si>
  <si>
    <t>if crp_main_check = 1, go to crp_salesmain
if crp_main_check = 2, go to crp_proddif</t>
  </si>
  <si>
    <t>crp_irrig_source</t>
  </si>
  <si>
    <t>Where do you normally and mainly obtain water for the production of {crp_main}? 
[OPERATOR: SINGLE RESPONSE.]
1)Rainfed
2)Groundwater
3)Natural surface water [river / lake / stream / pond / etc.]
4)Constructed water point [canal / dam / etc.]
5)Public water supply system [e.g. tap water]
6)Other [specify]
7)DON'T KNOW
8)REFUSED</t>
  </si>
  <si>
    <t>1-8 = crp_area_change OR optional question</t>
  </si>
  <si>
    <t>if crp_irrig_source = 1-8, go to [crp_area_change or optional question]</t>
  </si>
  <si>
    <t>crp_seed_supply</t>
  </si>
  <si>
    <t>crp_seed_supply
1) crp_seed_ownprod
2) crp_seed_market
3) crp_seed_company
4) crp_seed_ngo
5) crp_seed_organized_community
6) crp_seed_gov
7) crp_seed_relatives_friends
8) crp_seed_other
9) crp_seed_dk
10) crp_seed_ref</t>
  </si>
  <si>
    <t>Who do you normally procure your seeds from? 
[OPERATOR: MULTIPLE RESPONSES POSSIBLE.]
1)Own production
2)Local market or agro-input shop/dealer
3)Private seed company
4)NGOs
5)Community seed banks / farmer networks / farmers' association / etc.
6)Government [e.g. MoA]
7)Relatives or friends
8)Other
9)DON'T KNOW
10)REFUSED</t>
  </si>
  <si>
    <t xml:space="preserve">Select All That Apply </t>
  </si>
  <si>
    <t>Form Type - Checklist
9,10 = IsNone</t>
  </si>
  <si>
    <t>1-10 = crp_area_change</t>
  </si>
  <si>
    <t>1)crp_seed_ownprod
2)crp_seed_market
3)crp_seed_company
4)crp_seed_ngo
5)crp_seed_organized_community
6)crp_seed_gov
7)crp_seed_relatives_friends
8)crp_seed_other
9)crp_seed_dk
10)crp_seed_ref</t>
  </si>
  <si>
    <t>if crp_seed_supply = 1-10, go to crp_area_change</t>
  </si>
  <si>
    <t>crp_area_change</t>
  </si>
  <si>
    <t>How did the area planted for {crp_main} from rain season compare to a normal year?
[OPERATOR: SINGLE RESPONSE.]
1)A lot more [increased by more than 50%]
2)Slightly more
3)Same
4)Slightly less
5)A lot less [less than half as much]
6)DON'T KNOW
7)REFUSED</t>
  </si>
  <si>
    <t>1-7 = crp_harv_change</t>
  </si>
  <si>
    <t>if crp_area_change = 1-7, go to crp_harv_change</t>
  </si>
  <si>
    <t>crp_harv_change</t>
  </si>
  <si>
    <t>How does the expected harvest of {crp_main} in the rain season compare to a normal year? 
[OPERATOR: SINGLE RESPONSE.]
1)A lot more [increased by more than 50%]
2)Slightly more
3)Same
4)Slightly less
5)A lot less [less than half as much]
6)DON'T KNOW
7)REFUSED</t>
  </si>
  <si>
    <t>1-7 = crp_proddif OR crp_harv_vol</t>
  </si>
  <si>
    <t>if crp_harv_change = 1-7, go to [crp_proddif or crp_harv_vol]</t>
  </si>
  <si>
    <t>crp_harv_vol</t>
  </si>
  <si>
    <t>How much [threshed] {crp_main} did you harvest this rain season?
[OPERATOR: RECORD THE RESPONSE GIVEN. UNIT OF MEASUREMENT TO BE SPECIFIED IN NEXT QUESTION. ENTER 8888888 FOR DON'T KNOW &amp; 9999999 FOR REFUSED, TO BE USED RARELY - PROBE!]</t>
  </si>
  <si>
    <t>1-1000000 = crp_harv_unit
8888888-8888888 =  crp_proddif
9999999-9999999 =  crp_proddif</t>
  </si>
  <si>
    <t>For any response, go to crp_harv_unit. For "Don't know" or "Refused", go to crp_proddif</t>
  </si>
  <si>
    <t xml:space="preserve">Keep this block of questions together, if used.
</t>
  </si>
  <si>
    <t>crp_harv_unit</t>
  </si>
  <si>
    <t>Unit of measurement for harvested {crp_main} :
[OPERATOR: SINGLE SELECTION]
1)Kilograms [kgs]
2)Tonnes
3)Ounces
4)Pounds
5)Bags
6)Boxes
7)Bundles
8)Packets
9)Other [specify]</t>
  </si>
  <si>
    <t>Form Type - RadioList
IsDemographic</t>
  </si>
  <si>
    <t>1-4 = crp_harv_lastyr
5-9 = crp_harv_unit_kg</t>
  </si>
  <si>
    <t>If crp_harv_unit = 1-4, go to crp_harv_lastyr
If crp_harv_unit = 5-9, go to crp_harv_unit_kg</t>
  </si>
  <si>
    <t>crp_harv_unit_kg</t>
  </si>
  <si>
    <t>How many kilograms [kgs] in each unit?
[OPERATOR: RECORD THE AMOUNT GIVEN. ENTER 88888 FOR DON'T KNOW &amp; 99999 FOR REFUSED]</t>
  </si>
  <si>
    <t>1-10000 = crp_harv_lastyr
88888-88888 =  crp_harv_lastyr
99999-99999 =  crp_harv_lastyr</t>
  </si>
  <si>
    <t>For any response, go to crp_harv_lastyr</t>
  </si>
  <si>
    <t>crp_proddif</t>
  </si>
  <si>
    <t>Has your household faced any significant difficulty in terms of crop production in rain season?
[OPERATOR: SINGLE RESPONSE.]
1)YES
2)NO
3)DON'T KNOW
4)REFUSED</t>
  </si>
  <si>
    <t>1 = crp_proddif_2
2-4 = [crp_salesmain or optional question]</t>
  </si>
  <si>
    <t>if crp_proddif = 1, go to crp_proddif_2 ; 
if crp_proddif = 2-4, go to [crp_salesmain or optional question]</t>
  </si>
  <si>
    <t>crp_proddif_2</t>
  </si>
  <si>
    <t>crp_proddif_
1) crp_proddif_plant_disease
2) crp_proddif_pest_outbreak
3) crp_proddif_animal_grazing
4) crp_proddif_access_plot
5) crp_proddif_access_fertilize
6) crp_proddif_seed_quality
7) crp_proddif_seed_quantity
8) crp_proddif_access_pesticide
9) crp_proddif_access_labour
10) crp_proddif_access_machinery
11) crp_proddif_access_fuel
12) crp_proddif_soil_erosion
13) crp_proddif_lack_irrigation
14) crp_proddif_excess_water
15) crp_proddif_access_credit
16) crp_proddif_other
17) crp_proddif_dk
18) crp_proddif_ref</t>
  </si>
  <si>
    <t>Which difficulty has your household faced with crop production in rain season?
[OPERATOR: MULTIPLE RESPONSES POSSIBLE. SELECT OPTION(S) THAT BEST FIT THE INFORMATION PROVIDED BY THE RESPONDENTS.]
1)Plant disease 
2)Pest outbreak [including birds]
3)Uncontrolled animal grazing
4)Access to plot
5)Access to fertilizer [not available on markets or prices too high]
6)Access to quality seeds
7)Access to enough seeds [not available on markets or prices too high]
8)Access to pesticides
9)Access to manpower labour
10)Access to machinery, tools or animals for ploughing
11)Access to fuel or electricity to power agricultural equipment
12)Soil erosion
13)Not enough irrigation / rainfall water
14)Too much irrigation / water 
15)Access to credit
16)Other
17)DON'T KNOW
18)REFUSED</t>
  </si>
  <si>
    <t>Form Type - Checklist
17,18 = IsNone</t>
  </si>
  <si>
    <t>1-18 = [crp_salesmain OR optional question]</t>
  </si>
  <si>
    <t>1)crp_proddif_plant_disease
2)crp_proddif_pest_outbreak
3)crp_proddif_animal_grazing
4)crp_proddif_access_plot
5)crp_proddif_access_fertilize
6)crp_proddif_seed_quality
7)crp_proddif_seed_quantity
8)crp_proddif_access_pesticide
9)crp_proddif_access_labour
10)crp_proddif_access_machinery
11)crp_proddif_access_fuel
12)crp_proddif_soil_erosion
13)crp_proddif_lack_irrigation
14)crp_proddif_excess_water
15)crp_proddif_access_credit
16)crp_proddif_other
17)crp_proddif_dk
18)crp_proddif_ref</t>
  </si>
  <si>
    <t>if crp_proddif_2 = 1-18, go to [crp_salesmain OR optional question]</t>
  </si>
  <si>
    <t>crp_storage</t>
  </si>
  <si>
    <t>Last year, what proportion of your {crp_main} stock did you lose [to pests, rotting, mould, etc.] after the harvest?
[OPERATOR: SINGLE RESPONSE.]
1)None
2)A little
3)An important part of it, but less than half
4)Most of it [half or more]
5)Almost everything 
6)Everything
7)DON'T KNOW
8)REFUSED</t>
  </si>
  <si>
    <t>Send if "crp_main" "Equals" "Rice" Or "crp_main" "Equals" "Wheat" Or "crp_main" "Equals" "Millet" Or "crp_main" "Equals" "Sorghum" Or "crp_main" "Equals" "Maize" Or "crp_main" "Equals" "Barley" Or "crp_main" "Equals" "Other Cereal" Or "crp_main" "Equals" "Cassava" Or "crp_main" "Equals" "Potatoe" Or "crp_main" "Equals" "Sweet Potatoes" Or "crp_main" "Equals" "Yams" Or "crp_main" "Equals" "Carrots" Or "crp_main" "Equals" "Cocoyam" Or "crp_main" "Equals" "Other tubers" Or "crp_main" "Equals" "Beans" Or "crp_main" "Equals" "Lentils" Or "crp_main" "Equals" "Peas" Or "crp_main" "Equals" "Soybeans" Or "crp_main" "Equals" "Chickpeas" Or "crp_main" "Equals" "Fava beans" Or "crp_main" "Equals" "Broad beans" Or "crp_main" "Equals" "Other pulses" Or "crp_main" "Equals" "Cabbage" Or "crp_main" "Equals" "Lettuce" Or "crp_main" "Equals" "Spinach-Amaranth" Or "crp_main" "Equals" "Cassava leaves" Or "crp_main" "Equals" "Potatoe leaves" Or "crp_main" "Equals" "Moringa" Or "crp_main" "Equals" "Sorrel Hibiscus / Rosselle" Or "crp_main" "Equals" "Green salad herbs [thyme / parsley / mint / rocca / other]" Or "crp_main" "Equals" "Cauliflower" Or "crp_main" "Equals" "Other leafy vegetables" Or "crp_main" "Equals" "Tomatoes" Or "crp_main" "Equals" "Cucumber" Or "crp_main" "Equals" "Pumpkin" Or "crp_main" "Equals" "Eggplant/aubergine" Or "crp_main" "Equals" "Zucchini" Or "crp_main" "Equals" "Okra" Or "crp_main" "Equals" "Bell pepper" Or "crp_main" "Equals" "Onions" Or "crp_main" "Equals" "Haricot" Or "crp_main" "Equals" "Green peas" Or "crp_main" "Equals" "Fava beans green" Or "crp_main" "Equals" "Other non leafy vegs" Or "crp_main" "Equals" "Orange" Or "crp_main" "Equals" "Lemon" Or "crp_main" "Equals" "Grapefruit" Or "crp_main" "Equals" "Mandarins/clementines" Or "crp_main" "Equals" "Other citrus fruit" Or "crp_main" "Equals" "Sweet Banana" Or "crp_main" "Equals" "Plantains" Or "crp_main" "Equals" "Papaya" Or "crp_main" "Equals" "Mango" Or "crp_main" "Equals" "Guava" Or "crp_main" "Equals" "Pineapple" Or "crp_main" "Equals" "Avocado" Or "crp_main" "Equals" "Water Melon" Or "crp_main" "Equals" "Dates" Or "crp_main" "Equals" "Figs" Or "crp_main" "Equals" "Grapes" Or "crp_main" "Equals" "Olives" Or "crp_main" "Equals" "Apple" Or "crp_main" "Equals" "Apricot" Or "crp_main" "Equals" "Cherries" Or "crp_main" "Equals" "Peach/nectarine" Or "crp_main" "Equals" "Strawberries" Or "crp_main" "Equals" "Melon [Cantaloupe]" Or "crp_main" "Equals" "Other fruit" Or "crp_main" "Equals" "Coconuts" Or "crp_main" "Equals" "Groundnut/peanut" Or "crp_main" "Equals" "Cashew Nut" Or "crp_main" "Equals" "Kola Nut" Or "crp_main" "Equals" "Sesame" Or "crp_main" "Equals" "Bambara nut" Or "crp_main" "Equals" "Almond" Or "crp_main" "Equals" "Walnut" Or "crp_main" "Equals" "Other nuts" Or "crp_main" "Equals" "Cocoa" Or "crp_main" "Equals" "Coffee" Or "crp_main" "Equals" "Tea" Or "crp_main" "Equals" "Sugarcane" Or "crp_main" "Equals" "Sunflower" Or "crp_main" "Equals" "Other food cash crop" Or "crp_main" "Equals" "Cotton" Or "crp_main" "Equals" "Rubber" Or "crp_main" "Equals" "Jute" Or "crp_main" "Equals" "Fodder" Or "crp_main" "Equals" "Tobacco" Or "crp_main" "Equals" "Qat" Or "crp_main" "Equals" "Other non-food cash crop" if not satisfied go to "crp_salesmain",</t>
  </si>
  <si>
    <t>1-8 = crp_salesmain or optional question</t>
  </si>
  <si>
    <t>if the respondent has listed any crop as a main crop, they will be administered this question. If not, they will be sent to the crop marketing module, since the rest of the questions reference the main crop specifically in the question text. 
if crp_storage =  1-8, go to crp_salesmain or optional question</t>
  </si>
  <si>
    <t>crp_all</t>
  </si>
  <si>
    <t>crp_all_[name of crop as per crop list]</t>
  </si>
  <si>
    <t>Do you cultivate any other crops aside from {crp_main}, and if so which ones?
[OPERATOR: "No other crop" APPEARS AT THE END OF THE LIST OF OPTIONS. SELECT ALL CROPS LISTED BY THE RESPONDENT.]
1)No other crops
2)DON'T KNOW
3)REFUSED</t>
  </si>
  <si>
    <t>Form Type - Checklist
Included unselected "crp_main"
1,2,3= IsNone</t>
  </si>
  <si>
    <t>Dynamics = crp_salesmain
1-3 = crp_salesmain</t>
  </si>
  <si>
    <t>For any response to crp_all, go to crp_salesmain</t>
  </si>
  <si>
    <t>D. CROP MARKETING</t>
  </si>
  <si>
    <t>crp_salesmain</t>
  </si>
  <si>
    <t>What has been the main crop that you have sold over the last 3 months?
[OPERATOR: "No crop sold in the last 3 months" APPEARS AT THE END OF THE LIST OF OPTIONS. SELECT ALL CROPS LISTED BY THE RESPONDENT.]
1)Rice
2)Maize
3)Cassava
4)Sweet Potatoes
5)Peas
6)Okra
7)Groundnut/peanut
8)Cashew Nut
9)Cocoa
10)Coffee
11)Wheat
12)Millet
13)Sorghum
14)Barley
15)Other Cereal
16)Potatoe
17)Yams
18)Carrots
19)Cocoyam
20)Other tubers
21)Beans
22)Lentils
23)Soybeans
24)Chickpeas
25)Fava beans
26)Broad beans
27)Other pulses
28)Cabbage
29)Cauliflower
30)Lettuce
31)Spinach-Amaranth
32)Cassava leaves
33)Potatoe leaves
34)Moringa
35)Sorrel Hibiscus / Rosselle
36)Green salad herbs [thyme, parsley, mint, rocca, other]
37)Other leafy vegetables
38)Tomatoes
39)Green peas
40)Fava beans green
41)Cucumber
42)Pumpkin
43)Eggplant/aubergine
44)Zucchini
45)Bell pepper
46)Onions
47)Haricot
48)Other non leafy vegs
49)Orange
50)Lemon
51)Grapefruit
52)Mandarins/clementines
53)Other citrus fruit
54)Sweet Banana
55)Figs
56)Grapes
57)Olives
58)Apple
59)Apricot
60)Cherries
61)Peach/nectarine
62)Strawberries
63)Melon [Cantaloupe]
64)Plantains
65)Papaya
66)Mango
67)Guava
68)Pineapple
69)Avocado
70)Water Melon
71)Dates
72)Other fruit
73)Coconuts
74)Kola Nut
75)Sesame
76)Bambara nut
77)Almond
78)Walnut
79)Other nuts
80)Tea
81)Sugarcane
82)Sunflower
83)Other food cash crop
84)Cotton
85)Rubber
86)Jute
87)Fodder
88)Tobacco
89)Qat
90)Other non-food cash crop
92)DON'T KNOW
93)REFUSED</t>
  </si>
  <si>
    <t>Send if "income_main" "Equals" "Production and sale of staple crops" Or "income_main" "Equals" "Production and sale of vegetable or fruit" Or "income_main" "Equals" "Production and sale of cashcrops" Or "income_sec" "Equals" "Production and sale of staple crops" Or "income_sec" "Equals" "Production and sale of vegetable or fruit" Or "income_sec" "Equals" "Production and sale of cashcrops"  Or "income_third" "Equals" "Production and sale of staple crops" Or "income_third" "Equals" "Production and sale of vegetable or fruit" Or "income_third" "Equals" "Production and sale of cashcrops", if not satisfied go to "ls_intro"</t>
  </si>
  <si>
    <t>1-90 = crp_salesdif
91-92 = ls_intro</t>
  </si>
  <si>
    <t>1)1.1
2)1.5
3)2.1
4)2.3
5)3.3
6)5.6
7)8.2
8)8.3
9)9.1
10)9.2
11)1.2
12)1.3
13)1.4
14)1.6
15)1.99
16)2.2
17)2.4
18)2.5
19)2.6
20)2.99
21)3.1
22)3.2
23)3.4
24)3.5
25)3.6
26)3.7
27)3.99
28)4.1
29)4.101
30)4.2
31)4.3
32)4.4
33)4.5
34)4.6
35)4.7
36)4.9
37)4.99
38)5.1
39)5.101
40)5.11
41)5.2
42)5.3
43)5.4
44)5.5
45)5.7
46)5.8
47)5.9
48)5.99
49)6.1
50)6.2
51)6.3
52)6.4
53)6.99
54)7.1
55)7.101
56)7.11
57)7.12
58)7.13
59)7.14
60)7.15
61)7.16
62)7.17
63)7.18
64)7.2
65)7.3
66)7.4
67)7.5
68)7.6
69)7.7
70)7.8
71)7.9
72)7.99
73)8.1
74)8.4
75)8.5
76)8.6
77)8.7
78)8.8
79)8.99
80)9.3
81)9.4
82)9.5
83)9.99
84)10.1
85)10.2
86)10.3
87)10.4
88)10.5
89)10.6
90)10.99
92)888
93)999</t>
  </si>
  <si>
    <t>If either income_main or income_sec or income_third = "Production and sale of staple crops" or "Production and sale of vegetable/ fruit" or "Production and sale of cashcrops (cocoa, tobacco, etc)", then this section will be asked to respondents.
Otherwise, skip to ls_intro.
For any crop selected, go to crp_salesdif
If "Don't know" or "Refused", go to ls_intro</t>
  </si>
  <si>
    <t>crp_salesdif</t>
  </si>
  <si>
    <t>Has your household faced any significant difficulty in the last 3 months selling your {crp_salesmain}?
[OPERATOR: SINGLE RESPONSE.]
1)YES
2)NO
3)DON'T KNOW
4)REFUSED</t>
  </si>
  <si>
    <t>1 = crp_salesdif_2
2-4 = crp_salesprice</t>
  </si>
  <si>
    <t>if crp_salesdif = 1, go to crp_salesdif_2 ; 
if crp_salesdif = 2-4, go to crp_salesprice</t>
  </si>
  <si>
    <t>crp_salesdif_2</t>
  </si>
  <si>
    <t>crp_saledif_
1) crp_saledif_marketing_cost
2) crp_saledif_damage_losses
3) crp_saledif_low_demand
4) crp_saledif_pay_delay
5) crp_saledif_low_price
6) crp_saledif_processing
7) crp_saledif_competition
8) crp_saledif_other
9) crp_saledif_dk
10) crp_saledif_ref</t>
  </si>
  <si>
    <t>Which difficulties has your household faced in the last 3 months selling your {crp_salesmain}?
[OPERATOR: MULTIPLE RESPONSES POSSIBLE. SELECT OPTION(S) THAT BEST FIT THE INFORMATION PROVIDED BY THE RESPONDENTS.]
1)High transportation or other marketing costs
2)Damages and losses due to storage difficulties and/or difficulty accessing the market [e.g. insecurity, poor infrastructure, etc.]
3)Lack of demand from usual traders or buyers
4)Payment delays from traders / buyers
5)Low selling prices [e.g. compared to input prices / inflation]
6)Difficulty processing product [lack of processing inputs / equipment / etc]
7)Market flooded with products
8)Other
9)DON'T KNOW
10)REFUSED</t>
  </si>
  <si>
    <t>1-10 = crp_salesprice</t>
  </si>
  <si>
    <t>1)crp_saledif_marketing_cost
2)crp_saledif_damage_losses
3)crp_saledif_low_demand
4)crp_saledif_pay_delay
5)crp_saledif_low_price
6)crp_saledif_processing
7)crp_saledif_competition
8)crp_saledif_other
9)crp_saledif_dk
10)crp_saledif_ref</t>
  </si>
  <si>
    <t>if crp_salesdif_2 = 1-10, go to crp_salesprice</t>
  </si>
  <si>
    <t>crp_salesprice</t>
  </si>
  <si>
    <t>How does the current price of your household's {crp_salesmain} compare to the average price in the same period of a normal year? 
[OPERATOR: SINGLE RESPONSE. INSIST ON THE MAIN PRODUCT MENTIONED.]
1)A lot more [increased by more than 50%]
2)Slightly more
3)Same
4)Slightly less
5)A lot less [less than half as much]
6)DON'T KNOW
7)REFUSED</t>
  </si>
  <si>
    <t xml:space="preserve">1-7 = ls_intro </t>
  </si>
  <si>
    <t>if crp_salesprice = 1-7, go to ls_intro</t>
  </si>
  <si>
    <t>E. LIVESTOCK PRODUCTION</t>
  </si>
  <si>
    <t>ls_intro</t>
  </si>
  <si>
    <t>We will now ask you some questions about livestock production which apply to you and anyone in your household that is involved in livestock production or sales. 
1)CONTINUE</t>
  </si>
  <si>
    <t>Send if "hh_agricactivity" "Equals" "Yes - livestock production" Or "hh_agricactivity" "Equals" "Yes - both crop and livestock production" Or "income_main_ls_check" "Equals" "YES" Or "income_sec_ls_check" "Equals" "YES Or "income_third_ls_check" "Equals" "YES", if not satisfied go to "ls_salesmain"</t>
  </si>
  <si>
    <t>1 = ls_main</t>
  </si>
  <si>
    <t>If hh_agricactivity = "Yes - livestock production" or "Yes - both crop and livestock production" or if they reported production and sales of livestocks in one of the three main income sources and confirmed that they are involved in production, then this section will be administered to respondents.
Otherwise, skip to ls_salesmain.</t>
  </si>
  <si>
    <t>ls_main</t>
  </si>
  <si>
    <t>What was the main animal raised by your household for food and income generation in the last 12 months?
[OPERATOR: SINGLE RESPONSE. ASK ABOUT THE MOST IMPORTANT ANIMAL ONLY.] [HINT: DON'T FORGET TO PROBE ABOUT TRANSHUMANCE - MOVING LIVESTOCK FROM ONE GRAZING GROUND TO ANOTHER.]
1)Cattle [cow / beef / veal / yak / buffalo]
2)Goat
3)Sheep
4)Swine [pig / boar / hog / etc]
5)Equine [donkey / horse / etc]
6)Small domesticated mammals [rabbits / minks / guinea pigs / etc]
7)Poultry [chicken / guineafowl / duck / quail / turkey / etc]
8)Camelids
9)Other
10)DON'T KNOW
11)REFUSED</t>
  </si>
  <si>
    <t>Form Type - Buttons
set demographic</t>
  </si>
  <si>
    <t>1-9 = ls_num_lastyr
10-11 = ls_proddif</t>
  </si>
  <si>
    <t>if ls_main = 1-9, go to ls_num_lastyr ; 
If ls_main = 10-11, go to ls_proddif</t>
  </si>
  <si>
    <t>ls_num_lastyr</t>
  </si>
  <si>
    <t>How many {ls_main] did you have at the same time last year?
[OPERATOR: RECORD THE NUMBER OF ANIMALS. ENTER 88888 FOR DON'T KNOW AND 99999 FOR REFUSED.]</t>
  </si>
  <si>
    <t>0-10000 = ls_num_now
88888-88888 = ls_num_now
99999-99999 = ls_num_now</t>
  </si>
  <si>
    <t>answers can range from 0-10000; any response goes to ls_num_now</t>
  </si>
  <si>
    <t>ls_num_now</t>
  </si>
  <si>
    <t>How many {ls_main} do you have now?
[OPERATOR: RECORD THE NUMBER OF ANIMALS. ENTER 88888 FOR DON'T KNOW AND 99999 FOR REFUSED.]</t>
  </si>
  <si>
    <t>0-10000 = ls_num_change
88888-88888 = ls_num_change
99999-99999 = ls_num_change</t>
  </si>
  <si>
    <t>answers can range from 0-10000; any response goes to ls_num_change</t>
  </si>
  <si>
    <t>ls_num_change</t>
  </si>
  <si>
    <t>ls_num_
1) ls_num_no_change
2) ls_num_inc_less_sales
3) ls_num_inc_more_birth
4) ls_num_inc_more_acquired
5) ls_num_inc_received_free
6) ls_num_dec_poor_health
7) ls_num_dec_death
8) ls_num_dec_sales_good_price
9) ls_num_dec_sales_distress
10) ls_num_dec_escape_stolen
11) ls_num_dec_consumed
12) ls_num_inc_dec_other
13) ls_num_inc_dec_dk
14) ls_num_inc_dec_ref</t>
  </si>
  <si>
    <t>Why did the number of livestock change?
[OPERATOR: MULTIPLE RESPONSES POSSIBLE.] 
1)No significant change in livestock number
2)Did not sell as many
3)Many more were born
4)Purchased or bartered more animals this year
5)Received animals for free [restocking / gift]
6)Animal death due to malnutrition, drought, lack of feed
7)Animal death due to other factors [e.g. diseases, parasites, injury]
8)Sold more than usual because of good prices
9)Sold more than usual because of distress sales [unable to feed animal / need money urgently for household basic needs even if sales were unsustainable]
10)Animal escaped or was lost or stolen
11)Killed or gave away more animals than usual for household consumption or celebrations [marriage / funerals / etc]
12)Other
13)DON’T KNOW
14)REFUSED</t>
  </si>
  <si>
    <t>Form Type - Checklist
1,13,14 = IsNone</t>
  </si>
  <si>
    <t>1-14 = [ls_proddif OR optional question]</t>
  </si>
  <si>
    <t>1)ls_num_no_change
2)ls_num_inc_less_sales
3)ls_num_inc_more_birth
4)ls_num_inc_more_acquired
5)ls_num_inc_received_free
6)ls_num_dec_poor_health
7)ls_num_dec_death
8)ls_num_dec_sales_good_price
9)ls_num_dec_sales_distress
10)ls_num_dec_escape_stolen
11)ls_num_dec_consumed
12)ls_num_inc_dec_other
13)ls_num_inc_dec_dk
14)ls_num_inc_dec_ref</t>
  </si>
  <si>
    <t>If ls_num_change 1-14 = [ls_proddif OR optional question]</t>
  </si>
  <si>
    <t>ls_feed</t>
  </si>
  <si>
    <t>ls_feed
1) ls_feed_open_pasture
2) ls_feed_common_pasture
3) ls_feed_self_produced
4) ls_feed_purchased
5) ls_feed_free_dist
6) ls_feed_other
7) ls_feed_dk
8) ls_feed_ref</t>
  </si>
  <si>
    <t>Where do you usually access feed for your {ls_main}?  
[OPERATOR: MULTIPLE RESPONSES POSSIBLE.] 
1)Open pasture
2)Community-managed pasture land
3)Owned or rented field or self-produced fodder
4)Purchase feed or fodder at the market
5)Free distribution
6)Other
7)DON'T KNOW
8)REFUSED</t>
  </si>
  <si>
    <t>Form Type - Checklist
7,8 = IsNone</t>
  </si>
  <si>
    <t>1-8 = ls_proddif</t>
  </si>
  <si>
    <t>1)ls_feed_open_pasture
2)ls_feed_common_pasture
3)ls_feed_self_produced
4)ls_feed_purchased
5)ls_feed_free_dist
6)ls_feed_other
7)ls_feed_dk
8)ls_feed_ref</t>
  </si>
  <si>
    <t>For any response, go to ls_proddif</t>
  </si>
  <si>
    <t>ls_proddif</t>
  </si>
  <si>
    <t>Has your household faced any significant difficulty with livestock production over the last 3 months?
[OPERATOR: SINGLE RESPONSE.]
1)YES 
2)NO
3)DON'T KNOW
4)REFUSED</t>
  </si>
  <si>
    <t>1=ls_proddif_2
2-4= [ls_salesmain OR optional question]</t>
  </si>
  <si>
    <t>if ls_proddif = 1, go to ls_proddif_2 ; 
if ls_proddif = 2-4, go to [ls_salesmain OR optional question]</t>
  </si>
  <si>
    <t>ls_proddif_2</t>
  </si>
  <si>
    <t>ls_proddif_
1) ls_proddif_feed_purchase
2) ls_proddif_access_pasture
3) ls_proddif_access_water
4) ls_proddif_vet_serv
5) ls_proddif_vet_input
6) ls_proddif_diseases
7) ls_proddif_theft
8) ls_proddif_access_market
9) ls_proddif_access_credit
10) ls_proddif_access_labour
11) ls_proddif_other
12) ls_proddif_dk
13) ls_proddif_ref</t>
  </si>
  <si>
    <t>Which difficulties has your household faced with livestock production in the last 3 months?
[OPERATOR: MULTIPLE RESPONSES POSSIBLE. SELECT OPTION(S) THAT BEST FIT THE INFORMATION PROVIDED BY THE RESPONDENTS.]
1)Difficulty to purchase feed [e.g. prices or access to market]
2)Access to pasture
3)Access to water
4)Access to veterinary services [vaccinations, treatments, spraying, advisory etc]
5)Access to veterinary inputs [medicine for animals / tools for animal health / etc]
6)Livestock diseases or injury
7)Livestock theft
8)Access to livestock market to buy young animals
9)Access to credit
10)Access to manpower labour 
11)Other
12)DON'T KNOW
13)REFUSED</t>
  </si>
  <si>
    <t>Form Type - Checklist
12,13 = IsNone</t>
  </si>
  <si>
    <t>1-13 = [ls_salesmain OR optional question]</t>
  </si>
  <si>
    <t>1)ls_proddif_feed_purchase
2)ls_proddif_access_pasture
3)ls_proddif_access_water
4)ls_proddif_vet_serv
5)ls_proddif_vet_input
6)ls_proddif_diseases
7)ls_proddif_theft
8)ls_proddif_access_market
9)ls_proddif_access_credit
10)ls_proddif_access_labour
11)ls_proddif_other
12)ls_proddif_dk
13)ls_proddif_ref</t>
  </si>
  <si>
    <t>if ls_proddif_2 = 1-13, go to ls_salesmain OR optional question</t>
  </si>
  <si>
    <t>ls_all</t>
  </si>
  <si>
    <t>ls_all_
1)ls_all_cattle
2)ls_all_goats
3)ls_all_sheep
4)ls_all_swine
5)ls_all_equine
6)ls_all_smallmammals
7)ls_all_poultry
8)ls_all_camelids
9)ls_all_other
10)ls_all_none
11)ls_all_dk
12)ls_all_ref</t>
  </si>
  <si>
    <t>Do you own any other livestock aside from {ls_main}, and if so which ones?
[OPERATOR: "No other livestock" APPEARS AT THE END OF THE LIST OF OPTIONS. SELECT ALL ANIMALS LISTED BY THE RESPONDENT.]
1)No other livestock
2)DON'T KNOW
3)REFUSED</t>
  </si>
  <si>
    <t>Send if "ls_main" "Equals" "Cattle [cow / beef / veal / yak / buffalo]" Or "ls_main" "Equals" "Goat" Or "ls_main" "Equals" "Sheep" Or "ls_main" "Equals" "Swine [pig / boar / hog / etc]" Or "ls_main" "Equals" "Equine [donkey / horse / etc]" Or "ls_main" "Equals" "Small domesticated mammals [rabbits / minks / guinea pigs / etc]" Or "ls_main" "Equals" "Poultry [chicken / guineafowl / duck / quail / turkey / etc]" Or "ls_main" "Equals" "Camelids" Or "ls_main" "Equals" "Other" if not satisfied go to "ls_salesmain"</t>
  </si>
  <si>
    <t>Form Type - Checklist
Included unselected "ls_main"
1,2,3= IsNone</t>
  </si>
  <si>
    <t>Dynamic = ls_salesmain
1-3 = ls_salesmain</t>
  </si>
  <si>
    <t>1)ls_all_cattle
2)ls_all_goats
3)ls_all_sheep
4)ls_all_swine
5)ls_all_equine
6)ls_all_smallmammals
7)ls_all_poultry
8)ls_all_camelids
9)ls_all_other
10)ls_all_none
11)ls_all_dk
12)ls_all_ref</t>
  </si>
  <si>
    <t>The list of animals that were not selected at ls_main will appear here with programming. 
For any response to ls_all, go to ls_salesmain</t>
  </si>
  <si>
    <t>E. LIVESTOCK MARKETING</t>
  </si>
  <si>
    <t>ls_salesmain</t>
  </si>
  <si>
    <t>What was the main livestock or livestock product sold by your household in the last 3 months?
[OPERATOR: SINGLE RESPONSE. INSIST ON THE MAIN PRODUCT.]
1)Cattle [cow / beef / veal / yak / buffalo]
2)Goat
3)Sheep
4)Swine [pig / boar / hog / etc]
5)Equine [donkey / horse / etc]
6)Small domesticated mammals [rabbits / minks / guinea pigs / etc]
7)Poultry [chicken / guineafowl / duck / quail / turkey / etc]
8)Camelids
9)Eggs
10)Milk or dairy products
11)Skin or leather or wool
12)DON'T KNOW
13)REFUSED</t>
  </si>
  <si>
    <t>Send if "income_main" "Equals" "Production and sale of livestock and livestock products" Or "income_sec" "Equals" "Production and sale of livestock and livestock products" Or "income_third" "Equals" "Production and sale of livestock and livestock products" if not satisfied go to "fish_intro"</t>
  </si>
  <si>
    <t>Form Type - Buttons
IsDemographic</t>
  </si>
  <si>
    <t>1-11 = ls_salesdif
12-13 = fish_intro</t>
  </si>
  <si>
    <t>If either income_main or income_sec or income_third = "Production and sale of livestock and livestock products", then this section will be asked to respondents.
Otherwise, skip to fish_main.
if ls_salesmain = 1-11, go to ls_salesdif ; 
if ls_salesmain = 12-13, go to fish_intro</t>
  </si>
  <si>
    <t>ls_salesdif</t>
  </si>
  <si>
    <t>Has your household faced any significant difficulty in the last 3 months selling your {ls_salesmain}?
[OPERATOR: SINGLE RESPONSE.]
1)YES
2)NO
3)DON'T KNOW
4)REFUSED</t>
  </si>
  <si>
    <t>1 = ls_salesdif_2
2-4 = ls_salesprice</t>
  </si>
  <si>
    <t>if ls_salesdif = 1, go to ls_salesdif_2 ; 
if ls_salesdif = 2-4, go to ls_salesprice</t>
  </si>
  <si>
    <t>ls_salesdif_2</t>
  </si>
  <si>
    <t>ls_salesdif_
1) ls_salesdif_marketing_cost
2) ls_salesdif_damage_losses
3) ls_salesdif_low_demand
4) ls_salesdif_pay_delay
5) ls_salesdif_low_price
6)  ls_salesdif_slaughterhouse
7) ls_salesdif_processing
8) ls_salesdif_competition
9) ls_salesdif_other
10) ls_salesdif_dk
11) ls_salesdif_ref</t>
  </si>
  <si>
    <t>Which difficulties has your household faced in the last 3 months selling your {ls_salesmain}?
[OPERATOR: MULTIPLE RESPONSES POSSIBLE. SELECT OPTION(S) THAT BEST FIT THE INFORMATION PROVIDED BY THE RESPONDENTS.]
1)High transportation or other marketing costs
2)Damage and losses during transportation or difficulty accessing the market
3)Lack of demand from usual traders or buyers  
4)Payment delays from traders / buyers 
5)Low selling prices [e.g. compared to input prices / inflation]
6)Closure of slaughterhouses or difficulties accessing slaughterhouses
7)Difficulties processing product other than closure of slaughterhouse [lack of access to processing inputs / equipment / etc]
8)Market flooded with products
9)Other
10)DON'T KNOW
11)REFUSED</t>
  </si>
  <si>
    <t>Form Type - Checklist
10,11 = IsNone</t>
  </si>
  <si>
    <t>1-11 = ls_salesprice</t>
  </si>
  <si>
    <t>1)ls_salesdif_marketing_cost
2)ls_salesdif_damage_losses
3)ls_salesdif_low_demand
4)ls_salesdif_pay_delay
5)ls_salesdif_low_price
6)ls_salesdif_slaughterhouse
7)ls_salesdif_processing
8)ls_salesdif_competition
9)ls_salesdif_other
10)ls_salesdif_dk
11)ls_salesdif_ref</t>
  </si>
  <si>
    <t>if ls_salesdif_2 = 1-11, go to ls_salesprice</t>
  </si>
  <si>
    <t>ls_salesprice</t>
  </si>
  <si>
    <t>How does the current price of your household's {ls_salesmain} compare to the average price in the same period of a normal year?
[OPERATOR: SINGLE RESPONSE. INSIST ON THE MAIN PRODUCT MENTIONED.]
1)A lot more [increased by more than 50%]
2)Slightly more
3)Same
4)Slightly less
5)A lot less [less than half as much]
6)DON'T KNOW
7)REFUSED</t>
  </si>
  <si>
    <t>1-7 = fish_intro</t>
  </si>
  <si>
    <t>For options #1-7, go to fish_intro</t>
  </si>
  <si>
    <t>F. FISHERIES PRODUCTION</t>
  </si>
  <si>
    <t>fish_intro</t>
  </si>
  <si>
    <t>We will now ask you some questions about fishing and aquaculture production which apply to you and anyone in your household that is involved in the capture, culture, processing or sales of fish.
1)CONTINUE</t>
  </si>
  <si>
    <t>Send if "income_main_fish_check" "Equals" "YES" Or "income_sec_fish_check" "Equals" "YES Or "income_third_fish_check" "Equals" "YES", if not satisfied go to "fies"</t>
  </si>
  <si>
    <t>1 = fish_main</t>
  </si>
  <si>
    <t>If the respondent reported production and sales of fish in one of the three main income sources and confirmed that they are involved in production, then this section will be administered to respondents. Otherwise, skip to fies</t>
  </si>
  <si>
    <t>fish_main</t>
  </si>
  <si>
    <t>fish_main_
1) fish_main_coastal
2) fish_main_offshore_sea
3) fish_main_freshwater
4) fish_main_aquaculture
5) fish_main_dk
6) fish_main_ref</t>
  </si>
  <si>
    <t>What type of fishing activity does your household generally practice?
[OPERATOR: MULTIPLE RESPONSES POSSIBLE.]
1)Near coastal, delta, lagoon fishing
2)Offshore sea fishing
3)Freshwater fishing [in lakes, reservoirs, ponds, rivers, or wetlands]
4)Aquaculture
5)DON'T KNOW
6)REFUSED</t>
  </si>
  <si>
    <t>Form Type - Checklist
5,6 = IsNone</t>
  </si>
  <si>
    <t>1-6 = fish_change</t>
  </si>
  <si>
    <t>1)fish_main_coastal
2)fish_main_offshore_sea
3)fish_main_freshwater
4)fish_main_aquaculture
5)fish_main_dk
6)fish_main_ref</t>
  </si>
  <si>
    <t>if fish_main = 1-6, go to fish_change</t>
  </si>
  <si>
    <t>fish_change</t>
  </si>
  <si>
    <t>How does your fish catch [capture fishery] in the last 3 months [or last harvest] compare to the same period [harvest] last year?
[OPERATOR: SINGLE RESPONSE.]
1)A lot more [increased by more than 50%]
2)Slightly more
3)Same
4)Slightly less
5)A lot less [less than half as much]
6)DON'T KNOW
7)REFUSED</t>
  </si>
  <si>
    <t>1-7 = fish_proddif</t>
  </si>
  <si>
    <t>if fish_change = 1-7, go to fish_proddif</t>
  </si>
  <si>
    <t>fish_proddif</t>
  </si>
  <si>
    <t>Has your household faced any significant difficulty with fish catch and/or harvest in the last 3 months?
[OPERATOR: SINGLE RESPONSE.]
1)YES
2)NO
3)DON'T KNOW
4)REFUSED</t>
  </si>
  <si>
    <t>1=fish_proddif_2
2-4= [fish_salesmain OR optional question]</t>
  </si>
  <si>
    <t>if fish_proddif = 1, go to fish_proddif_2 ; 
if fish_proddif = 2-4, go to fish_salesmain OR optional question</t>
  </si>
  <si>
    <t>fish_proddif_2</t>
  </si>
  <si>
    <t>fish_proddif_
1) fish_proddif_find_fish
2) fish_proddif_pests
3) fish_proddif_access_area
4) fish_proddif_fuel
5) fish_proddif_input_access
6) fish_proddif_labour
7) fish_proddif_infrastructure
8) fish_proddif_damage_equip
9) fish_proddif_other
10) fish_proddif_dk
11) fish_proddif_ref</t>
  </si>
  <si>
    <t>Which difficulties has your household faced with fish catch and/or harvest in the last 3 months?
[OPERATOR: MULTIPLE RESPONSES POSSIBLE. SELECT OPTION(S) THAT BEST FIT THE INFORMATION PROVIDED BY THE RESPONDENTS.]
1)Fish is more difficult to find than in previous years in the same season [fishing]
2)Fish pests and diseases [aquaculture]
3)Access to fishing or aquaculture area [e.g. due to weather or security]
4)Access to fuel [prices higher or not available]
5)Access to other fishing or culture inputs [prices higher or not available]
6)Access to labour or crew labour [prices higher or not available]
7)Damage or destruction of infrastructure [ponds, cages, ports, landing sites]
8)Damage or destruction of boats or gears
9)Other
10)DON'T KNOW
11)REFUSED</t>
  </si>
  <si>
    <t>1-11 = [fish_salesmain OR optional question]</t>
  </si>
  <si>
    <t>1)fish_proddif_find_fish
2)fish_proddif_pests
3)fish_proddif_access_area
4)fish_proddif_fuel
5)fish_proddif_input_access
6)fish_proddif_labour
7)fish_proddif_infrastructure
8)fish_proddif_damage_equip
9)fish_proddif_other
10)fish_proddif_dk
11)fish_proddif_ref</t>
  </si>
  <si>
    <t>If fish_proddif_2 = 1-11, go to fish_salesmain OR optional question</t>
  </si>
  <si>
    <t>fish_inputdif</t>
  </si>
  <si>
    <t>fish_inputdif_
1) fish_inputdif_bait_feed
2)fish_inputdif_fingerling
3) fish_inputdif_gear
4) fish_inputdif_ice
5) fish_inputdif_fuel
6) fish_inputdif_repairs
7) fish_inputdif_labour
8) fish_inputdif_other 
9)fish_inputdif_dk
10) fish_inputdif_ref</t>
  </si>
  <si>
    <t>Which fishing [culture] input material has your household had difficulties accessing in the last 3 months?
[OPERATOR: MULTIPLE RESPONSE POSSIBLE.]
1)Feed or bait
2)Fingerlings
3)Fishing gear [e.g. rods, hooks, nets]
4)Ice
5)Fuel
6)Equipment repairs [including boats] or spare parts
7)Labour
8)Other [specify]
9)DON'T KNOW
10)REFUSED</t>
  </si>
  <si>
    <t xml:space="preserve">Open Ended - Select All That Apply </t>
  </si>
  <si>
    <t>Send if "fish_proddif_2" "Contains" "Access to other fishing or culture inputs [prices higher or not available]" if not satisfied go to "fish_salesmain"</t>
  </si>
  <si>
    <t>Form Type - Checklist
9,10= IsNone</t>
  </si>
  <si>
    <t>1-10 = [fish_salesmain]</t>
  </si>
  <si>
    <t>1)fish_inputdif_bait_feed
2)fish_inputdif_fingerling
3)fish_inputdif_gear
4)fish_inputdif_ice
5)fish_inputdif_fuel
6)fish_inputdif_repairs
7)fish_inputdif_labour
8)fish_inputdif_other 
9)fish_inputdif_dk
10) fish_inputdif_ref</t>
  </si>
  <si>
    <t>Asked only to respondents that answered fish_proddif_2 = 4.
if fish_inputdif = 1-10, go to fish_salesmain</t>
  </si>
  <si>
    <t>F. FISHERIES MARKETING</t>
  </si>
  <si>
    <t>fish_salesmain</t>
  </si>
  <si>
    <t>What was the main fish product sold by your household in the last 3 months?
[OPERATOR: SINGLE RESPONSE.]
1)Fresh fish [any kind, including invertebrates]
2)Preserved fish [including dry fish, smoked fish, fermented fish, salt fish]
3)Frozen fish
4)Canned fish
5)Other [specify]
6)DON'T KNOW
7)REFUSED</t>
  </si>
  <si>
    <t>1-5 = fish_salesdif
6-7 = fies</t>
  </si>
  <si>
    <t>if fish_salesmain = 1-5, go to fish_salesdif
if fish_salesmain = 6-7, go to fies</t>
  </si>
  <si>
    <t>fish_salesdif</t>
  </si>
  <si>
    <t>Has your household faced any significant difficulty marketing / selling your {fish_salesmain} in the last 3 months?
[OPERATOR: SINGLE RESPONSE]
1)YES
2)NO
3)DON'T KNOW
4)REFUSED</t>
  </si>
  <si>
    <t>1 = fish_salesdif_2
2-4 = fish_salesprice</t>
  </si>
  <si>
    <t>if fish_salesdif = 1, go to fish_salesdif_2 ;
if fish_salesdif = 2-4, go to fish_salesprice</t>
  </si>
  <si>
    <t>fish_salesdif_2</t>
  </si>
  <si>
    <t xml:space="preserve">fish_saledif_
1) fish_saledif_marketing_cost
2) fish_saledif_damage_losses
3) fish_saledif_low_demand
4) fish_saledif_pay_delay
5) fish_saledif_low_prices
6) fish_saledif_processing
7) fish_saledif_competition
8) fish_saledif_other
9) fish_saledif_dk
10) fish_saledif_ref
</t>
  </si>
  <si>
    <t>Which difficulties has your household faced in the last 3 months selling your {fish_salesmain}?
[OPERATOR: MULTIPLE RESPONSES POSSIBLE. SELECT OPTION(S) THAT BEST FIT THE INFORMATION PROVIDED BY THE RESPONDENTS.]
1)High transportation or other marketing costs
2)Deterioration and losses due to storage difficulties or delays or inability to physically access markets
3)Lack of demand from usual buyers/traders
4)Payment delays from traders/buyers 
5)Low selling prices [e.g. compared to input prices / inflation]
6)Difficulties processing product [lack of access to processing inputs / equipment / etc]
7)Market flooded with product
8)Other
9)DON'T KNOW
10)REFUSED</t>
  </si>
  <si>
    <t>1-10 = fish_salesprice</t>
  </si>
  <si>
    <t>1)fish_saledif_marketing_cost
2)fish_saledif_damage_losses
3)fish_saledif_low_demand
4)fish_saledif_pay_delay
5)fish_saledif_low_prices
6)fish_saledif_processing
7)fish_saledif_competition
8)fish_saledif_other
9)fish_saledif_dk
10)fish_saledif_ref</t>
  </si>
  <si>
    <t>if fish_salesdif = 1-10, go to fish_salesprice</t>
  </si>
  <si>
    <t>fish_salesprice</t>
  </si>
  <si>
    <t>How does the current price of your household's {fish_salesmain} sold compare to the average price in the same period/harvest of a normal year? 
[OPERATOR: SINGLE RESPONSE. INSIST ON THE MAIN PRODUCT MENTIONED.]
1)A lot more [increased by more than 50%]
2)Slightly more
3)Same
4)Slightly less
5)A lot less [less than half as much]
6)DON'T KNOW
7)REFUSED</t>
  </si>
  <si>
    <t>1-7 = fies</t>
  </si>
  <si>
    <t>if fish_salesprice = 1-7, go to fies</t>
  </si>
  <si>
    <t>G. FOOD SECURITY AND CONSUMPTION</t>
  </si>
  <si>
    <t>fies_intro</t>
  </si>
  <si>
    <t>Now I would like to ask you some questions about food consumption, food utilization and coping mechanisms. Make sure to refer to the correct time period for each set of questions. The first set of questions refers to experiences faced by you or any of your household members over the past 30 days. 
[OPERATOR: SINGLE RESPONSE]
1)NEXT</t>
  </si>
  <si>
    <t>1 = fies_worried</t>
  </si>
  <si>
    <t>if fies = 1, go to fies_worried</t>
  </si>
  <si>
    <t>Check if the ESS team has an official translation.</t>
  </si>
  <si>
    <t>fies_worried</t>
  </si>
  <si>
    <t>During the last 30 days, was there a time when you or others in your household were worried about not having enough food to eat because of lack of money or other resources?
[OPERATOR: SINGLE RESPONSE]
1)YES
2)NO
3)DON'T KNOW
4)REFUSED</t>
  </si>
  <si>
    <t>1-4 = fies_healthy</t>
  </si>
  <si>
    <t>if fies_worried = 1-4, go to fies_healthy</t>
  </si>
  <si>
    <t>fies_healthy</t>
  </si>
  <si>
    <t>During the last 30 days, was there a time when you or others in your household were unable to eat healthy and nutritious food because of lack of money or other resources?
[OPERATOR: SINGLE RESPONSE]
1)YES
2)NO
3)DON'T KNOW
4)REFUSED</t>
  </si>
  <si>
    <t>1-4 = fies_fewfoods</t>
  </si>
  <si>
    <t>if fies_healthy = 1-4, go to fies_fewfoods</t>
  </si>
  <si>
    <t>fies_fewfoods</t>
  </si>
  <si>
    <t>During the last 30 days, was there a time when you or others in your household ate only a few kinds of foods because of lack of money or other resources?
[OPERATOR: SINGLE RESPONSE]
1)YES
2)NO
3)DON'T KNOW
4)REFUSED</t>
  </si>
  <si>
    <t>1-4 = fies_skipped</t>
  </si>
  <si>
    <t>if fies_fewfoods = 1-4, go to fies_skipped</t>
  </si>
  <si>
    <t>fies_skipped</t>
  </si>
  <si>
    <t>During the last 30 days, was there a time when you or others in your household had to skip a meal because of lack of money or other resources to get food?
[OPERATOR: SINGLE RESPONSE]
1)YES
2)NO
3)DON'T KNOW
4)REFUSED</t>
  </si>
  <si>
    <t>1-4 = fies_ateless</t>
  </si>
  <si>
    <t>if fies_skipped = 1-4, go to fies_ateless</t>
  </si>
  <si>
    <t>fies_ateless</t>
  </si>
  <si>
    <t>During the last 30 days, was there a time when you or others in your household ate less than you thought you should because of lack of money or other resources?
[OPERATOR: SINGLE RESPONSE]
1)YES
2)NO
3)DON'T KNOW
4)REFUSED</t>
  </si>
  <si>
    <t>1-4 = fies_ranout</t>
  </si>
  <si>
    <t>if fies_ateless = 1-4, go to fies_ranout</t>
  </si>
  <si>
    <t>fies_ranout</t>
  </si>
  <si>
    <t>In the past 30 days, was there ever no food to eat of any kind in your house because of lack of resources to get food?
[OPERATOR: SINGLE RESPONSE]
1)YES
2)NO
3)DON'T KNOW
4)REFUSED</t>
  </si>
  <si>
    <t>1=fies_ranout_hhs
2-4 = fies_hungry</t>
  </si>
  <si>
    <t>if fies_ranout = 1, go to fies_ranout_hhs. Otherwise, go to fies_hungry</t>
  </si>
  <si>
    <t>fies_ranout_hhs</t>
  </si>
  <si>
    <t>How often did this happen?
[OPERATOR: SINGLE RESPONSE]
1)Rarely [1-2 times in the past 30 days]
2)Sometimes [3-10 times in the past 30 days]
3)Often [more than 10 times in the last 30 days]
4)DON'T KNOW
5)REFUSED</t>
  </si>
  <si>
    <t xml:space="preserve">1-5 = fies_hungry </t>
  </si>
  <si>
    <t>if fies_ranout_hhs = 1-5, go to fies_hungry</t>
  </si>
  <si>
    <t>fies_hungry</t>
  </si>
  <si>
    <t>In the past 30 days, did you or any household member ever go to sleep at night hungry because there was not enough food?
[OPERATOR: SINGLE RESPONSE]
1)YES
2)NO
3)DON'T KNOW
4)REFUSED</t>
  </si>
  <si>
    <t>1=fies_hungry_hhs
2-4 = fies_whlday</t>
  </si>
  <si>
    <t>if fies_hungry = 1, go to fies_hungry_hhs. Otherwise, go to fies_whlday</t>
  </si>
  <si>
    <t>fies_hungry_hhs</t>
  </si>
  <si>
    <t>1-5 = fies_whlday</t>
  </si>
  <si>
    <t>if fies_hungry_hhs = 1-5, go to fies_whlday</t>
  </si>
  <si>
    <t>fies_whlday</t>
  </si>
  <si>
    <t>In the past 30 days, did you or any household member ever go a whole day and night without eating anything at all because there was not enough food?
[OPERATOR: SINGLE RESPONSE]
1)YES
2)NO
3)DON'T KNOW
4)REFUSED</t>
  </si>
  <si>
    <t>1=fies_whlday_hhs
2-4 = [lcsi_intro OR hdds]</t>
  </si>
  <si>
    <t>if fies_whlday = 1, go to fies_whlday_hhs. Otherwise, go to lcsi_intro OR hdds</t>
  </si>
  <si>
    <t>fies_whlday_hhs</t>
  </si>
  <si>
    <t>1-5 = [lcsi_intro OR hdds]</t>
  </si>
  <si>
    <t>if fies_whlday_hhs = 1-5, go to lcsi_intro OR hdds</t>
  </si>
  <si>
    <t>lcsi_intro</t>
  </si>
  <si>
    <t>Now I would like to ask you another set of questions on coping strategies, referring to the past 30 days.
[OPERATOR: SINGLE RESPONSE]
1)NEXT</t>
  </si>
  <si>
    <t>1 = [next question]</t>
  </si>
  <si>
    <t>Coping strategies should be selected based on the local context. Ten (10) coping strategies should be selected; 4 in stress, 3 in crisis and 3 in emergency. 
Please delete coping strategies that you do not want to use in your survey or propose changes for the "English" column (i.e. text) under the "Additional notes" column.</t>
  </si>
  <si>
    <t>cs_stress_spent_savings</t>
  </si>
  <si>
    <t xml:space="preserve"> cs_stress_spent_savings</t>
  </si>
  <si>
    <t>Over the past 30 days, did anyone in your household have to spend savings because of lack of food or money?
[OPERATOR: SINGLE RESPONSE]
1)Yes
2)No - because it wasn’t necessary
3)No - because you already sold those assets or did this activity within the last 12 months and you cannot continue to do it
4)Not applicable
5)DON'T KNOW 
6)REFUSED</t>
  </si>
  <si>
    <t>1-6 = [next question]</t>
  </si>
  <si>
    <t>cs_stress_sold_more_animals</t>
  </si>
  <si>
    <t>Over the past 30 days, did anyone in your household have to sell more animals [non-reproductive] than usual because of lack of food or money?
[OPERATOR: SINGLE RESPONSE]
1)Yes
2)No - because it wasn’t necessary
3)No - because you already sold those assets or did this activity within the last 12 months and you cannot continue to do it
4)Not applicable
5)DON'T KNOW 
6)REFUSED</t>
  </si>
  <si>
    <t>cs_stress_credit</t>
  </si>
  <si>
    <t>Over the past 30 days, did anyone in your household have to purchase food on credit or borrowed food because of lack of food or money?
[OPERATOR: SINGLE RESPONSE]
1)Yes
2)No - because it wasn’t necessary
3)No - because you already sold those assets or did this activity within the last 12 months and you cannot continue to do it
4)Not applicable
5)DON'T KNOW 
6)REFUSED</t>
  </si>
  <si>
    <t>cs_stress_borrowed_money</t>
  </si>
  <si>
    <t>Over the past 30 days, did anyone in your household have to borrow money because of lack of food or money?
[OPERATOR: SINGLE RESPONSE]
1)Yes
2)No - because it wasn’t necessary
3)No - because you already sold those assets or did this activity within the last 12 months and you cannot continue to do it
4)Not applicable
5) DON'T KNOW 
6) REFUSED</t>
  </si>
  <si>
    <t>cs_crisis_harv_immature_crops</t>
  </si>
  <si>
    <t>Over the past 30 days, did anyone in your household have to harvest immature crops [e.g. green maize] to eat because of lack of food or money?
[OPERATOR: SINGLE RESPONSE]
1)Yes
2)No - because it wasn’t necessary
3)No - because you already sold those assets or did this activity within the last 12 months and you cannot continue to do it
4)Not applicable
5)DON'T KNOW 
6)REFUSED</t>
  </si>
  <si>
    <t>cs_crisis_consume_seed_stock</t>
  </si>
  <si>
    <t>Over the past 30 days, did anyone in your household consume seed stocks that were to be held/saved for the next planting season because of lack of food or money?
[OPERATOR: SINGLE RESPONSE]
1)Yes
2)No - because it wasn’t necessary
3)No - because you already sold those assets or did this activity within the last 12 months and you cannot continue to do it
4)Not applicable
5)DON'T KNOW 
6)REFUSED</t>
  </si>
  <si>
    <t>cs_crisis_decrease_input_exp</t>
  </si>
  <si>
    <t>Over the past 30 days, did anyone in your household have to decrease expenditures on fertilizer, pesticide, fodder, animal feed, veterinary care, etc. because of lack of food or money?
[OPERATOR: SINGLE RESPONSE]
1)Yes
2)No - because it wasn’t necessary
3)No - because you already sold those assets or did this activity within the last 12 months and you cannot continue to do it
4)Not applicable
5)DON'T KNOW 
6)REFUSED</t>
  </si>
  <si>
    <t>cs_emergency_begged</t>
  </si>
  <si>
    <t>Over the past 30 days, did anyone in your household have to beg because of lack of food or money?
[OPERATOR: SINGLE RESPONSE]
1)Yes
2)No - because it wasn’t necessary
3)No - because you already sold those assets or did this activity within the last 12 months and you cannot continue to do it
4)Not applicable
5)DON'T KNOW 
6)REFUSED</t>
  </si>
  <si>
    <t>cs_emergency_illegal</t>
  </si>
  <si>
    <t>Over the past 30 days, did anyone in your household have to engage in illegal or degrading income activities [theft, prostitution] because of lack of food or money?
[OPERATOR: SINGLE RESPONSE]
1)Yes
2)No - because it wasn’t necessary
3)No - because you already sold those assets or did this activity within the last 12 months and you cannot continue to do it
4)Not applicable
5)DON'T KNOW 
6)REFUSED</t>
  </si>
  <si>
    <t>cs_emergency_sold_last_female</t>
  </si>
  <si>
    <t>Over the past 30 days, did anyone in your household have to sell your last female animals because of lack of food or money?
[OPERATOR: SINGLE RESPONSE]
1)Yes
2)No - because it wasn’t necessary
3)No - because you already sold those assets or did this activity within the last 12 months and you cannot continue to do it
4)Not applicable
5)DON'T KNOW 
6)REFUSED</t>
  </si>
  <si>
    <t>hdds</t>
  </si>
  <si>
    <t>hdds
1) hdds_cereals
2) hdds_rootstubers
3) hdds_vegetables
4) hdds_fruits
5) hdds_meat
6) hdds_eggs
7) hdds_fish
8) hdds_legumes
9) hdds_milkdairy
10) hdds_oils
11)hdds_sugar
12) hdds_condiments</t>
  </si>
  <si>
    <t>Now I would like to ask you a set of questions on food consumption, referring to the 24 hours of yesterday. Please describe the foods [meals and snacks] that you or any household member ate or drank at home yesterday [in the 24 hours of yesterday: breakfast, lunch, dinner and snacks].
[OPERATOR: SELECT ALL FOOD GROUPS CONSUMED IN THE 24 HOURS OF YESTERDAY AS THE RESPONDENT ANSWERS. MULTIPLE RESPONSES POSSIBLE.]
1)Cereals [sorghum / millet / corn / wheat / rice / spaghetti / bread or insert any other locally available grain]
2)Roots and tubers [white sweet potato / potato / yam / cassava or other tubers]
3)Vegetables [all]
4)Fruit [all]
5)Meat, poultry and offal [beef / pork / lamb / goat / rabbit / wild game / chicken / duck / liver / kidney / heart / or other organ meats]
6)Eggs
7)Fish or shellfish [fresh or dried fish / shellfish]
8)Legumes, nuts and seeds [beans / peas / peanut / lentils / almond / other nuts]
9)Milk and other dairy products [fresh milk / sour / yogurt / cheese / other dairy products]
10)Oils and fat [cooking / butter / margarine / fat / oil / other oil]
11)Sugar or sugary products [honey / jam / donuts / candy / chocolate / biscuits / pastries / cakes and other sweet products]
12)Condiments [cocoa / salt / garlic / spices / yeast / baking powder / tomato or tomato sauce / meat or fish as a condiment] and coffee / tea</t>
  </si>
  <si>
    <t>Form Type - Checklist</t>
  </si>
  <si>
    <t>1-12 = hdds_confirmation</t>
  </si>
  <si>
    <t>1)hdds_cereals
2)hdds_rootstubers
3)hdds_vegetables
4)hdds_fruits
5)hdds_meat
6)hdds_eggs
7)hdds_fish
8)hdds_legumes
9)hdds_milkdairy
10)hdds_oils
11)hdds_sugar
12)hdds_condiments</t>
  </si>
  <si>
    <t>if hdds = 1-12, go to hdds_confirmation</t>
  </si>
  <si>
    <t>hdds_confirmation</t>
  </si>
  <si>
    <t>[OPERATOR: REMEMBER TO PROBE FOR SNACKS, SPECIAL FOODS GIVEN TO CHILDREN OR PREGNANT WOMEN, INGREDIENTS IN MIXED DISHES. AT THE END, PROBE FOR FOOD GROUPS NOT MENTIONED. 
IF YOU HAVE ALREADY PROBED, CLICK CONTINUE. OTHERWISE, GO BACK TO MAKE SURE ALL FOOD GROUPS CONSUMED IN THE 24 HRS OF YESTERDAY WERE SELECTED.]
1)CONTINUE</t>
  </si>
  <si>
    <t>1 = need or next question</t>
  </si>
  <si>
    <t>if hdds_confirmation = 1, go to need or optional question</t>
  </si>
  <si>
    <t>fcs_intro</t>
  </si>
  <si>
    <t xml:space="preserve">Now I would like to ask you about the foods and drinks your household ate or drank in the last 7 days during the day and at night [breakfast, lunch, dinner, snacks]. 
1)CONTINUE
</t>
  </si>
  <si>
    <t>1 = fcs_staple_days</t>
  </si>
  <si>
    <t>if fcs_intro = 1, go to fcs_staple_days</t>
  </si>
  <si>
    <t>fcs_staple_days</t>
  </si>
  <si>
    <t>How many days over the last 7 days, did members of your household eat starches, roots and tubers such as rice, maize, pasta, bread, sorghum, millet, potato, yam, cassava, white sweet potato?
[OPERATOR: RECORD NUMBER OF DAYS 0 - 7.]
[HINT: IF CONSUMED ONLY IN SMALL QUANTITY, DO NOT INCLUDE.]</t>
  </si>
  <si>
    <t>0-7 = fcs_pulses_days</t>
  </si>
  <si>
    <t>For any response, go to fcs_pulses_days</t>
  </si>
  <si>
    <t>fcs_pulses_days</t>
  </si>
  <si>
    <t>How many days over the last 7 days, did members of your household eat pulses and nuts such as beans, lentils, cowpeas, soybean, pigeon peas and peanuts or other nuts?
[OPERATOR: RECORD NUMBER OF DAYS 0 - 7]
[HINT: IF CONSUMED ONLY IN SMALL QUANTITY, DO NOT INCLUDE.]</t>
  </si>
  <si>
    <t>0-7 = fcs_vegetables_days</t>
  </si>
  <si>
    <t>For any response, go to fcs_vegetables_days</t>
  </si>
  <si>
    <t>fcs_vegetables_days</t>
  </si>
  <si>
    <t>How many days over the last 7 days, did members of your household eat vegetables or leaves such as Okra, cucumber, Tomatoes, egg plants, cabage, carrot, ball peper , onions, cassava leaves, potato leaves and/or other leaves/vegetables?
[OPERATOR: RECORD NUMBER OF DAYS 0 - 7] 
[HINT: IF CONSUMED ONLY IN SMALL QUANTITY, DO NOT INCLUDE.]</t>
  </si>
  <si>
    <t>0-7 = fcs_fruit_days</t>
  </si>
  <si>
    <t>For any response, go to fcs_fruit_days</t>
  </si>
  <si>
    <t>fcs_fruit_days</t>
  </si>
  <si>
    <t>How many days over the last 7 days, did members of your household eat fruit such as Banana, plantain, Papaya, Orange, Grape fruit,Mango, Pineapple, Watermelon and/or other fruits?
[OPERATOR: RECORD NUMBER OF DAYS 0 - 7]
[HINT: IF CONSUMED ONLY IN SMALL QUANTITY, DO NOT INCLUDE.]</t>
  </si>
  <si>
    <t>0-7 = fcs_meat_fish_days</t>
  </si>
  <si>
    <t>For any response, go to fcs_meat_fish_days</t>
  </si>
  <si>
    <t>fcs_meat_fish_days</t>
  </si>
  <si>
    <t>How many days over the last 7 days, did members of your household eat meat, eggs or fish [any type of meat or fish including insects, birds, bush meat, seafood, or organs]?
[OPERATOR: RECORD NUMBER OF DAYS 0 - 7]
[HINT: IF CONSUMED ONLY IN SMALL QUANTITY, DO NOT INCLUDE.]</t>
  </si>
  <si>
    <t>0-7 = fcs_dairy_days</t>
  </si>
  <si>
    <t>For any response, go to fcs_dairy_days</t>
  </si>
  <si>
    <t>fcs_dairy_days</t>
  </si>
  <si>
    <t>How many days over the last 7 days, did members of your household consume fresh milk, sour milk, yogurt, cheese or other dairy products? [Excluding margarine/butter or small amounts of milk for tea/ coffee]
[OPERATOR: RECORD NUMBER OF DAYS 0 - 7]
[HINT: IF CONSUMED ONLY IN SMALL QUANTITY, DO NOT INCLUDE.]</t>
  </si>
  <si>
    <t>0-7 = fcs_sugar_days</t>
  </si>
  <si>
    <t>For any response, go to fcs_sugar_days</t>
  </si>
  <si>
    <t>fcs_sugar_days</t>
  </si>
  <si>
    <t>How many days over the last 7 days, did members of your household consume sugar or sweets such as sugar, honey, jam, cakes, candy, cookies, pastries, cakes and other sweets and sugary drinks?
[OPERATOR: RECORD NUMBER OF DAYS 0 - 7]
[HINT: IF CONSUMED ONLY IN SMALL QUANTITY, DO NOT INCLUDE.]</t>
  </si>
  <si>
    <t>0-7 = fcs_oil_days</t>
  </si>
  <si>
    <t>For any response, go to fcs_oil_days</t>
  </si>
  <si>
    <t>fcs_oil_days</t>
  </si>
  <si>
    <t>How many days over the last 7 days, did members of your household eat oil/fat/butter such as vegetable oil, palm oil, groundnut oil, margarine, other fats / oil?
[OPERATOR: RECORD NUMBER OF DAYS 0 - 7]
[HINT: IF CONSUMED ONLY IN SMALL QUANTITY, DO NOT INCLUDE.]</t>
  </si>
  <si>
    <t>0-7 = fcs_condiments_days</t>
  </si>
  <si>
    <t>For any response, go to fcs_condiments_days</t>
  </si>
  <si>
    <t>fcs_condiments_days</t>
  </si>
  <si>
    <t>How many days over the last 7 days, did members of your household eat spices or condiments such as tea, coffee, cocoa, salt, garlic, spices, yeast, meat fish as a condiment or small amounts of milk for tea or coffee?
[OPERATOR: RECORD NUMBER OF DAYS 0 - 7]</t>
  </si>
  <si>
    <t>0-7 = rcsi_intro</t>
  </si>
  <si>
    <t>For any response, go to rcsi_intro</t>
  </si>
  <si>
    <t>rcsi_intro</t>
  </si>
  <si>
    <t>Now I will ask you about the number of days, in the last 7 days, during which the household has done some of the actions that I will mention to cope with the lack of food or money to buy food.
1)CONTINUE</t>
  </si>
  <si>
    <t>1 = rcsi_less_preferred_foods</t>
  </si>
  <si>
    <t>For any response, go to rcsi_less_preferred_foods</t>
  </si>
  <si>
    <t>rcsi_less_preferred_foods</t>
  </si>
  <si>
    <t>In the past 7 days, how many days did your household rely on less preferred or less expensive food due to lack of food/money?  
[OPERATOR: RECORD NUMBER OF DAYS 0 - 7 ]</t>
  </si>
  <si>
    <t>0-7 = rcsi_borrowed_food</t>
  </si>
  <si>
    <t>For any response, go to rcsi_borrowed_food</t>
  </si>
  <si>
    <t>rcsi_borrowed_food</t>
  </si>
  <si>
    <t>In the past 7 days, how many days did your household borrow food, or rely on help from a friend or relative due to lack of food or money to buy food? 
[OPERATOR: RECORD NUMBER OF DAYS 0 - 7 ]</t>
  </si>
  <si>
    <t>0-7 = rcsi_reduce_number_meals</t>
  </si>
  <si>
    <t>For any response, go to rcsi_reduce_number_meals</t>
  </si>
  <si>
    <t>rcsi_reduce_number_meals</t>
  </si>
  <si>
    <t>In the past 7 days, how many days did your household reduce the number of meals eaten in a day due to lack of food or money to buy food?
[OPERATOR: RECORD NUMBER OF DAYS 0 - 7 ]</t>
  </si>
  <si>
    <t>0-7 = rcsi_limit_portions</t>
  </si>
  <si>
    <t>For any response, go to rcsi_limit_portions</t>
  </si>
  <si>
    <t>rcsi_limit_portions</t>
  </si>
  <si>
    <t>In the past 7 days, how many days did your household limit portion sizes at mealtime due to lack of food or money to buy food? 
[OPERATOR: RECORD NUMBER OF DAYS 0 - 7 ]</t>
  </si>
  <si>
    <t>0-7 = rcsi_restrict_adult_consumpt</t>
  </si>
  <si>
    <t>For any response, go to rcsi_restrict_adult_consumpt</t>
  </si>
  <si>
    <t>rcsi_restrict_adult_consumpt</t>
  </si>
  <si>
    <t>In the past 7 days, how many days did your household restrict consumption by adults so children could eat, due to lack of food or money to buy food?
[OPERATOR: RECORD NUMBER OF DAYS 0 - 7 ]</t>
  </si>
  <si>
    <t>0-7 = need</t>
  </si>
  <si>
    <t>For any response, go to need</t>
  </si>
  <si>
    <t>H. NEEDS ASSISTANCE</t>
  </si>
  <si>
    <t>need</t>
  </si>
  <si>
    <t>Does your household need assistance for agricultural activities [including crop, livestock and fisheries/aquaculture activities] over the next 3 to 6 months?
[OPERATOR: SINGLE RESPONSE.]
1)YES
2)NO
3)DON'T KNOW
4)REFUSED</t>
  </si>
  <si>
    <t>Send if "hh_agricactivity" "Equals" "Yes - crop production" Or "hh_agricactivity" "Equals" "Yes - livestock production" Or "hh_agricactivity" "Equals" "Yes - both crop and livestock production" Or "income_main_crop_check" "Equals" "YES" Or "income_sec_crop_check" "Equals" "YES" Or "income_third_crop_check" "Equals" "YES" Or "income_main_ls_check" "Equals" "YES" Or "income_sec_ls_check" "Equals" "YES" Or "income_third_ls_check" "Equals" "YES" Or "income_main_fish_check" "Equals" "YES" Or "income_sec_fish_check" "Equals" "YES" Or "income_third_fish_check". if not satisfied, go to "callback".</t>
  </si>
  <si>
    <t>1 = need_2
2-4= need_received</t>
  </si>
  <si>
    <t>Only administered to agricultural households. Otherwise, go to "callback". 
if need = 1, go to need_2
if need = 2-4, go to need_received</t>
  </si>
  <si>
    <t>need_2</t>
  </si>
  <si>
    <t>need_
1) need_food
2) need_cash
3) need_vouchers_fair
4) need_crop_inputs
5) need_crop_infrastructure
6) need_crop_knowledge
7) need_ls_feed
8) need_ls_vet_service
9) need_ls_infrastructure
10) need_ls_knowledge
11) need_fish_inputs
12) need_fish_infrastructure
13) need_fish_knowledge
14) need_env_infra_rehab
15) need_cold_storage
16) need_marketing_supp
17) need_other
18) need_dk
19) need_ref</t>
  </si>
  <si>
    <t>What are your household's greatest needs for assistance for agricultural activities [including crop, livestock or fisheries/aquaculture activities] over the next 3 to 6 months?
[OPERATOR: MULTIPLE RESPONSE. DO NOT READ THE OPTIONS.]
1)Food
2)Cash
3)Vouchers or input trade fairs
4)Inputs for crop and/or vegetable production [e.g. seeds, fertilizer, tools]
5)Infrastructure for crop and/or vegetable production [e.g. irrigation, canal rehabilitation, pumps]
6)Training &amp; technical knowledge/advice for crop production
7)Livestock feed [fodder or supplementary feed]
8)Veterinary services [e.g. vaccination, dips, deworming]
9)Infrastructure for livestock [e.g. water points, transhumance corridors, shelter, health points]
10)Training &amp; technical knowledge/advice for livestock production
11)Inputs for fishing or aquaculture production
12)Infrastructure for fisheries or aquaculture production [e.g. rehabilitation of port; repair of ponds]
13)Training &amp; technical knowledge/advice for fisheries or aquaculture production
14)Environmental or infrastructure rehabilitation [community-wide]
15)Cold storage
16)Marketing or sales support [e.g. public procurement]
17)Other [specify]
18)DON'T KNOW
19)REFUSED</t>
  </si>
  <si>
    <t>Form Type - Checklist
18,19 = IsNone</t>
  </si>
  <si>
    <t>1-19 = need_received</t>
  </si>
  <si>
    <t>1)need_food
2)need_cash
3)need_vouchers_fair
4)need_crop_inputs
5)need_crop_infrastructure
6)need_crop_knowledge
7)need_ls_feed
8)need_ls_vet_service
9)need_ls_infrastructure
10)need_ls_knowledge
11)need_fish_inputs
12)need_fish_infrastructure
13)need_fish_knowledge
14)need_env_infra_rehab
15)need_cold_storage
16)need_marketing_supp
17)need_other
18)need_dk
19)need_ref</t>
  </si>
  <si>
    <t>if need_2 = 1-19, go to need_received</t>
  </si>
  <si>
    <t>need_received</t>
  </si>
  <si>
    <t>need_received_
1) need_received_food
2) need_received_cash
3) need_received_vouchers_fair
4) need_received_crop_assist
5) need_received_ls_assist
6) need_received_fish_assist
7) need_received_rehabilitation
8) need_received_sales_support
9) need_received_other
10) need_received_none
11) need_received_dk
12) need_received_ref</t>
  </si>
  <si>
    <t>Has your household received any assistance in the last 3 months, and if so, which kind?
[OPERATOR: MULTIPLE RESPONSE POSSIBLE. READ OUT THE OPTIONS.]
1)Food
2)Cash 
3)Vouchers/input trade fairs
4)Crop and/or vegetable production assistance
5)Livestock assistance
6)Fisheries and/or aquaculture assistance
7)Environmental or infrastructure rehabilitation [community-wide]
8)Marketing or sales support [e.g. public procurement]
9)Other [specify]
10)No assistance received
11)DON'T KNOW 
12)REFUSED</t>
  </si>
  <si>
    <t>Form Type - Checklist
10,11,12 = IsNone</t>
  </si>
  <si>
    <t>1-9 = assistance_quality 
10-12 = callback</t>
  </si>
  <si>
    <t>1)need_received_food
2)need_received_cash
3)need_received_vouchers_fair
4)need_received_crop_assist
5)need_received_ls_assist
6)need_received_fish_assist
7)need_received_rehabilitation
8)need_received_sales_support
9)need_received_other
10)need_received_none
11)need_received_dk
12)need_received_ref</t>
  </si>
  <si>
    <t xml:space="preserve">if need_received = 1-9, go to assistance_quality.
Otherwise, go to callback. </t>
  </si>
  <si>
    <t>assistance_quality</t>
  </si>
  <si>
    <t>Were you satisfied with the quality of the assistance provided? 
[OPERATOR: SINGLE RESPONSE. QUALITY OF ASSISTANCE IN TERMS OF SUFFICIENT ASSISTANCE FOR PRODUCTION OR SALES DIFFICULTY TO BE OVERCOME.]
1)Yes
2)No - not received on time
3)No - did not meet my needs
4)No - quantity was not sufficient
5)No - there was a problem with the provider
6)No - there was a malfunction of the in-kind assistance provided [e.g. poor quality tools]
7)DON'T KNOW
8)REFUSED</t>
  </si>
  <si>
    <t>1-8 = [callback or optional question]</t>
  </si>
  <si>
    <t>if assistance_quality = 1-8, go to callback or assistance_provider</t>
  </si>
  <si>
    <t>assistance_provider</t>
  </si>
  <si>
    <t>assistance_provider
1) assistance_fao
2) assistance_wfp
3) assistance_otherun
4) assistance_gov
5) assistance_ngo
6) assistance_dk
7) assistance_ref</t>
  </si>
  <si>
    <t>Who provided your household with this assistance?
[OPERATOR: MULTIPLE RESPONSE.]
1)FAO
2)WFP
3)Other UN agencies
4)Government
5)Non-governmental/local organization
6)DON'T KNOW
7)REFUSED</t>
  </si>
  <si>
    <t>Form Type - Checklist
6,7 = IsNone</t>
  </si>
  <si>
    <t>1-7 = callback</t>
  </si>
  <si>
    <t>1)assistance_fao
2)assistance_wfp
3)assistance_otherun
4)assistance_gov
5)assistance_ngo
6)assistance_dk
7)assistance_ref</t>
  </si>
  <si>
    <t xml:space="preserve">if assistance_provider = 1-7, go to callback </t>
  </si>
  <si>
    <t>I. CLOSING</t>
  </si>
  <si>
    <t>callback</t>
  </si>
  <si>
    <t>Your answers will help us to understand and respond to your community needs. May we call you back again in a few months?
[OPERATOR: SINGLE RESPONSE.]
1)YES
2)NO</t>
  </si>
  <si>
    <t>1 = leader_contact
2 = language2</t>
  </si>
  <si>
    <t>if callback = 1, go to leader_contact
if 2, go to language2</t>
  </si>
  <si>
    <t>leader_contact</t>
  </si>
  <si>
    <t>Can you provide me with the contact information of a leader in your community?
[OPERATOR: SINGLE RESPONSE.]
1)YES 
2)NO
3)DON'T KNOW
4)REFUSED</t>
  </si>
  <si>
    <t>1 = leader_type
2-4 = future_int_day</t>
  </si>
  <si>
    <t>if leader_contact = 1, go to leader_type;
if leader_contact = 2-4, go to future_int_day</t>
  </si>
  <si>
    <t>no - panel</t>
  </si>
  <si>
    <t>leader_type</t>
  </si>
  <si>
    <t>What type of community leader can you provide information for?
[OPERATOR: SINGLE RESPONSE.]
1)Village / town administrator
2)Agricultural extension officer
3)Health extension officer
4)Teacher
5)Other [specify]
6)DON'T KNOW
7)REFUSED</t>
  </si>
  <si>
    <t>1-7 = phone_number_leader</t>
  </si>
  <si>
    <t>if leader_type = 1-7, go to phone_number_leader</t>
  </si>
  <si>
    <t>phone_number_leader</t>
  </si>
  <si>
    <t>What is the leader's phone number?
[OPERATOR: RECORD THE NUMBER GIVEN]</t>
  </si>
  <si>
    <t>Any Response = leader_name</t>
  </si>
  <si>
    <t>For any response, go to leader_name</t>
  </si>
  <si>
    <t>leader_name</t>
  </si>
  <si>
    <t>What is the leader's name?
[OPERATOR: RECORD THE NAME OF THE CONTACT FOR THE PHONE NUMBER.]</t>
  </si>
  <si>
    <t>Any Response = future_int_day</t>
  </si>
  <si>
    <t>For any response, go to future_int_day</t>
  </si>
  <si>
    <t>future_int_day</t>
  </si>
  <si>
    <t>future_int_day_
1) future_int_day_mon
2) future_int_day_tues
3) future_int_day_wed
4) future_int_day_thurs
5) future_int_day_fri
6) future_int_day_sat
7) future_int_day_sun</t>
  </si>
  <si>
    <t>For future interviews, in which day[s] can I call you?
[OPERATOR: MULTIPLE ANSWERS POSSIBLE.]
1)Monday
2)Tuesday
3)Wednesday
4)Thursday
5)Friday
6)Saturday
7)Sunday</t>
  </si>
  <si>
    <t>1-7 = future_int_time</t>
  </si>
  <si>
    <t>if l_future_int_day = 1-7, go to future_int_time</t>
  </si>
  <si>
    <t>future_int_time</t>
  </si>
  <si>
    <t>future_int_time_ 
1) future_int_time_morn
2) future_int_time_aft
3) future_int_time_eve</t>
  </si>
  <si>
    <t>For future interviews, at what time[s] can I call you?
[OPERATOR: MULTIPLE ANSWERS POSSIBLE.]
1)Mornings
2)Afternoons
3)Evenings</t>
  </si>
  <si>
    <t>1-3 = language2</t>
  </si>
  <si>
    <t>if future_int_time = 1-3, go to language2</t>
  </si>
  <si>
    <t>language2</t>
  </si>
  <si>
    <t>Select the language that was mostly used to complete the interview.
[OPERATOR: SINGLE RESPONSE.]
1)English
2)other languages [consistent with resp_language]</t>
  </si>
  <si>
    <t>1-2 = closeout</t>
  </si>
  <si>
    <t>closeout</t>
  </si>
  <si>
    <t>Thank you for your time. The interview has come to an end. You will receive your #TOPUP# airtime credit on this phone within the next 2 days.</t>
  </si>
  <si>
    <t xml:space="preserve">AVERAGE ESTIMATED DURATION </t>
  </si>
  <si>
    <t>AVERAGE ESTIMATED DURATION (without fisheries section)</t>
  </si>
  <si>
    <t>AVERAGE ESTIMATED DURATION (without fisheries section or panel)</t>
  </si>
  <si>
    <t>question</t>
  </si>
  <si>
    <t>duration</t>
  </si>
  <si>
    <t>responded %</t>
  </si>
  <si>
    <t>weighted time</t>
  </si>
  <si>
    <t>agree</t>
  </si>
  <si>
    <t>hh_milieu</t>
  </si>
  <si>
    <t>hh_wealthwall</t>
  </si>
  <si>
    <t>hh_reprwomen</t>
  </si>
  <si>
    <t>income_third_amount</t>
  </si>
  <si>
    <t>income_third_amount_conf</t>
  </si>
  <si>
    <t>covid_policy</t>
  </si>
  <si>
    <t>wagecompar</t>
  </si>
  <si>
    <t>crp_landsize</t>
  </si>
  <si>
    <t>crp_landsmall</t>
  </si>
  <si>
    <t>crp_landmedium</t>
  </si>
  <si>
    <t>crp_irrigation</t>
  </si>
  <si>
    <t>crp_proddif_1</t>
  </si>
  <si>
    <t>crp_salesdif_1</t>
  </si>
  <si>
    <t>mrk_inno</t>
  </si>
  <si>
    <t>crp_proc</t>
  </si>
  <si>
    <t>crp_proc_mach</t>
  </si>
  <si>
    <t>crp_proc_owner</t>
  </si>
  <si>
    <t>crp_proc_state</t>
  </si>
  <si>
    <t>ls_food_supply</t>
  </si>
  <si>
    <t>ls_proddif_1</t>
  </si>
  <si>
    <t>ls_salesdif_1</t>
  </si>
  <si>
    <t>ls_proc_1</t>
  </si>
  <si>
    <t>ls_proc_2</t>
  </si>
  <si>
    <t>ls_proc_fac</t>
  </si>
  <si>
    <t>ls_proc_fac_statedairyprocess</t>
  </si>
  <si>
    <t>ls_proc_fac_statecoldtranspor</t>
  </si>
  <si>
    <t>ls_proc_fac_statedontknow</t>
  </si>
  <si>
    <t>cg</t>
  </si>
  <si>
    <t>ls_proc_fac_statepurchasepriv</t>
  </si>
  <si>
    <t>fish_proddif_1</t>
  </si>
  <si>
    <t>fish_salesdif_1</t>
  </si>
  <si>
    <t>fies</t>
  </si>
  <si>
    <t>copingstrategies</t>
  </si>
  <si>
    <t>cs_stress_hh_assets</t>
  </si>
  <si>
    <t>cs_crisis_sold_productive_asset</t>
  </si>
  <si>
    <t>cs_crisis_reduced_health_exp</t>
  </si>
  <si>
    <t>cs_crisis_consumed_seed_stocks</t>
  </si>
  <si>
    <t>cs_emergency_sold_house</t>
  </si>
  <si>
    <t>cs_emergency_sold_till</t>
  </si>
  <si>
    <t>cs_emergency_hh_migration</t>
  </si>
  <si>
    <t>food_exp</t>
  </si>
  <si>
    <t>mdds_w</t>
  </si>
  <si>
    <t>mdds_w1</t>
  </si>
  <si>
    <t>mdds_w2</t>
  </si>
  <si>
    <t>mdds_w3</t>
  </si>
  <si>
    <t>mdds_w4</t>
  </si>
  <si>
    <t>mdds_w5</t>
  </si>
  <si>
    <t>mdds_w6</t>
  </si>
  <si>
    <t>mdds_w7</t>
  </si>
  <si>
    <t>mdds_w8</t>
  </si>
  <si>
    <t>mdds_w9</t>
  </si>
  <si>
    <t>mdds_w10</t>
  </si>
  <si>
    <t>mdds_w11</t>
  </si>
  <si>
    <t>need_1</t>
  </si>
  <si>
    <t>info_needs</t>
  </si>
  <si>
    <t>info_needstype</t>
  </si>
  <si>
    <t>info_needsmedium</t>
  </si>
  <si>
    <t>cs_stress_eat_elsewhere</t>
  </si>
  <si>
    <t>cs_crisis_decr_agric_input_exp</t>
  </si>
  <si>
    <t>covid_assistance</t>
  </si>
  <si>
    <t>what_covid_assistance</t>
  </si>
  <si>
    <t>ruralurban</t>
  </si>
  <si>
    <t>formal_informal</t>
  </si>
  <si>
    <t>hhsize04</t>
  </si>
  <si>
    <t>hhdisability</t>
  </si>
  <si>
    <t>hhincearners</t>
  </si>
  <si>
    <t>incomechangereduced</t>
  </si>
  <si>
    <t>hhexptotal30d</t>
  </si>
  <si>
    <t>expensefood30d</t>
  </si>
  <si>
    <t>cropdifficultyunrest</t>
  </si>
  <si>
    <t>cropsalesdifficultyunrest</t>
  </si>
  <si>
    <t>lsdifficultyunrest</t>
  </si>
  <si>
    <t>ls_salesdifficultyunrest</t>
  </si>
  <si>
    <t>cs_crisis_no_school</t>
  </si>
  <si>
    <t>cs_emergency_sold_last_drought</t>
  </si>
  <si>
    <t>cs_emergency_hh_risk</t>
  </si>
  <si>
    <t>wheremigration</t>
  </si>
  <si>
    <t>meals</t>
  </si>
  <si>
    <t>fcsstap</t>
  </si>
  <si>
    <t>fcspulse</t>
  </si>
  <si>
    <t>fcsdairy</t>
  </si>
  <si>
    <t>fcspr</t>
  </si>
  <si>
    <t>fcsveg</t>
  </si>
  <si>
    <t>fcsfruit</t>
  </si>
  <si>
    <t>fcsfat</t>
  </si>
  <si>
    <t>fcssugar</t>
  </si>
  <si>
    <t>accessmarket</t>
  </si>
  <si>
    <t>sourcewater</t>
  </si>
  <si>
    <t>othersourcewater</t>
  </si>
  <si>
    <t>adm1_name</t>
  </si>
  <si>
    <t>adm2_name</t>
  </si>
  <si>
    <t>covid</t>
  </si>
  <si>
    <t>crp_landright</t>
  </si>
  <si>
    <t>crp_seed</t>
  </si>
  <si>
    <t>crp_saledif_2</t>
  </si>
  <si>
    <t>ls_proc</t>
  </si>
  <si>
    <t>ls_proc_fac_state</t>
  </si>
  <si>
    <t>cs_spentsavings</t>
  </si>
  <si>
    <t>cs_borrowmoney</t>
  </si>
  <si>
    <t>cs_purchasedfoodcredit</t>
  </si>
  <si>
    <t>cs_soldhhassetsgoods</t>
  </si>
  <si>
    <t>cs_soldprodassets</t>
  </si>
  <si>
    <t>cs_eatplantingseeds</t>
  </si>
  <si>
    <t>cs_withdrewchild</t>
  </si>
  <si>
    <t>cs_soldlandhouse</t>
  </si>
  <si>
    <t>cs_begging</t>
  </si>
  <si>
    <t>cs_soldfemanimals</t>
  </si>
  <si>
    <t>cs_stress_borrowed_or_helped</t>
  </si>
  <si>
    <t>reasonsmigration</t>
  </si>
  <si>
    <t>need_received_agent</t>
  </si>
  <si>
    <t>crp_area_change_covid19</t>
  </si>
  <si>
    <t>ls_proddif_2_covid19</t>
  </si>
  <si>
    <t xml:space="preserve">Select top 10 crops </t>
  </si>
  <si>
    <t>GeoPoll code</t>
  </si>
  <si>
    <t>Dataset code</t>
  </si>
  <si>
    <t>Label (EN)</t>
  </si>
  <si>
    <t>x</t>
  </si>
  <si>
    <t>1.1</t>
  </si>
  <si>
    <t>Rice</t>
  </si>
  <si>
    <t>1.2</t>
  </si>
  <si>
    <t>Wheat</t>
  </si>
  <si>
    <t>1.3</t>
  </si>
  <si>
    <t>Millet</t>
  </si>
  <si>
    <t>1.4</t>
  </si>
  <si>
    <t>Sorghum</t>
  </si>
  <si>
    <t>1.5</t>
  </si>
  <si>
    <t>Maize</t>
  </si>
  <si>
    <t>1.6</t>
  </si>
  <si>
    <t>Barley</t>
  </si>
  <si>
    <t>1.99</t>
  </si>
  <si>
    <t>Other Cereal</t>
  </si>
  <si>
    <t>2.1</t>
  </si>
  <si>
    <t>Cassava</t>
  </si>
  <si>
    <t>2.2</t>
  </si>
  <si>
    <t>Potatoe</t>
  </si>
  <si>
    <t>2.3</t>
  </si>
  <si>
    <t>Sweet Potatoes</t>
  </si>
  <si>
    <t>2.4</t>
  </si>
  <si>
    <t>Yams</t>
  </si>
  <si>
    <t>2.5</t>
  </si>
  <si>
    <t>Carrots</t>
  </si>
  <si>
    <t>2.6</t>
  </si>
  <si>
    <t>Cocoyam</t>
  </si>
  <si>
    <t>2.99</t>
  </si>
  <si>
    <t>Other tubers</t>
  </si>
  <si>
    <t>3.1</t>
  </si>
  <si>
    <t>Beans</t>
  </si>
  <si>
    <t>3.2</t>
  </si>
  <si>
    <t>Lentils</t>
  </si>
  <si>
    <t>3.3</t>
  </si>
  <si>
    <t>Peas</t>
  </si>
  <si>
    <t>3.4</t>
  </si>
  <si>
    <t>Soybeans</t>
  </si>
  <si>
    <t>3.5</t>
  </si>
  <si>
    <t>Chickpeas</t>
  </si>
  <si>
    <t>3.6</t>
  </si>
  <si>
    <t>Fava beans</t>
  </si>
  <si>
    <t>3.7</t>
  </si>
  <si>
    <t>Broad beans</t>
  </si>
  <si>
    <t>3.99</t>
  </si>
  <si>
    <t>Other pulses</t>
  </si>
  <si>
    <t>4.1</t>
  </si>
  <si>
    <t>Cabbage</t>
  </si>
  <si>
    <t>4.2</t>
  </si>
  <si>
    <t>Lettuce</t>
  </si>
  <si>
    <t>4.3</t>
  </si>
  <si>
    <t>Spinach-Amaranth</t>
  </si>
  <si>
    <t>4.4</t>
  </si>
  <si>
    <t>Cassava leaves</t>
  </si>
  <si>
    <t>4.5</t>
  </si>
  <si>
    <t>Potatoe leaves</t>
  </si>
  <si>
    <t>4.6</t>
  </si>
  <si>
    <t>Moringa</t>
  </si>
  <si>
    <t>4.7</t>
  </si>
  <si>
    <t>Sorrel Hibiscus / Rosselle</t>
  </si>
  <si>
    <t>4.9</t>
  </si>
  <si>
    <t>Green salad herbs [thyme, parsley, mint, rocca, other]</t>
  </si>
  <si>
    <t>4.101</t>
  </si>
  <si>
    <t>Cauliflower</t>
  </si>
  <si>
    <t>4.99</t>
  </si>
  <si>
    <t>Other leafy vegetables</t>
  </si>
  <si>
    <t>5.1</t>
  </si>
  <si>
    <t>Tomatoes</t>
  </si>
  <si>
    <t>5.2</t>
  </si>
  <si>
    <t>Cucumber</t>
  </si>
  <si>
    <t>5.3</t>
  </si>
  <si>
    <t>Pumpkin</t>
  </si>
  <si>
    <t>5.4</t>
  </si>
  <si>
    <t>Eggplant/aubergine</t>
  </si>
  <si>
    <t>5.5</t>
  </si>
  <si>
    <t>Zucchini</t>
  </si>
  <si>
    <t>5.6</t>
  </si>
  <si>
    <t>Okra</t>
  </si>
  <si>
    <t>5.7</t>
  </si>
  <si>
    <t>Bell pepper</t>
  </si>
  <si>
    <t>5.8</t>
  </si>
  <si>
    <t>Onions</t>
  </si>
  <si>
    <t>5.9</t>
  </si>
  <si>
    <t>Haricot</t>
  </si>
  <si>
    <t>5.101</t>
  </si>
  <si>
    <t>Green peas</t>
  </si>
  <si>
    <t>5.11</t>
  </si>
  <si>
    <t>Fava beans green</t>
  </si>
  <si>
    <t>5.99</t>
  </si>
  <si>
    <t>Other non leafy vegs</t>
  </si>
  <si>
    <t>6.1</t>
  </si>
  <si>
    <t>Orange</t>
  </si>
  <si>
    <t>6.2</t>
  </si>
  <si>
    <t>Lemon</t>
  </si>
  <si>
    <t>6.3</t>
  </si>
  <si>
    <t>Grapefruit</t>
  </si>
  <si>
    <t>6.4</t>
  </si>
  <si>
    <t>Mandarins/clementines</t>
  </si>
  <si>
    <t>6.99</t>
  </si>
  <si>
    <t>Other citrus fruit</t>
  </si>
  <si>
    <t>7.1</t>
  </si>
  <si>
    <t>Sweet Banana</t>
  </si>
  <si>
    <t>7.2</t>
  </si>
  <si>
    <t>Plantains</t>
  </si>
  <si>
    <t>7.3</t>
  </si>
  <si>
    <t>Papaya</t>
  </si>
  <si>
    <t>7.4</t>
  </si>
  <si>
    <t>Mango</t>
  </si>
  <si>
    <t>7.5</t>
  </si>
  <si>
    <t>Guava</t>
  </si>
  <si>
    <t>7.6</t>
  </si>
  <si>
    <t>Pineapple</t>
  </si>
  <si>
    <t>7.7</t>
  </si>
  <si>
    <t>Avocado</t>
  </si>
  <si>
    <t>7.8</t>
  </si>
  <si>
    <t>Water Melon</t>
  </si>
  <si>
    <t>7.9</t>
  </si>
  <si>
    <t>Dates</t>
  </si>
  <si>
    <t>7.101</t>
  </si>
  <si>
    <t>Figs</t>
  </si>
  <si>
    <t>7.11</t>
  </si>
  <si>
    <t>Grapes</t>
  </si>
  <si>
    <t>7.12</t>
  </si>
  <si>
    <t>Olives</t>
  </si>
  <si>
    <t>7.13</t>
  </si>
  <si>
    <t>Apple</t>
  </si>
  <si>
    <t>7.14</t>
  </si>
  <si>
    <t>Apricot</t>
  </si>
  <si>
    <t>7.15</t>
  </si>
  <si>
    <t>Cherries</t>
  </si>
  <si>
    <t>7.16</t>
  </si>
  <si>
    <t>Peach/nectarine</t>
  </si>
  <si>
    <t>7.17</t>
  </si>
  <si>
    <t>Strawberries</t>
  </si>
  <si>
    <t>7.18</t>
  </si>
  <si>
    <t>Melon [Cantaloupe]</t>
  </si>
  <si>
    <t>7.99</t>
  </si>
  <si>
    <t>Other fruit</t>
  </si>
  <si>
    <t>8.1</t>
  </si>
  <si>
    <t>Coconuts</t>
  </si>
  <si>
    <t>8.2</t>
  </si>
  <si>
    <t>Groundnut/peanut</t>
  </si>
  <si>
    <t>8.3</t>
  </si>
  <si>
    <t>Cashew Nut</t>
  </si>
  <si>
    <t>8.4</t>
  </si>
  <si>
    <t>Kola Nut</t>
  </si>
  <si>
    <t>8.5</t>
  </si>
  <si>
    <t>Sesame</t>
  </si>
  <si>
    <t>8.6</t>
  </si>
  <si>
    <t>Bambara nut</t>
  </si>
  <si>
    <t>8.7</t>
  </si>
  <si>
    <t>Almond</t>
  </si>
  <si>
    <t>8.8</t>
  </si>
  <si>
    <t>Walnut</t>
  </si>
  <si>
    <t>8.99</t>
  </si>
  <si>
    <t>Other nuts</t>
  </si>
  <si>
    <t>9.1</t>
  </si>
  <si>
    <t>Cocoa</t>
  </si>
  <si>
    <t>9.2</t>
  </si>
  <si>
    <t>Coffee</t>
  </si>
  <si>
    <t>9.3</t>
  </si>
  <si>
    <t>Tea</t>
  </si>
  <si>
    <t>9.4</t>
  </si>
  <si>
    <t>Sugarcane</t>
  </si>
  <si>
    <t>9.5</t>
  </si>
  <si>
    <t>Sunflower</t>
  </si>
  <si>
    <t>9.99</t>
  </si>
  <si>
    <t>Other food cash crop</t>
  </si>
  <si>
    <t>10.1</t>
  </si>
  <si>
    <t>Cotton</t>
  </si>
  <si>
    <t>10.2</t>
  </si>
  <si>
    <t>Rubber</t>
  </si>
  <si>
    <t>10.3</t>
  </si>
  <si>
    <t>Jute</t>
  </si>
  <si>
    <t>10.4</t>
  </si>
  <si>
    <t>Fodder</t>
  </si>
  <si>
    <t>10.5</t>
  </si>
  <si>
    <t>Tobacco</t>
  </si>
  <si>
    <t>10.6</t>
  </si>
  <si>
    <t>Qat</t>
  </si>
  <si>
    <t>10.99</t>
  </si>
  <si>
    <t>Other non-food cash crop</t>
  </si>
  <si>
    <t>Original</t>
  </si>
  <si>
    <t>Replacement</t>
  </si>
  <si>
    <t>Comment</t>
  </si>
  <si>
    <t>Examples</t>
  </si>
  <si>
    <t>FOR CORE QUESTIONS    .
(Mandatory to fill out)    .</t>
  </si>
  <si>
    <t>ADMIN1</t>
  </si>
  <si>
    <t>Region</t>
  </si>
  <si>
    <t>The first subdivision of the country, after national level; region; province; governorate; etc.</t>
  </si>
  <si>
    <t>region</t>
  </si>
  <si>
    <t>ADMIN2</t>
  </si>
  <si>
    <t>District</t>
  </si>
  <si>
    <t>The second subdivision of the country; district; municipality; LGA; etc.</t>
  </si>
  <si>
    <t>district</t>
  </si>
  <si>
    <t>reference year</t>
  </si>
  <si>
    <t>a normal year</t>
  </si>
  <si>
    <t xml:space="preserve">Comparison questions will need need a reference year. Select whether you want to use "last year" or "a normal year" as a baseline. A "normal year" should refers to an average year from the past 5 years - make sure to train the enumerators accordingly. </t>
  </si>
  <si>
    <t>season</t>
  </si>
  <si>
    <t>rain season</t>
  </si>
  <si>
    <t>Name the crop season(s) of interest if there are several cropping seasons in the country (e.g. Meher and Belg in Ethiopia, rainy season / flood-recession cropping / irrigated dry season in the Sahel). You can refer to the “last season” or “ongoing season".</t>
  </si>
  <si>
    <t>wet season</t>
  </si>
  <si>
    <t>season phase</t>
  </si>
  <si>
    <t>Planting</t>
  </si>
  <si>
    <t>Indicate the phase of the season at the time of data collection. If the harvest from the season has not yet occurred, the question on crop harvest (crp_harv_change) will include the word “expected” (where #expected or nothing# is located). If the harvest has occured, "expected" will not be inserted in the question.</t>
  </si>
  <si>
    <t>Harvesting</t>
  </si>
  <si>
    <t>local measurement unit</t>
  </si>
  <si>
    <t>acres</t>
  </si>
  <si>
    <t xml:space="preserve">Specify the local measurement unit for land size, other than acres, hectares, square meters and square feet. If no other unit of measurement is needed, keep this cell blank. </t>
  </si>
  <si>
    <t>Jeribs</t>
  </si>
  <si>
    <t>local measurement unit conversion</t>
  </si>
  <si>
    <t xml:space="preserve">Include the conversion of the local measurement unit to hectares. In other words, how many local measurement units are in 1 ha. </t>
  </si>
  <si>
    <t>FOR OPTIONAL QUESTIONS    .
(Fill out if applicable)    .</t>
  </si>
  <si>
    <t>currency</t>
  </si>
  <si>
    <t>Leones</t>
  </si>
  <si>
    <t xml:space="preserve">The name of the main currency used nationally; USD; Naira; Rial; Pesos; etc. </t>
  </si>
  <si>
    <t>Naira</t>
  </si>
  <si>
    <t>MIN AMOUNT</t>
  </si>
  <si>
    <t>The minimum amount for an income source should be set at 0 or any value below which it is not possible to do a transaction. For example, the smallest coin/banknote in a currency can be 1000, in which case you would set the minimum at 1000. Provide this input in the same currency as specified above. Only digits should be inputted.</t>
  </si>
  <si>
    <t>MAX AMOUNT</t>
  </si>
  <si>
    <t>Set the maximum amount for an income source over 3 months. Enumerators will not be able to input values above this amount in questions related to income amounts. Using previous representative surveys for this population, you can estimate this amount by using the mean income plus five (5) standard deviations, unless the country has high inflation. In the latter case, set the maximum value based on your country context (higher than the proposed approach). Provide this input in the same currency as specified above. Only digits should be inputted.</t>
  </si>
  <si>
    <t>THRESHOLD</t>
  </si>
  <si>
    <t>The threshold salary should be calculated to flag outliers (responses that look suspiciously high). Using previous representative surveys for this population, a good estimate is the average plus three (3) standard deviations, which should give the threshold for the 3 or 4% highest income values. Provide this input in the same currency as specified above. Only digits should be inputted.</t>
  </si>
  <si>
    <t>local vegetables</t>
  </si>
  <si>
    <t>Okra, cucumber, Tomatoes, egg plants, cabage, carrot, ball peper , onions, cassava leaves, potato leaves</t>
  </si>
  <si>
    <t>Input some common local vegetables [to be used as examples in the food consumption score indicator].</t>
  </si>
  <si>
    <t>eggplants, zucchini, cauliflower</t>
  </si>
  <si>
    <t>local fruits</t>
  </si>
  <si>
    <t>Banana, plantain, Papaya, Orange, Grape fruit,Mango, Pineapple, Watermelon</t>
  </si>
  <si>
    <t>Input some common local fruits [to be used as examples in the food consumption score indicator].</t>
  </si>
  <si>
    <t>apples, bananas, oranges</t>
  </si>
  <si>
    <t>FILL OUT FOR QUESTIONNAIRE DURATION ESTIMATION    .</t>
  </si>
  <si>
    <t>Expected percentage of respondents cultivating crops</t>
  </si>
  <si>
    <t>If the survey is representative and has no quotas, write the proportion of rural households cultivating crops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per strata of 110 with a quota of 100 crop producers, then it's 100/110 = 91% (the maximum you should write is 100%).</t>
  </si>
  <si>
    <t>Expected percentage of respondents raising livestock</t>
  </si>
  <si>
    <t>If the survey is representative and has no quotas, write the proportion of rural households raising livestock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of 110 but a quota of 100 livestock producers, then it's 100/110 = 91% (the maximum you should write is 100%)</t>
  </si>
  <si>
    <t>Expected percentage of respondents involved in fishery</t>
  </si>
  <si>
    <t>If the survey is representative and has no quotas, write the proportion of rural households involved in fisheries or aquaculture, otherwise if you are using quotas, calculate the ratio of the quota over the sample size at the level where the quota is implemented. (so if you haven't set a quota, and you expect to have a representative proportion of fishermen, just write the percentage of fishermen in the population you are targeting, in the example to the right, 5%)</t>
  </si>
  <si>
    <t>adm2_name_local</t>
  </si>
  <si>
    <t>adm2_pcode</t>
  </si>
  <si>
    <t>adm1_pcode</t>
  </si>
  <si>
    <t>adm0_name</t>
  </si>
  <si>
    <t>adm0_ISO3</t>
  </si>
  <si>
    <t>Pujehun</t>
  </si>
  <si>
    <t xml:space="preserve"> </t>
  </si>
  <si>
    <t>SL0304</t>
  </si>
  <si>
    <t>Southern</t>
  </si>
  <si>
    <t>SL03</t>
  </si>
  <si>
    <t>Sierra Leone</t>
  </si>
  <si>
    <t>SLE</t>
  </si>
  <si>
    <t>Bonthe</t>
  </si>
  <si>
    <t>SL0302</t>
  </si>
  <si>
    <t>Bo</t>
  </si>
  <si>
    <t>SL0301</t>
  </si>
  <si>
    <t>Kailahun</t>
  </si>
  <si>
    <t>SL0101</t>
  </si>
  <si>
    <t>Eastern</t>
  </si>
  <si>
    <t>SL01</t>
  </si>
  <si>
    <t>Moyamba</t>
  </si>
  <si>
    <t>SL0303</t>
  </si>
  <si>
    <t>Kenema</t>
  </si>
  <si>
    <t>SL0102</t>
  </si>
  <si>
    <t>Tonkolili</t>
  </si>
  <si>
    <t>SL0205</t>
  </si>
  <si>
    <t>Northern</t>
  </si>
  <si>
    <t>SL02</t>
  </si>
  <si>
    <t>Kono</t>
  </si>
  <si>
    <t>SL0103</t>
  </si>
  <si>
    <t>Western Area Rural</t>
  </si>
  <si>
    <t>SL0401</t>
  </si>
  <si>
    <t>Western</t>
  </si>
  <si>
    <t>SL04</t>
  </si>
  <si>
    <t>Western Area Urban</t>
  </si>
  <si>
    <t>SL0402</t>
  </si>
  <si>
    <t>Falaba</t>
  </si>
  <si>
    <t>SL0206</t>
  </si>
  <si>
    <t>Bombali</t>
  </si>
  <si>
    <t>SL0201</t>
  </si>
  <si>
    <t>Koinadugu</t>
  </si>
  <si>
    <t>SL0203</t>
  </si>
  <si>
    <t>Port Loko</t>
  </si>
  <si>
    <t>SL0501</t>
  </si>
  <si>
    <t>North Western</t>
  </si>
  <si>
    <t>SL05</t>
  </si>
  <si>
    <t>Kambia</t>
  </si>
  <si>
    <t>SL0502</t>
  </si>
  <si>
    <t>Karene</t>
  </si>
  <si>
    <t>SL0503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</si>
</sst>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45" x14ac:knownFonts="1">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1"/>
      <color theme="1"/>
      <name val="Calibri"/>
      <family val="2"/>
      <scheme val="minor"/>
    </font>
    <font>
      <sz val="12"/>
      <color theme="1"/>
      <name val="Calibri"/>
      <family val="2"/>
      <scheme val="minor"/>
    </font>
    <font>
      <sz val="10"/>
      <color rgb="FF000000"/>
      <name val="Arial"/>
      <family val="2"/>
    </font>
    <font>
      <sz val="11"/>
      <name val="Calibri"/>
      <family val="2"/>
      <scheme val="minor"/>
    </font>
    <font>
      <sz val="12"/>
      <name val="Calibri"/>
      <family val="2"/>
      <scheme val="minor"/>
    </font>
    <font>
      <b/>
      <sz val="12"/>
      <color theme="0"/>
      <name val="Calibri"/>
      <family val="2"/>
      <scheme val="minor"/>
    </font>
    <font>
      <b/>
      <sz val="12"/>
      <name val="Calibri"/>
      <family val="2"/>
      <scheme val="minor"/>
    </font>
    <font>
      <sz val="12"/>
      <color rgb="FFFF0000"/>
      <name val="Calibri"/>
      <family val="2"/>
      <scheme val="minor"/>
    </font>
    <font>
      <sz val="12"/>
      <color theme="4"/>
      <name val="Calibri"/>
      <family val="2"/>
      <scheme val="minor"/>
    </font>
    <font>
      <i/>
      <sz val="12"/>
      <name val="Calibri"/>
      <family val="2"/>
      <scheme val="minor"/>
    </font>
    <font>
      <b/>
      <sz val="12"/>
      <color theme="4"/>
      <name val="Calibri"/>
      <family val="2"/>
      <scheme val="minor"/>
    </font>
    <font>
      <b/>
      <i/>
      <sz val="12"/>
      <name val="Calibri"/>
      <family val="2"/>
      <scheme val="minor"/>
    </font>
    <font>
      <b/>
      <sz val="12"/>
      <color rgb="FF7030A0"/>
      <name val="Calibri"/>
      <family val="2"/>
      <scheme val="minor"/>
    </font>
    <font>
      <b/>
      <sz val="11"/>
      <color rgb="FF000000"/>
      <name val="Calibri"/>
      <family val="2"/>
    </font>
    <font>
      <sz val="11"/>
      <color rgb="FF000000"/>
      <name val="Calibri"/>
      <family val="2"/>
    </font>
    <font>
      <sz val="11"/>
      <name val="Calibri"/>
      <family val="2"/>
    </font>
    <font>
      <i/>
      <sz val="11"/>
      <color rgb="FF000000"/>
      <name val="Calibri"/>
      <family val="2"/>
    </font>
    <font>
      <i/>
      <sz val="11"/>
      <name val="Calibri"/>
      <family val="2"/>
    </font>
    <font>
      <sz val="10"/>
      <name val="Calibri"/>
      <family val="2"/>
      <scheme val="minor"/>
    </font>
    <font>
      <b/>
      <sz val="11"/>
      <name val="Calibri"/>
      <family val="2"/>
    </font>
    <font>
      <b/>
      <sz val="11"/>
      <name val="Calibri"/>
      <family val="2"/>
      <scheme val="minor"/>
    </font>
    <font>
      <b/>
      <sz val="12"/>
      <color theme="1"/>
      <name val="Calibri"/>
      <family val="2"/>
      <scheme val="minor"/>
    </font>
    <font>
      <sz val="12"/>
      <color rgb="FF000000"/>
      <name val="Calibri"/>
      <family val="2"/>
      <scheme val="minor"/>
    </font>
    <font>
      <b/>
      <i/>
      <sz val="12"/>
      <color theme="1"/>
      <name val="Calibri"/>
      <family val="2"/>
      <scheme val="minor"/>
    </font>
    <font>
      <sz val="10.5"/>
      <name val="Calibri"/>
      <family val="2"/>
      <scheme val="minor"/>
    </font>
    <font>
      <sz val="12"/>
      <color rgb="FF00B050"/>
      <name val="Calibri"/>
      <family val="2"/>
      <scheme val="minor"/>
    </font>
    <font>
      <b/>
      <sz val="12"/>
      <color theme="9" tint="-0.499984740745262"/>
      <name val="Calibri"/>
      <family val="2"/>
      <scheme val="minor"/>
    </font>
    <font>
      <sz val="12"/>
      <color theme="9" tint="-0.499984740745262"/>
      <name val="Calibri"/>
      <family val="2"/>
      <scheme val="minor"/>
    </font>
    <font>
      <sz val="12"/>
      <color theme="4"/>
      <name val="Calibri (Body)"/>
    </font>
    <font>
      <sz val="12"/>
      <color theme="9" tint="-0.499984740745262"/>
      <name val="Calibri (Body)"/>
    </font>
    <font>
      <b/>
      <sz val="12"/>
      <color theme="9" tint="-0.499984740745262"/>
      <name val="Calibri (Body)"/>
    </font>
    <font>
      <sz val="11"/>
      <color theme="9" tint="-0.499984740745262"/>
      <name val="Calibri (Body)"/>
    </font>
    <font>
      <sz val="10"/>
      <color theme="4"/>
      <name val="Calibri"/>
      <family val="2"/>
      <scheme val="minor"/>
    </font>
    <font>
      <sz val="12"/>
      <name val="Calibri (Body)"/>
    </font>
    <font>
      <sz val="12"/>
      <color rgb="FFFF0000"/>
      <name val="Calibri (Body)"/>
    </font>
    <font>
      <sz val="12"/>
      <name val="Calibri"/>
      <family val="2"/>
    </font>
    <font>
      <b/>
      <sz val="12"/>
      <color theme="4"/>
      <name val="Calibri (Body)"/>
    </font>
    <font>
      <sz val="11"/>
      <name val="Calibri (Body)"/>
    </font>
    <font>
      <b/>
      <sz val="12"/>
      <name val="Calibri (Body)"/>
    </font>
    <font>
      <b/>
      <sz val="10"/>
      <color theme="4"/>
      <name val="Calibri"/>
      <family val="2"/>
      <scheme val="minor"/>
    </font>
    <font>
      <b/>
      <sz val="11"/>
      <name val="Calibri"/>
      <family val="2"/>
    </font>
  </fonts>
  <fills count="13">
    <fill>
      <patternFill patternType="none"/>
    </fill>
    <fill>
      <patternFill patternType="gray125"/>
    </fill>
    <fill>
      <patternFill patternType="solid">
        <fgColor theme="1"/>
        <bgColor indexed="64"/>
      </patternFill>
    </fill>
    <fill>
      <patternFill patternType="solid">
        <fgColor rgb="FF4398B6"/>
        <bgColor indexed="64"/>
      </patternFill>
    </fill>
    <fill>
      <patternFill patternType="solid">
        <fgColor theme="0"/>
        <bgColor indexed="64"/>
      </patternFill>
    </fill>
    <fill>
      <patternFill patternType="solid">
        <fgColor theme="4" tint="0.79998168889431442"/>
        <bgColor indexed="64"/>
      </patternFill>
    </fill>
    <fill>
      <patternFill patternType="solid">
        <fgColor theme="0" tint="-0.14999847407452621"/>
        <bgColor indexed="64"/>
      </patternFill>
    </fill>
    <fill>
      <patternFill patternType="solid">
        <fgColor rgb="FFA5A5A5"/>
      </patternFill>
    </fill>
    <fill>
      <patternFill patternType="solid">
        <fgColor rgb="FFF6DFDC"/>
        <bgColor indexed="64"/>
      </patternFill>
    </fill>
    <fill>
      <patternFill patternType="solid">
        <fgColor rgb="FFF6DFDC"/>
        <bgColor rgb="FF000000"/>
      </patternFill>
    </fill>
    <fill>
      <patternFill patternType="solid">
        <fgColor theme="0" tint="-4.9989318521683403E-2"/>
        <bgColor indexed="64"/>
      </patternFill>
    </fill>
    <fill>
      <patternFill patternType="solid">
        <fgColor theme="5" tint="0.79998168889431442"/>
        <bgColor indexed="64"/>
      </patternFill>
    </fill>
    <fill>
      <patternFill patternType="solid">
        <fgColor rgb="FFFFFF00"/>
        <bgColor indexed="64"/>
      </patternFill>
    </fill>
  </fills>
  <borders count="70">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style="medium">
        <color indexed="64"/>
      </top>
      <bottom style="medium">
        <color indexed="64"/>
      </bottom>
      <diagonal/>
    </border>
    <border>
      <left style="medium">
        <color indexed="64"/>
      </left>
      <right style="thin">
        <color auto="1"/>
      </right>
      <top style="medium">
        <color indexed="64"/>
      </top>
      <bottom style="medium">
        <color indexed="64"/>
      </bottom>
      <diagonal/>
    </border>
    <border>
      <left style="medium">
        <color indexed="64"/>
      </left>
      <right style="thin">
        <color auto="1"/>
      </right>
      <top style="thin">
        <color auto="1"/>
      </top>
      <bottom/>
      <diagonal/>
    </border>
    <border>
      <left style="medium">
        <color indexed="64"/>
      </left>
      <right style="thin">
        <color auto="1"/>
      </right>
      <top/>
      <bottom style="thin">
        <color auto="1"/>
      </bottom>
      <diagonal/>
    </border>
    <border>
      <left style="medium">
        <color indexed="64"/>
      </left>
      <right style="thin">
        <color auto="1"/>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medium">
        <color indexed="64"/>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bottom/>
      <diagonal/>
    </border>
    <border>
      <left style="thin">
        <color auto="1"/>
      </left>
      <right/>
      <top style="thin">
        <color auto="1"/>
      </top>
      <bottom style="thin">
        <color auto="1"/>
      </bottom>
      <diagonal/>
    </border>
    <border>
      <left style="thin">
        <color auto="1"/>
      </left>
      <right/>
      <top style="thin">
        <color auto="1"/>
      </top>
      <bottom/>
      <diagonal/>
    </border>
    <border>
      <left style="thin">
        <color auto="1"/>
      </left>
      <right/>
      <top style="medium">
        <color indexed="64"/>
      </top>
      <bottom style="medium">
        <color indexed="64"/>
      </bottom>
      <diagonal/>
    </border>
    <border>
      <left style="thin">
        <color auto="1"/>
      </left>
      <right/>
      <top/>
      <bottom style="thin">
        <color auto="1"/>
      </bottom>
      <diagonal/>
    </border>
    <border>
      <left style="thin">
        <color auto="1"/>
      </left>
      <right/>
      <top style="thin">
        <color auto="1"/>
      </top>
      <bottom style="medium">
        <color indexed="64"/>
      </bottom>
      <diagonal/>
    </border>
    <border>
      <left style="medium">
        <color indexed="64"/>
      </left>
      <right style="thin">
        <color auto="1"/>
      </right>
      <top/>
      <bottom/>
      <diagonal/>
    </border>
    <border>
      <left style="thin">
        <color auto="1"/>
      </left>
      <right/>
      <top/>
      <bottom/>
      <diagonal/>
    </border>
    <border>
      <left style="double">
        <color rgb="FF3F3F3F"/>
      </left>
      <right style="double">
        <color rgb="FF3F3F3F"/>
      </right>
      <top style="double">
        <color rgb="FF3F3F3F"/>
      </top>
      <bottom style="double">
        <color rgb="FF3F3F3F"/>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style="medium">
        <color indexed="64"/>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thin">
        <color auto="1"/>
      </top>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style="thin">
        <color auto="1"/>
      </top>
      <bottom style="medium">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auto="1"/>
      </left>
      <right style="thin">
        <color theme="1"/>
      </right>
      <top style="medium">
        <color indexed="64"/>
      </top>
      <bottom style="medium">
        <color indexed="64"/>
      </bottom>
      <diagonal/>
    </border>
    <border>
      <left/>
      <right style="medium">
        <color indexed="64"/>
      </right>
      <top style="thin">
        <color auto="1"/>
      </top>
      <bottom style="thin">
        <color auto="1"/>
      </bottom>
      <diagonal/>
    </border>
    <border>
      <left style="thin">
        <color auto="1"/>
      </left>
      <right style="thin">
        <color theme="1"/>
      </right>
      <top style="thin">
        <color auto="1"/>
      </top>
      <bottom style="thin">
        <color auto="1"/>
      </bottom>
      <diagonal/>
    </border>
    <border>
      <left/>
      <right style="medium">
        <color indexed="64"/>
      </right>
      <top style="thin">
        <color auto="1"/>
      </top>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thin">
        <color theme="1"/>
      </right>
      <top style="medium">
        <color indexed="64"/>
      </top>
      <bottom style="thin">
        <color auto="1"/>
      </bottom>
      <diagonal/>
    </border>
    <border>
      <left/>
      <right style="medium">
        <color indexed="64"/>
      </right>
      <top style="medium">
        <color indexed="64"/>
      </top>
      <bottom style="thin">
        <color auto="1"/>
      </bottom>
      <diagonal/>
    </border>
    <border>
      <left/>
      <right style="medium">
        <color indexed="64"/>
      </right>
      <top style="thin">
        <color auto="1"/>
      </top>
      <bottom style="medium">
        <color indexed="64"/>
      </bottom>
      <diagonal/>
    </border>
    <border>
      <left/>
      <right style="medium">
        <color indexed="64"/>
      </right>
      <top/>
      <bottom/>
      <diagonal/>
    </border>
    <border>
      <left style="thin">
        <color theme="1"/>
      </left>
      <right style="thin">
        <color theme="1"/>
      </right>
      <top style="thin">
        <color theme="1"/>
      </top>
      <bottom style="thin">
        <color theme="1"/>
      </bottom>
      <diagonal/>
    </border>
    <border>
      <left style="medium">
        <color indexed="64"/>
      </left>
      <right style="medium">
        <color indexed="64"/>
      </right>
      <top/>
      <bottom style="thin">
        <color auto="1"/>
      </bottom>
      <diagonal/>
    </border>
    <border>
      <left style="thin">
        <color rgb="FF000000"/>
      </left>
      <right style="thin">
        <color rgb="FF000000"/>
      </right>
      <top style="thin">
        <color rgb="FF000000"/>
      </top>
      <bottom/>
      <diagonal/>
    </border>
    <border>
      <left/>
      <right style="medium">
        <color indexed="64"/>
      </right>
      <top/>
      <bottom style="medium">
        <color indexed="64"/>
      </bottom>
      <diagonal/>
    </border>
    <border>
      <left style="thin">
        <color theme="1"/>
      </left>
      <right style="thin">
        <color auto="1"/>
      </right>
      <top style="thin">
        <color auto="1"/>
      </top>
      <bottom style="thin">
        <color indexed="64"/>
      </bottom>
      <diagonal/>
    </border>
    <border>
      <left style="thin">
        <color auto="1"/>
      </left>
      <right style="thin">
        <color theme="1"/>
      </right>
      <top style="thin">
        <color auto="1"/>
      </top>
      <bottom style="medium">
        <color indexed="64"/>
      </bottom>
      <diagonal/>
    </border>
    <border>
      <left style="thin">
        <color theme="0"/>
      </left>
      <right/>
      <top style="thin">
        <color theme="0"/>
      </top>
      <bottom/>
      <diagonal/>
    </border>
    <border>
      <left style="medium">
        <color indexed="64"/>
      </left>
      <right style="thin">
        <color auto="1"/>
      </right>
      <top/>
      <bottom style="medium">
        <color indexed="64"/>
      </bottom>
      <diagonal/>
    </border>
    <border>
      <left style="thin">
        <color auto="1"/>
      </left>
      <right style="thin">
        <color theme="1"/>
      </right>
      <top/>
      <bottom style="medium">
        <color indexed="64"/>
      </bottom>
      <diagonal/>
    </border>
    <border>
      <left style="thin">
        <color auto="1"/>
      </left>
      <right style="thin">
        <color theme="1"/>
      </right>
      <top/>
      <bottom style="thin">
        <color auto="1"/>
      </bottom>
      <diagonal/>
    </border>
    <border>
      <left/>
      <right style="medium">
        <color indexed="64"/>
      </right>
      <top/>
      <bottom style="thin">
        <color auto="1"/>
      </bottom>
      <diagonal/>
    </border>
    <border>
      <left style="thin">
        <color auto="1"/>
      </left>
      <right/>
      <top style="medium">
        <color indexed="64"/>
      </top>
      <bottom style="thin">
        <color indexed="64"/>
      </bottom>
      <diagonal/>
    </border>
    <border>
      <left/>
      <right/>
      <top/>
      <bottom style="thin">
        <color indexed="64"/>
      </bottom>
      <diagonal/>
    </border>
    <border>
      <left style="medium">
        <color indexed="64"/>
      </left>
      <right/>
      <top style="thin">
        <color auto="1"/>
      </top>
      <bottom style="thin">
        <color auto="1"/>
      </bottom>
      <diagonal/>
    </border>
    <border>
      <left/>
      <right/>
      <top style="thin">
        <color auto="1"/>
      </top>
      <bottom style="thin">
        <color auto="1"/>
      </bottom>
      <diagonal/>
    </border>
    <border>
      <left style="thin">
        <color theme="1"/>
      </left>
      <right style="thin">
        <color theme="1"/>
      </right>
      <top/>
      <bottom style="thin">
        <color theme="1"/>
      </bottom>
      <diagonal/>
    </border>
    <border>
      <left style="thin">
        <color auto="1"/>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style="thin">
        <color auto="1"/>
      </left>
      <right style="medium">
        <color indexed="64"/>
      </right>
      <top style="thin">
        <color auto="1"/>
      </top>
      <bottom style="thin">
        <color indexed="64"/>
      </bottom>
      <diagonal/>
    </border>
    <border>
      <left style="thin">
        <color auto="1"/>
      </left>
      <right style="thin">
        <color auto="1"/>
      </right>
      <top style="thin">
        <color auto="1"/>
      </top>
      <bottom style="thin">
        <color auto="1"/>
      </bottom>
      <diagonal/>
    </border>
  </borders>
  <cellStyleXfs count="16">
    <xf numFmtId="0" fontId="0" fillId="0" borderId="0"/>
    <xf numFmtId="0" fontId="5" fillId="0" borderId="0"/>
    <xf numFmtId="0" fontId="6" fillId="0" borderId="0"/>
    <xf numFmtId="0" fontId="4" fillId="0" borderId="0"/>
    <xf numFmtId="0" fontId="5" fillId="0" borderId="0"/>
    <xf numFmtId="0" fontId="4" fillId="0" borderId="0"/>
    <xf numFmtId="0" fontId="4" fillId="0" borderId="0"/>
    <xf numFmtId="0" fontId="9" fillId="7" borderId="21"/>
    <xf numFmtId="0" fontId="5" fillId="0" borderId="0"/>
    <xf numFmtId="0" fontId="5" fillId="0" borderId="0"/>
    <xf numFmtId="0" fontId="5" fillId="0" borderId="0"/>
    <xf numFmtId="9" fontId="4" fillId="0" borderId="0"/>
    <xf numFmtId="0" fontId="5" fillId="0" borderId="0"/>
    <xf numFmtId="0" fontId="5" fillId="0" borderId="0"/>
    <xf numFmtId="0" fontId="5" fillId="0" borderId="0"/>
    <xf numFmtId="0" fontId="5" fillId="0" borderId="0"/>
  </cellStyleXfs>
  <cellXfs count="514">
    <xf numFmtId="0" fontId="0" fillId="0" borderId="0" xfId="0"/>
    <xf numFmtId="0" fontId="0" fillId="0" borderId="22" xfId="0" applyBorder="1"/>
    <xf numFmtId="0" fontId="7" fillId="0" borderId="22" xfId="0" applyFont="1" applyBorder="1" applyAlignment="1">
      <alignment horizontal="center" vertical="center"/>
    </xf>
    <xf numFmtId="0" fontId="0" fillId="0" borderId="23" xfId="0" applyBorder="1"/>
    <xf numFmtId="0" fontId="7" fillId="0" borderId="25" xfId="0" applyFont="1" applyBorder="1" applyAlignment="1">
      <alignment horizontal="center" vertical="center"/>
    </xf>
    <xf numFmtId="0" fontId="0" fillId="0" borderId="25" xfId="0" applyBorder="1"/>
    <xf numFmtId="0" fontId="7" fillId="0" borderId="26" xfId="0" applyFont="1" applyBorder="1" applyAlignment="1">
      <alignment horizontal="center" vertical="center"/>
    </xf>
    <xf numFmtId="0" fontId="0" fillId="0" borderId="26" xfId="0" applyBorder="1"/>
    <xf numFmtId="0" fontId="7" fillId="0" borderId="1" xfId="0" applyFont="1" applyBorder="1"/>
    <xf numFmtId="0" fontId="8" fillId="0" borderId="35" xfId="3" applyFont="1" applyBorder="1" applyAlignment="1" applyProtection="1">
      <alignment horizontal="left" vertical="center" wrapText="1"/>
      <protection locked="0"/>
    </xf>
    <xf numFmtId="0" fontId="8" fillId="0" borderId="36" xfId="3" applyFont="1" applyBorder="1" applyAlignment="1" applyProtection="1">
      <alignment horizontal="left" vertical="center" wrapText="1"/>
      <protection locked="0"/>
    </xf>
    <xf numFmtId="0" fontId="8" fillId="0" borderId="36" xfId="5" applyFont="1" applyBorder="1" applyAlignment="1" applyProtection="1">
      <alignment horizontal="left" vertical="center" wrapText="1"/>
      <protection locked="0"/>
    </xf>
    <xf numFmtId="0" fontId="13" fillId="8" borderId="36" xfId="3" applyFont="1" applyFill="1" applyBorder="1" applyAlignment="1" applyProtection="1">
      <alignment horizontal="left" vertical="center" wrapText="1"/>
      <protection locked="0"/>
    </xf>
    <xf numFmtId="0" fontId="8" fillId="0" borderId="37" xfId="3" applyFont="1" applyBorder="1" applyAlignment="1" applyProtection="1">
      <alignment horizontal="left" vertical="center" wrapText="1"/>
      <protection locked="0"/>
    </xf>
    <xf numFmtId="0" fontId="8" fillId="0" borderId="34" xfId="3" applyFont="1" applyBorder="1" applyAlignment="1" applyProtection="1">
      <alignment horizontal="left" vertical="center" wrapText="1"/>
      <protection locked="0"/>
    </xf>
    <xf numFmtId="0" fontId="8" fillId="9" borderId="17" xfId="0" applyFont="1" applyFill="1" applyBorder="1" applyAlignment="1" applyProtection="1">
      <alignment horizontal="left" vertical="center" wrapText="1"/>
      <protection locked="0"/>
    </xf>
    <xf numFmtId="0" fontId="8" fillId="6" borderId="6" xfId="2" applyFont="1" applyFill="1" applyBorder="1" applyAlignment="1" applyProtection="1">
      <alignment horizontal="center" vertical="center"/>
      <protection locked="0"/>
    </xf>
    <xf numFmtId="0" fontId="8" fillId="8" borderId="14" xfId="0" applyFont="1" applyFill="1" applyBorder="1" applyAlignment="1" applyProtection="1">
      <alignment horizontal="left" vertical="center" wrapText="1"/>
      <protection locked="0"/>
    </xf>
    <xf numFmtId="0" fontId="8" fillId="8" borderId="17" xfId="3" applyFont="1" applyFill="1" applyBorder="1" applyAlignment="1" applyProtection="1">
      <alignment horizontal="left" vertical="center" wrapText="1"/>
      <protection locked="0"/>
    </xf>
    <xf numFmtId="0" fontId="8" fillId="0" borderId="8" xfId="2" applyFont="1" applyBorder="1" applyAlignment="1" applyProtection="1">
      <alignment horizontal="center" vertical="center"/>
      <protection locked="0"/>
    </xf>
    <xf numFmtId="0" fontId="8" fillId="0" borderId="1" xfId="0" applyFont="1" applyBorder="1" applyAlignment="1" applyProtection="1">
      <alignment horizontal="left" vertical="center" wrapText="1"/>
      <protection locked="0"/>
    </xf>
    <xf numFmtId="0" fontId="8" fillId="0" borderId="1" xfId="2" applyFont="1" applyBorder="1" applyAlignment="1" applyProtection="1">
      <alignment horizontal="center" vertical="center" wrapText="1"/>
      <protection locked="0"/>
    </xf>
    <xf numFmtId="0" fontId="8" fillId="0" borderId="1" xfId="0" applyFont="1" applyBorder="1" applyAlignment="1" applyProtection="1">
      <alignment horizontal="center" vertical="center" wrapText="1"/>
      <protection locked="0"/>
    </xf>
    <xf numFmtId="0" fontId="24" fillId="0" borderId="1" xfId="0" applyFont="1" applyBorder="1"/>
    <xf numFmtId="0" fontId="10" fillId="11" borderId="1" xfId="7" applyFont="1" applyFill="1" applyBorder="1" applyAlignment="1" applyProtection="1">
      <alignment horizontal="center" vertical="center"/>
      <protection locked="0"/>
    </xf>
    <xf numFmtId="0" fontId="8" fillId="0" borderId="50" xfId="3" applyFont="1" applyBorder="1" applyAlignment="1" applyProtection="1">
      <alignment horizontal="left" vertical="center" wrapText="1"/>
      <protection locked="0"/>
    </xf>
    <xf numFmtId="0" fontId="22" fillId="9" borderId="17" xfId="0" applyFont="1" applyFill="1" applyBorder="1" applyAlignment="1" applyProtection="1">
      <alignment horizontal="left" vertical="center" wrapText="1"/>
      <protection locked="0"/>
    </xf>
    <xf numFmtId="0" fontId="8" fillId="0" borderId="14" xfId="2" applyFont="1" applyBorder="1" applyAlignment="1" applyProtection="1">
      <alignment horizontal="left" vertical="center" wrapText="1"/>
      <protection locked="0"/>
    </xf>
    <xf numFmtId="0" fontId="8" fillId="8" borderId="14" xfId="3" applyFont="1" applyFill="1" applyBorder="1" applyAlignment="1" applyProtection="1">
      <alignment horizontal="left" vertical="center" wrapText="1"/>
      <protection locked="0"/>
    </xf>
    <xf numFmtId="1" fontId="0" fillId="0" borderId="0" xfId="0" applyNumberFormat="1"/>
    <xf numFmtId="9" fontId="0" fillId="0" borderId="0" xfId="11" applyFont="1"/>
    <xf numFmtId="0" fontId="8" fillId="8" borderId="14" xfId="3" applyFont="1" applyFill="1" applyBorder="1" applyAlignment="1" applyProtection="1">
      <alignment vertical="center" wrapText="1"/>
      <protection locked="0"/>
    </xf>
    <xf numFmtId="0" fontId="8" fillId="0" borderId="50" xfId="3" applyFont="1" applyBorder="1" applyAlignment="1" applyProtection="1">
      <alignment horizontal="left" vertical="center"/>
      <protection locked="0"/>
    </xf>
    <xf numFmtId="0" fontId="4" fillId="8" borderId="53" xfId="2" applyFont="1" applyFill="1" applyBorder="1" applyAlignment="1" applyProtection="1">
      <alignment horizontal="left" vertical="center" wrapText="1"/>
      <protection locked="0"/>
    </xf>
    <xf numFmtId="0" fontId="29" fillId="4" borderId="36" xfId="3" applyFont="1" applyFill="1" applyBorder="1" applyAlignment="1" applyProtection="1">
      <alignment horizontal="left" vertical="center" wrapText="1"/>
      <protection locked="0"/>
    </xf>
    <xf numFmtId="0" fontId="8" fillId="0" borderId="29" xfId="3" applyFont="1" applyBorder="1" applyAlignment="1" applyProtection="1">
      <alignment horizontal="left" vertical="center" wrapText="1"/>
      <protection locked="0"/>
    </xf>
    <xf numFmtId="0" fontId="29" fillId="4" borderId="7" xfId="2" applyFont="1" applyFill="1" applyBorder="1" applyAlignment="1" applyProtection="1">
      <alignment horizontal="center" vertical="center"/>
      <protection locked="0"/>
    </xf>
    <xf numFmtId="0" fontId="31" fillId="4" borderId="3" xfId="2" applyFont="1" applyFill="1" applyBorder="1" applyAlignment="1" applyProtection="1">
      <alignment horizontal="center" vertical="center" wrapText="1"/>
      <protection locked="0"/>
    </xf>
    <xf numFmtId="0" fontId="31" fillId="4" borderId="3" xfId="3" applyFont="1" applyFill="1" applyBorder="1" applyAlignment="1" applyProtection="1">
      <alignment horizontal="center" vertical="center" wrapText="1"/>
      <protection locked="0"/>
    </xf>
    <xf numFmtId="0" fontId="31" fillId="4" borderId="17" xfId="3" applyFont="1" applyFill="1" applyBorder="1" applyAlignment="1" applyProtection="1">
      <alignment horizontal="left" vertical="center" wrapText="1"/>
      <protection locked="0"/>
    </xf>
    <xf numFmtId="49" fontId="31" fillId="4" borderId="61" xfId="0" applyNumberFormat="1" applyFont="1" applyFill="1" applyBorder="1" applyAlignment="1" applyProtection="1">
      <alignment vertical="center" wrapText="1"/>
      <protection locked="0"/>
    </xf>
    <xf numFmtId="0" fontId="31" fillId="4" borderId="3" xfId="3" applyFont="1" applyFill="1" applyBorder="1" applyAlignment="1" applyProtection="1">
      <alignment horizontal="left" vertical="center" wrapText="1"/>
      <protection locked="0"/>
    </xf>
    <xf numFmtId="0" fontId="29" fillId="4" borderId="3" xfId="3" applyFont="1" applyFill="1" applyBorder="1" applyAlignment="1" applyProtection="1">
      <alignment horizontal="left" vertical="center" wrapText="1"/>
      <protection locked="0"/>
    </xf>
    <xf numFmtId="0" fontId="8" fillId="0" borderId="1" xfId="3" applyFont="1" applyBorder="1" applyAlignment="1" applyProtection="1">
      <alignment horizontal="left" vertical="center" wrapText="1"/>
      <protection locked="0"/>
    </xf>
    <xf numFmtId="0" fontId="8" fillId="0" borderId="17" xfId="3" applyFont="1" applyBorder="1" applyAlignment="1" applyProtection="1">
      <alignment horizontal="center" vertical="center" wrapText="1"/>
      <protection locked="0"/>
    </xf>
    <xf numFmtId="0" fontId="8" fillId="0" borderId="14" xfId="3" applyFont="1" applyBorder="1" applyAlignment="1" applyProtection="1">
      <alignment horizontal="center" vertical="center" wrapText="1"/>
      <protection locked="0"/>
    </xf>
    <xf numFmtId="0" fontId="8" fillId="0" borderId="14" xfId="5" applyFont="1" applyBorder="1" applyAlignment="1" applyProtection="1">
      <alignment horizontal="center" vertical="center" wrapText="1"/>
      <protection locked="0"/>
    </xf>
    <xf numFmtId="0" fontId="13" fillId="0" borderId="14" xfId="3" applyFont="1" applyBorder="1" applyAlignment="1" applyProtection="1">
      <alignment horizontal="left" vertical="center" wrapText="1"/>
      <protection locked="0"/>
    </xf>
    <xf numFmtId="0" fontId="8" fillId="0" borderId="14" xfId="3" applyFont="1" applyBorder="1" applyAlignment="1" applyProtection="1">
      <alignment horizontal="left" vertical="center" wrapText="1"/>
      <protection locked="0"/>
    </xf>
    <xf numFmtId="0" fontId="8" fillId="0" borderId="15" xfId="3" applyFont="1" applyBorder="1" applyAlignment="1" applyProtection="1">
      <alignment horizontal="center" vertical="center" wrapText="1"/>
      <protection locked="0"/>
    </xf>
    <xf numFmtId="0" fontId="8" fillId="0" borderId="17" xfId="3" applyFont="1" applyBorder="1" applyAlignment="1" applyProtection="1">
      <alignment horizontal="left" vertical="center" wrapText="1"/>
      <protection locked="0"/>
    </xf>
    <xf numFmtId="0" fontId="8" fillId="0" borderId="20" xfId="3" applyFont="1" applyBorder="1" applyAlignment="1" applyProtection="1">
      <alignment horizontal="left" vertical="center" wrapText="1"/>
      <protection locked="0"/>
    </xf>
    <xf numFmtId="0" fontId="8" fillId="0" borderId="2" xfId="3" applyFont="1" applyBorder="1" applyAlignment="1" applyProtection="1">
      <alignment horizontal="left" vertical="center" wrapText="1"/>
      <protection locked="0"/>
    </xf>
    <xf numFmtId="0" fontId="8" fillId="8" borderId="14" xfId="2" applyFont="1" applyFill="1" applyBorder="1" applyAlignment="1" applyProtection="1">
      <alignment horizontal="left" vertical="center" wrapText="1"/>
      <protection locked="0"/>
    </xf>
    <xf numFmtId="0" fontId="8" fillId="0" borderId="17" xfId="2" applyFont="1" applyBorder="1" applyAlignment="1" applyProtection="1">
      <alignment horizontal="left" vertical="center" wrapText="1"/>
      <protection locked="0"/>
    </xf>
    <xf numFmtId="0" fontId="8" fillId="0" borderId="17" xfId="0" applyFont="1" applyBorder="1" applyAlignment="1" applyProtection="1">
      <alignment vertical="center"/>
      <protection locked="0"/>
    </xf>
    <xf numFmtId="0" fontId="8" fillId="0" borderId="44" xfId="3" applyFont="1" applyBorder="1" applyAlignment="1" applyProtection="1">
      <alignment horizontal="left" vertical="center" wrapText="1"/>
      <protection locked="0"/>
    </xf>
    <xf numFmtId="0" fontId="8" fillId="0" borderId="15" xfId="0" applyFont="1" applyBorder="1" applyAlignment="1" applyProtection="1">
      <alignment horizontal="left" vertical="center" wrapText="1"/>
      <protection locked="0"/>
    </xf>
    <xf numFmtId="0" fontId="8" fillId="0" borderId="15" xfId="3" applyFont="1" applyBorder="1" applyAlignment="1" applyProtection="1">
      <alignment horizontal="left" vertical="center" wrapText="1"/>
      <protection locked="0"/>
    </xf>
    <xf numFmtId="0" fontId="8" fillId="0" borderId="14" xfId="0" applyFont="1" applyBorder="1" applyAlignment="1" applyProtection="1">
      <alignment horizontal="left" vertical="center" wrapText="1"/>
      <protection locked="0"/>
    </xf>
    <xf numFmtId="0" fontId="8" fillId="0" borderId="16" xfId="2" applyFont="1" applyBorder="1" applyAlignment="1" applyProtection="1">
      <alignment horizontal="center" vertical="center" wrapText="1"/>
      <protection locked="0"/>
    </xf>
    <xf numFmtId="0" fontId="8" fillId="0" borderId="28" xfId="3" applyFont="1" applyBorder="1" applyAlignment="1" applyProtection="1">
      <alignment horizontal="left" vertical="center" wrapText="1"/>
      <protection locked="0"/>
    </xf>
    <xf numFmtId="0" fontId="8" fillId="0" borderId="7" xfId="2" applyFont="1" applyBorder="1" applyAlignment="1" applyProtection="1">
      <alignment horizontal="center" vertical="center"/>
      <protection locked="0"/>
    </xf>
    <xf numFmtId="0" fontId="8" fillId="0" borderId="3" xfId="0" applyFont="1" applyBorder="1" applyAlignment="1" applyProtection="1">
      <alignment horizontal="center" vertical="center" wrapText="1"/>
      <protection locked="0"/>
    </xf>
    <xf numFmtId="0" fontId="8" fillId="0" borderId="1" xfId="3" applyFont="1" applyBorder="1" applyAlignment="1" applyProtection="1">
      <alignment horizontal="center" vertical="center" wrapText="1"/>
      <protection locked="0"/>
    </xf>
    <xf numFmtId="0" fontId="8" fillId="0" borderId="2" xfId="2" applyFont="1" applyBorder="1" applyAlignment="1" applyProtection="1">
      <alignment horizontal="center" vertical="center"/>
      <protection locked="0"/>
    </xf>
    <xf numFmtId="0" fontId="8" fillId="0" borderId="2" xfId="2" applyFont="1" applyBorder="1" applyAlignment="1" applyProtection="1">
      <alignment horizontal="center" vertical="center" wrapText="1"/>
      <protection locked="0"/>
    </xf>
    <xf numFmtId="0" fontId="8" fillId="0" borderId="2" xfId="3" applyFont="1" applyBorder="1" applyAlignment="1" applyProtection="1">
      <alignment horizontal="center" vertical="center" wrapText="1"/>
      <protection locked="0"/>
    </xf>
    <xf numFmtId="0" fontId="8" fillId="0" borderId="3" xfId="0" applyFont="1" applyBorder="1" applyAlignment="1" applyProtection="1">
      <alignment horizontal="left" vertical="center" wrapText="1"/>
      <protection locked="0"/>
    </xf>
    <xf numFmtId="0" fontId="8" fillId="0" borderId="3" xfId="2" applyFont="1" applyBorder="1" applyAlignment="1" applyProtection="1">
      <alignment horizontal="center" vertical="center" wrapText="1"/>
      <protection locked="0"/>
    </xf>
    <xf numFmtId="0" fontId="10" fillId="0" borderId="3" xfId="0" applyFont="1" applyBorder="1" applyAlignment="1" applyProtection="1">
      <alignment horizontal="center" vertical="center" wrapText="1"/>
      <protection locked="0"/>
    </xf>
    <xf numFmtId="0" fontId="8" fillId="0" borderId="3" xfId="3" applyFont="1" applyBorder="1" applyAlignment="1" applyProtection="1">
      <alignment vertical="center" wrapText="1"/>
      <protection locked="0"/>
    </xf>
    <xf numFmtId="0" fontId="8" fillId="0" borderId="3" xfId="3" applyFont="1" applyBorder="1" applyAlignment="1" applyProtection="1">
      <alignment horizontal="center" vertical="center" wrapText="1"/>
      <protection locked="0"/>
    </xf>
    <xf numFmtId="0" fontId="8" fillId="0" borderId="0" xfId="3" applyFont="1" applyAlignment="1" applyProtection="1">
      <alignment horizontal="center" vertical="center"/>
      <protection locked="0"/>
    </xf>
    <xf numFmtId="0" fontId="8" fillId="0" borderId="1" xfId="3" applyFont="1" applyBorder="1" applyAlignment="1" applyProtection="1">
      <alignment horizontal="center" vertical="center"/>
      <protection locked="0"/>
    </xf>
    <xf numFmtId="0" fontId="8" fillId="0" borderId="6" xfId="2" applyFont="1" applyBorder="1" applyAlignment="1" applyProtection="1">
      <alignment horizontal="center" vertical="center"/>
      <protection locked="0"/>
    </xf>
    <xf numFmtId="0" fontId="8" fillId="0" borderId="2" xfId="0" applyFont="1" applyBorder="1" applyAlignment="1" applyProtection="1">
      <alignment horizontal="center" vertical="center" wrapText="1"/>
      <protection locked="0"/>
    </xf>
    <xf numFmtId="0" fontId="8" fillId="0" borderId="13" xfId="0" applyFont="1" applyBorder="1" applyAlignment="1" applyProtection="1">
      <alignment horizontal="center" vertical="center" wrapText="1"/>
      <protection locked="0"/>
    </xf>
    <xf numFmtId="0" fontId="3" fillId="0" borderId="22" xfId="10" applyFont="1" applyBorder="1"/>
    <xf numFmtId="0" fontId="3" fillId="0" borderId="25" xfId="10" applyFont="1" applyBorder="1"/>
    <xf numFmtId="0" fontId="3" fillId="0" borderId="23" xfId="10" applyFont="1" applyBorder="1"/>
    <xf numFmtId="0" fontId="3" fillId="0" borderId="55" xfId="10" applyFont="1" applyBorder="1"/>
    <xf numFmtId="0" fontId="17" fillId="0" borderId="5" xfId="10" applyFont="1" applyBorder="1" applyAlignment="1">
      <alignment horizontal="center"/>
    </xf>
    <xf numFmtId="0" fontId="17" fillId="0" borderId="4" xfId="10" applyFont="1" applyBorder="1" applyAlignment="1">
      <alignment horizontal="center"/>
    </xf>
    <xf numFmtId="0" fontId="17" fillId="0" borderId="33" xfId="10" applyFont="1" applyBorder="1" applyAlignment="1">
      <alignment horizontal="center"/>
    </xf>
    <xf numFmtId="0" fontId="3" fillId="0" borderId="24" xfId="10" applyFont="1" applyBorder="1"/>
    <xf numFmtId="0" fontId="18" fillId="0" borderId="43" xfId="10" applyFont="1" applyBorder="1" applyAlignment="1">
      <alignment vertical="center"/>
    </xf>
    <xf numFmtId="0" fontId="18" fillId="0" borderId="46" xfId="10" applyFont="1" applyBorder="1" applyAlignment="1">
      <alignment horizontal="center" vertical="center" wrapText="1"/>
    </xf>
    <xf numFmtId="0" fontId="18" fillId="0" borderId="8" xfId="10" applyFont="1" applyBorder="1" applyAlignment="1">
      <alignment vertical="center"/>
    </xf>
    <xf numFmtId="0" fontId="18" fillId="0" borderId="40" xfId="10" applyFont="1" applyBorder="1" applyAlignment="1">
      <alignment horizontal="center" vertical="center" wrapText="1"/>
    </xf>
    <xf numFmtId="0" fontId="19" fillId="0" borderId="40" xfId="10" applyFont="1" applyBorder="1" applyAlignment="1">
      <alignment horizontal="center" vertical="center" wrapText="1"/>
    </xf>
    <xf numFmtId="0" fontId="19" fillId="0" borderId="47" xfId="10" applyFont="1" applyBorder="1" applyAlignment="1">
      <alignment horizontal="center" vertical="center" wrapText="1"/>
    </xf>
    <xf numFmtId="0" fontId="18" fillId="0" borderId="7" xfId="10" applyFont="1" applyBorder="1" applyAlignment="1">
      <alignment vertical="center"/>
    </xf>
    <xf numFmtId="0" fontId="18" fillId="0" borderId="59" xfId="10" applyFont="1" applyBorder="1" applyAlignment="1">
      <alignment horizontal="center" vertical="center" wrapText="1"/>
    </xf>
    <xf numFmtId="0" fontId="20" fillId="0" borderId="8" xfId="10" applyFont="1" applyBorder="1" applyAlignment="1">
      <alignment vertical="center"/>
    </xf>
    <xf numFmtId="0" fontId="20" fillId="0" borderId="9" xfId="10" applyFont="1" applyBorder="1" applyAlignment="1">
      <alignment vertical="center"/>
    </xf>
    <xf numFmtId="0" fontId="3" fillId="0" borderId="28" xfId="10" applyFont="1" applyBorder="1" applyAlignment="1">
      <alignment wrapText="1"/>
    </xf>
    <xf numFmtId="0" fontId="18" fillId="0" borderId="56" xfId="10" applyFont="1" applyBorder="1" applyAlignment="1">
      <alignment vertical="center"/>
    </xf>
    <xf numFmtId="0" fontId="19" fillId="0" borderId="52" xfId="10" applyFont="1" applyBorder="1" applyAlignment="1">
      <alignment horizontal="center" vertical="center" wrapText="1"/>
    </xf>
    <xf numFmtId="0" fontId="20" fillId="0" borderId="7" xfId="10" applyFont="1" applyBorder="1" applyAlignment="1">
      <alignment horizontal="left" vertical="center" wrapText="1"/>
    </xf>
    <xf numFmtId="9" fontId="19" fillId="0" borderId="48" xfId="11" applyFont="1" applyBorder="1" applyAlignment="1">
      <alignment horizontal="center" vertical="center" wrapText="1"/>
    </xf>
    <xf numFmtId="0" fontId="20" fillId="0" borderId="8" xfId="10" applyFont="1" applyBorder="1" applyAlignment="1">
      <alignment horizontal="left" vertical="center" wrapText="1"/>
    </xf>
    <xf numFmtId="9" fontId="19" fillId="0" borderId="42" xfId="11" applyFont="1" applyBorder="1" applyAlignment="1">
      <alignment horizontal="center" vertical="center" wrapText="1"/>
    </xf>
    <xf numFmtId="0" fontId="20" fillId="0" borderId="9" xfId="10" applyFont="1" applyBorder="1" applyAlignment="1">
      <alignment horizontal="left" vertical="center" wrapText="1"/>
    </xf>
    <xf numFmtId="9" fontId="19" fillId="0" borderId="47" xfId="11" applyFont="1" applyBorder="1" applyAlignment="1">
      <alignment horizontal="center" vertical="center" wrapText="1"/>
    </xf>
    <xf numFmtId="0" fontId="3" fillId="0" borderId="26" xfId="10" applyFont="1" applyBorder="1"/>
    <xf numFmtId="0" fontId="3" fillId="0" borderId="25" xfId="10" applyFont="1" applyBorder="1" applyAlignment="1">
      <alignment horizontal="left" vertical="center"/>
    </xf>
    <xf numFmtId="0" fontId="17" fillId="0" borderId="39" xfId="10" applyFont="1" applyBorder="1" applyAlignment="1">
      <alignment horizontal="left" vertical="center"/>
    </xf>
    <xf numFmtId="0" fontId="18" fillId="0" borderId="45" xfId="10" applyFont="1" applyBorder="1" applyAlignment="1">
      <alignment horizontal="left" vertical="center" wrapText="1"/>
    </xf>
    <xf numFmtId="0" fontId="18" fillId="0" borderId="41" xfId="10" applyFont="1" applyBorder="1" applyAlignment="1">
      <alignment horizontal="left" vertical="center" wrapText="1"/>
    </xf>
    <xf numFmtId="0" fontId="19" fillId="0" borderId="41" xfId="10" applyFont="1" applyBorder="1" applyAlignment="1">
      <alignment horizontal="left" vertical="center" wrapText="1"/>
    </xf>
    <xf numFmtId="0" fontId="19" fillId="0" borderId="57" xfId="10" applyFont="1" applyBorder="1" applyAlignment="1">
      <alignment horizontal="left" vertical="center" wrapText="1"/>
    </xf>
    <xf numFmtId="0" fontId="18" fillId="0" borderId="58" xfId="10" applyFont="1" applyBorder="1" applyAlignment="1">
      <alignment horizontal="left" vertical="center" wrapText="1"/>
    </xf>
    <xf numFmtId="0" fontId="19" fillId="0" borderId="54" xfId="10" applyFont="1" applyBorder="1" applyAlignment="1">
      <alignment horizontal="left" vertical="center" wrapText="1"/>
    </xf>
    <xf numFmtId="0" fontId="21" fillId="0" borderId="3" xfId="10" applyFont="1" applyBorder="1" applyAlignment="1">
      <alignment horizontal="left" vertical="center" wrapText="1"/>
    </xf>
    <xf numFmtId="0" fontId="21" fillId="0" borderId="1" xfId="10" applyFont="1" applyBorder="1" applyAlignment="1">
      <alignment horizontal="left" vertical="center" wrapText="1"/>
    </xf>
    <xf numFmtId="0" fontId="21" fillId="0" borderId="10" xfId="10" applyFont="1" applyBorder="1" applyAlignment="1">
      <alignment horizontal="left" vertical="center" wrapText="1"/>
    </xf>
    <xf numFmtId="0" fontId="3" fillId="0" borderId="26" xfId="10" applyFont="1" applyBorder="1" applyAlignment="1">
      <alignment horizontal="left" vertical="center"/>
    </xf>
    <xf numFmtId="0" fontId="3" fillId="0" borderId="22" xfId="10" applyFont="1" applyBorder="1" applyAlignment="1">
      <alignment horizontal="left" vertical="center"/>
    </xf>
    <xf numFmtId="4" fontId="19" fillId="0" borderId="40" xfId="10" applyNumberFormat="1" applyFont="1" applyBorder="1" applyAlignment="1">
      <alignment horizontal="center" vertical="center" wrapText="1"/>
    </xf>
    <xf numFmtId="0" fontId="19" fillId="4" borderId="0" xfId="10" applyFont="1" applyFill="1" applyAlignment="1">
      <alignment wrapText="1"/>
    </xf>
    <xf numFmtId="0" fontId="14" fillId="0" borderId="3" xfId="3" applyFont="1" applyBorder="1" applyAlignment="1" applyProtection="1">
      <alignment vertical="center" wrapText="1"/>
      <protection locked="0"/>
    </xf>
    <xf numFmtId="0" fontId="28" fillId="0" borderId="2" xfId="3" applyFont="1" applyBorder="1" applyAlignment="1" applyProtection="1">
      <alignment horizontal="left" vertical="center" wrapText="1"/>
      <protection locked="0"/>
    </xf>
    <xf numFmtId="0" fontId="8" fillId="0" borderId="20" xfId="3" applyFont="1" applyBorder="1" applyAlignment="1" applyProtection="1">
      <alignment horizontal="center" vertical="center" wrapText="1"/>
      <protection locked="0"/>
    </xf>
    <xf numFmtId="0" fontId="8" fillId="4" borderId="7" xfId="2" applyFont="1" applyFill="1" applyBorder="1" applyAlignment="1" applyProtection="1">
      <alignment horizontal="center" vertical="center"/>
      <protection locked="0"/>
    </xf>
    <xf numFmtId="0" fontId="8" fillId="0" borderId="36" xfId="3" applyFont="1" applyBorder="1" applyAlignment="1" applyProtection="1">
      <alignment horizontal="center" vertical="center" wrapText="1"/>
      <protection locked="0"/>
    </xf>
    <xf numFmtId="0" fontId="8" fillId="0" borderId="0" xfId="3" applyFont="1" applyAlignment="1" applyProtection="1">
      <alignment horizontal="left" vertical="center" wrapText="1"/>
      <protection locked="0"/>
    </xf>
    <xf numFmtId="0" fontId="8" fillId="0" borderId="16" xfId="2" applyFont="1" applyBorder="1" applyAlignment="1">
      <alignment horizontal="center" vertical="center" wrapText="1"/>
    </xf>
    <xf numFmtId="0" fontId="8" fillId="0" borderId="16" xfId="2" applyFont="1" applyBorder="1" applyAlignment="1">
      <alignment horizontal="left" vertical="center" wrapText="1"/>
    </xf>
    <xf numFmtId="0" fontId="8" fillId="0" borderId="4" xfId="2" applyFont="1" applyBorder="1" applyAlignment="1">
      <alignment horizontal="center" vertical="center" wrapText="1"/>
    </xf>
    <xf numFmtId="0" fontId="8" fillId="0" borderId="4" xfId="3" applyFont="1" applyBorder="1" applyAlignment="1">
      <alignment horizontal="left" vertical="center" wrapText="1"/>
    </xf>
    <xf numFmtId="0" fontId="8" fillId="0" borderId="4" xfId="0" applyFont="1" applyBorder="1" applyAlignment="1">
      <alignment horizontal="center" vertical="center" wrapText="1"/>
    </xf>
    <xf numFmtId="0" fontId="8" fillId="0" borderId="2" xfId="2" applyFont="1" applyBorder="1" applyAlignment="1">
      <alignment horizontal="center" vertical="center" wrapText="1"/>
    </xf>
    <xf numFmtId="0" fontId="8" fillId="0" borderId="13" xfId="2" applyFont="1" applyBorder="1" applyAlignment="1">
      <alignment horizontal="center" vertical="center" wrapText="1"/>
    </xf>
    <xf numFmtId="0" fontId="8" fillId="0" borderId="13" xfId="0" applyFont="1" applyBorder="1" applyAlignment="1">
      <alignment horizontal="center" vertical="center" wrapText="1"/>
    </xf>
    <xf numFmtId="0" fontId="29" fillId="0" borderId="0" xfId="3" applyFont="1" applyProtection="1">
      <protection locked="0"/>
    </xf>
    <xf numFmtId="0" fontId="29" fillId="0" borderId="0" xfId="0" applyFont="1" applyProtection="1">
      <protection locked="0"/>
    </xf>
    <xf numFmtId="0" fontId="30" fillId="0" borderId="0" xfId="3" applyFont="1" applyAlignment="1" applyProtection="1">
      <alignment horizontal="center" vertical="center" wrapText="1"/>
      <protection locked="0"/>
    </xf>
    <xf numFmtId="0" fontId="8" fillId="0" borderId="0" xfId="0" applyFont="1" applyAlignment="1" applyProtection="1">
      <alignment horizontal="center" vertical="center"/>
      <protection locked="0"/>
    </xf>
    <xf numFmtId="0" fontId="8" fillId="0" borderId="0" xfId="0" applyFont="1" applyAlignment="1" applyProtection="1">
      <alignment horizontal="center" vertical="center" wrapText="1"/>
      <protection locked="0"/>
    </xf>
    <xf numFmtId="0" fontId="8" fillId="0" borderId="17" xfId="3" applyFont="1" applyBorder="1" applyAlignment="1">
      <alignment horizontal="left" vertical="center" wrapText="1"/>
    </xf>
    <xf numFmtId="0" fontId="8" fillId="0" borderId="3" xfId="2" applyFont="1" applyBorder="1" applyAlignment="1">
      <alignment horizontal="center" vertical="center" wrapText="1"/>
    </xf>
    <xf numFmtId="0" fontId="8" fillId="0" borderId="3" xfId="3" applyFont="1" applyBorder="1" applyAlignment="1">
      <alignment horizontal="left" vertical="center" wrapText="1"/>
    </xf>
    <xf numFmtId="0" fontId="8" fillId="0" borderId="3" xfId="0" applyFont="1" applyBorder="1" applyAlignment="1">
      <alignment horizontal="center" vertical="center" wrapText="1"/>
    </xf>
    <xf numFmtId="0" fontId="8" fillId="0" borderId="0" xfId="3" applyFont="1" applyProtection="1">
      <protection locked="0"/>
    </xf>
    <xf numFmtId="0" fontId="8" fillId="0" borderId="0" xfId="0" applyFont="1" applyProtection="1">
      <protection locked="0"/>
    </xf>
    <xf numFmtId="0" fontId="10" fillId="0" borderId="0" xfId="3" applyFont="1" applyAlignment="1" applyProtection="1">
      <alignment horizontal="center" vertical="center"/>
      <protection locked="0"/>
    </xf>
    <xf numFmtId="0" fontId="8" fillId="0" borderId="17" xfId="0" applyFont="1" applyBorder="1" applyAlignment="1">
      <alignment horizontal="left" vertical="center" wrapText="1"/>
    </xf>
    <xf numFmtId="0" fontId="8" fillId="0" borderId="14" xfId="3" applyFont="1" applyBorder="1" applyAlignment="1">
      <alignment horizontal="left" vertical="center" wrapText="1"/>
    </xf>
    <xf numFmtId="0" fontId="8" fillId="0" borderId="1" xfId="2" applyFont="1" applyBorder="1" applyAlignment="1">
      <alignment horizontal="center" vertical="center" wrapText="1"/>
    </xf>
    <xf numFmtId="0" fontId="8" fillId="0" borderId="1" xfId="0" applyFont="1" applyBorder="1" applyAlignment="1">
      <alignment horizontal="center" vertical="center" wrapText="1"/>
    </xf>
    <xf numFmtId="0" fontId="8" fillId="0" borderId="3" xfId="3" applyFont="1" applyBorder="1" applyAlignment="1">
      <alignment horizontal="center" vertical="center" wrapText="1"/>
    </xf>
    <xf numFmtId="0" fontId="8" fillId="0" borderId="0" xfId="3" applyFont="1" applyAlignment="1" applyProtection="1">
      <alignment vertical="center" wrapText="1"/>
      <protection locked="0"/>
    </xf>
    <xf numFmtId="0" fontId="8" fillId="0" borderId="20" xfId="3" applyFont="1" applyBorder="1" applyAlignment="1">
      <alignment horizontal="left" vertical="center" wrapText="1"/>
    </xf>
    <xf numFmtId="0" fontId="8" fillId="0" borderId="2" xfId="3" applyFont="1" applyBorder="1" applyAlignment="1">
      <alignment horizontal="left" vertical="center" wrapText="1"/>
    </xf>
    <xf numFmtId="0" fontId="8" fillId="0" borderId="1" xfId="3" applyFont="1" applyBorder="1" applyAlignment="1">
      <alignment horizontal="center" vertical="center" wrapText="1"/>
    </xf>
    <xf numFmtId="0" fontId="4" fillId="0" borderId="0" xfId="0" applyFont="1" applyProtection="1">
      <protection locked="0"/>
    </xf>
    <xf numFmtId="0" fontId="8" fillId="0" borderId="14" xfId="0" applyFont="1" applyBorder="1" applyAlignment="1">
      <alignment horizontal="left" vertical="center" wrapText="1"/>
    </xf>
    <xf numFmtId="0" fontId="7" fillId="0" borderId="49" xfId="6" applyFont="1" applyBorder="1" applyAlignment="1">
      <alignment vertical="center" wrapText="1"/>
    </xf>
    <xf numFmtId="0" fontId="7" fillId="0" borderId="49" xfId="3" applyFont="1" applyBorder="1" applyAlignment="1">
      <alignment vertical="center" wrapText="1"/>
    </xf>
    <xf numFmtId="0" fontId="8" fillId="0" borderId="1" xfId="3" applyFont="1" applyBorder="1" applyAlignment="1">
      <alignment vertical="center" wrapText="1"/>
    </xf>
    <xf numFmtId="0" fontId="8" fillId="0" borderId="1" xfId="3" applyFont="1" applyBorder="1" applyAlignment="1">
      <alignment horizontal="left" vertical="center" wrapText="1"/>
    </xf>
    <xf numFmtId="0" fontId="10" fillId="0" borderId="1" xfId="2" applyFont="1" applyBorder="1" applyAlignment="1">
      <alignment horizontal="center" vertical="center" wrapText="1"/>
    </xf>
    <xf numFmtId="0" fontId="8" fillId="0" borderId="17" xfId="2" applyFont="1" applyBorder="1" applyAlignment="1">
      <alignment horizontal="left" vertical="center" wrapText="1"/>
    </xf>
    <xf numFmtId="0" fontId="8" fillId="0" borderId="3" xfId="3" applyFont="1" applyBorder="1" applyAlignment="1">
      <alignment vertical="center" wrapText="1"/>
    </xf>
    <xf numFmtId="0" fontId="8" fillId="0" borderId="14" xfId="0" applyFont="1" applyBorder="1" applyAlignment="1" applyProtection="1">
      <alignment vertical="center"/>
      <protection locked="0"/>
    </xf>
    <xf numFmtId="0" fontId="8" fillId="0" borderId="3" xfId="0" applyFont="1" applyBorder="1" applyAlignment="1" applyProtection="1">
      <alignment horizontal="center" vertical="center"/>
      <protection locked="0"/>
    </xf>
    <xf numFmtId="0" fontId="8" fillId="0" borderId="3" xfId="3" applyFont="1" applyBorder="1" applyAlignment="1" applyProtection="1">
      <alignment horizontal="left" vertical="center" wrapText="1"/>
      <protection locked="0"/>
    </xf>
    <xf numFmtId="0" fontId="10" fillId="0" borderId="3" xfId="0" applyFont="1" applyBorder="1" applyAlignment="1" applyProtection="1">
      <alignment horizontal="center" vertical="center"/>
      <protection locked="0"/>
    </xf>
    <xf numFmtId="0" fontId="8" fillId="0" borderId="17" xfId="0" applyFont="1" applyBorder="1" applyAlignment="1" applyProtection="1">
      <alignment horizontal="left" vertical="center" wrapText="1"/>
      <protection locked="0"/>
    </xf>
    <xf numFmtId="0" fontId="8" fillId="0" borderId="14" xfId="2" applyFont="1" applyBorder="1" applyAlignment="1">
      <alignment horizontal="left" vertical="center" wrapText="1"/>
    </xf>
    <xf numFmtId="0" fontId="8" fillId="0" borderId="1" xfId="3" applyFont="1" applyBorder="1" applyAlignment="1">
      <alignment horizontal="center" vertical="center"/>
    </xf>
    <xf numFmtId="0" fontId="26" fillId="8" borderId="0" xfId="0" applyFont="1" applyFill="1" applyAlignment="1" applyProtection="1">
      <alignment horizontal="left" vertical="center" wrapText="1"/>
      <protection locked="0"/>
    </xf>
    <xf numFmtId="0" fontId="26" fillId="0" borderId="51" xfId="0" applyFont="1" applyBorder="1" applyAlignment="1">
      <alignment horizontal="left" vertical="center" wrapText="1"/>
    </xf>
    <xf numFmtId="0" fontId="8" fillId="0" borderId="1" xfId="2" applyFont="1" applyBorder="1" applyAlignment="1" applyProtection="1">
      <alignment horizontal="left" vertical="center" wrapText="1"/>
      <protection locked="0"/>
    </xf>
    <xf numFmtId="0" fontId="8" fillId="0" borderId="0" xfId="2" applyFont="1" applyAlignment="1" applyProtection="1">
      <alignment horizontal="left" vertical="center" wrapText="1"/>
      <protection locked="0"/>
    </xf>
    <xf numFmtId="0" fontId="8" fillId="0" borderId="1" xfId="3" applyFont="1" applyBorder="1" applyAlignment="1" applyProtection="1">
      <alignment vertical="center" wrapText="1"/>
      <protection locked="0"/>
    </xf>
    <xf numFmtId="0" fontId="8" fillId="0" borderId="1" xfId="14" applyFont="1" applyBorder="1" applyAlignment="1" applyProtection="1">
      <alignment horizontal="center" vertical="center" wrapText="1"/>
      <protection locked="0"/>
    </xf>
    <xf numFmtId="0" fontId="10" fillId="0" borderId="1" xfId="14" applyFont="1" applyBorder="1" applyAlignment="1" applyProtection="1">
      <alignment horizontal="center" vertical="center" wrapText="1"/>
      <protection locked="0"/>
    </xf>
    <xf numFmtId="0" fontId="8" fillId="0" borderId="1" xfId="14" applyFont="1" applyBorder="1" applyAlignment="1">
      <alignment horizontal="center" vertical="center" wrapText="1"/>
    </xf>
    <xf numFmtId="0" fontId="10" fillId="0" borderId="1" xfId="14" applyFont="1" applyBorder="1" applyAlignment="1">
      <alignment horizontal="center" vertical="center" wrapText="1"/>
    </xf>
    <xf numFmtId="0" fontId="4" fillId="0" borderId="53" xfId="2" applyFont="1" applyBorder="1" applyAlignment="1" applyProtection="1">
      <alignment horizontal="left" vertical="center" wrapText="1"/>
      <protection locked="0"/>
    </xf>
    <xf numFmtId="0" fontId="0" fillId="0" borderId="49" xfId="2" applyFont="1" applyBorder="1" applyAlignment="1">
      <alignment horizontal="left" vertical="center" wrapText="1"/>
    </xf>
    <xf numFmtId="0" fontId="13" fillId="0" borderId="50" xfId="3" applyFont="1" applyBorder="1" applyAlignment="1" applyProtection="1">
      <alignment vertical="center" wrapText="1"/>
      <protection locked="0"/>
    </xf>
    <xf numFmtId="0" fontId="8" fillId="0" borderId="61" xfId="0" applyFont="1" applyBorder="1" applyAlignment="1" applyProtection="1">
      <alignment horizontal="left" vertical="center" wrapText="1"/>
      <protection locked="0"/>
    </xf>
    <xf numFmtId="0" fontId="13" fillId="0" borderId="36" xfId="3" applyFont="1" applyBorder="1" applyAlignment="1" applyProtection="1">
      <alignment vertical="center" wrapText="1"/>
      <protection locked="0"/>
    </xf>
    <xf numFmtId="0" fontId="15" fillId="0" borderId="17" xfId="0" applyFont="1" applyBorder="1" applyAlignment="1" applyProtection="1">
      <alignment horizontal="center" vertical="center" wrapText="1"/>
      <protection locked="0"/>
    </xf>
    <xf numFmtId="0" fontId="10" fillId="0" borderId="36" xfId="3" applyFont="1" applyBorder="1" applyAlignment="1" applyProtection="1">
      <alignment horizontal="center" vertical="center" wrapText="1"/>
      <protection locked="0"/>
    </xf>
    <xf numFmtId="0" fontId="10" fillId="0" borderId="3" xfId="0" applyFont="1" applyBorder="1" applyAlignment="1">
      <alignment horizontal="center" vertical="center" wrapText="1"/>
    </xf>
    <xf numFmtId="0" fontId="8" fillId="0" borderId="1" xfId="0" applyFont="1" applyBorder="1" applyAlignment="1">
      <alignment vertical="center" wrapText="1"/>
    </xf>
    <xf numFmtId="0" fontId="8" fillId="0" borderId="3" xfId="2" applyFont="1" applyBorder="1" applyAlignment="1" applyProtection="1">
      <alignment horizontal="center" vertical="center"/>
      <protection locked="0"/>
    </xf>
    <xf numFmtId="0" fontId="8" fillId="0" borderId="1" xfId="0" applyFont="1" applyBorder="1" applyAlignment="1">
      <alignment horizontal="left" vertical="center" wrapText="1"/>
    </xf>
    <xf numFmtId="0" fontId="8" fillId="0" borderId="3" xfId="0" applyFont="1" applyBorder="1" applyAlignment="1">
      <alignment horizontal="left" vertical="center" wrapText="1"/>
    </xf>
    <xf numFmtId="0" fontId="10" fillId="0" borderId="0" xfId="0" applyFont="1" applyAlignment="1" applyProtection="1">
      <alignment horizontal="center" vertical="center"/>
      <protection locked="0"/>
    </xf>
    <xf numFmtId="0" fontId="8" fillId="0" borderId="0" xfId="3" applyFont="1" applyAlignment="1" applyProtection="1">
      <alignment horizontal="left" vertical="center"/>
      <protection locked="0"/>
    </xf>
    <xf numFmtId="0" fontId="13" fillId="0" borderId="17" xfId="3" applyFont="1" applyBorder="1" applyAlignment="1" applyProtection="1">
      <alignment horizontal="left" vertical="center"/>
      <protection locked="0"/>
    </xf>
    <xf numFmtId="0" fontId="13" fillId="0" borderId="17" xfId="3" applyFont="1" applyBorder="1" applyAlignment="1">
      <alignment horizontal="left" vertical="center" wrapText="1"/>
    </xf>
    <xf numFmtId="0" fontId="8" fillId="0" borderId="3" xfId="2" applyFont="1" applyBorder="1" applyAlignment="1">
      <alignment horizontal="center" vertical="center"/>
    </xf>
    <xf numFmtId="0" fontId="8" fillId="0" borderId="3" xfId="0" applyFont="1" applyBorder="1" applyAlignment="1">
      <alignment horizontal="center" vertical="center"/>
    </xf>
    <xf numFmtId="0" fontId="8" fillId="0" borderId="17" xfId="2" applyFont="1" applyBorder="1" applyAlignment="1" applyProtection="1">
      <alignment horizontal="left" vertical="center"/>
      <protection locked="0"/>
    </xf>
    <xf numFmtId="0" fontId="8" fillId="0" borderId="17" xfId="2" applyFont="1" applyBorder="1" applyAlignment="1">
      <alignment horizontal="left" vertical="center"/>
    </xf>
    <xf numFmtId="0" fontId="8" fillId="0" borderId="1" xfId="2" applyFont="1" applyBorder="1" applyAlignment="1">
      <alignment horizontal="center" vertical="center"/>
    </xf>
    <xf numFmtId="0" fontId="8" fillId="0" borderId="3" xfId="2" applyFont="1" applyBorder="1" applyAlignment="1">
      <alignment horizontal="left" vertical="center" wrapText="1"/>
    </xf>
    <xf numFmtId="0" fontId="10" fillId="0" borderId="3" xfId="2" applyFont="1" applyBorder="1" applyAlignment="1">
      <alignment horizontal="center" vertical="center"/>
    </xf>
    <xf numFmtId="0" fontId="8" fillId="0" borderId="14" xfId="3" applyFont="1" applyBorder="1" applyAlignment="1">
      <alignment horizontal="center" vertical="center" wrapText="1"/>
    </xf>
    <xf numFmtId="0" fontId="8" fillId="0" borderId="18" xfId="3" applyFont="1" applyBorder="1" applyAlignment="1">
      <alignment horizontal="left" vertical="center" wrapText="1"/>
    </xf>
    <xf numFmtId="0" fontId="8" fillId="0" borderId="10" xfId="2" applyFont="1" applyBorder="1" applyAlignment="1">
      <alignment horizontal="center" vertical="center" wrapText="1"/>
    </xf>
    <xf numFmtId="0" fontId="8" fillId="0" borderId="10" xfId="3" applyFont="1" applyBorder="1" applyAlignment="1">
      <alignment horizontal="center" vertical="center" wrapText="1"/>
    </xf>
    <xf numFmtId="0" fontId="8" fillId="0" borderId="10" xfId="3" applyFont="1" applyBorder="1" applyAlignment="1">
      <alignment horizontal="left" vertical="center" wrapText="1"/>
    </xf>
    <xf numFmtId="0" fontId="8" fillId="0" borderId="12" xfId="0" applyFont="1" applyBorder="1" applyAlignment="1">
      <alignment horizontal="center" vertical="center" wrapText="1"/>
    </xf>
    <xf numFmtId="0" fontId="10" fillId="0" borderId="10" xfId="14" applyFont="1" applyBorder="1" applyAlignment="1">
      <alignment horizontal="center" vertical="center" wrapText="1"/>
    </xf>
    <xf numFmtId="0" fontId="13" fillId="0" borderId="14" xfId="3" applyFont="1" applyBorder="1" applyAlignment="1">
      <alignment horizontal="left" vertical="center" wrapText="1"/>
    </xf>
    <xf numFmtId="0" fontId="8" fillId="0" borderId="14" xfId="5" applyFont="1" applyBorder="1" applyAlignment="1">
      <alignment horizontal="center" vertical="center" wrapText="1"/>
    </xf>
    <xf numFmtId="0" fontId="8" fillId="0" borderId="14" xfId="5" applyFont="1" applyBorder="1" applyAlignment="1">
      <alignment horizontal="left" vertical="center" wrapText="1"/>
    </xf>
    <xf numFmtId="0" fontId="8" fillId="0" borderId="1" xfId="5" applyFont="1" applyBorder="1" applyAlignment="1">
      <alignment horizontal="left" vertical="center" wrapText="1"/>
    </xf>
    <xf numFmtId="0" fontId="8" fillId="0" borderId="17" xfId="3" applyFont="1" applyBorder="1" applyAlignment="1">
      <alignment horizontal="center" vertical="center" wrapText="1"/>
    </xf>
    <xf numFmtId="0" fontId="10" fillId="3" borderId="15" xfId="2" applyFont="1" applyFill="1" applyBorder="1" applyAlignment="1">
      <alignment horizontal="center" vertical="center" wrapText="1"/>
    </xf>
    <xf numFmtId="0" fontId="10" fillId="0" borderId="15" xfId="2" applyFont="1" applyBorder="1" applyAlignment="1">
      <alignment horizontal="center" vertical="center" wrapText="1"/>
    </xf>
    <xf numFmtId="0" fontId="10" fillId="0" borderId="2" xfId="2" applyFont="1" applyBorder="1" applyAlignment="1">
      <alignment horizontal="center" vertical="center" wrapText="1"/>
    </xf>
    <xf numFmtId="0" fontId="10" fillId="4" borderId="2" xfId="2" applyFont="1" applyFill="1" applyBorder="1" applyAlignment="1">
      <alignment horizontal="center" vertical="center" wrapText="1"/>
    </xf>
    <xf numFmtId="0" fontId="10" fillId="3" borderId="2" xfId="2" applyFont="1" applyFill="1" applyBorder="1" applyAlignment="1">
      <alignment horizontal="center" vertical="center" wrapText="1"/>
    </xf>
    <xf numFmtId="0" fontId="10" fillId="0" borderId="6" xfId="2" applyFont="1" applyBorder="1" applyAlignment="1">
      <alignment horizontal="center" vertical="center"/>
    </xf>
    <xf numFmtId="0" fontId="8" fillId="0" borderId="0" xfId="0" applyFont="1" applyAlignment="1" applyProtection="1">
      <alignment wrapText="1"/>
      <protection locked="0"/>
    </xf>
    <xf numFmtId="0" fontId="8" fillId="0" borderId="0" xfId="0" applyFont="1" applyAlignment="1" applyProtection="1">
      <alignment horizontal="center"/>
      <protection locked="0"/>
    </xf>
    <xf numFmtId="0" fontId="10" fillId="0" borderId="0" xfId="0" applyFont="1" applyProtection="1">
      <protection locked="0"/>
    </xf>
    <xf numFmtId="0" fontId="10" fillId="0" borderId="32" xfId="0" applyFont="1" applyBorder="1" applyProtection="1">
      <protection locked="0"/>
    </xf>
    <xf numFmtId="0" fontId="10" fillId="0" borderId="31" xfId="0" applyFont="1" applyBorder="1" applyAlignment="1" applyProtection="1">
      <alignment wrapText="1"/>
      <protection locked="0"/>
    </xf>
    <xf numFmtId="0" fontId="10" fillId="0" borderId="4" xfId="14" applyFont="1" applyBorder="1" applyAlignment="1">
      <alignment horizontal="center" vertical="center" wrapText="1"/>
    </xf>
    <xf numFmtId="0" fontId="8" fillId="0" borderId="0" xfId="3" applyFont="1" applyAlignment="1" applyProtection="1">
      <alignment wrapText="1"/>
      <protection locked="0"/>
    </xf>
    <xf numFmtId="0" fontId="10" fillId="0" borderId="13" xfId="14" applyFont="1" applyBorder="1" applyAlignment="1">
      <alignment horizontal="center" vertical="center" wrapText="1"/>
    </xf>
    <xf numFmtId="0" fontId="10" fillId="0" borderId="3" xfId="14" applyFont="1" applyBorder="1" applyAlignment="1">
      <alignment horizontal="center" vertical="center" wrapText="1"/>
    </xf>
    <xf numFmtId="0" fontId="10" fillId="0" borderId="2" xfId="14" applyFont="1" applyBorder="1" applyAlignment="1">
      <alignment horizontal="center" vertical="center" wrapText="1"/>
    </xf>
    <xf numFmtId="0" fontId="10" fillId="0" borderId="1" xfId="2" applyFont="1" applyBorder="1" applyAlignment="1" applyProtection="1">
      <alignment horizontal="center" vertical="center" wrapText="1"/>
      <protection locked="0"/>
    </xf>
    <xf numFmtId="0" fontId="11" fillId="0" borderId="0" xfId="3" applyFont="1" applyProtection="1">
      <protection locked="0"/>
    </xf>
    <xf numFmtId="0" fontId="8" fillId="0" borderId="0" xfId="0" applyFont="1" applyAlignment="1" applyProtection="1">
      <alignment horizontal="left" vertical="center" wrapText="1"/>
      <protection locked="0"/>
    </xf>
    <xf numFmtId="0" fontId="8" fillId="0" borderId="3" xfId="14" applyFont="1" applyBorder="1" applyAlignment="1">
      <alignment horizontal="center" vertical="center" wrapText="1"/>
    </xf>
    <xf numFmtId="0" fontId="14" fillId="0" borderId="2" xfId="3" applyFont="1" applyBorder="1" applyAlignment="1" applyProtection="1">
      <alignment vertical="center" wrapText="1"/>
      <protection locked="0"/>
    </xf>
    <xf numFmtId="0" fontId="30" fillId="4" borderId="3" xfId="14" applyFont="1" applyFill="1" applyBorder="1" applyAlignment="1" applyProtection="1">
      <alignment horizontal="center" vertical="center" wrapText="1"/>
      <protection locked="0"/>
    </xf>
    <xf numFmtId="0" fontId="10" fillId="0" borderId="3" xfId="14" applyFont="1" applyBorder="1" applyAlignment="1">
      <alignment horizontal="center" vertical="center"/>
    </xf>
    <xf numFmtId="0" fontId="10" fillId="0" borderId="0" xfId="0" applyFont="1" applyAlignment="1" applyProtection="1">
      <alignment horizontal="center" vertical="center" wrapText="1"/>
      <protection locked="0"/>
    </xf>
    <xf numFmtId="0" fontId="8" fillId="0" borderId="29" xfId="3" applyFont="1" applyBorder="1" applyAlignment="1" applyProtection="1">
      <alignment horizontal="center" vertical="center" wrapText="1"/>
      <protection locked="0"/>
    </xf>
    <xf numFmtId="0" fontId="8" fillId="0" borderId="20" xfId="3" applyFont="1" applyBorder="1" applyAlignment="1">
      <alignment horizontal="center" vertical="center" wrapText="1"/>
    </xf>
    <xf numFmtId="0" fontId="29" fillId="0" borderId="36" xfId="3" applyFont="1" applyBorder="1" applyAlignment="1" applyProtection="1">
      <alignment horizontal="left" vertical="center" wrapText="1"/>
      <protection locked="0"/>
    </xf>
    <xf numFmtId="0" fontId="29" fillId="0" borderId="17" xfId="3" applyFont="1" applyBorder="1" applyAlignment="1" applyProtection="1">
      <alignment horizontal="left" vertical="center" wrapText="1"/>
      <protection locked="0"/>
    </xf>
    <xf numFmtId="0" fontId="31" fillId="0" borderId="14" xfId="3" applyFont="1" applyBorder="1" applyAlignment="1" applyProtection="1">
      <alignment horizontal="left" vertical="center" wrapText="1"/>
      <protection locked="0"/>
    </xf>
    <xf numFmtId="0" fontId="31" fillId="0" borderId="1" xfId="2" applyFont="1" applyBorder="1" applyAlignment="1" applyProtection="1">
      <alignment horizontal="center" vertical="center" wrapText="1"/>
      <protection locked="0"/>
    </xf>
    <xf numFmtId="0" fontId="31" fillId="0" borderId="3" xfId="2" applyFont="1" applyBorder="1" applyAlignment="1" applyProtection="1">
      <alignment horizontal="center" vertical="center" wrapText="1"/>
      <protection locked="0"/>
    </xf>
    <xf numFmtId="49" fontId="31" fillId="0" borderId="61" xfId="0" applyNumberFormat="1" applyFont="1" applyBorder="1" applyAlignment="1" applyProtection="1">
      <alignment horizontal="left" vertical="center" wrapText="1"/>
      <protection locked="0"/>
    </xf>
    <xf numFmtId="0" fontId="31" fillId="0" borderId="3" xfId="0" applyFont="1" applyBorder="1" applyAlignment="1" applyProtection="1">
      <alignment horizontal="center" vertical="center" wrapText="1"/>
      <protection locked="0"/>
    </xf>
    <xf numFmtId="0" fontId="30" fillId="0" borderId="3" xfId="0" applyFont="1" applyBorder="1" applyAlignment="1" applyProtection="1">
      <alignment horizontal="center" vertical="center" wrapText="1"/>
      <protection locked="0"/>
    </xf>
    <xf numFmtId="0" fontId="29" fillId="0" borderId="6" xfId="2" applyFont="1" applyBorder="1" applyAlignment="1" applyProtection="1">
      <alignment horizontal="center" vertical="center"/>
      <protection locked="0"/>
    </xf>
    <xf numFmtId="0" fontId="8" fillId="0" borderId="20" xfId="0" applyFont="1" applyBorder="1" applyAlignment="1" applyProtection="1">
      <alignment horizontal="left" vertical="center" wrapText="1"/>
      <protection locked="0"/>
    </xf>
    <xf numFmtId="0" fontId="10" fillId="0" borderId="3" xfId="14" applyFont="1" applyBorder="1" applyAlignment="1" applyProtection="1">
      <alignment horizontal="center" vertical="center" wrapText="1"/>
      <protection locked="0"/>
    </xf>
    <xf numFmtId="0" fontId="10" fillId="0" borderId="2" xfId="14" applyFont="1" applyBorder="1" applyAlignment="1" applyProtection="1">
      <alignment horizontal="center" vertical="center" wrapText="1"/>
      <protection locked="0"/>
    </xf>
    <xf numFmtId="0" fontId="8" fillId="0" borderId="61" xfId="2" applyFont="1" applyBorder="1" applyAlignment="1" applyProtection="1">
      <alignment horizontal="left" vertical="center" wrapText="1"/>
      <protection locked="0"/>
    </xf>
    <xf numFmtId="0" fontId="10" fillId="0" borderId="3" xfId="2" applyFont="1" applyBorder="1" applyAlignment="1" applyProtection="1">
      <alignment horizontal="center" vertical="center" wrapText="1"/>
      <protection locked="0"/>
    </xf>
    <xf numFmtId="0" fontId="8" fillId="0" borderId="1" xfId="0" applyFont="1" applyBorder="1" applyAlignment="1" applyProtection="1">
      <alignment vertical="center" wrapText="1"/>
      <protection locked="0"/>
    </xf>
    <xf numFmtId="0" fontId="8" fillId="0" borderId="3" xfId="14" applyFont="1" applyBorder="1" applyAlignment="1" applyProtection="1">
      <alignment horizontal="center" vertical="center" wrapText="1"/>
      <protection locked="0"/>
    </xf>
    <xf numFmtId="0" fontId="8" fillId="0" borderId="49" xfId="3" applyFont="1" applyBorder="1" applyAlignment="1" applyProtection="1">
      <alignment vertical="center" wrapText="1"/>
      <protection locked="0"/>
    </xf>
    <xf numFmtId="0" fontId="8" fillId="0" borderId="17" xfId="3" applyFont="1" applyBorder="1" applyAlignment="1" applyProtection="1">
      <alignment vertical="center" wrapText="1"/>
      <protection locked="0"/>
    </xf>
    <xf numFmtId="0" fontId="8" fillId="0" borderId="2" xfId="14" applyFont="1" applyBorder="1" applyAlignment="1" applyProtection="1">
      <alignment horizontal="center" vertical="center" wrapText="1"/>
      <protection locked="0"/>
    </xf>
    <xf numFmtId="9" fontId="19" fillId="0" borderId="0" xfId="11" applyFont="1" applyAlignment="1">
      <alignment horizontal="center" vertical="center"/>
    </xf>
    <xf numFmtId="0" fontId="23" fillId="3" borderId="4" xfId="2" applyFont="1" applyFill="1" applyBorder="1" applyAlignment="1">
      <alignment horizontal="center" vertical="center" wrapText="1"/>
    </xf>
    <xf numFmtId="0" fontId="23" fillId="3" borderId="33" xfId="2" applyFont="1" applyFill="1" applyBorder="1" applyAlignment="1">
      <alignment horizontal="center" vertical="center" wrapText="1"/>
    </xf>
    <xf numFmtId="164" fontId="19" fillId="0" borderId="0" xfId="0" applyNumberFormat="1" applyFont="1" applyAlignment="1">
      <alignment horizontal="center" vertical="center"/>
    </xf>
    <xf numFmtId="164" fontId="19" fillId="0" borderId="0" xfId="0" applyNumberFormat="1" applyFont="1" applyAlignment="1" applyProtection="1">
      <alignment horizontal="center" vertical="center"/>
      <protection locked="0"/>
    </xf>
    <xf numFmtId="9" fontId="19" fillId="0" borderId="0" xfId="11" applyFont="1" applyAlignment="1" applyProtection="1">
      <alignment horizontal="center" vertical="center"/>
      <protection locked="0"/>
    </xf>
    <xf numFmtId="0" fontId="19" fillId="0" borderId="0" xfId="0" applyFont="1" applyAlignment="1" applyProtection="1">
      <alignment horizontal="center" vertical="center"/>
      <protection locked="0"/>
    </xf>
    <xf numFmtId="164" fontId="19" fillId="0" borderId="0" xfId="0" applyNumberFormat="1" applyFont="1" applyAlignment="1">
      <alignment horizontal="center" vertical="center" wrapText="1"/>
    </xf>
    <xf numFmtId="164" fontId="19" fillId="0" borderId="0" xfId="0" applyNumberFormat="1" applyFont="1" applyAlignment="1" applyProtection="1">
      <alignment horizontal="center" vertical="center" wrapText="1"/>
      <protection locked="0"/>
    </xf>
    <xf numFmtId="164" fontId="19" fillId="0" borderId="0" xfId="0" applyNumberFormat="1" applyFont="1" applyAlignment="1">
      <alignment horizontal="right" vertical="center"/>
    </xf>
    <xf numFmtId="0" fontId="8" fillId="0" borderId="63" xfId="3" applyFont="1" applyBorder="1" applyAlignment="1" applyProtection="1">
      <alignment horizontal="left" vertical="center" wrapText="1"/>
      <protection locked="0"/>
    </xf>
    <xf numFmtId="0" fontId="33" fillId="4" borderId="7" xfId="2" applyFont="1" applyFill="1" applyBorder="1" applyAlignment="1" applyProtection="1">
      <alignment horizontal="center" vertical="center" wrapText="1"/>
      <protection locked="0"/>
    </xf>
    <xf numFmtId="0" fontId="33" fillId="4" borderId="17" xfId="3" applyFont="1" applyFill="1" applyBorder="1" applyAlignment="1" applyProtection="1">
      <alignment horizontal="left" vertical="center" wrapText="1"/>
      <protection locked="0"/>
    </xf>
    <xf numFmtId="0" fontId="33" fillId="4" borderId="50" xfId="3" applyFont="1" applyFill="1" applyBorder="1" applyAlignment="1" applyProtection="1">
      <alignment horizontal="left" vertical="center" wrapText="1"/>
      <protection locked="0"/>
    </xf>
    <xf numFmtId="164" fontId="35" fillId="0" borderId="0" xfId="0" applyNumberFormat="1" applyFont="1" applyAlignment="1" applyProtection="1">
      <alignment horizontal="center" vertical="center" wrapText="1"/>
      <protection locked="0"/>
    </xf>
    <xf numFmtId="9" fontId="35" fillId="0" borderId="0" xfId="11" applyFont="1" applyAlignment="1">
      <alignment horizontal="center" vertical="center"/>
    </xf>
    <xf numFmtId="164" fontId="35" fillId="0" borderId="0" xfId="0" applyNumberFormat="1" applyFont="1" applyAlignment="1">
      <alignment horizontal="center" vertical="center"/>
    </xf>
    <xf numFmtId="0" fontId="33" fillId="0" borderId="0" xfId="0" applyFont="1" applyAlignment="1" applyProtection="1">
      <alignment horizontal="center" vertical="center" wrapText="1"/>
      <protection locked="0"/>
    </xf>
    <xf numFmtId="0" fontId="33" fillId="0" borderId="0" xfId="3" applyFont="1" applyAlignment="1" applyProtection="1">
      <alignment wrapText="1"/>
      <protection locked="0"/>
    </xf>
    <xf numFmtId="0" fontId="34" fillId="0" borderId="0" xfId="3" applyFont="1" applyAlignment="1" applyProtection="1">
      <alignment horizontal="center" vertical="center" wrapText="1"/>
      <protection locked="0"/>
    </xf>
    <xf numFmtId="0" fontId="33" fillId="0" borderId="0" xfId="0" applyFont="1" applyAlignment="1" applyProtection="1">
      <alignment wrapText="1"/>
      <protection locked="0"/>
    </xf>
    <xf numFmtId="0" fontId="33" fillId="4" borderId="7" xfId="2" applyFont="1" applyFill="1" applyBorder="1" applyAlignment="1" applyProtection="1">
      <alignment horizontal="center" vertical="center"/>
      <protection locked="0"/>
    </xf>
    <xf numFmtId="0" fontId="33" fillId="0" borderId="0" xfId="0" applyFont="1" applyAlignment="1" applyProtection="1">
      <alignment horizontal="center" vertical="center"/>
      <protection locked="0"/>
    </xf>
    <xf numFmtId="0" fontId="33" fillId="0" borderId="0" xfId="3" applyFont="1" applyProtection="1">
      <protection locked="0"/>
    </xf>
    <xf numFmtId="0" fontId="33" fillId="0" borderId="0" xfId="0" applyFont="1" applyProtection="1">
      <protection locked="0"/>
    </xf>
    <xf numFmtId="0" fontId="34" fillId="4" borderId="1" xfId="0" applyFont="1" applyFill="1" applyBorder="1" applyAlignment="1">
      <alignment horizontal="center" vertical="center" wrapText="1"/>
    </xf>
    <xf numFmtId="0" fontId="33" fillId="4" borderId="1" xfId="0" applyFont="1" applyFill="1" applyBorder="1" applyAlignment="1">
      <alignment horizontal="center" vertical="center" wrapText="1"/>
    </xf>
    <xf numFmtId="49" fontId="33" fillId="4" borderId="38" xfId="0" applyNumberFormat="1" applyFont="1" applyFill="1" applyBorder="1" applyAlignment="1">
      <alignment horizontal="left" vertical="center" wrapText="1"/>
    </xf>
    <xf numFmtId="0" fontId="33" fillId="4" borderId="3" xfId="2" applyFont="1" applyFill="1" applyBorder="1" applyAlignment="1">
      <alignment horizontal="center" vertical="center" wrapText="1"/>
    </xf>
    <xf numFmtId="0" fontId="33" fillId="4" borderId="14" xfId="3" applyFont="1" applyFill="1" applyBorder="1" applyAlignment="1">
      <alignment horizontal="left" vertical="center" wrapText="1"/>
    </xf>
    <xf numFmtId="0" fontId="33" fillId="4" borderId="17" xfId="3" applyFont="1" applyFill="1" applyBorder="1" applyAlignment="1">
      <alignment horizontal="left" vertical="center" wrapText="1"/>
    </xf>
    <xf numFmtId="0" fontId="33" fillId="4" borderId="36" xfId="3" applyFont="1" applyFill="1" applyBorder="1" applyAlignment="1" applyProtection="1">
      <alignment horizontal="left" vertical="center" wrapText="1"/>
      <protection locked="0"/>
    </xf>
    <xf numFmtId="0" fontId="33" fillId="4" borderId="1" xfId="2" applyFont="1" applyFill="1" applyBorder="1" applyAlignment="1">
      <alignment horizontal="center" vertical="center" wrapText="1"/>
    </xf>
    <xf numFmtId="0" fontId="34" fillId="0" borderId="3" xfId="14" applyFont="1" applyBorder="1" applyAlignment="1">
      <alignment horizontal="center" vertical="center" wrapText="1"/>
    </xf>
    <xf numFmtId="0" fontId="33" fillId="0" borderId="3" xfId="14" applyFont="1" applyBorder="1" applyAlignment="1">
      <alignment horizontal="center" vertical="center" wrapText="1"/>
    </xf>
    <xf numFmtId="49" fontId="33" fillId="0" borderId="38" xfId="0" applyNumberFormat="1" applyFont="1" applyBorder="1" applyAlignment="1">
      <alignment vertical="center" wrapText="1"/>
    </xf>
    <xf numFmtId="0" fontId="33" fillId="0" borderId="1" xfId="2" applyFont="1" applyBorder="1" applyAlignment="1">
      <alignment horizontal="center" vertical="center" wrapText="1"/>
    </xf>
    <xf numFmtId="0" fontId="33" fillId="0" borderId="1" xfId="3" applyFont="1" applyBorder="1" applyAlignment="1">
      <alignment horizontal="center" vertical="center" wrapText="1"/>
    </xf>
    <xf numFmtId="0" fontId="33" fillId="0" borderId="17" xfId="3" applyFont="1" applyBorder="1" applyAlignment="1">
      <alignment horizontal="left" vertical="center" wrapText="1"/>
    </xf>
    <xf numFmtId="0" fontId="33" fillId="0" borderId="17" xfId="3" applyFont="1" applyBorder="1" applyAlignment="1" applyProtection="1">
      <alignment horizontal="left" vertical="center" wrapText="1"/>
      <protection locked="0"/>
    </xf>
    <xf numFmtId="0" fontId="33" fillId="0" borderId="36" xfId="3" applyFont="1" applyBorder="1" applyAlignment="1" applyProtection="1">
      <alignment horizontal="left" vertical="center" wrapText="1"/>
      <protection locked="0"/>
    </xf>
    <xf numFmtId="0" fontId="33" fillId="0" borderId="1" xfId="3" applyFont="1" applyBorder="1" applyAlignment="1">
      <alignment horizontal="left" vertical="center" wrapText="1"/>
    </xf>
    <xf numFmtId="0" fontId="33" fillId="0" borderId="14" xfId="3" applyFont="1" applyBorder="1" applyAlignment="1" applyProtection="1">
      <alignment horizontal="left" vertical="center" wrapText="1"/>
      <protection locked="0"/>
    </xf>
    <xf numFmtId="0" fontId="34" fillId="4" borderId="3" xfId="14" applyFont="1" applyFill="1" applyBorder="1" applyAlignment="1">
      <alignment horizontal="center" vertical="center" wrapText="1"/>
    </xf>
    <xf numFmtId="0" fontId="33" fillId="4" borderId="3" xfId="14" applyFont="1" applyFill="1" applyBorder="1" applyAlignment="1">
      <alignment horizontal="center" vertical="center" wrapText="1"/>
    </xf>
    <xf numFmtId="49" fontId="33" fillId="4" borderId="38" xfId="0" applyNumberFormat="1" applyFont="1" applyFill="1" applyBorder="1" applyAlignment="1">
      <alignment vertical="center" wrapText="1"/>
    </xf>
    <xf numFmtId="0" fontId="33" fillId="4" borderId="1" xfId="3" applyFont="1" applyFill="1" applyBorder="1" applyAlignment="1">
      <alignment horizontal="center" vertical="center" wrapText="1"/>
    </xf>
    <xf numFmtId="0" fontId="33" fillId="4" borderId="17" xfId="0" applyFont="1" applyFill="1" applyBorder="1" applyAlignment="1">
      <alignment horizontal="left" vertical="center" wrapText="1"/>
    </xf>
    <xf numFmtId="0" fontId="33" fillId="4" borderId="17" xfId="0" applyFont="1" applyFill="1" applyBorder="1" applyAlignment="1" applyProtection="1">
      <alignment horizontal="left" vertical="center" wrapText="1"/>
      <protection locked="0"/>
    </xf>
    <xf numFmtId="0" fontId="33" fillId="4" borderId="1" xfId="3" applyFont="1" applyFill="1" applyBorder="1" applyAlignment="1">
      <alignment horizontal="left" vertical="center" wrapText="1"/>
    </xf>
    <xf numFmtId="0" fontId="33" fillId="4" borderId="14" xfId="3" applyFont="1" applyFill="1" applyBorder="1" applyAlignment="1" applyProtection="1">
      <alignment horizontal="left" vertical="center" wrapText="1"/>
      <protection locked="0"/>
    </xf>
    <xf numFmtId="0" fontId="4" fillId="0" borderId="49" xfId="2" applyFont="1" applyBorder="1" applyAlignment="1" applyProtection="1">
      <alignment horizontal="left" vertical="center" wrapText="1"/>
      <protection locked="0"/>
    </xf>
    <xf numFmtId="0" fontId="24" fillId="0" borderId="1" xfId="0" applyFont="1" applyBorder="1" applyAlignment="1">
      <alignment horizontal="center" vertical="center"/>
    </xf>
    <xf numFmtId="0" fontId="7" fillId="0" borderId="1" xfId="0" applyFont="1" applyBorder="1" applyAlignment="1">
      <alignment horizontal="center"/>
    </xf>
    <xf numFmtId="0" fontId="7" fillId="0" borderId="25" xfId="0" applyFont="1" applyBorder="1"/>
    <xf numFmtId="0" fontId="24" fillId="0" borderId="1" xfId="0" applyFont="1" applyBorder="1" applyAlignment="1">
      <alignment horizontal="center" vertical="center" wrapText="1"/>
    </xf>
    <xf numFmtId="0" fontId="7" fillId="0" borderId="26" xfId="0" applyFont="1" applyBorder="1"/>
    <xf numFmtId="0" fontId="7" fillId="0" borderId="22" xfId="0" applyFont="1" applyBorder="1"/>
    <xf numFmtId="0" fontId="19" fillId="0" borderId="57" xfId="12" applyFont="1" applyBorder="1" applyAlignment="1">
      <alignment vertical="center" wrapText="1"/>
    </xf>
    <xf numFmtId="0" fontId="18" fillId="0" borderId="8" xfId="12" applyFont="1" applyBorder="1" applyAlignment="1">
      <alignment horizontal="left" vertical="center"/>
    </xf>
    <xf numFmtId="0" fontId="19" fillId="0" borderId="41" xfId="10" applyFont="1" applyBorder="1" applyAlignment="1">
      <alignment vertical="center" wrapText="1"/>
    </xf>
    <xf numFmtId="4" fontId="19" fillId="0" borderId="40" xfId="12" applyNumberFormat="1" applyFont="1" applyBorder="1" applyAlignment="1">
      <alignment horizontal="center" vertical="center" wrapText="1"/>
    </xf>
    <xf numFmtId="0" fontId="19" fillId="0" borderId="41" xfId="12" applyFont="1" applyBorder="1" applyAlignment="1">
      <alignment vertical="center" wrapText="1"/>
    </xf>
    <xf numFmtId="0" fontId="8" fillId="4" borderId="8" xfId="2" applyFont="1" applyFill="1" applyBorder="1" applyAlignment="1" applyProtection="1">
      <alignment horizontal="center" vertical="center"/>
      <protection locked="0"/>
    </xf>
    <xf numFmtId="0" fontId="19" fillId="0" borderId="0" xfId="0" applyFont="1" applyAlignment="1" applyProtection="1">
      <alignment horizontal="right" vertical="center"/>
      <protection locked="0"/>
    </xf>
    <xf numFmtId="9" fontId="19" fillId="0" borderId="0" xfId="11" applyFont="1" applyAlignment="1" applyProtection="1">
      <alignment horizontal="right" vertical="center"/>
      <protection locked="0"/>
    </xf>
    <xf numFmtId="9" fontId="23" fillId="0" borderId="32" xfId="11" applyFont="1" applyBorder="1" applyAlignment="1" applyProtection="1">
      <alignment horizontal="right" vertical="center"/>
      <protection locked="0"/>
    </xf>
    <xf numFmtId="0" fontId="23" fillId="0" borderId="32" xfId="0" applyFont="1" applyBorder="1" applyAlignment="1" applyProtection="1">
      <alignment horizontal="right" vertical="center"/>
      <protection locked="0"/>
    </xf>
    <xf numFmtId="9" fontId="23" fillId="0" borderId="66" xfId="11" applyFont="1" applyBorder="1" applyAlignment="1" applyProtection="1">
      <alignment horizontal="right" vertical="center"/>
      <protection locked="0"/>
    </xf>
    <xf numFmtId="0" fontId="23" fillId="0" borderId="66" xfId="0" applyFont="1" applyBorder="1" applyAlignment="1" applyProtection="1">
      <alignment horizontal="right" vertical="center"/>
      <protection locked="0"/>
    </xf>
    <xf numFmtId="0" fontId="10" fillId="0" borderId="66" xfId="0" applyFont="1" applyBorder="1" applyProtection="1">
      <protection locked="0"/>
    </xf>
    <xf numFmtId="0" fontId="10" fillId="0" borderId="67" xfId="0" applyFont="1" applyBorder="1" applyAlignment="1" applyProtection="1">
      <alignment wrapText="1"/>
      <protection locked="0"/>
    </xf>
    <xf numFmtId="164" fontId="19" fillId="0" borderId="0" xfId="0" applyNumberFormat="1" applyFont="1" applyAlignment="1" applyProtection="1">
      <alignment horizontal="right" vertical="center"/>
      <protection locked="0"/>
    </xf>
    <xf numFmtId="0" fontId="8" fillId="0" borderId="5" xfId="2" applyFont="1" applyBorder="1" applyAlignment="1" applyProtection="1">
      <alignment horizontal="center" vertical="center"/>
      <protection locked="0"/>
    </xf>
    <xf numFmtId="0" fontId="8" fillId="0" borderId="6" xfId="2" applyFont="1" applyBorder="1" applyAlignment="1" applyProtection="1">
      <alignment horizontal="center" vertical="center" wrapText="1"/>
      <protection locked="0"/>
    </xf>
    <xf numFmtId="0" fontId="33" fillId="4" borderId="8" xfId="2" applyFont="1" applyFill="1" applyBorder="1" applyAlignment="1" applyProtection="1">
      <alignment horizontal="center" vertical="center"/>
      <protection locked="0"/>
    </xf>
    <xf numFmtId="9" fontId="35" fillId="0" borderId="0" xfId="11" applyFont="1" applyAlignment="1" applyProtection="1">
      <alignment horizontal="center" vertical="center"/>
      <protection locked="0"/>
    </xf>
    <xf numFmtId="0" fontId="8" fillId="0" borderId="7" xfId="2" applyFont="1" applyBorder="1" applyAlignment="1" applyProtection="1">
      <alignment horizontal="center" vertical="center" wrapText="1"/>
      <protection locked="0"/>
    </xf>
    <xf numFmtId="0" fontId="8" fillId="0" borderId="19" xfId="2" applyFont="1" applyBorder="1" applyAlignment="1" applyProtection="1">
      <alignment horizontal="center" vertical="center"/>
      <protection locked="0"/>
    </xf>
    <xf numFmtId="0" fontId="10" fillId="0" borderId="0" xfId="3" applyFont="1" applyProtection="1">
      <protection locked="0"/>
    </xf>
    <xf numFmtId="0" fontId="15" fillId="0" borderId="50" xfId="3" applyFont="1" applyBorder="1" applyAlignment="1" applyProtection="1">
      <alignment horizontal="center" vertical="center" wrapText="1"/>
      <protection locked="0"/>
    </xf>
    <xf numFmtId="0" fontId="33" fillId="0" borderId="7" xfId="2" applyFont="1" applyBorder="1" applyAlignment="1" applyProtection="1">
      <alignment horizontal="center" vertical="center"/>
      <protection locked="0"/>
    </xf>
    <xf numFmtId="0" fontId="8" fillId="0" borderId="43" xfId="2" applyFont="1" applyBorder="1" applyAlignment="1" applyProtection="1">
      <alignment horizontal="center" vertical="center"/>
      <protection locked="0"/>
    </xf>
    <xf numFmtId="0" fontId="8" fillId="0" borderId="9" xfId="2" applyFont="1" applyBorder="1" applyAlignment="1" applyProtection="1">
      <alignment horizontal="center" vertical="center"/>
      <protection locked="0"/>
    </xf>
    <xf numFmtId="0" fontId="10" fillId="3" borderId="28" xfId="0" applyFont="1" applyFill="1" applyBorder="1" applyAlignment="1" applyProtection="1">
      <alignment horizontal="center" vertical="center" wrapText="1"/>
      <protection locked="0"/>
    </xf>
    <xf numFmtId="0" fontId="13" fillId="0" borderId="50" xfId="3" applyFont="1" applyBorder="1" applyAlignment="1" applyProtection="1">
      <alignment horizontal="center" vertical="center" wrapText="1"/>
      <protection locked="0"/>
    </xf>
    <xf numFmtId="0" fontId="10" fillId="0" borderId="1" xfId="7" applyFont="1" applyFill="1" applyBorder="1" applyAlignment="1">
      <alignment horizontal="center" vertical="center"/>
    </xf>
    <xf numFmtId="2" fontId="19" fillId="0" borderId="52" xfId="10" applyNumberFormat="1" applyFont="1" applyBorder="1" applyAlignment="1">
      <alignment horizontal="center" vertical="center" wrapText="1"/>
    </xf>
    <xf numFmtId="0" fontId="20" fillId="0" borderId="56" xfId="10" applyFont="1" applyBorder="1" applyAlignment="1">
      <alignment vertical="center"/>
    </xf>
    <xf numFmtId="0" fontId="8" fillId="0" borderId="6" xfId="2" applyFont="1" applyBorder="1" applyAlignment="1">
      <alignment horizontal="center" vertical="center"/>
    </xf>
    <xf numFmtId="0" fontId="22" fillId="0" borderId="1" xfId="2" applyFont="1" applyBorder="1" applyAlignment="1">
      <alignment horizontal="center" vertical="center" wrapText="1"/>
    </xf>
    <xf numFmtId="0" fontId="8" fillId="0" borderId="68" xfId="0" applyFont="1" applyBorder="1" applyAlignment="1" applyProtection="1">
      <alignment horizontal="left" vertical="center" wrapText="1"/>
      <protection locked="0"/>
    </xf>
    <xf numFmtId="49" fontId="31" fillId="0" borderId="38" xfId="0" applyNumberFormat="1" applyFont="1" applyBorder="1" applyAlignment="1">
      <alignment vertical="center" wrapText="1"/>
    </xf>
    <xf numFmtId="9" fontId="41" fillId="0" borderId="0" xfId="11" applyFont="1" applyAlignment="1" applyProtection="1">
      <alignment horizontal="center" vertical="center"/>
      <protection locked="0"/>
    </xf>
    <xf numFmtId="0" fontId="37" fillId="0" borderId="7" xfId="2" applyFont="1" applyBorder="1" applyAlignment="1" applyProtection="1">
      <alignment horizontal="center" vertical="center"/>
      <protection locked="0"/>
    </xf>
    <xf numFmtId="0" fontId="37" fillId="0" borderId="17" xfId="2" applyFont="1" applyBorder="1" applyAlignment="1" applyProtection="1">
      <alignment horizontal="center" vertical="center"/>
      <protection locked="0"/>
    </xf>
    <xf numFmtId="0" fontId="37" fillId="0" borderId="50" xfId="3" applyFont="1" applyBorder="1" applyAlignment="1" applyProtection="1">
      <alignment horizontal="left" vertical="center" wrapText="1"/>
      <protection locked="0"/>
    </xf>
    <xf numFmtId="0" fontId="37" fillId="0" borderId="0" xfId="0" applyFont="1" applyAlignment="1" applyProtection="1">
      <alignment horizontal="center" vertical="center"/>
      <protection locked="0"/>
    </xf>
    <xf numFmtId="0" fontId="37" fillId="0" borderId="0" xfId="3" applyFont="1" applyProtection="1">
      <protection locked="0"/>
    </xf>
    <xf numFmtId="0" fontId="37" fillId="0" borderId="0" xfId="0" applyFont="1" applyProtection="1">
      <protection locked="0"/>
    </xf>
    <xf numFmtId="0" fontId="14" fillId="0" borderId="1" xfId="3" applyFont="1" applyBorder="1" applyAlignment="1" applyProtection="1">
      <alignment vertical="center" wrapText="1"/>
      <protection locked="0"/>
    </xf>
    <xf numFmtId="0" fontId="22" fillId="0" borderId="3" xfId="0" applyFont="1" applyBorder="1" applyAlignment="1">
      <alignment horizontal="center" vertical="center" wrapText="1"/>
    </xf>
    <xf numFmtId="0" fontId="7" fillId="0" borderId="1" xfId="3" applyFont="1" applyBorder="1" applyAlignment="1">
      <alignment vertical="top" wrapText="1"/>
    </xf>
    <xf numFmtId="0" fontId="15" fillId="8" borderId="35" xfId="3" applyFont="1" applyFill="1" applyBorder="1" applyAlignment="1" applyProtection="1">
      <alignment horizontal="left" vertical="center" wrapText="1"/>
      <protection locked="0"/>
    </xf>
    <xf numFmtId="49" fontId="31" fillId="0" borderId="38" xfId="0" applyNumberFormat="1" applyFont="1" applyBorder="1" applyAlignment="1">
      <alignment horizontal="left" vertical="center" wrapText="1"/>
    </xf>
    <xf numFmtId="0" fontId="7" fillId="0" borderId="49" xfId="2" applyFont="1" applyBorder="1" applyAlignment="1">
      <alignment horizontal="left" vertical="center" wrapText="1"/>
    </xf>
    <xf numFmtId="0" fontId="8" fillId="0" borderId="68" xfId="3" applyFont="1" applyBorder="1" applyAlignment="1" applyProtection="1">
      <alignment horizontal="center" vertical="center" wrapText="1"/>
      <protection locked="0"/>
    </xf>
    <xf numFmtId="9" fontId="19" fillId="0" borderId="0" xfId="11" applyFont="1" applyAlignment="1">
      <alignment horizontal="center" vertical="center" wrapText="1"/>
    </xf>
    <xf numFmtId="0" fontId="16" fillId="0" borderId="17" xfId="3" applyFont="1" applyBorder="1" applyAlignment="1">
      <alignment horizontal="center" vertical="center" wrapText="1"/>
    </xf>
    <xf numFmtId="0" fontId="42" fillId="0" borderId="3" xfId="2" applyFont="1" applyBorder="1" applyAlignment="1">
      <alignment horizontal="center" vertical="center"/>
    </xf>
    <xf numFmtId="0" fontId="37" fillId="0" borderId="3" xfId="2" applyFont="1" applyBorder="1" applyAlignment="1">
      <alignment horizontal="center" vertical="center"/>
    </xf>
    <xf numFmtId="0" fontId="37" fillId="0" borderId="49" xfId="0" applyFont="1" applyBorder="1" applyAlignment="1">
      <alignment wrapText="1"/>
    </xf>
    <xf numFmtId="0" fontId="37" fillId="0" borderId="17" xfId="2" applyFont="1" applyBorder="1" applyAlignment="1">
      <alignment horizontal="left" vertical="center" wrapText="1"/>
    </xf>
    <xf numFmtId="0" fontId="40" fillId="0" borderId="17" xfId="3" applyFont="1" applyBorder="1" applyAlignment="1">
      <alignment horizontal="left" vertical="center" wrapText="1"/>
    </xf>
    <xf numFmtId="0" fontId="8" fillId="0" borderId="2" xfId="0" applyFont="1" applyBorder="1" applyAlignment="1">
      <alignment horizontal="left" vertical="center" wrapText="1"/>
    </xf>
    <xf numFmtId="0" fontId="14" fillId="0" borderId="14" xfId="3" applyFont="1" applyBorder="1" applyAlignment="1">
      <alignment horizontal="left" vertical="center" wrapText="1"/>
    </xf>
    <xf numFmtId="0" fontId="8" fillId="0" borderId="2" xfId="14" applyFont="1" applyBorder="1" applyAlignment="1">
      <alignment horizontal="center" vertical="center" wrapText="1"/>
    </xf>
    <xf numFmtId="0" fontId="8" fillId="0" borderId="2" xfId="3" applyFont="1" applyBorder="1" applyAlignment="1">
      <alignment horizontal="center" vertical="center" wrapText="1"/>
    </xf>
    <xf numFmtId="0" fontId="8" fillId="0" borderId="15" xfId="3" applyFont="1" applyBorder="1" applyAlignment="1">
      <alignment horizontal="left" vertical="center" wrapText="1"/>
    </xf>
    <xf numFmtId="0" fontId="8" fillId="0" borderId="49" xfId="3" applyFont="1" applyBorder="1" applyAlignment="1">
      <alignment horizontal="left" vertical="center" wrapText="1"/>
    </xf>
    <xf numFmtId="0" fontId="10" fillId="0" borderId="3" xfId="2" applyFont="1" applyBorder="1" applyAlignment="1">
      <alignment horizontal="center" vertical="center" wrapText="1"/>
    </xf>
    <xf numFmtId="0" fontId="12" fillId="0" borderId="1" xfId="3" applyFont="1" applyBorder="1" applyAlignment="1">
      <alignment horizontal="left" vertical="center" wrapText="1"/>
    </xf>
    <xf numFmtId="0" fontId="25" fillId="0" borderId="49" xfId="0" applyFont="1" applyBorder="1" applyAlignment="1">
      <alignment horizontal="center" vertical="center"/>
    </xf>
    <xf numFmtId="0" fontId="8" fillId="0" borderId="49" xfId="0" applyFont="1" applyBorder="1" applyAlignment="1">
      <alignment vertical="center" wrapText="1"/>
    </xf>
    <xf numFmtId="0" fontId="8" fillId="0" borderId="49" xfId="0" applyFont="1" applyBorder="1" applyAlignment="1">
      <alignment horizontal="center" vertical="center" wrapText="1"/>
    </xf>
    <xf numFmtId="0" fontId="10" fillId="0" borderId="1" xfId="0" applyFont="1" applyBorder="1" applyAlignment="1">
      <alignment horizontal="center" vertical="center"/>
    </xf>
    <xf numFmtId="0" fontId="8" fillId="0" borderId="1" xfId="0" applyFont="1" applyBorder="1" applyAlignment="1">
      <alignment horizontal="center" vertical="center"/>
    </xf>
    <xf numFmtId="0" fontId="8" fillId="0" borderId="14" xfId="0" applyFont="1" applyBorder="1" applyAlignment="1">
      <alignment vertical="center"/>
    </xf>
    <xf numFmtId="0" fontId="12" fillId="0" borderId="14" xfId="3" applyFont="1" applyBorder="1" applyAlignment="1">
      <alignment horizontal="left" vertical="center" wrapText="1"/>
    </xf>
    <xf numFmtId="0" fontId="8" fillId="0" borderId="49" xfId="3" applyFont="1" applyBorder="1" applyAlignment="1">
      <alignment vertical="center" wrapText="1"/>
    </xf>
    <xf numFmtId="0" fontId="8" fillId="0" borderId="60" xfId="3" applyFont="1" applyBorder="1" applyAlignment="1">
      <alignment horizontal="left" vertical="center" wrapText="1"/>
    </xf>
    <xf numFmtId="0" fontId="8" fillId="0" borderId="15" xfId="0" applyFont="1" applyBorder="1" applyAlignment="1">
      <alignment horizontal="left" vertical="center" wrapText="1"/>
    </xf>
    <xf numFmtId="0" fontId="11" fillId="0" borderId="49" xfId="3" applyFont="1" applyBorder="1" applyAlignment="1">
      <alignment horizontal="left" vertical="center" wrapText="1"/>
    </xf>
    <xf numFmtId="0" fontId="39" fillId="0" borderId="3" xfId="0" applyFont="1" applyBorder="1" applyAlignment="1">
      <alignment horizontal="center" vertical="center" wrapText="1"/>
    </xf>
    <xf numFmtId="0" fontId="8" fillId="0" borderId="2" xfId="0" applyFont="1" applyBorder="1" applyAlignment="1">
      <alignment horizontal="center" vertical="center" wrapText="1"/>
    </xf>
    <xf numFmtId="0" fontId="10" fillId="0" borderId="49" xfId="0" applyFont="1" applyBorder="1" applyAlignment="1">
      <alignment horizontal="center" vertical="center"/>
    </xf>
    <xf numFmtId="0" fontId="8" fillId="0" borderId="49" xfId="0" applyFont="1" applyBorder="1" applyAlignment="1">
      <alignment horizontal="center" vertical="center"/>
    </xf>
    <xf numFmtId="0" fontId="37" fillId="0" borderId="2" xfId="2" applyFont="1" applyBorder="1" applyAlignment="1">
      <alignment horizontal="center" vertical="center" wrapText="1"/>
    </xf>
    <xf numFmtId="0" fontId="8" fillId="0" borderId="0" xfId="3" applyFont="1"/>
    <xf numFmtId="0" fontId="34" fillId="4" borderId="1" xfId="0" applyFont="1" applyFill="1" applyBorder="1" applyAlignment="1" applyProtection="1">
      <alignment horizontal="center" vertical="center" wrapText="1"/>
      <protection locked="0"/>
    </xf>
    <xf numFmtId="0" fontId="33" fillId="4" borderId="1" xfId="0" applyFont="1" applyFill="1" applyBorder="1" applyAlignment="1" applyProtection="1">
      <alignment horizontal="center" vertical="center" wrapText="1"/>
      <protection locked="0"/>
    </xf>
    <xf numFmtId="49" fontId="33" fillId="4" borderId="38" xfId="0" applyNumberFormat="1" applyFont="1" applyFill="1" applyBorder="1" applyAlignment="1" applyProtection="1">
      <alignment horizontal="left" vertical="center" wrapText="1"/>
      <protection locked="0"/>
    </xf>
    <xf numFmtId="0" fontId="33" fillId="4" borderId="3" xfId="2" applyFont="1" applyFill="1" applyBorder="1" applyAlignment="1" applyProtection="1">
      <alignment horizontal="center" vertical="center" wrapText="1"/>
      <protection locked="0"/>
    </xf>
    <xf numFmtId="49" fontId="31" fillId="0" borderId="38" xfId="0" applyNumberFormat="1" applyFont="1" applyBorder="1" applyAlignment="1" applyProtection="1">
      <alignment horizontal="left" vertical="center" wrapText="1"/>
      <protection locked="0"/>
    </xf>
    <xf numFmtId="0" fontId="33" fillId="4" borderId="1" xfId="2" applyFont="1" applyFill="1" applyBorder="1" applyAlignment="1" applyProtection="1">
      <alignment horizontal="center" vertical="center" wrapText="1"/>
      <protection locked="0"/>
    </xf>
    <xf numFmtId="0" fontId="10" fillId="0" borderId="0" xfId="3" applyFont="1" applyAlignment="1">
      <alignment horizontal="center" vertical="center"/>
    </xf>
    <xf numFmtId="0" fontId="34" fillId="0" borderId="0" xfId="3" applyFont="1" applyAlignment="1">
      <alignment horizontal="center" vertical="center" wrapText="1"/>
    </xf>
    <xf numFmtId="0" fontId="8" fillId="0" borderId="0" xfId="0" applyFont="1" applyAlignment="1">
      <alignment horizontal="center" vertical="center"/>
    </xf>
    <xf numFmtId="0" fontId="8" fillId="0" borderId="0" xfId="0" applyFont="1"/>
    <xf numFmtId="0" fontId="10" fillId="0" borderId="0" xfId="3" applyFont="1" applyAlignment="1">
      <alignment horizontal="center" vertical="center" wrapText="1"/>
    </xf>
    <xf numFmtId="0" fontId="42" fillId="0" borderId="0" xfId="3" applyFont="1" applyAlignment="1">
      <alignment horizontal="center" vertical="center"/>
    </xf>
    <xf numFmtId="0" fontId="10" fillId="0" borderId="0" xfId="0" applyFont="1" applyAlignment="1">
      <alignment horizontal="center" vertical="center"/>
    </xf>
    <xf numFmtId="2" fontId="8" fillId="0" borderId="0" xfId="0" applyNumberFormat="1" applyFont="1" applyProtection="1">
      <protection locked="0"/>
    </xf>
    <xf numFmtId="2" fontId="23" fillId="0" borderId="33" xfId="0" applyNumberFormat="1" applyFont="1" applyBorder="1" applyAlignment="1" applyProtection="1">
      <alignment horizontal="right" vertical="center"/>
      <protection locked="0"/>
    </xf>
    <xf numFmtId="2" fontId="23" fillId="0" borderId="65" xfId="0" applyNumberFormat="1" applyFont="1" applyBorder="1" applyAlignment="1" applyProtection="1">
      <alignment horizontal="right" vertical="center"/>
      <protection locked="0"/>
    </xf>
    <xf numFmtId="2" fontId="23" fillId="0" borderId="11" xfId="0" applyNumberFormat="1" applyFont="1" applyBorder="1" applyAlignment="1" applyProtection="1">
      <alignment horizontal="right" vertical="center"/>
      <protection locked="0"/>
    </xf>
    <xf numFmtId="164" fontId="35" fillId="0" borderId="0" xfId="0" applyNumberFormat="1" applyFont="1" applyAlignment="1">
      <alignment horizontal="center" vertical="center" wrapText="1"/>
    </xf>
    <xf numFmtId="164" fontId="41" fillId="0" borderId="0" xfId="0" applyNumberFormat="1" applyFont="1" applyAlignment="1">
      <alignment horizontal="center" vertical="center"/>
    </xf>
    <xf numFmtId="0" fontId="8" fillId="0" borderId="17" xfId="0" applyFont="1" applyBorder="1" applyAlignment="1">
      <alignment horizontal="center" vertical="center" wrapText="1"/>
    </xf>
    <xf numFmtId="0" fontId="32" fillId="0" borderId="14" xfId="3" applyFont="1" applyBorder="1" applyAlignment="1">
      <alignment horizontal="left" vertical="center" wrapText="1"/>
    </xf>
    <xf numFmtId="0" fontId="0" fillId="0" borderId="49" xfId="3" applyFont="1" applyBorder="1" applyAlignment="1">
      <alignment horizontal="left" vertical="center" wrapText="1"/>
    </xf>
    <xf numFmtId="0" fontId="2" fillId="4" borderId="1" xfId="0" applyFont="1" applyFill="1" applyBorder="1" applyAlignment="1">
      <alignment horizontal="left" vertical="center" wrapText="1"/>
    </xf>
    <xf numFmtId="0" fontId="2" fillId="0" borderId="1" xfId="0" applyFont="1" applyBorder="1" applyAlignment="1" applyProtection="1">
      <alignment horizontal="left" vertical="center" wrapText="1"/>
      <protection locked="0"/>
    </xf>
    <xf numFmtId="0" fontId="2" fillId="0" borderId="0" xfId="0" applyFont="1" applyAlignment="1">
      <alignment horizontal="left" vertical="center" wrapText="1"/>
    </xf>
    <xf numFmtId="0" fontId="2" fillId="0" borderId="1" xfId="3" applyFont="1" applyBorder="1" applyAlignment="1" applyProtection="1">
      <alignment horizontal="left" vertical="center" wrapText="1"/>
      <protection locked="0"/>
    </xf>
    <xf numFmtId="0" fontId="2" fillId="0" borderId="49" xfId="0" applyFont="1" applyBorder="1" applyAlignment="1">
      <alignment horizontal="center" vertical="center"/>
    </xf>
    <xf numFmtId="0" fontId="2" fillId="0" borderId="49" xfId="0" applyFont="1" applyBorder="1" applyAlignment="1">
      <alignment vertical="center" wrapText="1"/>
    </xf>
    <xf numFmtId="0" fontId="2" fillId="0" borderId="3" xfId="3" applyFont="1" applyBorder="1" applyAlignment="1" applyProtection="1">
      <alignment horizontal="left" vertical="center" wrapText="1"/>
      <protection locked="0"/>
    </xf>
    <xf numFmtId="0" fontId="2" fillId="0" borderId="2" xfId="3" applyFont="1" applyBorder="1" applyAlignment="1" applyProtection="1">
      <alignment horizontal="left" vertical="center" wrapText="1"/>
      <protection locked="0"/>
    </xf>
    <xf numFmtId="0" fontId="2" fillId="0" borderId="64" xfId="3" applyFont="1" applyBorder="1" applyAlignment="1">
      <alignment horizontal="left" vertical="center" wrapText="1"/>
    </xf>
    <xf numFmtId="0" fontId="2" fillId="8" borderId="1" xfId="10" applyFont="1" applyFill="1" applyBorder="1" applyAlignment="1" applyProtection="1">
      <alignment horizontal="center" vertical="center"/>
      <protection locked="0"/>
    </xf>
    <xf numFmtId="0" fontId="2" fillId="0" borderId="22" xfId="10" applyFont="1" applyBorder="1"/>
    <xf numFmtId="2" fontId="2" fillId="8" borderId="12" xfId="10" applyNumberFormat="1" applyFont="1" applyFill="1" applyBorder="1" applyAlignment="1" applyProtection="1">
      <alignment horizontal="center" vertical="center"/>
      <protection locked="0"/>
    </xf>
    <xf numFmtId="0" fontId="2" fillId="0" borderId="12" xfId="10" applyFont="1" applyBorder="1" applyAlignment="1">
      <alignment horizontal="center" vertical="center"/>
    </xf>
    <xf numFmtId="165" fontId="2" fillId="8" borderId="3" xfId="10" applyNumberFormat="1" applyFont="1" applyFill="1" applyBorder="1" applyAlignment="1" applyProtection="1">
      <alignment horizontal="center" vertical="center"/>
      <protection locked="0"/>
    </xf>
    <xf numFmtId="165" fontId="2" fillId="8" borderId="1" xfId="10" applyNumberFormat="1" applyFont="1" applyFill="1" applyBorder="1" applyAlignment="1" applyProtection="1">
      <alignment horizontal="center" vertical="center"/>
      <protection locked="0"/>
    </xf>
    <xf numFmtId="165" fontId="2" fillId="8" borderId="10" xfId="10" applyNumberFormat="1" applyFont="1" applyFill="1" applyBorder="1" applyAlignment="1" applyProtection="1">
      <alignment horizontal="center" vertical="center"/>
      <protection locked="0"/>
    </xf>
    <xf numFmtId="0" fontId="1" fillId="8" borderId="1" xfId="10" applyFont="1" applyFill="1" applyBorder="1" applyAlignment="1" applyProtection="1">
      <alignment horizontal="center" vertical="center"/>
      <protection locked="0"/>
    </xf>
    <xf numFmtId="0" fontId="1" fillId="8" borderId="44" xfId="10" applyFont="1" applyFill="1" applyBorder="1" applyAlignment="1" applyProtection="1">
      <alignment horizontal="center" vertical="center"/>
      <protection locked="0"/>
    </xf>
    <xf numFmtId="0" fontId="1" fillId="8" borderId="3" xfId="10" applyFont="1" applyFill="1" applyBorder="1" applyAlignment="1" applyProtection="1">
      <alignment horizontal="center" vertical="center"/>
      <protection locked="0"/>
    </xf>
    <xf numFmtId="2" fontId="1" fillId="8" borderId="1" xfId="12" applyNumberFormat="1" applyFont="1" applyFill="1" applyBorder="1" applyAlignment="1" applyProtection="1">
      <alignment horizontal="center" vertical="center"/>
      <protection locked="0"/>
    </xf>
    <xf numFmtId="4" fontId="1" fillId="8" borderId="1" xfId="10" applyNumberFormat="1" applyFont="1" applyFill="1" applyBorder="1" applyAlignment="1" applyProtection="1">
      <alignment horizontal="center" vertical="center"/>
      <protection locked="0"/>
    </xf>
    <xf numFmtId="0" fontId="1" fillId="8" borderId="10" xfId="10" applyFont="1" applyFill="1" applyBorder="1" applyAlignment="1" applyProtection="1">
      <alignment horizontal="center" vertical="center"/>
      <protection locked="0"/>
    </xf>
    <xf numFmtId="0" fontId="13" fillId="0" borderId="36" xfId="3" applyFont="1" applyBorder="1" applyAlignment="1" applyProtection="1">
      <alignment horizontal="left" vertical="center" wrapText="1"/>
      <protection locked="0"/>
    </xf>
    <xf numFmtId="0" fontId="8" fillId="0" borderId="13" xfId="0" applyFont="1" applyBorder="1" applyAlignment="1" applyProtection="1">
      <alignment horizontal="left" vertical="center" wrapText="1"/>
      <protection locked="0"/>
    </xf>
    <xf numFmtId="0" fontId="10" fillId="0" borderId="13" xfId="14" applyFont="1" applyBorder="1" applyAlignment="1" applyProtection="1">
      <alignment horizontal="center" vertical="center" wrapText="1"/>
      <protection locked="0"/>
    </xf>
    <xf numFmtId="0" fontId="8" fillId="0" borderId="13" xfId="14" applyFont="1" applyBorder="1" applyAlignment="1" applyProtection="1">
      <alignment horizontal="center" vertical="center" wrapText="1"/>
      <protection locked="0"/>
    </xf>
    <xf numFmtId="0" fontId="8" fillId="0" borderId="13" xfId="2" applyFont="1" applyBorder="1" applyAlignment="1" applyProtection="1">
      <alignment horizontal="center" vertical="center" wrapText="1"/>
      <protection locked="0"/>
    </xf>
    <xf numFmtId="0" fontId="15" fillId="0" borderId="1" xfId="3" applyFont="1" applyBorder="1" applyAlignment="1" applyProtection="1">
      <alignment horizontal="center" vertical="center" wrapText="1"/>
      <protection locked="0"/>
    </xf>
    <xf numFmtId="0" fontId="8" fillId="0" borderId="2" xfId="0" applyFont="1" applyBorder="1" applyAlignment="1" applyProtection="1">
      <alignment horizontal="left" vertical="center" wrapText="1"/>
      <protection locked="0"/>
    </xf>
    <xf numFmtId="0" fontId="15" fillId="0" borderId="20" xfId="3" applyFont="1" applyBorder="1" applyAlignment="1" applyProtection="1">
      <alignment horizontal="center" vertical="center" wrapText="1"/>
      <protection locked="0"/>
    </xf>
    <xf numFmtId="0" fontId="13" fillId="0" borderId="14" xfId="0" applyFont="1" applyBorder="1" applyAlignment="1" applyProtection="1">
      <alignment horizontal="left" vertical="center" wrapText="1"/>
      <protection locked="0"/>
    </xf>
    <xf numFmtId="0" fontId="11" fillId="0" borderId="19" xfId="2" applyFont="1" applyBorder="1" applyAlignment="1" applyProtection="1">
      <alignment horizontal="center" vertical="center"/>
      <protection locked="0"/>
    </xf>
    <xf numFmtId="0" fontId="8" fillId="0" borderId="13" xfId="3" applyFont="1" applyBorder="1" applyAlignment="1" applyProtection="1">
      <alignment horizontal="left" vertical="center" wrapText="1"/>
      <protection locked="0"/>
    </xf>
    <xf numFmtId="0" fontId="8" fillId="0" borderId="68" xfId="3" applyFont="1" applyBorder="1" applyAlignment="1" applyProtection="1">
      <alignment horizontal="left" vertical="center" wrapText="1"/>
      <protection locked="0"/>
    </xf>
    <xf numFmtId="0" fontId="2" fillId="0" borderId="0" xfId="0" applyFont="1" applyAlignment="1" applyProtection="1">
      <alignment horizontal="left" vertical="center"/>
      <protection locked="0"/>
    </xf>
    <xf numFmtId="0" fontId="38" fillId="0" borderId="14" xfId="3" applyFont="1" applyBorder="1" applyAlignment="1" applyProtection="1">
      <alignment horizontal="left" vertical="center" wrapText="1"/>
      <protection locked="0"/>
    </xf>
    <xf numFmtId="0" fontId="11" fillId="0" borderId="14" xfId="3" applyFont="1" applyBorder="1" applyAlignment="1" applyProtection="1">
      <alignment horizontal="left" vertical="center" wrapText="1"/>
      <protection locked="0"/>
    </xf>
    <xf numFmtId="0" fontId="11" fillId="0" borderId="68" xfId="3" applyFont="1" applyBorder="1" applyAlignment="1" applyProtection="1">
      <alignment horizontal="left" vertical="center" wrapText="1"/>
      <protection locked="0"/>
    </xf>
    <xf numFmtId="0" fontId="13" fillId="0" borderId="17" xfId="0" applyFont="1" applyBorder="1" applyAlignment="1" applyProtection="1">
      <alignment horizontal="left" vertical="center" wrapText="1"/>
      <protection locked="0"/>
    </xf>
    <xf numFmtId="0" fontId="10" fillId="0" borderId="49" xfId="0" applyFont="1" applyBorder="1" applyAlignment="1" applyProtection="1">
      <alignment horizontal="center" vertical="center"/>
      <protection locked="0"/>
    </xf>
    <xf numFmtId="0" fontId="8" fillId="0" borderId="49" xfId="0" applyFont="1" applyBorder="1" applyAlignment="1" applyProtection="1">
      <alignment horizontal="center" vertical="center"/>
      <protection locked="0"/>
    </xf>
    <xf numFmtId="0" fontId="8" fillId="0" borderId="49" xfId="3" applyFont="1" applyBorder="1" applyAlignment="1" applyProtection="1">
      <alignment horizontal="center" vertical="center" wrapText="1"/>
      <protection locked="0"/>
    </xf>
    <xf numFmtId="0" fontId="26" fillId="0" borderId="1" xfId="0" applyFont="1" applyBorder="1" applyAlignment="1" applyProtection="1">
      <alignment horizontal="left" vertical="center" wrapText="1"/>
      <protection locked="0"/>
    </xf>
    <xf numFmtId="0" fontId="26" fillId="0" borderId="14" xfId="0" applyFont="1" applyBorder="1" applyAlignment="1" applyProtection="1">
      <alignment horizontal="left" vertical="center" wrapText="1"/>
      <protection locked="0"/>
    </xf>
    <xf numFmtId="0" fontId="8" fillId="12" borderId="17" xfId="3" applyFont="1" applyFill="1" applyBorder="1" applyAlignment="1" applyProtection="1">
      <alignment horizontal="center" vertical="center" wrapText="1"/>
      <protection locked="0"/>
    </xf>
    <xf numFmtId="0" fontId="8" fillId="12" borderId="14" xfId="3" applyFont="1" applyFill="1" applyBorder="1" applyAlignment="1" applyProtection="1">
      <alignment horizontal="left" vertical="center" wrapText="1"/>
      <protection locked="0"/>
    </xf>
    <xf numFmtId="0" fontId="8" fillId="12" borderId="49" xfId="3" applyFont="1" applyFill="1" applyBorder="1" applyAlignment="1" applyProtection="1">
      <alignment horizontal="left" vertical="center" wrapText="1"/>
      <protection locked="0"/>
    </xf>
    <xf numFmtId="0" fontId="8" fillId="12" borderId="15" xfId="3" applyFont="1" applyFill="1" applyBorder="1" applyAlignment="1" applyProtection="1">
      <alignment horizontal="left" vertical="center" wrapText="1"/>
      <protection locked="0"/>
    </xf>
    <xf numFmtId="0" fontId="10" fillId="12" borderId="49" xfId="0" applyFont="1" applyFill="1" applyBorder="1" applyAlignment="1" applyProtection="1">
      <alignment horizontal="center" vertical="center"/>
      <protection locked="0"/>
    </xf>
    <xf numFmtId="0" fontId="8" fillId="12" borderId="49" xfId="0" applyFont="1" applyFill="1" applyBorder="1" applyAlignment="1" applyProtection="1">
      <alignment horizontal="center" vertical="center" wrapText="1"/>
      <protection locked="0"/>
    </xf>
    <xf numFmtId="0" fontId="8" fillId="12" borderId="2" xfId="2" applyFont="1" applyFill="1" applyBorder="1" applyAlignment="1" applyProtection="1">
      <alignment horizontal="center" vertical="center" wrapText="1"/>
      <protection locked="0"/>
    </xf>
    <xf numFmtId="0" fontId="8" fillId="12" borderId="2" xfId="0" applyFont="1" applyFill="1" applyBorder="1" applyAlignment="1" applyProtection="1">
      <alignment horizontal="center" vertical="center" wrapText="1"/>
      <protection locked="0"/>
    </xf>
    <xf numFmtId="0" fontId="37" fillId="12" borderId="2" xfId="2" applyFont="1" applyFill="1" applyBorder="1" applyAlignment="1" applyProtection="1">
      <alignment horizontal="center" vertical="center" wrapText="1"/>
      <protection locked="0"/>
    </xf>
    <xf numFmtId="0" fontId="8" fillId="12" borderId="68" xfId="3" applyFont="1" applyFill="1" applyBorder="1" applyAlignment="1" applyProtection="1">
      <alignment horizontal="left" vertical="center" wrapText="1"/>
      <protection locked="0"/>
    </xf>
    <xf numFmtId="0" fontId="8" fillId="0" borderId="1" xfId="2" applyFont="1" applyBorder="1" applyAlignment="1" applyProtection="1">
      <alignment horizontal="center" vertical="center"/>
      <protection locked="0"/>
    </xf>
    <xf numFmtId="0" fontId="36" fillId="0" borderId="1" xfId="0" applyFont="1" applyBorder="1" applyAlignment="1" applyProtection="1">
      <alignment horizontal="center" vertical="center"/>
      <protection locked="0"/>
    </xf>
    <xf numFmtId="0" fontId="43" fillId="0" borderId="1" xfId="0" applyFont="1" applyBorder="1" applyAlignment="1" applyProtection="1">
      <alignment horizontal="center" vertical="center"/>
      <protection locked="0"/>
    </xf>
    <xf numFmtId="0" fontId="15" fillId="0" borderId="17" xfId="3" applyFont="1" applyBorder="1" applyAlignment="1" applyProtection="1">
      <alignment horizontal="left" vertical="center" wrapText="1"/>
      <protection locked="0"/>
    </xf>
    <xf numFmtId="0" fontId="8" fillId="0" borderId="49" xfId="3" applyFont="1" applyBorder="1" applyAlignment="1" applyProtection="1">
      <alignment horizontal="left" vertical="center" wrapText="1"/>
      <protection locked="0"/>
    </xf>
    <xf numFmtId="0" fontId="15" fillId="0" borderId="36" xfId="3" applyFont="1" applyBorder="1" applyAlignment="1" applyProtection="1">
      <alignment horizontal="left" vertical="center" wrapText="1"/>
      <protection locked="0"/>
    </xf>
    <xf numFmtId="0" fontId="15" fillId="0" borderId="2" xfId="3" applyFont="1" applyBorder="1" applyAlignment="1" applyProtection="1">
      <alignment vertical="center" wrapText="1"/>
      <protection locked="0"/>
    </xf>
    <xf numFmtId="0" fontId="15" fillId="0" borderId="15" xfId="3" applyFont="1" applyBorder="1" applyAlignment="1" applyProtection="1">
      <alignment vertical="center" wrapText="1"/>
      <protection locked="0"/>
    </xf>
    <xf numFmtId="0" fontId="15" fillId="0" borderId="1" xfId="3" applyFont="1" applyBorder="1" applyAlignment="1" applyProtection="1">
      <alignment vertical="center" wrapText="1"/>
      <protection locked="0"/>
    </xf>
    <xf numFmtId="0" fontId="15" fillId="0" borderId="14" xfId="3" applyFont="1" applyBorder="1" applyAlignment="1" applyProtection="1">
      <alignment vertical="center" wrapText="1"/>
      <protection locked="0"/>
    </xf>
    <xf numFmtId="0" fontId="2" fillId="0" borderId="1" xfId="3" applyFont="1" applyBorder="1" applyAlignment="1">
      <alignment vertical="center" wrapText="1"/>
    </xf>
    <xf numFmtId="0" fontId="8" fillId="0" borderId="36" xfId="3" applyFont="1" applyBorder="1" applyAlignment="1" applyProtection="1">
      <alignment vertical="center" wrapText="1"/>
      <protection locked="0"/>
    </xf>
    <xf numFmtId="0" fontId="8" fillId="0" borderId="13" xfId="3" applyFont="1" applyBorder="1" applyAlignment="1">
      <alignment horizontal="center" vertical="center" wrapText="1"/>
    </xf>
    <xf numFmtId="0" fontId="8" fillId="0" borderId="50" xfId="3" applyFont="1" applyBorder="1" applyAlignment="1" applyProtection="1">
      <alignment vertical="center" wrapText="1"/>
      <protection locked="0"/>
    </xf>
    <xf numFmtId="0" fontId="2" fillId="0" borderId="1" xfId="3" applyFont="1" applyBorder="1" applyAlignment="1" applyProtection="1">
      <alignment vertical="center" wrapText="1"/>
      <protection locked="0"/>
    </xf>
    <xf numFmtId="0" fontId="8" fillId="0" borderId="50" xfId="3" applyFont="1" applyBorder="1" applyAlignment="1" applyProtection="1">
      <alignment horizontal="center" vertical="center" wrapText="1"/>
      <protection locked="0"/>
    </xf>
    <xf numFmtId="0" fontId="44" fillId="0" borderId="69" xfId="0" applyFont="1" applyBorder="1" applyAlignment="1">
      <alignment horizontal="center" vertical="top"/>
    </xf>
    <xf numFmtId="0" fontId="8" fillId="2" borderId="27" xfId="14" applyFont="1" applyFill="1" applyBorder="1" applyAlignment="1">
      <alignment horizontal="center" vertical="center" wrapText="1"/>
    </xf>
    <xf numFmtId="0" fontId="10" fillId="0" borderId="0" xfId="0" applyFont="1" applyProtection="1">
      <protection locked="0"/>
    </xf>
    <xf numFmtId="0" fontId="8" fillId="0" borderId="0" xfId="0" applyFont="1" applyAlignment="1" applyProtection="1">
      <alignment horizontal="center"/>
      <protection locked="0"/>
    </xf>
    <xf numFmtId="0" fontId="8" fillId="0" borderId="0" xfId="0" applyFont="1" applyAlignment="1" applyProtection="1">
      <alignment wrapText="1"/>
      <protection locked="0"/>
    </xf>
    <xf numFmtId="0" fontId="8" fillId="0" borderId="0" xfId="0" applyFont="1" applyProtection="1">
      <protection locked="0"/>
    </xf>
    <xf numFmtId="0" fontId="8" fillId="3" borderId="62" xfId="14" applyFont="1" applyFill="1" applyBorder="1" applyAlignment="1">
      <alignment horizontal="center" vertical="center" wrapText="1"/>
    </xf>
    <xf numFmtId="0" fontId="0" fillId="0" borderId="63" xfId="0" applyBorder="1"/>
    <xf numFmtId="0" fontId="10" fillId="3" borderId="28" xfId="2" applyFont="1" applyFill="1" applyBorder="1" applyAlignment="1">
      <alignment horizontal="center" vertical="center" wrapText="1"/>
    </xf>
    <xf numFmtId="0" fontId="0" fillId="0" borderId="30" xfId="0" applyBorder="1"/>
    <xf numFmtId="0" fontId="8" fillId="5" borderId="28" xfId="2" applyFont="1" applyFill="1" applyBorder="1" applyAlignment="1">
      <alignment horizontal="center" vertical="center"/>
    </xf>
    <xf numFmtId="0" fontId="0" fillId="0" borderId="32" xfId="0" applyBorder="1"/>
    <xf numFmtId="0" fontId="0" fillId="0" borderId="33" xfId="0" applyBorder="1"/>
    <xf numFmtId="0" fontId="13" fillId="0" borderId="36" xfId="3" applyFont="1" applyBorder="1" applyAlignment="1" applyProtection="1">
      <alignment horizontal="center" vertical="center" wrapText="1"/>
      <protection locked="0"/>
    </xf>
    <xf numFmtId="0" fontId="0" fillId="0" borderId="50" xfId="0" applyBorder="1"/>
    <xf numFmtId="0" fontId="13" fillId="10" borderId="1" xfId="3" applyFont="1" applyFill="1" applyBorder="1" applyAlignment="1">
      <alignment horizontal="center" vertical="center" wrapText="1"/>
    </xf>
    <xf numFmtId="0" fontId="0" fillId="0" borderId="3" xfId="0" applyBorder="1"/>
    <xf numFmtId="0" fontId="15" fillId="0" borderId="36" xfId="3" applyFont="1" applyBorder="1" applyAlignment="1" applyProtection="1">
      <alignment horizontal="center" vertical="center" wrapText="1"/>
      <protection locked="0"/>
    </xf>
    <xf numFmtId="0" fontId="0" fillId="0" borderId="29" xfId="0" applyBorder="1"/>
    <xf numFmtId="0" fontId="27" fillId="8" borderId="34" xfId="3" applyFont="1" applyFill="1" applyBorder="1" applyAlignment="1" applyProtection="1">
      <alignment horizontal="center" vertical="center" wrapText="1"/>
      <protection locked="0"/>
    </xf>
    <xf numFmtId="0" fontId="2" fillId="0" borderId="28" xfId="10" applyFont="1" applyBorder="1" applyAlignment="1">
      <alignment horizontal="center" vertical="top" textRotation="90"/>
    </xf>
    <xf numFmtId="0" fontId="2" fillId="0" borderId="28" xfId="10" applyFont="1" applyBorder="1" applyAlignment="1">
      <alignment horizontal="center" vertical="top" textRotation="90" wrapText="1"/>
    </xf>
  </cellXfs>
  <cellStyles count="16">
    <cellStyle name="Check Cell" xfId="7" builtinId="23"/>
    <cellStyle name="Normal" xfId="0" builtinId="0"/>
    <cellStyle name="Normal 2" xfId="1" xr:uid="{00000000-0005-0000-0000-000001000000}"/>
    <cellStyle name="Normal 2 2" xfId="4" xr:uid="{00000000-0005-0000-0000-000004000000}"/>
    <cellStyle name="Normal 2 2 2" xfId="9" xr:uid="{00000000-0005-0000-0000-000009000000}"/>
    <cellStyle name="Normal 2 2 3" xfId="14" xr:uid="{00000000-0005-0000-0000-00000E000000}"/>
    <cellStyle name="Normal 2 2 3 2" xfId="15" xr:uid="{00000000-0005-0000-0000-00000F000000}"/>
    <cellStyle name="Normal 2 3" xfId="8" xr:uid="{00000000-0005-0000-0000-000008000000}"/>
    <cellStyle name="Normal 2 4" xfId="13" xr:uid="{00000000-0005-0000-0000-00000D000000}"/>
    <cellStyle name="Normal 3" xfId="3" xr:uid="{00000000-0005-0000-0000-000003000000}"/>
    <cellStyle name="Normal 3 2" xfId="6" xr:uid="{00000000-0005-0000-0000-000006000000}"/>
    <cellStyle name="Normal 4" xfId="5" xr:uid="{00000000-0005-0000-0000-000005000000}"/>
    <cellStyle name="Normal 4 2" xfId="10" xr:uid="{00000000-0005-0000-0000-00000A000000}"/>
    <cellStyle name="Normal 4 2 2" xfId="12" xr:uid="{00000000-0005-0000-0000-00000C000000}"/>
    <cellStyle name="Normal 5" xfId="2" xr:uid="{00000000-0005-0000-0000-000002000000}"/>
    <cellStyle name="Percent" xfId="11" builtinId="5"/>
  </cellStyles>
  <dxfs count="180">
    <dxf>
      <font>
        <color rgb="FF9C0006"/>
      </font>
      <fill>
        <patternFill>
          <bgColor rgb="FFFFC7CE"/>
        </patternFill>
      </fill>
    </dxf>
    <dxf>
      <font>
        <color rgb="FF9C0006"/>
      </font>
      <fill>
        <patternFill>
          <bgColor rgb="FFFFC7CE"/>
        </patternFill>
      </fill>
    </dxf>
    <dxf>
      <fill>
        <patternFill patternType="solid">
          <fgColor indexed="64"/>
          <bgColor theme="6" tint="0.79998168889431442"/>
        </patternFill>
      </fill>
    </dxf>
    <dxf>
      <fill>
        <patternFill>
          <bgColor rgb="FFFFD44B"/>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theme="9" tint="0.39994506668294322"/>
        </patternFill>
      </fill>
    </dxf>
    <dxf>
      <fill>
        <patternFill>
          <bgColor theme="9" tint="0.59996337778862885"/>
        </patternFill>
      </fill>
    </dxf>
    <dxf>
      <fill>
        <patternFill patternType="solid">
          <fgColor indexed="64"/>
          <bgColor theme="4" tint="0.59999389629810485"/>
        </patternFill>
      </fill>
    </dxf>
    <dxf>
      <fill>
        <patternFill patternType="solid">
          <fgColor indexed="64"/>
          <bgColor theme="4" tint="0.79998168889431442"/>
        </patternFill>
      </fill>
    </dxf>
    <dxf>
      <fill>
        <patternFill>
          <bgColor rgb="FF4685D2"/>
        </patternFill>
      </fill>
    </dxf>
    <dxf>
      <fill>
        <patternFill>
          <bgColor rgb="FF99BCE7"/>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rgb="FFE3E0CF"/>
        </patternFill>
      </fill>
    </dxf>
    <dxf>
      <fill>
        <patternFill>
          <bgColor theme="6" tint="0.39994506668294322"/>
        </patternFill>
      </fill>
    </dxf>
    <dxf>
      <fill>
        <patternFill>
          <bgColor rgb="FFDDE8C6"/>
        </patternFill>
      </fill>
    </dxf>
    <dxf>
      <fill>
        <patternFill patternType="solid">
          <fgColor indexed="64"/>
          <bgColor rgb="FFDCC97A"/>
        </patternFill>
      </fill>
    </dxf>
    <dxf>
      <fill>
        <patternFill patternType="solid">
          <fgColor indexed="64"/>
          <bgColor rgb="FFE7D480"/>
        </patternFill>
      </fill>
    </dxf>
    <dxf>
      <fill>
        <patternFill patternType="solid">
          <fgColor indexed="64"/>
          <bgColor rgb="FFE4E300"/>
        </patternFill>
      </fill>
    </dxf>
    <dxf>
      <fill>
        <patternFill>
          <bgColor theme="7" tint="0.39994506668294322"/>
        </patternFill>
      </fill>
    </dxf>
    <dxf>
      <fill>
        <patternFill>
          <bgColor theme="7" tint="0.59996337778862885"/>
        </patternFill>
      </fill>
    </dxf>
    <dxf>
      <fill>
        <patternFill>
          <bgColor rgb="FFE1AAA9"/>
        </patternFill>
      </fill>
    </dxf>
    <dxf>
      <fill>
        <patternFill>
          <bgColor rgb="FFF2DBDA"/>
        </patternFill>
      </fill>
    </dxf>
    <dxf>
      <fill>
        <patternFill patternType="solid">
          <fgColor indexed="64"/>
          <bgColor rgb="FF9E004F"/>
        </patternFill>
      </fill>
    </dxf>
    <dxf>
      <fill>
        <patternFill patternType="solid">
          <fgColor indexed="64"/>
          <bgColor rgb="FFBA005D"/>
        </patternFill>
      </fill>
    </dxf>
    <dxf>
      <fill>
        <patternFill>
          <bgColor rgb="FFEEB400"/>
        </patternFill>
      </fill>
    </dxf>
    <dxf>
      <font>
        <color rgb="FF9C0006"/>
      </font>
      <fill>
        <patternFill>
          <bgColor rgb="FFFFC7CE"/>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theme="9" tint="0.39994506668294322"/>
        </patternFill>
      </fill>
    </dxf>
    <dxf>
      <fill>
        <patternFill>
          <bgColor theme="9" tint="0.59996337778862885"/>
        </patternFill>
      </fill>
    </dxf>
    <dxf>
      <fill>
        <patternFill patternType="solid">
          <fgColor indexed="64"/>
          <bgColor theme="4" tint="0.59999389629810485"/>
        </patternFill>
      </fill>
    </dxf>
    <dxf>
      <fill>
        <patternFill patternType="solid">
          <fgColor indexed="64"/>
          <bgColor theme="4" tint="0.79998168889431442"/>
        </patternFill>
      </fill>
    </dxf>
    <dxf>
      <fill>
        <patternFill>
          <bgColor rgb="FF4685D2"/>
        </patternFill>
      </fill>
    </dxf>
    <dxf>
      <fill>
        <patternFill>
          <bgColor rgb="FF99BCE7"/>
        </patternFill>
      </fill>
    </dxf>
    <dxf>
      <fill>
        <patternFill patternType="solid">
          <fgColor indexed="64"/>
          <bgColor theme="6" tint="0.59999389629810485"/>
        </patternFill>
      </fill>
    </dxf>
    <dxf>
      <fill>
        <patternFill patternType="solid">
          <fgColor indexed="64"/>
          <bgColor theme="6" tint="0.79998168889431442"/>
        </patternFill>
      </fill>
    </dxf>
    <dxf>
      <fill>
        <patternFill patternType="solid">
          <fgColor indexed="64"/>
          <bgColor theme="0" tint="-4.9989318521683403E-2"/>
        </patternFill>
      </fill>
    </dxf>
    <dxf>
      <fill>
        <patternFill>
          <bgColor rgb="FFFF0000"/>
        </patternFill>
      </fill>
    </dxf>
    <dxf>
      <fill>
        <patternFill>
          <bgColor rgb="FFFFD44B"/>
        </patternFill>
      </fill>
    </dxf>
    <dxf>
      <fill>
        <patternFill>
          <bgColor theme="2" tint="-0.24994659260841701"/>
        </patternFill>
      </fill>
    </dxf>
    <dxf>
      <fill>
        <patternFill>
          <bgColor rgb="FFE3E0CF"/>
        </patternFill>
      </fill>
    </dxf>
    <dxf>
      <fill>
        <patternFill>
          <bgColor theme="6" tint="0.39994506668294322"/>
        </patternFill>
      </fill>
    </dxf>
    <dxf>
      <fill>
        <patternFill>
          <bgColor rgb="FFDDE8C6"/>
        </patternFill>
      </fill>
    </dxf>
    <dxf>
      <fill>
        <patternFill patternType="solid">
          <fgColor indexed="64"/>
          <bgColor rgb="FFDCC97A"/>
        </patternFill>
      </fill>
    </dxf>
    <dxf>
      <fill>
        <patternFill patternType="solid">
          <fgColor indexed="64"/>
          <bgColor rgb="FFE7D480"/>
        </patternFill>
      </fill>
    </dxf>
    <dxf>
      <fill>
        <patternFill patternType="solid">
          <fgColor indexed="64"/>
          <bgColor rgb="FFE4E300"/>
        </patternFill>
      </fill>
    </dxf>
    <dxf>
      <fill>
        <patternFill>
          <bgColor theme="7" tint="0.39994506668294322"/>
        </patternFill>
      </fill>
    </dxf>
    <dxf>
      <fill>
        <patternFill>
          <bgColor theme="7" tint="0.59996337778862885"/>
        </patternFill>
      </fill>
    </dxf>
    <dxf>
      <fill>
        <patternFill>
          <bgColor rgb="FFE1AAA9"/>
        </patternFill>
      </fill>
    </dxf>
    <dxf>
      <fill>
        <patternFill>
          <bgColor rgb="FFF2DBDA"/>
        </patternFill>
      </fill>
    </dxf>
    <dxf>
      <fill>
        <patternFill patternType="solid">
          <fgColor indexed="64"/>
          <bgColor rgb="FF9E004F"/>
        </patternFill>
      </fill>
    </dxf>
    <dxf>
      <fill>
        <patternFill>
          <bgColor rgb="FFEEB400"/>
        </patternFill>
      </fill>
    </dxf>
    <dxf>
      <fill>
        <patternFill patternType="solid">
          <fgColor indexed="64"/>
          <bgColor rgb="FFBA005D"/>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28916</xdr:rowOff>
    </xdr:from>
    <xdr:ext cx="935182" cy="411480"/>
    <xdr:pic>
      <xdr:nvPicPr>
        <xdr:cNvPr id="2"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rcRect t="26785" b="35417"/>
        <a:stretch>
          <a:fillRect/>
        </a:stretch>
      </xdr:blipFill>
      <xdr:spPr bwMode="auto">
        <a:xfrm>
          <a:off x="0" y="28916"/>
          <a:ext cx="935182" cy="411480"/>
        </a:xfrm>
        <a:prstGeom prst="rect">
          <a:avLst/>
        </a:prstGeom>
        <a:noFill/>
        <a:ln>
          <a:noFill/>
          <a:prstDash val="solid"/>
        </a:ln>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9" tint="-0.499984740745262"/>
  </sheetPr>
  <dimension ref="A1:XEN236"/>
  <sheetViews>
    <sheetView tabSelected="1" zoomScale="70" zoomScaleNormal="70" workbookViewId="0">
      <pane xSplit="4" ySplit="3" topLeftCell="E94" activePane="bottomRight" state="frozen"/>
      <selection pane="topRight" activeCell="E1" sqref="E1"/>
      <selection pane="bottomLeft" activeCell="A4" sqref="A4"/>
      <selection pane="bottomRight" activeCell="N99" sqref="N99"/>
    </sheetView>
  </sheetViews>
  <sheetFormatPr baseColWidth="10" defaultColWidth="8.83203125" defaultRowHeight="16" outlineLevelCol="1" x14ac:dyDescent="0.2"/>
  <cols>
    <col min="1" max="1" width="7.5" style="145" hidden="1" customWidth="1"/>
    <col min="2" max="2" width="26" style="224" customWidth="1"/>
    <col min="3" max="3" width="36.5" style="223" hidden="1" customWidth="1"/>
    <col min="4" max="4" width="72.5" style="222" customWidth="1"/>
    <col min="5" max="5" width="9.5" style="145" hidden="1" customWidth="1"/>
    <col min="6" max="6" width="15.83203125" style="145" customWidth="1"/>
    <col min="7" max="7" width="12.5" style="145" hidden="1" customWidth="1"/>
    <col min="8" max="8" width="41" style="145" hidden="1" customWidth="1"/>
    <col min="9" max="9" width="33" style="145" hidden="1" customWidth="1"/>
    <col min="10" max="10" width="41.83203125" style="145" hidden="1" customWidth="1"/>
    <col min="11" max="11" width="33.1640625" style="145" hidden="1" customWidth="1"/>
    <col min="12" max="12" width="47.5" style="145" customWidth="1"/>
    <col min="13" max="13" width="22.5" style="145" customWidth="1"/>
    <col min="14" max="14" width="40.83203125" style="145" customWidth="1"/>
    <col min="15" max="15" width="15" style="326" hidden="1" customWidth="1"/>
    <col min="16" max="16" width="8.83203125" style="156" hidden="1" customWidth="1"/>
    <col min="17" max="17" width="8.83203125" style="145" hidden="1" customWidth="1"/>
    <col min="18" max="18" width="20.5" style="193" hidden="1" customWidth="1"/>
    <col min="19" max="19" width="8.83203125" style="145" hidden="1" customWidth="1" outlineLevel="1"/>
    <col min="20" max="20" width="8.83203125" style="145" hidden="1" customWidth="1" collapsed="1"/>
    <col min="21" max="21" width="8.83203125" style="145" hidden="1" customWidth="1"/>
    <col min="22" max="22" width="15.5" style="325" hidden="1" customWidth="1"/>
    <col min="23" max="23" width="11.5" style="325" customWidth="1"/>
    <col min="24" max="24" width="10.5" style="145" hidden="1" customWidth="1" outlineLevel="1"/>
    <col min="25" max="25" width="8.83203125" style="145" customWidth="1" collapsed="1"/>
    <col min="26" max="26" width="8.83203125" style="145" customWidth="1"/>
    <col min="27" max="16384" width="8.83203125" style="145"/>
  </cols>
  <sheetData>
    <row r="1" spans="1:24" ht="18.75" customHeight="1" thickBot="1" x14ac:dyDescent="0.25">
      <c r="A1" s="493" t="s">
        <v>0</v>
      </c>
      <c r="B1" s="494"/>
      <c r="C1" s="495"/>
      <c r="D1" s="496"/>
      <c r="E1" s="497"/>
      <c r="F1" s="497"/>
      <c r="G1" s="497"/>
      <c r="H1" s="497"/>
      <c r="I1" s="497"/>
      <c r="J1" s="497"/>
      <c r="K1" s="497"/>
      <c r="L1" s="497"/>
      <c r="M1" s="497"/>
      <c r="N1" s="497"/>
      <c r="O1" s="266"/>
      <c r="P1" s="138"/>
      <c r="R1" s="138"/>
      <c r="V1" s="267"/>
      <c r="W1" s="267"/>
    </row>
    <row r="2" spans="1:24" ht="15" customHeight="1" thickBot="1" x14ac:dyDescent="0.25">
      <c r="A2" s="498" t="s">
        <v>1</v>
      </c>
      <c r="B2" s="499"/>
      <c r="C2" s="499"/>
      <c r="D2" s="499"/>
      <c r="E2" s="499"/>
      <c r="F2" s="499"/>
      <c r="G2" s="499"/>
      <c r="H2" s="499"/>
      <c r="I2" s="499"/>
      <c r="J2" s="499"/>
      <c r="K2" s="499"/>
      <c r="L2" s="499"/>
      <c r="M2" s="499"/>
      <c r="N2" s="500" t="s">
        <v>2</v>
      </c>
      <c r="O2" s="266"/>
      <c r="P2" s="138"/>
      <c r="V2" s="267"/>
      <c r="W2" s="267"/>
    </row>
    <row r="3" spans="1:24" s="224" customFormat="1" ht="61.5" customHeight="1" thickBot="1" x14ac:dyDescent="0.25">
      <c r="A3" s="221" t="s">
        <v>3</v>
      </c>
      <c r="B3" s="220" t="s">
        <v>4</v>
      </c>
      <c r="C3" s="218" t="s">
        <v>5</v>
      </c>
      <c r="D3" s="220" t="s">
        <v>6</v>
      </c>
      <c r="E3" s="219" t="s">
        <v>7</v>
      </c>
      <c r="F3" s="220" t="s">
        <v>8</v>
      </c>
      <c r="G3" s="219" t="s">
        <v>9</v>
      </c>
      <c r="H3" s="218" t="s">
        <v>10</v>
      </c>
      <c r="I3" s="218" t="s">
        <v>11</v>
      </c>
      <c r="J3" s="217" t="s">
        <v>12</v>
      </c>
      <c r="K3" s="217" t="s">
        <v>13</v>
      </c>
      <c r="L3" s="216" t="s">
        <v>14</v>
      </c>
      <c r="M3" s="216" t="s">
        <v>15</v>
      </c>
      <c r="N3" s="501"/>
      <c r="O3" s="262" t="s">
        <v>16</v>
      </c>
      <c r="P3" s="239"/>
      <c r="R3" s="345" t="s">
        <v>17</v>
      </c>
      <c r="V3" s="262" t="s">
        <v>18</v>
      </c>
      <c r="W3" s="263" t="s">
        <v>19</v>
      </c>
      <c r="X3" s="263" t="s">
        <v>20</v>
      </c>
    </row>
    <row r="4" spans="1:24" ht="18" customHeight="1" thickBot="1" x14ac:dyDescent="0.25">
      <c r="A4" s="502" t="s">
        <v>21</v>
      </c>
      <c r="B4" s="503"/>
      <c r="C4" s="503"/>
      <c r="D4" s="503"/>
      <c r="E4" s="503"/>
      <c r="F4" s="503"/>
      <c r="G4" s="503"/>
      <c r="H4" s="503"/>
      <c r="I4" s="503"/>
      <c r="J4" s="503"/>
      <c r="K4" s="503"/>
      <c r="L4" s="503"/>
      <c r="M4" s="503"/>
      <c r="N4" s="504"/>
      <c r="O4" s="266"/>
      <c r="P4" s="138"/>
      <c r="R4" s="193" t="s">
        <v>22</v>
      </c>
      <c r="V4" s="267"/>
      <c r="W4" s="264" t="str">
        <f>IF(V4="","",V4*T4)</f>
        <v/>
      </c>
      <c r="X4" s="138" t="str">
        <f t="shared" ref="X4:X14" si="0">IF(R4="yes",W4,"")</f>
        <v/>
      </c>
    </row>
    <row r="5" spans="1:24" ht="26.25" customHeight="1" x14ac:dyDescent="0.2">
      <c r="A5" s="62" t="s">
        <v>23</v>
      </c>
      <c r="B5" s="230" t="s">
        <v>24</v>
      </c>
      <c r="C5" s="235"/>
      <c r="D5" s="142" t="s">
        <v>24</v>
      </c>
      <c r="E5" s="141">
        <f t="shared" ref="E5:E20" si="1">LEN(D5)</f>
        <v>5</v>
      </c>
      <c r="F5" s="141" t="s">
        <v>25</v>
      </c>
      <c r="G5" s="141" t="s">
        <v>23</v>
      </c>
      <c r="H5" s="141" t="s">
        <v>23</v>
      </c>
      <c r="I5" s="141" t="s">
        <v>26</v>
      </c>
      <c r="J5" s="140" t="s">
        <v>27</v>
      </c>
      <c r="K5" s="215" t="s">
        <v>23</v>
      </c>
      <c r="L5" s="215" t="s">
        <v>23</v>
      </c>
      <c r="M5" s="44"/>
      <c r="N5" s="9"/>
      <c r="O5" s="266"/>
      <c r="P5" s="138"/>
      <c r="R5" s="193" t="s">
        <v>22</v>
      </c>
      <c r="V5" s="265">
        <v>0</v>
      </c>
      <c r="W5" s="264">
        <f t="shared" ref="W5:W14" si="2">IF(V5="","",V5*O5)</f>
        <v>0</v>
      </c>
      <c r="X5" s="138" t="str">
        <f t="shared" si="0"/>
        <v/>
      </c>
    </row>
    <row r="6" spans="1:24" ht="17" x14ac:dyDescent="0.2">
      <c r="A6" s="62" t="s">
        <v>23</v>
      </c>
      <c r="B6" s="188" t="s">
        <v>28</v>
      </c>
      <c r="C6" s="143" t="s">
        <v>28</v>
      </c>
      <c r="D6" s="161" t="s">
        <v>29</v>
      </c>
      <c r="E6" s="141">
        <f t="shared" si="1"/>
        <v>48</v>
      </c>
      <c r="F6" s="141" t="s">
        <v>25</v>
      </c>
      <c r="G6" s="141" t="s">
        <v>23</v>
      </c>
      <c r="H6" s="141" t="s">
        <v>23</v>
      </c>
      <c r="I6" s="141" t="s">
        <v>26</v>
      </c>
      <c r="J6" s="140" t="s">
        <v>30</v>
      </c>
      <c r="K6" s="215" t="s">
        <v>23</v>
      </c>
      <c r="L6" s="215" t="s">
        <v>23</v>
      </c>
      <c r="M6" s="44"/>
      <c r="N6" s="25"/>
      <c r="O6" s="266"/>
      <c r="P6" s="138"/>
      <c r="R6" s="193" t="s">
        <v>31</v>
      </c>
      <c r="V6" s="265">
        <v>0</v>
      </c>
      <c r="W6" s="264">
        <f t="shared" si="2"/>
        <v>0</v>
      </c>
      <c r="X6" s="138">
        <f t="shared" si="0"/>
        <v>0</v>
      </c>
    </row>
    <row r="7" spans="1:24" ht="124" customHeight="1" x14ac:dyDescent="0.2">
      <c r="A7" s="19" t="s">
        <v>23</v>
      </c>
      <c r="B7" s="180" t="s">
        <v>32</v>
      </c>
      <c r="C7" s="143" t="s">
        <v>32</v>
      </c>
      <c r="D7" s="161" t="s">
        <v>33</v>
      </c>
      <c r="E7" s="149">
        <f t="shared" si="1"/>
        <v>146</v>
      </c>
      <c r="F7" s="155" t="s">
        <v>34</v>
      </c>
      <c r="G7" s="149" t="s">
        <v>23</v>
      </c>
      <c r="H7" s="149" t="s">
        <v>23</v>
      </c>
      <c r="I7" s="149" t="s">
        <v>35</v>
      </c>
      <c r="J7" s="148" t="s">
        <v>36</v>
      </c>
      <c r="K7" s="215" t="s">
        <v>23</v>
      </c>
      <c r="L7" s="204" t="s">
        <v>23</v>
      </c>
      <c r="M7" s="45"/>
      <c r="N7" s="10"/>
      <c r="O7" s="266"/>
      <c r="P7" s="138"/>
      <c r="R7" s="193" t="s">
        <v>22</v>
      </c>
      <c r="V7" s="265">
        <v>14.69530773162842</v>
      </c>
      <c r="W7" s="264">
        <f t="shared" si="2"/>
        <v>0</v>
      </c>
      <c r="X7" s="138" t="str">
        <f t="shared" si="0"/>
        <v/>
      </c>
    </row>
    <row r="8" spans="1:24" ht="37.5" customHeight="1" x14ac:dyDescent="0.2">
      <c r="A8" s="19" t="s">
        <v>23</v>
      </c>
      <c r="B8" s="180" t="s">
        <v>37</v>
      </c>
      <c r="C8" s="143" t="s">
        <v>38</v>
      </c>
      <c r="D8" s="214" t="s">
        <v>39</v>
      </c>
      <c r="E8" s="149">
        <f t="shared" si="1"/>
        <v>29</v>
      </c>
      <c r="F8" s="155" t="s">
        <v>23</v>
      </c>
      <c r="G8" s="155" t="s">
        <v>23</v>
      </c>
      <c r="H8" s="155" t="s">
        <v>23</v>
      </c>
      <c r="I8" s="155" t="s">
        <v>23</v>
      </c>
      <c r="J8" s="213" t="s">
        <v>40</v>
      </c>
      <c r="K8" s="215" t="s">
        <v>23</v>
      </c>
      <c r="L8" s="212" t="s">
        <v>23</v>
      </c>
      <c r="M8" s="46"/>
      <c r="N8" s="11"/>
      <c r="O8" s="266"/>
      <c r="P8" s="138"/>
      <c r="R8" s="193" t="s">
        <v>22</v>
      </c>
      <c r="V8" s="265">
        <v>0</v>
      </c>
      <c r="W8" s="264">
        <f t="shared" si="2"/>
        <v>0</v>
      </c>
      <c r="X8" s="138" t="str">
        <f t="shared" si="0"/>
        <v/>
      </c>
    </row>
    <row r="9" spans="1:24" ht="37.5" customHeight="1" x14ac:dyDescent="0.2">
      <c r="A9" s="19" t="s">
        <v>23</v>
      </c>
      <c r="B9" s="180" t="s">
        <v>41</v>
      </c>
      <c r="C9" s="143" t="s">
        <v>42</v>
      </c>
      <c r="D9" s="214" t="s">
        <v>43</v>
      </c>
      <c r="E9" s="149">
        <f t="shared" si="1"/>
        <v>31</v>
      </c>
      <c r="F9" s="155" t="s">
        <v>23</v>
      </c>
      <c r="G9" s="155" t="s">
        <v>23</v>
      </c>
      <c r="H9" s="155" t="s">
        <v>23</v>
      </c>
      <c r="I9" s="155" t="s">
        <v>23</v>
      </c>
      <c r="J9" s="213" t="s">
        <v>44</v>
      </c>
      <c r="K9" s="215" t="s">
        <v>23</v>
      </c>
      <c r="L9" s="212" t="s">
        <v>23</v>
      </c>
      <c r="M9" s="46"/>
      <c r="N9" s="11"/>
      <c r="O9" s="266"/>
      <c r="P9" s="138"/>
      <c r="R9" s="193" t="s">
        <v>22</v>
      </c>
      <c r="V9" s="265">
        <v>0</v>
      </c>
      <c r="W9" s="264">
        <f t="shared" si="2"/>
        <v>0</v>
      </c>
      <c r="X9" s="138" t="str">
        <f t="shared" si="0"/>
        <v/>
      </c>
    </row>
    <row r="10" spans="1:24" ht="37.5" customHeight="1" x14ac:dyDescent="0.2">
      <c r="A10" s="19" t="s">
        <v>23</v>
      </c>
      <c r="B10" s="180" t="s">
        <v>45</v>
      </c>
      <c r="C10" s="143" t="s">
        <v>46</v>
      </c>
      <c r="D10" s="214" t="s">
        <v>47</v>
      </c>
      <c r="E10" s="149">
        <f t="shared" si="1"/>
        <v>34</v>
      </c>
      <c r="F10" s="155" t="s">
        <v>23</v>
      </c>
      <c r="G10" s="155" t="s">
        <v>23</v>
      </c>
      <c r="H10" s="155" t="s">
        <v>23</v>
      </c>
      <c r="I10" s="155" t="s">
        <v>23</v>
      </c>
      <c r="J10" s="213" t="s">
        <v>48</v>
      </c>
      <c r="K10" s="215" t="s">
        <v>23</v>
      </c>
      <c r="L10" s="212" t="s">
        <v>23</v>
      </c>
      <c r="M10" s="46"/>
      <c r="N10" s="11"/>
      <c r="O10" s="266"/>
      <c r="P10" s="138"/>
      <c r="R10" s="193" t="s">
        <v>22</v>
      </c>
      <c r="V10" s="265">
        <v>0</v>
      </c>
      <c r="W10" s="264">
        <f t="shared" si="2"/>
        <v>0</v>
      </c>
      <c r="X10" s="138" t="str">
        <f t="shared" si="0"/>
        <v/>
      </c>
    </row>
    <row r="11" spans="1:24" ht="37.5" customHeight="1" x14ac:dyDescent="0.2">
      <c r="A11" s="19" t="s">
        <v>23</v>
      </c>
      <c r="B11" s="180" t="s">
        <v>49</v>
      </c>
      <c r="C11" s="143" t="s">
        <v>50</v>
      </c>
      <c r="D11" s="214" t="s">
        <v>51</v>
      </c>
      <c r="E11" s="149">
        <f t="shared" si="1"/>
        <v>41</v>
      </c>
      <c r="F11" s="155" t="s">
        <v>23</v>
      </c>
      <c r="G11" s="155" t="s">
        <v>23</v>
      </c>
      <c r="H11" s="155" t="s">
        <v>23</v>
      </c>
      <c r="I11" s="155" t="s">
        <v>23</v>
      </c>
      <c r="J11" s="213" t="s">
        <v>52</v>
      </c>
      <c r="K11" s="215" t="s">
        <v>23</v>
      </c>
      <c r="L11" s="212" t="s">
        <v>23</v>
      </c>
      <c r="M11" s="46"/>
      <c r="N11" s="11"/>
      <c r="O11" s="266"/>
      <c r="P11" s="138"/>
      <c r="R11" s="193" t="s">
        <v>22</v>
      </c>
      <c r="V11" s="265">
        <v>0</v>
      </c>
      <c r="W11" s="264">
        <f t="shared" si="2"/>
        <v>0</v>
      </c>
      <c r="X11" s="138" t="str">
        <f t="shared" si="0"/>
        <v/>
      </c>
    </row>
    <row r="12" spans="1:24" ht="89" customHeight="1" x14ac:dyDescent="0.2">
      <c r="A12" s="19" t="s">
        <v>23</v>
      </c>
      <c r="B12" s="180" t="s">
        <v>53</v>
      </c>
      <c r="C12" s="143" t="s">
        <v>53</v>
      </c>
      <c r="D12" s="421" t="s">
        <v>54</v>
      </c>
      <c r="E12" s="149">
        <f t="shared" si="1"/>
        <v>148</v>
      </c>
      <c r="F12" s="155" t="s">
        <v>34</v>
      </c>
      <c r="G12" s="149" t="s">
        <v>23</v>
      </c>
      <c r="H12" s="149" t="s">
        <v>23</v>
      </c>
      <c r="I12" s="149" t="s">
        <v>35</v>
      </c>
      <c r="J12" s="420" t="s">
        <v>55</v>
      </c>
      <c r="K12" s="215" t="s">
        <v>23</v>
      </c>
      <c r="L12" s="211" t="s">
        <v>56</v>
      </c>
      <c r="M12" s="47"/>
      <c r="N12" s="12" t="s">
        <v>57</v>
      </c>
      <c r="O12" s="266"/>
      <c r="P12" s="138"/>
      <c r="R12" s="193" t="s">
        <v>22</v>
      </c>
      <c r="V12" s="265">
        <v>3.103272438049316</v>
      </c>
      <c r="W12" s="264">
        <f t="shared" si="2"/>
        <v>0</v>
      </c>
      <c r="X12" s="138" t="str">
        <f t="shared" si="0"/>
        <v/>
      </c>
    </row>
    <row r="13" spans="1:24" ht="372" customHeight="1" x14ac:dyDescent="0.2">
      <c r="A13" s="19" t="s">
        <v>23</v>
      </c>
      <c r="B13" s="180" t="s">
        <v>58</v>
      </c>
      <c r="C13" s="143" t="s">
        <v>58</v>
      </c>
      <c r="D13" s="20" t="s">
        <v>59</v>
      </c>
      <c r="E13" s="149">
        <f t="shared" si="1"/>
        <v>1098</v>
      </c>
      <c r="F13" s="155" t="s">
        <v>34</v>
      </c>
      <c r="G13" s="149" t="s">
        <v>23</v>
      </c>
      <c r="H13" s="149" t="s">
        <v>23</v>
      </c>
      <c r="I13" s="149" t="s">
        <v>35</v>
      </c>
      <c r="J13" s="148" t="s">
        <v>60</v>
      </c>
      <c r="K13" s="215" t="s">
        <v>23</v>
      </c>
      <c r="L13" s="211" t="s">
        <v>61</v>
      </c>
      <c r="M13" s="47"/>
      <c r="N13" s="12" t="s">
        <v>62</v>
      </c>
      <c r="O13" s="266"/>
      <c r="P13" s="138"/>
      <c r="R13" s="193" t="s">
        <v>22</v>
      </c>
      <c r="V13" s="265">
        <v>37.418449401855469</v>
      </c>
      <c r="W13" s="264">
        <f t="shared" si="2"/>
        <v>0</v>
      </c>
      <c r="X13" s="138" t="str">
        <f t="shared" si="0"/>
        <v/>
      </c>
    </row>
    <row r="14" spans="1:24" s="144" customFormat="1" ht="108.5" customHeight="1" x14ac:dyDescent="0.2">
      <c r="A14" s="19" t="s">
        <v>23</v>
      </c>
      <c r="B14" s="180" t="s">
        <v>63</v>
      </c>
      <c r="C14" s="143" t="s">
        <v>64</v>
      </c>
      <c r="D14" s="161" t="s">
        <v>65</v>
      </c>
      <c r="E14" s="149">
        <f t="shared" si="1"/>
        <v>134</v>
      </c>
      <c r="F14" s="155" t="s">
        <v>66</v>
      </c>
      <c r="G14" s="149" t="s">
        <v>23</v>
      </c>
      <c r="H14" s="149" t="s">
        <v>23</v>
      </c>
      <c r="I14" s="149" t="s">
        <v>35</v>
      </c>
      <c r="J14" s="148" t="s">
        <v>67</v>
      </c>
      <c r="K14" s="215" t="s">
        <v>23</v>
      </c>
      <c r="L14" s="148" t="s">
        <v>68</v>
      </c>
      <c r="M14" s="28"/>
      <c r="N14" s="10"/>
      <c r="O14" s="266">
        <v>1</v>
      </c>
      <c r="P14" s="138"/>
      <c r="R14" s="193" t="s">
        <v>22</v>
      </c>
      <c r="S14" s="145"/>
      <c r="V14" s="265">
        <v>3.805951595306396</v>
      </c>
      <c r="W14" s="264">
        <f t="shared" si="2"/>
        <v>3.805951595306396</v>
      </c>
      <c r="X14" s="138" t="str">
        <f t="shared" si="0"/>
        <v/>
      </c>
    </row>
    <row r="15" spans="1:24" s="144" customFormat="1" ht="124" customHeight="1" x14ac:dyDescent="0.2">
      <c r="A15" s="19" t="s">
        <v>23</v>
      </c>
      <c r="B15" s="178" t="s">
        <v>69</v>
      </c>
      <c r="C15" s="63" t="s">
        <v>69</v>
      </c>
      <c r="D15" s="43" t="s">
        <v>70</v>
      </c>
      <c r="E15" s="21">
        <f t="shared" si="1"/>
        <v>172</v>
      </c>
      <c r="F15" s="64" t="s">
        <v>34</v>
      </c>
      <c r="G15" s="21" t="s">
        <v>23</v>
      </c>
      <c r="H15" s="21" t="s">
        <v>23</v>
      </c>
      <c r="I15" s="21" t="s">
        <v>35</v>
      </c>
      <c r="J15" s="48" t="s">
        <v>71</v>
      </c>
      <c r="K15" s="44" t="s">
        <v>23</v>
      </c>
      <c r="L15" s="48" t="s">
        <v>72</v>
      </c>
      <c r="M15" s="48"/>
      <c r="N15" s="444" t="s">
        <v>73</v>
      </c>
      <c r="O15" s="266">
        <v>1</v>
      </c>
      <c r="P15" s="138"/>
      <c r="R15" s="193" t="s">
        <v>22</v>
      </c>
      <c r="S15" s="145"/>
      <c r="V15" s="265"/>
      <c r="W15" s="265"/>
      <c r="X15" s="138"/>
    </row>
    <row r="16" spans="1:24" s="144" customFormat="1" ht="108.5" customHeight="1" x14ac:dyDescent="0.2">
      <c r="A16" s="19" t="s">
        <v>23</v>
      </c>
      <c r="B16" s="180" t="s">
        <v>74</v>
      </c>
      <c r="C16" s="143" t="s">
        <v>74</v>
      </c>
      <c r="D16" s="191" t="s">
        <v>75</v>
      </c>
      <c r="E16" s="149">
        <f t="shared" si="1"/>
        <v>153</v>
      </c>
      <c r="F16" s="155" t="s">
        <v>76</v>
      </c>
      <c r="G16" s="149" t="s">
        <v>23</v>
      </c>
      <c r="H16" s="149" t="s">
        <v>23</v>
      </c>
      <c r="I16" s="149" t="s">
        <v>77</v>
      </c>
      <c r="J16" s="148" t="s">
        <v>78</v>
      </c>
      <c r="K16" s="215" t="s">
        <v>23</v>
      </c>
      <c r="L16" s="148" t="s">
        <v>79</v>
      </c>
      <c r="M16" s="48"/>
      <c r="N16" s="10"/>
      <c r="O16" s="266">
        <v>1</v>
      </c>
      <c r="P16" s="138"/>
      <c r="R16" s="146" t="s">
        <v>22</v>
      </c>
      <c r="S16" s="145"/>
      <c r="V16" s="265">
        <v>0</v>
      </c>
      <c r="W16" s="264">
        <f t="shared" ref="W16:W37" si="3">IF(V16="","",V16*O16)</f>
        <v>0</v>
      </c>
      <c r="X16" s="138" t="str">
        <f t="shared" ref="X16:X37" si="4">IF(R16="yes",W16,"")</f>
        <v/>
      </c>
    </row>
    <row r="17" spans="1:24" s="144" customFormat="1" ht="46.5" customHeight="1" x14ac:dyDescent="0.2">
      <c r="A17" s="19" t="s">
        <v>23</v>
      </c>
      <c r="B17" s="180" t="s">
        <v>80</v>
      </c>
      <c r="C17" s="143" t="s">
        <v>81</v>
      </c>
      <c r="D17" s="161" t="s">
        <v>82</v>
      </c>
      <c r="E17" s="149">
        <f t="shared" si="1"/>
        <v>80</v>
      </c>
      <c r="F17" s="155" t="s">
        <v>25</v>
      </c>
      <c r="G17" s="149" t="s">
        <v>23</v>
      </c>
      <c r="H17" s="149" t="s">
        <v>23</v>
      </c>
      <c r="I17" s="149" t="s">
        <v>83</v>
      </c>
      <c r="J17" s="148" t="s">
        <v>84</v>
      </c>
      <c r="K17" s="215" t="s">
        <v>23</v>
      </c>
      <c r="L17" s="148" t="s">
        <v>85</v>
      </c>
      <c r="M17" s="48"/>
      <c r="N17" s="10"/>
      <c r="O17" s="266">
        <v>1</v>
      </c>
      <c r="P17" s="138"/>
      <c r="R17" s="146" t="s">
        <v>22</v>
      </c>
      <c r="S17" s="145"/>
      <c r="V17" s="265">
        <v>0</v>
      </c>
      <c r="W17" s="264">
        <f t="shared" si="3"/>
        <v>0</v>
      </c>
      <c r="X17" s="138" t="str">
        <f t="shared" si="4"/>
        <v/>
      </c>
    </row>
    <row r="18" spans="1:24" s="144" customFormat="1" ht="77.5" customHeight="1" x14ac:dyDescent="0.2">
      <c r="A18" s="19" t="s">
        <v>23</v>
      </c>
      <c r="B18" s="180" t="s">
        <v>86</v>
      </c>
      <c r="C18" s="143" t="s">
        <v>87</v>
      </c>
      <c r="D18" s="161" t="s">
        <v>88</v>
      </c>
      <c r="E18" s="149">
        <f t="shared" si="1"/>
        <v>176</v>
      </c>
      <c r="F18" s="155" t="s">
        <v>25</v>
      </c>
      <c r="G18" s="149" t="s">
        <v>23</v>
      </c>
      <c r="H18" s="149" t="s">
        <v>23</v>
      </c>
      <c r="I18" s="149" t="s">
        <v>26</v>
      </c>
      <c r="J18" s="148" t="s">
        <v>89</v>
      </c>
      <c r="K18" s="215" t="s">
        <v>23</v>
      </c>
      <c r="L18" s="204" t="s">
        <v>23</v>
      </c>
      <c r="M18" s="45"/>
      <c r="N18" s="10"/>
      <c r="O18" s="266">
        <v>1</v>
      </c>
      <c r="P18" s="138"/>
      <c r="R18" s="146" t="s">
        <v>22</v>
      </c>
      <c r="S18" s="145"/>
      <c r="V18" s="265">
        <v>0</v>
      </c>
      <c r="W18" s="264">
        <f t="shared" si="3"/>
        <v>0</v>
      </c>
      <c r="X18" s="138" t="str">
        <f t="shared" si="4"/>
        <v/>
      </c>
    </row>
    <row r="19" spans="1:24" s="144" customFormat="1" ht="50.25" customHeight="1" x14ac:dyDescent="0.2">
      <c r="A19" s="19" t="s">
        <v>23</v>
      </c>
      <c r="B19" s="180" t="s">
        <v>90</v>
      </c>
      <c r="C19" s="143" t="s">
        <v>23</v>
      </c>
      <c r="D19" s="161" t="s">
        <v>91</v>
      </c>
      <c r="E19" s="149">
        <f t="shared" si="1"/>
        <v>99</v>
      </c>
      <c r="F19" s="155" t="s">
        <v>23</v>
      </c>
      <c r="G19" s="149" t="s">
        <v>23</v>
      </c>
      <c r="H19" s="149" t="s">
        <v>23</v>
      </c>
      <c r="I19" s="149" t="s">
        <v>23</v>
      </c>
      <c r="J19" s="148" t="s">
        <v>92</v>
      </c>
      <c r="K19" s="215" t="s">
        <v>23</v>
      </c>
      <c r="L19" s="204" t="s">
        <v>23</v>
      </c>
      <c r="M19" s="45"/>
      <c r="N19" s="10"/>
      <c r="O19" s="266">
        <v>1</v>
      </c>
      <c r="P19" s="138"/>
      <c r="R19" s="146" t="s">
        <v>22</v>
      </c>
      <c r="S19" s="145"/>
      <c r="V19" s="265">
        <v>0</v>
      </c>
      <c r="W19" s="264">
        <f t="shared" si="3"/>
        <v>0</v>
      </c>
      <c r="X19" s="138" t="str">
        <f t="shared" si="4"/>
        <v/>
      </c>
    </row>
    <row r="20" spans="1:24" s="144" customFormat="1" ht="50.25" customHeight="1" thickBot="1" x14ac:dyDescent="0.25">
      <c r="A20" s="344" t="s">
        <v>23</v>
      </c>
      <c r="B20" s="210" t="s">
        <v>93</v>
      </c>
      <c r="C20" s="209" t="s">
        <v>94</v>
      </c>
      <c r="D20" s="208" t="s">
        <v>95</v>
      </c>
      <c r="E20" s="206">
        <f t="shared" si="1"/>
        <v>65</v>
      </c>
      <c r="F20" s="207" t="s">
        <v>23</v>
      </c>
      <c r="G20" s="206" t="s">
        <v>23</v>
      </c>
      <c r="H20" s="206" t="s">
        <v>23</v>
      </c>
      <c r="I20" s="206" t="s">
        <v>23</v>
      </c>
      <c r="J20" s="205" t="s">
        <v>96</v>
      </c>
      <c r="K20" s="215" t="s">
        <v>23</v>
      </c>
      <c r="L20" s="204" t="s">
        <v>23</v>
      </c>
      <c r="M20" s="49"/>
      <c r="N20" s="13"/>
      <c r="O20" s="266">
        <v>1</v>
      </c>
      <c r="P20" s="138"/>
      <c r="R20" s="146" t="s">
        <v>22</v>
      </c>
      <c r="S20" s="145"/>
      <c r="V20" s="265">
        <v>0</v>
      </c>
      <c r="W20" s="264">
        <f t="shared" si="3"/>
        <v>0</v>
      </c>
      <c r="X20" s="138" t="str">
        <f t="shared" si="4"/>
        <v/>
      </c>
    </row>
    <row r="21" spans="1:24" s="399" customFormat="1" ht="16" customHeight="1" thickBot="1" x14ac:dyDescent="0.25">
      <c r="A21" s="502" t="s">
        <v>97</v>
      </c>
      <c r="B21" s="503"/>
      <c r="C21" s="503"/>
      <c r="D21" s="503"/>
      <c r="E21" s="503"/>
      <c r="F21" s="503"/>
      <c r="G21" s="503"/>
      <c r="H21" s="503"/>
      <c r="I21" s="503"/>
      <c r="J21" s="503"/>
      <c r="K21" s="503"/>
      <c r="L21" s="503"/>
      <c r="M21" s="503"/>
      <c r="N21" s="504"/>
      <c r="O21" s="261"/>
      <c r="P21" s="408"/>
      <c r="R21" s="406"/>
      <c r="S21" s="409"/>
      <c r="V21" s="264"/>
      <c r="W21" s="264" t="str">
        <f t="shared" si="3"/>
        <v/>
      </c>
      <c r="X21" s="408" t="str">
        <f t="shared" si="4"/>
        <v/>
      </c>
    </row>
    <row r="22" spans="1:24" s="144" customFormat="1" ht="68.25" customHeight="1" x14ac:dyDescent="0.2">
      <c r="A22" s="343" t="s">
        <v>23</v>
      </c>
      <c r="B22" s="203" t="s">
        <v>98</v>
      </c>
      <c r="C22" s="197" t="s">
        <v>98</v>
      </c>
      <c r="D22" s="202" t="s">
        <v>99</v>
      </c>
      <c r="E22" s="201">
        <f>LEN(D22)</f>
        <v>96</v>
      </c>
      <c r="F22" s="171" t="s">
        <v>25</v>
      </c>
      <c r="G22" s="201" t="s">
        <v>23</v>
      </c>
      <c r="H22" s="201" t="s">
        <v>23</v>
      </c>
      <c r="I22" s="201" t="s">
        <v>26</v>
      </c>
      <c r="J22" s="200" t="s">
        <v>100</v>
      </c>
      <c r="K22" s="215" t="s">
        <v>23</v>
      </c>
      <c r="L22" s="202" t="s">
        <v>101</v>
      </c>
      <c r="M22" s="199"/>
      <c r="N22" s="32"/>
      <c r="O22" s="261">
        <f>1</f>
        <v>1</v>
      </c>
      <c r="P22" s="138"/>
      <c r="R22" s="406" t="s">
        <v>31</v>
      </c>
      <c r="S22" s="145"/>
      <c r="V22" s="264">
        <v>25.874027252197269</v>
      </c>
      <c r="W22" s="264">
        <f t="shared" si="3"/>
        <v>25.874027252197269</v>
      </c>
      <c r="X22" s="138">
        <f t="shared" si="4"/>
        <v>25.874027252197269</v>
      </c>
    </row>
    <row r="23" spans="1:24" s="144" customFormat="1" ht="62" customHeight="1" x14ac:dyDescent="0.2">
      <c r="A23" s="19" t="s">
        <v>23</v>
      </c>
      <c r="B23" s="203" t="s">
        <v>102</v>
      </c>
      <c r="C23" s="197" t="s">
        <v>102</v>
      </c>
      <c r="D23" s="202" t="s">
        <v>103</v>
      </c>
      <c r="E23" s="201">
        <f>LEN(D23)</f>
        <v>95</v>
      </c>
      <c r="F23" s="171" t="s">
        <v>25</v>
      </c>
      <c r="G23" s="201" t="s">
        <v>23</v>
      </c>
      <c r="H23" s="201" t="s">
        <v>23</v>
      </c>
      <c r="I23" s="201" t="s">
        <v>26</v>
      </c>
      <c r="J23" s="200" t="s">
        <v>104</v>
      </c>
      <c r="K23" s="215" t="s">
        <v>23</v>
      </c>
      <c r="L23" s="163" t="s">
        <v>105</v>
      </c>
      <c r="M23" s="199"/>
      <c r="N23" s="32"/>
      <c r="O23" s="261">
        <f>1</f>
        <v>1</v>
      </c>
      <c r="P23" s="138"/>
      <c r="R23" s="406" t="s">
        <v>31</v>
      </c>
      <c r="S23" s="145"/>
      <c r="V23" s="264">
        <v>8.5994815826416016</v>
      </c>
      <c r="W23" s="264">
        <f t="shared" si="3"/>
        <v>8.5994815826416016</v>
      </c>
      <c r="X23" s="138">
        <f t="shared" si="4"/>
        <v>8.5994815826416016</v>
      </c>
    </row>
    <row r="24" spans="1:24" s="144" customFormat="1" ht="77.5" customHeight="1" x14ac:dyDescent="0.2">
      <c r="A24" s="62">
        <v>1</v>
      </c>
      <c r="B24" s="238" t="s">
        <v>106</v>
      </c>
      <c r="C24" s="198" t="s">
        <v>106</v>
      </c>
      <c r="D24" s="142" t="s">
        <v>107</v>
      </c>
      <c r="E24" s="197">
        <f>LEN(D24)</f>
        <v>177</v>
      </c>
      <c r="F24" s="197" t="s">
        <v>108</v>
      </c>
      <c r="G24" s="197" t="s">
        <v>23</v>
      </c>
      <c r="H24" s="197" t="s">
        <v>23</v>
      </c>
      <c r="I24" s="197" t="s">
        <v>26</v>
      </c>
      <c r="J24" s="140" t="s">
        <v>109</v>
      </c>
      <c r="K24" s="215" t="s">
        <v>23</v>
      </c>
      <c r="L24" s="196" t="s">
        <v>110</v>
      </c>
      <c r="M24" s="195"/>
      <c r="N24" s="32"/>
      <c r="O24" s="261">
        <f>1</f>
        <v>1</v>
      </c>
      <c r="P24" s="138"/>
      <c r="R24" s="412" t="s">
        <v>31</v>
      </c>
      <c r="S24" s="145"/>
      <c r="V24" s="264">
        <v>9.8907184600830078</v>
      </c>
      <c r="W24" s="264">
        <f t="shared" si="3"/>
        <v>9.8907184600830078</v>
      </c>
      <c r="X24" s="138">
        <f t="shared" si="4"/>
        <v>9.8907184600830078</v>
      </c>
    </row>
    <row r="25" spans="1:24" s="144" customFormat="1" ht="139.5" customHeight="1" x14ac:dyDescent="0.2">
      <c r="A25" s="62">
        <f>A24+1</f>
        <v>2</v>
      </c>
      <c r="B25" s="180" t="s">
        <v>111</v>
      </c>
      <c r="C25" s="143" t="s">
        <v>111</v>
      </c>
      <c r="D25" s="161" t="s">
        <v>112</v>
      </c>
      <c r="E25" s="149">
        <f>LEN(D25)</f>
        <v>168</v>
      </c>
      <c r="F25" s="155" t="s">
        <v>34</v>
      </c>
      <c r="G25" s="149" t="s">
        <v>23</v>
      </c>
      <c r="H25" s="149" t="s">
        <v>23</v>
      </c>
      <c r="I25" s="149" t="s">
        <v>35</v>
      </c>
      <c r="J25" s="148" t="s">
        <v>113</v>
      </c>
      <c r="K25" s="215" t="s">
        <v>23</v>
      </c>
      <c r="L25" s="140" t="s">
        <v>114</v>
      </c>
      <c r="M25" s="50"/>
      <c r="N25" s="10"/>
      <c r="O25" s="261">
        <f>1</f>
        <v>1</v>
      </c>
      <c r="P25" s="138"/>
      <c r="R25" s="412" t="s">
        <v>31</v>
      </c>
      <c r="S25" s="145"/>
      <c r="V25" s="264">
        <v>1.7156481742858889</v>
      </c>
      <c r="W25" s="264">
        <f t="shared" si="3"/>
        <v>1.7156481742858889</v>
      </c>
      <c r="X25" s="138">
        <f t="shared" si="4"/>
        <v>1.7156481742858889</v>
      </c>
    </row>
    <row r="26" spans="1:24" s="144" customFormat="1" x14ac:dyDescent="0.2">
      <c r="A26" s="62"/>
      <c r="B26" s="252"/>
      <c r="C26" s="63"/>
      <c r="D26" s="126"/>
      <c r="E26" s="21"/>
      <c r="F26" s="64"/>
      <c r="G26" s="21"/>
      <c r="H26" s="21"/>
      <c r="I26" s="21"/>
      <c r="J26" s="50"/>
      <c r="K26" s="50"/>
      <c r="L26" s="50"/>
      <c r="M26" s="50"/>
      <c r="N26" s="10"/>
      <c r="O26" s="266">
        <f>1</f>
        <v>1</v>
      </c>
      <c r="P26" s="138"/>
      <c r="R26" s="193"/>
      <c r="S26" s="145"/>
      <c r="V26" s="265"/>
      <c r="W26" s="265" t="str">
        <f t="shared" si="3"/>
        <v/>
      </c>
      <c r="X26" s="138" t="str">
        <f t="shared" si="4"/>
        <v/>
      </c>
    </row>
    <row r="27" spans="1:24" s="284" customFormat="1" ht="139.5" customHeight="1" x14ac:dyDescent="0.2">
      <c r="A27" s="342"/>
      <c r="B27" s="294" t="s">
        <v>115</v>
      </c>
      <c r="C27" s="295" t="s">
        <v>115</v>
      </c>
      <c r="D27" s="296" t="s">
        <v>116</v>
      </c>
      <c r="E27" s="297">
        <f t="shared" ref="E27:E34" si="5">LEN(D27)</f>
        <v>134</v>
      </c>
      <c r="F27" s="298" t="s">
        <v>34</v>
      </c>
      <c r="G27" s="297" t="s">
        <v>23</v>
      </c>
      <c r="H27" s="297" t="s">
        <v>23</v>
      </c>
      <c r="I27" s="297" t="s">
        <v>35</v>
      </c>
      <c r="J27" s="299" t="s">
        <v>117</v>
      </c>
      <c r="K27" s="215" t="s">
        <v>23</v>
      </c>
      <c r="L27" s="299" t="s">
        <v>118</v>
      </c>
      <c r="M27" s="300"/>
      <c r="N27" s="301"/>
      <c r="O27" s="276">
        <f>1</f>
        <v>1</v>
      </c>
      <c r="P27" s="283"/>
      <c r="R27" s="407" t="s">
        <v>119</v>
      </c>
      <c r="S27" s="285"/>
      <c r="V27" s="277">
        <v>6.375236988067627</v>
      </c>
      <c r="W27" s="264">
        <f t="shared" si="3"/>
        <v>6.375236988067627</v>
      </c>
      <c r="X27" s="138" t="str">
        <f t="shared" si="4"/>
        <v/>
      </c>
    </row>
    <row r="28" spans="1:24" s="284" customFormat="1" ht="46.5" customHeight="1" x14ac:dyDescent="0.2">
      <c r="A28" s="342"/>
      <c r="B28" s="294" t="s">
        <v>120</v>
      </c>
      <c r="C28" s="295" t="s">
        <v>121</v>
      </c>
      <c r="D28" s="353" t="s">
        <v>122</v>
      </c>
      <c r="E28" s="297">
        <f t="shared" si="5"/>
        <v>63</v>
      </c>
      <c r="F28" s="298" t="s">
        <v>25</v>
      </c>
      <c r="G28" s="297" t="s">
        <v>23</v>
      </c>
      <c r="H28" s="297" t="s">
        <v>23</v>
      </c>
      <c r="I28" s="297" t="s">
        <v>26</v>
      </c>
      <c r="J28" s="299" t="s">
        <v>123</v>
      </c>
      <c r="K28" s="215" t="s">
        <v>23</v>
      </c>
      <c r="L28" s="302" t="s">
        <v>124</v>
      </c>
      <c r="M28" s="303"/>
      <c r="N28" s="301"/>
      <c r="O28" s="276">
        <f>1</f>
        <v>1</v>
      </c>
      <c r="P28" s="283"/>
      <c r="R28" s="407" t="s">
        <v>119</v>
      </c>
      <c r="S28" s="285"/>
      <c r="V28" s="277">
        <v>28.70000076293945</v>
      </c>
      <c r="W28" s="264">
        <f t="shared" si="3"/>
        <v>28.70000076293945</v>
      </c>
      <c r="X28" s="138" t="str">
        <f t="shared" si="4"/>
        <v/>
      </c>
    </row>
    <row r="29" spans="1:24" s="284" customFormat="1" ht="170.5" customHeight="1" x14ac:dyDescent="0.2">
      <c r="A29" s="282"/>
      <c r="B29" s="304" t="s">
        <v>125</v>
      </c>
      <c r="C29" s="305" t="s">
        <v>125</v>
      </c>
      <c r="D29" s="306" t="s">
        <v>126</v>
      </c>
      <c r="E29" s="293">
        <f t="shared" si="5"/>
        <v>265</v>
      </c>
      <c r="F29" s="307" t="s">
        <v>34</v>
      </c>
      <c r="G29" s="293" t="s">
        <v>23</v>
      </c>
      <c r="H29" s="293" t="s">
        <v>23</v>
      </c>
      <c r="I29" s="293" t="s">
        <v>35</v>
      </c>
      <c r="J29" s="291" t="s">
        <v>127</v>
      </c>
      <c r="K29" s="215" t="s">
        <v>23</v>
      </c>
      <c r="L29" s="308" t="s">
        <v>128</v>
      </c>
      <c r="M29" s="309"/>
      <c r="N29" s="292"/>
      <c r="O29" s="276">
        <f>1</f>
        <v>1</v>
      </c>
      <c r="P29" s="283"/>
      <c r="R29" s="407" t="s">
        <v>119</v>
      </c>
      <c r="S29" s="285"/>
      <c r="V29" s="277">
        <v>10.14181709289551</v>
      </c>
      <c r="W29" s="264">
        <f t="shared" si="3"/>
        <v>10.14181709289551</v>
      </c>
      <c r="X29" s="138" t="str">
        <f t="shared" si="4"/>
        <v/>
      </c>
    </row>
    <row r="30" spans="1:24" s="284" customFormat="1" ht="46.5" customHeight="1" x14ac:dyDescent="0.2">
      <c r="A30" s="282"/>
      <c r="B30" s="304" t="s">
        <v>129</v>
      </c>
      <c r="C30" s="305" t="s">
        <v>129</v>
      </c>
      <c r="D30" s="353" t="s">
        <v>130</v>
      </c>
      <c r="E30" s="293">
        <f t="shared" si="5"/>
        <v>73</v>
      </c>
      <c r="F30" s="307" t="s">
        <v>25</v>
      </c>
      <c r="G30" s="293" t="s">
        <v>23</v>
      </c>
      <c r="H30" s="293" t="s">
        <v>23</v>
      </c>
      <c r="I30" s="293" t="s">
        <v>26</v>
      </c>
      <c r="J30" s="291" t="s">
        <v>131</v>
      </c>
      <c r="K30" s="215" t="s">
        <v>23</v>
      </c>
      <c r="L30" s="310" t="s">
        <v>132</v>
      </c>
      <c r="M30" s="311"/>
      <c r="N30" s="292"/>
      <c r="O30" s="276">
        <f>1</f>
        <v>1</v>
      </c>
      <c r="P30" s="283"/>
      <c r="R30" s="407" t="s">
        <v>119</v>
      </c>
      <c r="S30" s="285"/>
      <c r="V30" s="277">
        <v>21.659982681274411</v>
      </c>
      <c r="W30" s="264">
        <f t="shared" si="3"/>
        <v>21.659982681274411</v>
      </c>
      <c r="X30" s="138" t="str">
        <f t="shared" si="4"/>
        <v/>
      </c>
    </row>
    <row r="31" spans="1:24" s="284" customFormat="1" ht="93" customHeight="1" x14ac:dyDescent="0.2">
      <c r="A31" s="282"/>
      <c r="B31" s="304" t="s">
        <v>133</v>
      </c>
      <c r="C31" s="305" t="s">
        <v>133</v>
      </c>
      <c r="D31" s="353" t="s">
        <v>134</v>
      </c>
      <c r="E31" s="293">
        <f t="shared" si="5"/>
        <v>98</v>
      </c>
      <c r="F31" s="307" t="s">
        <v>25</v>
      </c>
      <c r="G31" s="293" t="s">
        <v>23</v>
      </c>
      <c r="H31" s="293" t="s">
        <v>135</v>
      </c>
      <c r="I31" s="293" t="s">
        <v>26</v>
      </c>
      <c r="J31" s="291" t="s">
        <v>136</v>
      </c>
      <c r="K31" s="215" t="s">
        <v>23</v>
      </c>
      <c r="L31" s="310" t="s">
        <v>137</v>
      </c>
      <c r="M31" s="273"/>
      <c r="N31" s="292"/>
      <c r="O31" s="276">
        <f>1</f>
        <v>1</v>
      </c>
      <c r="P31" s="283"/>
      <c r="R31" s="407" t="s">
        <v>119</v>
      </c>
      <c r="S31" s="285"/>
      <c r="V31" s="277">
        <v>11.82179641723633</v>
      </c>
      <c r="W31" s="264">
        <f t="shared" si="3"/>
        <v>11.82179641723633</v>
      </c>
      <c r="X31" s="138" t="str">
        <f t="shared" si="4"/>
        <v/>
      </c>
    </row>
    <row r="32" spans="1:24" s="284" customFormat="1" ht="170.5" customHeight="1" x14ac:dyDescent="0.2">
      <c r="A32" s="282"/>
      <c r="B32" s="304" t="s">
        <v>138</v>
      </c>
      <c r="C32" s="305" t="s">
        <v>138</v>
      </c>
      <c r="D32" s="306" t="s">
        <v>126</v>
      </c>
      <c r="E32" s="293">
        <f t="shared" si="5"/>
        <v>265</v>
      </c>
      <c r="F32" s="307" t="s">
        <v>34</v>
      </c>
      <c r="G32" s="293" t="s">
        <v>23</v>
      </c>
      <c r="H32" s="293" t="s">
        <v>23</v>
      </c>
      <c r="I32" s="293" t="s">
        <v>35</v>
      </c>
      <c r="J32" s="291" t="s">
        <v>139</v>
      </c>
      <c r="K32" s="215" t="s">
        <v>23</v>
      </c>
      <c r="L32" s="308" t="s">
        <v>140</v>
      </c>
      <c r="M32" s="309"/>
      <c r="N32" s="292"/>
      <c r="O32" s="276">
        <f>1</f>
        <v>1</v>
      </c>
      <c r="P32" s="283"/>
      <c r="R32" s="407" t="s">
        <v>119</v>
      </c>
      <c r="S32" s="285"/>
      <c r="V32" s="277">
        <v>3.163594007492065</v>
      </c>
      <c r="W32" s="264">
        <f t="shared" si="3"/>
        <v>3.163594007492065</v>
      </c>
      <c r="X32" s="138" t="str">
        <f t="shared" si="4"/>
        <v/>
      </c>
    </row>
    <row r="33" spans="1:25" s="284" customFormat="1" ht="46.5" customHeight="1" x14ac:dyDescent="0.2">
      <c r="A33" s="282"/>
      <c r="B33" s="304" t="s">
        <v>141</v>
      </c>
      <c r="C33" s="305" t="s">
        <v>141</v>
      </c>
      <c r="D33" s="353" t="s">
        <v>130</v>
      </c>
      <c r="E33" s="293">
        <f t="shared" si="5"/>
        <v>73</v>
      </c>
      <c r="F33" s="307" t="s">
        <v>25</v>
      </c>
      <c r="G33" s="293" t="s">
        <v>23</v>
      </c>
      <c r="H33" s="293" t="s">
        <v>23</v>
      </c>
      <c r="I33" s="293" t="s">
        <v>26</v>
      </c>
      <c r="J33" s="291" t="s">
        <v>142</v>
      </c>
      <c r="K33" s="215" t="s">
        <v>23</v>
      </c>
      <c r="L33" s="310" t="s">
        <v>143</v>
      </c>
      <c r="M33" s="311"/>
      <c r="N33" s="292"/>
      <c r="O33" s="276">
        <f>1</f>
        <v>1</v>
      </c>
      <c r="P33" s="283"/>
      <c r="R33" s="407" t="s">
        <v>119</v>
      </c>
      <c r="S33" s="285"/>
      <c r="V33" s="277">
        <v>10.83014392852783</v>
      </c>
      <c r="W33" s="264">
        <f t="shared" si="3"/>
        <v>10.83014392852783</v>
      </c>
      <c r="X33" s="138" t="str">
        <f t="shared" si="4"/>
        <v/>
      </c>
    </row>
    <row r="34" spans="1:25" s="284" customFormat="1" ht="93" customHeight="1" x14ac:dyDescent="0.2">
      <c r="A34" s="282"/>
      <c r="B34" s="304" t="s">
        <v>144</v>
      </c>
      <c r="C34" s="304" t="s">
        <v>145</v>
      </c>
      <c r="D34" s="353" t="s">
        <v>134</v>
      </c>
      <c r="E34" s="293">
        <f t="shared" si="5"/>
        <v>98</v>
      </c>
      <c r="F34" s="307" t="s">
        <v>25</v>
      </c>
      <c r="G34" s="293" t="s">
        <v>23</v>
      </c>
      <c r="H34" s="293" t="s">
        <v>146</v>
      </c>
      <c r="I34" s="293" t="s">
        <v>26</v>
      </c>
      <c r="J34" s="291" t="s">
        <v>147</v>
      </c>
      <c r="K34" s="215" t="s">
        <v>23</v>
      </c>
      <c r="L34" s="310" t="s">
        <v>148</v>
      </c>
      <c r="M34" s="273"/>
      <c r="N34" s="292"/>
      <c r="O34" s="276">
        <f>1</f>
        <v>1</v>
      </c>
      <c r="P34" s="283"/>
      <c r="R34" s="407" t="s">
        <v>119</v>
      </c>
      <c r="S34" s="285"/>
      <c r="V34" s="277">
        <v>11.260416984558111</v>
      </c>
      <c r="W34" s="264">
        <f t="shared" si="3"/>
        <v>11.260416984558111</v>
      </c>
      <c r="X34" s="138" t="str">
        <f t="shared" si="4"/>
        <v/>
      </c>
    </row>
    <row r="35" spans="1:25" s="135" customFormat="1" x14ac:dyDescent="0.2">
      <c r="A35" s="36"/>
      <c r="B35" s="237"/>
      <c r="C35" s="237"/>
      <c r="D35" s="40"/>
      <c r="E35" s="37"/>
      <c r="F35" s="38"/>
      <c r="G35" s="37"/>
      <c r="H35" s="37"/>
      <c r="I35" s="37"/>
      <c r="J35" s="39"/>
      <c r="K35" s="44"/>
      <c r="L35" s="41"/>
      <c r="M35" s="42"/>
      <c r="N35" s="34"/>
      <c r="O35" s="266">
        <f>1</f>
        <v>1</v>
      </c>
      <c r="P35" s="138"/>
      <c r="R35" s="137"/>
      <c r="S35" s="136"/>
      <c r="V35" s="265"/>
      <c r="W35" s="265" t="str">
        <f t="shared" si="3"/>
        <v/>
      </c>
      <c r="X35" s="138" t="str">
        <f t="shared" si="4"/>
        <v/>
      </c>
    </row>
    <row r="36" spans="1:25" s="144" customFormat="1" ht="139.5" customHeight="1" x14ac:dyDescent="0.2">
      <c r="A36" s="62">
        <v>3</v>
      </c>
      <c r="B36" s="230" t="s">
        <v>149</v>
      </c>
      <c r="C36" s="143" t="s">
        <v>149</v>
      </c>
      <c r="D36" s="142" t="s">
        <v>150</v>
      </c>
      <c r="E36" s="141">
        <f>LEN(D36)</f>
        <v>224</v>
      </c>
      <c r="F36" s="151" t="s">
        <v>34</v>
      </c>
      <c r="G36" s="141" t="s">
        <v>23</v>
      </c>
      <c r="H36" s="141" t="s">
        <v>23</v>
      </c>
      <c r="I36" s="141" t="s">
        <v>151</v>
      </c>
      <c r="J36" s="374" t="s">
        <v>152</v>
      </c>
      <c r="K36" s="215" t="s">
        <v>23</v>
      </c>
      <c r="L36" s="507" t="s">
        <v>153</v>
      </c>
      <c r="M36" s="271"/>
      <c r="N36" s="10"/>
      <c r="O36" s="261">
        <f>1</f>
        <v>1</v>
      </c>
      <c r="P36" s="138"/>
      <c r="R36" s="412" t="s">
        <v>31</v>
      </c>
      <c r="S36" s="145"/>
      <c r="V36" s="264">
        <v>13.957258919109851</v>
      </c>
      <c r="W36" s="264">
        <f t="shared" si="3"/>
        <v>13.957258919109851</v>
      </c>
      <c r="X36" s="138">
        <f t="shared" si="4"/>
        <v>13.957258919109851</v>
      </c>
    </row>
    <row r="37" spans="1:25" s="144" customFormat="1" ht="108.5" customHeight="1" x14ac:dyDescent="0.2">
      <c r="A37" s="19">
        <f>A36+1</f>
        <v>4</v>
      </c>
      <c r="B37" s="180" t="s">
        <v>154</v>
      </c>
      <c r="C37" s="143" t="s">
        <v>154</v>
      </c>
      <c r="D37" s="375" t="s">
        <v>155</v>
      </c>
      <c r="E37" s="149">
        <f>LEN(D37)</f>
        <v>120</v>
      </c>
      <c r="F37" s="155" t="s">
        <v>34</v>
      </c>
      <c r="G37" s="149" t="s">
        <v>23</v>
      </c>
      <c r="H37" s="149" t="s">
        <v>23</v>
      </c>
      <c r="I37" s="149" t="s">
        <v>156</v>
      </c>
      <c r="J37" s="376" t="s">
        <v>157</v>
      </c>
      <c r="K37" s="215" t="s">
        <v>23</v>
      </c>
      <c r="L37" s="508"/>
      <c r="M37" s="367"/>
      <c r="N37" s="125"/>
      <c r="O37" s="261">
        <f>1</f>
        <v>1</v>
      </c>
      <c r="P37" s="138"/>
      <c r="R37" s="412" t="s">
        <v>31</v>
      </c>
      <c r="S37" s="145"/>
      <c r="V37" s="264">
        <v>7.9549989700317383</v>
      </c>
      <c r="W37" s="264">
        <f t="shared" si="3"/>
        <v>7.9549989700317383</v>
      </c>
      <c r="X37" s="138">
        <f t="shared" si="4"/>
        <v>7.9549989700317383</v>
      </c>
    </row>
    <row r="38" spans="1:25" s="144" customFormat="1" ht="139.5" customHeight="1" x14ac:dyDescent="0.2">
      <c r="A38" s="75"/>
      <c r="B38" s="231" t="s">
        <v>158</v>
      </c>
      <c r="C38" s="134" t="s">
        <v>158</v>
      </c>
      <c r="D38" s="161" t="s">
        <v>159</v>
      </c>
      <c r="E38" s="149">
        <f>LEN(D38)</f>
        <v>218</v>
      </c>
      <c r="F38" s="155" t="s">
        <v>34</v>
      </c>
      <c r="G38" s="155" t="s">
        <v>23</v>
      </c>
      <c r="H38" s="155" t="s">
        <v>23</v>
      </c>
      <c r="I38" s="155" t="s">
        <v>35</v>
      </c>
      <c r="J38" s="148" t="s">
        <v>160</v>
      </c>
      <c r="K38" s="215" t="s">
        <v>23</v>
      </c>
      <c r="L38" s="373"/>
      <c r="M38" s="356"/>
      <c r="N38" s="357"/>
      <c r="O38" s="264"/>
      <c r="P38" s="264"/>
      <c r="Q38" s="138"/>
      <c r="S38" s="193"/>
      <c r="T38" s="145"/>
      <c r="W38" s="264"/>
      <c r="X38" s="264"/>
      <c r="Y38" s="138"/>
    </row>
    <row r="39" spans="1:25" s="144" customFormat="1" ht="248" customHeight="1" x14ac:dyDescent="0.2">
      <c r="A39" s="75" t="e">
        <f>#REF!+1</f>
        <v>#REF!</v>
      </c>
      <c r="B39" s="231" t="s">
        <v>161</v>
      </c>
      <c r="C39" s="377" t="s">
        <v>161</v>
      </c>
      <c r="D39" s="154" t="s">
        <v>162</v>
      </c>
      <c r="E39" s="132">
        <f>LEN(D39)</f>
        <v>658</v>
      </c>
      <c r="F39" s="378" t="s">
        <v>34</v>
      </c>
      <c r="G39" s="132" t="s">
        <v>23</v>
      </c>
      <c r="H39" s="132" t="s">
        <v>23</v>
      </c>
      <c r="I39" s="132" t="s">
        <v>35</v>
      </c>
      <c r="J39" s="379" t="s">
        <v>163</v>
      </c>
      <c r="K39" s="215" t="s">
        <v>23</v>
      </c>
      <c r="L39" s="153" t="s">
        <v>164</v>
      </c>
      <c r="M39" s="51"/>
      <c r="N39" s="14"/>
      <c r="O39" s="261">
        <f>1</f>
        <v>1</v>
      </c>
      <c r="P39" s="138"/>
      <c r="R39" s="412" t="s">
        <v>31</v>
      </c>
      <c r="S39" s="145"/>
      <c r="V39" s="264">
        <v>24.41083908081055</v>
      </c>
      <c r="W39" s="264">
        <f t="shared" ref="W39:W70" si="6">IF(V39="","",V39*O39)</f>
        <v>24.41083908081055</v>
      </c>
      <c r="X39" s="138">
        <f t="shared" ref="X39:X70" si="7">IF(R39="yes",W39,"")</f>
        <v>24.41083908081055</v>
      </c>
    </row>
    <row r="40" spans="1:25" s="144" customFormat="1" ht="16" customHeight="1" thickBot="1" x14ac:dyDescent="0.25">
      <c r="A40" s="65"/>
      <c r="B40" s="253"/>
      <c r="C40" s="260"/>
      <c r="D40" s="52"/>
      <c r="E40" s="66"/>
      <c r="F40" s="67"/>
      <c r="G40" s="66"/>
      <c r="H40" s="66"/>
      <c r="I40" s="66"/>
      <c r="J40" s="52"/>
      <c r="K40" s="52"/>
      <c r="L40" s="52"/>
      <c r="M40" s="52"/>
      <c r="N40" s="14"/>
      <c r="O40" s="266">
        <f>1</f>
        <v>1</v>
      </c>
      <c r="P40" s="138"/>
      <c r="R40" s="193"/>
      <c r="S40" s="145"/>
      <c r="V40" s="265"/>
      <c r="W40" s="264" t="str">
        <f t="shared" si="6"/>
        <v/>
      </c>
      <c r="X40" s="138" t="str">
        <f t="shared" si="7"/>
        <v/>
      </c>
    </row>
    <row r="41" spans="1:25" s="144" customFormat="1" ht="16" customHeight="1" thickBot="1" x14ac:dyDescent="0.25">
      <c r="A41" s="502" t="s">
        <v>165</v>
      </c>
      <c r="B41" s="503"/>
      <c r="C41" s="503"/>
      <c r="D41" s="503"/>
      <c r="E41" s="503"/>
      <c r="F41" s="503"/>
      <c r="G41" s="503"/>
      <c r="H41" s="503"/>
      <c r="I41" s="503"/>
      <c r="J41" s="503"/>
      <c r="K41" s="503"/>
      <c r="L41" s="503"/>
      <c r="M41" s="503"/>
      <c r="N41" s="504"/>
      <c r="O41" s="266"/>
      <c r="P41" s="138"/>
      <c r="R41" s="146"/>
      <c r="S41" s="145"/>
      <c r="V41" s="265"/>
      <c r="W41" s="264" t="str">
        <f t="shared" si="6"/>
        <v/>
      </c>
      <c r="X41" s="138" t="str">
        <f t="shared" si="7"/>
        <v/>
      </c>
    </row>
    <row r="42" spans="1:25" s="144" customFormat="1" x14ac:dyDescent="0.2">
      <c r="A42" s="190"/>
      <c r="B42" s="190"/>
      <c r="C42" s="190"/>
      <c r="D42" s="69"/>
      <c r="E42" s="190"/>
      <c r="F42" s="190"/>
      <c r="G42" s="190"/>
      <c r="H42" s="190"/>
      <c r="I42" s="190"/>
      <c r="J42" s="190"/>
      <c r="K42" s="190"/>
      <c r="L42" s="190"/>
      <c r="M42" s="190"/>
      <c r="N42" s="25"/>
      <c r="O42" s="266">
        <f>1</f>
        <v>1</v>
      </c>
      <c r="P42" s="138"/>
      <c r="R42" s="146"/>
      <c r="S42" s="145"/>
      <c r="V42" s="265"/>
      <c r="W42" s="265" t="str">
        <f t="shared" si="6"/>
        <v/>
      </c>
      <c r="X42" s="138" t="str">
        <f t="shared" si="7"/>
        <v/>
      </c>
    </row>
    <row r="43" spans="1:25" s="359" customFormat="1" ht="139.5" customHeight="1" x14ac:dyDescent="0.2">
      <c r="A43" s="355" t="e">
        <f>A39+1</f>
        <v>#REF!</v>
      </c>
      <c r="B43" s="370" t="s">
        <v>166</v>
      </c>
      <c r="C43" s="371" t="s">
        <v>166</v>
      </c>
      <c r="D43" s="372" t="s">
        <v>167</v>
      </c>
      <c r="E43" s="371">
        <f>LEN(D43)</f>
        <v>97</v>
      </c>
      <c r="F43" s="371" t="s">
        <v>34</v>
      </c>
      <c r="G43" s="371" t="s">
        <v>23</v>
      </c>
      <c r="H43" s="371" t="s">
        <v>23</v>
      </c>
      <c r="I43" s="371" t="s">
        <v>35</v>
      </c>
      <c r="J43" s="373" t="s">
        <v>168</v>
      </c>
      <c r="K43" s="215" t="s">
        <v>23</v>
      </c>
      <c r="L43" s="373" t="s">
        <v>169</v>
      </c>
      <c r="M43" s="356"/>
      <c r="N43" s="357"/>
      <c r="O43" s="354">
        <v>1</v>
      </c>
      <c r="P43" s="358"/>
      <c r="R43" s="411" t="s">
        <v>31</v>
      </c>
      <c r="S43" s="360"/>
      <c r="V43" s="418">
        <v>10.5</v>
      </c>
      <c r="W43" s="264">
        <f t="shared" si="6"/>
        <v>10.5</v>
      </c>
      <c r="X43" s="358">
        <f t="shared" si="7"/>
        <v>10.5</v>
      </c>
    </row>
    <row r="44" spans="1:25" s="144" customFormat="1" ht="124" customHeight="1" x14ac:dyDescent="0.2">
      <c r="A44" s="62" t="e">
        <f>A43+1</f>
        <v>#REF!</v>
      </c>
      <c r="B44" s="230" t="s">
        <v>170</v>
      </c>
      <c r="C44" s="143" t="s">
        <v>170</v>
      </c>
      <c r="D44" s="192" t="s">
        <v>171</v>
      </c>
      <c r="E44" s="141">
        <f>LEN(D44)</f>
        <v>116</v>
      </c>
      <c r="F44" s="143" t="s">
        <v>34</v>
      </c>
      <c r="G44" s="141" t="s">
        <v>23</v>
      </c>
      <c r="H44" s="141" t="s">
        <v>23</v>
      </c>
      <c r="I44" s="141" t="s">
        <v>35</v>
      </c>
      <c r="J44" s="140" t="s">
        <v>172</v>
      </c>
      <c r="K44" s="215" t="s">
        <v>23</v>
      </c>
      <c r="L44" s="140" t="s">
        <v>173</v>
      </c>
      <c r="M44" s="50"/>
      <c r="N44" s="25"/>
      <c r="O44" s="261">
        <f>1</f>
        <v>1</v>
      </c>
      <c r="P44" s="138"/>
      <c r="R44" s="406" t="s">
        <v>31</v>
      </c>
      <c r="S44" s="145"/>
      <c r="V44" s="264">
        <v>10.504533767700201</v>
      </c>
      <c r="W44" s="264">
        <f t="shared" si="6"/>
        <v>10.504533767700201</v>
      </c>
      <c r="X44" s="138">
        <f t="shared" si="7"/>
        <v>10.504533767700201</v>
      </c>
    </row>
    <row r="45" spans="1:25" s="144" customFormat="1" x14ac:dyDescent="0.2">
      <c r="A45" s="62"/>
      <c r="B45" s="252"/>
      <c r="C45" s="63"/>
      <c r="D45" s="68"/>
      <c r="E45" s="69"/>
      <c r="F45" s="63"/>
      <c r="G45" s="69"/>
      <c r="H45" s="69"/>
      <c r="I45" s="69"/>
      <c r="J45" s="50"/>
      <c r="K45" s="50"/>
      <c r="L45" s="50"/>
      <c r="M45" s="50"/>
      <c r="N45" s="25"/>
      <c r="O45" s="266">
        <f>1</f>
        <v>1</v>
      </c>
      <c r="P45" s="138"/>
      <c r="R45" s="146"/>
      <c r="S45" s="145"/>
      <c r="V45" s="265"/>
      <c r="W45" s="265" t="str">
        <f t="shared" si="6"/>
        <v/>
      </c>
      <c r="X45" s="138" t="str">
        <f t="shared" si="7"/>
        <v/>
      </c>
    </row>
    <row r="46" spans="1:25" s="144" customFormat="1" ht="170.5" customHeight="1" x14ac:dyDescent="0.2">
      <c r="A46" s="19" t="e">
        <f>A44+1</f>
        <v>#REF!</v>
      </c>
      <c r="B46" s="180" t="s">
        <v>174</v>
      </c>
      <c r="C46" s="143" t="s">
        <v>174</v>
      </c>
      <c r="D46" s="422" t="s">
        <v>175</v>
      </c>
      <c r="E46" s="149">
        <f>LEN(D46)</f>
        <v>314</v>
      </c>
      <c r="F46" s="150" t="s">
        <v>34</v>
      </c>
      <c r="G46" s="149" t="s">
        <v>23</v>
      </c>
      <c r="H46" s="149" t="s">
        <v>23</v>
      </c>
      <c r="I46" s="149" t="s">
        <v>35</v>
      </c>
      <c r="J46" s="148" t="s">
        <v>176</v>
      </c>
      <c r="K46" s="215" t="s">
        <v>23</v>
      </c>
      <c r="L46" s="140" t="s">
        <v>177</v>
      </c>
      <c r="M46" s="50"/>
      <c r="N46" s="14"/>
      <c r="O46" s="261">
        <f>1</f>
        <v>1</v>
      </c>
      <c r="P46" s="138"/>
      <c r="R46" s="406" t="s">
        <v>31</v>
      </c>
      <c r="S46" s="145"/>
      <c r="V46" s="264">
        <v>12.42189884185791</v>
      </c>
      <c r="W46" s="264">
        <f t="shared" si="6"/>
        <v>12.42189884185791</v>
      </c>
      <c r="X46" s="138">
        <f t="shared" si="7"/>
        <v>12.42189884185791</v>
      </c>
    </row>
    <row r="47" spans="1:25" s="144" customFormat="1" x14ac:dyDescent="0.2">
      <c r="A47" s="19"/>
      <c r="B47" s="178"/>
      <c r="C47" s="63"/>
      <c r="D47" s="20"/>
      <c r="E47" s="21"/>
      <c r="F47" s="22"/>
      <c r="G47" s="21"/>
      <c r="H47" s="21"/>
      <c r="I47" s="21"/>
      <c r="J47" s="58"/>
      <c r="K47" s="50"/>
      <c r="L47" s="50"/>
      <c r="M47" s="50"/>
      <c r="N47" s="14"/>
      <c r="O47" s="266">
        <f>1</f>
        <v>1</v>
      </c>
      <c r="P47" s="138"/>
      <c r="R47" s="146"/>
      <c r="S47" s="145"/>
      <c r="V47" s="265"/>
      <c r="W47" s="265" t="str">
        <f t="shared" si="6"/>
        <v/>
      </c>
      <c r="X47" s="138" t="str">
        <f t="shared" si="7"/>
        <v/>
      </c>
    </row>
    <row r="48" spans="1:25" s="144" customFormat="1" ht="248" customHeight="1" x14ac:dyDescent="0.2">
      <c r="A48" s="19">
        <v>10</v>
      </c>
      <c r="B48" s="178" t="s">
        <v>178</v>
      </c>
      <c r="C48" s="177" t="s">
        <v>178</v>
      </c>
      <c r="D48" s="20" t="s">
        <v>179</v>
      </c>
      <c r="E48" s="21">
        <f>LEN(D48)</f>
        <v>313</v>
      </c>
      <c r="F48" s="22" t="s">
        <v>34</v>
      </c>
      <c r="G48" s="21" t="s">
        <v>23</v>
      </c>
      <c r="H48" s="21" t="s">
        <v>23</v>
      </c>
      <c r="I48" s="21" t="s">
        <v>35</v>
      </c>
      <c r="J48" s="236" t="s">
        <v>180</v>
      </c>
      <c r="K48" s="44" t="s">
        <v>23</v>
      </c>
      <c r="L48" s="176" t="s">
        <v>181</v>
      </c>
      <c r="M48" s="31"/>
      <c r="N48" s="509" t="s">
        <v>182</v>
      </c>
      <c r="O48" s="266">
        <f>1</f>
        <v>1</v>
      </c>
      <c r="P48" s="138"/>
      <c r="R48" s="146" t="s">
        <v>31</v>
      </c>
      <c r="S48" s="145"/>
      <c r="V48" s="265">
        <v>16.615655899047852</v>
      </c>
      <c r="W48" s="265">
        <f t="shared" si="6"/>
        <v>16.615655899047852</v>
      </c>
      <c r="X48" s="138">
        <f t="shared" si="7"/>
        <v>16.615655899047852</v>
      </c>
    </row>
    <row r="49" spans="1:24" s="144" customFormat="1" ht="170.5" customHeight="1" x14ac:dyDescent="0.2">
      <c r="A49" s="19">
        <v>10</v>
      </c>
      <c r="B49" s="178" t="s">
        <v>183</v>
      </c>
      <c r="C49" s="177" t="s">
        <v>183</v>
      </c>
      <c r="D49" s="20" t="s">
        <v>184</v>
      </c>
      <c r="E49" s="21">
        <f>LEN(D49)</f>
        <v>312</v>
      </c>
      <c r="F49" s="22" t="s">
        <v>34</v>
      </c>
      <c r="G49" s="21" t="s">
        <v>23</v>
      </c>
      <c r="H49" s="21" t="s">
        <v>23</v>
      </c>
      <c r="I49" s="21" t="s">
        <v>35</v>
      </c>
      <c r="J49" s="236" t="s">
        <v>185</v>
      </c>
      <c r="K49" s="44" t="s">
        <v>23</v>
      </c>
      <c r="L49" s="176" t="s">
        <v>181</v>
      </c>
      <c r="M49" s="31"/>
      <c r="N49" s="510"/>
      <c r="O49" s="266">
        <f>1</f>
        <v>1</v>
      </c>
      <c r="P49" s="138"/>
      <c r="R49" s="146" t="s">
        <v>31</v>
      </c>
      <c r="S49" s="145"/>
      <c r="V49" s="265">
        <v>12.600021362304689</v>
      </c>
      <c r="W49" s="265">
        <f t="shared" si="6"/>
        <v>12.600021362304689</v>
      </c>
      <c r="X49" s="138">
        <f t="shared" si="7"/>
        <v>12.600021362304689</v>
      </c>
    </row>
    <row r="50" spans="1:24" s="144" customFormat="1" ht="186" customHeight="1" x14ac:dyDescent="0.2">
      <c r="A50" s="19">
        <v>10</v>
      </c>
      <c r="B50" s="178" t="s">
        <v>186</v>
      </c>
      <c r="C50" s="177" t="s">
        <v>186</v>
      </c>
      <c r="D50" s="20" t="s">
        <v>187</v>
      </c>
      <c r="E50" s="21">
        <f>LEN(D50)</f>
        <v>255</v>
      </c>
      <c r="F50" s="22" t="s">
        <v>34</v>
      </c>
      <c r="G50" s="21" t="s">
        <v>23</v>
      </c>
      <c r="H50" s="21" t="s">
        <v>23</v>
      </c>
      <c r="I50" s="21" t="s">
        <v>35</v>
      </c>
      <c r="J50" s="361" t="s">
        <v>188</v>
      </c>
      <c r="K50" s="44" t="s">
        <v>23</v>
      </c>
      <c r="L50" s="176" t="s">
        <v>181</v>
      </c>
      <c r="M50" s="31"/>
      <c r="N50" s="506"/>
      <c r="O50" s="266">
        <f>1</f>
        <v>1</v>
      </c>
      <c r="P50" s="138"/>
      <c r="R50" s="146" t="s">
        <v>31</v>
      </c>
      <c r="S50" s="145"/>
      <c r="V50" s="265">
        <v>11.655922889709471</v>
      </c>
      <c r="W50" s="265">
        <f t="shared" si="6"/>
        <v>11.655922889709471</v>
      </c>
      <c r="X50" s="138">
        <f t="shared" si="7"/>
        <v>11.655922889709471</v>
      </c>
    </row>
    <row r="51" spans="1:24" s="144" customFormat="1" x14ac:dyDescent="0.2">
      <c r="A51" s="19"/>
      <c r="B51" s="178"/>
      <c r="C51" s="257"/>
      <c r="D51" s="423"/>
      <c r="E51" s="69"/>
      <c r="F51" s="63"/>
      <c r="G51" s="69"/>
      <c r="H51" s="69"/>
      <c r="I51" s="69"/>
      <c r="J51" s="121"/>
      <c r="K51" s="50"/>
      <c r="L51" s="259"/>
      <c r="M51" s="259"/>
      <c r="N51" s="341"/>
      <c r="O51" s="266">
        <f>1</f>
        <v>1</v>
      </c>
      <c r="P51" s="138"/>
      <c r="R51" s="146"/>
      <c r="S51" s="145"/>
      <c r="V51" s="265"/>
      <c r="W51" s="265" t="str">
        <f t="shared" si="6"/>
        <v/>
      </c>
      <c r="X51" s="138" t="str">
        <f t="shared" si="7"/>
        <v/>
      </c>
    </row>
    <row r="52" spans="1:24" s="144" customFormat="1" ht="409.5" customHeight="1" x14ac:dyDescent="0.2">
      <c r="A52" s="19">
        <f>A50+1</f>
        <v>11</v>
      </c>
      <c r="B52" s="178" t="s">
        <v>189</v>
      </c>
      <c r="C52" s="63" t="s">
        <v>189</v>
      </c>
      <c r="D52" s="445" t="s">
        <v>190</v>
      </c>
      <c r="E52" s="69">
        <f t="shared" ref="E52:E57" si="8">LEN(D52)</f>
        <v>1333</v>
      </c>
      <c r="F52" s="63" t="s">
        <v>34</v>
      </c>
      <c r="G52" s="69" t="s">
        <v>23</v>
      </c>
      <c r="H52" s="69" t="s">
        <v>23</v>
      </c>
      <c r="I52" s="69" t="s">
        <v>35</v>
      </c>
      <c r="J52" s="167" t="s">
        <v>191</v>
      </c>
      <c r="K52" s="44" t="s">
        <v>23</v>
      </c>
      <c r="L52" s="176" t="s">
        <v>192</v>
      </c>
      <c r="M52" s="44"/>
      <c r="N52" s="25"/>
      <c r="O52" s="266">
        <f>1</f>
        <v>1</v>
      </c>
      <c r="P52" s="138"/>
      <c r="R52" s="146" t="s">
        <v>22</v>
      </c>
      <c r="S52" s="145"/>
      <c r="V52" s="265">
        <v>13.22066497802734</v>
      </c>
      <c r="W52" s="265">
        <f t="shared" si="6"/>
        <v>13.22066497802734</v>
      </c>
      <c r="X52" s="138" t="str">
        <f t="shared" si="7"/>
        <v/>
      </c>
    </row>
    <row r="53" spans="1:24" s="144" customFormat="1" ht="108.5" customHeight="1" x14ac:dyDescent="0.2">
      <c r="A53" s="19">
        <f>A52+1</f>
        <v>12</v>
      </c>
      <c r="B53" s="178" t="s">
        <v>193</v>
      </c>
      <c r="C53" s="22" t="s">
        <v>193</v>
      </c>
      <c r="D53" s="20" t="s">
        <v>194</v>
      </c>
      <c r="E53" s="21">
        <f t="shared" si="8"/>
        <v>269</v>
      </c>
      <c r="F53" s="22" t="s">
        <v>108</v>
      </c>
      <c r="G53" s="21" t="s">
        <v>23</v>
      </c>
      <c r="H53" s="21" t="s">
        <v>23</v>
      </c>
      <c r="I53" s="21" t="s">
        <v>26</v>
      </c>
      <c r="J53" s="43" t="s">
        <v>195</v>
      </c>
      <c r="K53" s="44" t="s">
        <v>23</v>
      </c>
      <c r="L53" s="176" t="s">
        <v>192</v>
      </c>
      <c r="M53" s="44"/>
      <c r="N53" s="10"/>
      <c r="O53" s="266">
        <f>1</f>
        <v>1</v>
      </c>
      <c r="P53" s="138"/>
      <c r="R53" s="146" t="s">
        <v>22</v>
      </c>
      <c r="S53" s="145"/>
      <c r="V53" s="265">
        <v>16.90229415893555</v>
      </c>
      <c r="W53" s="265">
        <f t="shared" si="6"/>
        <v>16.90229415893555</v>
      </c>
      <c r="X53" s="138" t="str">
        <f t="shared" si="7"/>
        <v/>
      </c>
    </row>
    <row r="54" spans="1:24" s="144" customFormat="1" ht="217" customHeight="1" x14ac:dyDescent="0.2">
      <c r="A54" s="19">
        <f>A53+1</f>
        <v>13</v>
      </c>
      <c r="B54" s="178" t="s">
        <v>196</v>
      </c>
      <c r="C54" s="177" t="s">
        <v>197</v>
      </c>
      <c r="D54" s="20" t="s">
        <v>198</v>
      </c>
      <c r="E54" s="21">
        <f t="shared" si="8"/>
        <v>406</v>
      </c>
      <c r="F54" s="22" t="s">
        <v>199</v>
      </c>
      <c r="G54" s="21" t="s">
        <v>23</v>
      </c>
      <c r="H54" s="21" t="s">
        <v>23</v>
      </c>
      <c r="I54" s="21" t="s">
        <v>200</v>
      </c>
      <c r="J54" s="43" t="s">
        <v>201</v>
      </c>
      <c r="K54" s="44" t="s">
        <v>202</v>
      </c>
      <c r="L54" s="176" t="s">
        <v>192</v>
      </c>
      <c r="M54" s="44"/>
      <c r="N54" s="444" t="s">
        <v>203</v>
      </c>
      <c r="O54" s="266">
        <f>1</f>
        <v>1</v>
      </c>
      <c r="P54" s="138"/>
      <c r="R54" s="146" t="s">
        <v>22</v>
      </c>
      <c r="S54" s="145"/>
      <c r="V54" s="265">
        <v>16.957803726196289</v>
      </c>
      <c r="W54" s="265">
        <f t="shared" si="6"/>
        <v>16.957803726196289</v>
      </c>
      <c r="X54" s="138" t="str">
        <f t="shared" si="7"/>
        <v/>
      </c>
    </row>
    <row r="55" spans="1:24" s="144" customFormat="1" ht="248" customHeight="1" x14ac:dyDescent="0.2">
      <c r="A55" s="19">
        <f>A54+1</f>
        <v>14</v>
      </c>
      <c r="B55" s="178" t="s">
        <v>204</v>
      </c>
      <c r="C55" s="177" t="s">
        <v>205</v>
      </c>
      <c r="D55" s="20" t="s">
        <v>206</v>
      </c>
      <c r="E55" s="21">
        <f t="shared" si="8"/>
        <v>336</v>
      </c>
      <c r="F55" s="22" t="s">
        <v>199</v>
      </c>
      <c r="G55" s="21" t="s">
        <v>23</v>
      </c>
      <c r="H55" s="21" t="s">
        <v>23</v>
      </c>
      <c r="I55" s="21" t="s">
        <v>207</v>
      </c>
      <c r="J55" s="43" t="s">
        <v>208</v>
      </c>
      <c r="K55" s="44" t="s">
        <v>209</v>
      </c>
      <c r="L55" s="176" t="s">
        <v>192</v>
      </c>
      <c r="M55" s="44"/>
      <c r="N55" s="444" t="s">
        <v>203</v>
      </c>
      <c r="O55" s="266">
        <f>1</f>
        <v>1</v>
      </c>
      <c r="P55" s="138"/>
      <c r="R55" s="146" t="s">
        <v>22</v>
      </c>
      <c r="S55" s="145"/>
      <c r="V55" s="265">
        <v>11.02202892303467</v>
      </c>
      <c r="W55" s="265">
        <f t="shared" si="6"/>
        <v>11.02202892303467</v>
      </c>
      <c r="X55" s="138" t="str">
        <f t="shared" si="7"/>
        <v/>
      </c>
    </row>
    <row r="56" spans="1:24" s="144" customFormat="1" ht="170.5" customHeight="1" x14ac:dyDescent="0.2">
      <c r="A56" s="19">
        <f>A55+1</f>
        <v>15</v>
      </c>
      <c r="B56" s="446" t="s">
        <v>210</v>
      </c>
      <c r="C56" s="447" t="s">
        <v>210</v>
      </c>
      <c r="D56" s="445" t="s">
        <v>211</v>
      </c>
      <c r="E56" s="66">
        <f t="shared" si="8"/>
        <v>180</v>
      </c>
      <c r="F56" s="22" t="s">
        <v>34</v>
      </c>
      <c r="G56" s="448" t="s">
        <v>23</v>
      </c>
      <c r="H56" s="448" t="s">
        <v>23</v>
      </c>
      <c r="I56" s="21" t="s">
        <v>35</v>
      </c>
      <c r="J56" s="43" t="s">
        <v>212</v>
      </c>
      <c r="K56" s="44" t="s">
        <v>23</v>
      </c>
      <c r="L56" s="176" t="s">
        <v>192</v>
      </c>
      <c r="M56" s="449"/>
      <c r="N56" s="14"/>
      <c r="O56" s="266">
        <f>1</f>
        <v>1</v>
      </c>
      <c r="P56" s="138"/>
      <c r="R56" s="146" t="s">
        <v>22</v>
      </c>
      <c r="S56" s="145"/>
      <c r="V56" s="265">
        <v>9.9618663787841797</v>
      </c>
      <c r="W56" s="265">
        <f t="shared" si="6"/>
        <v>9.9618663787841797</v>
      </c>
      <c r="X56" s="138" t="str">
        <f t="shared" si="7"/>
        <v/>
      </c>
    </row>
    <row r="57" spans="1:24" s="144" customFormat="1" ht="155.5" customHeight="1" thickBot="1" x14ac:dyDescent="0.25">
      <c r="A57" s="19">
        <f>A56+1</f>
        <v>16</v>
      </c>
      <c r="B57" s="253" t="s">
        <v>213</v>
      </c>
      <c r="C57" s="260" t="s">
        <v>213</v>
      </c>
      <c r="D57" s="450" t="s">
        <v>214</v>
      </c>
      <c r="E57" s="66">
        <f t="shared" si="8"/>
        <v>133</v>
      </c>
      <c r="F57" s="22" t="s">
        <v>34</v>
      </c>
      <c r="G57" s="66" t="s">
        <v>23</v>
      </c>
      <c r="H57" s="66" t="s">
        <v>23</v>
      </c>
      <c r="I57" s="21" t="s">
        <v>35</v>
      </c>
      <c r="J57" s="43" t="s">
        <v>215</v>
      </c>
      <c r="K57" s="44" t="s">
        <v>23</v>
      </c>
      <c r="L57" s="176" t="s">
        <v>192</v>
      </c>
      <c r="M57" s="451"/>
      <c r="N57" s="10"/>
      <c r="O57" s="266">
        <f>1</f>
        <v>1</v>
      </c>
      <c r="P57" s="138"/>
      <c r="R57" s="146" t="s">
        <v>22</v>
      </c>
      <c r="S57" s="145"/>
      <c r="V57" s="265">
        <v>7.02484130859375</v>
      </c>
      <c r="W57" s="265">
        <f t="shared" si="6"/>
        <v>7.02484130859375</v>
      </c>
      <c r="X57" s="138" t="str">
        <f t="shared" si="7"/>
        <v/>
      </c>
    </row>
    <row r="58" spans="1:24" s="399" customFormat="1" ht="16" customHeight="1" thickBot="1" x14ac:dyDescent="0.25">
      <c r="A58" s="502" t="s">
        <v>216</v>
      </c>
      <c r="B58" s="503"/>
      <c r="C58" s="503"/>
      <c r="D58" s="503"/>
      <c r="E58" s="503"/>
      <c r="F58" s="503"/>
      <c r="G58" s="503"/>
      <c r="H58" s="503"/>
      <c r="I58" s="503"/>
      <c r="J58" s="503"/>
      <c r="K58" s="503"/>
      <c r="L58" s="503"/>
      <c r="M58" s="503"/>
      <c r="N58" s="504"/>
      <c r="O58" s="261"/>
      <c r="P58" s="408"/>
      <c r="R58" s="406"/>
      <c r="S58" s="409"/>
      <c r="V58" s="264"/>
      <c r="W58" s="264" t="str">
        <f t="shared" si="6"/>
        <v/>
      </c>
      <c r="X58" s="408" t="str">
        <f t="shared" si="7"/>
        <v/>
      </c>
    </row>
    <row r="59" spans="1:24" s="144" customFormat="1" x14ac:dyDescent="0.2">
      <c r="A59" s="190"/>
      <c r="B59" s="190"/>
      <c r="C59" s="190"/>
      <c r="D59" s="69"/>
      <c r="E59" s="190"/>
      <c r="F59" s="190"/>
      <c r="G59" s="190"/>
      <c r="H59" s="190"/>
      <c r="I59" s="190"/>
      <c r="J59" s="190"/>
      <c r="K59" s="50"/>
      <c r="L59" s="190"/>
      <c r="M59" s="190"/>
      <c r="N59" s="25"/>
      <c r="O59" s="266">
        <f>1</f>
        <v>1</v>
      </c>
      <c r="P59" s="138"/>
      <c r="R59" s="146"/>
      <c r="S59" s="145"/>
      <c r="V59" s="265"/>
      <c r="W59" s="265" t="str">
        <f t="shared" si="6"/>
        <v/>
      </c>
      <c r="X59" s="138" t="str">
        <f t="shared" si="7"/>
        <v/>
      </c>
    </row>
    <row r="60" spans="1:24" s="144" customFormat="1" ht="409.5" customHeight="1" x14ac:dyDescent="0.2">
      <c r="A60" s="62">
        <f>A57+1</f>
        <v>17</v>
      </c>
      <c r="B60" s="230" t="s">
        <v>217</v>
      </c>
      <c r="C60" s="143" t="s">
        <v>217</v>
      </c>
      <c r="D60" s="142" t="s">
        <v>218</v>
      </c>
      <c r="E60" s="141">
        <f>LEN(D60)</f>
        <v>1204</v>
      </c>
      <c r="F60" s="143" t="s">
        <v>34</v>
      </c>
      <c r="G60" s="141" t="s">
        <v>23</v>
      </c>
      <c r="H60" s="141" t="s">
        <v>23</v>
      </c>
      <c r="I60" s="141" t="s">
        <v>219</v>
      </c>
      <c r="J60" s="140" t="s">
        <v>220</v>
      </c>
      <c r="K60" s="215" t="s">
        <v>23</v>
      </c>
      <c r="L60" s="147" t="s">
        <v>221</v>
      </c>
      <c r="M60" s="26"/>
      <c r="N60" s="25"/>
      <c r="O60" s="261">
        <f>1</f>
        <v>1</v>
      </c>
      <c r="P60" s="138"/>
      <c r="R60" s="406" t="s">
        <v>31</v>
      </c>
      <c r="S60" s="145"/>
      <c r="V60" s="264">
        <v>31.888334274291989</v>
      </c>
      <c r="W60" s="264">
        <f t="shared" si="6"/>
        <v>31.888334274291989</v>
      </c>
      <c r="X60" s="138">
        <f t="shared" si="7"/>
        <v>31.888334274291989</v>
      </c>
    </row>
    <row r="61" spans="1:24" s="144" customFormat="1" ht="124" customHeight="1" x14ac:dyDescent="0.2">
      <c r="A61" s="62"/>
      <c r="B61" s="230" t="s">
        <v>222</v>
      </c>
      <c r="C61" s="235" t="s">
        <v>222</v>
      </c>
      <c r="D61" s="148" t="s">
        <v>223</v>
      </c>
      <c r="E61" s="141">
        <f>LEN(D61)</f>
        <v>143</v>
      </c>
      <c r="F61" s="143" t="s">
        <v>34</v>
      </c>
      <c r="G61" s="141" t="s">
        <v>23</v>
      </c>
      <c r="H61" s="141" t="s">
        <v>23</v>
      </c>
      <c r="I61" s="141" t="s">
        <v>35</v>
      </c>
      <c r="J61" s="140" t="s">
        <v>224</v>
      </c>
      <c r="K61" s="215" t="s">
        <v>23</v>
      </c>
      <c r="L61" s="147" t="s">
        <v>225</v>
      </c>
      <c r="M61" s="26"/>
      <c r="N61" s="25"/>
      <c r="O61" s="261">
        <f>1</f>
        <v>1</v>
      </c>
      <c r="P61" s="138"/>
      <c r="R61" s="406" t="s">
        <v>31</v>
      </c>
      <c r="S61" s="145"/>
      <c r="V61" s="264">
        <v>8</v>
      </c>
      <c r="W61" s="264">
        <f t="shared" si="6"/>
        <v>8</v>
      </c>
      <c r="X61" s="138">
        <f t="shared" si="7"/>
        <v>8</v>
      </c>
    </row>
    <row r="62" spans="1:24" s="144" customFormat="1" ht="139.5" customHeight="1" x14ac:dyDescent="0.2">
      <c r="A62" s="62"/>
      <c r="B62" s="230" t="s">
        <v>226</v>
      </c>
      <c r="C62" s="235" t="s">
        <v>226</v>
      </c>
      <c r="D62" s="148" t="s">
        <v>227</v>
      </c>
      <c r="E62" s="141">
        <f>LEN(D62)</f>
        <v>170</v>
      </c>
      <c r="F62" s="143" t="s">
        <v>34</v>
      </c>
      <c r="G62" s="141" t="s">
        <v>23</v>
      </c>
      <c r="H62" s="141" t="s">
        <v>23</v>
      </c>
      <c r="I62" s="141" t="s">
        <v>35</v>
      </c>
      <c r="J62" s="140" t="s">
        <v>224</v>
      </c>
      <c r="K62" s="215" t="s">
        <v>23</v>
      </c>
      <c r="L62" s="147" t="s">
        <v>228</v>
      </c>
      <c r="M62" s="26"/>
      <c r="N62" s="25"/>
      <c r="O62" s="261">
        <f>1</f>
        <v>1</v>
      </c>
      <c r="P62" s="138"/>
      <c r="R62" s="406" t="s">
        <v>31</v>
      </c>
      <c r="S62" s="145"/>
      <c r="V62" s="264">
        <v>8</v>
      </c>
      <c r="W62" s="264">
        <f t="shared" si="6"/>
        <v>8</v>
      </c>
      <c r="X62" s="138">
        <f t="shared" si="7"/>
        <v>8</v>
      </c>
    </row>
    <row r="63" spans="1:24" s="144" customFormat="1" ht="139.5" customHeight="1" x14ac:dyDescent="0.2">
      <c r="A63" s="62"/>
      <c r="B63" s="230" t="s">
        <v>229</v>
      </c>
      <c r="C63" s="235" t="s">
        <v>229</v>
      </c>
      <c r="D63" s="148" t="s">
        <v>230</v>
      </c>
      <c r="E63" s="141">
        <f>LEN(D63)</f>
        <v>176</v>
      </c>
      <c r="F63" s="143" t="s">
        <v>34</v>
      </c>
      <c r="G63" s="141" t="s">
        <v>23</v>
      </c>
      <c r="H63" s="141" t="s">
        <v>23</v>
      </c>
      <c r="I63" s="141" t="s">
        <v>35</v>
      </c>
      <c r="J63" s="140" t="s">
        <v>224</v>
      </c>
      <c r="K63" s="215" t="s">
        <v>23</v>
      </c>
      <c r="L63" s="147" t="s">
        <v>231</v>
      </c>
      <c r="M63" s="26"/>
      <c r="N63" s="25"/>
      <c r="O63" s="261">
        <f>1</f>
        <v>1</v>
      </c>
      <c r="P63" s="138"/>
      <c r="R63" s="406" t="s">
        <v>31</v>
      </c>
      <c r="S63" s="145"/>
      <c r="V63" s="264">
        <v>8</v>
      </c>
      <c r="W63" s="264">
        <f t="shared" si="6"/>
        <v>8</v>
      </c>
      <c r="X63" s="138">
        <f t="shared" si="7"/>
        <v>8</v>
      </c>
    </row>
    <row r="64" spans="1:24" s="144" customFormat="1" x14ac:dyDescent="0.2">
      <c r="A64" s="62"/>
      <c r="B64" s="252"/>
      <c r="C64" s="257"/>
      <c r="D64" s="258"/>
      <c r="E64" s="69"/>
      <c r="F64" s="63"/>
      <c r="G64" s="69"/>
      <c r="H64" s="69"/>
      <c r="I64" s="69"/>
      <c r="J64" s="50"/>
      <c r="K64" s="27"/>
      <c r="L64" s="169"/>
      <c r="M64" s="169"/>
      <c r="N64" s="25"/>
      <c r="O64" s="266">
        <f>1</f>
        <v>1</v>
      </c>
      <c r="P64" s="138"/>
      <c r="R64" s="146"/>
      <c r="S64" s="145"/>
      <c r="V64" s="265"/>
      <c r="W64" s="265" t="str">
        <f t="shared" si="6"/>
        <v/>
      </c>
      <c r="X64" s="138" t="str">
        <f t="shared" si="7"/>
        <v/>
      </c>
    </row>
    <row r="65" spans="1:16368" s="144" customFormat="1" ht="139.5" customHeight="1" x14ac:dyDescent="0.2">
      <c r="A65" s="19">
        <v>19</v>
      </c>
      <c r="B65" s="178" t="s">
        <v>232</v>
      </c>
      <c r="C65" s="63" t="s">
        <v>232</v>
      </c>
      <c r="D65" s="43" t="s">
        <v>233</v>
      </c>
      <c r="E65" s="21">
        <f>LEN(D65)</f>
        <v>229</v>
      </c>
      <c r="F65" s="21" t="s">
        <v>108</v>
      </c>
      <c r="G65" s="21" t="s">
        <v>23</v>
      </c>
      <c r="H65" s="21" t="s">
        <v>23</v>
      </c>
      <c r="I65" s="21" t="s">
        <v>26</v>
      </c>
      <c r="J65" s="48" t="s">
        <v>234</v>
      </c>
      <c r="K65" s="44" t="s">
        <v>23</v>
      </c>
      <c r="L65" s="452" t="s">
        <v>235</v>
      </c>
      <c r="M65" s="452"/>
      <c r="N65" s="505" t="s">
        <v>236</v>
      </c>
      <c r="O65" s="266">
        <f>1</f>
        <v>1</v>
      </c>
      <c r="P65" s="138"/>
      <c r="R65" s="146" t="s">
        <v>22</v>
      </c>
      <c r="S65" s="145"/>
      <c r="V65" s="265">
        <v>31.963766098022461</v>
      </c>
      <c r="W65" s="265">
        <f t="shared" si="6"/>
        <v>31.963766098022461</v>
      </c>
      <c r="X65" s="138" t="str">
        <f t="shared" si="7"/>
        <v/>
      </c>
    </row>
    <row r="66" spans="1:16368" s="144" customFormat="1" ht="108.5" customHeight="1" x14ac:dyDescent="0.2">
      <c r="A66" s="19">
        <v>19</v>
      </c>
      <c r="B66" s="178" t="s">
        <v>237</v>
      </c>
      <c r="C66" s="177" t="s">
        <v>237</v>
      </c>
      <c r="D66" s="43" t="s">
        <v>238</v>
      </c>
      <c r="E66" s="21">
        <f>LEN(D66)</f>
        <v>246</v>
      </c>
      <c r="F66" s="72" t="s">
        <v>34</v>
      </c>
      <c r="G66" s="69" t="s">
        <v>23</v>
      </c>
      <c r="H66" s="69" t="s">
        <v>23</v>
      </c>
      <c r="I66" s="69" t="s">
        <v>35</v>
      </c>
      <c r="J66" s="50" t="s">
        <v>239</v>
      </c>
      <c r="K66" s="44" t="s">
        <v>23</v>
      </c>
      <c r="L66" s="169" t="s">
        <v>240</v>
      </c>
      <c r="M66" s="169"/>
      <c r="N66" s="506"/>
      <c r="O66" s="266">
        <f>1</f>
        <v>1</v>
      </c>
      <c r="P66" s="138"/>
      <c r="R66" s="146" t="s">
        <v>22</v>
      </c>
      <c r="S66" s="145"/>
      <c r="V66" s="265">
        <v>2.2273674011230469</v>
      </c>
      <c r="W66" s="265">
        <f t="shared" si="6"/>
        <v>2.2273674011230469</v>
      </c>
      <c r="X66" s="138" t="str">
        <f t="shared" si="7"/>
        <v/>
      </c>
    </row>
    <row r="67" spans="1:16368" s="144" customFormat="1" ht="155" customHeight="1" x14ac:dyDescent="0.2">
      <c r="A67" s="62">
        <v>18</v>
      </c>
      <c r="B67" s="252" t="s">
        <v>241</v>
      </c>
      <c r="C67" s="257" t="s">
        <v>241</v>
      </c>
      <c r="D67" s="258" t="s">
        <v>242</v>
      </c>
      <c r="E67" s="69">
        <f>LEN(D67)</f>
        <v>181</v>
      </c>
      <c r="F67" s="63" t="s">
        <v>34</v>
      </c>
      <c r="G67" s="69" t="s">
        <v>23</v>
      </c>
      <c r="H67" s="69" t="s">
        <v>23</v>
      </c>
      <c r="I67" s="69" t="s">
        <v>35</v>
      </c>
      <c r="J67" s="50" t="s">
        <v>243</v>
      </c>
      <c r="K67" s="44" t="s">
        <v>23</v>
      </c>
      <c r="L67" s="169" t="s">
        <v>244</v>
      </c>
      <c r="M67" s="169"/>
      <c r="N67" s="25"/>
      <c r="O67" s="266">
        <f>1</f>
        <v>1</v>
      </c>
      <c r="P67" s="138"/>
      <c r="R67" s="146" t="s">
        <v>22</v>
      </c>
      <c r="S67" s="145"/>
      <c r="V67" s="265">
        <v>4.7874016761779794</v>
      </c>
      <c r="W67" s="265">
        <f t="shared" si="6"/>
        <v>4.7874016761779794</v>
      </c>
      <c r="X67" s="138" t="str">
        <f t="shared" si="7"/>
        <v/>
      </c>
    </row>
    <row r="68" spans="1:16368" s="144" customFormat="1" ht="139.5" customHeight="1" x14ac:dyDescent="0.2">
      <c r="A68" s="453"/>
      <c r="B68" s="446" t="s">
        <v>245</v>
      </c>
      <c r="C68" s="177" t="s">
        <v>245</v>
      </c>
      <c r="D68" s="454" t="s">
        <v>246</v>
      </c>
      <c r="E68" s="448">
        <f>LEN(D68)</f>
        <v>215</v>
      </c>
      <c r="F68" s="64" t="s">
        <v>34</v>
      </c>
      <c r="G68" s="21" t="s">
        <v>23</v>
      </c>
      <c r="H68" s="21" t="s">
        <v>23</v>
      </c>
      <c r="I68" s="21" t="s">
        <v>35</v>
      </c>
      <c r="J68" s="43" t="s">
        <v>247</v>
      </c>
      <c r="K68" s="44" t="s">
        <v>23</v>
      </c>
      <c r="L68" s="48" t="s">
        <v>248</v>
      </c>
      <c r="M68" s="455"/>
      <c r="N68" s="10"/>
      <c r="O68" s="266">
        <f>1</f>
        <v>1</v>
      </c>
      <c r="P68" s="138"/>
      <c r="Q68" s="456"/>
      <c r="R68" s="146" t="s">
        <v>22</v>
      </c>
      <c r="S68" s="145"/>
      <c r="T68" s="456"/>
      <c r="U68" s="456"/>
      <c r="V68" s="265">
        <v>20.918367385864261</v>
      </c>
      <c r="W68" s="265">
        <f t="shared" si="6"/>
        <v>20.918367385864261</v>
      </c>
      <c r="X68" s="138" t="str">
        <f t="shared" si="7"/>
        <v/>
      </c>
      <c r="Y68" s="456"/>
      <c r="Z68" s="456"/>
      <c r="AA68" s="456"/>
      <c r="AB68" s="456"/>
      <c r="AC68" s="456"/>
      <c r="AD68" s="456"/>
      <c r="AE68" s="456"/>
      <c r="AF68" s="456"/>
      <c r="AG68" s="456"/>
      <c r="AH68" s="456"/>
      <c r="AI68" s="456"/>
      <c r="AJ68" s="456"/>
      <c r="AK68" s="456"/>
      <c r="AL68" s="456"/>
      <c r="AM68" s="456"/>
      <c r="AN68" s="456"/>
      <c r="AO68" s="456"/>
      <c r="AP68" s="456"/>
      <c r="AQ68" s="456"/>
      <c r="AR68" s="456"/>
      <c r="AS68" s="456"/>
      <c r="AT68" s="456"/>
      <c r="AU68" s="456"/>
      <c r="AV68" s="456"/>
      <c r="AW68" s="456"/>
      <c r="AX68" s="456"/>
      <c r="AY68" s="456"/>
      <c r="AZ68" s="456"/>
      <c r="BA68" s="456"/>
      <c r="BB68" s="456"/>
      <c r="BC68" s="456"/>
      <c r="BD68" s="456"/>
      <c r="BE68" s="456"/>
      <c r="BF68" s="456"/>
      <c r="BG68" s="456"/>
      <c r="BH68" s="456"/>
      <c r="BI68" s="456"/>
      <c r="BJ68" s="456"/>
      <c r="BK68" s="456"/>
      <c r="BL68" s="456"/>
      <c r="BM68" s="456"/>
      <c r="BN68" s="456"/>
      <c r="BO68" s="456"/>
      <c r="BP68" s="456"/>
      <c r="BQ68" s="456"/>
      <c r="BR68" s="456"/>
      <c r="BS68" s="456"/>
      <c r="BT68" s="456"/>
      <c r="BU68" s="456"/>
      <c r="BV68" s="456"/>
      <c r="BW68" s="456"/>
      <c r="BX68" s="456"/>
      <c r="BY68" s="456"/>
      <c r="BZ68" s="456"/>
      <c r="CA68" s="456"/>
      <c r="CB68" s="456"/>
      <c r="CC68" s="456"/>
      <c r="CD68" s="456"/>
      <c r="CE68" s="456"/>
      <c r="CF68" s="456"/>
      <c r="CG68" s="456"/>
      <c r="CH68" s="456"/>
      <c r="CI68" s="456"/>
      <c r="CJ68" s="456"/>
      <c r="CK68" s="456"/>
      <c r="CL68" s="456"/>
      <c r="CM68" s="456"/>
      <c r="CN68" s="456"/>
      <c r="CO68" s="456"/>
      <c r="CP68" s="456"/>
      <c r="CQ68" s="456"/>
      <c r="CR68" s="456"/>
      <c r="CS68" s="456"/>
      <c r="CT68" s="456"/>
      <c r="CU68" s="456"/>
      <c r="CV68" s="456"/>
      <c r="CW68" s="456"/>
      <c r="CX68" s="456"/>
      <c r="CY68" s="456"/>
      <c r="CZ68" s="456"/>
      <c r="DA68" s="456"/>
      <c r="DB68" s="456"/>
      <c r="DC68" s="456"/>
      <c r="DD68" s="456"/>
      <c r="DE68" s="456"/>
      <c r="DF68" s="456"/>
      <c r="DG68" s="456"/>
      <c r="DH68" s="456"/>
      <c r="DI68" s="456"/>
      <c r="DJ68" s="456"/>
      <c r="DK68" s="456"/>
      <c r="DL68" s="456"/>
      <c r="DM68" s="456"/>
      <c r="DN68" s="456"/>
      <c r="DO68" s="456"/>
      <c r="DP68" s="456"/>
      <c r="DQ68" s="456"/>
      <c r="DR68" s="456"/>
      <c r="DS68" s="456"/>
      <c r="DT68" s="456"/>
      <c r="DU68" s="456"/>
      <c r="DV68" s="456"/>
      <c r="DW68" s="456"/>
      <c r="DX68" s="456"/>
      <c r="DY68" s="456"/>
      <c r="DZ68" s="456"/>
      <c r="EA68" s="456"/>
      <c r="EB68" s="456"/>
      <c r="EC68" s="456"/>
      <c r="ED68" s="456"/>
      <c r="EE68" s="456"/>
      <c r="EF68" s="456"/>
      <c r="EG68" s="456"/>
      <c r="EH68" s="456"/>
      <c r="EI68" s="456"/>
      <c r="EJ68" s="456"/>
      <c r="EK68" s="456"/>
      <c r="EL68" s="456"/>
      <c r="EM68" s="456"/>
      <c r="EN68" s="456"/>
      <c r="EO68" s="456"/>
      <c r="EP68" s="456"/>
      <c r="EQ68" s="456"/>
      <c r="ER68" s="456"/>
      <c r="ES68" s="456"/>
      <c r="ET68" s="456"/>
      <c r="EU68" s="456"/>
      <c r="EV68" s="456"/>
      <c r="EW68" s="456"/>
      <c r="EX68" s="456"/>
      <c r="EY68" s="456"/>
      <c r="EZ68" s="456"/>
      <c r="FA68" s="456"/>
      <c r="FB68" s="456"/>
      <c r="FC68" s="456"/>
      <c r="FD68" s="456"/>
      <c r="FE68" s="456"/>
      <c r="FF68" s="456"/>
      <c r="FG68" s="456"/>
      <c r="FH68" s="456"/>
      <c r="FI68" s="456"/>
      <c r="FJ68" s="456"/>
      <c r="FK68" s="456"/>
      <c r="FL68" s="456"/>
      <c r="FM68" s="456"/>
      <c r="FN68" s="456"/>
      <c r="FO68" s="456"/>
      <c r="FP68" s="456"/>
      <c r="FQ68" s="456"/>
      <c r="FR68" s="456"/>
      <c r="FS68" s="456"/>
      <c r="FT68" s="456"/>
      <c r="FU68" s="456"/>
      <c r="FV68" s="456"/>
      <c r="FW68" s="456"/>
      <c r="FX68" s="456"/>
      <c r="FY68" s="456"/>
      <c r="FZ68" s="456"/>
      <c r="GA68" s="456"/>
      <c r="GB68" s="456"/>
      <c r="GC68" s="456"/>
      <c r="GD68" s="456"/>
      <c r="GE68" s="456"/>
      <c r="GF68" s="456"/>
      <c r="GG68" s="456"/>
      <c r="GH68" s="456"/>
      <c r="GI68" s="456"/>
      <c r="GJ68" s="456"/>
      <c r="GK68" s="456"/>
      <c r="GL68" s="456"/>
      <c r="GM68" s="456"/>
      <c r="GN68" s="456"/>
      <c r="GO68" s="456"/>
      <c r="GP68" s="456"/>
      <c r="GQ68" s="456"/>
      <c r="GR68" s="456"/>
      <c r="GS68" s="456"/>
      <c r="GT68" s="456"/>
      <c r="GU68" s="456"/>
      <c r="GV68" s="456"/>
      <c r="GW68" s="456"/>
      <c r="GX68" s="456"/>
      <c r="GY68" s="456"/>
      <c r="GZ68" s="456"/>
      <c r="HA68" s="456"/>
      <c r="HB68" s="456"/>
      <c r="HC68" s="456"/>
      <c r="HD68" s="456"/>
      <c r="HE68" s="456"/>
      <c r="HF68" s="456"/>
      <c r="HG68" s="456"/>
      <c r="HH68" s="456"/>
      <c r="HI68" s="456"/>
      <c r="HJ68" s="456"/>
      <c r="HK68" s="456"/>
      <c r="HL68" s="456"/>
      <c r="HM68" s="456"/>
      <c r="HN68" s="456"/>
      <c r="HO68" s="456"/>
      <c r="HP68" s="456"/>
      <c r="HQ68" s="456"/>
      <c r="HR68" s="456"/>
      <c r="HS68" s="456"/>
      <c r="HT68" s="456"/>
      <c r="HU68" s="456"/>
      <c r="HV68" s="456"/>
      <c r="HW68" s="456"/>
      <c r="HX68" s="456"/>
      <c r="HY68" s="456"/>
      <c r="HZ68" s="456"/>
      <c r="IA68" s="456"/>
      <c r="IB68" s="456"/>
      <c r="IC68" s="456"/>
      <c r="ID68" s="456"/>
      <c r="IE68" s="456"/>
      <c r="IF68" s="456"/>
      <c r="IG68" s="456"/>
      <c r="IH68" s="456"/>
      <c r="II68" s="456"/>
      <c r="IJ68" s="456"/>
      <c r="IK68" s="456"/>
      <c r="IL68" s="456"/>
      <c r="IM68" s="456"/>
      <c r="IN68" s="456"/>
      <c r="IO68" s="456"/>
      <c r="IP68" s="456"/>
      <c r="IQ68" s="456"/>
      <c r="IR68" s="456"/>
      <c r="IS68" s="456"/>
      <c r="IT68" s="456"/>
      <c r="IU68" s="456"/>
      <c r="IV68" s="456"/>
      <c r="IW68" s="456"/>
      <c r="IX68" s="456"/>
      <c r="IY68" s="456"/>
      <c r="IZ68" s="456"/>
      <c r="JA68" s="456"/>
      <c r="JB68" s="456"/>
      <c r="JC68" s="456"/>
      <c r="JD68" s="456"/>
      <c r="JE68" s="456"/>
      <c r="JF68" s="456"/>
      <c r="JG68" s="456"/>
      <c r="JH68" s="456"/>
      <c r="JI68" s="456"/>
      <c r="JJ68" s="456"/>
      <c r="JK68" s="456"/>
      <c r="JL68" s="456"/>
      <c r="JM68" s="456"/>
      <c r="JN68" s="456"/>
      <c r="JO68" s="456"/>
      <c r="JP68" s="456"/>
      <c r="JQ68" s="456"/>
      <c r="JR68" s="456"/>
      <c r="JS68" s="456"/>
      <c r="JT68" s="456"/>
      <c r="JU68" s="456"/>
      <c r="JV68" s="456"/>
      <c r="JW68" s="456"/>
      <c r="JX68" s="456"/>
      <c r="JY68" s="456"/>
      <c r="JZ68" s="456"/>
      <c r="KA68" s="456"/>
      <c r="KB68" s="456"/>
      <c r="KC68" s="456"/>
      <c r="KD68" s="456"/>
      <c r="KE68" s="456"/>
      <c r="KF68" s="456"/>
      <c r="KG68" s="456"/>
      <c r="KH68" s="456"/>
      <c r="KI68" s="456"/>
      <c r="KJ68" s="456"/>
      <c r="KK68" s="456"/>
      <c r="KL68" s="456"/>
      <c r="KM68" s="456"/>
      <c r="KN68" s="456"/>
      <c r="KO68" s="456"/>
      <c r="KP68" s="456"/>
      <c r="KQ68" s="456"/>
      <c r="KR68" s="456"/>
      <c r="KS68" s="456"/>
      <c r="KT68" s="456"/>
      <c r="KU68" s="456"/>
      <c r="KV68" s="456"/>
      <c r="KW68" s="456"/>
      <c r="KX68" s="456"/>
      <c r="KY68" s="456"/>
      <c r="KZ68" s="456"/>
      <c r="LA68" s="456"/>
      <c r="LB68" s="456"/>
      <c r="LC68" s="456"/>
      <c r="LD68" s="456"/>
      <c r="LE68" s="456"/>
      <c r="LF68" s="456"/>
      <c r="LG68" s="456"/>
      <c r="LH68" s="456"/>
      <c r="LI68" s="456"/>
      <c r="LJ68" s="456"/>
      <c r="LK68" s="456"/>
      <c r="LL68" s="456"/>
      <c r="LM68" s="456"/>
      <c r="LN68" s="456"/>
      <c r="LO68" s="456"/>
      <c r="LP68" s="456"/>
      <c r="LQ68" s="456"/>
      <c r="LR68" s="456"/>
      <c r="LS68" s="456"/>
      <c r="LT68" s="456"/>
      <c r="LU68" s="456"/>
      <c r="LV68" s="456"/>
      <c r="LW68" s="456"/>
      <c r="LX68" s="456"/>
      <c r="LY68" s="456"/>
      <c r="LZ68" s="456"/>
      <c r="MA68" s="456"/>
      <c r="MB68" s="456"/>
      <c r="MC68" s="456"/>
      <c r="MD68" s="456"/>
      <c r="ME68" s="456"/>
      <c r="MF68" s="456"/>
      <c r="MG68" s="456"/>
      <c r="MH68" s="456"/>
      <c r="MI68" s="456"/>
      <c r="MJ68" s="456"/>
      <c r="MK68" s="456"/>
      <c r="ML68" s="456"/>
      <c r="MM68" s="456"/>
      <c r="MN68" s="456"/>
      <c r="MO68" s="456"/>
      <c r="MP68" s="456"/>
      <c r="MQ68" s="456"/>
      <c r="MR68" s="456"/>
      <c r="MS68" s="456"/>
      <c r="MT68" s="456"/>
      <c r="MU68" s="456"/>
      <c r="MV68" s="456"/>
      <c r="MW68" s="456"/>
      <c r="MX68" s="456"/>
      <c r="MY68" s="456"/>
      <c r="MZ68" s="456"/>
      <c r="NA68" s="456"/>
      <c r="NB68" s="456"/>
      <c r="NC68" s="456"/>
      <c r="ND68" s="456"/>
      <c r="NE68" s="456"/>
      <c r="NF68" s="456"/>
      <c r="NG68" s="456"/>
      <c r="NH68" s="456"/>
      <c r="NI68" s="456"/>
      <c r="NJ68" s="456"/>
      <c r="NK68" s="456"/>
      <c r="NL68" s="456"/>
      <c r="NM68" s="456"/>
      <c r="NN68" s="456"/>
      <c r="NO68" s="456"/>
      <c r="NP68" s="456"/>
      <c r="NQ68" s="456"/>
      <c r="NR68" s="456"/>
      <c r="NS68" s="456"/>
      <c r="NT68" s="456"/>
      <c r="NU68" s="456"/>
      <c r="NV68" s="456"/>
      <c r="NW68" s="456"/>
      <c r="NX68" s="456"/>
      <c r="NY68" s="456"/>
      <c r="NZ68" s="456"/>
      <c r="OA68" s="456"/>
      <c r="OB68" s="456"/>
      <c r="OC68" s="456"/>
      <c r="OD68" s="456"/>
      <c r="OE68" s="456"/>
      <c r="OF68" s="456"/>
      <c r="OG68" s="456"/>
      <c r="OH68" s="456"/>
      <c r="OI68" s="456"/>
      <c r="OJ68" s="456"/>
      <c r="OK68" s="456"/>
      <c r="OL68" s="456"/>
      <c r="OM68" s="456"/>
      <c r="ON68" s="456"/>
      <c r="OO68" s="456"/>
      <c r="OP68" s="456"/>
      <c r="OQ68" s="456"/>
      <c r="OR68" s="456"/>
      <c r="OS68" s="456"/>
      <c r="OT68" s="456"/>
      <c r="OU68" s="456"/>
      <c r="OV68" s="456"/>
      <c r="OW68" s="456"/>
      <c r="OX68" s="456"/>
      <c r="OY68" s="456"/>
      <c r="OZ68" s="456"/>
      <c r="PA68" s="456"/>
      <c r="PB68" s="456"/>
      <c r="PC68" s="456"/>
      <c r="PD68" s="456"/>
      <c r="PE68" s="456"/>
      <c r="PF68" s="456"/>
      <c r="PG68" s="456"/>
      <c r="PH68" s="456"/>
      <c r="PI68" s="456"/>
      <c r="PJ68" s="456"/>
      <c r="PK68" s="456"/>
      <c r="PL68" s="456"/>
      <c r="PM68" s="456"/>
      <c r="PN68" s="456"/>
      <c r="PO68" s="456"/>
      <c r="PP68" s="456"/>
      <c r="PQ68" s="456"/>
      <c r="PR68" s="456"/>
      <c r="PS68" s="456"/>
      <c r="PT68" s="456"/>
      <c r="PU68" s="456"/>
      <c r="PV68" s="456"/>
      <c r="PW68" s="456"/>
      <c r="PX68" s="456"/>
      <c r="PY68" s="456"/>
      <c r="PZ68" s="456"/>
      <c r="QA68" s="456"/>
      <c r="QB68" s="456"/>
      <c r="QC68" s="456"/>
      <c r="QD68" s="456"/>
      <c r="QE68" s="456"/>
      <c r="QF68" s="456"/>
      <c r="QG68" s="456"/>
      <c r="QH68" s="456"/>
      <c r="QI68" s="456"/>
      <c r="QJ68" s="456"/>
      <c r="QK68" s="456"/>
      <c r="QL68" s="456"/>
      <c r="QM68" s="456"/>
      <c r="QN68" s="456"/>
      <c r="QO68" s="456"/>
      <c r="QP68" s="456"/>
      <c r="QQ68" s="456"/>
      <c r="QR68" s="456"/>
      <c r="QS68" s="456"/>
      <c r="QT68" s="456"/>
      <c r="QU68" s="456"/>
      <c r="QV68" s="456"/>
      <c r="QW68" s="456"/>
      <c r="QX68" s="456"/>
      <c r="QY68" s="456"/>
      <c r="QZ68" s="456"/>
      <c r="RA68" s="456"/>
      <c r="RB68" s="456"/>
      <c r="RC68" s="456"/>
      <c r="RD68" s="456"/>
      <c r="RE68" s="456"/>
      <c r="RF68" s="456"/>
      <c r="RG68" s="456"/>
      <c r="RH68" s="456"/>
      <c r="RI68" s="456"/>
      <c r="RJ68" s="456"/>
      <c r="RK68" s="456"/>
      <c r="RL68" s="456"/>
      <c r="RM68" s="456"/>
      <c r="RN68" s="456"/>
      <c r="RO68" s="456"/>
      <c r="RP68" s="456"/>
      <c r="RQ68" s="456"/>
      <c r="RR68" s="456"/>
      <c r="RS68" s="456"/>
      <c r="RT68" s="456"/>
      <c r="RU68" s="456"/>
      <c r="RV68" s="456"/>
      <c r="RW68" s="456"/>
      <c r="RX68" s="456"/>
      <c r="RY68" s="456"/>
      <c r="RZ68" s="456"/>
      <c r="SA68" s="456"/>
      <c r="SB68" s="456"/>
      <c r="SC68" s="456"/>
      <c r="SD68" s="456"/>
      <c r="SE68" s="456"/>
      <c r="SF68" s="456"/>
      <c r="SG68" s="456"/>
      <c r="SH68" s="456"/>
      <c r="SI68" s="456"/>
      <c r="SJ68" s="456"/>
      <c r="SK68" s="456"/>
      <c r="SL68" s="456"/>
      <c r="SM68" s="456"/>
      <c r="SN68" s="456"/>
      <c r="SO68" s="456"/>
      <c r="SP68" s="456"/>
      <c r="SQ68" s="456"/>
      <c r="SR68" s="456"/>
      <c r="SS68" s="456"/>
      <c r="ST68" s="456"/>
      <c r="SU68" s="456"/>
      <c r="SV68" s="456"/>
      <c r="SW68" s="456"/>
      <c r="SX68" s="456"/>
      <c r="SY68" s="456"/>
      <c r="SZ68" s="456"/>
      <c r="TA68" s="456"/>
      <c r="TB68" s="456"/>
      <c r="TC68" s="456"/>
      <c r="TD68" s="456"/>
      <c r="TE68" s="456"/>
      <c r="TF68" s="456"/>
      <c r="TG68" s="456"/>
      <c r="TH68" s="456"/>
      <c r="TI68" s="456"/>
      <c r="TJ68" s="456"/>
      <c r="TK68" s="456"/>
      <c r="TL68" s="456"/>
      <c r="TM68" s="456"/>
      <c r="TN68" s="456"/>
      <c r="TO68" s="456"/>
      <c r="TP68" s="456"/>
      <c r="TQ68" s="456"/>
      <c r="TR68" s="456"/>
      <c r="TS68" s="456"/>
      <c r="TT68" s="456"/>
      <c r="TU68" s="456"/>
      <c r="TV68" s="456"/>
      <c r="TW68" s="456"/>
      <c r="TX68" s="456"/>
      <c r="TY68" s="456"/>
      <c r="TZ68" s="456"/>
      <c r="UA68" s="456"/>
      <c r="UB68" s="456"/>
      <c r="UC68" s="456"/>
      <c r="UD68" s="456"/>
      <c r="UE68" s="456"/>
      <c r="UF68" s="456"/>
      <c r="UG68" s="456"/>
      <c r="UH68" s="456"/>
      <c r="UI68" s="456"/>
      <c r="UJ68" s="456"/>
      <c r="UK68" s="456"/>
      <c r="UL68" s="456"/>
      <c r="UM68" s="456"/>
      <c r="UN68" s="456"/>
      <c r="UO68" s="456"/>
      <c r="UP68" s="456"/>
      <c r="UQ68" s="456"/>
      <c r="UR68" s="456"/>
      <c r="US68" s="456"/>
      <c r="UT68" s="456"/>
      <c r="UU68" s="456"/>
      <c r="UV68" s="456"/>
      <c r="UW68" s="456"/>
      <c r="UX68" s="456"/>
      <c r="UY68" s="456"/>
      <c r="UZ68" s="456"/>
      <c r="VA68" s="456"/>
      <c r="VB68" s="456"/>
      <c r="VC68" s="456"/>
      <c r="VD68" s="456"/>
      <c r="VE68" s="456"/>
      <c r="VF68" s="456"/>
      <c r="VG68" s="456"/>
      <c r="VH68" s="456"/>
      <c r="VI68" s="456"/>
      <c r="VJ68" s="456"/>
      <c r="VK68" s="456"/>
      <c r="VL68" s="456"/>
      <c r="VM68" s="456"/>
      <c r="VN68" s="456"/>
      <c r="VO68" s="456"/>
      <c r="VP68" s="456"/>
      <c r="VQ68" s="456"/>
      <c r="VR68" s="456"/>
      <c r="VS68" s="456"/>
      <c r="VT68" s="456"/>
      <c r="VU68" s="456"/>
      <c r="VV68" s="456"/>
      <c r="VW68" s="456"/>
      <c r="VX68" s="456"/>
      <c r="VY68" s="456"/>
      <c r="VZ68" s="456"/>
      <c r="WA68" s="456"/>
      <c r="WB68" s="456"/>
      <c r="WC68" s="456"/>
      <c r="WD68" s="456"/>
      <c r="WE68" s="456"/>
      <c r="WF68" s="456"/>
      <c r="WG68" s="456"/>
      <c r="WH68" s="456"/>
      <c r="WI68" s="456"/>
      <c r="WJ68" s="456"/>
      <c r="WK68" s="456"/>
      <c r="WL68" s="456"/>
      <c r="WM68" s="456"/>
      <c r="WN68" s="456"/>
      <c r="WO68" s="456"/>
      <c r="WP68" s="456"/>
      <c r="WQ68" s="456"/>
      <c r="WR68" s="456"/>
      <c r="WS68" s="456"/>
      <c r="WT68" s="456"/>
      <c r="WU68" s="456"/>
      <c r="WV68" s="456"/>
      <c r="WW68" s="456"/>
      <c r="WX68" s="456"/>
      <c r="WY68" s="456"/>
      <c r="WZ68" s="456"/>
      <c r="XA68" s="456"/>
      <c r="XB68" s="456"/>
      <c r="XC68" s="456"/>
      <c r="XD68" s="456"/>
      <c r="XE68" s="456"/>
      <c r="XF68" s="456"/>
      <c r="XG68" s="456"/>
      <c r="XH68" s="456"/>
      <c r="XI68" s="456"/>
      <c r="XJ68" s="456"/>
      <c r="XK68" s="456"/>
      <c r="XL68" s="456"/>
      <c r="XM68" s="456"/>
      <c r="XN68" s="456"/>
      <c r="XO68" s="456"/>
      <c r="XP68" s="456"/>
      <c r="XQ68" s="456"/>
      <c r="XR68" s="456"/>
      <c r="XS68" s="456"/>
      <c r="XT68" s="456"/>
      <c r="XU68" s="456"/>
      <c r="XV68" s="456"/>
      <c r="XW68" s="456"/>
      <c r="XX68" s="456"/>
      <c r="XY68" s="456"/>
      <c r="XZ68" s="456"/>
      <c r="YA68" s="456"/>
      <c r="YB68" s="456"/>
      <c r="YC68" s="456"/>
      <c r="YD68" s="456"/>
      <c r="YE68" s="456"/>
      <c r="YF68" s="456"/>
      <c r="YG68" s="456"/>
      <c r="YH68" s="456"/>
      <c r="YI68" s="456"/>
      <c r="YJ68" s="456"/>
      <c r="YK68" s="456"/>
      <c r="YL68" s="456"/>
      <c r="YM68" s="456"/>
      <c r="YN68" s="456"/>
      <c r="YO68" s="456"/>
      <c r="YP68" s="456"/>
      <c r="YQ68" s="456"/>
      <c r="YR68" s="456"/>
      <c r="YS68" s="456"/>
      <c r="YT68" s="456"/>
      <c r="YU68" s="456"/>
      <c r="YV68" s="456"/>
      <c r="YW68" s="456"/>
      <c r="YX68" s="456"/>
      <c r="YY68" s="456"/>
      <c r="YZ68" s="456"/>
      <c r="ZA68" s="456"/>
      <c r="ZB68" s="456"/>
      <c r="ZC68" s="456"/>
      <c r="ZD68" s="456"/>
      <c r="ZE68" s="456"/>
      <c r="ZF68" s="456"/>
      <c r="ZG68" s="456"/>
      <c r="ZH68" s="456"/>
      <c r="ZI68" s="456"/>
      <c r="ZJ68" s="456"/>
      <c r="ZK68" s="456"/>
      <c r="ZL68" s="456"/>
      <c r="ZM68" s="456"/>
      <c r="ZN68" s="456"/>
      <c r="ZO68" s="456"/>
      <c r="ZP68" s="456"/>
      <c r="ZQ68" s="456"/>
      <c r="ZR68" s="456"/>
      <c r="ZS68" s="456"/>
      <c r="ZT68" s="456"/>
      <c r="ZU68" s="456"/>
      <c r="ZV68" s="456"/>
      <c r="ZW68" s="456"/>
      <c r="ZX68" s="456"/>
      <c r="ZY68" s="456"/>
      <c r="ZZ68" s="456"/>
      <c r="AAA68" s="456"/>
      <c r="AAB68" s="456"/>
      <c r="AAC68" s="456"/>
      <c r="AAD68" s="456"/>
      <c r="AAE68" s="456"/>
      <c r="AAF68" s="456"/>
      <c r="AAG68" s="456"/>
      <c r="AAH68" s="456"/>
      <c r="AAI68" s="456"/>
      <c r="AAJ68" s="456"/>
      <c r="AAK68" s="456"/>
      <c r="AAL68" s="456"/>
      <c r="AAM68" s="456"/>
      <c r="AAN68" s="456"/>
      <c r="AAO68" s="456"/>
      <c r="AAP68" s="456"/>
      <c r="AAQ68" s="456"/>
      <c r="AAR68" s="456"/>
      <c r="AAS68" s="456"/>
      <c r="AAT68" s="456"/>
      <c r="AAU68" s="456"/>
      <c r="AAV68" s="456"/>
      <c r="AAW68" s="456"/>
      <c r="AAX68" s="456"/>
      <c r="AAY68" s="456"/>
      <c r="AAZ68" s="456"/>
      <c r="ABA68" s="456"/>
      <c r="ABB68" s="456"/>
      <c r="ABC68" s="456"/>
      <c r="ABD68" s="456"/>
      <c r="ABE68" s="456"/>
      <c r="ABF68" s="456"/>
      <c r="ABG68" s="456"/>
      <c r="ABH68" s="456"/>
      <c r="ABI68" s="456"/>
      <c r="ABJ68" s="456"/>
      <c r="ABK68" s="456"/>
      <c r="ABL68" s="456"/>
      <c r="ABM68" s="456"/>
      <c r="ABN68" s="456"/>
      <c r="ABO68" s="456"/>
      <c r="ABP68" s="456"/>
      <c r="ABQ68" s="456"/>
      <c r="ABR68" s="456"/>
      <c r="ABS68" s="456"/>
      <c r="ABT68" s="456"/>
      <c r="ABU68" s="456"/>
      <c r="ABV68" s="456"/>
      <c r="ABW68" s="456"/>
      <c r="ABX68" s="456"/>
      <c r="ABY68" s="456"/>
      <c r="ABZ68" s="456"/>
      <c r="ACA68" s="456"/>
      <c r="ACB68" s="456"/>
      <c r="ACC68" s="456"/>
      <c r="ACD68" s="456"/>
      <c r="ACE68" s="456"/>
      <c r="ACF68" s="456"/>
      <c r="ACG68" s="456"/>
      <c r="ACH68" s="456"/>
      <c r="ACI68" s="456"/>
      <c r="ACJ68" s="456"/>
      <c r="ACK68" s="456"/>
      <c r="ACL68" s="456"/>
      <c r="ACM68" s="456"/>
      <c r="ACN68" s="456"/>
      <c r="ACO68" s="456"/>
      <c r="ACP68" s="456"/>
      <c r="ACQ68" s="456"/>
      <c r="ACR68" s="456"/>
      <c r="ACS68" s="456"/>
      <c r="ACT68" s="456"/>
      <c r="ACU68" s="456"/>
      <c r="ACV68" s="456"/>
      <c r="ACW68" s="456"/>
      <c r="ACX68" s="456"/>
      <c r="ACY68" s="456"/>
      <c r="ACZ68" s="456"/>
      <c r="ADA68" s="456"/>
      <c r="ADB68" s="456"/>
      <c r="ADC68" s="456"/>
      <c r="ADD68" s="456"/>
      <c r="ADE68" s="456"/>
      <c r="ADF68" s="456"/>
      <c r="ADG68" s="456"/>
      <c r="ADH68" s="456"/>
      <c r="ADI68" s="456"/>
      <c r="ADJ68" s="456"/>
      <c r="ADK68" s="456"/>
      <c r="ADL68" s="456"/>
      <c r="ADM68" s="456"/>
      <c r="ADN68" s="456"/>
      <c r="ADO68" s="456"/>
      <c r="ADP68" s="456"/>
      <c r="ADQ68" s="456"/>
      <c r="ADR68" s="456"/>
      <c r="ADS68" s="456"/>
      <c r="ADT68" s="456"/>
      <c r="ADU68" s="456"/>
      <c r="ADV68" s="456"/>
      <c r="ADW68" s="456"/>
      <c r="ADX68" s="456"/>
      <c r="ADY68" s="456"/>
      <c r="ADZ68" s="456"/>
      <c r="AEA68" s="456"/>
      <c r="AEB68" s="456"/>
      <c r="AEC68" s="456"/>
      <c r="AED68" s="456"/>
      <c r="AEE68" s="456"/>
      <c r="AEF68" s="456"/>
      <c r="AEG68" s="456"/>
      <c r="AEH68" s="456"/>
      <c r="AEI68" s="456"/>
      <c r="AEJ68" s="456"/>
      <c r="AEK68" s="456"/>
      <c r="AEL68" s="456"/>
      <c r="AEM68" s="456"/>
      <c r="AEN68" s="456"/>
      <c r="AEO68" s="456"/>
      <c r="AEP68" s="456"/>
      <c r="AEQ68" s="456"/>
      <c r="AER68" s="456"/>
      <c r="AES68" s="456"/>
      <c r="AET68" s="456"/>
      <c r="AEU68" s="456"/>
      <c r="AEV68" s="456"/>
      <c r="AEW68" s="456"/>
      <c r="AEX68" s="456"/>
      <c r="AEY68" s="456"/>
      <c r="AEZ68" s="456"/>
      <c r="AFA68" s="456"/>
      <c r="AFB68" s="456"/>
      <c r="AFC68" s="456"/>
      <c r="AFD68" s="456"/>
      <c r="AFE68" s="456"/>
      <c r="AFF68" s="456"/>
      <c r="AFG68" s="456"/>
      <c r="AFH68" s="456"/>
      <c r="AFI68" s="456"/>
      <c r="AFJ68" s="456"/>
      <c r="AFK68" s="456"/>
      <c r="AFL68" s="456"/>
      <c r="AFM68" s="456"/>
      <c r="AFN68" s="456"/>
      <c r="AFO68" s="456"/>
      <c r="AFP68" s="456"/>
      <c r="AFQ68" s="456"/>
      <c r="AFR68" s="456"/>
      <c r="AFS68" s="456"/>
      <c r="AFT68" s="456"/>
      <c r="AFU68" s="456"/>
      <c r="AFV68" s="456"/>
      <c r="AFW68" s="456"/>
      <c r="AFX68" s="456"/>
      <c r="AFY68" s="456"/>
      <c r="AFZ68" s="456"/>
      <c r="AGA68" s="456"/>
      <c r="AGB68" s="456"/>
      <c r="AGC68" s="456"/>
      <c r="AGD68" s="456"/>
      <c r="AGE68" s="456"/>
      <c r="AGF68" s="456"/>
      <c r="AGG68" s="456"/>
      <c r="AGH68" s="456"/>
      <c r="AGI68" s="456"/>
      <c r="AGJ68" s="456"/>
      <c r="AGK68" s="456"/>
      <c r="AGL68" s="456"/>
      <c r="AGM68" s="456"/>
      <c r="AGN68" s="456"/>
      <c r="AGO68" s="456"/>
      <c r="AGP68" s="456"/>
      <c r="AGQ68" s="456"/>
      <c r="AGR68" s="456"/>
      <c r="AGS68" s="456"/>
      <c r="AGT68" s="456"/>
      <c r="AGU68" s="456"/>
      <c r="AGV68" s="456"/>
      <c r="AGW68" s="456"/>
      <c r="AGX68" s="456"/>
      <c r="AGY68" s="456"/>
      <c r="AGZ68" s="456"/>
      <c r="AHA68" s="456"/>
      <c r="AHB68" s="456"/>
      <c r="AHC68" s="456"/>
      <c r="AHD68" s="456"/>
      <c r="AHE68" s="456"/>
      <c r="AHF68" s="456"/>
      <c r="AHG68" s="456"/>
      <c r="AHH68" s="456"/>
      <c r="AHI68" s="456"/>
      <c r="AHJ68" s="456"/>
      <c r="AHK68" s="456"/>
      <c r="AHL68" s="456"/>
      <c r="AHM68" s="456"/>
      <c r="AHN68" s="456"/>
      <c r="AHO68" s="456"/>
      <c r="AHP68" s="456"/>
      <c r="AHQ68" s="456"/>
      <c r="AHR68" s="456"/>
      <c r="AHS68" s="456"/>
      <c r="AHT68" s="456"/>
      <c r="AHU68" s="456"/>
      <c r="AHV68" s="456"/>
      <c r="AHW68" s="456"/>
      <c r="AHX68" s="456"/>
      <c r="AHY68" s="456"/>
      <c r="AHZ68" s="456"/>
      <c r="AIA68" s="456"/>
      <c r="AIB68" s="456"/>
      <c r="AIC68" s="456"/>
      <c r="AID68" s="456"/>
      <c r="AIE68" s="456"/>
      <c r="AIF68" s="456"/>
      <c r="AIG68" s="456"/>
      <c r="AIH68" s="456"/>
      <c r="AII68" s="456"/>
      <c r="AIJ68" s="456"/>
      <c r="AIK68" s="456"/>
      <c r="AIL68" s="456"/>
      <c r="AIM68" s="456"/>
      <c r="AIN68" s="456"/>
      <c r="AIO68" s="456"/>
      <c r="AIP68" s="456"/>
      <c r="AIQ68" s="456"/>
      <c r="AIR68" s="456"/>
      <c r="AIS68" s="456"/>
      <c r="AIT68" s="456"/>
      <c r="AIU68" s="456"/>
      <c r="AIV68" s="456"/>
      <c r="AIW68" s="456"/>
      <c r="AIX68" s="456"/>
      <c r="AIY68" s="456"/>
      <c r="AIZ68" s="456"/>
      <c r="AJA68" s="456"/>
      <c r="AJB68" s="456"/>
      <c r="AJC68" s="456"/>
      <c r="AJD68" s="456"/>
      <c r="AJE68" s="456"/>
      <c r="AJF68" s="456"/>
      <c r="AJG68" s="456"/>
      <c r="AJH68" s="456"/>
      <c r="AJI68" s="456"/>
      <c r="AJJ68" s="456"/>
      <c r="AJK68" s="456"/>
      <c r="AJL68" s="456"/>
      <c r="AJM68" s="456"/>
      <c r="AJN68" s="456"/>
      <c r="AJO68" s="456"/>
      <c r="AJP68" s="456"/>
      <c r="AJQ68" s="456"/>
      <c r="AJR68" s="456"/>
      <c r="AJS68" s="456"/>
      <c r="AJT68" s="456"/>
      <c r="AJU68" s="456"/>
      <c r="AJV68" s="456"/>
      <c r="AJW68" s="456"/>
      <c r="AJX68" s="456"/>
      <c r="AJY68" s="456"/>
      <c r="AJZ68" s="456"/>
      <c r="AKA68" s="456"/>
      <c r="AKB68" s="456"/>
      <c r="AKC68" s="456"/>
      <c r="AKD68" s="456"/>
      <c r="AKE68" s="456"/>
      <c r="AKF68" s="456"/>
      <c r="AKG68" s="456"/>
      <c r="AKH68" s="456"/>
      <c r="AKI68" s="456"/>
      <c r="AKJ68" s="456"/>
      <c r="AKK68" s="456"/>
      <c r="AKL68" s="456"/>
      <c r="AKM68" s="456"/>
      <c r="AKN68" s="456"/>
      <c r="AKO68" s="456"/>
      <c r="AKP68" s="456"/>
      <c r="AKQ68" s="456"/>
      <c r="AKR68" s="456"/>
      <c r="AKS68" s="456"/>
      <c r="AKT68" s="456"/>
      <c r="AKU68" s="456"/>
      <c r="AKV68" s="456"/>
      <c r="AKW68" s="456"/>
      <c r="AKX68" s="456"/>
      <c r="AKY68" s="456"/>
      <c r="AKZ68" s="456"/>
      <c r="ALA68" s="456"/>
      <c r="ALB68" s="456"/>
      <c r="ALC68" s="456"/>
      <c r="ALD68" s="456"/>
      <c r="ALE68" s="456"/>
      <c r="ALF68" s="456"/>
      <c r="ALG68" s="456"/>
      <c r="ALH68" s="456"/>
      <c r="ALI68" s="456"/>
      <c r="ALJ68" s="456"/>
      <c r="ALK68" s="456"/>
      <c r="ALL68" s="456"/>
      <c r="ALM68" s="456"/>
      <c r="ALN68" s="456"/>
      <c r="ALO68" s="456"/>
      <c r="ALP68" s="456"/>
      <c r="ALQ68" s="456"/>
      <c r="ALR68" s="456"/>
      <c r="ALS68" s="456"/>
      <c r="ALT68" s="456"/>
      <c r="ALU68" s="456"/>
      <c r="ALV68" s="456"/>
      <c r="ALW68" s="456"/>
      <c r="ALX68" s="456"/>
      <c r="ALY68" s="456"/>
      <c r="ALZ68" s="456"/>
      <c r="AMA68" s="456"/>
      <c r="AMB68" s="456"/>
      <c r="AMC68" s="456"/>
      <c r="AMD68" s="456"/>
      <c r="AME68" s="456"/>
      <c r="AMF68" s="456"/>
      <c r="AMG68" s="456"/>
      <c r="AMH68" s="456"/>
      <c r="AMI68" s="456"/>
      <c r="AMJ68" s="456"/>
      <c r="AMK68" s="456"/>
      <c r="AML68" s="456"/>
      <c r="AMM68" s="456"/>
      <c r="AMN68" s="456"/>
      <c r="AMO68" s="456"/>
      <c r="AMP68" s="456"/>
      <c r="AMQ68" s="456"/>
      <c r="AMR68" s="456"/>
      <c r="AMS68" s="456"/>
      <c r="AMT68" s="456"/>
      <c r="AMU68" s="456"/>
      <c r="AMV68" s="456"/>
      <c r="AMW68" s="456"/>
      <c r="AMX68" s="456"/>
      <c r="AMY68" s="456"/>
      <c r="AMZ68" s="456"/>
      <c r="ANA68" s="456"/>
      <c r="ANB68" s="456"/>
      <c r="ANC68" s="456"/>
      <c r="AND68" s="456"/>
      <c r="ANE68" s="456"/>
      <c r="ANF68" s="456"/>
      <c r="ANG68" s="456"/>
      <c r="ANH68" s="456"/>
      <c r="ANI68" s="456"/>
      <c r="ANJ68" s="456"/>
      <c r="ANK68" s="456"/>
      <c r="ANL68" s="456"/>
      <c r="ANM68" s="456"/>
      <c r="ANN68" s="456"/>
      <c r="ANO68" s="456"/>
      <c r="ANP68" s="456"/>
      <c r="ANQ68" s="456"/>
      <c r="ANR68" s="456"/>
      <c r="ANS68" s="456"/>
      <c r="ANT68" s="456"/>
      <c r="ANU68" s="456"/>
      <c r="ANV68" s="456"/>
      <c r="ANW68" s="456"/>
      <c r="ANX68" s="456"/>
      <c r="ANY68" s="456"/>
      <c r="ANZ68" s="456"/>
      <c r="AOA68" s="456"/>
      <c r="AOB68" s="456"/>
      <c r="AOC68" s="456"/>
      <c r="AOD68" s="456"/>
      <c r="AOE68" s="456"/>
      <c r="AOF68" s="456"/>
      <c r="AOG68" s="456"/>
      <c r="AOH68" s="456"/>
      <c r="AOI68" s="456"/>
      <c r="AOJ68" s="456"/>
      <c r="AOK68" s="456"/>
      <c r="AOL68" s="456"/>
      <c r="AOM68" s="456"/>
      <c r="AON68" s="456"/>
      <c r="AOO68" s="456"/>
      <c r="AOP68" s="456"/>
      <c r="AOQ68" s="456"/>
      <c r="AOR68" s="456"/>
      <c r="AOS68" s="456"/>
      <c r="AOT68" s="456"/>
      <c r="AOU68" s="456"/>
      <c r="AOV68" s="456"/>
      <c r="AOW68" s="456"/>
      <c r="AOX68" s="456"/>
      <c r="AOY68" s="456"/>
      <c r="AOZ68" s="456"/>
      <c r="APA68" s="456"/>
      <c r="APB68" s="456"/>
      <c r="APC68" s="456"/>
      <c r="APD68" s="456"/>
      <c r="APE68" s="456"/>
      <c r="APF68" s="456"/>
      <c r="APG68" s="456"/>
      <c r="APH68" s="456"/>
      <c r="API68" s="456"/>
      <c r="APJ68" s="456"/>
      <c r="APK68" s="456"/>
      <c r="APL68" s="456"/>
      <c r="APM68" s="456"/>
      <c r="APN68" s="456"/>
      <c r="APO68" s="456"/>
      <c r="APP68" s="456"/>
      <c r="APQ68" s="456"/>
      <c r="APR68" s="456"/>
      <c r="APS68" s="456"/>
      <c r="APT68" s="456"/>
      <c r="APU68" s="456"/>
      <c r="APV68" s="456"/>
      <c r="APW68" s="456"/>
      <c r="APX68" s="456"/>
      <c r="APY68" s="456"/>
      <c r="APZ68" s="456"/>
      <c r="AQA68" s="456"/>
      <c r="AQB68" s="456"/>
      <c r="AQC68" s="456"/>
      <c r="AQD68" s="456"/>
      <c r="AQE68" s="456"/>
      <c r="AQF68" s="456"/>
      <c r="AQG68" s="456"/>
      <c r="AQH68" s="456"/>
      <c r="AQI68" s="456"/>
      <c r="AQJ68" s="456"/>
      <c r="AQK68" s="456"/>
      <c r="AQL68" s="456"/>
      <c r="AQM68" s="456"/>
      <c r="AQN68" s="456"/>
      <c r="AQO68" s="456"/>
      <c r="AQP68" s="456"/>
      <c r="AQQ68" s="456"/>
      <c r="AQR68" s="456"/>
      <c r="AQS68" s="456"/>
      <c r="AQT68" s="456"/>
      <c r="AQU68" s="456"/>
      <c r="AQV68" s="456"/>
      <c r="AQW68" s="456"/>
      <c r="AQX68" s="456"/>
      <c r="AQY68" s="456"/>
      <c r="AQZ68" s="456"/>
      <c r="ARA68" s="456"/>
      <c r="ARB68" s="456"/>
      <c r="ARC68" s="456"/>
      <c r="ARD68" s="456"/>
      <c r="ARE68" s="456"/>
      <c r="ARF68" s="456"/>
      <c r="ARG68" s="456"/>
      <c r="ARH68" s="456"/>
      <c r="ARI68" s="456"/>
      <c r="ARJ68" s="456"/>
      <c r="ARK68" s="456"/>
      <c r="ARL68" s="456"/>
      <c r="ARM68" s="456"/>
      <c r="ARN68" s="456"/>
      <c r="ARO68" s="456"/>
      <c r="ARP68" s="456"/>
      <c r="ARQ68" s="456"/>
      <c r="ARR68" s="456"/>
      <c r="ARS68" s="456"/>
      <c r="ART68" s="456"/>
      <c r="ARU68" s="456"/>
      <c r="ARV68" s="456"/>
      <c r="ARW68" s="456"/>
      <c r="ARX68" s="456"/>
      <c r="ARY68" s="456"/>
      <c r="ARZ68" s="456"/>
      <c r="ASA68" s="456"/>
      <c r="ASB68" s="456"/>
      <c r="ASC68" s="456"/>
      <c r="ASD68" s="456"/>
      <c r="ASE68" s="456"/>
      <c r="ASF68" s="456"/>
      <c r="ASG68" s="456"/>
      <c r="ASH68" s="456"/>
      <c r="ASI68" s="456"/>
      <c r="ASJ68" s="456"/>
      <c r="ASK68" s="456"/>
      <c r="ASL68" s="456"/>
      <c r="ASM68" s="456"/>
      <c r="ASN68" s="456"/>
      <c r="ASO68" s="456"/>
      <c r="ASP68" s="456"/>
      <c r="ASQ68" s="456"/>
      <c r="ASR68" s="456"/>
      <c r="ASS68" s="456"/>
      <c r="AST68" s="456"/>
      <c r="ASU68" s="456"/>
      <c r="ASV68" s="456"/>
      <c r="ASW68" s="456"/>
      <c r="ASX68" s="456"/>
      <c r="ASY68" s="456"/>
      <c r="ASZ68" s="456"/>
      <c r="ATA68" s="456"/>
      <c r="ATB68" s="456"/>
      <c r="ATC68" s="456"/>
      <c r="ATD68" s="456"/>
      <c r="ATE68" s="456"/>
      <c r="ATF68" s="456"/>
      <c r="ATG68" s="456"/>
      <c r="ATH68" s="456"/>
      <c r="ATI68" s="456"/>
      <c r="ATJ68" s="456"/>
      <c r="ATK68" s="456"/>
      <c r="ATL68" s="456"/>
      <c r="ATM68" s="456"/>
      <c r="ATN68" s="456"/>
      <c r="ATO68" s="456"/>
      <c r="ATP68" s="456"/>
      <c r="ATQ68" s="456"/>
      <c r="ATR68" s="456"/>
      <c r="ATS68" s="456"/>
      <c r="ATT68" s="456"/>
      <c r="ATU68" s="456"/>
      <c r="ATV68" s="456"/>
      <c r="ATW68" s="456"/>
      <c r="ATX68" s="456"/>
      <c r="ATY68" s="456"/>
      <c r="ATZ68" s="456"/>
      <c r="AUA68" s="456"/>
      <c r="AUB68" s="456"/>
      <c r="AUC68" s="456"/>
      <c r="AUD68" s="456"/>
      <c r="AUE68" s="456"/>
      <c r="AUF68" s="456"/>
      <c r="AUG68" s="456"/>
      <c r="AUH68" s="456"/>
      <c r="AUI68" s="456"/>
      <c r="AUJ68" s="456"/>
      <c r="AUK68" s="456"/>
      <c r="AUL68" s="456"/>
      <c r="AUM68" s="456"/>
      <c r="AUN68" s="456"/>
      <c r="AUO68" s="456"/>
      <c r="AUP68" s="456"/>
      <c r="AUQ68" s="456"/>
      <c r="AUR68" s="456"/>
      <c r="AUS68" s="456"/>
      <c r="AUT68" s="456"/>
      <c r="AUU68" s="456"/>
      <c r="AUV68" s="456"/>
      <c r="AUW68" s="456"/>
      <c r="AUX68" s="456"/>
      <c r="AUY68" s="456"/>
      <c r="AUZ68" s="456"/>
      <c r="AVA68" s="456"/>
      <c r="AVB68" s="456"/>
      <c r="AVC68" s="456"/>
      <c r="AVD68" s="456"/>
      <c r="AVE68" s="456"/>
      <c r="AVF68" s="456"/>
      <c r="AVG68" s="456"/>
      <c r="AVH68" s="456"/>
      <c r="AVI68" s="456"/>
      <c r="AVJ68" s="456"/>
      <c r="AVK68" s="456"/>
      <c r="AVL68" s="456"/>
      <c r="AVM68" s="456"/>
      <c r="AVN68" s="456"/>
      <c r="AVO68" s="456"/>
      <c r="AVP68" s="456"/>
      <c r="AVQ68" s="456"/>
      <c r="AVR68" s="456"/>
      <c r="AVS68" s="456"/>
      <c r="AVT68" s="456"/>
      <c r="AVU68" s="456"/>
      <c r="AVV68" s="456"/>
      <c r="AVW68" s="456"/>
      <c r="AVX68" s="456"/>
      <c r="AVY68" s="456"/>
      <c r="AVZ68" s="456"/>
      <c r="AWA68" s="456"/>
      <c r="AWB68" s="456"/>
      <c r="AWC68" s="456"/>
      <c r="AWD68" s="456"/>
      <c r="AWE68" s="456"/>
      <c r="AWF68" s="456"/>
      <c r="AWG68" s="456"/>
      <c r="AWH68" s="456"/>
      <c r="AWI68" s="456"/>
      <c r="AWJ68" s="456"/>
      <c r="AWK68" s="456"/>
      <c r="AWL68" s="456"/>
      <c r="AWM68" s="456"/>
      <c r="AWN68" s="456"/>
      <c r="AWO68" s="456"/>
      <c r="AWP68" s="456"/>
      <c r="AWQ68" s="456"/>
      <c r="AWR68" s="456"/>
      <c r="AWS68" s="456"/>
      <c r="AWT68" s="456"/>
      <c r="AWU68" s="456"/>
      <c r="AWV68" s="456"/>
      <c r="AWW68" s="456"/>
      <c r="AWX68" s="456"/>
      <c r="AWY68" s="456"/>
      <c r="AWZ68" s="456"/>
      <c r="AXA68" s="456"/>
      <c r="AXB68" s="456"/>
      <c r="AXC68" s="456"/>
      <c r="AXD68" s="456"/>
      <c r="AXE68" s="456"/>
      <c r="AXF68" s="456"/>
      <c r="AXG68" s="456"/>
      <c r="AXH68" s="456"/>
      <c r="AXI68" s="456"/>
      <c r="AXJ68" s="456"/>
      <c r="AXK68" s="456"/>
      <c r="AXL68" s="456"/>
      <c r="AXM68" s="456"/>
      <c r="AXN68" s="456"/>
      <c r="AXO68" s="456"/>
      <c r="AXP68" s="456"/>
      <c r="AXQ68" s="456"/>
      <c r="AXR68" s="456"/>
      <c r="AXS68" s="456"/>
      <c r="AXT68" s="456"/>
      <c r="AXU68" s="456"/>
      <c r="AXV68" s="456"/>
      <c r="AXW68" s="456"/>
      <c r="AXX68" s="456"/>
      <c r="AXY68" s="456"/>
      <c r="AXZ68" s="456"/>
      <c r="AYA68" s="456"/>
      <c r="AYB68" s="456"/>
      <c r="AYC68" s="456"/>
      <c r="AYD68" s="456"/>
      <c r="AYE68" s="456"/>
      <c r="AYF68" s="456"/>
      <c r="AYG68" s="456"/>
      <c r="AYH68" s="456"/>
      <c r="AYI68" s="456"/>
      <c r="AYJ68" s="456"/>
      <c r="AYK68" s="456"/>
      <c r="AYL68" s="456"/>
      <c r="AYM68" s="456"/>
      <c r="AYN68" s="456"/>
      <c r="AYO68" s="456"/>
      <c r="AYP68" s="456"/>
      <c r="AYQ68" s="456"/>
      <c r="AYR68" s="456"/>
      <c r="AYS68" s="456"/>
      <c r="AYT68" s="456"/>
      <c r="AYU68" s="456"/>
      <c r="AYV68" s="456"/>
      <c r="AYW68" s="456"/>
      <c r="AYX68" s="456"/>
      <c r="AYY68" s="456"/>
      <c r="AYZ68" s="456"/>
      <c r="AZA68" s="456"/>
      <c r="AZB68" s="456"/>
      <c r="AZC68" s="456"/>
      <c r="AZD68" s="456"/>
      <c r="AZE68" s="456"/>
      <c r="AZF68" s="456"/>
      <c r="AZG68" s="456"/>
      <c r="AZH68" s="456"/>
      <c r="AZI68" s="456"/>
      <c r="AZJ68" s="456"/>
      <c r="AZK68" s="456"/>
      <c r="AZL68" s="456"/>
      <c r="AZM68" s="456"/>
      <c r="AZN68" s="456"/>
      <c r="AZO68" s="456"/>
      <c r="AZP68" s="456"/>
      <c r="AZQ68" s="456"/>
      <c r="AZR68" s="456"/>
      <c r="AZS68" s="456"/>
      <c r="AZT68" s="456"/>
      <c r="AZU68" s="456"/>
      <c r="AZV68" s="456"/>
      <c r="AZW68" s="456"/>
      <c r="AZX68" s="456"/>
      <c r="AZY68" s="456"/>
      <c r="AZZ68" s="456"/>
      <c r="BAA68" s="456"/>
      <c r="BAB68" s="456"/>
      <c r="BAC68" s="456"/>
      <c r="BAD68" s="456"/>
      <c r="BAE68" s="456"/>
      <c r="BAF68" s="456"/>
      <c r="BAG68" s="456"/>
      <c r="BAH68" s="456"/>
      <c r="BAI68" s="456"/>
      <c r="BAJ68" s="456"/>
      <c r="BAK68" s="456"/>
      <c r="BAL68" s="456"/>
      <c r="BAM68" s="456"/>
      <c r="BAN68" s="456"/>
      <c r="BAO68" s="456"/>
      <c r="BAP68" s="456"/>
      <c r="BAQ68" s="456"/>
      <c r="BAR68" s="456"/>
      <c r="BAS68" s="456"/>
      <c r="BAT68" s="456"/>
      <c r="BAU68" s="456"/>
      <c r="BAV68" s="456"/>
      <c r="BAW68" s="456"/>
      <c r="BAX68" s="456"/>
      <c r="BAY68" s="456"/>
      <c r="BAZ68" s="456"/>
      <c r="BBA68" s="456"/>
      <c r="BBB68" s="456"/>
      <c r="BBC68" s="456"/>
      <c r="BBD68" s="456"/>
      <c r="BBE68" s="456"/>
      <c r="BBF68" s="456"/>
      <c r="BBG68" s="456"/>
      <c r="BBH68" s="456"/>
      <c r="BBI68" s="456"/>
      <c r="BBJ68" s="456"/>
      <c r="BBK68" s="456"/>
      <c r="BBL68" s="456"/>
      <c r="BBM68" s="456"/>
      <c r="BBN68" s="456"/>
      <c r="BBO68" s="456"/>
      <c r="BBP68" s="456"/>
      <c r="BBQ68" s="456"/>
      <c r="BBR68" s="456"/>
      <c r="BBS68" s="456"/>
      <c r="BBT68" s="456"/>
      <c r="BBU68" s="456"/>
      <c r="BBV68" s="456"/>
      <c r="BBW68" s="456"/>
      <c r="BBX68" s="456"/>
      <c r="BBY68" s="456"/>
      <c r="BBZ68" s="456"/>
      <c r="BCA68" s="456"/>
      <c r="BCB68" s="456"/>
      <c r="BCC68" s="456"/>
      <c r="BCD68" s="456"/>
      <c r="BCE68" s="456"/>
      <c r="BCF68" s="456"/>
      <c r="BCG68" s="456"/>
      <c r="BCH68" s="456"/>
      <c r="BCI68" s="456"/>
      <c r="BCJ68" s="456"/>
      <c r="BCK68" s="456"/>
      <c r="BCL68" s="456"/>
      <c r="BCM68" s="456"/>
      <c r="BCN68" s="456"/>
      <c r="BCO68" s="456"/>
      <c r="BCP68" s="456"/>
      <c r="BCQ68" s="456"/>
      <c r="BCR68" s="456"/>
      <c r="BCS68" s="456"/>
      <c r="BCT68" s="456"/>
      <c r="BCU68" s="456"/>
      <c r="BCV68" s="456"/>
      <c r="BCW68" s="456"/>
      <c r="BCX68" s="456"/>
      <c r="BCY68" s="456"/>
      <c r="BCZ68" s="456"/>
      <c r="BDA68" s="456"/>
      <c r="BDB68" s="456"/>
      <c r="BDC68" s="456"/>
      <c r="BDD68" s="456"/>
      <c r="BDE68" s="456"/>
      <c r="BDF68" s="456"/>
      <c r="BDG68" s="456"/>
      <c r="BDH68" s="456"/>
      <c r="BDI68" s="456"/>
      <c r="BDJ68" s="456"/>
      <c r="BDK68" s="456"/>
      <c r="BDL68" s="456"/>
      <c r="BDM68" s="456"/>
      <c r="BDN68" s="456"/>
      <c r="BDO68" s="456"/>
      <c r="BDP68" s="456"/>
      <c r="BDQ68" s="456"/>
      <c r="BDR68" s="456"/>
      <c r="BDS68" s="456"/>
      <c r="BDT68" s="456"/>
      <c r="BDU68" s="456"/>
      <c r="BDV68" s="456"/>
      <c r="BDW68" s="456"/>
      <c r="BDX68" s="456"/>
      <c r="BDY68" s="456"/>
      <c r="BDZ68" s="456"/>
      <c r="BEA68" s="456"/>
      <c r="BEB68" s="456"/>
      <c r="BEC68" s="456"/>
      <c r="BED68" s="456"/>
      <c r="BEE68" s="456"/>
      <c r="BEF68" s="456"/>
      <c r="BEG68" s="456"/>
      <c r="BEH68" s="456"/>
      <c r="BEI68" s="456"/>
      <c r="BEJ68" s="456"/>
      <c r="BEK68" s="456"/>
      <c r="BEL68" s="456"/>
      <c r="BEM68" s="456"/>
      <c r="BEN68" s="456"/>
      <c r="BEO68" s="456"/>
      <c r="BEP68" s="456"/>
      <c r="BEQ68" s="456"/>
      <c r="BER68" s="456"/>
      <c r="BES68" s="456"/>
      <c r="BET68" s="456"/>
      <c r="BEU68" s="456"/>
      <c r="BEV68" s="456"/>
      <c r="BEW68" s="456"/>
      <c r="BEX68" s="456"/>
      <c r="BEY68" s="456"/>
      <c r="BEZ68" s="456"/>
      <c r="BFA68" s="456"/>
      <c r="BFB68" s="456"/>
      <c r="BFC68" s="456"/>
      <c r="BFD68" s="456"/>
      <c r="BFE68" s="456"/>
      <c r="BFF68" s="456"/>
      <c r="BFG68" s="456"/>
      <c r="BFH68" s="456"/>
      <c r="BFI68" s="456"/>
      <c r="BFJ68" s="456"/>
      <c r="BFK68" s="456"/>
      <c r="BFL68" s="456"/>
      <c r="BFM68" s="456"/>
      <c r="BFN68" s="456"/>
      <c r="BFO68" s="456"/>
      <c r="BFP68" s="456"/>
      <c r="BFQ68" s="456"/>
      <c r="BFR68" s="456"/>
      <c r="BFS68" s="456"/>
      <c r="BFT68" s="456"/>
      <c r="BFU68" s="456"/>
      <c r="BFV68" s="456"/>
      <c r="BFW68" s="456"/>
      <c r="BFX68" s="456"/>
      <c r="BFY68" s="456"/>
      <c r="BFZ68" s="456"/>
      <c r="BGA68" s="456"/>
      <c r="BGB68" s="456"/>
      <c r="BGC68" s="456"/>
      <c r="BGD68" s="456"/>
      <c r="BGE68" s="456"/>
      <c r="BGF68" s="456"/>
      <c r="BGG68" s="456"/>
      <c r="BGH68" s="456"/>
      <c r="BGI68" s="456"/>
      <c r="BGJ68" s="456"/>
      <c r="BGK68" s="456"/>
      <c r="BGL68" s="456"/>
      <c r="BGM68" s="456"/>
      <c r="BGN68" s="456"/>
      <c r="BGO68" s="456"/>
      <c r="BGP68" s="456"/>
      <c r="BGQ68" s="456"/>
      <c r="BGR68" s="456"/>
      <c r="BGS68" s="456"/>
      <c r="BGT68" s="456"/>
      <c r="BGU68" s="456"/>
      <c r="BGV68" s="456"/>
      <c r="BGW68" s="456"/>
      <c r="BGX68" s="456"/>
      <c r="BGY68" s="456"/>
      <c r="BGZ68" s="456"/>
      <c r="BHA68" s="456"/>
      <c r="BHB68" s="456"/>
      <c r="BHC68" s="456"/>
      <c r="BHD68" s="456"/>
      <c r="BHE68" s="456"/>
      <c r="BHF68" s="456"/>
      <c r="BHG68" s="456"/>
      <c r="BHH68" s="456"/>
      <c r="BHI68" s="456"/>
      <c r="BHJ68" s="456"/>
      <c r="BHK68" s="456"/>
      <c r="BHL68" s="456"/>
      <c r="BHM68" s="456"/>
      <c r="BHN68" s="456"/>
      <c r="BHO68" s="456"/>
      <c r="BHP68" s="456"/>
      <c r="BHQ68" s="456"/>
      <c r="BHR68" s="456"/>
      <c r="BHS68" s="456"/>
      <c r="BHT68" s="456"/>
      <c r="BHU68" s="456"/>
      <c r="BHV68" s="456"/>
      <c r="BHW68" s="456"/>
      <c r="BHX68" s="456"/>
      <c r="BHY68" s="456"/>
      <c r="BHZ68" s="456"/>
      <c r="BIA68" s="456"/>
      <c r="BIB68" s="456"/>
      <c r="BIC68" s="456"/>
      <c r="BID68" s="456"/>
      <c r="BIE68" s="456"/>
      <c r="BIF68" s="456"/>
      <c r="BIG68" s="456"/>
      <c r="BIH68" s="456"/>
      <c r="BII68" s="456"/>
      <c r="BIJ68" s="456"/>
      <c r="BIK68" s="456"/>
      <c r="BIL68" s="456"/>
      <c r="BIM68" s="456"/>
      <c r="BIN68" s="456"/>
      <c r="BIO68" s="456"/>
      <c r="BIP68" s="456"/>
      <c r="BIQ68" s="456"/>
      <c r="BIR68" s="456"/>
      <c r="BIS68" s="456"/>
      <c r="BIT68" s="456"/>
      <c r="BIU68" s="456"/>
      <c r="BIV68" s="456"/>
      <c r="BIW68" s="456"/>
      <c r="BIX68" s="456"/>
      <c r="BIY68" s="456"/>
      <c r="BIZ68" s="456"/>
      <c r="BJA68" s="456"/>
      <c r="BJB68" s="456"/>
      <c r="BJC68" s="456"/>
      <c r="BJD68" s="456"/>
      <c r="BJE68" s="456"/>
      <c r="BJF68" s="456"/>
      <c r="BJG68" s="456"/>
      <c r="BJH68" s="456"/>
      <c r="BJI68" s="456"/>
      <c r="BJJ68" s="456"/>
      <c r="BJK68" s="456"/>
      <c r="BJL68" s="456"/>
      <c r="BJM68" s="456"/>
      <c r="BJN68" s="456"/>
      <c r="BJO68" s="456"/>
      <c r="BJP68" s="456"/>
      <c r="BJQ68" s="456"/>
      <c r="BJR68" s="456"/>
      <c r="BJS68" s="456"/>
      <c r="BJT68" s="456"/>
      <c r="BJU68" s="456"/>
      <c r="BJV68" s="456"/>
      <c r="BJW68" s="456"/>
      <c r="BJX68" s="456"/>
      <c r="BJY68" s="456"/>
      <c r="BJZ68" s="456"/>
      <c r="BKA68" s="456"/>
      <c r="BKB68" s="456"/>
      <c r="BKC68" s="456"/>
      <c r="BKD68" s="456"/>
      <c r="BKE68" s="456"/>
      <c r="BKF68" s="456"/>
      <c r="BKG68" s="456"/>
      <c r="BKH68" s="456"/>
      <c r="BKI68" s="456"/>
      <c r="BKJ68" s="456"/>
      <c r="BKK68" s="456"/>
      <c r="BKL68" s="456"/>
      <c r="BKM68" s="456"/>
      <c r="BKN68" s="456"/>
      <c r="BKO68" s="456"/>
      <c r="BKP68" s="456"/>
      <c r="BKQ68" s="456"/>
      <c r="BKR68" s="456"/>
      <c r="BKS68" s="456"/>
      <c r="BKT68" s="456"/>
      <c r="BKU68" s="456"/>
      <c r="BKV68" s="456"/>
      <c r="BKW68" s="456"/>
      <c r="BKX68" s="456"/>
      <c r="BKY68" s="456"/>
      <c r="BKZ68" s="456"/>
      <c r="BLA68" s="456"/>
      <c r="BLB68" s="456"/>
      <c r="BLC68" s="456"/>
      <c r="BLD68" s="456"/>
      <c r="BLE68" s="456"/>
      <c r="BLF68" s="456"/>
      <c r="BLG68" s="456"/>
      <c r="BLH68" s="456"/>
      <c r="BLI68" s="456"/>
      <c r="BLJ68" s="456"/>
      <c r="BLK68" s="456"/>
      <c r="BLL68" s="456"/>
      <c r="BLM68" s="456"/>
      <c r="BLN68" s="456"/>
      <c r="BLO68" s="456"/>
      <c r="BLP68" s="456"/>
      <c r="BLQ68" s="456"/>
      <c r="BLR68" s="456"/>
      <c r="BLS68" s="456"/>
      <c r="BLT68" s="456"/>
      <c r="BLU68" s="456"/>
      <c r="BLV68" s="456"/>
      <c r="BLW68" s="456"/>
      <c r="BLX68" s="456"/>
      <c r="BLY68" s="456"/>
      <c r="BLZ68" s="456"/>
      <c r="BMA68" s="456"/>
      <c r="BMB68" s="456"/>
      <c r="BMC68" s="456"/>
      <c r="BMD68" s="456"/>
      <c r="BME68" s="456"/>
      <c r="BMF68" s="456"/>
      <c r="BMG68" s="456"/>
      <c r="BMH68" s="456"/>
      <c r="BMI68" s="456"/>
      <c r="BMJ68" s="456"/>
      <c r="BMK68" s="456"/>
      <c r="BML68" s="456"/>
      <c r="BMM68" s="456"/>
      <c r="BMN68" s="456"/>
      <c r="BMO68" s="456"/>
      <c r="BMP68" s="456"/>
      <c r="BMQ68" s="456"/>
      <c r="BMR68" s="456"/>
      <c r="BMS68" s="456"/>
      <c r="BMT68" s="456"/>
      <c r="BMU68" s="456"/>
      <c r="BMV68" s="456"/>
      <c r="BMW68" s="456"/>
      <c r="BMX68" s="456"/>
      <c r="BMY68" s="456"/>
      <c r="BMZ68" s="456"/>
      <c r="BNA68" s="456"/>
      <c r="BNB68" s="456"/>
      <c r="BNC68" s="456"/>
      <c r="BND68" s="456"/>
      <c r="BNE68" s="456"/>
      <c r="BNF68" s="456"/>
      <c r="BNG68" s="456"/>
      <c r="BNH68" s="456"/>
      <c r="BNI68" s="456"/>
      <c r="BNJ68" s="456"/>
      <c r="BNK68" s="456"/>
      <c r="BNL68" s="456"/>
      <c r="BNM68" s="456"/>
      <c r="BNN68" s="456"/>
      <c r="BNO68" s="456"/>
      <c r="BNP68" s="456"/>
      <c r="BNQ68" s="456"/>
      <c r="BNR68" s="456"/>
      <c r="BNS68" s="456"/>
      <c r="BNT68" s="456"/>
      <c r="BNU68" s="456"/>
      <c r="BNV68" s="456"/>
      <c r="BNW68" s="456"/>
      <c r="BNX68" s="456"/>
      <c r="BNY68" s="456"/>
      <c r="BNZ68" s="456"/>
      <c r="BOA68" s="456"/>
      <c r="BOB68" s="456"/>
      <c r="BOC68" s="456"/>
      <c r="BOD68" s="456"/>
      <c r="BOE68" s="456"/>
      <c r="BOF68" s="456"/>
      <c r="BOG68" s="456"/>
      <c r="BOH68" s="456"/>
      <c r="BOI68" s="456"/>
      <c r="BOJ68" s="456"/>
      <c r="BOK68" s="456"/>
      <c r="BOL68" s="456"/>
      <c r="BOM68" s="456"/>
      <c r="BON68" s="456"/>
      <c r="BOO68" s="456"/>
      <c r="BOP68" s="456"/>
      <c r="BOQ68" s="456"/>
      <c r="BOR68" s="456"/>
      <c r="BOS68" s="456"/>
      <c r="BOT68" s="456"/>
      <c r="BOU68" s="456"/>
      <c r="BOV68" s="456"/>
      <c r="BOW68" s="456"/>
      <c r="BOX68" s="456"/>
      <c r="BOY68" s="456"/>
      <c r="BOZ68" s="456"/>
      <c r="BPA68" s="456"/>
      <c r="BPB68" s="456"/>
      <c r="BPC68" s="456"/>
      <c r="BPD68" s="456"/>
      <c r="BPE68" s="456"/>
      <c r="BPF68" s="456"/>
      <c r="BPG68" s="456"/>
      <c r="BPH68" s="456"/>
      <c r="BPI68" s="456"/>
      <c r="BPJ68" s="456"/>
      <c r="BPK68" s="456"/>
      <c r="BPL68" s="456"/>
      <c r="BPM68" s="456"/>
      <c r="BPN68" s="456"/>
      <c r="BPO68" s="456"/>
      <c r="BPP68" s="456"/>
      <c r="BPQ68" s="456"/>
      <c r="BPR68" s="456"/>
      <c r="BPS68" s="456"/>
      <c r="BPT68" s="456"/>
      <c r="BPU68" s="456"/>
      <c r="BPV68" s="456"/>
      <c r="BPW68" s="456"/>
      <c r="BPX68" s="456"/>
      <c r="BPY68" s="456"/>
      <c r="BPZ68" s="456"/>
      <c r="BQA68" s="456"/>
      <c r="BQB68" s="456"/>
      <c r="BQC68" s="456"/>
      <c r="BQD68" s="456"/>
      <c r="BQE68" s="456"/>
      <c r="BQF68" s="456"/>
      <c r="BQG68" s="456"/>
      <c r="BQH68" s="456"/>
      <c r="BQI68" s="456"/>
      <c r="BQJ68" s="456"/>
      <c r="BQK68" s="456"/>
      <c r="BQL68" s="456"/>
      <c r="BQM68" s="456"/>
      <c r="BQN68" s="456"/>
      <c r="BQO68" s="456"/>
      <c r="BQP68" s="456"/>
      <c r="BQQ68" s="456"/>
      <c r="BQR68" s="456"/>
      <c r="BQS68" s="456"/>
      <c r="BQT68" s="456"/>
      <c r="BQU68" s="456"/>
      <c r="BQV68" s="456"/>
      <c r="BQW68" s="456"/>
      <c r="BQX68" s="456"/>
      <c r="BQY68" s="456"/>
      <c r="BQZ68" s="456"/>
      <c r="BRA68" s="456"/>
      <c r="BRB68" s="456"/>
      <c r="BRC68" s="456"/>
      <c r="BRD68" s="456"/>
      <c r="BRE68" s="456"/>
      <c r="BRF68" s="456"/>
      <c r="BRG68" s="456"/>
      <c r="BRH68" s="456"/>
      <c r="BRI68" s="456"/>
      <c r="BRJ68" s="456"/>
      <c r="BRK68" s="456"/>
      <c r="BRL68" s="456"/>
      <c r="BRM68" s="456"/>
      <c r="BRN68" s="456"/>
      <c r="BRO68" s="456"/>
      <c r="BRP68" s="456"/>
      <c r="BRQ68" s="456"/>
      <c r="BRR68" s="456"/>
      <c r="BRS68" s="456"/>
      <c r="BRT68" s="456"/>
      <c r="BRU68" s="456"/>
      <c r="BRV68" s="456"/>
      <c r="BRW68" s="456"/>
      <c r="BRX68" s="456"/>
      <c r="BRY68" s="456"/>
      <c r="BRZ68" s="456"/>
      <c r="BSA68" s="456"/>
      <c r="BSB68" s="456"/>
      <c r="BSC68" s="456"/>
      <c r="BSD68" s="456"/>
      <c r="BSE68" s="456"/>
      <c r="BSF68" s="456"/>
      <c r="BSG68" s="456"/>
      <c r="BSH68" s="456"/>
      <c r="BSI68" s="456"/>
      <c r="BSJ68" s="456"/>
      <c r="BSK68" s="456"/>
      <c r="BSL68" s="456"/>
      <c r="BSM68" s="456"/>
      <c r="BSN68" s="456"/>
      <c r="BSO68" s="456"/>
      <c r="BSP68" s="456"/>
      <c r="BSQ68" s="456"/>
      <c r="BSR68" s="456"/>
      <c r="BSS68" s="456"/>
      <c r="BST68" s="456"/>
      <c r="BSU68" s="456"/>
      <c r="BSV68" s="456"/>
      <c r="BSW68" s="456"/>
      <c r="BSX68" s="456"/>
      <c r="BSY68" s="456"/>
      <c r="BSZ68" s="456"/>
      <c r="BTA68" s="456"/>
      <c r="BTB68" s="456"/>
      <c r="BTC68" s="456"/>
      <c r="BTD68" s="456"/>
      <c r="BTE68" s="456"/>
      <c r="BTF68" s="456"/>
      <c r="BTG68" s="456"/>
      <c r="BTH68" s="456"/>
      <c r="BTI68" s="456"/>
      <c r="BTJ68" s="456"/>
      <c r="BTK68" s="456"/>
      <c r="BTL68" s="456"/>
      <c r="BTM68" s="456"/>
      <c r="BTN68" s="456"/>
      <c r="BTO68" s="456"/>
      <c r="BTP68" s="456"/>
      <c r="BTQ68" s="456"/>
      <c r="BTR68" s="456"/>
      <c r="BTS68" s="456"/>
      <c r="BTT68" s="456"/>
      <c r="BTU68" s="456"/>
      <c r="BTV68" s="456"/>
      <c r="BTW68" s="456"/>
      <c r="BTX68" s="456"/>
      <c r="BTY68" s="456"/>
      <c r="BTZ68" s="456"/>
      <c r="BUA68" s="456"/>
      <c r="BUB68" s="456"/>
      <c r="BUC68" s="456"/>
      <c r="BUD68" s="456"/>
      <c r="BUE68" s="456"/>
      <c r="BUF68" s="456"/>
      <c r="BUG68" s="456"/>
      <c r="BUH68" s="456"/>
      <c r="BUI68" s="456"/>
      <c r="BUJ68" s="456"/>
      <c r="BUK68" s="456"/>
      <c r="BUL68" s="456"/>
      <c r="BUM68" s="456"/>
      <c r="BUN68" s="456"/>
      <c r="BUO68" s="456"/>
      <c r="BUP68" s="456"/>
      <c r="BUQ68" s="456"/>
      <c r="BUR68" s="456"/>
      <c r="BUS68" s="456"/>
      <c r="BUT68" s="456"/>
      <c r="BUU68" s="456"/>
      <c r="BUV68" s="456"/>
      <c r="BUW68" s="456"/>
      <c r="BUX68" s="456"/>
      <c r="BUY68" s="456"/>
      <c r="BUZ68" s="456"/>
      <c r="BVA68" s="456"/>
      <c r="BVB68" s="456"/>
      <c r="BVC68" s="456"/>
      <c r="BVD68" s="456"/>
      <c r="BVE68" s="456"/>
      <c r="BVF68" s="456"/>
      <c r="BVG68" s="456"/>
      <c r="BVH68" s="456"/>
      <c r="BVI68" s="456"/>
      <c r="BVJ68" s="456"/>
      <c r="BVK68" s="456"/>
      <c r="BVL68" s="456"/>
      <c r="BVM68" s="456"/>
      <c r="BVN68" s="456"/>
      <c r="BVO68" s="456"/>
      <c r="BVP68" s="456"/>
      <c r="BVQ68" s="456"/>
      <c r="BVR68" s="456"/>
      <c r="BVS68" s="456"/>
      <c r="BVT68" s="456"/>
      <c r="BVU68" s="456"/>
      <c r="BVV68" s="456"/>
      <c r="BVW68" s="456"/>
      <c r="BVX68" s="456"/>
      <c r="BVY68" s="456"/>
      <c r="BVZ68" s="456"/>
      <c r="BWA68" s="456"/>
      <c r="BWB68" s="456"/>
      <c r="BWC68" s="456"/>
      <c r="BWD68" s="456"/>
      <c r="BWE68" s="456"/>
      <c r="BWF68" s="456"/>
      <c r="BWG68" s="456"/>
      <c r="BWH68" s="456"/>
      <c r="BWI68" s="456"/>
      <c r="BWJ68" s="456"/>
      <c r="BWK68" s="456"/>
      <c r="BWL68" s="456"/>
      <c r="BWM68" s="456"/>
      <c r="BWN68" s="456"/>
      <c r="BWO68" s="456"/>
      <c r="BWP68" s="456"/>
      <c r="BWQ68" s="456"/>
      <c r="BWR68" s="456"/>
      <c r="BWS68" s="456"/>
      <c r="BWT68" s="456"/>
      <c r="BWU68" s="456"/>
      <c r="BWV68" s="456"/>
      <c r="BWW68" s="456"/>
      <c r="BWX68" s="456"/>
      <c r="BWY68" s="456"/>
      <c r="BWZ68" s="456"/>
      <c r="BXA68" s="456"/>
      <c r="BXB68" s="456"/>
      <c r="BXC68" s="456"/>
      <c r="BXD68" s="456"/>
      <c r="BXE68" s="456"/>
      <c r="BXF68" s="456"/>
      <c r="BXG68" s="456"/>
      <c r="BXH68" s="456"/>
      <c r="BXI68" s="456"/>
      <c r="BXJ68" s="456"/>
      <c r="BXK68" s="456"/>
      <c r="BXL68" s="456"/>
      <c r="BXM68" s="456"/>
      <c r="BXN68" s="456"/>
      <c r="BXO68" s="456"/>
      <c r="BXP68" s="456"/>
      <c r="BXQ68" s="456"/>
      <c r="BXR68" s="456"/>
      <c r="BXS68" s="456"/>
      <c r="BXT68" s="456"/>
      <c r="BXU68" s="456"/>
      <c r="BXV68" s="456"/>
      <c r="BXW68" s="456"/>
      <c r="BXX68" s="456"/>
      <c r="BXY68" s="456"/>
      <c r="BXZ68" s="456"/>
      <c r="BYA68" s="456"/>
      <c r="BYB68" s="456"/>
      <c r="BYC68" s="456"/>
      <c r="BYD68" s="456"/>
      <c r="BYE68" s="456"/>
      <c r="BYF68" s="456"/>
      <c r="BYG68" s="456"/>
      <c r="BYH68" s="456"/>
      <c r="BYI68" s="456"/>
      <c r="BYJ68" s="456"/>
      <c r="BYK68" s="456"/>
      <c r="BYL68" s="456"/>
      <c r="BYM68" s="456"/>
      <c r="BYN68" s="456"/>
      <c r="BYO68" s="456"/>
      <c r="BYP68" s="456"/>
      <c r="BYQ68" s="456"/>
      <c r="BYR68" s="456"/>
      <c r="BYS68" s="456"/>
      <c r="BYT68" s="456"/>
      <c r="BYU68" s="456"/>
      <c r="BYV68" s="456"/>
      <c r="BYW68" s="456"/>
      <c r="BYX68" s="456"/>
      <c r="BYY68" s="456"/>
      <c r="BYZ68" s="456"/>
      <c r="BZA68" s="456"/>
      <c r="BZB68" s="456"/>
      <c r="BZC68" s="456"/>
      <c r="BZD68" s="456"/>
      <c r="BZE68" s="456"/>
      <c r="BZF68" s="456"/>
      <c r="BZG68" s="456"/>
      <c r="BZH68" s="456"/>
      <c r="BZI68" s="456"/>
      <c r="BZJ68" s="456"/>
      <c r="BZK68" s="456"/>
      <c r="BZL68" s="456"/>
      <c r="BZM68" s="456"/>
      <c r="BZN68" s="456"/>
      <c r="BZO68" s="456"/>
      <c r="BZP68" s="456"/>
      <c r="BZQ68" s="456"/>
      <c r="BZR68" s="456"/>
      <c r="BZS68" s="456"/>
      <c r="BZT68" s="456"/>
      <c r="BZU68" s="456"/>
      <c r="BZV68" s="456"/>
      <c r="BZW68" s="456"/>
      <c r="BZX68" s="456"/>
      <c r="BZY68" s="456"/>
      <c r="BZZ68" s="456"/>
      <c r="CAA68" s="456"/>
      <c r="CAB68" s="456"/>
      <c r="CAC68" s="456"/>
      <c r="CAD68" s="456"/>
      <c r="CAE68" s="456"/>
      <c r="CAF68" s="456"/>
      <c r="CAG68" s="456"/>
      <c r="CAH68" s="456"/>
      <c r="CAI68" s="456"/>
      <c r="CAJ68" s="456"/>
      <c r="CAK68" s="456"/>
      <c r="CAL68" s="456"/>
      <c r="CAM68" s="456"/>
      <c r="CAN68" s="456"/>
      <c r="CAO68" s="456"/>
      <c r="CAP68" s="456"/>
      <c r="CAQ68" s="456"/>
      <c r="CAR68" s="456"/>
      <c r="CAS68" s="456"/>
      <c r="CAT68" s="456"/>
      <c r="CAU68" s="456"/>
      <c r="CAV68" s="456"/>
      <c r="CAW68" s="456"/>
      <c r="CAX68" s="456"/>
      <c r="CAY68" s="456"/>
      <c r="CAZ68" s="456"/>
      <c r="CBA68" s="456"/>
      <c r="CBB68" s="456"/>
      <c r="CBC68" s="456"/>
      <c r="CBD68" s="456"/>
      <c r="CBE68" s="456"/>
      <c r="CBF68" s="456"/>
      <c r="CBG68" s="456"/>
      <c r="CBH68" s="456"/>
      <c r="CBI68" s="456"/>
      <c r="CBJ68" s="456"/>
      <c r="CBK68" s="456"/>
      <c r="CBL68" s="456"/>
      <c r="CBM68" s="456"/>
      <c r="CBN68" s="456"/>
      <c r="CBO68" s="456"/>
      <c r="CBP68" s="456"/>
      <c r="CBQ68" s="456"/>
      <c r="CBR68" s="456"/>
      <c r="CBS68" s="456"/>
      <c r="CBT68" s="456"/>
      <c r="CBU68" s="456"/>
      <c r="CBV68" s="456"/>
      <c r="CBW68" s="456"/>
      <c r="CBX68" s="456"/>
      <c r="CBY68" s="456"/>
      <c r="CBZ68" s="456"/>
      <c r="CCA68" s="456"/>
      <c r="CCB68" s="456"/>
      <c r="CCC68" s="456"/>
      <c r="CCD68" s="456"/>
      <c r="CCE68" s="456"/>
      <c r="CCF68" s="456"/>
      <c r="CCG68" s="456"/>
      <c r="CCH68" s="456"/>
      <c r="CCI68" s="456"/>
      <c r="CCJ68" s="456"/>
      <c r="CCK68" s="456"/>
      <c r="CCL68" s="456"/>
      <c r="CCM68" s="456"/>
      <c r="CCN68" s="456"/>
      <c r="CCO68" s="456"/>
      <c r="CCP68" s="456"/>
      <c r="CCQ68" s="456"/>
      <c r="CCR68" s="456"/>
      <c r="CCS68" s="456"/>
      <c r="CCT68" s="456"/>
      <c r="CCU68" s="456"/>
      <c r="CCV68" s="456"/>
      <c r="CCW68" s="456"/>
      <c r="CCX68" s="456"/>
      <c r="CCY68" s="456"/>
      <c r="CCZ68" s="456"/>
      <c r="CDA68" s="456"/>
      <c r="CDB68" s="456"/>
      <c r="CDC68" s="456"/>
      <c r="CDD68" s="456"/>
      <c r="CDE68" s="456"/>
      <c r="CDF68" s="456"/>
      <c r="CDG68" s="456"/>
      <c r="CDH68" s="456"/>
      <c r="CDI68" s="456"/>
      <c r="CDJ68" s="456"/>
      <c r="CDK68" s="456"/>
      <c r="CDL68" s="456"/>
      <c r="CDM68" s="456"/>
      <c r="CDN68" s="456"/>
      <c r="CDO68" s="456"/>
      <c r="CDP68" s="456"/>
      <c r="CDQ68" s="456"/>
      <c r="CDR68" s="456"/>
      <c r="CDS68" s="456"/>
      <c r="CDT68" s="456"/>
      <c r="CDU68" s="456"/>
      <c r="CDV68" s="456"/>
      <c r="CDW68" s="456"/>
      <c r="CDX68" s="456"/>
      <c r="CDY68" s="456"/>
      <c r="CDZ68" s="456"/>
      <c r="CEA68" s="456"/>
      <c r="CEB68" s="456"/>
      <c r="CEC68" s="456"/>
      <c r="CED68" s="456"/>
      <c r="CEE68" s="456"/>
      <c r="CEF68" s="456"/>
      <c r="CEG68" s="456"/>
      <c r="CEH68" s="456"/>
      <c r="CEI68" s="456"/>
      <c r="CEJ68" s="456"/>
      <c r="CEK68" s="456"/>
      <c r="CEL68" s="456"/>
      <c r="CEM68" s="456"/>
      <c r="CEN68" s="456"/>
      <c r="CEO68" s="456"/>
      <c r="CEP68" s="456"/>
      <c r="CEQ68" s="456"/>
      <c r="CER68" s="456"/>
      <c r="CES68" s="456"/>
      <c r="CET68" s="456"/>
      <c r="CEU68" s="456"/>
      <c r="CEV68" s="456"/>
      <c r="CEW68" s="456"/>
      <c r="CEX68" s="456"/>
      <c r="CEY68" s="456"/>
      <c r="CEZ68" s="456"/>
      <c r="CFA68" s="456"/>
      <c r="CFB68" s="456"/>
      <c r="CFC68" s="456"/>
      <c r="CFD68" s="456"/>
      <c r="CFE68" s="456"/>
      <c r="CFF68" s="456"/>
      <c r="CFG68" s="456"/>
      <c r="CFH68" s="456"/>
      <c r="CFI68" s="456"/>
      <c r="CFJ68" s="456"/>
      <c r="CFK68" s="456"/>
      <c r="CFL68" s="456"/>
      <c r="CFM68" s="456"/>
      <c r="CFN68" s="456"/>
      <c r="CFO68" s="456"/>
      <c r="CFP68" s="456"/>
      <c r="CFQ68" s="456"/>
      <c r="CFR68" s="456"/>
      <c r="CFS68" s="456"/>
      <c r="CFT68" s="456"/>
      <c r="CFU68" s="456"/>
      <c r="CFV68" s="456"/>
      <c r="CFW68" s="456"/>
      <c r="CFX68" s="456"/>
      <c r="CFY68" s="456"/>
      <c r="CFZ68" s="456"/>
      <c r="CGA68" s="456"/>
      <c r="CGB68" s="456"/>
      <c r="CGC68" s="456"/>
      <c r="CGD68" s="456"/>
      <c r="CGE68" s="456"/>
      <c r="CGF68" s="456"/>
      <c r="CGG68" s="456"/>
      <c r="CGH68" s="456"/>
      <c r="CGI68" s="456"/>
      <c r="CGJ68" s="456"/>
      <c r="CGK68" s="456"/>
      <c r="CGL68" s="456"/>
      <c r="CGM68" s="456"/>
      <c r="CGN68" s="456"/>
      <c r="CGO68" s="456"/>
      <c r="CGP68" s="456"/>
      <c r="CGQ68" s="456"/>
      <c r="CGR68" s="456"/>
      <c r="CGS68" s="456"/>
      <c r="CGT68" s="456"/>
      <c r="CGU68" s="456"/>
      <c r="CGV68" s="456"/>
      <c r="CGW68" s="456"/>
      <c r="CGX68" s="456"/>
      <c r="CGY68" s="456"/>
      <c r="CGZ68" s="456"/>
      <c r="CHA68" s="456"/>
      <c r="CHB68" s="456"/>
      <c r="CHC68" s="456"/>
      <c r="CHD68" s="456"/>
      <c r="CHE68" s="456"/>
      <c r="CHF68" s="456"/>
      <c r="CHG68" s="456"/>
      <c r="CHH68" s="456"/>
      <c r="CHI68" s="456"/>
      <c r="CHJ68" s="456"/>
      <c r="CHK68" s="456"/>
      <c r="CHL68" s="456"/>
      <c r="CHM68" s="456"/>
      <c r="CHN68" s="456"/>
      <c r="CHO68" s="456"/>
      <c r="CHP68" s="456"/>
      <c r="CHQ68" s="456"/>
      <c r="CHR68" s="456"/>
      <c r="CHS68" s="456"/>
      <c r="CHT68" s="456"/>
      <c r="CHU68" s="456"/>
      <c r="CHV68" s="456"/>
      <c r="CHW68" s="456"/>
      <c r="CHX68" s="456"/>
      <c r="CHY68" s="456"/>
      <c r="CHZ68" s="456"/>
      <c r="CIA68" s="456"/>
      <c r="CIB68" s="456"/>
      <c r="CIC68" s="456"/>
      <c r="CID68" s="456"/>
      <c r="CIE68" s="456"/>
      <c r="CIF68" s="456"/>
      <c r="CIG68" s="456"/>
      <c r="CIH68" s="456"/>
      <c r="CII68" s="456"/>
      <c r="CIJ68" s="456"/>
      <c r="CIK68" s="456"/>
      <c r="CIL68" s="456"/>
      <c r="CIM68" s="456"/>
      <c r="CIN68" s="456"/>
      <c r="CIO68" s="456"/>
      <c r="CIP68" s="456"/>
      <c r="CIQ68" s="456"/>
      <c r="CIR68" s="456"/>
      <c r="CIS68" s="456"/>
      <c r="CIT68" s="456"/>
      <c r="CIU68" s="456"/>
      <c r="CIV68" s="456"/>
      <c r="CIW68" s="456"/>
      <c r="CIX68" s="456"/>
      <c r="CIY68" s="456"/>
      <c r="CIZ68" s="456"/>
      <c r="CJA68" s="456"/>
      <c r="CJB68" s="456"/>
      <c r="CJC68" s="456"/>
      <c r="CJD68" s="456"/>
      <c r="CJE68" s="456"/>
      <c r="CJF68" s="456"/>
      <c r="CJG68" s="456"/>
      <c r="CJH68" s="456"/>
      <c r="CJI68" s="456"/>
      <c r="CJJ68" s="456"/>
      <c r="CJK68" s="456"/>
      <c r="CJL68" s="456"/>
      <c r="CJM68" s="456"/>
      <c r="CJN68" s="456"/>
      <c r="CJO68" s="456"/>
      <c r="CJP68" s="456"/>
      <c r="CJQ68" s="456"/>
      <c r="CJR68" s="456"/>
      <c r="CJS68" s="456"/>
      <c r="CJT68" s="456"/>
      <c r="CJU68" s="456"/>
      <c r="CJV68" s="456"/>
      <c r="CJW68" s="456"/>
      <c r="CJX68" s="456"/>
      <c r="CJY68" s="456"/>
      <c r="CJZ68" s="456"/>
      <c r="CKA68" s="456"/>
      <c r="CKB68" s="456"/>
      <c r="CKC68" s="456"/>
      <c r="CKD68" s="456"/>
      <c r="CKE68" s="456"/>
      <c r="CKF68" s="456"/>
      <c r="CKG68" s="456"/>
      <c r="CKH68" s="456"/>
      <c r="CKI68" s="456"/>
      <c r="CKJ68" s="456"/>
      <c r="CKK68" s="456"/>
      <c r="CKL68" s="456"/>
      <c r="CKM68" s="456"/>
      <c r="CKN68" s="456"/>
      <c r="CKO68" s="456"/>
      <c r="CKP68" s="456"/>
      <c r="CKQ68" s="456"/>
      <c r="CKR68" s="456"/>
      <c r="CKS68" s="456"/>
      <c r="CKT68" s="456"/>
      <c r="CKU68" s="456"/>
      <c r="CKV68" s="456"/>
      <c r="CKW68" s="456"/>
      <c r="CKX68" s="456"/>
      <c r="CKY68" s="456"/>
      <c r="CKZ68" s="456"/>
      <c r="CLA68" s="456"/>
      <c r="CLB68" s="456"/>
      <c r="CLC68" s="456"/>
      <c r="CLD68" s="456"/>
      <c r="CLE68" s="456"/>
      <c r="CLF68" s="456"/>
      <c r="CLG68" s="456"/>
      <c r="CLH68" s="456"/>
      <c r="CLI68" s="456"/>
      <c r="CLJ68" s="456"/>
      <c r="CLK68" s="456"/>
      <c r="CLL68" s="456"/>
      <c r="CLM68" s="456"/>
      <c r="CLN68" s="456"/>
      <c r="CLO68" s="456"/>
      <c r="CLP68" s="456"/>
      <c r="CLQ68" s="456"/>
      <c r="CLR68" s="456"/>
      <c r="CLS68" s="456"/>
      <c r="CLT68" s="456"/>
      <c r="CLU68" s="456"/>
      <c r="CLV68" s="456"/>
      <c r="CLW68" s="456"/>
      <c r="CLX68" s="456"/>
      <c r="CLY68" s="456"/>
      <c r="CLZ68" s="456"/>
      <c r="CMA68" s="456"/>
      <c r="CMB68" s="456"/>
      <c r="CMC68" s="456"/>
      <c r="CMD68" s="456"/>
      <c r="CME68" s="456"/>
      <c r="CMF68" s="456"/>
      <c r="CMG68" s="456"/>
      <c r="CMH68" s="456"/>
      <c r="CMI68" s="456"/>
      <c r="CMJ68" s="456"/>
      <c r="CMK68" s="456"/>
      <c r="CML68" s="456"/>
      <c r="CMM68" s="456"/>
      <c r="CMN68" s="456"/>
      <c r="CMO68" s="456"/>
      <c r="CMP68" s="456"/>
      <c r="CMQ68" s="456"/>
      <c r="CMR68" s="456"/>
      <c r="CMS68" s="456"/>
      <c r="CMT68" s="456"/>
      <c r="CMU68" s="456"/>
      <c r="CMV68" s="456"/>
      <c r="CMW68" s="456"/>
      <c r="CMX68" s="456"/>
      <c r="CMY68" s="456"/>
      <c r="CMZ68" s="456"/>
      <c r="CNA68" s="456"/>
      <c r="CNB68" s="456"/>
      <c r="CNC68" s="456"/>
      <c r="CND68" s="456"/>
      <c r="CNE68" s="456"/>
      <c r="CNF68" s="456"/>
      <c r="CNG68" s="456"/>
      <c r="CNH68" s="456"/>
      <c r="CNI68" s="456"/>
      <c r="CNJ68" s="456"/>
      <c r="CNK68" s="456"/>
      <c r="CNL68" s="456"/>
      <c r="CNM68" s="456"/>
      <c r="CNN68" s="456"/>
      <c r="CNO68" s="456"/>
      <c r="CNP68" s="456"/>
      <c r="CNQ68" s="456"/>
      <c r="CNR68" s="456"/>
      <c r="CNS68" s="456"/>
      <c r="CNT68" s="456"/>
      <c r="CNU68" s="456"/>
      <c r="CNV68" s="456"/>
      <c r="CNW68" s="456"/>
      <c r="CNX68" s="456"/>
      <c r="CNY68" s="456"/>
      <c r="CNZ68" s="456"/>
      <c r="COA68" s="456"/>
      <c r="COB68" s="456"/>
      <c r="COC68" s="456"/>
      <c r="COD68" s="456"/>
      <c r="COE68" s="456"/>
      <c r="COF68" s="456"/>
      <c r="COG68" s="456"/>
      <c r="COH68" s="456"/>
      <c r="COI68" s="456"/>
      <c r="COJ68" s="456"/>
      <c r="COK68" s="456"/>
      <c r="COL68" s="456"/>
      <c r="COM68" s="456"/>
      <c r="CON68" s="456"/>
      <c r="COO68" s="456"/>
      <c r="COP68" s="456"/>
      <c r="COQ68" s="456"/>
      <c r="COR68" s="456"/>
      <c r="COS68" s="456"/>
      <c r="COT68" s="456"/>
      <c r="COU68" s="456"/>
      <c r="COV68" s="456"/>
      <c r="COW68" s="456"/>
      <c r="COX68" s="456"/>
      <c r="COY68" s="456"/>
      <c r="COZ68" s="456"/>
      <c r="CPA68" s="456"/>
      <c r="CPB68" s="456"/>
      <c r="CPC68" s="456"/>
      <c r="CPD68" s="456"/>
      <c r="CPE68" s="456"/>
      <c r="CPF68" s="456"/>
      <c r="CPG68" s="456"/>
      <c r="CPH68" s="456"/>
      <c r="CPI68" s="456"/>
      <c r="CPJ68" s="456"/>
      <c r="CPK68" s="456"/>
      <c r="CPL68" s="456"/>
      <c r="CPM68" s="456"/>
      <c r="CPN68" s="456"/>
      <c r="CPO68" s="456"/>
      <c r="CPP68" s="456"/>
      <c r="CPQ68" s="456"/>
      <c r="CPR68" s="456"/>
      <c r="CPS68" s="456"/>
      <c r="CPT68" s="456"/>
      <c r="CPU68" s="456"/>
      <c r="CPV68" s="456"/>
      <c r="CPW68" s="456"/>
      <c r="CPX68" s="456"/>
      <c r="CPY68" s="456"/>
      <c r="CPZ68" s="456"/>
      <c r="CQA68" s="456"/>
      <c r="CQB68" s="456"/>
      <c r="CQC68" s="456"/>
      <c r="CQD68" s="456"/>
      <c r="CQE68" s="456"/>
      <c r="CQF68" s="456"/>
      <c r="CQG68" s="456"/>
      <c r="CQH68" s="456"/>
      <c r="CQI68" s="456"/>
      <c r="CQJ68" s="456"/>
      <c r="CQK68" s="456"/>
      <c r="CQL68" s="456"/>
      <c r="CQM68" s="456"/>
      <c r="CQN68" s="456"/>
      <c r="CQO68" s="456"/>
      <c r="CQP68" s="456"/>
      <c r="CQQ68" s="456"/>
      <c r="CQR68" s="456"/>
      <c r="CQS68" s="456"/>
      <c r="CQT68" s="456"/>
      <c r="CQU68" s="456"/>
      <c r="CQV68" s="456"/>
      <c r="CQW68" s="456"/>
      <c r="CQX68" s="456"/>
      <c r="CQY68" s="456"/>
      <c r="CQZ68" s="456"/>
      <c r="CRA68" s="456"/>
      <c r="CRB68" s="456"/>
      <c r="CRC68" s="456"/>
      <c r="CRD68" s="456"/>
      <c r="CRE68" s="456"/>
      <c r="CRF68" s="456"/>
      <c r="CRG68" s="456"/>
      <c r="CRH68" s="456"/>
      <c r="CRI68" s="456"/>
      <c r="CRJ68" s="456"/>
      <c r="CRK68" s="456"/>
      <c r="CRL68" s="456"/>
      <c r="CRM68" s="456"/>
      <c r="CRN68" s="456"/>
      <c r="CRO68" s="456"/>
      <c r="CRP68" s="456"/>
      <c r="CRQ68" s="456"/>
      <c r="CRR68" s="456"/>
      <c r="CRS68" s="456"/>
      <c r="CRT68" s="456"/>
      <c r="CRU68" s="456"/>
      <c r="CRV68" s="456"/>
      <c r="CRW68" s="456"/>
      <c r="CRX68" s="456"/>
      <c r="CRY68" s="456"/>
      <c r="CRZ68" s="456"/>
      <c r="CSA68" s="456"/>
      <c r="CSB68" s="456"/>
      <c r="CSC68" s="456"/>
      <c r="CSD68" s="456"/>
      <c r="CSE68" s="456"/>
      <c r="CSF68" s="456"/>
      <c r="CSG68" s="456"/>
      <c r="CSH68" s="456"/>
      <c r="CSI68" s="456"/>
      <c r="CSJ68" s="456"/>
      <c r="CSK68" s="456"/>
      <c r="CSL68" s="456"/>
      <c r="CSM68" s="456"/>
      <c r="CSN68" s="456"/>
      <c r="CSO68" s="456"/>
      <c r="CSP68" s="456"/>
      <c r="CSQ68" s="456"/>
      <c r="CSR68" s="456"/>
      <c r="CSS68" s="456"/>
      <c r="CST68" s="456"/>
      <c r="CSU68" s="456"/>
      <c r="CSV68" s="456"/>
      <c r="CSW68" s="456"/>
      <c r="CSX68" s="456"/>
      <c r="CSY68" s="456"/>
      <c r="CSZ68" s="456"/>
      <c r="CTA68" s="456"/>
      <c r="CTB68" s="456"/>
      <c r="CTC68" s="456"/>
      <c r="CTD68" s="456"/>
      <c r="CTE68" s="456"/>
      <c r="CTF68" s="456"/>
      <c r="CTG68" s="456"/>
      <c r="CTH68" s="456"/>
      <c r="CTI68" s="456"/>
      <c r="CTJ68" s="456"/>
      <c r="CTK68" s="456"/>
      <c r="CTL68" s="456"/>
      <c r="CTM68" s="456"/>
      <c r="CTN68" s="456"/>
      <c r="CTO68" s="456"/>
      <c r="CTP68" s="456"/>
      <c r="CTQ68" s="456"/>
      <c r="CTR68" s="456"/>
      <c r="CTS68" s="456"/>
      <c r="CTT68" s="456"/>
      <c r="CTU68" s="456"/>
      <c r="CTV68" s="456"/>
      <c r="CTW68" s="456"/>
      <c r="CTX68" s="456"/>
      <c r="CTY68" s="456"/>
      <c r="CTZ68" s="456"/>
      <c r="CUA68" s="456"/>
      <c r="CUB68" s="456"/>
      <c r="CUC68" s="456"/>
      <c r="CUD68" s="456"/>
      <c r="CUE68" s="456"/>
      <c r="CUF68" s="456"/>
      <c r="CUG68" s="456"/>
      <c r="CUH68" s="456"/>
      <c r="CUI68" s="456"/>
      <c r="CUJ68" s="456"/>
      <c r="CUK68" s="456"/>
      <c r="CUL68" s="456"/>
      <c r="CUM68" s="456"/>
      <c r="CUN68" s="456"/>
      <c r="CUO68" s="456"/>
      <c r="CUP68" s="456"/>
      <c r="CUQ68" s="456"/>
      <c r="CUR68" s="456"/>
      <c r="CUS68" s="456"/>
      <c r="CUT68" s="456"/>
      <c r="CUU68" s="456"/>
      <c r="CUV68" s="456"/>
      <c r="CUW68" s="456"/>
      <c r="CUX68" s="456"/>
      <c r="CUY68" s="456"/>
      <c r="CUZ68" s="456"/>
      <c r="CVA68" s="456"/>
      <c r="CVB68" s="456"/>
      <c r="CVC68" s="456"/>
      <c r="CVD68" s="456"/>
      <c r="CVE68" s="456"/>
      <c r="CVF68" s="456"/>
      <c r="CVG68" s="456"/>
      <c r="CVH68" s="456"/>
      <c r="CVI68" s="456"/>
      <c r="CVJ68" s="456"/>
      <c r="CVK68" s="456"/>
      <c r="CVL68" s="456"/>
      <c r="CVM68" s="456"/>
      <c r="CVN68" s="456"/>
      <c r="CVO68" s="456"/>
      <c r="CVP68" s="456"/>
      <c r="CVQ68" s="456"/>
      <c r="CVR68" s="456"/>
      <c r="CVS68" s="456"/>
      <c r="CVT68" s="456"/>
      <c r="CVU68" s="456"/>
      <c r="CVV68" s="456"/>
      <c r="CVW68" s="456"/>
      <c r="CVX68" s="456"/>
      <c r="CVY68" s="456"/>
      <c r="CVZ68" s="456"/>
      <c r="CWA68" s="456"/>
      <c r="CWB68" s="456"/>
      <c r="CWC68" s="456"/>
      <c r="CWD68" s="456"/>
      <c r="CWE68" s="456"/>
      <c r="CWF68" s="456"/>
      <c r="CWG68" s="456"/>
      <c r="CWH68" s="456"/>
      <c r="CWI68" s="456"/>
      <c r="CWJ68" s="456"/>
      <c r="CWK68" s="456"/>
      <c r="CWL68" s="456"/>
      <c r="CWM68" s="456"/>
      <c r="CWN68" s="456"/>
      <c r="CWO68" s="456"/>
      <c r="CWP68" s="456"/>
      <c r="CWQ68" s="456"/>
      <c r="CWR68" s="456"/>
      <c r="CWS68" s="456"/>
      <c r="CWT68" s="456"/>
      <c r="CWU68" s="456"/>
      <c r="CWV68" s="456"/>
      <c r="CWW68" s="456"/>
      <c r="CWX68" s="456"/>
      <c r="CWY68" s="456"/>
      <c r="CWZ68" s="456"/>
      <c r="CXA68" s="456"/>
      <c r="CXB68" s="456"/>
      <c r="CXC68" s="456"/>
      <c r="CXD68" s="456"/>
      <c r="CXE68" s="456"/>
      <c r="CXF68" s="456"/>
      <c r="CXG68" s="456"/>
      <c r="CXH68" s="456"/>
      <c r="CXI68" s="456"/>
      <c r="CXJ68" s="456"/>
      <c r="CXK68" s="456"/>
      <c r="CXL68" s="456"/>
      <c r="CXM68" s="456"/>
      <c r="CXN68" s="456"/>
      <c r="CXO68" s="456"/>
      <c r="CXP68" s="456"/>
      <c r="CXQ68" s="456"/>
      <c r="CXR68" s="456"/>
      <c r="CXS68" s="456"/>
      <c r="CXT68" s="456"/>
      <c r="CXU68" s="456"/>
      <c r="CXV68" s="456"/>
      <c r="CXW68" s="456"/>
      <c r="CXX68" s="456"/>
      <c r="CXY68" s="456"/>
      <c r="CXZ68" s="456"/>
      <c r="CYA68" s="456"/>
      <c r="CYB68" s="456"/>
      <c r="CYC68" s="456"/>
      <c r="CYD68" s="456"/>
      <c r="CYE68" s="456"/>
      <c r="CYF68" s="456"/>
      <c r="CYG68" s="456"/>
      <c r="CYH68" s="456"/>
      <c r="CYI68" s="456"/>
      <c r="CYJ68" s="456"/>
      <c r="CYK68" s="456"/>
      <c r="CYL68" s="456"/>
      <c r="CYM68" s="456"/>
      <c r="CYN68" s="456"/>
      <c r="CYO68" s="456"/>
      <c r="CYP68" s="456"/>
      <c r="CYQ68" s="456"/>
      <c r="CYR68" s="456"/>
      <c r="CYS68" s="456"/>
      <c r="CYT68" s="456"/>
      <c r="CYU68" s="456"/>
      <c r="CYV68" s="456"/>
      <c r="CYW68" s="456"/>
      <c r="CYX68" s="456"/>
      <c r="CYY68" s="456"/>
      <c r="CYZ68" s="456"/>
      <c r="CZA68" s="456"/>
      <c r="CZB68" s="456"/>
      <c r="CZC68" s="456"/>
      <c r="CZD68" s="456"/>
      <c r="CZE68" s="456"/>
      <c r="CZF68" s="456"/>
      <c r="CZG68" s="456"/>
      <c r="CZH68" s="456"/>
      <c r="CZI68" s="456"/>
      <c r="CZJ68" s="456"/>
      <c r="CZK68" s="456"/>
      <c r="CZL68" s="456"/>
      <c r="CZM68" s="456"/>
      <c r="CZN68" s="456"/>
      <c r="CZO68" s="456"/>
      <c r="CZP68" s="456"/>
      <c r="CZQ68" s="456"/>
      <c r="CZR68" s="456"/>
      <c r="CZS68" s="456"/>
      <c r="CZT68" s="456"/>
      <c r="CZU68" s="456"/>
      <c r="CZV68" s="456"/>
      <c r="CZW68" s="456"/>
      <c r="CZX68" s="456"/>
      <c r="CZY68" s="456"/>
      <c r="CZZ68" s="456"/>
      <c r="DAA68" s="456"/>
      <c r="DAB68" s="456"/>
      <c r="DAC68" s="456"/>
      <c r="DAD68" s="456"/>
      <c r="DAE68" s="456"/>
      <c r="DAF68" s="456"/>
      <c r="DAG68" s="456"/>
      <c r="DAH68" s="456"/>
      <c r="DAI68" s="456"/>
      <c r="DAJ68" s="456"/>
      <c r="DAK68" s="456"/>
      <c r="DAL68" s="456"/>
      <c r="DAM68" s="456"/>
      <c r="DAN68" s="456"/>
      <c r="DAO68" s="456"/>
      <c r="DAP68" s="456"/>
      <c r="DAQ68" s="456"/>
      <c r="DAR68" s="456"/>
      <c r="DAS68" s="456"/>
      <c r="DAT68" s="456"/>
      <c r="DAU68" s="456"/>
      <c r="DAV68" s="456"/>
      <c r="DAW68" s="456"/>
      <c r="DAX68" s="456"/>
      <c r="DAY68" s="456"/>
      <c r="DAZ68" s="456"/>
      <c r="DBA68" s="456"/>
      <c r="DBB68" s="456"/>
      <c r="DBC68" s="456"/>
      <c r="DBD68" s="456"/>
      <c r="DBE68" s="456"/>
      <c r="DBF68" s="456"/>
      <c r="DBG68" s="456"/>
      <c r="DBH68" s="456"/>
      <c r="DBI68" s="456"/>
      <c r="DBJ68" s="456"/>
      <c r="DBK68" s="456"/>
      <c r="DBL68" s="456"/>
      <c r="DBM68" s="456"/>
      <c r="DBN68" s="456"/>
      <c r="DBO68" s="456"/>
      <c r="DBP68" s="456"/>
      <c r="DBQ68" s="456"/>
      <c r="DBR68" s="456"/>
      <c r="DBS68" s="456"/>
      <c r="DBT68" s="456"/>
      <c r="DBU68" s="456"/>
      <c r="DBV68" s="456"/>
      <c r="DBW68" s="456"/>
      <c r="DBX68" s="456"/>
      <c r="DBY68" s="456"/>
      <c r="DBZ68" s="456"/>
      <c r="DCA68" s="456"/>
      <c r="DCB68" s="456"/>
      <c r="DCC68" s="456"/>
      <c r="DCD68" s="456"/>
      <c r="DCE68" s="456"/>
      <c r="DCF68" s="456"/>
      <c r="DCG68" s="456"/>
      <c r="DCH68" s="456"/>
      <c r="DCI68" s="456"/>
      <c r="DCJ68" s="456"/>
      <c r="DCK68" s="456"/>
      <c r="DCL68" s="456"/>
      <c r="DCM68" s="456"/>
      <c r="DCN68" s="456"/>
      <c r="DCO68" s="456"/>
      <c r="DCP68" s="456"/>
      <c r="DCQ68" s="456"/>
      <c r="DCR68" s="456"/>
      <c r="DCS68" s="456"/>
      <c r="DCT68" s="456"/>
      <c r="DCU68" s="456"/>
      <c r="DCV68" s="456"/>
      <c r="DCW68" s="456"/>
      <c r="DCX68" s="456"/>
      <c r="DCY68" s="456"/>
      <c r="DCZ68" s="456"/>
      <c r="DDA68" s="456"/>
      <c r="DDB68" s="456"/>
      <c r="DDC68" s="456"/>
      <c r="DDD68" s="456"/>
      <c r="DDE68" s="456"/>
      <c r="DDF68" s="456"/>
      <c r="DDG68" s="456"/>
      <c r="DDH68" s="456"/>
      <c r="DDI68" s="456"/>
      <c r="DDJ68" s="456"/>
      <c r="DDK68" s="456"/>
      <c r="DDL68" s="456"/>
      <c r="DDM68" s="456"/>
      <c r="DDN68" s="456"/>
      <c r="DDO68" s="456"/>
      <c r="DDP68" s="456"/>
      <c r="DDQ68" s="456"/>
      <c r="DDR68" s="456"/>
      <c r="DDS68" s="456"/>
      <c r="DDT68" s="456"/>
      <c r="DDU68" s="456"/>
      <c r="DDV68" s="456"/>
      <c r="DDW68" s="456"/>
      <c r="DDX68" s="456"/>
      <c r="DDY68" s="456"/>
      <c r="DDZ68" s="456"/>
      <c r="DEA68" s="456"/>
      <c r="DEB68" s="456"/>
      <c r="DEC68" s="456"/>
      <c r="DED68" s="456"/>
      <c r="DEE68" s="456"/>
      <c r="DEF68" s="456"/>
      <c r="DEG68" s="456"/>
      <c r="DEH68" s="456"/>
      <c r="DEI68" s="456"/>
      <c r="DEJ68" s="456"/>
      <c r="DEK68" s="456"/>
      <c r="DEL68" s="456"/>
      <c r="DEM68" s="456"/>
      <c r="DEN68" s="456"/>
      <c r="DEO68" s="456"/>
      <c r="DEP68" s="456"/>
      <c r="DEQ68" s="456"/>
      <c r="DER68" s="456"/>
      <c r="DES68" s="456"/>
      <c r="DET68" s="456"/>
      <c r="DEU68" s="456"/>
      <c r="DEV68" s="456"/>
      <c r="DEW68" s="456"/>
      <c r="DEX68" s="456"/>
      <c r="DEY68" s="456"/>
      <c r="DEZ68" s="456"/>
      <c r="DFA68" s="456"/>
      <c r="DFB68" s="456"/>
      <c r="DFC68" s="456"/>
      <c r="DFD68" s="456"/>
      <c r="DFE68" s="456"/>
      <c r="DFF68" s="456"/>
      <c r="DFG68" s="456"/>
      <c r="DFH68" s="456"/>
      <c r="DFI68" s="456"/>
      <c r="DFJ68" s="456"/>
      <c r="DFK68" s="456"/>
      <c r="DFL68" s="456"/>
      <c r="DFM68" s="456"/>
      <c r="DFN68" s="456"/>
      <c r="DFO68" s="456"/>
      <c r="DFP68" s="456"/>
      <c r="DFQ68" s="456"/>
      <c r="DFR68" s="456"/>
      <c r="DFS68" s="456"/>
      <c r="DFT68" s="456"/>
      <c r="DFU68" s="456"/>
      <c r="DFV68" s="456"/>
      <c r="DFW68" s="456"/>
      <c r="DFX68" s="456"/>
      <c r="DFY68" s="456"/>
      <c r="DFZ68" s="456"/>
      <c r="DGA68" s="456"/>
      <c r="DGB68" s="456"/>
      <c r="DGC68" s="456"/>
      <c r="DGD68" s="456"/>
      <c r="DGE68" s="456"/>
      <c r="DGF68" s="456"/>
      <c r="DGG68" s="456"/>
      <c r="DGH68" s="456"/>
      <c r="DGI68" s="456"/>
      <c r="DGJ68" s="456"/>
      <c r="DGK68" s="456"/>
      <c r="DGL68" s="456"/>
      <c r="DGM68" s="456"/>
      <c r="DGN68" s="456"/>
      <c r="DGO68" s="456"/>
      <c r="DGP68" s="456"/>
      <c r="DGQ68" s="456"/>
      <c r="DGR68" s="456"/>
      <c r="DGS68" s="456"/>
      <c r="DGT68" s="456"/>
      <c r="DGU68" s="456"/>
      <c r="DGV68" s="456"/>
      <c r="DGW68" s="456"/>
      <c r="DGX68" s="456"/>
      <c r="DGY68" s="456"/>
      <c r="DGZ68" s="456"/>
      <c r="DHA68" s="456"/>
      <c r="DHB68" s="456"/>
      <c r="DHC68" s="456"/>
      <c r="DHD68" s="456"/>
      <c r="DHE68" s="456"/>
      <c r="DHF68" s="456"/>
      <c r="DHG68" s="456"/>
      <c r="DHH68" s="456"/>
      <c r="DHI68" s="456"/>
      <c r="DHJ68" s="456"/>
      <c r="DHK68" s="456"/>
      <c r="DHL68" s="456"/>
      <c r="DHM68" s="456"/>
      <c r="DHN68" s="456"/>
      <c r="DHO68" s="456"/>
      <c r="DHP68" s="456"/>
      <c r="DHQ68" s="456"/>
      <c r="DHR68" s="456"/>
      <c r="DHS68" s="456"/>
      <c r="DHT68" s="456"/>
      <c r="DHU68" s="456"/>
      <c r="DHV68" s="456"/>
      <c r="DHW68" s="456"/>
      <c r="DHX68" s="456"/>
      <c r="DHY68" s="456"/>
      <c r="DHZ68" s="456"/>
      <c r="DIA68" s="456"/>
      <c r="DIB68" s="456"/>
      <c r="DIC68" s="456"/>
      <c r="DID68" s="456"/>
      <c r="DIE68" s="456"/>
      <c r="DIF68" s="456"/>
      <c r="DIG68" s="456"/>
      <c r="DIH68" s="456"/>
      <c r="DII68" s="456"/>
      <c r="DIJ68" s="456"/>
      <c r="DIK68" s="456"/>
      <c r="DIL68" s="456"/>
      <c r="DIM68" s="456"/>
      <c r="DIN68" s="456"/>
      <c r="DIO68" s="456"/>
      <c r="DIP68" s="456"/>
      <c r="DIQ68" s="456"/>
      <c r="DIR68" s="456"/>
      <c r="DIS68" s="456"/>
      <c r="DIT68" s="456"/>
      <c r="DIU68" s="456"/>
      <c r="DIV68" s="456"/>
      <c r="DIW68" s="456"/>
      <c r="DIX68" s="456"/>
      <c r="DIY68" s="456"/>
      <c r="DIZ68" s="456"/>
      <c r="DJA68" s="456"/>
      <c r="DJB68" s="456"/>
      <c r="DJC68" s="456"/>
      <c r="DJD68" s="456"/>
      <c r="DJE68" s="456"/>
      <c r="DJF68" s="456"/>
      <c r="DJG68" s="456"/>
      <c r="DJH68" s="456"/>
      <c r="DJI68" s="456"/>
      <c r="DJJ68" s="456"/>
      <c r="DJK68" s="456"/>
      <c r="DJL68" s="456"/>
      <c r="DJM68" s="456"/>
      <c r="DJN68" s="456"/>
      <c r="DJO68" s="456"/>
      <c r="DJP68" s="456"/>
      <c r="DJQ68" s="456"/>
      <c r="DJR68" s="456"/>
      <c r="DJS68" s="456"/>
      <c r="DJT68" s="456"/>
      <c r="DJU68" s="456"/>
      <c r="DJV68" s="456"/>
      <c r="DJW68" s="456"/>
      <c r="DJX68" s="456"/>
      <c r="DJY68" s="456"/>
      <c r="DJZ68" s="456"/>
      <c r="DKA68" s="456"/>
      <c r="DKB68" s="456"/>
      <c r="DKC68" s="456"/>
      <c r="DKD68" s="456"/>
      <c r="DKE68" s="456"/>
      <c r="DKF68" s="456"/>
      <c r="DKG68" s="456"/>
      <c r="DKH68" s="456"/>
      <c r="DKI68" s="456"/>
      <c r="DKJ68" s="456"/>
      <c r="DKK68" s="456"/>
      <c r="DKL68" s="456"/>
      <c r="DKM68" s="456"/>
      <c r="DKN68" s="456"/>
      <c r="DKO68" s="456"/>
      <c r="DKP68" s="456"/>
      <c r="DKQ68" s="456"/>
      <c r="DKR68" s="456"/>
      <c r="DKS68" s="456"/>
      <c r="DKT68" s="456"/>
      <c r="DKU68" s="456"/>
      <c r="DKV68" s="456"/>
      <c r="DKW68" s="456"/>
      <c r="DKX68" s="456"/>
      <c r="DKY68" s="456"/>
      <c r="DKZ68" s="456"/>
      <c r="DLA68" s="456"/>
      <c r="DLB68" s="456"/>
      <c r="DLC68" s="456"/>
      <c r="DLD68" s="456"/>
      <c r="DLE68" s="456"/>
      <c r="DLF68" s="456"/>
      <c r="DLG68" s="456"/>
      <c r="DLH68" s="456"/>
      <c r="DLI68" s="456"/>
      <c r="DLJ68" s="456"/>
      <c r="DLK68" s="456"/>
      <c r="DLL68" s="456"/>
      <c r="DLM68" s="456"/>
      <c r="DLN68" s="456"/>
      <c r="DLO68" s="456"/>
      <c r="DLP68" s="456"/>
      <c r="DLQ68" s="456"/>
      <c r="DLR68" s="456"/>
      <c r="DLS68" s="456"/>
      <c r="DLT68" s="456"/>
      <c r="DLU68" s="456"/>
      <c r="DLV68" s="456"/>
      <c r="DLW68" s="456"/>
      <c r="DLX68" s="456"/>
      <c r="DLY68" s="456"/>
      <c r="DLZ68" s="456"/>
      <c r="DMA68" s="456"/>
      <c r="DMB68" s="456"/>
      <c r="DMC68" s="456"/>
      <c r="DMD68" s="456"/>
      <c r="DME68" s="456"/>
      <c r="DMF68" s="456"/>
      <c r="DMG68" s="456"/>
      <c r="DMH68" s="456"/>
      <c r="DMI68" s="456"/>
      <c r="DMJ68" s="456"/>
      <c r="DMK68" s="456"/>
      <c r="DML68" s="456"/>
      <c r="DMM68" s="456"/>
      <c r="DMN68" s="456"/>
      <c r="DMO68" s="456"/>
      <c r="DMP68" s="456"/>
      <c r="DMQ68" s="456"/>
      <c r="DMR68" s="456"/>
      <c r="DMS68" s="456"/>
      <c r="DMT68" s="456"/>
      <c r="DMU68" s="456"/>
      <c r="DMV68" s="456"/>
      <c r="DMW68" s="456"/>
      <c r="DMX68" s="456"/>
      <c r="DMY68" s="456"/>
      <c r="DMZ68" s="456"/>
      <c r="DNA68" s="456"/>
      <c r="DNB68" s="456"/>
      <c r="DNC68" s="456"/>
      <c r="DND68" s="456"/>
      <c r="DNE68" s="456"/>
      <c r="DNF68" s="456"/>
      <c r="DNG68" s="456"/>
      <c r="DNH68" s="456"/>
      <c r="DNI68" s="456"/>
      <c r="DNJ68" s="456"/>
      <c r="DNK68" s="456"/>
      <c r="DNL68" s="456"/>
      <c r="DNM68" s="456"/>
      <c r="DNN68" s="456"/>
      <c r="DNO68" s="456"/>
      <c r="DNP68" s="456"/>
      <c r="DNQ68" s="456"/>
      <c r="DNR68" s="456"/>
      <c r="DNS68" s="456"/>
      <c r="DNT68" s="456"/>
      <c r="DNU68" s="456"/>
      <c r="DNV68" s="456"/>
      <c r="DNW68" s="456"/>
      <c r="DNX68" s="456"/>
      <c r="DNY68" s="456"/>
      <c r="DNZ68" s="456"/>
      <c r="DOA68" s="456"/>
      <c r="DOB68" s="456"/>
      <c r="DOC68" s="456"/>
      <c r="DOD68" s="456"/>
      <c r="DOE68" s="456"/>
      <c r="DOF68" s="456"/>
      <c r="DOG68" s="456"/>
      <c r="DOH68" s="456"/>
      <c r="DOI68" s="456"/>
      <c r="DOJ68" s="456"/>
      <c r="DOK68" s="456"/>
      <c r="DOL68" s="456"/>
      <c r="DOM68" s="456"/>
      <c r="DON68" s="456"/>
      <c r="DOO68" s="456"/>
      <c r="DOP68" s="456"/>
      <c r="DOQ68" s="456"/>
      <c r="DOR68" s="456"/>
      <c r="DOS68" s="456"/>
      <c r="DOT68" s="456"/>
      <c r="DOU68" s="456"/>
      <c r="DOV68" s="456"/>
      <c r="DOW68" s="456"/>
      <c r="DOX68" s="456"/>
      <c r="DOY68" s="456"/>
      <c r="DOZ68" s="456"/>
      <c r="DPA68" s="456"/>
      <c r="DPB68" s="456"/>
      <c r="DPC68" s="456"/>
      <c r="DPD68" s="456"/>
      <c r="DPE68" s="456"/>
      <c r="DPF68" s="456"/>
      <c r="DPG68" s="456"/>
      <c r="DPH68" s="456"/>
      <c r="DPI68" s="456"/>
      <c r="DPJ68" s="456"/>
      <c r="DPK68" s="456"/>
      <c r="DPL68" s="456"/>
      <c r="DPM68" s="456"/>
      <c r="DPN68" s="456"/>
      <c r="DPO68" s="456"/>
      <c r="DPP68" s="456"/>
      <c r="DPQ68" s="456"/>
      <c r="DPR68" s="456"/>
      <c r="DPS68" s="456"/>
      <c r="DPT68" s="456"/>
      <c r="DPU68" s="456"/>
      <c r="DPV68" s="456"/>
      <c r="DPW68" s="456"/>
      <c r="DPX68" s="456"/>
      <c r="DPY68" s="456"/>
      <c r="DPZ68" s="456"/>
      <c r="DQA68" s="456"/>
      <c r="DQB68" s="456"/>
      <c r="DQC68" s="456"/>
      <c r="DQD68" s="456"/>
      <c r="DQE68" s="456"/>
      <c r="DQF68" s="456"/>
      <c r="DQG68" s="456"/>
      <c r="DQH68" s="456"/>
      <c r="DQI68" s="456"/>
      <c r="DQJ68" s="456"/>
      <c r="DQK68" s="456"/>
      <c r="DQL68" s="456"/>
      <c r="DQM68" s="456"/>
      <c r="DQN68" s="456"/>
      <c r="DQO68" s="456"/>
      <c r="DQP68" s="456"/>
      <c r="DQQ68" s="456"/>
      <c r="DQR68" s="456"/>
      <c r="DQS68" s="456"/>
      <c r="DQT68" s="456"/>
      <c r="DQU68" s="456"/>
      <c r="DQV68" s="456"/>
      <c r="DQW68" s="456"/>
      <c r="DQX68" s="456"/>
      <c r="DQY68" s="456"/>
      <c r="DQZ68" s="456"/>
      <c r="DRA68" s="456"/>
      <c r="DRB68" s="456"/>
      <c r="DRC68" s="456"/>
      <c r="DRD68" s="456"/>
      <c r="DRE68" s="456"/>
      <c r="DRF68" s="456"/>
      <c r="DRG68" s="456"/>
      <c r="DRH68" s="456"/>
      <c r="DRI68" s="456"/>
      <c r="DRJ68" s="456"/>
      <c r="DRK68" s="456"/>
      <c r="DRL68" s="456"/>
      <c r="DRM68" s="456"/>
      <c r="DRN68" s="456"/>
      <c r="DRO68" s="456"/>
      <c r="DRP68" s="456"/>
      <c r="DRQ68" s="456"/>
      <c r="DRR68" s="456"/>
      <c r="DRS68" s="456"/>
      <c r="DRT68" s="456"/>
      <c r="DRU68" s="456"/>
      <c r="DRV68" s="456"/>
      <c r="DRW68" s="456"/>
      <c r="DRX68" s="456"/>
      <c r="DRY68" s="456"/>
      <c r="DRZ68" s="456"/>
      <c r="DSA68" s="456"/>
      <c r="DSB68" s="456"/>
      <c r="DSC68" s="456"/>
      <c r="DSD68" s="456"/>
      <c r="DSE68" s="456"/>
      <c r="DSF68" s="456"/>
      <c r="DSG68" s="456"/>
      <c r="DSH68" s="456"/>
      <c r="DSI68" s="456"/>
      <c r="DSJ68" s="456"/>
      <c r="DSK68" s="456"/>
      <c r="DSL68" s="456"/>
      <c r="DSM68" s="456"/>
      <c r="DSN68" s="456"/>
      <c r="DSO68" s="456"/>
      <c r="DSP68" s="456"/>
      <c r="DSQ68" s="456"/>
      <c r="DSR68" s="456"/>
      <c r="DSS68" s="456"/>
      <c r="DST68" s="456"/>
      <c r="DSU68" s="456"/>
      <c r="DSV68" s="456"/>
      <c r="DSW68" s="456"/>
      <c r="DSX68" s="456"/>
      <c r="DSY68" s="456"/>
      <c r="DSZ68" s="456"/>
      <c r="DTA68" s="456"/>
      <c r="DTB68" s="456"/>
      <c r="DTC68" s="456"/>
      <c r="DTD68" s="456"/>
      <c r="DTE68" s="456"/>
      <c r="DTF68" s="456"/>
      <c r="DTG68" s="456"/>
      <c r="DTH68" s="456"/>
      <c r="DTI68" s="456"/>
      <c r="DTJ68" s="456"/>
      <c r="DTK68" s="456"/>
      <c r="DTL68" s="456"/>
      <c r="DTM68" s="456"/>
      <c r="DTN68" s="456"/>
      <c r="DTO68" s="456"/>
      <c r="DTP68" s="456"/>
      <c r="DTQ68" s="456"/>
      <c r="DTR68" s="456"/>
      <c r="DTS68" s="456"/>
      <c r="DTT68" s="456"/>
      <c r="DTU68" s="456"/>
      <c r="DTV68" s="456"/>
      <c r="DTW68" s="456"/>
      <c r="DTX68" s="456"/>
      <c r="DTY68" s="456"/>
      <c r="DTZ68" s="456"/>
      <c r="DUA68" s="456"/>
      <c r="DUB68" s="456"/>
      <c r="DUC68" s="456"/>
      <c r="DUD68" s="456"/>
      <c r="DUE68" s="456"/>
      <c r="DUF68" s="456"/>
      <c r="DUG68" s="456"/>
      <c r="DUH68" s="456"/>
      <c r="DUI68" s="456"/>
      <c r="DUJ68" s="456"/>
      <c r="DUK68" s="456"/>
      <c r="DUL68" s="456"/>
      <c r="DUM68" s="456"/>
      <c r="DUN68" s="456"/>
      <c r="DUO68" s="456"/>
      <c r="DUP68" s="456"/>
      <c r="DUQ68" s="456"/>
      <c r="DUR68" s="456"/>
      <c r="DUS68" s="456"/>
      <c r="DUT68" s="456"/>
      <c r="DUU68" s="456"/>
      <c r="DUV68" s="456"/>
      <c r="DUW68" s="456"/>
      <c r="DUX68" s="456"/>
      <c r="DUY68" s="456"/>
      <c r="DUZ68" s="456"/>
      <c r="DVA68" s="456"/>
      <c r="DVB68" s="456"/>
      <c r="DVC68" s="456"/>
      <c r="DVD68" s="456"/>
      <c r="DVE68" s="456"/>
      <c r="DVF68" s="456"/>
      <c r="DVG68" s="456"/>
      <c r="DVH68" s="456"/>
      <c r="DVI68" s="456"/>
      <c r="DVJ68" s="456"/>
      <c r="DVK68" s="456"/>
      <c r="DVL68" s="456"/>
      <c r="DVM68" s="456"/>
      <c r="DVN68" s="456"/>
      <c r="DVO68" s="456"/>
      <c r="DVP68" s="456"/>
      <c r="DVQ68" s="456"/>
      <c r="DVR68" s="456"/>
      <c r="DVS68" s="456"/>
      <c r="DVT68" s="456"/>
      <c r="DVU68" s="456"/>
      <c r="DVV68" s="456"/>
      <c r="DVW68" s="456"/>
      <c r="DVX68" s="456"/>
      <c r="DVY68" s="456"/>
      <c r="DVZ68" s="456"/>
      <c r="DWA68" s="456"/>
      <c r="DWB68" s="456"/>
      <c r="DWC68" s="456"/>
      <c r="DWD68" s="456"/>
      <c r="DWE68" s="456"/>
      <c r="DWF68" s="456"/>
      <c r="DWG68" s="456"/>
      <c r="DWH68" s="456"/>
      <c r="DWI68" s="456"/>
      <c r="DWJ68" s="456"/>
      <c r="DWK68" s="456"/>
      <c r="DWL68" s="456"/>
      <c r="DWM68" s="456"/>
      <c r="DWN68" s="456"/>
      <c r="DWO68" s="456"/>
      <c r="DWP68" s="456"/>
      <c r="DWQ68" s="456"/>
      <c r="DWR68" s="456"/>
      <c r="DWS68" s="456"/>
      <c r="DWT68" s="456"/>
      <c r="DWU68" s="456"/>
      <c r="DWV68" s="456"/>
      <c r="DWW68" s="456"/>
      <c r="DWX68" s="456"/>
      <c r="DWY68" s="456"/>
      <c r="DWZ68" s="456"/>
      <c r="DXA68" s="456"/>
      <c r="DXB68" s="456"/>
      <c r="DXC68" s="456"/>
      <c r="DXD68" s="456"/>
      <c r="DXE68" s="456"/>
      <c r="DXF68" s="456"/>
      <c r="DXG68" s="456"/>
      <c r="DXH68" s="456"/>
      <c r="DXI68" s="456"/>
      <c r="DXJ68" s="456"/>
      <c r="DXK68" s="456"/>
      <c r="DXL68" s="456"/>
      <c r="DXM68" s="456"/>
      <c r="DXN68" s="456"/>
      <c r="DXO68" s="456"/>
      <c r="DXP68" s="456"/>
      <c r="DXQ68" s="456"/>
      <c r="DXR68" s="456"/>
      <c r="DXS68" s="456"/>
      <c r="DXT68" s="456"/>
      <c r="DXU68" s="456"/>
      <c r="DXV68" s="456"/>
      <c r="DXW68" s="456"/>
      <c r="DXX68" s="456"/>
      <c r="DXY68" s="456"/>
      <c r="DXZ68" s="456"/>
      <c r="DYA68" s="456"/>
      <c r="DYB68" s="456"/>
      <c r="DYC68" s="456"/>
      <c r="DYD68" s="456"/>
      <c r="DYE68" s="456"/>
      <c r="DYF68" s="456"/>
      <c r="DYG68" s="456"/>
      <c r="DYH68" s="456"/>
      <c r="DYI68" s="456"/>
      <c r="DYJ68" s="456"/>
      <c r="DYK68" s="456"/>
      <c r="DYL68" s="456"/>
      <c r="DYM68" s="456"/>
      <c r="DYN68" s="456"/>
      <c r="DYO68" s="456"/>
      <c r="DYP68" s="456"/>
      <c r="DYQ68" s="456"/>
      <c r="DYR68" s="456"/>
      <c r="DYS68" s="456"/>
      <c r="DYT68" s="456"/>
      <c r="DYU68" s="456"/>
      <c r="DYV68" s="456"/>
      <c r="DYW68" s="456"/>
      <c r="DYX68" s="456"/>
      <c r="DYY68" s="456"/>
      <c r="DYZ68" s="456"/>
      <c r="DZA68" s="456"/>
      <c r="DZB68" s="456"/>
      <c r="DZC68" s="456"/>
      <c r="DZD68" s="456"/>
      <c r="DZE68" s="456"/>
      <c r="DZF68" s="456"/>
      <c r="DZG68" s="456"/>
      <c r="DZH68" s="456"/>
      <c r="DZI68" s="456"/>
      <c r="DZJ68" s="456"/>
      <c r="DZK68" s="456"/>
      <c r="DZL68" s="456"/>
      <c r="DZM68" s="456"/>
      <c r="DZN68" s="456"/>
      <c r="DZO68" s="456"/>
      <c r="DZP68" s="456"/>
      <c r="DZQ68" s="456"/>
      <c r="DZR68" s="456"/>
      <c r="DZS68" s="456"/>
      <c r="DZT68" s="456"/>
      <c r="DZU68" s="456"/>
      <c r="DZV68" s="456"/>
      <c r="DZW68" s="456"/>
      <c r="DZX68" s="456"/>
      <c r="DZY68" s="456"/>
      <c r="DZZ68" s="456"/>
      <c r="EAA68" s="456"/>
      <c r="EAB68" s="456"/>
      <c r="EAC68" s="456"/>
      <c r="EAD68" s="456"/>
      <c r="EAE68" s="456"/>
      <c r="EAF68" s="456"/>
      <c r="EAG68" s="456"/>
      <c r="EAH68" s="456"/>
      <c r="EAI68" s="456"/>
      <c r="EAJ68" s="456"/>
      <c r="EAK68" s="456"/>
      <c r="EAL68" s="456"/>
      <c r="EAM68" s="456"/>
      <c r="EAN68" s="456"/>
      <c r="EAO68" s="456"/>
      <c r="EAP68" s="456"/>
      <c r="EAQ68" s="456"/>
      <c r="EAR68" s="456"/>
      <c r="EAS68" s="456"/>
      <c r="EAT68" s="456"/>
      <c r="EAU68" s="456"/>
      <c r="EAV68" s="456"/>
      <c r="EAW68" s="456"/>
      <c r="EAX68" s="456"/>
      <c r="EAY68" s="456"/>
      <c r="EAZ68" s="456"/>
      <c r="EBA68" s="456"/>
      <c r="EBB68" s="456"/>
      <c r="EBC68" s="456"/>
      <c r="EBD68" s="456"/>
      <c r="EBE68" s="456"/>
      <c r="EBF68" s="456"/>
      <c r="EBG68" s="456"/>
      <c r="EBH68" s="456"/>
      <c r="EBI68" s="456"/>
      <c r="EBJ68" s="456"/>
      <c r="EBK68" s="456"/>
      <c r="EBL68" s="456"/>
      <c r="EBM68" s="456"/>
      <c r="EBN68" s="456"/>
      <c r="EBO68" s="456"/>
      <c r="EBP68" s="456"/>
      <c r="EBQ68" s="456"/>
      <c r="EBR68" s="456"/>
      <c r="EBS68" s="456"/>
      <c r="EBT68" s="456"/>
      <c r="EBU68" s="456"/>
      <c r="EBV68" s="456"/>
      <c r="EBW68" s="456"/>
      <c r="EBX68" s="456"/>
      <c r="EBY68" s="456"/>
      <c r="EBZ68" s="456"/>
      <c r="ECA68" s="456"/>
      <c r="ECB68" s="456"/>
      <c r="ECC68" s="456"/>
      <c r="ECD68" s="456"/>
      <c r="ECE68" s="456"/>
      <c r="ECF68" s="456"/>
      <c r="ECG68" s="456"/>
      <c r="ECH68" s="456"/>
      <c r="ECI68" s="456"/>
      <c r="ECJ68" s="456"/>
      <c r="ECK68" s="456"/>
      <c r="ECL68" s="456"/>
      <c r="ECM68" s="456"/>
      <c r="ECN68" s="456"/>
      <c r="ECO68" s="456"/>
      <c r="ECP68" s="456"/>
      <c r="ECQ68" s="456"/>
      <c r="ECR68" s="456"/>
      <c r="ECS68" s="456"/>
      <c r="ECT68" s="456"/>
      <c r="ECU68" s="456"/>
      <c r="ECV68" s="456"/>
      <c r="ECW68" s="456"/>
      <c r="ECX68" s="456"/>
      <c r="ECY68" s="456"/>
      <c r="ECZ68" s="456"/>
      <c r="EDA68" s="456"/>
      <c r="EDB68" s="456"/>
      <c r="EDC68" s="456"/>
      <c r="EDD68" s="456"/>
      <c r="EDE68" s="456"/>
      <c r="EDF68" s="456"/>
      <c r="EDG68" s="456"/>
      <c r="EDH68" s="456"/>
      <c r="EDI68" s="456"/>
      <c r="EDJ68" s="456"/>
      <c r="EDK68" s="456"/>
      <c r="EDL68" s="456"/>
      <c r="EDM68" s="456"/>
      <c r="EDN68" s="456"/>
      <c r="EDO68" s="456"/>
      <c r="EDP68" s="456"/>
      <c r="EDQ68" s="456"/>
      <c r="EDR68" s="456"/>
      <c r="EDS68" s="456"/>
      <c r="EDT68" s="456"/>
      <c r="EDU68" s="456"/>
      <c r="EDV68" s="456"/>
      <c r="EDW68" s="456"/>
      <c r="EDX68" s="456"/>
      <c r="EDY68" s="456"/>
      <c r="EDZ68" s="456"/>
      <c r="EEA68" s="456"/>
      <c r="EEB68" s="456"/>
      <c r="EEC68" s="456"/>
      <c r="EED68" s="456"/>
      <c r="EEE68" s="456"/>
      <c r="EEF68" s="456"/>
      <c r="EEG68" s="456"/>
      <c r="EEH68" s="456"/>
      <c r="EEI68" s="456"/>
      <c r="EEJ68" s="456"/>
      <c r="EEK68" s="456"/>
      <c r="EEL68" s="456"/>
      <c r="EEM68" s="456"/>
      <c r="EEN68" s="456"/>
      <c r="EEO68" s="456"/>
      <c r="EEP68" s="456"/>
      <c r="EEQ68" s="456"/>
      <c r="EER68" s="456"/>
      <c r="EES68" s="456"/>
      <c r="EET68" s="456"/>
      <c r="EEU68" s="456"/>
      <c r="EEV68" s="456"/>
      <c r="EEW68" s="456"/>
      <c r="EEX68" s="456"/>
      <c r="EEY68" s="456"/>
      <c r="EEZ68" s="456"/>
      <c r="EFA68" s="456"/>
      <c r="EFB68" s="456"/>
      <c r="EFC68" s="456"/>
      <c r="EFD68" s="456"/>
      <c r="EFE68" s="456"/>
      <c r="EFF68" s="456"/>
      <c r="EFG68" s="456"/>
      <c r="EFH68" s="456"/>
      <c r="EFI68" s="456"/>
      <c r="EFJ68" s="456"/>
      <c r="EFK68" s="456"/>
      <c r="EFL68" s="456"/>
      <c r="EFM68" s="456"/>
      <c r="EFN68" s="456"/>
      <c r="EFO68" s="456"/>
      <c r="EFP68" s="456"/>
      <c r="EFQ68" s="456"/>
      <c r="EFR68" s="456"/>
      <c r="EFS68" s="456"/>
      <c r="EFT68" s="456"/>
      <c r="EFU68" s="456"/>
      <c r="EFV68" s="456"/>
      <c r="EFW68" s="456"/>
      <c r="EFX68" s="456"/>
      <c r="EFY68" s="456"/>
      <c r="EFZ68" s="456"/>
      <c r="EGA68" s="456"/>
      <c r="EGB68" s="456"/>
      <c r="EGC68" s="456"/>
      <c r="EGD68" s="456"/>
      <c r="EGE68" s="456"/>
      <c r="EGF68" s="456"/>
      <c r="EGG68" s="456"/>
      <c r="EGH68" s="456"/>
      <c r="EGI68" s="456"/>
      <c r="EGJ68" s="456"/>
      <c r="EGK68" s="456"/>
      <c r="EGL68" s="456"/>
      <c r="EGM68" s="456"/>
      <c r="EGN68" s="456"/>
      <c r="EGO68" s="456"/>
      <c r="EGP68" s="456"/>
      <c r="EGQ68" s="456"/>
      <c r="EGR68" s="456"/>
      <c r="EGS68" s="456"/>
      <c r="EGT68" s="456"/>
      <c r="EGU68" s="456"/>
      <c r="EGV68" s="456"/>
      <c r="EGW68" s="456"/>
      <c r="EGX68" s="456"/>
      <c r="EGY68" s="456"/>
      <c r="EGZ68" s="456"/>
      <c r="EHA68" s="456"/>
      <c r="EHB68" s="456"/>
      <c r="EHC68" s="456"/>
      <c r="EHD68" s="456"/>
      <c r="EHE68" s="456"/>
      <c r="EHF68" s="456"/>
      <c r="EHG68" s="456"/>
      <c r="EHH68" s="456"/>
      <c r="EHI68" s="456"/>
      <c r="EHJ68" s="456"/>
      <c r="EHK68" s="456"/>
      <c r="EHL68" s="456"/>
      <c r="EHM68" s="456"/>
      <c r="EHN68" s="456"/>
      <c r="EHO68" s="456"/>
      <c r="EHP68" s="456"/>
      <c r="EHQ68" s="456"/>
      <c r="EHR68" s="456"/>
      <c r="EHS68" s="456"/>
      <c r="EHT68" s="456"/>
      <c r="EHU68" s="456"/>
      <c r="EHV68" s="456"/>
      <c r="EHW68" s="456"/>
      <c r="EHX68" s="456"/>
      <c r="EHY68" s="456"/>
      <c r="EHZ68" s="456"/>
      <c r="EIA68" s="456"/>
      <c r="EIB68" s="456"/>
      <c r="EIC68" s="456"/>
      <c r="EID68" s="456"/>
      <c r="EIE68" s="456"/>
      <c r="EIF68" s="456"/>
      <c r="EIG68" s="456"/>
      <c r="EIH68" s="456"/>
      <c r="EII68" s="456"/>
      <c r="EIJ68" s="456"/>
      <c r="EIK68" s="456"/>
      <c r="EIL68" s="456"/>
      <c r="EIM68" s="456"/>
      <c r="EIN68" s="456"/>
      <c r="EIO68" s="456"/>
      <c r="EIP68" s="456"/>
      <c r="EIQ68" s="456"/>
      <c r="EIR68" s="456"/>
      <c r="EIS68" s="456"/>
      <c r="EIT68" s="456"/>
      <c r="EIU68" s="456"/>
      <c r="EIV68" s="456"/>
      <c r="EIW68" s="456"/>
      <c r="EIX68" s="456"/>
      <c r="EIY68" s="456"/>
      <c r="EIZ68" s="456"/>
      <c r="EJA68" s="456"/>
      <c r="EJB68" s="456"/>
      <c r="EJC68" s="456"/>
      <c r="EJD68" s="456"/>
      <c r="EJE68" s="456"/>
      <c r="EJF68" s="456"/>
      <c r="EJG68" s="456"/>
      <c r="EJH68" s="456"/>
      <c r="EJI68" s="456"/>
      <c r="EJJ68" s="456"/>
      <c r="EJK68" s="456"/>
      <c r="EJL68" s="456"/>
      <c r="EJM68" s="456"/>
      <c r="EJN68" s="456"/>
      <c r="EJO68" s="456"/>
      <c r="EJP68" s="456"/>
      <c r="EJQ68" s="456"/>
      <c r="EJR68" s="456"/>
      <c r="EJS68" s="456"/>
      <c r="EJT68" s="456"/>
      <c r="EJU68" s="456"/>
      <c r="EJV68" s="456"/>
      <c r="EJW68" s="456"/>
      <c r="EJX68" s="456"/>
      <c r="EJY68" s="456"/>
      <c r="EJZ68" s="456"/>
      <c r="EKA68" s="456"/>
      <c r="EKB68" s="456"/>
      <c r="EKC68" s="456"/>
      <c r="EKD68" s="456"/>
      <c r="EKE68" s="456"/>
      <c r="EKF68" s="456"/>
      <c r="EKG68" s="456"/>
      <c r="EKH68" s="456"/>
      <c r="EKI68" s="456"/>
      <c r="EKJ68" s="456"/>
      <c r="EKK68" s="456"/>
      <c r="EKL68" s="456"/>
      <c r="EKM68" s="456"/>
      <c r="EKN68" s="456"/>
      <c r="EKO68" s="456"/>
      <c r="EKP68" s="456"/>
      <c r="EKQ68" s="456"/>
      <c r="EKR68" s="456"/>
      <c r="EKS68" s="456"/>
      <c r="EKT68" s="456"/>
      <c r="EKU68" s="456"/>
      <c r="EKV68" s="456"/>
      <c r="EKW68" s="456"/>
      <c r="EKX68" s="456"/>
      <c r="EKY68" s="456"/>
      <c r="EKZ68" s="456"/>
      <c r="ELA68" s="456"/>
      <c r="ELB68" s="456"/>
      <c r="ELC68" s="456"/>
      <c r="ELD68" s="456"/>
      <c r="ELE68" s="456"/>
      <c r="ELF68" s="456"/>
      <c r="ELG68" s="456"/>
      <c r="ELH68" s="456"/>
      <c r="ELI68" s="456"/>
      <c r="ELJ68" s="456"/>
      <c r="ELK68" s="456"/>
      <c r="ELL68" s="456"/>
      <c r="ELM68" s="456"/>
      <c r="ELN68" s="456"/>
      <c r="ELO68" s="456"/>
      <c r="ELP68" s="456"/>
      <c r="ELQ68" s="456"/>
      <c r="ELR68" s="456"/>
      <c r="ELS68" s="456"/>
      <c r="ELT68" s="456"/>
      <c r="ELU68" s="456"/>
      <c r="ELV68" s="456"/>
      <c r="ELW68" s="456"/>
      <c r="ELX68" s="456"/>
      <c r="ELY68" s="456"/>
      <c r="ELZ68" s="456"/>
      <c r="EMA68" s="456"/>
      <c r="EMB68" s="456"/>
      <c r="EMC68" s="456"/>
      <c r="EMD68" s="456"/>
      <c r="EME68" s="456"/>
      <c r="EMF68" s="456"/>
      <c r="EMG68" s="456"/>
      <c r="EMH68" s="456"/>
      <c r="EMI68" s="456"/>
      <c r="EMJ68" s="456"/>
      <c r="EMK68" s="456"/>
      <c r="EML68" s="456"/>
      <c r="EMM68" s="456"/>
      <c r="EMN68" s="456"/>
      <c r="EMO68" s="456"/>
      <c r="EMP68" s="456"/>
      <c r="EMQ68" s="456"/>
      <c r="EMR68" s="456"/>
      <c r="EMS68" s="456"/>
      <c r="EMT68" s="456"/>
      <c r="EMU68" s="456"/>
      <c r="EMV68" s="456"/>
      <c r="EMW68" s="456"/>
      <c r="EMX68" s="456"/>
      <c r="EMY68" s="456"/>
      <c r="EMZ68" s="456"/>
      <c r="ENA68" s="456"/>
      <c r="ENB68" s="456"/>
      <c r="ENC68" s="456"/>
      <c r="END68" s="456"/>
      <c r="ENE68" s="456"/>
      <c r="ENF68" s="456"/>
      <c r="ENG68" s="456"/>
      <c r="ENH68" s="456"/>
      <c r="ENI68" s="456"/>
      <c r="ENJ68" s="456"/>
      <c r="ENK68" s="456"/>
      <c r="ENL68" s="456"/>
      <c r="ENM68" s="456"/>
      <c r="ENN68" s="456"/>
      <c r="ENO68" s="456"/>
      <c r="ENP68" s="456"/>
      <c r="ENQ68" s="456"/>
      <c r="ENR68" s="456"/>
      <c r="ENS68" s="456"/>
      <c r="ENT68" s="456"/>
      <c r="ENU68" s="456"/>
      <c r="ENV68" s="456"/>
      <c r="ENW68" s="456"/>
      <c r="ENX68" s="456"/>
      <c r="ENY68" s="456"/>
      <c r="ENZ68" s="456"/>
      <c r="EOA68" s="456"/>
      <c r="EOB68" s="456"/>
      <c r="EOC68" s="456"/>
      <c r="EOD68" s="456"/>
      <c r="EOE68" s="456"/>
      <c r="EOF68" s="456"/>
      <c r="EOG68" s="456"/>
      <c r="EOH68" s="456"/>
      <c r="EOI68" s="456"/>
      <c r="EOJ68" s="456"/>
      <c r="EOK68" s="456"/>
      <c r="EOL68" s="456"/>
      <c r="EOM68" s="456"/>
      <c r="EON68" s="456"/>
      <c r="EOO68" s="456"/>
      <c r="EOP68" s="456"/>
      <c r="EOQ68" s="456"/>
      <c r="EOR68" s="456"/>
      <c r="EOS68" s="456"/>
      <c r="EOT68" s="456"/>
      <c r="EOU68" s="456"/>
      <c r="EOV68" s="456"/>
      <c r="EOW68" s="456"/>
      <c r="EOX68" s="456"/>
      <c r="EOY68" s="456"/>
      <c r="EOZ68" s="456"/>
      <c r="EPA68" s="456"/>
      <c r="EPB68" s="456"/>
      <c r="EPC68" s="456"/>
      <c r="EPD68" s="456"/>
      <c r="EPE68" s="456"/>
      <c r="EPF68" s="456"/>
      <c r="EPG68" s="456"/>
      <c r="EPH68" s="456"/>
      <c r="EPI68" s="456"/>
      <c r="EPJ68" s="456"/>
      <c r="EPK68" s="456"/>
      <c r="EPL68" s="456"/>
      <c r="EPM68" s="456"/>
      <c r="EPN68" s="456"/>
      <c r="EPO68" s="456"/>
      <c r="EPP68" s="456"/>
      <c r="EPQ68" s="456"/>
      <c r="EPR68" s="456"/>
      <c r="EPS68" s="456"/>
      <c r="EPT68" s="456"/>
      <c r="EPU68" s="456"/>
      <c r="EPV68" s="456"/>
      <c r="EPW68" s="456"/>
      <c r="EPX68" s="456"/>
      <c r="EPY68" s="456"/>
      <c r="EPZ68" s="456"/>
      <c r="EQA68" s="456"/>
      <c r="EQB68" s="456"/>
      <c r="EQC68" s="456"/>
      <c r="EQD68" s="456"/>
      <c r="EQE68" s="456"/>
      <c r="EQF68" s="456"/>
      <c r="EQG68" s="456"/>
      <c r="EQH68" s="456"/>
      <c r="EQI68" s="456"/>
      <c r="EQJ68" s="456"/>
      <c r="EQK68" s="456"/>
      <c r="EQL68" s="456"/>
      <c r="EQM68" s="456"/>
      <c r="EQN68" s="456"/>
      <c r="EQO68" s="456"/>
      <c r="EQP68" s="456"/>
      <c r="EQQ68" s="456"/>
      <c r="EQR68" s="456"/>
      <c r="EQS68" s="456"/>
      <c r="EQT68" s="456"/>
      <c r="EQU68" s="456"/>
      <c r="EQV68" s="456"/>
      <c r="EQW68" s="456"/>
      <c r="EQX68" s="456"/>
      <c r="EQY68" s="456"/>
      <c r="EQZ68" s="456"/>
      <c r="ERA68" s="456"/>
      <c r="ERB68" s="456"/>
      <c r="ERC68" s="456"/>
      <c r="ERD68" s="456"/>
      <c r="ERE68" s="456"/>
      <c r="ERF68" s="456"/>
      <c r="ERG68" s="456"/>
      <c r="ERH68" s="456"/>
      <c r="ERI68" s="456"/>
      <c r="ERJ68" s="456"/>
      <c r="ERK68" s="456"/>
      <c r="ERL68" s="456"/>
      <c r="ERM68" s="456"/>
      <c r="ERN68" s="456"/>
      <c r="ERO68" s="456"/>
      <c r="ERP68" s="456"/>
      <c r="ERQ68" s="456"/>
      <c r="ERR68" s="456"/>
      <c r="ERS68" s="456"/>
      <c r="ERT68" s="456"/>
      <c r="ERU68" s="456"/>
      <c r="ERV68" s="456"/>
      <c r="ERW68" s="456"/>
      <c r="ERX68" s="456"/>
      <c r="ERY68" s="456"/>
      <c r="ERZ68" s="456"/>
      <c r="ESA68" s="456"/>
      <c r="ESB68" s="456"/>
      <c r="ESC68" s="456"/>
      <c r="ESD68" s="456"/>
      <c r="ESE68" s="456"/>
      <c r="ESF68" s="456"/>
      <c r="ESG68" s="456"/>
      <c r="ESH68" s="456"/>
      <c r="ESI68" s="456"/>
      <c r="ESJ68" s="456"/>
      <c r="ESK68" s="456"/>
      <c r="ESL68" s="456"/>
      <c r="ESM68" s="456"/>
      <c r="ESN68" s="456"/>
      <c r="ESO68" s="456"/>
      <c r="ESP68" s="456"/>
      <c r="ESQ68" s="456"/>
      <c r="ESR68" s="456"/>
      <c r="ESS68" s="456"/>
      <c r="EST68" s="456"/>
      <c r="ESU68" s="456"/>
      <c r="ESV68" s="456"/>
      <c r="ESW68" s="456"/>
      <c r="ESX68" s="456"/>
      <c r="ESY68" s="456"/>
      <c r="ESZ68" s="456"/>
      <c r="ETA68" s="456"/>
      <c r="ETB68" s="456"/>
      <c r="ETC68" s="456"/>
      <c r="ETD68" s="456"/>
      <c r="ETE68" s="456"/>
      <c r="ETF68" s="456"/>
      <c r="ETG68" s="456"/>
      <c r="ETH68" s="456"/>
      <c r="ETI68" s="456"/>
      <c r="ETJ68" s="456"/>
      <c r="ETK68" s="456"/>
      <c r="ETL68" s="456"/>
      <c r="ETM68" s="456"/>
      <c r="ETN68" s="456"/>
      <c r="ETO68" s="456"/>
      <c r="ETP68" s="456"/>
      <c r="ETQ68" s="456"/>
      <c r="ETR68" s="456"/>
      <c r="ETS68" s="456"/>
      <c r="ETT68" s="456"/>
      <c r="ETU68" s="456"/>
      <c r="ETV68" s="456"/>
      <c r="ETW68" s="456"/>
      <c r="ETX68" s="456"/>
      <c r="ETY68" s="456"/>
      <c r="ETZ68" s="456"/>
      <c r="EUA68" s="456"/>
      <c r="EUB68" s="456"/>
      <c r="EUC68" s="456"/>
      <c r="EUD68" s="456"/>
      <c r="EUE68" s="456"/>
      <c r="EUF68" s="456"/>
      <c r="EUG68" s="456"/>
      <c r="EUH68" s="456"/>
      <c r="EUI68" s="456"/>
      <c r="EUJ68" s="456"/>
      <c r="EUK68" s="456"/>
      <c r="EUL68" s="456"/>
      <c r="EUM68" s="456"/>
      <c r="EUN68" s="456"/>
      <c r="EUO68" s="456"/>
      <c r="EUP68" s="456"/>
      <c r="EUQ68" s="456"/>
      <c r="EUR68" s="456"/>
      <c r="EUS68" s="456"/>
      <c r="EUT68" s="456"/>
      <c r="EUU68" s="456"/>
      <c r="EUV68" s="456"/>
      <c r="EUW68" s="456"/>
      <c r="EUX68" s="456"/>
      <c r="EUY68" s="456"/>
      <c r="EUZ68" s="456"/>
      <c r="EVA68" s="456"/>
      <c r="EVB68" s="456"/>
      <c r="EVC68" s="456"/>
      <c r="EVD68" s="456"/>
      <c r="EVE68" s="456"/>
      <c r="EVF68" s="456"/>
      <c r="EVG68" s="456"/>
      <c r="EVH68" s="456"/>
      <c r="EVI68" s="456"/>
      <c r="EVJ68" s="456"/>
      <c r="EVK68" s="456"/>
      <c r="EVL68" s="456"/>
      <c r="EVM68" s="456"/>
      <c r="EVN68" s="456"/>
      <c r="EVO68" s="456"/>
      <c r="EVP68" s="456"/>
      <c r="EVQ68" s="456"/>
      <c r="EVR68" s="456"/>
      <c r="EVS68" s="456"/>
      <c r="EVT68" s="456"/>
      <c r="EVU68" s="456"/>
      <c r="EVV68" s="456"/>
      <c r="EVW68" s="456"/>
      <c r="EVX68" s="456"/>
      <c r="EVY68" s="456"/>
      <c r="EVZ68" s="456"/>
      <c r="EWA68" s="456"/>
      <c r="EWB68" s="456"/>
      <c r="EWC68" s="456"/>
      <c r="EWD68" s="456"/>
      <c r="EWE68" s="456"/>
      <c r="EWF68" s="456"/>
      <c r="EWG68" s="456"/>
      <c r="EWH68" s="456"/>
      <c r="EWI68" s="456"/>
      <c r="EWJ68" s="456"/>
      <c r="EWK68" s="456"/>
      <c r="EWL68" s="456"/>
      <c r="EWM68" s="456"/>
      <c r="EWN68" s="456"/>
      <c r="EWO68" s="456"/>
      <c r="EWP68" s="456"/>
      <c r="EWQ68" s="456"/>
      <c r="EWR68" s="456"/>
      <c r="EWS68" s="456"/>
      <c r="EWT68" s="456"/>
      <c r="EWU68" s="456"/>
      <c r="EWV68" s="456"/>
      <c r="EWW68" s="456"/>
      <c r="EWX68" s="456"/>
      <c r="EWY68" s="456"/>
      <c r="EWZ68" s="456"/>
      <c r="EXA68" s="456"/>
      <c r="EXB68" s="456"/>
      <c r="EXC68" s="456"/>
      <c r="EXD68" s="456"/>
      <c r="EXE68" s="456"/>
      <c r="EXF68" s="456"/>
      <c r="EXG68" s="456"/>
      <c r="EXH68" s="456"/>
      <c r="EXI68" s="456"/>
      <c r="EXJ68" s="456"/>
      <c r="EXK68" s="456"/>
      <c r="EXL68" s="456"/>
      <c r="EXM68" s="456"/>
      <c r="EXN68" s="456"/>
      <c r="EXO68" s="456"/>
      <c r="EXP68" s="456"/>
      <c r="EXQ68" s="456"/>
      <c r="EXR68" s="456"/>
      <c r="EXS68" s="456"/>
      <c r="EXT68" s="456"/>
      <c r="EXU68" s="456"/>
      <c r="EXV68" s="456"/>
      <c r="EXW68" s="456"/>
      <c r="EXX68" s="456"/>
      <c r="EXY68" s="456"/>
      <c r="EXZ68" s="456"/>
      <c r="EYA68" s="456"/>
      <c r="EYB68" s="456"/>
      <c r="EYC68" s="456"/>
      <c r="EYD68" s="456"/>
      <c r="EYE68" s="456"/>
      <c r="EYF68" s="456"/>
      <c r="EYG68" s="456"/>
      <c r="EYH68" s="456"/>
      <c r="EYI68" s="456"/>
      <c r="EYJ68" s="456"/>
      <c r="EYK68" s="456"/>
      <c r="EYL68" s="456"/>
      <c r="EYM68" s="456"/>
      <c r="EYN68" s="456"/>
      <c r="EYO68" s="456"/>
      <c r="EYP68" s="456"/>
      <c r="EYQ68" s="456"/>
      <c r="EYR68" s="456"/>
      <c r="EYS68" s="456"/>
      <c r="EYT68" s="456"/>
      <c r="EYU68" s="456"/>
      <c r="EYV68" s="456"/>
      <c r="EYW68" s="456"/>
      <c r="EYX68" s="456"/>
      <c r="EYY68" s="456"/>
      <c r="EYZ68" s="456"/>
      <c r="EZA68" s="456"/>
      <c r="EZB68" s="456"/>
      <c r="EZC68" s="456"/>
      <c r="EZD68" s="456"/>
      <c r="EZE68" s="456"/>
      <c r="EZF68" s="456"/>
      <c r="EZG68" s="456"/>
      <c r="EZH68" s="456"/>
      <c r="EZI68" s="456"/>
      <c r="EZJ68" s="456"/>
      <c r="EZK68" s="456"/>
      <c r="EZL68" s="456"/>
      <c r="EZM68" s="456"/>
      <c r="EZN68" s="456"/>
      <c r="EZO68" s="456"/>
      <c r="EZP68" s="456"/>
      <c r="EZQ68" s="456"/>
      <c r="EZR68" s="456"/>
      <c r="EZS68" s="456"/>
      <c r="EZT68" s="456"/>
      <c r="EZU68" s="456"/>
      <c r="EZV68" s="456"/>
      <c r="EZW68" s="456"/>
      <c r="EZX68" s="456"/>
      <c r="EZY68" s="456"/>
      <c r="EZZ68" s="456"/>
      <c r="FAA68" s="456"/>
      <c r="FAB68" s="456"/>
      <c r="FAC68" s="456"/>
      <c r="FAD68" s="456"/>
      <c r="FAE68" s="456"/>
      <c r="FAF68" s="456"/>
      <c r="FAG68" s="456"/>
      <c r="FAH68" s="456"/>
      <c r="FAI68" s="456"/>
      <c r="FAJ68" s="456"/>
      <c r="FAK68" s="456"/>
      <c r="FAL68" s="456"/>
      <c r="FAM68" s="456"/>
      <c r="FAN68" s="456"/>
      <c r="FAO68" s="456"/>
      <c r="FAP68" s="456"/>
      <c r="FAQ68" s="456"/>
      <c r="FAR68" s="456"/>
      <c r="FAS68" s="456"/>
      <c r="FAT68" s="456"/>
      <c r="FAU68" s="456"/>
      <c r="FAV68" s="456"/>
      <c r="FAW68" s="456"/>
      <c r="FAX68" s="456"/>
      <c r="FAY68" s="456"/>
      <c r="FAZ68" s="456"/>
      <c r="FBA68" s="456"/>
      <c r="FBB68" s="456"/>
      <c r="FBC68" s="456"/>
      <c r="FBD68" s="456"/>
      <c r="FBE68" s="456"/>
      <c r="FBF68" s="456"/>
      <c r="FBG68" s="456"/>
      <c r="FBH68" s="456"/>
      <c r="FBI68" s="456"/>
      <c r="FBJ68" s="456"/>
      <c r="FBK68" s="456"/>
      <c r="FBL68" s="456"/>
      <c r="FBM68" s="456"/>
      <c r="FBN68" s="456"/>
      <c r="FBO68" s="456"/>
      <c r="FBP68" s="456"/>
      <c r="FBQ68" s="456"/>
      <c r="FBR68" s="456"/>
      <c r="FBS68" s="456"/>
      <c r="FBT68" s="456"/>
      <c r="FBU68" s="456"/>
      <c r="FBV68" s="456"/>
      <c r="FBW68" s="456"/>
      <c r="FBX68" s="456"/>
      <c r="FBY68" s="456"/>
      <c r="FBZ68" s="456"/>
      <c r="FCA68" s="456"/>
      <c r="FCB68" s="456"/>
      <c r="FCC68" s="456"/>
      <c r="FCD68" s="456"/>
      <c r="FCE68" s="456"/>
      <c r="FCF68" s="456"/>
      <c r="FCG68" s="456"/>
      <c r="FCH68" s="456"/>
      <c r="FCI68" s="456"/>
      <c r="FCJ68" s="456"/>
      <c r="FCK68" s="456"/>
      <c r="FCL68" s="456"/>
      <c r="FCM68" s="456"/>
      <c r="FCN68" s="456"/>
      <c r="FCO68" s="456"/>
      <c r="FCP68" s="456"/>
      <c r="FCQ68" s="456"/>
      <c r="FCR68" s="456"/>
      <c r="FCS68" s="456"/>
      <c r="FCT68" s="456"/>
      <c r="FCU68" s="456"/>
      <c r="FCV68" s="456"/>
      <c r="FCW68" s="456"/>
      <c r="FCX68" s="456"/>
      <c r="FCY68" s="456"/>
      <c r="FCZ68" s="456"/>
      <c r="FDA68" s="456"/>
      <c r="FDB68" s="456"/>
      <c r="FDC68" s="456"/>
      <c r="FDD68" s="456"/>
      <c r="FDE68" s="456"/>
      <c r="FDF68" s="456"/>
      <c r="FDG68" s="456"/>
      <c r="FDH68" s="456"/>
      <c r="FDI68" s="456"/>
      <c r="FDJ68" s="456"/>
      <c r="FDK68" s="456"/>
      <c r="FDL68" s="456"/>
      <c r="FDM68" s="456"/>
      <c r="FDN68" s="456"/>
      <c r="FDO68" s="456"/>
      <c r="FDP68" s="456"/>
      <c r="FDQ68" s="456"/>
      <c r="FDR68" s="456"/>
      <c r="FDS68" s="456"/>
      <c r="FDT68" s="456"/>
      <c r="FDU68" s="456"/>
      <c r="FDV68" s="456"/>
      <c r="FDW68" s="456"/>
      <c r="FDX68" s="456"/>
      <c r="FDY68" s="456"/>
      <c r="FDZ68" s="456"/>
      <c r="FEA68" s="456"/>
      <c r="FEB68" s="456"/>
      <c r="FEC68" s="456"/>
      <c r="FED68" s="456"/>
      <c r="FEE68" s="456"/>
      <c r="FEF68" s="456"/>
      <c r="FEG68" s="456"/>
      <c r="FEH68" s="456"/>
      <c r="FEI68" s="456"/>
      <c r="FEJ68" s="456"/>
      <c r="FEK68" s="456"/>
      <c r="FEL68" s="456"/>
      <c r="FEM68" s="456"/>
      <c r="FEN68" s="456"/>
      <c r="FEO68" s="456"/>
      <c r="FEP68" s="456"/>
      <c r="FEQ68" s="456"/>
      <c r="FER68" s="456"/>
      <c r="FES68" s="456"/>
      <c r="FET68" s="456"/>
      <c r="FEU68" s="456"/>
      <c r="FEV68" s="456"/>
      <c r="FEW68" s="456"/>
      <c r="FEX68" s="456"/>
      <c r="FEY68" s="456"/>
      <c r="FEZ68" s="456"/>
      <c r="FFA68" s="456"/>
      <c r="FFB68" s="456"/>
      <c r="FFC68" s="456"/>
      <c r="FFD68" s="456"/>
      <c r="FFE68" s="456"/>
      <c r="FFF68" s="456"/>
      <c r="FFG68" s="456"/>
      <c r="FFH68" s="456"/>
      <c r="FFI68" s="456"/>
      <c r="FFJ68" s="456"/>
      <c r="FFK68" s="456"/>
      <c r="FFL68" s="456"/>
      <c r="FFM68" s="456"/>
      <c r="FFN68" s="456"/>
      <c r="FFO68" s="456"/>
      <c r="FFP68" s="456"/>
      <c r="FFQ68" s="456"/>
      <c r="FFR68" s="456"/>
      <c r="FFS68" s="456"/>
      <c r="FFT68" s="456"/>
      <c r="FFU68" s="456"/>
      <c r="FFV68" s="456"/>
      <c r="FFW68" s="456"/>
      <c r="FFX68" s="456"/>
      <c r="FFY68" s="456"/>
      <c r="FFZ68" s="456"/>
      <c r="FGA68" s="456"/>
      <c r="FGB68" s="456"/>
      <c r="FGC68" s="456"/>
      <c r="FGD68" s="456"/>
      <c r="FGE68" s="456"/>
      <c r="FGF68" s="456"/>
      <c r="FGG68" s="456"/>
      <c r="FGH68" s="456"/>
      <c r="FGI68" s="456"/>
      <c r="FGJ68" s="456"/>
      <c r="FGK68" s="456"/>
      <c r="FGL68" s="456"/>
      <c r="FGM68" s="456"/>
      <c r="FGN68" s="456"/>
      <c r="FGO68" s="456"/>
      <c r="FGP68" s="456"/>
      <c r="FGQ68" s="456"/>
      <c r="FGR68" s="456"/>
      <c r="FGS68" s="456"/>
      <c r="FGT68" s="456"/>
      <c r="FGU68" s="456"/>
      <c r="FGV68" s="456"/>
      <c r="FGW68" s="456"/>
      <c r="FGX68" s="456"/>
      <c r="FGY68" s="456"/>
      <c r="FGZ68" s="456"/>
      <c r="FHA68" s="456"/>
      <c r="FHB68" s="456"/>
      <c r="FHC68" s="456"/>
      <c r="FHD68" s="456"/>
      <c r="FHE68" s="456"/>
      <c r="FHF68" s="456"/>
      <c r="FHG68" s="456"/>
      <c r="FHH68" s="456"/>
      <c r="FHI68" s="456"/>
      <c r="FHJ68" s="456"/>
      <c r="FHK68" s="456"/>
      <c r="FHL68" s="456"/>
      <c r="FHM68" s="456"/>
      <c r="FHN68" s="456"/>
      <c r="FHO68" s="456"/>
      <c r="FHP68" s="456"/>
      <c r="FHQ68" s="456"/>
      <c r="FHR68" s="456"/>
      <c r="FHS68" s="456"/>
      <c r="FHT68" s="456"/>
      <c r="FHU68" s="456"/>
      <c r="FHV68" s="456"/>
      <c r="FHW68" s="456"/>
      <c r="FHX68" s="456"/>
      <c r="FHY68" s="456"/>
      <c r="FHZ68" s="456"/>
      <c r="FIA68" s="456"/>
      <c r="FIB68" s="456"/>
      <c r="FIC68" s="456"/>
      <c r="FID68" s="456"/>
      <c r="FIE68" s="456"/>
      <c r="FIF68" s="456"/>
      <c r="FIG68" s="456"/>
      <c r="FIH68" s="456"/>
      <c r="FII68" s="456"/>
      <c r="FIJ68" s="456"/>
      <c r="FIK68" s="456"/>
      <c r="FIL68" s="456"/>
      <c r="FIM68" s="456"/>
      <c r="FIN68" s="456"/>
      <c r="FIO68" s="456"/>
      <c r="FIP68" s="456"/>
      <c r="FIQ68" s="456"/>
      <c r="FIR68" s="456"/>
      <c r="FIS68" s="456"/>
      <c r="FIT68" s="456"/>
      <c r="FIU68" s="456"/>
      <c r="FIV68" s="456"/>
      <c r="FIW68" s="456"/>
      <c r="FIX68" s="456"/>
      <c r="FIY68" s="456"/>
      <c r="FIZ68" s="456"/>
      <c r="FJA68" s="456"/>
      <c r="FJB68" s="456"/>
      <c r="FJC68" s="456"/>
      <c r="FJD68" s="456"/>
      <c r="FJE68" s="456"/>
      <c r="FJF68" s="456"/>
      <c r="FJG68" s="456"/>
      <c r="FJH68" s="456"/>
      <c r="FJI68" s="456"/>
      <c r="FJJ68" s="456"/>
      <c r="FJK68" s="456"/>
      <c r="FJL68" s="456"/>
      <c r="FJM68" s="456"/>
      <c r="FJN68" s="456"/>
      <c r="FJO68" s="456"/>
      <c r="FJP68" s="456"/>
      <c r="FJQ68" s="456"/>
      <c r="FJR68" s="456"/>
      <c r="FJS68" s="456"/>
      <c r="FJT68" s="456"/>
      <c r="FJU68" s="456"/>
      <c r="FJV68" s="456"/>
      <c r="FJW68" s="456"/>
      <c r="FJX68" s="456"/>
      <c r="FJY68" s="456"/>
      <c r="FJZ68" s="456"/>
      <c r="FKA68" s="456"/>
      <c r="FKB68" s="456"/>
      <c r="FKC68" s="456"/>
      <c r="FKD68" s="456"/>
      <c r="FKE68" s="456"/>
      <c r="FKF68" s="456"/>
      <c r="FKG68" s="456"/>
      <c r="FKH68" s="456"/>
      <c r="FKI68" s="456"/>
      <c r="FKJ68" s="456"/>
      <c r="FKK68" s="456"/>
      <c r="FKL68" s="456"/>
      <c r="FKM68" s="456"/>
      <c r="FKN68" s="456"/>
      <c r="FKO68" s="456"/>
      <c r="FKP68" s="456"/>
      <c r="FKQ68" s="456"/>
      <c r="FKR68" s="456"/>
      <c r="FKS68" s="456"/>
      <c r="FKT68" s="456"/>
      <c r="FKU68" s="456"/>
      <c r="FKV68" s="456"/>
      <c r="FKW68" s="456"/>
      <c r="FKX68" s="456"/>
      <c r="FKY68" s="456"/>
      <c r="FKZ68" s="456"/>
      <c r="FLA68" s="456"/>
      <c r="FLB68" s="456"/>
      <c r="FLC68" s="456"/>
      <c r="FLD68" s="456"/>
      <c r="FLE68" s="456"/>
      <c r="FLF68" s="456"/>
      <c r="FLG68" s="456"/>
      <c r="FLH68" s="456"/>
      <c r="FLI68" s="456"/>
      <c r="FLJ68" s="456"/>
      <c r="FLK68" s="456"/>
      <c r="FLL68" s="456"/>
      <c r="FLM68" s="456"/>
      <c r="FLN68" s="456"/>
      <c r="FLO68" s="456"/>
      <c r="FLP68" s="456"/>
      <c r="FLQ68" s="456"/>
      <c r="FLR68" s="456"/>
      <c r="FLS68" s="456"/>
      <c r="FLT68" s="456"/>
      <c r="FLU68" s="456"/>
      <c r="FLV68" s="456"/>
      <c r="FLW68" s="456"/>
      <c r="FLX68" s="456"/>
      <c r="FLY68" s="456"/>
      <c r="FLZ68" s="456"/>
      <c r="FMA68" s="456"/>
      <c r="FMB68" s="456"/>
      <c r="FMC68" s="456"/>
      <c r="FMD68" s="456"/>
      <c r="FME68" s="456"/>
      <c r="FMF68" s="456"/>
      <c r="FMG68" s="456"/>
      <c r="FMH68" s="456"/>
      <c r="FMI68" s="456"/>
      <c r="FMJ68" s="456"/>
      <c r="FMK68" s="456"/>
      <c r="FML68" s="456"/>
      <c r="FMM68" s="456"/>
      <c r="FMN68" s="456"/>
      <c r="FMO68" s="456"/>
      <c r="FMP68" s="456"/>
      <c r="FMQ68" s="456"/>
      <c r="FMR68" s="456"/>
      <c r="FMS68" s="456"/>
      <c r="FMT68" s="456"/>
      <c r="FMU68" s="456"/>
      <c r="FMV68" s="456"/>
      <c r="FMW68" s="456"/>
      <c r="FMX68" s="456"/>
      <c r="FMY68" s="456"/>
      <c r="FMZ68" s="456"/>
      <c r="FNA68" s="456"/>
      <c r="FNB68" s="456"/>
      <c r="FNC68" s="456"/>
      <c r="FND68" s="456"/>
      <c r="FNE68" s="456"/>
      <c r="FNF68" s="456"/>
      <c r="FNG68" s="456"/>
      <c r="FNH68" s="456"/>
      <c r="FNI68" s="456"/>
      <c r="FNJ68" s="456"/>
      <c r="FNK68" s="456"/>
      <c r="FNL68" s="456"/>
      <c r="FNM68" s="456"/>
      <c r="FNN68" s="456"/>
      <c r="FNO68" s="456"/>
      <c r="FNP68" s="456"/>
      <c r="FNQ68" s="456"/>
      <c r="FNR68" s="456"/>
      <c r="FNS68" s="456"/>
      <c r="FNT68" s="456"/>
      <c r="FNU68" s="456"/>
      <c r="FNV68" s="456"/>
      <c r="FNW68" s="456"/>
      <c r="FNX68" s="456"/>
      <c r="FNY68" s="456"/>
      <c r="FNZ68" s="456"/>
      <c r="FOA68" s="456"/>
      <c r="FOB68" s="456"/>
      <c r="FOC68" s="456"/>
      <c r="FOD68" s="456"/>
      <c r="FOE68" s="456"/>
      <c r="FOF68" s="456"/>
      <c r="FOG68" s="456"/>
      <c r="FOH68" s="456"/>
      <c r="FOI68" s="456"/>
      <c r="FOJ68" s="456"/>
      <c r="FOK68" s="456"/>
      <c r="FOL68" s="456"/>
      <c r="FOM68" s="456"/>
      <c r="FON68" s="456"/>
      <c r="FOO68" s="456"/>
      <c r="FOP68" s="456"/>
      <c r="FOQ68" s="456"/>
      <c r="FOR68" s="456"/>
      <c r="FOS68" s="456"/>
      <c r="FOT68" s="456"/>
      <c r="FOU68" s="456"/>
      <c r="FOV68" s="456"/>
      <c r="FOW68" s="456"/>
      <c r="FOX68" s="456"/>
      <c r="FOY68" s="456"/>
      <c r="FOZ68" s="456"/>
      <c r="FPA68" s="456"/>
      <c r="FPB68" s="456"/>
      <c r="FPC68" s="456"/>
      <c r="FPD68" s="456"/>
      <c r="FPE68" s="456"/>
      <c r="FPF68" s="456"/>
      <c r="FPG68" s="456"/>
      <c r="FPH68" s="456"/>
      <c r="FPI68" s="456"/>
      <c r="FPJ68" s="456"/>
      <c r="FPK68" s="456"/>
      <c r="FPL68" s="456"/>
      <c r="FPM68" s="456"/>
      <c r="FPN68" s="456"/>
      <c r="FPO68" s="456"/>
      <c r="FPP68" s="456"/>
      <c r="FPQ68" s="456"/>
      <c r="FPR68" s="456"/>
      <c r="FPS68" s="456"/>
      <c r="FPT68" s="456"/>
      <c r="FPU68" s="456"/>
      <c r="FPV68" s="456"/>
      <c r="FPW68" s="456"/>
      <c r="FPX68" s="456"/>
      <c r="FPY68" s="456"/>
      <c r="FPZ68" s="456"/>
      <c r="FQA68" s="456"/>
      <c r="FQB68" s="456"/>
      <c r="FQC68" s="456"/>
      <c r="FQD68" s="456"/>
      <c r="FQE68" s="456"/>
      <c r="FQF68" s="456"/>
      <c r="FQG68" s="456"/>
      <c r="FQH68" s="456"/>
      <c r="FQI68" s="456"/>
      <c r="FQJ68" s="456"/>
      <c r="FQK68" s="456"/>
      <c r="FQL68" s="456"/>
      <c r="FQM68" s="456"/>
      <c r="FQN68" s="456"/>
      <c r="FQO68" s="456"/>
      <c r="FQP68" s="456"/>
      <c r="FQQ68" s="456"/>
      <c r="FQR68" s="456"/>
      <c r="FQS68" s="456"/>
      <c r="FQT68" s="456"/>
      <c r="FQU68" s="456"/>
      <c r="FQV68" s="456"/>
      <c r="FQW68" s="456"/>
      <c r="FQX68" s="456"/>
      <c r="FQY68" s="456"/>
      <c r="FQZ68" s="456"/>
      <c r="FRA68" s="456"/>
      <c r="FRB68" s="456"/>
      <c r="FRC68" s="456"/>
      <c r="FRD68" s="456"/>
      <c r="FRE68" s="456"/>
      <c r="FRF68" s="456"/>
      <c r="FRG68" s="456"/>
      <c r="FRH68" s="456"/>
      <c r="FRI68" s="456"/>
      <c r="FRJ68" s="456"/>
      <c r="FRK68" s="456"/>
      <c r="FRL68" s="456"/>
      <c r="FRM68" s="456"/>
      <c r="FRN68" s="456"/>
      <c r="FRO68" s="456"/>
      <c r="FRP68" s="456"/>
      <c r="FRQ68" s="456"/>
      <c r="FRR68" s="456"/>
      <c r="FRS68" s="456"/>
      <c r="FRT68" s="456"/>
      <c r="FRU68" s="456"/>
      <c r="FRV68" s="456"/>
      <c r="FRW68" s="456"/>
      <c r="FRX68" s="456"/>
      <c r="FRY68" s="456"/>
      <c r="FRZ68" s="456"/>
      <c r="FSA68" s="456"/>
      <c r="FSB68" s="456"/>
      <c r="FSC68" s="456"/>
      <c r="FSD68" s="456"/>
      <c r="FSE68" s="456"/>
      <c r="FSF68" s="456"/>
      <c r="FSG68" s="456"/>
      <c r="FSH68" s="456"/>
      <c r="FSI68" s="456"/>
      <c r="FSJ68" s="456"/>
      <c r="FSK68" s="456"/>
      <c r="FSL68" s="456"/>
      <c r="FSM68" s="456"/>
      <c r="FSN68" s="456"/>
      <c r="FSO68" s="456"/>
      <c r="FSP68" s="456"/>
      <c r="FSQ68" s="456"/>
      <c r="FSR68" s="456"/>
      <c r="FSS68" s="456"/>
      <c r="FST68" s="456"/>
      <c r="FSU68" s="456"/>
      <c r="FSV68" s="456"/>
      <c r="FSW68" s="456"/>
      <c r="FSX68" s="456"/>
      <c r="FSY68" s="456"/>
      <c r="FSZ68" s="456"/>
      <c r="FTA68" s="456"/>
      <c r="FTB68" s="456"/>
      <c r="FTC68" s="456"/>
      <c r="FTD68" s="456"/>
      <c r="FTE68" s="456"/>
      <c r="FTF68" s="456"/>
      <c r="FTG68" s="456"/>
      <c r="FTH68" s="456"/>
      <c r="FTI68" s="456"/>
      <c r="FTJ68" s="456"/>
      <c r="FTK68" s="456"/>
      <c r="FTL68" s="456"/>
      <c r="FTM68" s="456"/>
      <c r="FTN68" s="456"/>
      <c r="FTO68" s="456"/>
      <c r="FTP68" s="456"/>
      <c r="FTQ68" s="456"/>
      <c r="FTR68" s="456"/>
      <c r="FTS68" s="456"/>
      <c r="FTT68" s="456"/>
      <c r="FTU68" s="456"/>
      <c r="FTV68" s="456"/>
      <c r="FTW68" s="456"/>
      <c r="FTX68" s="456"/>
      <c r="FTY68" s="456"/>
      <c r="FTZ68" s="456"/>
      <c r="FUA68" s="456"/>
      <c r="FUB68" s="456"/>
      <c r="FUC68" s="456"/>
      <c r="FUD68" s="456"/>
      <c r="FUE68" s="456"/>
      <c r="FUF68" s="456"/>
      <c r="FUG68" s="456"/>
      <c r="FUH68" s="456"/>
      <c r="FUI68" s="456"/>
      <c r="FUJ68" s="456"/>
      <c r="FUK68" s="456"/>
      <c r="FUL68" s="456"/>
      <c r="FUM68" s="456"/>
      <c r="FUN68" s="456"/>
      <c r="FUO68" s="456"/>
      <c r="FUP68" s="456"/>
      <c r="FUQ68" s="456"/>
      <c r="FUR68" s="456"/>
      <c r="FUS68" s="456"/>
      <c r="FUT68" s="456"/>
      <c r="FUU68" s="456"/>
      <c r="FUV68" s="456"/>
      <c r="FUW68" s="456"/>
      <c r="FUX68" s="456"/>
      <c r="FUY68" s="456"/>
      <c r="FUZ68" s="456"/>
      <c r="FVA68" s="456"/>
      <c r="FVB68" s="456"/>
      <c r="FVC68" s="456"/>
      <c r="FVD68" s="456"/>
      <c r="FVE68" s="456"/>
      <c r="FVF68" s="456"/>
      <c r="FVG68" s="456"/>
      <c r="FVH68" s="456"/>
      <c r="FVI68" s="456"/>
      <c r="FVJ68" s="456"/>
      <c r="FVK68" s="456"/>
      <c r="FVL68" s="456"/>
      <c r="FVM68" s="456"/>
      <c r="FVN68" s="456"/>
      <c r="FVO68" s="456"/>
      <c r="FVP68" s="456"/>
      <c r="FVQ68" s="456"/>
      <c r="FVR68" s="456"/>
      <c r="FVS68" s="456"/>
      <c r="FVT68" s="456"/>
      <c r="FVU68" s="456"/>
      <c r="FVV68" s="456"/>
      <c r="FVW68" s="456"/>
      <c r="FVX68" s="456"/>
      <c r="FVY68" s="456"/>
      <c r="FVZ68" s="456"/>
      <c r="FWA68" s="456"/>
      <c r="FWB68" s="456"/>
      <c r="FWC68" s="456"/>
      <c r="FWD68" s="456"/>
      <c r="FWE68" s="456"/>
      <c r="FWF68" s="456"/>
      <c r="FWG68" s="456"/>
      <c r="FWH68" s="456"/>
      <c r="FWI68" s="456"/>
      <c r="FWJ68" s="456"/>
      <c r="FWK68" s="456"/>
      <c r="FWL68" s="456"/>
      <c r="FWM68" s="456"/>
      <c r="FWN68" s="456"/>
      <c r="FWO68" s="456"/>
      <c r="FWP68" s="456"/>
      <c r="FWQ68" s="456"/>
      <c r="FWR68" s="456"/>
      <c r="FWS68" s="456"/>
      <c r="FWT68" s="456"/>
      <c r="FWU68" s="456"/>
      <c r="FWV68" s="456"/>
      <c r="FWW68" s="456"/>
      <c r="FWX68" s="456"/>
      <c r="FWY68" s="456"/>
      <c r="FWZ68" s="456"/>
      <c r="FXA68" s="456"/>
      <c r="FXB68" s="456"/>
      <c r="FXC68" s="456"/>
      <c r="FXD68" s="456"/>
      <c r="FXE68" s="456"/>
      <c r="FXF68" s="456"/>
      <c r="FXG68" s="456"/>
      <c r="FXH68" s="456"/>
      <c r="FXI68" s="456"/>
      <c r="FXJ68" s="456"/>
      <c r="FXK68" s="456"/>
      <c r="FXL68" s="456"/>
      <c r="FXM68" s="456"/>
      <c r="FXN68" s="456"/>
      <c r="FXO68" s="456"/>
      <c r="FXP68" s="456"/>
      <c r="FXQ68" s="456"/>
      <c r="FXR68" s="456"/>
      <c r="FXS68" s="456"/>
      <c r="FXT68" s="456"/>
      <c r="FXU68" s="456"/>
      <c r="FXV68" s="456"/>
      <c r="FXW68" s="456"/>
      <c r="FXX68" s="456"/>
      <c r="FXY68" s="456"/>
      <c r="FXZ68" s="456"/>
      <c r="FYA68" s="456"/>
      <c r="FYB68" s="456"/>
      <c r="FYC68" s="456"/>
      <c r="FYD68" s="456"/>
      <c r="FYE68" s="456"/>
      <c r="FYF68" s="456"/>
      <c r="FYG68" s="456"/>
      <c r="FYH68" s="456"/>
      <c r="FYI68" s="456"/>
      <c r="FYJ68" s="456"/>
      <c r="FYK68" s="456"/>
      <c r="FYL68" s="456"/>
      <c r="FYM68" s="456"/>
      <c r="FYN68" s="456"/>
      <c r="FYO68" s="456"/>
      <c r="FYP68" s="456"/>
      <c r="FYQ68" s="456"/>
      <c r="FYR68" s="456"/>
      <c r="FYS68" s="456"/>
      <c r="FYT68" s="456"/>
      <c r="FYU68" s="456"/>
      <c r="FYV68" s="456"/>
      <c r="FYW68" s="456"/>
      <c r="FYX68" s="456"/>
      <c r="FYY68" s="456"/>
      <c r="FYZ68" s="456"/>
      <c r="FZA68" s="456"/>
      <c r="FZB68" s="456"/>
      <c r="FZC68" s="456"/>
      <c r="FZD68" s="456"/>
      <c r="FZE68" s="456"/>
      <c r="FZF68" s="456"/>
      <c r="FZG68" s="456"/>
      <c r="FZH68" s="456"/>
      <c r="FZI68" s="456"/>
      <c r="FZJ68" s="456"/>
      <c r="FZK68" s="456"/>
      <c r="FZL68" s="456"/>
      <c r="FZM68" s="456"/>
      <c r="FZN68" s="456"/>
      <c r="FZO68" s="456"/>
      <c r="FZP68" s="456"/>
      <c r="FZQ68" s="456"/>
      <c r="FZR68" s="456"/>
      <c r="FZS68" s="456"/>
      <c r="FZT68" s="456"/>
      <c r="FZU68" s="456"/>
      <c r="FZV68" s="456"/>
      <c r="FZW68" s="456"/>
      <c r="FZX68" s="456"/>
      <c r="FZY68" s="456"/>
      <c r="FZZ68" s="456"/>
      <c r="GAA68" s="456"/>
      <c r="GAB68" s="456"/>
      <c r="GAC68" s="456"/>
      <c r="GAD68" s="456"/>
      <c r="GAE68" s="456"/>
      <c r="GAF68" s="456"/>
      <c r="GAG68" s="456"/>
      <c r="GAH68" s="456"/>
      <c r="GAI68" s="456"/>
      <c r="GAJ68" s="456"/>
      <c r="GAK68" s="456"/>
      <c r="GAL68" s="456"/>
      <c r="GAM68" s="456"/>
      <c r="GAN68" s="456"/>
      <c r="GAO68" s="456"/>
      <c r="GAP68" s="456"/>
      <c r="GAQ68" s="456"/>
      <c r="GAR68" s="456"/>
      <c r="GAS68" s="456"/>
      <c r="GAT68" s="456"/>
      <c r="GAU68" s="456"/>
      <c r="GAV68" s="456"/>
      <c r="GAW68" s="456"/>
      <c r="GAX68" s="456"/>
      <c r="GAY68" s="456"/>
      <c r="GAZ68" s="456"/>
      <c r="GBA68" s="456"/>
      <c r="GBB68" s="456"/>
      <c r="GBC68" s="456"/>
      <c r="GBD68" s="456"/>
      <c r="GBE68" s="456"/>
      <c r="GBF68" s="456"/>
      <c r="GBG68" s="456"/>
      <c r="GBH68" s="456"/>
      <c r="GBI68" s="456"/>
      <c r="GBJ68" s="456"/>
      <c r="GBK68" s="456"/>
      <c r="GBL68" s="456"/>
      <c r="GBM68" s="456"/>
      <c r="GBN68" s="456"/>
      <c r="GBO68" s="456"/>
      <c r="GBP68" s="456"/>
      <c r="GBQ68" s="456"/>
      <c r="GBR68" s="456"/>
      <c r="GBS68" s="456"/>
      <c r="GBT68" s="456"/>
      <c r="GBU68" s="456"/>
      <c r="GBV68" s="456"/>
      <c r="GBW68" s="456"/>
      <c r="GBX68" s="456"/>
      <c r="GBY68" s="456"/>
      <c r="GBZ68" s="456"/>
      <c r="GCA68" s="456"/>
      <c r="GCB68" s="456"/>
      <c r="GCC68" s="456"/>
      <c r="GCD68" s="456"/>
      <c r="GCE68" s="456"/>
      <c r="GCF68" s="456"/>
      <c r="GCG68" s="456"/>
      <c r="GCH68" s="456"/>
      <c r="GCI68" s="456"/>
      <c r="GCJ68" s="456"/>
      <c r="GCK68" s="456"/>
      <c r="GCL68" s="456"/>
      <c r="GCM68" s="456"/>
      <c r="GCN68" s="456"/>
      <c r="GCO68" s="456"/>
      <c r="GCP68" s="456"/>
      <c r="GCQ68" s="456"/>
      <c r="GCR68" s="456"/>
      <c r="GCS68" s="456"/>
      <c r="GCT68" s="456"/>
      <c r="GCU68" s="456"/>
      <c r="GCV68" s="456"/>
      <c r="GCW68" s="456"/>
      <c r="GCX68" s="456"/>
      <c r="GCY68" s="456"/>
      <c r="GCZ68" s="456"/>
      <c r="GDA68" s="456"/>
      <c r="GDB68" s="456"/>
      <c r="GDC68" s="456"/>
      <c r="GDD68" s="456"/>
      <c r="GDE68" s="456"/>
      <c r="GDF68" s="456"/>
      <c r="GDG68" s="456"/>
      <c r="GDH68" s="456"/>
      <c r="GDI68" s="456"/>
      <c r="GDJ68" s="456"/>
      <c r="GDK68" s="456"/>
      <c r="GDL68" s="456"/>
      <c r="GDM68" s="456"/>
      <c r="GDN68" s="456"/>
      <c r="GDO68" s="456"/>
      <c r="GDP68" s="456"/>
      <c r="GDQ68" s="456"/>
      <c r="GDR68" s="456"/>
      <c r="GDS68" s="456"/>
      <c r="GDT68" s="456"/>
      <c r="GDU68" s="456"/>
      <c r="GDV68" s="456"/>
      <c r="GDW68" s="456"/>
      <c r="GDX68" s="456"/>
      <c r="GDY68" s="456"/>
      <c r="GDZ68" s="456"/>
      <c r="GEA68" s="456"/>
      <c r="GEB68" s="456"/>
      <c r="GEC68" s="456"/>
      <c r="GED68" s="456"/>
      <c r="GEE68" s="456"/>
      <c r="GEF68" s="456"/>
      <c r="GEG68" s="456"/>
      <c r="GEH68" s="456"/>
      <c r="GEI68" s="456"/>
      <c r="GEJ68" s="456"/>
      <c r="GEK68" s="456"/>
      <c r="GEL68" s="456"/>
      <c r="GEM68" s="456"/>
      <c r="GEN68" s="456"/>
      <c r="GEO68" s="456"/>
      <c r="GEP68" s="456"/>
      <c r="GEQ68" s="456"/>
      <c r="GER68" s="456"/>
      <c r="GES68" s="456"/>
      <c r="GET68" s="456"/>
      <c r="GEU68" s="456"/>
      <c r="GEV68" s="456"/>
      <c r="GEW68" s="456"/>
      <c r="GEX68" s="456"/>
      <c r="GEY68" s="456"/>
      <c r="GEZ68" s="456"/>
      <c r="GFA68" s="456"/>
      <c r="GFB68" s="456"/>
      <c r="GFC68" s="456"/>
      <c r="GFD68" s="456"/>
      <c r="GFE68" s="456"/>
      <c r="GFF68" s="456"/>
      <c r="GFG68" s="456"/>
      <c r="GFH68" s="456"/>
      <c r="GFI68" s="456"/>
      <c r="GFJ68" s="456"/>
      <c r="GFK68" s="456"/>
      <c r="GFL68" s="456"/>
      <c r="GFM68" s="456"/>
      <c r="GFN68" s="456"/>
      <c r="GFO68" s="456"/>
      <c r="GFP68" s="456"/>
      <c r="GFQ68" s="456"/>
      <c r="GFR68" s="456"/>
      <c r="GFS68" s="456"/>
      <c r="GFT68" s="456"/>
      <c r="GFU68" s="456"/>
      <c r="GFV68" s="456"/>
      <c r="GFW68" s="456"/>
      <c r="GFX68" s="456"/>
      <c r="GFY68" s="456"/>
      <c r="GFZ68" s="456"/>
      <c r="GGA68" s="456"/>
      <c r="GGB68" s="456"/>
      <c r="GGC68" s="456"/>
      <c r="GGD68" s="456"/>
      <c r="GGE68" s="456"/>
      <c r="GGF68" s="456"/>
      <c r="GGG68" s="456"/>
      <c r="GGH68" s="456"/>
      <c r="GGI68" s="456"/>
      <c r="GGJ68" s="456"/>
      <c r="GGK68" s="456"/>
      <c r="GGL68" s="456"/>
      <c r="GGM68" s="456"/>
      <c r="GGN68" s="456"/>
      <c r="GGO68" s="456"/>
      <c r="GGP68" s="456"/>
      <c r="GGQ68" s="456"/>
      <c r="GGR68" s="456"/>
      <c r="GGS68" s="456"/>
      <c r="GGT68" s="456"/>
      <c r="GGU68" s="456"/>
      <c r="GGV68" s="456"/>
      <c r="GGW68" s="456"/>
      <c r="GGX68" s="456"/>
      <c r="GGY68" s="456"/>
      <c r="GGZ68" s="456"/>
      <c r="GHA68" s="456"/>
      <c r="GHB68" s="456"/>
      <c r="GHC68" s="456"/>
      <c r="GHD68" s="456"/>
      <c r="GHE68" s="456"/>
      <c r="GHF68" s="456"/>
      <c r="GHG68" s="456"/>
      <c r="GHH68" s="456"/>
      <c r="GHI68" s="456"/>
      <c r="GHJ68" s="456"/>
      <c r="GHK68" s="456"/>
      <c r="GHL68" s="456"/>
      <c r="GHM68" s="456"/>
      <c r="GHN68" s="456"/>
      <c r="GHO68" s="456"/>
      <c r="GHP68" s="456"/>
      <c r="GHQ68" s="456"/>
      <c r="GHR68" s="456"/>
      <c r="GHS68" s="456"/>
      <c r="GHT68" s="456"/>
      <c r="GHU68" s="456"/>
      <c r="GHV68" s="456"/>
      <c r="GHW68" s="456"/>
      <c r="GHX68" s="456"/>
      <c r="GHY68" s="456"/>
      <c r="GHZ68" s="456"/>
      <c r="GIA68" s="456"/>
      <c r="GIB68" s="456"/>
      <c r="GIC68" s="456"/>
      <c r="GID68" s="456"/>
      <c r="GIE68" s="456"/>
      <c r="GIF68" s="456"/>
      <c r="GIG68" s="456"/>
      <c r="GIH68" s="456"/>
      <c r="GII68" s="456"/>
      <c r="GIJ68" s="456"/>
      <c r="GIK68" s="456"/>
      <c r="GIL68" s="456"/>
      <c r="GIM68" s="456"/>
      <c r="GIN68" s="456"/>
      <c r="GIO68" s="456"/>
      <c r="GIP68" s="456"/>
      <c r="GIQ68" s="456"/>
      <c r="GIR68" s="456"/>
      <c r="GIS68" s="456"/>
      <c r="GIT68" s="456"/>
      <c r="GIU68" s="456"/>
      <c r="GIV68" s="456"/>
      <c r="GIW68" s="456"/>
      <c r="GIX68" s="456"/>
      <c r="GIY68" s="456"/>
      <c r="GIZ68" s="456"/>
      <c r="GJA68" s="456"/>
      <c r="GJB68" s="456"/>
      <c r="GJC68" s="456"/>
      <c r="GJD68" s="456"/>
      <c r="GJE68" s="456"/>
      <c r="GJF68" s="456"/>
      <c r="GJG68" s="456"/>
      <c r="GJH68" s="456"/>
      <c r="GJI68" s="456"/>
      <c r="GJJ68" s="456"/>
      <c r="GJK68" s="456"/>
      <c r="GJL68" s="456"/>
      <c r="GJM68" s="456"/>
      <c r="GJN68" s="456"/>
      <c r="GJO68" s="456"/>
      <c r="GJP68" s="456"/>
      <c r="GJQ68" s="456"/>
      <c r="GJR68" s="456"/>
      <c r="GJS68" s="456"/>
      <c r="GJT68" s="456"/>
      <c r="GJU68" s="456"/>
      <c r="GJV68" s="456"/>
      <c r="GJW68" s="456"/>
      <c r="GJX68" s="456"/>
      <c r="GJY68" s="456"/>
      <c r="GJZ68" s="456"/>
      <c r="GKA68" s="456"/>
      <c r="GKB68" s="456"/>
      <c r="GKC68" s="456"/>
      <c r="GKD68" s="456"/>
      <c r="GKE68" s="456"/>
      <c r="GKF68" s="456"/>
      <c r="GKG68" s="456"/>
      <c r="GKH68" s="456"/>
      <c r="GKI68" s="456"/>
      <c r="GKJ68" s="456"/>
      <c r="GKK68" s="456"/>
      <c r="GKL68" s="456"/>
      <c r="GKM68" s="456"/>
      <c r="GKN68" s="456"/>
      <c r="GKO68" s="456"/>
      <c r="GKP68" s="456"/>
      <c r="GKQ68" s="456"/>
      <c r="GKR68" s="456"/>
      <c r="GKS68" s="456"/>
      <c r="GKT68" s="456"/>
      <c r="GKU68" s="456"/>
      <c r="GKV68" s="456"/>
      <c r="GKW68" s="456"/>
      <c r="GKX68" s="456"/>
      <c r="GKY68" s="456"/>
      <c r="GKZ68" s="456"/>
      <c r="GLA68" s="456"/>
      <c r="GLB68" s="456"/>
      <c r="GLC68" s="456"/>
      <c r="GLD68" s="456"/>
      <c r="GLE68" s="456"/>
      <c r="GLF68" s="456"/>
      <c r="GLG68" s="456"/>
      <c r="GLH68" s="456"/>
      <c r="GLI68" s="456"/>
      <c r="GLJ68" s="456"/>
      <c r="GLK68" s="456"/>
      <c r="GLL68" s="456"/>
      <c r="GLM68" s="456"/>
      <c r="GLN68" s="456"/>
      <c r="GLO68" s="456"/>
      <c r="GLP68" s="456"/>
      <c r="GLQ68" s="456"/>
      <c r="GLR68" s="456"/>
      <c r="GLS68" s="456"/>
      <c r="GLT68" s="456"/>
      <c r="GLU68" s="456"/>
      <c r="GLV68" s="456"/>
      <c r="GLW68" s="456"/>
      <c r="GLX68" s="456"/>
      <c r="GLY68" s="456"/>
      <c r="GLZ68" s="456"/>
      <c r="GMA68" s="456"/>
      <c r="GMB68" s="456"/>
      <c r="GMC68" s="456"/>
      <c r="GMD68" s="456"/>
      <c r="GME68" s="456"/>
      <c r="GMF68" s="456"/>
      <c r="GMG68" s="456"/>
      <c r="GMH68" s="456"/>
      <c r="GMI68" s="456"/>
      <c r="GMJ68" s="456"/>
      <c r="GMK68" s="456"/>
      <c r="GML68" s="456"/>
      <c r="GMM68" s="456"/>
      <c r="GMN68" s="456"/>
      <c r="GMO68" s="456"/>
      <c r="GMP68" s="456"/>
      <c r="GMQ68" s="456"/>
      <c r="GMR68" s="456"/>
      <c r="GMS68" s="456"/>
      <c r="GMT68" s="456"/>
      <c r="GMU68" s="456"/>
      <c r="GMV68" s="456"/>
      <c r="GMW68" s="456"/>
      <c r="GMX68" s="456"/>
      <c r="GMY68" s="456"/>
      <c r="GMZ68" s="456"/>
      <c r="GNA68" s="456"/>
      <c r="GNB68" s="456"/>
      <c r="GNC68" s="456"/>
      <c r="GND68" s="456"/>
      <c r="GNE68" s="456"/>
      <c r="GNF68" s="456"/>
      <c r="GNG68" s="456"/>
      <c r="GNH68" s="456"/>
      <c r="GNI68" s="456"/>
      <c r="GNJ68" s="456"/>
      <c r="GNK68" s="456"/>
      <c r="GNL68" s="456"/>
      <c r="GNM68" s="456"/>
      <c r="GNN68" s="456"/>
      <c r="GNO68" s="456"/>
      <c r="GNP68" s="456"/>
      <c r="GNQ68" s="456"/>
      <c r="GNR68" s="456"/>
      <c r="GNS68" s="456"/>
      <c r="GNT68" s="456"/>
      <c r="GNU68" s="456"/>
      <c r="GNV68" s="456"/>
      <c r="GNW68" s="456"/>
      <c r="GNX68" s="456"/>
      <c r="GNY68" s="456"/>
      <c r="GNZ68" s="456"/>
      <c r="GOA68" s="456"/>
      <c r="GOB68" s="456"/>
      <c r="GOC68" s="456"/>
      <c r="GOD68" s="456"/>
      <c r="GOE68" s="456"/>
      <c r="GOF68" s="456"/>
      <c r="GOG68" s="456"/>
      <c r="GOH68" s="456"/>
      <c r="GOI68" s="456"/>
      <c r="GOJ68" s="456"/>
      <c r="GOK68" s="456"/>
      <c r="GOL68" s="456"/>
      <c r="GOM68" s="456"/>
      <c r="GON68" s="456"/>
      <c r="GOO68" s="456"/>
      <c r="GOP68" s="456"/>
      <c r="GOQ68" s="456"/>
      <c r="GOR68" s="456"/>
      <c r="GOS68" s="456"/>
      <c r="GOT68" s="456"/>
      <c r="GOU68" s="456"/>
      <c r="GOV68" s="456"/>
      <c r="GOW68" s="456"/>
      <c r="GOX68" s="456"/>
      <c r="GOY68" s="456"/>
      <c r="GOZ68" s="456"/>
      <c r="GPA68" s="456"/>
      <c r="GPB68" s="456"/>
      <c r="GPC68" s="456"/>
      <c r="GPD68" s="456"/>
      <c r="GPE68" s="456"/>
      <c r="GPF68" s="456"/>
      <c r="GPG68" s="456"/>
      <c r="GPH68" s="456"/>
      <c r="GPI68" s="456"/>
      <c r="GPJ68" s="456"/>
      <c r="GPK68" s="456"/>
      <c r="GPL68" s="456"/>
      <c r="GPM68" s="456"/>
      <c r="GPN68" s="456"/>
      <c r="GPO68" s="456"/>
      <c r="GPP68" s="456"/>
      <c r="GPQ68" s="456"/>
      <c r="GPR68" s="456"/>
      <c r="GPS68" s="456"/>
      <c r="GPT68" s="456"/>
      <c r="GPU68" s="456"/>
      <c r="GPV68" s="456"/>
      <c r="GPW68" s="456"/>
      <c r="GPX68" s="456"/>
      <c r="GPY68" s="456"/>
      <c r="GPZ68" s="456"/>
      <c r="GQA68" s="456"/>
      <c r="GQB68" s="456"/>
      <c r="GQC68" s="456"/>
      <c r="GQD68" s="456"/>
      <c r="GQE68" s="456"/>
      <c r="GQF68" s="456"/>
      <c r="GQG68" s="456"/>
      <c r="GQH68" s="456"/>
      <c r="GQI68" s="456"/>
      <c r="GQJ68" s="456"/>
      <c r="GQK68" s="456"/>
      <c r="GQL68" s="456"/>
      <c r="GQM68" s="456"/>
      <c r="GQN68" s="456"/>
      <c r="GQO68" s="456"/>
      <c r="GQP68" s="456"/>
      <c r="GQQ68" s="456"/>
      <c r="GQR68" s="456"/>
      <c r="GQS68" s="456"/>
      <c r="GQT68" s="456"/>
      <c r="GQU68" s="456"/>
      <c r="GQV68" s="456"/>
      <c r="GQW68" s="456"/>
      <c r="GQX68" s="456"/>
      <c r="GQY68" s="456"/>
      <c r="GQZ68" s="456"/>
      <c r="GRA68" s="456"/>
      <c r="GRB68" s="456"/>
      <c r="GRC68" s="456"/>
      <c r="GRD68" s="456"/>
      <c r="GRE68" s="456"/>
      <c r="GRF68" s="456"/>
      <c r="GRG68" s="456"/>
      <c r="GRH68" s="456"/>
      <c r="GRI68" s="456"/>
      <c r="GRJ68" s="456"/>
      <c r="GRK68" s="456"/>
      <c r="GRL68" s="456"/>
      <c r="GRM68" s="456"/>
      <c r="GRN68" s="456"/>
      <c r="GRO68" s="456"/>
      <c r="GRP68" s="456"/>
      <c r="GRQ68" s="456"/>
      <c r="GRR68" s="456"/>
      <c r="GRS68" s="456"/>
      <c r="GRT68" s="456"/>
      <c r="GRU68" s="456"/>
      <c r="GRV68" s="456"/>
      <c r="GRW68" s="456"/>
      <c r="GRX68" s="456"/>
      <c r="GRY68" s="456"/>
      <c r="GRZ68" s="456"/>
      <c r="GSA68" s="456"/>
      <c r="GSB68" s="456"/>
      <c r="GSC68" s="456"/>
      <c r="GSD68" s="456"/>
      <c r="GSE68" s="456"/>
      <c r="GSF68" s="456"/>
      <c r="GSG68" s="456"/>
      <c r="GSH68" s="456"/>
      <c r="GSI68" s="456"/>
      <c r="GSJ68" s="456"/>
      <c r="GSK68" s="456"/>
      <c r="GSL68" s="456"/>
      <c r="GSM68" s="456"/>
      <c r="GSN68" s="456"/>
      <c r="GSO68" s="456"/>
      <c r="GSP68" s="456"/>
      <c r="GSQ68" s="456"/>
      <c r="GSR68" s="456"/>
      <c r="GSS68" s="456"/>
      <c r="GST68" s="456"/>
      <c r="GSU68" s="456"/>
      <c r="GSV68" s="456"/>
      <c r="GSW68" s="456"/>
      <c r="GSX68" s="456"/>
      <c r="GSY68" s="456"/>
      <c r="GSZ68" s="456"/>
      <c r="GTA68" s="456"/>
      <c r="GTB68" s="456"/>
      <c r="GTC68" s="456"/>
      <c r="GTD68" s="456"/>
      <c r="GTE68" s="456"/>
      <c r="GTF68" s="456"/>
      <c r="GTG68" s="456"/>
      <c r="GTH68" s="456"/>
      <c r="GTI68" s="456"/>
      <c r="GTJ68" s="456"/>
      <c r="GTK68" s="456"/>
      <c r="GTL68" s="456"/>
      <c r="GTM68" s="456"/>
      <c r="GTN68" s="456"/>
      <c r="GTO68" s="456"/>
      <c r="GTP68" s="456"/>
      <c r="GTQ68" s="456"/>
      <c r="GTR68" s="456"/>
      <c r="GTS68" s="456"/>
      <c r="GTT68" s="456"/>
      <c r="GTU68" s="456"/>
      <c r="GTV68" s="456"/>
      <c r="GTW68" s="456"/>
      <c r="GTX68" s="456"/>
      <c r="GTY68" s="456"/>
      <c r="GTZ68" s="456"/>
      <c r="GUA68" s="456"/>
      <c r="GUB68" s="456"/>
      <c r="GUC68" s="456"/>
      <c r="GUD68" s="456"/>
      <c r="GUE68" s="456"/>
      <c r="GUF68" s="456"/>
      <c r="GUG68" s="456"/>
      <c r="GUH68" s="456"/>
      <c r="GUI68" s="456"/>
      <c r="GUJ68" s="456"/>
      <c r="GUK68" s="456"/>
      <c r="GUL68" s="456"/>
      <c r="GUM68" s="456"/>
      <c r="GUN68" s="456"/>
      <c r="GUO68" s="456"/>
      <c r="GUP68" s="456"/>
      <c r="GUQ68" s="456"/>
      <c r="GUR68" s="456"/>
      <c r="GUS68" s="456"/>
      <c r="GUT68" s="456"/>
      <c r="GUU68" s="456"/>
      <c r="GUV68" s="456"/>
      <c r="GUW68" s="456"/>
      <c r="GUX68" s="456"/>
      <c r="GUY68" s="456"/>
      <c r="GUZ68" s="456"/>
      <c r="GVA68" s="456"/>
      <c r="GVB68" s="456"/>
      <c r="GVC68" s="456"/>
      <c r="GVD68" s="456"/>
      <c r="GVE68" s="456"/>
      <c r="GVF68" s="456"/>
      <c r="GVG68" s="456"/>
      <c r="GVH68" s="456"/>
      <c r="GVI68" s="456"/>
      <c r="GVJ68" s="456"/>
      <c r="GVK68" s="456"/>
      <c r="GVL68" s="456"/>
      <c r="GVM68" s="456"/>
      <c r="GVN68" s="456"/>
      <c r="GVO68" s="456"/>
      <c r="GVP68" s="456"/>
      <c r="GVQ68" s="456"/>
      <c r="GVR68" s="456"/>
      <c r="GVS68" s="456"/>
      <c r="GVT68" s="456"/>
      <c r="GVU68" s="456"/>
      <c r="GVV68" s="456"/>
      <c r="GVW68" s="456"/>
      <c r="GVX68" s="456"/>
      <c r="GVY68" s="456"/>
      <c r="GVZ68" s="456"/>
      <c r="GWA68" s="456"/>
      <c r="GWB68" s="456"/>
      <c r="GWC68" s="456"/>
      <c r="GWD68" s="456"/>
      <c r="GWE68" s="456"/>
      <c r="GWF68" s="456"/>
      <c r="GWG68" s="456"/>
      <c r="GWH68" s="456"/>
      <c r="GWI68" s="456"/>
      <c r="GWJ68" s="456"/>
      <c r="GWK68" s="456"/>
      <c r="GWL68" s="456"/>
      <c r="GWM68" s="456"/>
      <c r="GWN68" s="456"/>
      <c r="GWO68" s="456"/>
      <c r="GWP68" s="456"/>
      <c r="GWQ68" s="456"/>
      <c r="GWR68" s="456"/>
      <c r="GWS68" s="456"/>
      <c r="GWT68" s="456"/>
      <c r="GWU68" s="456"/>
      <c r="GWV68" s="456"/>
      <c r="GWW68" s="456"/>
      <c r="GWX68" s="456"/>
      <c r="GWY68" s="456"/>
      <c r="GWZ68" s="456"/>
      <c r="GXA68" s="456"/>
      <c r="GXB68" s="456"/>
      <c r="GXC68" s="456"/>
      <c r="GXD68" s="456"/>
      <c r="GXE68" s="456"/>
      <c r="GXF68" s="456"/>
      <c r="GXG68" s="456"/>
      <c r="GXH68" s="456"/>
      <c r="GXI68" s="456"/>
      <c r="GXJ68" s="456"/>
      <c r="GXK68" s="456"/>
      <c r="GXL68" s="456"/>
      <c r="GXM68" s="456"/>
      <c r="GXN68" s="456"/>
      <c r="GXO68" s="456"/>
      <c r="GXP68" s="456"/>
      <c r="GXQ68" s="456"/>
      <c r="GXR68" s="456"/>
      <c r="GXS68" s="456"/>
      <c r="GXT68" s="456"/>
      <c r="GXU68" s="456"/>
      <c r="GXV68" s="456"/>
      <c r="GXW68" s="456"/>
      <c r="GXX68" s="456"/>
      <c r="GXY68" s="456"/>
      <c r="GXZ68" s="456"/>
      <c r="GYA68" s="456"/>
      <c r="GYB68" s="456"/>
      <c r="GYC68" s="456"/>
      <c r="GYD68" s="456"/>
      <c r="GYE68" s="456"/>
      <c r="GYF68" s="456"/>
      <c r="GYG68" s="456"/>
      <c r="GYH68" s="456"/>
      <c r="GYI68" s="456"/>
      <c r="GYJ68" s="456"/>
      <c r="GYK68" s="456"/>
      <c r="GYL68" s="456"/>
      <c r="GYM68" s="456"/>
      <c r="GYN68" s="456"/>
      <c r="GYO68" s="456"/>
      <c r="GYP68" s="456"/>
      <c r="GYQ68" s="456"/>
      <c r="GYR68" s="456"/>
      <c r="GYS68" s="456"/>
      <c r="GYT68" s="456"/>
      <c r="GYU68" s="456"/>
      <c r="GYV68" s="456"/>
      <c r="GYW68" s="456"/>
      <c r="GYX68" s="456"/>
      <c r="GYY68" s="456"/>
      <c r="GYZ68" s="456"/>
      <c r="GZA68" s="456"/>
      <c r="GZB68" s="456"/>
      <c r="GZC68" s="456"/>
      <c r="GZD68" s="456"/>
      <c r="GZE68" s="456"/>
      <c r="GZF68" s="456"/>
      <c r="GZG68" s="456"/>
      <c r="GZH68" s="456"/>
      <c r="GZI68" s="456"/>
      <c r="GZJ68" s="456"/>
      <c r="GZK68" s="456"/>
      <c r="GZL68" s="456"/>
      <c r="GZM68" s="456"/>
      <c r="GZN68" s="456"/>
      <c r="GZO68" s="456"/>
      <c r="GZP68" s="456"/>
      <c r="GZQ68" s="456"/>
      <c r="GZR68" s="456"/>
      <c r="GZS68" s="456"/>
      <c r="GZT68" s="456"/>
      <c r="GZU68" s="456"/>
      <c r="GZV68" s="456"/>
      <c r="GZW68" s="456"/>
      <c r="GZX68" s="456"/>
      <c r="GZY68" s="456"/>
      <c r="GZZ68" s="456"/>
      <c r="HAA68" s="456"/>
      <c r="HAB68" s="456"/>
      <c r="HAC68" s="456"/>
      <c r="HAD68" s="456"/>
      <c r="HAE68" s="456"/>
      <c r="HAF68" s="456"/>
      <c r="HAG68" s="456"/>
      <c r="HAH68" s="456"/>
      <c r="HAI68" s="456"/>
      <c r="HAJ68" s="456"/>
      <c r="HAK68" s="456"/>
      <c r="HAL68" s="456"/>
      <c r="HAM68" s="456"/>
      <c r="HAN68" s="456"/>
      <c r="HAO68" s="456"/>
      <c r="HAP68" s="456"/>
      <c r="HAQ68" s="456"/>
      <c r="HAR68" s="456"/>
      <c r="HAS68" s="456"/>
      <c r="HAT68" s="456"/>
      <c r="HAU68" s="456"/>
      <c r="HAV68" s="456"/>
      <c r="HAW68" s="456"/>
      <c r="HAX68" s="456"/>
      <c r="HAY68" s="456"/>
      <c r="HAZ68" s="456"/>
      <c r="HBA68" s="456"/>
      <c r="HBB68" s="456"/>
      <c r="HBC68" s="456"/>
      <c r="HBD68" s="456"/>
      <c r="HBE68" s="456"/>
      <c r="HBF68" s="456"/>
      <c r="HBG68" s="456"/>
      <c r="HBH68" s="456"/>
      <c r="HBI68" s="456"/>
      <c r="HBJ68" s="456"/>
      <c r="HBK68" s="456"/>
      <c r="HBL68" s="456"/>
      <c r="HBM68" s="456"/>
      <c r="HBN68" s="456"/>
      <c r="HBO68" s="456"/>
      <c r="HBP68" s="456"/>
      <c r="HBQ68" s="456"/>
      <c r="HBR68" s="456"/>
      <c r="HBS68" s="456"/>
      <c r="HBT68" s="456"/>
      <c r="HBU68" s="456"/>
      <c r="HBV68" s="456"/>
      <c r="HBW68" s="456"/>
      <c r="HBX68" s="456"/>
      <c r="HBY68" s="456"/>
      <c r="HBZ68" s="456"/>
      <c r="HCA68" s="456"/>
      <c r="HCB68" s="456"/>
      <c r="HCC68" s="456"/>
      <c r="HCD68" s="456"/>
      <c r="HCE68" s="456"/>
      <c r="HCF68" s="456"/>
      <c r="HCG68" s="456"/>
      <c r="HCH68" s="456"/>
      <c r="HCI68" s="456"/>
      <c r="HCJ68" s="456"/>
      <c r="HCK68" s="456"/>
      <c r="HCL68" s="456"/>
      <c r="HCM68" s="456"/>
      <c r="HCN68" s="456"/>
      <c r="HCO68" s="456"/>
      <c r="HCP68" s="456"/>
      <c r="HCQ68" s="456"/>
      <c r="HCR68" s="456"/>
      <c r="HCS68" s="456"/>
      <c r="HCT68" s="456"/>
      <c r="HCU68" s="456"/>
      <c r="HCV68" s="456"/>
      <c r="HCW68" s="456"/>
      <c r="HCX68" s="456"/>
      <c r="HCY68" s="456"/>
      <c r="HCZ68" s="456"/>
      <c r="HDA68" s="456"/>
      <c r="HDB68" s="456"/>
      <c r="HDC68" s="456"/>
      <c r="HDD68" s="456"/>
      <c r="HDE68" s="456"/>
      <c r="HDF68" s="456"/>
      <c r="HDG68" s="456"/>
      <c r="HDH68" s="456"/>
      <c r="HDI68" s="456"/>
      <c r="HDJ68" s="456"/>
      <c r="HDK68" s="456"/>
      <c r="HDL68" s="456"/>
      <c r="HDM68" s="456"/>
      <c r="HDN68" s="456"/>
      <c r="HDO68" s="456"/>
      <c r="HDP68" s="456"/>
      <c r="HDQ68" s="456"/>
      <c r="HDR68" s="456"/>
      <c r="HDS68" s="456"/>
      <c r="HDT68" s="456"/>
      <c r="HDU68" s="456"/>
      <c r="HDV68" s="456"/>
      <c r="HDW68" s="456"/>
      <c r="HDX68" s="456"/>
      <c r="HDY68" s="456"/>
      <c r="HDZ68" s="456"/>
      <c r="HEA68" s="456"/>
      <c r="HEB68" s="456"/>
      <c r="HEC68" s="456"/>
      <c r="HED68" s="456"/>
      <c r="HEE68" s="456"/>
      <c r="HEF68" s="456"/>
      <c r="HEG68" s="456"/>
      <c r="HEH68" s="456"/>
      <c r="HEI68" s="456"/>
      <c r="HEJ68" s="456"/>
      <c r="HEK68" s="456"/>
      <c r="HEL68" s="456"/>
      <c r="HEM68" s="456"/>
      <c r="HEN68" s="456"/>
      <c r="HEO68" s="456"/>
      <c r="HEP68" s="456"/>
      <c r="HEQ68" s="456"/>
      <c r="HER68" s="456"/>
      <c r="HES68" s="456"/>
      <c r="HET68" s="456"/>
      <c r="HEU68" s="456"/>
      <c r="HEV68" s="456"/>
      <c r="HEW68" s="456"/>
      <c r="HEX68" s="456"/>
      <c r="HEY68" s="456"/>
      <c r="HEZ68" s="456"/>
      <c r="HFA68" s="456"/>
      <c r="HFB68" s="456"/>
      <c r="HFC68" s="456"/>
      <c r="HFD68" s="456"/>
      <c r="HFE68" s="456"/>
      <c r="HFF68" s="456"/>
      <c r="HFG68" s="456"/>
      <c r="HFH68" s="456"/>
      <c r="HFI68" s="456"/>
      <c r="HFJ68" s="456"/>
      <c r="HFK68" s="456"/>
      <c r="HFL68" s="456"/>
      <c r="HFM68" s="456"/>
      <c r="HFN68" s="456"/>
      <c r="HFO68" s="456"/>
      <c r="HFP68" s="456"/>
      <c r="HFQ68" s="456"/>
      <c r="HFR68" s="456"/>
      <c r="HFS68" s="456"/>
      <c r="HFT68" s="456"/>
      <c r="HFU68" s="456"/>
      <c r="HFV68" s="456"/>
      <c r="HFW68" s="456"/>
      <c r="HFX68" s="456"/>
      <c r="HFY68" s="456"/>
      <c r="HFZ68" s="456"/>
      <c r="HGA68" s="456"/>
      <c r="HGB68" s="456"/>
      <c r="HGC68" s="456"/>
      <c r="HGD68" s="456"/>
      <c r="HGE68" s="456"/>
      <c r="HGF68" s="456"/>
      <c r="HGG68" s="456"/>
      <c r="HGH68" s="456"/>
      <c r="HGI68" s="456"/>
      <c r="HGJ68" s="456"/>
      <c r="HGK68" s="456"/>
      <c r="HGL68" s="456"/>
      <c r="HGM68" s="456"/>
      <c r="HGN68" s="456"/>
      <c r="HGO68" s="456"/>
      <c r="HGP68" s="456"/>
      <c r="HGQ68" s="456"/>
      <c r="HGR68" s="456"/>
      <c r="HGS68" s="456"/>
      <c r="HGT68" s="456"/>
      <c r="HGU68" s="456"/>
      <c r="HGV68" s="456"/>
      <c r="HGW68" s="456"/>
      <c r="HGX68" s="456"/>
      <c r="HGY68" s="456"/>
      <c r="HGZ68" s="456"/>
      <c r="HHA68" s="456"/>
      <c r="HHB68" s="456"/>
      <c r="HHC68" s="456"/>
      <c r="HHD68" s="456"/>
      <c r="HHE68" s="456"/>
      <c r="HHF68" s="456"/>
      <c r="HHG68" s="456"/>
      <c r="HHH68" s="456"/>
      <c r="HHI68" s="456"/>
      <c r="HHJ68" s="456"/>
      <c r="HHK68" s="456"/>
      <c r="HHL68" s="456"/>
      <c r="HHM68" s="456"/>
      <c r="HHN68" s="456"/>
      <c r="HHO68" s="456"/>
      <c r="HHP68" s="456"/>
      <c r="HHQ68" s="456"/>
      <c r="HHR68" s="456"/>
      <c r="HHS68" s="456"/>
      <c r="HHT68" s="456"/>
      <c r="HHU68" s="456"/>
      <c r="HHV68" s="456"/>
      <c r="HHW68" s="456"/>
      <c r="HHX68" s="456"/>
      <c r="HHY68" s="456"/>
      <c r="HHZ68" s="456"/>
      <c r="HIA68" s="456"/>
      <c r="HIB68" s="456"/>
      <c r="HIC68" s="456"/>
      <c r="HID68" s="456"/>
      <c r="HIE68" s="456"/>
      <c r="HIF68" s="456"/>
      <c r="HIG68" s="456"/>
      <c r="HIH68" s="456"/>
      <c r="HII68" s="456"/>
      <c r="HIJ68" s="456"/>
      <c r="HIK68" s="456"/>
      <c r="HIL68" s="456"/>
      <c r="HIM68" s="456"/>
      <c r="HIN68" s="456"/>
      <c r="HIO68" s="456"/>
      <c r="HIP68" s="456"/>
      <c r="HIQ68" s="456"/>
      <c r="HIR68" s="456"/>
      <c r="HIS68" s="456"/>
      <c r="HIT68" s="456"/>
      <c r="HIU68" s="456"/>
      <c r="HIV68" s="456"/>
      <c r="HIW68" s="456"/>
      <c r="HIX68" s="456"/>
      <c r="HIY68" s="456"/>
      <c r="HIZ68" s="456"/>
      <c r="HJA68" s="456"/>
      <c r="HJB68" s="456"/>
      <c r="HJC68" s="456"/>
      <c r="HJD68" s="456"/>
      <c r="HJE68" s="456"/>
      <c r="HJF68" s="456"/>
      <c r="HJG68" s="456"/>
      <c r="HJH68" s="456"/>
      <c r="HJI68" s="456"/>
      <c r="HJJ68" s="456"/>
      <c r="HJK68" s="456"/>
      <c r="HJL68" s="456"/>
      <c r="HJM68" s="456"/>
      <c r="HJN68" s="456"/>
      <c r="HJO68" s="456"/>
      <c r="HJP68" s="456"/>
      <c r="HJQ68" s="456"/>
      <c r="HJR68" s="456"/>
      <c r="HJS68" s="456"/>
      <c r="HJT68" s="456"/>
      <c r="HJU68" s="456"/>
      <c r="HJV68" s="456"/>
      <c r="HJW68" s="456"/>
      <c r="HJX68" s="456"/>
      <c r="HJY68" s="456"/>
      <c r="HJZ68" s="456"/>
      <c r="HKA68" s="456"/>
      <c r="HKB68" s="456"/>
      <c r="HKC68" s="456"/>
      <c r="HKD68" s="456"/>
      <c r="HKE68" s="456"/>
      <c r="HKF68" s="456"/>
      <c r="HKG68" s="456"/>
      <c r="HKH68" s="456"/>
      <c r="HKI68" s="456"/>
      <c r="HKJ68" s="456"/>
      <c r="HKK68" s="456"/>
      <c r="HKL68" s="456"/>
      <c r="HKM68" s="456"/>
      <c r="HKN68" s="456"/>
      <c r="HKO68" s="456"/>
      <c r="HKP68" s="456"/>
      <c r="HKQ68" s="456"/>
      <c r="HKR68" s="456"/>
      <c r="HKS68" s="456"/>
      <c r="HKT68" s="456"/>
      <c r="HKU68" s="456"/>
      <c r="HKV68" s="456"/>
      <c r="HKW68" s="456"/>
      <c r="HKX68" s="456"/>
      <c r="HKY68" s="456"/>
      <c r="HKZ68" s="456"/>
      <c r="HLA68" s="456"/>
      <c r="HLB68" s="456"/>
      <c r="HLC68" s="456"/>
      <c r="HLD68" s="456"/>
      <c r="HLE68" s="456"/>
      <c r="HLF68" s="456"/>
      <c r="HLG68" s="456"/>
      <c r="HLH68" s="456"/>
      <c r="HLI68" s="456"/>
      <c r="HLJ68" s="456"/>
      <c r="HLK68" s="456"/>
      <c r="HLL68" s="456"/>
      <c r="HLM68" s="456"/>
      <c r="HLN68" s="456"/>
      <c r="HLO68" s="456"/>
      <c r="HLP68" s="456"/>
      <c r="HLQ68" s="456"/>
      <c r="HLR68" s="456"/>
      <c r="HLS68" s="456"/>
      <c r="HLT68" s="456"/>
      <c r="HLU68" s="456"/>
      <c r="HLV68" s="456"/>
      <c r="HLW68" s="456"/>
      <c r="HLX68" s="456"/>
      <c r="HLY68" s="456"/>
      <c r="HLZ68" s="456"/>
      <c r="HMA68" s="456"/>
      <c r="HMB68" s="456"/>
      <c r="HMC68" s="456"/>
      <c r="HMD68" s="456"/>
      <c r="HME68" s="456"/>
      <c r="HMF68" s="456"/>
      <c r="HMG68" s="456"/>
      <c r="HMH68" s="456"/>
      <c r="HMI68" s="456"/>
      <c r="HMJ68" s="456"/>
      <c r="HMK68" s="456"/>
      <c r="HML68" s="456"/>
      <c r="HMM68" s="456"/>
      <c r="HMN68" s="456"/>
      <c r="HMO68" s="456"/>
      <c r="HMP68" s="456"/>
      <c r="HMQ68" s="456"/>
      <c r="HMR68" s="456"/>
      <c r="HMS68" s="456"/>
      <c r="HMT68" s="456"/>
      <c r="HMU68" s="456"/>
      <c r="HMV68" s="456"/>
      <c r="HMW68" s="456"/>
      <c r="HMX68" s="456"/>
      <c r="HMY68" s="456"/>
      <c r="HMZ68" s="456"/>
      <c r="HNA68" s="456"/>
      <c r="HNB68" s="456"/>
      <c r="HNC68" s="456"/>
      <c r="HND68" s="456"/>
      <c r="HNE68" s="456"/>
      <c r="HNF68" s="456"/>
      <c r="HNG68" s="456"/>
      <c r="HNH68" s="456"/>
      <c r="HNI68" s="456"/>
      <c r="HNJ68" s="456"/>
      <c r="HNK68" s="456"/>
      <c r="HNL68" s="456"/>
      <c r="HNM68" s="456"/>
      <c r="HNN68" s="456"/>
      <c r="HNO68" s="456"/>
      <c r="HNP68" s="456"/>
      <c r="HNQ68" s="456"/>
      <c r="HNR68" s="456"/>
      <c r="HNS68" s="456"/>
      <c r="HNT68" s="456"/>
      <c r="HNU68" s="456"/>
      <c r="HNV68" s="456"/>
      <c r="HNW68" s="456"/>
      <c r="HNX68" s="456"/>
      <c r="HNY68" s="456"/>
      <c r="HNZ68" s="456"/>
      <c r="HOA68" s="456"/>
      <c r="HOB68" s="456"/>
      <c r="HOC68" s="456"/>
      <c r="HOD68" s="456"/>
      <c r="HOE68" s="456"/>
      <c r="HOF68" s="456"/>
      <c r="HOG68" s="456"/>
      <c r="HOH68" s="456"/>
      <c r="HOI68" s="456"/>
      <c r="HOJ68" s="456"/>
      <c r="HOK68" s="456"/>
      <c r="HOL68" s="456"/>
      <c r="HOM68" s="456"/>
      <c r="HON68" s="456"/>
      <c r="HOO68" s="456"/>
      <c r="HOP68" s="456"/>
      <c r="HOQ68" s="456"/>
      <c r="HOR68" s="456"/>
      <c r="HOS68" s="456"/>
      <c r="HOT68" s="456"/>
      <c r="HOU68" s="456"/>
      <c r="HOV68" s="456"/>
      <c r="HOW68" s="456"/>
      <c r="HOX68" s="456"/>
      <c r="HOY68" s="456"/>
      <c r="HOZ68" s="456"/>
      <c r="HPA68" s="456"/>
      <c r="HPB68" s="456"/>
      <c r="HPC68" s="456"/>
      <c r="HPD68" s="456"/>
      <c r="HPE68" s="456"/>
      <c r="HPF68" s="456"/>
      <c r="HPG68" s="456"/>
      <c r="HPH68" s="456"/>
      <c r="HPI68" s="456"/>
      <c r="HPJ68" s="456"/>
      <c r="HPK68" s="456"/>
      <c r="HPL68" s="456"/>
      <c r="HPM68" s="456"/>
      <c r="HPN68" s="456"/>
      <c r="HPO68" s="456"/>
      <c r="HPP68" s="456"/>
      <c r="HPQ68" s="456"/>
      <c r="HPR68" s="456"/>
      <c r="HPS68" s="456"/>
      <c r="HPT68" s="456"/>
      <c r="HPU68" s="456"/>
      <c r="HPV68" s="456"/>
      <c r="HPW68" s="456"/>
      <c r="HPX68" s="456"/>
      <c r="HPY68" s="456"/>
      <c r="HPZ68" s="456"/>
      <c r="HQA68" s="456"/>
      <c r="HQB68" s="456"/>
      <c r="HQC68" s="456"/>
      <c r="HQD68" s="456"/>
      <c r="HQE68" s="456"/>
      <c r="HQF68" s="456"/>
      <c r="HQG68" s="456"/>
      <c r="HQH68" s="456"/>
      <c r="HQI68" s="456"/>
      <c r="HQJ68" s="456"/>
      <c r="HQK68" s="456"/>
      <c r="HQL68" s="456"/>
      <c r="HQM68" s="456"/>
      <c r="HQN68" s="456"/>
      <c r="HQO68" s="456"/>
      <c r="HQP68" s="456"/>
      <c r="HQQ68" s="456"/>
      <c r="HQR68" s="456"/>
      <c r="HQS68" s="456"/>
      <c r="HQT68" s="456"/>
      <c r="HQU68" s="456"/>
      <c r="HQV68" s="456"/>
      <c r="HQW68" s="456"/>
      <c r="HQX68" s="456"/>
      <c r="HQY68" s="456"/>
      <c r="HQZ68" s="456"/>
      <c r="HRA68" s="456"/>
      <c r="HRB68" s="456"/>
      <c r="HRC68" s="456"/>
      <c r="HRD68" s="456"/>
      <c r="HRE68" s="456"/>
      <c r="HRF68" s="456"/>
      <c r="HRG68" s="456"/>
      <c r="HRH68" s="456"/>
      <c r="HRI68" s="456"/>
      <c r="HRJ68" s="456"/>
      <c r="HRK68" s="456"/>
      <c r="HRL68" s="456"/>
      <c r="HRM68" s="456"/>
      <c r="HRN68" s="456"/>
      <c r="HRO68" s="456"/>
      <c r="HRP68" s="456"/>
      <c r="HRQ68" s="456"/>
      <c r="HRR68" s="456"/>
      <c r="HRS68" s="456"/>
      <c r="HRT68" s="456"/>
      <c r="HRU68" s="456"/>
      <c r="HRV68" s="456"/>
      <c r="HRW68" s="456"/>
      <c r="HRX68" s="456"/>
      <c r="HRY68" s="456"/>
      <c r="HRZ68" s="456"/>
      <c r="HSA68" s="456"/>
      <c r="HSB68" s="456"/>
      <c r="HSC68" s="456"/>
      <c r="HSD68" s="456"/>
      <c r="HSE68" s="456"/>
      <c r="HSF68" s="456"/>
      <c r="HSG68" s="456"/>
      <c r="HSH68" s="456"/>
      <c r="HSI68" s="456"/>
      <c r="HSJ68" s="456"/>
      <c r="HSK68" s="456"/>
      <c r="HSL68" s="456"/>
      <c r="HSM68" s="456"/>
      <c r="HSN68" s="456"/>
      <c r="HSO68" s="456"/>
      <c r="HSP68" s="456"/>
      <c r="HSQ68" s="456"/>
      <c r="HSR68" s="456"/>
      <c r="HSS68" s="456"/>
      <c r="HST68" s="456"/>
      <c r="HSU68" s="456"/>
      <c r="HSV68" s="456"/>
      <c r="HSW68" s="456"/>
      <c r="HSX68" s="456"/>
      <c r="HSY68" s="456"/>
      <c r="HSZ68" s="456"/>
      <c r="HTA68" s="456"/>
      <c r="HTB68" s="456"/>
      <c r="HTC68" s="456"/>
      <c r="HTD68" s="456"/>
      <c r="HTE68" s="456"/>
      <c r="HTF68" s="456"/>
      <c r="HTG68" s="456"/>
      <c r="HTH68" s="456"/>
      <c r="HTI68" s="456"/>
      <c r="HTJ68" s="456"/>
      <c r="HTK68" s="456"/>
      <c r="HTL68" s="456"/>
      <c r="HTM68" s="456"/>
      <c r="HTN68" s="456"/>
      <c r="HTO68" s="456"/>
      <c r="HTP68" s="456"/>
      <c r="HTQ68" s="456"/>
      <c r="HTR68" s="456"/>
      <c r="HTS68" s="456"/>
      <c r="HTT68" s="456"/>
      <c r="HTU68" s="456"/>
      <c r="HTV68" s="456"/>
      <c r="HTW68" s="456"/>
      <c r="HTX68" s="456"/>
      <c r="HTY68" s="456"/>
      <c r="HTZ68" s="456"/>
      <c r="HUA68" s="456"/>
      <c r="HUB68" s="456"/>
      <c r="HUC68" s="456"/>
      <c r="HUD68" s="456"/>
      <c r="HUE68" s="456"/>
      <c r="HUF68" s="456"/>
      <c r="HUG68" s="456"/>
      <c r="HUH68" s="456"/>
      <c r="HUI68" s="456"/>
      <c r="HUJ68" s="456"/>
      <c r="HUK68" s="456"/>
      <c r="HUL68" s="456"/>
      <c r="HUM68" s="456"/>
      <c r="HUN68" s="456"/>
      <c r="HUO68" s="456"/>
      <c r="HUP68" s="456"/>
      <c r="HUQ68" s="456"/>
      <c r="HUR68" s="456"/>
      <c r="HUS68" s="456"/>
      <c r="HUT68" s="456"/>
      <c r="HUU68" s="456"/>
      <c r="HUV68" s="456"/>
      <c r="HUW68" s="456"/>
      <c r="HUX68" s="456"/>
      <c r="HUY68" s="456"/>
      <c r="HUZ68" s="456"/>
      <c r="HVA68" s="456"/>
      <c r="HVB68" s="456"/>
      <c r="HVC68" s="456"/>
      <c r="HVD68" s="456"/>
      <c r="HVE68" s="456"/>
      <c r="HVF68" s="456"/>
      <c r="HVG68" s="456"/>
      <c r="HVH68" s="456"/>
      <c r="HVI68" s="456"/>
      <c r="HVJ68" s="456"/>
      <c r="HVK68" s="456"/>
      <c r="HVL68" s="456"/>
      <c r="HVM68" s="456"/>
      <c r="HVN68" s="456"/>
      <c r="HVO68" s="456"/>
      <c r="HVP68" s="456"/>
      <c r="HVQ68" s="456"/>
      <c r="HVR68" s="456"/>
      <c r="HVS68" s="456"/>
      <c r="HVT68" s="456"/>
      <c r="HVU68" s="456"/>
      <c r="HVV68" s="456"/>
      <c r="HVW68" s="456"/>
      <c r="HVX68" s="456"/>
      <c r="HVY68" s="456"/>
      <c r="HVZ68" s="456"/>
      <c r="HWA68" s="456"/>
      <c r="HWB68" s="456"/>
      <c r="HWC68" s="456"/>
      <c r="HWD68" s="456"/>
      <c r="HWE68" s="456"/>
      <c r="HWF68" s="456"/>
      <c r="HWG68" s="456"/>
      <c r="HWH68" s="456"/>
      <c r="HWI68" s="456"/>
      <c r="HWJ68" s="456"/>
      <c r="HWK68" s="456"/>
      <c r="HWL68" s="456"/>
      <c r="HWM68" s="456"/>
      <c r="HWN68" s="456"/>
      <c r="HWO68" s="456"/>
      <c r="HWP68" s="456"/>
      <c r="HWQ68" s="456"/>
      <c r="HWR68" s="456"/>
      <c r="HWS68" s="456"/>
      <c r="HWT68" s="456"/>
      <c r="HWU68" s="456"/>
      <c r="HWV68" s="456"/>
      <c r="HWW68" s="456"/>
      <c r="HWX68" s="456"/>
      <c r="HWY68" s="456"/>
      <c r="HWZ68" s="456"/>
      <c r="HXA68" s="456"/>
      <c r="HXB68" s="456"/>
      <c r="HXC68" s="456"/>
      <c r="HXD68" s="456"/>
      <c r="HXE68" s="456"/>
      <c r="HXF68" s="456"/>
      <c r="HXG68" s="456"/>
      <c r="HXH68" s="456"/>
      <c r="HXI68" s="456"/>
      <c r="HXJ68" s="456"/>
      <c r="HXK68" s="456"/>
      <c r="HXL68" s="456"/>
      <c r="HXM68" s="456"/>
      <c r="HXN68" s="456"/>
      <c r="HXO68" s="456"/>
      <c r="HXP68" s="456"/>
      <c r="HXQ68" s="456"/>
      <c r="HXR68" s="456"/>
      <c r="HXS68" s="456"/>
      <c r="HXT68" s="456"/>
      <c r="HXU68" s="456"/>
      <c r="HXV68" s="456"/>
      <c r="HXW68" s="456"/>
      <c r="HXX68" s="456"/>
      <c r="HXY68" s="456"/>
      <c r="HXZ68" s="456"/>
      <c r="HYA68" s="456"/>
      <c r="HYB68" s="456"/>
      <c r="HYC68" s="456"/>
      <c r="HYD68" s="456"/>
      <c r="HYE68" s="456"/>
      <c r="HYF68" s="456"/>
      <c r="HYG68" s="456"/>
      <c r="HYH68" s="456"/>
      <c r="HYI68" s="456"/>
      <c r="HYJ68" s="456"/>
      <c r="HYK68" s="456"/>
      <c r="HYL68" s="456"/>
      <c r="HYM68" s="456"/>
      <c r="HYN68" s="456"/>
      <c r="HYO68" s="456"/>
      <c r="HYP68" s="456"/>
      <c r="HYQ68" s="456"/>
      <c r="HYR68" s="456"/>
      <c r="HYS68" s="456"/>
      <c r="HYT68" s="456"/>
      <c r="HYU68" s="456"/>
      <c r="HYV68" s="456"/>
      <c r="HYW68" s="456"/>
      <c r="HYX68" s="456"/>
      <c r="HYY68" s="456"/>
      <c r="HYZ68" s="456"/>
      <c r="HZA68" s="456"/>
      <c r="HZB68" s="456"/>
      <c r="HZC68" s="456"/>
      <c r="HZD68" s="456"/>
      <c r="HZE68" s="456"/>
      <c r="HZF68" s="456"/>
      <c r="HZG68" s="456"/>
      <c r="HZH68" s="456"/>
      <c r="HZI68" s="456"/>
      <c r="HZJ68" s="456"/>
      <c r="HZK68" s="456"/>
      <c r="HZL68" s="456"/>
      <c r="HZM68" s="456"/>
      <c r="HZN68" s="456"/>
      <c r="HZO68" s="456"/>
      <c r="HZP68" s="456"/>
      <c r="HZQ68" s="456"/>
      <c r="HZR68" s="456"/>
      <c r="HZS68" s="456"/>
      <c r="HZT68" s="456"/>
      <c r="HZU68" s="456"/>
      <c r="HZV68" s="456"/>
      <c r="HZW68" s="456"/>
      <c r="HZX68" s="456"/>
      <c r="HZY68" s="456"/>
      <c r="HZZ68" s="456"/>
      <c r="IAA68" s="456"/>
      <c r="IAB68" s="456"/>
      <c r="IAC68" s="456"/>
      <c r="IAD68" s="456"/>
      <c r="IAE68" s="456"/>
      <c r="IAF68" s="456"/>
      <c r="IAG68" s="456"/>
      <c r="IAH68" s="456"/>
      <c r="IAI68" s="456"/>
      <c r="IAJ68" s="456"/>
      <c r="IAK68" s="456"/>
      <c r="IAL68" s="456"/>
      <c r="IAM68" s="456"/>
      <c r="IAN68" s="456"/>
      <c r="IAO68" s="456"/>
      <c r="IAP68" s="456"/>
      <c r="IAQ68" s="456"/>
      <c r="IAR68" s="456"/>
      <c r="IAS68" s="456"/>
      <c r="IAT68" s="456"/>
      <c r="IAU68" s="456"/>
      <c r="IAV68" s="456"/>
      <c r="IAW68" s="456"/>
      <c r="IAX68" s="456"/>
      <c r="IAY68" s="456"/>
      <c r="IAZ68" s="456"/>
      <c r="IBA68" s="456"/>
      <c r="IBB68" s="456"/>
      <c r="IBC68" s="456"/>
      <c r="IBD68" s="456"/>
      <c r="IBE68" s="456"/>
      <c r="IBF68" s="456"/>
      <c r="IBG68" s="456"/>
      <c r="IBH68" s="456"/>
      <c r="IBI68" s="456"/>
      <c r="IBJ68" s="456"/>
      <c r="IBK68" s="456"/>
      <c r="IBL68" s="456"/>
      <c r="IBM68" s="456"/>
      <c r="IBN68" s="456"/>
      <c r="IBO68" s="456"/>
      <c r="IBP68" s="456"/>
      <c r="IBQ68" s="456"/>
      <c r="IBR68" s="456"/>
      <c r="IBS68" s="456"/>
      <c r="IBT68" s="456"/>
      <c r="IBU68" s="456"/>
      <c r="IBV68" s="456"/>
      <c r="IBW68" s="456"/>
      <c r="IBX68" s="456"/>
      <c r="IBY68" s="456"/>
      <c r="IBZ68" s="456"/>
      <c r="ICA68" s="456"/>
      <c r="ICB68" s="456"/>
      <c r="ICC68" s="456"/>
      <c r="ICD68" s="456"/>
      <c r="ICE68" s="456"/>
      <c r="ICF68" s="456"/>
      <c r="ICG68" s="456"/>
      <c r="ICH68" s="456"/>
      <c r="ICI68" s="456"/>
      <c r="ICJ68" s="456"/>
      <c r="ICK68" s="456"/>
      <c r="ICL68" s="456"/>
      <c r="ICM68" s="456"/>
      <c r="ICN68" s="456"/>
      <c r="ICO68" s="456"/>
      <c r="ICP68" s="456"/>
      <c r="ICQ68" s="456"/>
      <c r="ICR68" s="456"/>
      <c r="ICS68" s="456"/>
      <c r="ICT68" s="456"/>
      <c r="ICU68" s="456"/>
      <c r="ICV68" s="456"/>
      <c r="ICW68" s="456"/>
      <c r="ICX68" s="456"/>
      <c r="ICY68" s="456"/>
      <c r="ICZ68" s="456"/>
      <c r="IDA68" s="456"/>
      <c r="IDB68" s="456"/>
      <c r="IDC68" s="456"/>
      <c r="IDD68" s="456"/>
      <c r="IDE68" s="456"/>
      <c r="IDF68" s="456"/>
      <c r="IDG68" s="456"/>
      <c r="IDH68" s="456"/>
      <c r="IDI68" s="456"/>
      <c r="IDJ68" s="456"/>
      <c r="IDK68" s="456"/>
      <c r="IDL68" s="456"/>
      <c r="IDM68" s="456"/>
      <c r="IDN68" s="456"/>
      <c r="IDO68" s="456"/>
      <c r="IDP68" s="456"/>
      <c r="IDQ68" s="456"/>
      <c r="IDR68" s="456"/>
      <c r="IDS68" s="456"/>
      <c r="IDT68" s="456"/>
      <c r="IDU68" s="456"/>
      <c r="IDV68" s="456"/>
      <c r="IDW68" s="456"/>
      <c r="IDX68" s="456"/>
      <c r="IDY68" s="456"/>
      <c r="IDZ68" s="456"/>
      <c r="IEA68" s="456"/>
      <c r="IEB68" s="456"/>
      <c r="IEC68" s="456"/>
      <c r="IED68" s="456"/>
      <c r="IEE68" s="456"/>
      <c r="IEF68" s="456"/>
      <c r="IEG68" s="456"/>
      <c r="IEH68" s="456"/>
      <c r="IEI68" s="456"/>
      <c r="IEJ68" s="456"/>
      <c r="IEK68" s="456"/>
      <c r="IEL68" s="456"/>
      <c r="IEM68" s="456"/>
      <c r="IEN68" s="456"/>
      <c r="IEO68" s="456"/>
      <c r="IEP68" s="456"/>
      <c r="IEQ68" s="456"/>
      <c r="IER68" s="456"/>
      <c r="IES68" s="456"/>
      <c r="IET68" s="456"/>
      <c r="IEU68" s="456"/>
      <c r="IEV68" s="456"/>
      <c r="IEW68" s="456"/>
      <c r="IEX68" s="456"/>
      <c r="IEY68" s="456"/>
      <c r="IEZ68" s="456"/>
      <c r="IFA68" s="456"/>
      <c r="IFB68" s="456"/>
      <c r="IFC68" s="456"/>
      <c r="IFD68" s="456"/>
      <c r="IFE68" s="456"/>
      <c r="IFF68" s="456"/>
      <c r="IFG68" s="456"/>
      <c r="IFH68" s="456"/>
      <c r="IFI68" s="456"/>
      <c r="IFJ68" s="456"/>
      <c r="IFK68" s="456"/>
      <c r="IFL68" s="456"/>
      <c r="IFM68" s="456"/>
      <c r="IFN68" s="456"/>
      <c r="IFO68" s="456"/>
      <c r="IFP68" s="456"/>
      <c r="IFQ68" s="456"/>
      <c r="IFR68" s="456"/>
      <c r="IFS68" s="456"/>
      <c r="IFT68" s="456"/>
      <c r="IFU68" s="456"/>
      <c r="IFV68" s="456"/>
      <c r="IFW68" s="456"/>
      <c r="IFX68" s="456"/>
      <c r="IFY68" s="456"/>
      <c r="IFZ68" s="456"/>
      <c r="IGA68" s="456"/>
      <c r="IGB68" s="456"/>
      <c r="IGC68" s="456"/>
      <c r="IGD68" s="456"/>
      <c r="IGE68" s="456"/>
      <c r="IGF68" s="456"/>
      <c r="IGG68" s="456"/>
      <c r="IGH68" s="456"/>
      <c r="IGI68" s="456"/>
      <c r="IGJ68" s="456"/>
      <c r="IGK68" s="456"/>
      <c r="IGL68" s="456"/>
      <c r="IGM68" s="456"/>
      <c r="IGN68" s="456"/>
      <c r="IGO68" s="456"/>
      <c r="IGP68" s="456"/>
      <c r="IGQ68" s="456"/>
      <c r="IGR68" s="456"/>
      <c r="IGS68" s="456"/>
      <c r="IGT68" s="456"/>
      <c r="IGU68" s="456"/>
      <c r="IGV68" s="456"/>
      <c r="IGW68" s="456"/>
      <c r="IGX68" s="456"/>
      <c r="IGY68" s="456"/>
      <c r="IGZ68" s="456"/>
      <c r="IHA68" s="456"/>
      <c r="IHB68" s="456"/>
      <c r="IHC68" s="456"/>
      <c r="IHD68" s="456"/>
      <c r="IHE68" s="456"/>
      <c r="IHF68" s="456"/>
      <c r="IHG68" s="456"/>
      <c r="IHH68" s="456"/>
      <c r="IHI68" s="456"/>
      <c r="IHJ68" s="456"/>
      <c r="IHK68" s="456"/>
      <c r="IHL68" s="456"/>
      <c r="IHM68" s="456"/>
      <c r="IHN68" s="456"/>
      <c r="IHO68" s="456"/>
      <c r="IHP68" s="456"/>
      <c r="IHQ68" s="456"/>
      <c r="IHR68" s="456"/>
      <c r="IHS68" s="456"/>
      <c r="IHT68" s="456"/>
      <c r="IHU68" s="456"/>
      <c r="IHV68" s="456"/>
      <c r="IHW68" s="456"/>
      <c r="IHX68" s="456"/>
      <c r="IHY68" s="456"/>
      <c r="IHZ68" s="456"/>
      <c r="IIA68" s="456"/>
      <c r="IIB68" s="456"/>
      <c r="IIC68" s="456"/>
      <c r="IID68" s="456"/>
      <c r="IIE68" s="456"/>
      <c r="IIF68" s="456"/>
      <c r="IIG68" s="456"/>
      <c r="IIH68" s="456"/>
      <c r="III68" s="456"/>
      <c r="IIJ68" s="456"/>
      <c r="IIK68" s="456"/>
      <c r="IIL68" s="456"/>
      <c r="IIM68" s="456"/>
      <c r="IIN68" s="456"/>
      <c r="IIO68" s="456"/>
      <c r="IIP68" s="456"/>
      <c r="IIQ68" s="456"/>
      <c r="IIR68" s="456"/>
      <c r="IIS68" s="456"/>
      <c r="IIT68" s="456"/>
      <c r="IIU68" s="456"/>
      <c r="IIV68" s="456"/>
      <c r="IIW68" s="456"/>
      <c r="IIX68" s="456"/>
      <c r="IIY68" s="456"/>
      <c r="IIZ68" s="456"/>
      <c r="IJA68" s="456"/>
      <c r="IJB68" s="456"/>
      <c r="IJC68" s="456"/>
      <c r="IJD68" s="456"/>
      <c r="IJE68" s="456"/>
      <c r="IJF68" s="456"/>
      <c r="IJG68" s="456"/>
      <c r="IJH68" s="456"/>
      <c r="IJI68" s="456"/>
      <c r="IJJ68" s="456"/>
      <c r="IJK68" s="456"/>
      <c r="IJL68" s="456"/>
      <c r="IJM68" s="456"/>
      <c r="IJN68" s="456"/>
      <c r="IJO68" s="456"/>
      <c r="IJP68" s="456"/>
      <c r="IJQ68" s="456"/>
      <c r="IJR68" s="456"/>
      <c r="IJS68" s="456"/>
      <c r="IJT68" s="456"/>
      <c r="IJU68" s="456"/>
      <c r="IJV68" s="456"/>
      <c r="IJW68" s="456"/>
      <c r="IJX68" s="456"/>
      <c r="IJY68" s="456"/>
      <c r="IJZ68" s="456"/>
      <c r="IKA68" s="456"/>
      <c r="IKB68" s="456"/>
      <c r="IKC68" s="456"/>
      <c r="IKD68" s="456"/>
      <c r="IKE68" s="456"/>
      <c r="IKF68" s="456"/>
      <c r="IKG68" s="456"/>
      <c r="IKH68" s="456"/>
      <c r="IKI68" s="456"/>
      <c r="IKJ68" s="456"/>
      <c r="IKK68" s="456"/>
      <c r="IKL68" s="456"/>
      <c r="IKM68" s="456"/>
      <c r="IKN68" s="456"/>
      <c r="IKO68" s="456"/>
      <c r="IKP68" s="456"/>
      <c r="IKQ68" s="456"/>
      <c r="IKR68" s="456"/>
      <c r="IKS68" s="456"/>
      <c r="IKT68" s="456"/>
      <c r="IKU68" s="456"/>
      <c r="IKV68" s="456"/>
      <c r="IKW68" s="456"/>
      <c r="IKX68" s="456"/>
      <c r="IKY68" s="456"/>
      <c r="IKZ68" s="456"/>
      <c r="ILA68" s="456"/>
      <c r="ILB68" s="456"/>
      <c r="ILC68" s="456"/>
      <c r="ILD68" s="456"/>
      <c r="ILE68" s="456"/>
      <c r="ILF68" s="456"/>
      <c r="ILG68" s="456"/>
      <c r="ILH68" s="456"/>
      <c r="ILI68" s="456"/>
      <c r="ILJ68" s="456"/>
      <c r="ILK68" s="456"/>
      <c r="ILL68" s="456"/>
      <c r="ILM68" s="456"/>
      <c r="ILN68" s="456"/>
      <c r="ILO68" s="456"/>
      <c r="ILP68" s="456"/>
      <c r="ILQ68" s="456"/>
      <c r="ILR68" s="456"/>
      <c r="ILS68" s="456"/>
      <c r="ILT68" s="456"/>
      <c r="ILU68" s="456"/>
      <c r="ILV68" s="456"/>
      <c r="ILW68" s="456"/>
      <c r="ILX68" s="456"/>
      <c r="ILY68" s="456"/>
      <c r="ILZ68" s="456"/>
      <c r="IMA68" s="456"/>
      <c r="IMB68" s="456"/>
      <c r="IMC68" s="456"/>
      <c r="IMD68" s="456"/>
      <c r="IME68" s="456"/>
      <c r="IMF68" s="456"/>
      <c r="IMG68" s="456"/>
      <c r="IMH68" s="456"/>
      <c r="IMI68" s="456"/>
      <c r="IMJ68" s="456"/>
      <c r="IMK68" s="456"/>
      <c r="IML68" s="456"/>
      <c r="IMM68" s="456"/>
      <c r="IMN68" s="456"/>
      <c r="IMO68" s="456"/>
      <c r="IMP68" s="456"/>
      <c r="IMQ68" s="456"/>
      <c r="IMR68" s="456"/>
      <c r="IMS68" s="456"/>
      <c r="IMT68" s="456"/>
      <c r="IMU68" s="456"/>
      <c r="IMV68" s="456"/>
      <c r="IMW68" s="456"/>
      <c r="IMX68" s="456"/>
      <c r="IMY68" s="456"/>
      <c r="IMZ68" s="456"/>
      <c r="INA68" s="456"/>
      <c r="INB68" s="456"/>
      <c r="INC68" s="456"/>
      <c r="IND68" s="456"/>
      <c r="INE68" s="456"/>
      <c r="INF68" s="456"/>
      <c r="ING68" s="456"/>
      <c r="INH68" s="456"/>
      <c r="INI68" s="456"/>
      <c r="INJ68" s="456"/>
      <c r="INK68" s="456"/>
      <c r="INL68" s="456"/>
      <c r="INM68" s="456"/>
      <c r="INN68" s="456"/>
      <c r="INO68" s="456"/>
      <c r="INP68" s="456"/>
      <c r="INQ68" s="456"/>
      <c r="INR68" s="456"/>
      <c r="INS68" s="456"/>
      <c r="INT68" s="456"/>
      <c r="INU68" s="456"/>
      <c r="INV68" s="456"/>
      <c r="INW68" s="456"/>
      <c r="INX68" s="456"/>
      <c r="INY68" s="456"/>
      <c r="INZ68" s="456"/>
      <c r="IOA68" s="456"/>
      <c r="IOB68" s="456"/>
      <c r="IOC68" s="456"/>
      <c r="IOD68" s="456"/>
      <c r="IOE68" s="456"/>
      <c r="IOF68" s="456"/>
      <c r="IOG68" s="456"/>
      <c r="IOH68" s="456"/>
      <c r="IOI68" s="456"/>
      <c r="IOJ68" s="456"/>
      <c r="IOK68" s="456"/>
      <c r="IOL68" s="456"/>
      <c r="IOM68" s="456"/>
      <c r="ION68" s="456"/>
      <c r="IOO68" s="456"/>
      <c r="IOP68" s="456"/>
      <c r="IOQ68" s="456"/>
      <c r="IOR68" s="456"/>
      <c r="IOS68" s="456"/>
      <c r="IOT68" s="456"/>
      <c r="IOU68" s="456"/>
      <c r="IOV68" s="456"/>
      <c r="IOW68" s="456"/>
      <c r="IOX68" s="456"/>
      <c r="IOY68" s="456"/>
      <c r="IOZ68" s="456"/>
      <c r="IPA68" s="456"/>
      <c r="IPB68" s="456"/>
      <c r="IPC68" s="456"/>
      <c r="IPD68" s="456"/>
      <c r="IPE68" s="456"/>
      <c r="IPF68" s="456"/>
      <c r="IPG68" s="456"/>
      <c r="IPH68" s="456"/>
      <c r="IPI68" s="456"/>
      <c r="IPJ68" s="456"/>
      <c r="IPK68" s="456"/>
      <c r="IPL68" s="456"/>
      <c r="IPM68" s="456"/>
      <c r="IPN68" s="456"/>
      <c r="IPO68" s="456"/>
      <c r="IPP68" s="456"/>
      <c r="IPQ68" s="456"/>
      <c r="IPR68" s="456"/>
      <c r="IPS68" s="456"/>
      <c r="IPT68" s="456"/>
      <c r="IPU68" s="456"/>
      <c r="IPV68" s="456"/>
      <c r="IPW68" s="456"/>
      <c r="IPX68" s="456"/>
      <c r="IPY68" s="456"/>
      <c r="IPZ68" s="456"/>
      <c r="IQA68" s="456"/>
      <c r="IQB68" s="456"/>
      <c r="IQC68" s="456"/>
      <c r="IQD68" s="456"/>
      <c r="IQE68" s="456"/>
      <c r="IQF68" s="456"/>
      <c r="IQG68" s="456"/>
      <c r="IQH68" s="456"/>
      <c r="IQI68" s="456"/>
      <c r="IQJ68" s="456"/>
      <c r="IQK68" s="456"/>
      <c r="IQL68" s="456"/>
      <c r="IQM68" s="456"/>
      <c r="IQN68" s="456"/>
      <c r="IQO68" s="456"/>
      <c r="IQP68" s="456"/>
      <c r="IQQ68" s="456"/>
      <c r="IQR68" s="456"/>
      <c r="IQS68" s="456"/>
      <c r="IQT68" s="456"/>
      <c r="IQU68" s="456"/>
      <c r="IQV68" s="456"/>
      <c r="IQW68" s="456"/>
      <c r="IQX68" s="456"/>
      <c r="IQY68" s="456"/>
      <c r="IQZ68" s="456"/>
      <c r="IRA68" s="456"/>
      <c r="IRB68" s="456"/>
      <c r="IRC68" s="456"/>
      <c r="IRD68" s="456"/>
      <c r="IRE68" s="456"/>
      <c r="IRF68" s="456"/>
      <c r="IRG68" s="456"/>
      <c r="IRH68" s="456"/>
      <c r="IRI68" s="456"/>
      <c r="IRJ68" s="456"/>
      <c r="IRK68" s="456"/>
      <c r="IRL68" s="456"/>
      <c r="IRM68" s="456"/>
      <c r="IRN68" s="456"/>
      <c r="IRO68" s="456"/>
      <c r="IRP68" s="456"/>
      <c r="IRQ68" s="456"/>
      <c r="IRR68" s="456"/>
      <c r="IRS68" s="456"/>
      <c r="IRT68" s="456"/>
      <c r="IRU68" s="456"/>
      <c r="IRV68" s="456"/>
      <c r="IRW68" s="456"/>
      <c r="IRX68" s="456"/>
      <c r="IRY68" s="456"/>
      <c r="IRZ68" s="456"/>
      <c r="ISA68" s="456"/>
      <c r="ISB68" s="456"/>
      <c r="ISC68" s="456"/>
      <c r="ISD68" s="456"/>
      <c r="ISE68" s="456"/>
      <c r="ISF68" s="456"/>
      <c r="ISG68" s="456"/>
      <c r="ISH68" s="456"/>
      <c r="ISI68" s="456"/>
      <c r="ISJ68" s="456"/>
      <c r="ISK68" s="456"/>
      <c r="ISL68" s="456"/>
      <c r="ISM68" s="456"/>
      <c r="ISN68" s="456"/>
      <c r="ISO68" s="456"/>
      <c r="ISP68" s="456"/>
      <c r="ISQ68" s="456"/>
      <c r="ISR68" s="456"/>
      <c r="ISS68" s="456"/>
      <c r="IST68" s="456"/>
      <c r="ISU68" s="456"/>
      <c r="ISV68" s="456"/>
      <c r="ISW68" s="456"/>
      <c r="ISX68" s="456"/>
      <c r="ISY68" s="456"/>
      <c r="ISZ68" s="456"/>
      <c r="ITA68" s="456"/>
      <c r="ITB68" s="456"/>
      <c r="ITC68" s="456"/>
      <c r="ITD68" s="456"/>
      <c r="ITE68" s="456"/>
      <c r="ITF68" s="456"/>
      <c r="ITG68" s="456"/>
      <c r="ITH68" s="456"/>
      <c r="ITI68" s="456"/>
      <c r="ITJ68" s="456"/>
      <c r="ITK68" s="456"/>
      <c r="ITL68" s="456"/>
      <c r="ITM68" s="456"/>
      <c r="ITN68" s="456"/>
      <c r="ITO68" s="456"/>
      <c r="ITP68" s="456"/>
      <c r="ITQ68" s="456"/>
      <c r="ITR68" s="456"/>
      <c r="ITS68" s="456"/>
      <c r="ITT68" s="456"/>
      <c r="ITU68" s="456"/>
      <c r="ITV68" s="456"/>
      <c r="ITW68" s="456"/>
      <c r="ITX68" s="456"/>
      <c r="ITY68" s="456"/>
      <c r="ITZ68" s="456"/>
      <c r="IUA68" s="456"/>
      <c r="IUB68" s="456"/>
      <c r="IUC68" s="456"/>
      <c r="IUD68" s="456"/>
      <c r="IUE68" s="456"/>
      <c r="IUF68" s="456"/>
      <c r="IUG68" s="456"/>
      <c r="IUH68" s="456"/>
      <c r="IUI68" s="456"/>
      <c r="IUJ68" s="456"/>
      <c r="IUK68" s="456"/>
      <c r="IUL68" s="456"/>
      <c r="IUM68" s="456"/>
      <c r="IUN68" s="456"/>
      <c r="IUO68" s="456"/>
      <c r="IUP68" s="456"/>
      <c r="IUQ68" s="456"/>
      <c r="IUR68" s="456"/>
      <c r="IUS68" s="456"/>
      <c r="IUT68" s="456"/>
      <c r="IUU68" s="456"/>
      <c r="IUV68" s="456"/>
      <c r="IUW68" s="456"/>
      <c r="IUX68" s="456"/>
      <c r="IUY68" s="456"/>
      <c r="IUZ68" s="456"/>
      <c r="IVA68" s="456"/>
      <c r="IVB68" s="456"/>
      <c r="IVC68" s="456"/>
      <c r="IVD68" s="456"/>
      <c r="IVE68" s="456"/>
      <c r="IVF68" s="456"/>
      <c r="IVG68" s="456"/>
      <c r="IVH68" s="456"/>
      <c r="IVI68" s="456"/>
      <c r="IVJ68" s="456"/>
      <c r="IVK68" s="456"/>
      <c r="IVL68" s="456"/>
      <c r="IVM68" s="456"/>
      <c r="IVN68" s="456"/>
      <c r="IVO68" s="456"/>
      <c r="IVP68" s="456"/>
      <c r="IVQ68" s="456"/>
      <c r="IVR68" s="456"/>
      <c r="IVS68" s="456"/>
      <c r="IVT68" s="456"/>
      <c r="IVU68" s="456"/>
      <c r="IVV68" s="456"/>
      <c r="IVW68" s="456"/>
      <c r="IVX68" s="456"/>
      <c r="IVY68" s="456"/>
      <c r="IVZ68" s="456"/>
      <c r="IWA68" s="456"/>
      <c r="IWB68" s="456"/>
      <c r="IWC68" s="456"/>
      <c r="IWD68" s="456"/>
      <c r="IWE68" s="456"/>
      <c r="IWF68" s="456"/>
      <c r="IWG68" s="456"/>
      <c r="IWH68" s="456"/>
      <c r="IWI68" s="456"/>
      <c r="IWJ68" s="456"/>
      <c r="IWK68" s="456"/>
      <c r="IWL68" s="456"/>
      <c r="IWM68" s="456"/>
      <c r="IWN68" s="456"/>
      <c r="IWO68" s="456"/>
      <c r="IWP68" s="456"/>
      <c r="IWQ68" s="456"/>
      <c r="IWR68" s="456"/>
      <c r="IWS68" s="456"/>
      <c r="IWT68" s="456"/>
      <c r="IWU68" s="456"/>
      <c r="IWV68" s="456"/>
      <c r="IWW68" s="456"/>
      <c r="IWX68" s="456"/>
      <c r="IWY68" s="456"/>
      <c r="IWZ68" s="456"/>
      <c r="IXA68" s="456"/>
      <c r="IXB68" s="456"/>
      <c r="IXC68" s="456"/>
      <c r="IXD68" s="456"/>
      <c r="IXE68" s="456"/>
      <c r="IXF68" s="456"/>
      <c r="IXG68" s="456"/>
      <c r="IXH68" s="456"/>
      <c r="IXI68" s="456"/>
      <c r="IXJ68" s="456"/>
      <c r="IXK68" s="456"/>
      <c r="IXL68" s="456"/>
      <c r="IXM68" s="456"/>
      <c r="IXN68" s="456"/>
      <c r="IXO68" s="456"/>
      <c r="IXP68" s="456"/>
      <c r="IXQ68" s="456"/>
      <c r="IXR68" s="456"/>
      <c r="IXS68" s="456"/>
      <c r="IXT68" s="456"/>
      <c r="IXU68" s="456"/>
      <c r="IXV68" s="456"/>
      <c r="IXW68" s="456"/>
      <c r="IXX68" s="456"/>
      <c r="IXY68" s="456"/>
      <c r="IXZ68" s="456"/>
      <c r="IYA68" s="456"/>
      <c r="IYB68" s="456"/>
      <c r="IYC68" s="456"/>
      <c r="IYD68" s="456"/>
      <c r="IYE68" s="456"/>
      <c r="IYF68" s="456"/>
      <c r="IYG68" s="456"/>
      <c r="IYH68" s="456"/>
      <c r="IYI68" s="456"/>
      <c r="IYJ68" s="456"/>
      <c r="IYK68" s="456"/>
      <c r="IYL68" s="456"/>
      <c r="IYM68" s="456"/>
      <c r="IYN68" s="456"/>
      <c r="IYO68" s="456"/>
      <c r="IYP68" s="456"/>
      <c r="IYQ68" s="456"/>
      <c r="IYR68" s="456"/>
      <c r="IYS68" s="456"/>
      <c r="IYT68" s="456"/>
      <c r="IYU68" s="456"/>
      <c r="IYV68" s="456"/>
      <c r="IYW68" s="456"/>
      <c r="IYX68" s="456"/>
      <c r="IYY68" s="456"/>
      <c r="IYZ68" s="456"/>
      <c r="IZA68" s="456"/>
      <c r="IZB68" s="456"/>
      <c r="IZC68" s="456"/>
      <c r="IZD68" s="456"/>
      <c r="IZE68" s="456"/>
      <c r="IZF68" s="456"/>
      <c r="IZG68" s="456"/>
      <c r="IZH68" s="456"/>
      <c r="IZI68" s="456"/>
      <c r="IZJ68" s="456"/>
      <c r="IZK68" s="456"/>
      <c r="IZL68" s="456"/>
      <c r="IZM68" s="456"/>
      <c r="IZN68" s="456"/>
      <c r="IZO68" s="456"/>
      <c r="IZP68" s="456"/>
      <c r="IZQ68" s="456"/>
      <c r="IZR68" s="456"/>
      <c r="IZS68" s="456"/>
      <c r="IZT68" s="456"/>
      <c r="IZU68" s="456"/>
      <c r="IZV68" s="456"/>
      <c r="IZW68" s="456"/>
      <c r="IZX68" s="456"/>
      <c r="IZY68" s="456"/>
      <c r="IZZ68" s="456"/>
      <c r="JAA68" s="456"/>
      <c r="JAB68" s="456"/>
      <c r="JAC68" s="456"/>
      <c r="JAD68" s="456"/>
      <c r="JAE68" s="456"/>
      <c r="JAF68" s="456"/>
      <c r="JAG68" s="456"/>
      <c r="JAH68" s="456"/>
      <c r="JAI68" s="456"/>
      <c r="JAJ68" s="456"/>
      <c r="JAK68" s="456"/>
      <c r="JAL68" s="456"/>
      <c r="JAM68" s="456"/>
      <c r="JAN68" s="456"/>
      <c r="JAO68" s="456"/>
      <c r="JAP68" s="456"/>
      <c r="JAQ68" s="456"/>
      <c r="JAR68" s="456"/>
      <c r="JAS68" s="456"/>
      <c r="JAT68" s="456"/>
      <c r="JAU68" s="456"/>
      <c r="JAV68" s="456"/>
      <c r="JAW68" s="456"/>
      <c r="JAX68" s="456"/>
      <c r="JAY68" s="456"/>
      <c r="JAZ68" s="456"/>
      <c r="JBA68" s="456"/>
      <c r="JBB68" s="456"/>
      <c r="JBC68" s="456"/>
      <c r="JBD68" s="456"/>
      <c r="JBE68" s="456"/>
      <c r="JBF68" s="456"/>
      <c r="JBG68" s="456"/>
      <c r="JBH68" s="456"/>
      <c r="JBI68" s="456"/>
      <c r="JBJ68" s="456"/>
      <c r="JBK68" s="456"/>
      <c r="JBL68" s="456"/>
      <c r="JBM68" s="456"/>
      <c r="JBN68" s="456"/>
      <c r="JBO68" s="456"/>
      <c r="JBP68" s="456"/>
      <c r="JBQ68" s="456"/>
      <c r="JBR68" s="456"/>
      <c r="JBS68" s="456"/>
      <c r="JBT68" s="456"/>
      <c r="JBU68" s="456"/>
      <c r="JBV68" s="456"/>
      <c r="JBW68" s="456"/>
      <c r="JBX68" s="456"/>
      <c r="JBY68" s="456"/>
      <c r="JBZ68" s="456"/>
      <c r="JCA68" s="456"/>
      <c r="JCB68" s="456"/>
      <c r="JCC68" s="456"/>
      <c r="JCD68" s="456"/>
      <c r="JCE68" s="456"/>
      <c r="JCF68" s="456"/>
      <c r="JCG68" s="456"/>
      <c r="JCH68" s="456"/>
      <c r="JCI68" s="456"/>
      <c r="JCJ68" s="456"/>
      <c r="JCK68" s="456"/>
      <c r="JCL68" s="456"/>
      <c r="JCM68" s="456"/>
      <c r="JCN68" s="456"/>
      <c r="JCO68" s="456"/>
      <c r="JCP68" s="456"/>
      <c r="JCQ68" s="456"/>
      <c r="JCR68" s="456"/>
      <c r="JCS68" s="456"/>
      <c r="JCT68" s="456"/>
      <c r="JCU68" s="456"/>
      <c r="JCV68" s="456"/>
      <c r="JCW68" s="456"/>
      <c r="JCX68" s="456"/>
      <c r="JCY68" s="456"/>
      <c r="JCZ68" s="456"/>
      <c r="JDA68" s="456"/>
      <c r="JDB68" s="456"/>
      <c r="JDC68" s="456"/>
      <c r="JDD68" s="456"/>
      <c r="JDE68" s="456"/>
      <c r="JDF68" s="456"/>
      <c r="JDG68" s="456"/>
      <c r="JDH68" s="456"/>
      <c r="JDI68" s="456"/>
      <c r="JDJ68" s="456"/>
      <c r="JDK68" s="456"/>
      <c r="JDL68" s="456"/>
      <c r="JDM68" s="456"/>
      <c r="JDN68" s="456"/>
      <c r="JDO68" s="456"/>
      <c r="JDP68" s="456"/>
      <c r="JDQ68" s="456"/>
      <c r="JDR68" s="456"/>
      <c r="JDS68" s="456"/>
      <c r="JDT68" s="456"/>
      <c r="JDU68" s="456"/>
      <c r="JDV68" s="456"/>
      <c r="JDW68" s="456"/>
      <c r="JDX68" s="456"/>
      <c r="JDY68" s="456"/>
      <c r="JDZ68" s="456"/>
      <c r="JEA68" s="456"/>
      <c r="JEB68" s="456"/>
      <c r="JEC68" s="456"/>
      <c r="JED68" s="456"/>
      <c r="JEE68" s="456"/>
      <c r="JEF68" s="456"/>
      <c r="JEG68" s="456"/>
      <c r="JEH68" s="456"/>
      <c r="JEI68" s="456"/>
      <c r="JEJ68" s="456"/>
      <c r="JEK68" s="456"/>
      <c r="JEL68" s="456"/>
      <c r="JEM68" s="456"/>
      <c r="JEN68" s="456"/>
      <c r="JEO68" s="456"/>
      <c r="JEP68" s="456"/>
      <c r="JEQ68" s="456"/>
      <c r="JER68" s="456"/>
      <c r="JES68" s="456"/>
      <c r="JET68" s="456"/>
      <c r="JEU68" s="456"/>
      <c r="JEV68" s="456"/>
      <c r="JEW68" s="456"/>
      <c r="JEX68" s="456"/>
      <c r="JEY68" s="456"/>
      <c r="JEZ68" s="456"/>
      <c r="JFA68" s="456"/>
      <c r="JFB68" s="456"/>
      <c r="JFC68" s="456"/>
      <c r="JFD68" s="456"/>
      <c r="JFE68" s="456"/>
      <c r="JFF68" s="456"/>
      <c r="JFG68" s="456"/>
      <c r="JFH68" s="456"/>
      <c r="JFI68" s="456"/>
      <c r="JFJ68" s="456"/>
      <c r="JFK68" s="456"/>
      <c r="JFL68" s="456"/>
      <c r="JFM68" s="456"/>
      <c r="JFN68" s="456"/>
      <c r="JFO68" s="456"/>
      <c r="JFP68" s="456"/>
      <c r="JFQ68" s="456"/>
      <c r="JFR68" s="456"/>
      <c r="JFS68" s="456"/>
      <c r="JFT68" s="456"/>
      <c r="JFU68" s="456"/>
      <c r="JFV68" s="456"/>
      <c r="JFW68" s="456"/>
      <c r="JFX68" s="456"/>
      <c r="JFY68" s="456"/>
      <c r="JFZ68" s="456"/>
      <c r="JGA68" s="456"/>
      <c r="JGB68" s="456"/>
      <c r="JGC68" s="456"/>
      <c r="JGD68" s="456"/>
      <c r="JGE68" s="456"/>
      <c r="JGF68" s="456"/>
      <c r="JGG68" s="456"/>
      <c r="JGH68" s="456"/>
      <c r="JGI68" s="456"/>
      <c r="JGJ68" s="456"/>
      <c r="JGK68" s="456"/>
      <c r="JGL68" s="456"/>
      <c r="JGM68" s="456"/>
      <c r="JGN68" s="456"/>
      <c r="JGO68" s="456"/>
      <c r="JGP68" s="456"/>
      <c r="JGQ68" s="456"/>
      <c r="JGR68" s="456"/>
      <c r="JGS68" s="456"/>
      <c r="JGT68" s="456"/>
      <c r="JGU68" s="456"/>
      <c r="JGV68" s="456"/>
      <c r="JGW68" s="456"/>
      <c r="JGX68" s="456"/>
      <c r="JGY68" s="456"/>
      <c r="JGZ68" s="456"/>
      <c r="JHA68" s="456"/>
      <c r="JHB68" s="456"/>
      <c r="JHC68" s="456"/>
      <c r="JHD68" s="456"/>
      <c r="JHE68" s="456"/>
      <c r="JHF68" s="456"/>
      <c r="JHG68" s="456"/>
      <c r="JHH68" s="456"/>
      <c r="JHI68" s="456"/>
      <c r="JHJ68" s="456"/>
      <c r="JHK68" s="456"/>
      <c r="JHL68" s="456"/>
      <c r="JHM68" s="456"/>
      <c r="JHN68" s="456"/>
      <c r="JHO68" s="456"/>
      <c r="JHP68" s="456"/>
      <c r="JHQ68" s="456"/>
      <c r="JHR68" s="456"/>
      <c r="JHS68" s="456"/>
      <c r="JHT68" s="456"/>
      <c r="JHU68" s="456"/>
      <c r="JHV68" s="456"/>
      <c r="JHW68" s="456"/>
      <c r="JHX68" s="456"/>
      <c r="JHY68" s="456"/>
      <c r="JHZ68" s="456"/>
      <c r="JIA68" s="456"/>
      <c r="JIB68" s="456"/>
      <c r="JIC68" s="456"/>
      <c r="JID68" s="456"/>
      <c r="JIE68" s="456"/>
      <c r="JIF68" s="456"/>
      <c r="JIG68" s="456"/>
      <c r="JIH68" s="456"/>
      <c r="JII68" s="456"/>
      <c r="JIJ68" s="456"/>
      <c r="JIK68" s="456"/>
      <c r="JIL68" s="456"/>
      <c r="JIM68" s="456"/>
      <c r="JIN68" s="456"/>
      <c r="JIO68" s="456"/>
      <c r="JIP68" s="456"/>
      <c r="JIQ68" s="456"/>
      <c r="JIR68" s="456"/>
      <c r="JIS68" s="456"/>
      <c r="JIT68" s="456"/>
      <c r="JIU68" s="456"/>
      <c r="JIV68" s="456"/>
      <c r="JIW68" s="456"/>
      <c r="JIX68" s="456"/>
      <c r="JIY68" s="456"/>
      <c r="JIZ68" s="456"/>
      <c r="JJA68" s="456"/>
      <c r="JJB68" s="456"/>
      <c r="JJC68" s="456"/>
      <c r="JJD68" s="456"/>
      <c r="JJE68" s="456"/>
      <c r="JJF68" s="456"/>
      <c r="JJG68" s="456"/>
      <c r="JJH68" s="456"/>
      <c r="JJI68" s="456"/>
      <c r="JJJ68" s="456"/>
      <c r="JJK68" s="456"/>
      <c r="JJL68" s="456"/>
      <c r="JJM68" s="456"/>
      <c r="JJN68" s="456"/>
      <c r="JJO68" s="456"/>
      <c r="JJP68" s="456"/>
      <c r="JJQ68" s="456"/>
      <c r="JJR68" s="456"/>
      <c r="JJS68" s="456"/>
      <c r="JJT68" s="456"/>
      <c r="JJU68" s="456"/>
      <c r="JJV68" s="456"/>
      <c r="JJW68" s="456"/>
      <c r="JJX68" s="456"/>
      <c r="JJY68" s="456"/>
      <c r="JJZ68" s="456"/>
      <c r="JKA68" s="456"/>
      <c r="JKB68" s="456"/>
      <c r="JKC68" s="456"/>
      <c r="JKD68" s="456"/>
      <c r="JKE68" s="456"/>
      <c r="JKF68" s="456"/>
      <c r="JKG68" s="456"/>
      <c r="JKH68" s="456"/>
      <c r="JKI68" s="456"/>
      <c r="JKJ68" s="456"/>
      <c r="JKK68" s="456"/>
      <c r="JKL68" s="456"/>
      <c r="JKM68" s="456"/>
      <c r="JKN68" s="456"/>
      <c r="JKO68" s="456"/>
      <c r="JKP68" s="456"/>
      <c r="JKQ68" s="456"/>
      <c r="JKR68" s="456"/>
      <c r="JKS68" s="456"/>
      <c r="JKT68" s="456"/>
      <c r="JKU68" s="456"/>
      <c r="JKV68" s="456"/>
      <c r="JKW68" s="456"/>
      <c r="JKX68" s="456"/>
      <c r="JKY68" s="456"/>
      <c r="JKZ68" s="456"/>
      <c r="JLA68" s="456"/>
      <c r="JLB68" s="456"/>
      <c r="JLC68" s="456"/>
      <c r="JLD68" s="456"/>
      <c r="JLE68" s="456"/>
      <c r="JLF68" s="456"/>
      <c r="JLG68" s="456"/>
      <c r="JLH68" s="456"/>
      <c r="JLI68" s="456"/>
      <c r="JLJ68" s="456"/>
      <c r="JLK68" s="456"/>
      <c r="JLL68" s="456"/>
      <c r="JLM68" s="456"/>
      <c r="JLN68" s="456"/>
      <c r="JLO68" s="456"/>
      <c r="JLP68" s="456"/>
      <c r="JLQ68" s="456"/>
      <c r="JLR68" s="456"/>
      <c r="JLS68" s="456"/>
      <c r="JLT68" s="456"/>
      <c r="JLU68" s="456"/>
      <c r="JLV68" s="456"/>
      <c r="JLW68" s="456"/>
      <c r="JLX68" s="456"/>
      <c r="JLY68" s="456"/>
      <c r="JLZ68" s="456"/>
      <c r="JMA68" s="456"/>
      <c r="JMB68" s="456"/>
      <c r="JMC68" s="456"/>
      <c r="JMD68" s="456"/>
      <c r="JME68" s="456"/>
      <c r="JMF68" s="456"/>
      <c r="JMG68" s="456"/>
      <c r="JMH68" s="456"/>
      <c r="JMI68" s="456"/>
      <c r="JMJ68" s="456"/>
      <c r="JMK68" s="456"/>
      <c r="JML68" s="456"/>
      <c r="JMM68" s="456"/>
      <c r="JMN68" s="456"/>
      <c r="JMO68" s="456"/>
      <c r="JMP68" s="456"/>
      <c r="JMQ68" s="456"/>
      <c r="JMR68" s="456"/>
      <c r="JMS68" s="456"/>
      <c r="JMT68" s="456"/>
      <c r="JMU68" s="456"/>
      <c r="JMV68" s="456"/>
      <c r="JMW68" s="456"/>
      <c r="JMX68" s="456"/>
      <c r="JMY68" s="456"/>
      <c r="JMZ68" s="456"/>
      <c r="JNA68" s="456"/>
      <c r="JNB68" s="456"/>
      <c r="JNC68" s="456"/>
      <c r="JND68" s="456"/>
      <c r="JNE68" s="456"/>
      <c r="JNF68" s="456"/>
      <c r="JNG68" s="456"/>
      <c r="JNH68" s="456"/>
      <c r="JNI68" s="456"/>
      <c r="JNJ68" s="456"/>
      <c r="JNK68" s="456"/>
      <c r="JNL68" s="456"/>
      <c r="JNM68" s="456"/>
      <c r="JNN68" s="456"/>
      <c r="JNO68" s="456"/>
      <c r="JNP68" s="456"/>
      <c r="JNQ68" s="456"/>
      <c r="JNR68" s="456"/>
      <c r="JNS68" s="456"/>
      <c r="JNT68" s="456"/>
      <c r="JNU68" s="456"/>
      <c r="JNV68" s="456"/>
      <c r="JNW68" s="456"/>
      <c r="JNX68" s="456"/>
      <c r="JNY68" s="456"/>
      <c r="JNZ68" s="456"/>
      <c r="JOA68" s="456"/>
      <c r="JOB68" s="456"/>
      <c r="JOC68" s="456"/>
      <c r="JOD68" s="456"/>
      <c r="JOE68" s="456"/>
      <c r="JOF68" s="456"/>
      <c r="JOG68" s="456"/>
      <c r="JOH68" s="456"/>
      <c r="JOI68" s="456"/>
      <c r="JOJ68" s="456"/>
      <c r="JOK68" s="456"/>
      <c r="JOL68" s="456"/>
      <c r="JOM68" s="456"/>
      <c r="JON68" s="456"/>
      <c r="JOO68" s="456"/>
      <c r="JOP68" s="456"/>
      <c r="JOQ68" s="456"/>
      <c r="JOR68" s="456"/>
      <c r="JOS68" s="456"/>
      <c r="JOT68" s="456"/>
      <c r="JOU68" s="456"/>
      <c r="JOV68" s="456"/>
      <c r="JOW68" s="456"/>
      <c r="JOX68" s="456"/>
      <c r="JOY68" s="456"/>
      <c r="JOZ68" s="456"/>
      <c r="JPA68" s="456"/>
      <c r="JPB68" s="456"/>
      <c r="JPC68" s="456"/>
      <c r="JPD68" s="456"/>
      <c r="JPE68" s="456"/>
      <c r="JPF68" s="456"/>
      <c r="JPG68" s="456"/>
      <c r="JPH68" s="456"/>
      <c r="JPI68" s="456"/>
      <c r="JPJ68" s="456"/>
      <c r="JPK68" s="456"/>
      <c r="JPL68" s="456"/>
      <c r="JPM68" s="456"/>
      <c r="JPN68" s="456"/>
      <c r="JPO68" s="456"/>
      <c r="JPP68" s="456"/>
      <c r="JPQ68" s="456"/>
      <c r="JPR68" s="456"/>
      <c r="JPS68" s="456"/>
      <c r="JPT68" s="456"/>
      <c r="JPU68" s="456"/>
      <c r="JPV68" s="456"/>
      <c r="JPW68" s="456"/>
      <c r="JPX68" s="456"/>
      <c r="JPY68" s="456"/>
      <c r="JPZ68" s="456"/>
      <c r="JQA68" s="456"/>
      <c r="JQB68" s="456"/>
      <c r="JQC68" s="456"/>
      <c r="JQD68" s="456"/>
      <c r="JQE68" s="456"/>
      <c r="JQF68" s="456"/>
      <c r="JQG68" s="456"/>
      <c r="JQH68" s="456"/>
      <c r="JQI68" s="456"/>
      <c r="JQJ68" s="456"/>
      <c r="JQK68" s="456"/>
      <c r="JQL68" s="456"/>
      <c r="JQM68" s="456"/>
      <c r="JQN68" s="456"/>
      <c r="JQO68" s="456"/>
      <c r="JQP68" s="456"/>
      <c r="JQQ68" s="456"/>
      <c r="JQR68" s="456"/>
      <c r="JQS68" s="456"/>
      <c r="JQT68" s="456"/>
      <c r="JQU68" s="456"/>
      <c r="JQV68" s="456"/>
      <c r="JQW68" s="456"/>
      <c r="JQX68" s="456"/>
      <c r="JQY68" s="456"/>
      <c r="JQZ68" s="456"/>
      <c r="JRA68" s="456"/>
      <c r="JRB68" s="456"/>
      <c r="JRC68" s="456"/>
      <c r="JRD68" s="456"/>
      <c r="JRE68" s="456"/>
      <c r="JRF68" s="456"/>
      <c r="JRG68" s="456"/>
      <c r="JRH68" s="456"/>
      <c r="JRI68" s="456"/>
      <c r="JRJ68" s="456"/>
      <c r="JRK68" s="456"/>
      <c r="JRL68" s="456"/>
      <c r="JRM68" s="456"/>
      <c r="JRN68" s="456"/>
      <c r="JRO68" s="456"/>
      <c r="JRP68" s="456"/>
      <c r="JRQ68" s="456"/>
      <c r="JRR68" s="456"/>
      <c r="JRS68" s="456"/>
      <c r="JRT68" s="456"/>
      <c r="JRU68" s="456"/>
      <c r="JRV68" s="456"/>
      <c r="JRW68" s="456"/>
      <c r="JRX68" s="456"/>
      <c r="JRY68" s="456"/>
      <c r="JRZ68" s="456"/>
      <c r="JSA68" s="456"/>
      <c r="JSB68" s="456"/>
      <c r="JSC68" s="456"/>
      <c r="JSD68" s="456"/>
      <c r="JSE68" s="456"/>
      <c r="JSF68" s="456"/>
      <c r="JSG68" s="456"/>
      <c r="JSH68" s="456"/>
      <c r="JSI68" s="456"/>
      <c r="JSJ68" s="456"/>
      <c r="JSK68" s="456"/>
      <c r="JSL68" s="456"/>
      <c r="JSM68" s="456"/>
      <c r="JSN68" s="456"/>
      <c r="JSO68" s="456"/>
      <c r="JSP68" s="456"/>
      <c r="JSQ68" s="456"/>
      <c r="JSR68" s="456"/>
      <c r="JSS68" s="456"/>
      <c r="JST68" s="456"/>
      <c r="JSU68" s="456"/>
      <c r="JSV68" s="456"/>
      <c r="JSW68" s="456"/>
      <c r="JSX68" s="456"/>
      <c r="JSY68" s="456"/>
      <c r="JSZ68" s="456"/>
      <c r="JTA68" s="456"/>
      <c r="JTB68" s="456"/>
      <c r="JTC68" s="456"/>
      <c r="JTD68" s="456"/>
      <c r="JTE68" s="456"/>
      <c r="JTF68" s="456"/>
      <c r="JTG68" s="456"/>
      <c r="JTH68" s="456"/>
      <c r="JTI68" s="456"/>
      <c r="JTJ68" s="456"/>
      <c r="JTK68" s="456"/>
      <c r="JTL68" s="456"/>
      <c r="JTM68" s="456"/>
      <c r="JTN68" s="456"/>
      <c r="JTO68" s="456"/>
      <c r="JTP68" s="456"/>
      <c r="JTQ68" s="456"/>
      <c r="JTR68" s="456"/>
      <c r="JTS68" s="456"/>
      <c r="JTT68" s="456"/>
      <c r="JTU68" s="456"/>
      <c r="JTV68" s="456"/>
      <c r="JTW68" s="456"/>
      <c r="JTX68" s="456"/>
      <c r="JTY68" s="456"/>
      <c r="JTZ68" s="456"/>
      <c r="JUA68" s="456"/>
      <c r="JUB68" s="456"/>
      <c r="JUC68" s="456"/>
      <c r="JUD68" s="456"/>
      <c r="JUE68" s="456"/>
      <c r="JUF68" s="456"/>
      <c r="JUG68" s="456"/>
      <c r="JUH68" s="456"/>
      <c r="JUI68" s="456"/>
      <c r="JUJ68" s="456"/>
      <c r="JUK68" s="456"/>
      <c r="JUL68" s="456"/>
      <c r="JUM68" s="456"/>
      <c r="JUN68" s="456"/>
      <c r="JUO68" s="456"/>
      <c r="JUP68" s="456"/>
      <c r="JUQ68" s="456"/>
      <c r="JUR68" s="456"/>
      <c r="JUS68" s="456"/>
      <c r="JUT68" s="456"/>
      <c r="JUU68" s="456"/>
      <c r="JUV68" s="456"/>
      <c r="JUW68" s="456"/>
      <c r="JUX68" s="456"/>
      <c r="JUY68" s="456"/>
      <c r="JUZ68" s="456"/>
      <c r="JVA68" s="456"/>
      <c r="JVB68" s="456"/>
      <c r="JVC68" s="456"/>
      <c r="JVD68" s="456"/>
      <c r="JVE68" s="456"/>
      <c r="JVF68" s="456"/>
      <c r="JVG68" s="456"/>
      <c r="JVH68" s="456"/>
      <c r="JVI68" s="456"/>
      <c r="JVJ68" s="456"/>
      <c r="JVK68" s="456"/>
      <c r="JVL68" s="456"/>
      <c r="JVM68" s="456"/>
      <c r="JVN68" s="456"/>
      <c r="JVO68" s="456"/>
      <c r="JVP68" s="456"/>
      <c r="JVQ68" s="456"/>
      <c r="JVR68" s="456"/>
      <c r="JVS68" s="456"/>
      <c r="JVT68" s="456"/>
      <c r="JVU68" s="456"/>
      <c r="JVV68" s="456"/>
      <c r="JVW68" s="456"/>
      <c r="JVX68" s="456"/>
      <c r="JVY68" s="456"/>
      <c r="JVZ68" s="456"/>
      <c r="JWA68" s="456"/>
      <c r="JWB68" s="456"/>
      <c r="JWC68" s="456"/>
      <c r="JWD68" s="456"/>
      <c r="JWE68" s="456"/>
      <c r="JWF68" s="456"/>
      <c r="JWG68" s="456"/>
      <c r="JWH68" s="456"/>
      <c r="JWI68" s="456"/>
      <c r="JWJ68" s="456"/>
      <c r="JWK68" s="456"/>
      <c r="JWL68" s="456"/>
      <c r="JWM68" s="456"/>
      <c r="JWN68" s="456"/>
      <c r="JWO68" s="456"/>
      <c r="JWP68" s="456"/>
      <c r="JWQ68" s="456"/>
      <c r="JWR68" s="456"/>
      <c r="JWS68" s="456"/>
      <c r="JWT68" s="456"/>
      <c r="JWU68" s="456"/>
      <c r="JWV68" s="456"/>
      <c r="JWW68" s="456"/>
      <c r="JWX68" s="456"/>
      <c r="JWY68" s="456"/>
      <c r="JWZ68" s="456"/>
      <c r="JXA68" s="456"/>
      <c r="JXB68" s="456"/>
      <c r="JXC68" s="456"/>
      <c r="JXD68" s="456"/>
      <c r="JXE68" s="456"/>
      <c r="JXF68" s="456"/>
      <c r="JXG68" s="456"/>
      <c r="JXH68" s="456"/>
      <c r="JXI68" s="456"/>
      <c r="JXJ68" s="456"/>
      <c r="JXK68" s="456"/>
      <c r="JXL68" s="456"/>
      <c r="JXM68" s="456"/>
      <c r="JXN68" s="456"/>
      <c r="JXO68" s="456"/>
      <c r="JXP68" s="456"/>
      <c r="JXQ68" s="456"/>
      <c r="JXR68" s="456"/>
      <c r="JXS68" s="456"/>
      <c r="JXT68" s="456"/>
      <c r="JXU68" s="456"/>
      <c r="JXV68" s="456"/>
      <c r="JXW68" s="456"/>
      <c r="JXX68" s="456"/>
      <c r="JXY68" s="456"/>
      <c r="JXZ68" s="456"/>
      <c r="JYA68" s="456"/>
      <c r="JYB68" s="456"/>
      <c r="JYC68" s="456"/>
      <c r="JYD68" s="456"/>
      <c r="JYE68" s="456"/>
      <c r="JYF68" s="456"/>
      <c r="JYG68" s="456"/>
      <c r="JYH68" s="456"/>
      <c r="JYI68" s="456"/>
      <c r="JYJ68" s="456"/>
      <c r="JYK68" s="456"/>
      <c r="JYL68" s="456"/>
      <c r="JYM68" s="456"/>
      <c r="JYN68" s="456"/>
      <c r="JYO68" s="456"/>
      <c r="JYP68" s="456"/>
      <c r="JYQ68" s="456"/>
      <c r="JYR68" s="456"/>
      <c r="JYS68" s="456"/>
      <c r="JYT68" s="456"/>
      <c r="JYU68" s="456"/>
      <c r="JYV68" s="456"/>
      <c r="JYW68" s="456"/>
      <c r="JYX68" s="456"/>
      <c r="JYY68" s="456"/>
      <c r="JYZ68" s="456"/>
      <c r="JZA68" s="456"/>
      <c r="JZB68" s="456"/>
      <c r="JZC68" s="456"/>
      <c r="JZD68" s="456"/>
      <c r="JZE68" s="456"/>
      <c r="JZF68" s="456"/>
      <c r="JZG68" s="456"/>
      <c r="JZH68" s="456"/>
      <c r="JZI68" s="456"/>
      <c r="JZJ68" s="456"/>
      <c r="JZK68" s="456"/>
      <c r="JZL68" s="456"/>
      <c r="JZM68" s="456"/>
      <c r="JZN68" s="456"/>
      <c r="JZO68" s="456"/>
      <c r="JZP68" s="456"/>
      <c r="JZQ68" s="456"/>
      <c r="JZR68" s="456"/>
      <c r="JZS68" s="456"/>
      <c r="JZT68" s="456"/>
      <c r="JZU68" s="456"/>
      <c r="JZV68" s="456"/>
      <c r="JZW68" s="456"/>
      <c r="JZX68" s="456"/>
      <c r="JZY68" s="456"/>
      <c r="JZZ68" s="456"/>
      <c r="KAA68" s="456"/>
      <c r="KAB68" s="456"/>
      <c r="KAC68" s="456"/>
      <c r="KAD68" s="456"/>
      <c r="KAE68" s="456"/>
      <c r="KAF68" s="456"/>
      <c r="KAG68" s="456"/>
      <c r="KAH68" s="456"/>
      <c r="KAI68" s="456"/>
      <c r="KAJ68" s="456"/>
      <c r="KAK68" s="456"/>
      <c r="KAL68" s="456"/>
      <c r="KAM68" s="456"/>
      <c r="KAN68" s="456"/>
      <c r="KAO68" s="456"/>
      <c r="KAP68" s="456"/>
      <c r="KAQ68" s="456"/>
      <c r="KAR68" s="456"/>
      <c r="KAS68" s="456"/>
      <c r="KAT68" s="456"/>
      <c r="KAU68" s="456"/>
      <c r="KAV68" s="456"/>
      <c r="KAW68" s="456"/>
      <c r="KAX68" s="456"/>
      <c r="KAY68" s="456"/>
      <c r="KAZ68" s="456"/>
      <c r="KBA68" s="456"/>
      <c r="KBB68" s="456"/>
      <c r="KBC68" s="456"/>
      <c r="KBD68" s="456"/>
      <c r="KBE68" s="456"/>
      <c r="KBF68" s="456"/>
      <c r="KBG68" s="456"/>
      <c r="KBH68" s="456"/>
      <c r="KBI68" s="456"/>
      <c r="KBJ68" s="456"/>
      <c r="KBK68" s="456"/>
      <c r="KBL68" s="456"/>
      <c r="KBM68" s="456"/>
      <c r="KBN68" s="456"/>
      <c r="KBO68" s="456"/>
      <c r="KBP68" s="456"/>
      <c r="KBQ68" s="456"/>
      <c r="KBR68" s="456"/>
      <c r="KBS68" s="456"/>
      <c r="KBT68" s="456"/>
      <c r="KBU68" s="456"/>
      <c r="KBV68" s="456"/>
      <c r="KBW68" s="456"/>
      <c r="KBX68" s="456"/>
      <c r="KBY68" s="456"/>
      <c r="KBZ68" s="456"/>
      <c r="KCA68" s="456"/>
      <c r="KCB68" s="456"/>
      <c r="KCC68" s="456"/>
      <c r="KCD68" s="456"/>
      <c r="KCE68" s="456"/>
      <c r="KCF68" s="456"/>
      <c r="KCG68" s="456"/>
      <c r="KCH68" s="456"/>
      <c r="KCI68" s="456"/>
      <c r="KCJ68" s="456"/>
      <c r="KCK68" s="456"/>
      <c r="KCL68" s="456"/>
      <c r="KCM68" s="456"/>
      <c r="KCN68" s="456"/>
      <c r="KCO68" s="456"/>
      <c r="KCP68" s="456"/>
      <c r="KCQ68" s="456"/>
      <c r="KCR68" s="456"/>
      <c r="KCS68" s="456"/>
      <c r="KCT68" s="456"/>
      <c r="KCU68" s="456"/>
      <c r="KCV68" s="456"/>
      <c r="KCW68" s="456"/>
      <c r="KCX68" s="456"/>
      <c r="KCY68" s="456"/>
      <c r="KCZ68" s="456"/>
      <c r="KDA68" s="456"/>
      <c r="KDB68" s="456"/>
      <c r="KDC68" s="456"/>
      <c r="KDD68" s="456"/>
      <c r="KDE68" s="456"/>
      <c r="KDF68" s="456"/>
      <c r="KDG68" s="456"/>
      <c r="KDH68" s="456"/>
      <c r="KDI68" s="456"/>
      <c r="KDJ68" s="456"/>
      <c r="KDK68" s="456"/>
      <c r="KDL68" s="456"/>
      <c r="KDM68" s="456"/>
      <c r="KDN68" s="456"/>
      <c r="KDO68" s="456"/>
      <c r="KDP68" s="456"/>
      <c r="KDQ68" s="456"/>
      <c r="KDR68" s="456"/>
      <c r="KDS68" s="456"/>
      <c r="KDT68" s="456"/>
      <c r="KDU68" s="456"/>
      <c r="KDV68" s="456"/>
      <c r="KDW68" s="456"/>
      <c r="KDX68" s="456"/>
      <c r="KDY68" s="456"/>
      <c r="KDZ68" s="456"/>
      <c r="KEA68" s="456"/>
      <c r="KEB68" s="456"/>
      <c r="KEC68" s="456"/>
      <c r="KED68" s="456"/>
      <c r="KEE68" s="456"/>
      <c r="KEF68" s="456"/>
      <c r="KEG68" s="456"/>
      <c r="KEH68" s="456"/>
      <c r="KEI68" s="456"/>
      <c r="KEJ68" s="456"/>
      <c r="KEK68" s="456"/>
      <c r="KEL68" s="456"/>
      <c r="KEM68" s="456"/>
      <c r="KEN68" s="456"/>
      <c r="KEO68" s="456"/>
      <c r="KEP68" s="456"/>
      <c r="KEQ68" s="456"/>
      <c r="KER68" s="456"/>
      <c r="KES68" s="456"/>
      <c r="KET68" s="456"/>
      <c r="KEU68" s="456"/>
      <c r="KEV68" s="456"/>
      <c r="KEW68" s="456"/>
      <c r="KEX68" s="456"/>
      <c r="KEY68" s="456"/>
      <c r="KEZ68" s="456"/>
      <c r="KFA68" s="456"/>
      <c r="KFB68" s="456"/>
      <c r="KFC68" s="456"/>
      <c r="KFD68" s="456"/>
      <c r="KFE68" s="456"/>
      <c r="KFF68" s="456"/>
      <c r="KFG68" s="456"/>
      <c r="KFH68" s="456"/>
      <c r="KFI68" s="456"/>
      <c r="KFJ68" s="456"/>
      <c r="KFK68" s="456"/>
      <c r="KFL68" s="456"/>
      <c r="KFM68" s="456"/>
      <c r="KFN68" s="456"/>
      <c r="KFO68" s="456"/>
      <c r="KFP68" s="456"/>
      <c r="KFQ68" s="456"/>
      <c r="KFR68" s="456"/>
      <c r="KFS68" s="456"/>
      <c r="KFT68" s="456"/>
      <c r="KFU68" s="456"/>
      <c r="KFV68" s="456"/>
      <c r="KFW68" s="456"/>
      <c r="KFX68" s="456"/>
      <c r="KFY68" s="456"/>
      <c r="KFZ68" s="456"/>
      <c r="KGA68" s="456"/>
      <c r="KGB68" s="456"/>
      <c r="KGC68" s="456"/>
      <c r="KGD68" s="456"/>
      <c r="KGE68" s="456"/>
      <c r="KGF68" s="456"/>
      <c r="KGG68" s="456"/>
      <c r="KGH68" s="456"/>
      <c r="KGI68" s="456"/>
      <c r="KGJ68" s="456"/>
      <c r="KGK68" s="456"/>
      <c r="KGL68" s="456"/>
      <c r="KGM68" s="456"/>
      <c r="KGN68" s="456"/>
      <c r="KGO68" s="456"/>
      <c r="KGP68" s="456"/>
      <c r="KGQ68" s="456"/>
      <c r="KGR68" s="456"/>
      <c r="KGS68" s="456"/>
      <c r="KGT68" s="456"/>
      <c r="KGU68" s="456"/>
      <c r="KGV68" s="456"/>
      <c r="KGW68" s="456"/>
      <c r="KGX68" s="456"/>
      <c r="KGY68" s="456"/>
      <c r="KGZ68" s="456"/>
      <c r="KHA68" s="456"/>
      <c r="KHB68" s="456"/>
      <c r="KHC68" s="456"/>
      <c r="KHD68" s="456"/>
      <c r="KHE68" s="456"/>
      <c r="KHF68" s="456"/>
      <c r="KHG68" s="456"/>
      <c r="KHH68" s="456"/>
      <c r="KHI68" s="456"/>
      <c r="KHJ68" s="456"/>
      <c r="KHK68" s="456"/>
      <c r="KHL68" s="456"/>
      <c r="KHM68" s="456"/>
      <c r="KHN68" s="456"/>
      <c r="KHO68" s="456"/>
      <c r="KHP68" s="456"/>
      <c r="KHQ68" s="456"/>
      <c r="KHR68" s="456"/>
      <c r="KHS68" s="456"/>
      <c r="KHT68" s="456"/>
      <c r="KHU68" s="456"/>
      <c r="KHV68" s="456"/>
      <c r="KHW68" s="456"/>
      <c r="KHX68" s="456"/>
      <c r="KHY68" s="456"/>
      <c r="KHZ68" s="456"/>
      <c r="KIA68" s="456"/>
      <c r="KIB68" s="456"/>
      <c r="KIC68" s="456"/>
      <c r="KID68" s="456"/>
      <c r="KIE68" s="456"/>
      <c r="KIF68" s="456"/>
      <c r="KIG68" s="456"/>
      <c r="KIH68" s="456"/>
      <c r="KII68" s="456"/>
      <c r="KIJ68" s="456"/>
      <c r="KIK68" s="456"/>
      <c r="KIL68" s="456"/>
      <c r="KIM68" s="456"/>
      <c r="KIN68" s="456"/>
      <c r="KIO68" s="456"/>
      <c r="KIP68" s="456"/>
      <c r="KIQ68" s="456"/>
      <c r="KIR68" s="456"/>
      <c r="KIS68" s="456"/>
      <c r="KIT68" s="456"/>
      <c r="KIU68" s="456"/>
      <c r="KIV68" s="456"/>
      <c r="KIW68" s="456"/>
      <c r="KIX68" s="456"/>
      <c r="KIY68" s="456"/>
      <c r="KIZ68" s="456"/>
      <c r="KJA68" s="456"/>
      <c r="KJB68" s="456"/>
      <c r="KJC68" s="456"/>
      <c r="KJD68" s="456"/>
      <c r="KJE68" s="456"/>
      <c r="KJF68" s="456"/>
      <c r="KJG68" s="456"/>
      <c r="KJH68" s="456"/>
      <c r="KJI68" s="456"/>
      <c r="KJJ68" s="456"/>
      <c r="KJK68" s="456"/>
      <c r="KJL68" s="456"/>
      <c r="KJM68" s="456"/>
      <c r="KJN68" s="456"/>
      <c r="KJO68" s="456"/>
      <c r="KJP68" s="456"/>
      <c r="KJQ68" s="456"/>
      <c r="KJR68" s="456"/>
      <c r="KJS68" s="456"/>
      <c r="KJT68" s="456"/>
      <c r="KJU68" s="456"/>
      <c r="KJV68" s="456"/>
      <c r="KJW68" s="456"/>
      <c r="KJX68" s="456"/>
      <c r="KJY68" s="456"/>
      <c r="KJZ68" s="456"/>
      <c r="KKA68" s="456"/>
      <c r="KKB68" s="456"/>
      <c r="KKC68" s="456"/>
      <c r="KKD68" s="456"/>
      <c r="KKE68" s="456"/>
      <c r="KKF68" s="456"/>
      <c r="KKG68" s="456"/>
      <c r="KKH68" s="456"/>
      <c r="KKI68" s="456"/>
      <c r="KKJ68" s="456"/>
      <c r="KKK68" s="456"/>
      <c r="KKL68" s="456"/>
      <c r="KKM68" s="456"/>
      <c r="KKN68" s="456"/>
      <c r="KKO68" s="456"/>
      <c r="KKP68" s="456"/>
      <c r="KKQ68" s="456"/>
      <c r="KKR68" s="456"/>
      <c r="KKS68" s="456"/>
      <c r="KKT68" s="456"/>
      <c r="KKU68" s="456"/>
      <c r="KKV68" s="456"/>
      <c r="KKW68" s="456"/>
      <c r="KKX68" s="456"/>
      <c r="KKY68" s="456"/>
      <c r="KKZ68" s="456"/>
      <c r="KLA68" s="456"/>
      <c r="KLB68" s="456"/>
      <c r="KLC68" s="456"/>
      <c r="KLD68" s="456"/>
      <c r="KLE68" s="456"/>
      <c r="KLF68" s="456"/>
      <c r="KLG68" s="456"/>
      <c r="KLH68" s="456"/>
      <c r="KLI68" s="456"/>
      <c r="KLJ68" s="456"/>
      <c r="KLK68" s="456"/>
      <c r="KLL68" s="456"/>
      <c r="KLM68" s="456"/>
      <c r="KLN68" s="456"/>
      <c r="KLO68" s="456"/>
      <c r="KLP68" s="456"/>
      <c r="KLQ68" s="456"/>
      <c r="KLR68" s="456"/>
      <c r="KLS68" s="456"/>
      <c r="KLT68" s="456"/>
      <c r="KLU68" s="456"/>
      <c r="KLV68" s="456"/>
      <c r="KLW68" s="456"/>
      <c r="KLX68" s="456"/>
      <c r="KLY68" s="456"/>
      <c r="KLZ68" s="456"/>
      <c r="KMA68" s="456"/>
      <c r="KMB68" s="456"/>
      <c r="KMC68" s="456"/>
      <c r="KMD68" s="456"/>
      <c r="KME68" s="456"/>
      <c r="KMF68" s="456"/>
      <c r="KMG68" s="456"/>
      <c r="KMH68" s="456"/>
      <c r="KMI68" s="456"/>
      <c r="KMJ68" s="456"/>
      <c r="KMK68" s="456"/>
      <c r="KML68" s="456"/>
      <c r="KMM68" s="456"/>
      <c r="KMN68" s="456"/>
      <c r="KMO68" s="456"/>
      <c r="KMP68" s="456"/>
      <c r="KMQ68" s="456"/>
      <c r="KMR68" s="456"/>
      <c r="KMS68" s="456"/>
      <c r="KMT68" s="456"/>
      <c r="KMU68" s="456"/>
      <c r="KMV68" s="456"/>
      <c r="KMW68" s="456"/>
      <c r="KMX68" s="456"/>
      <c r="KMY68" s="456"/>
      <c r="KMZ68" s="456"/>
      <c r="KNA68" s="456"/>
      <c r="KNB68" s="456"/>
      <c r="KNC68" s="456"/>
      <c r="KND68" s="456"/>
      <c r="KNE68" s="456"/>
      <c r="KNF68" s="456"/>
      <c r="KNG68" s="456"/>
      <c r="KNH68" s="456"/>
      <c r="KNI68" s="456"/>
      <c r="KNJ68" s="456"/>
      <c r="KNK68" s="456"/>
      <c r="KNL68" s="456"/>
      <c r="KNM68" s="456"/>
      <c r="KNN68" s="456"/>
      <c r="KNO68" s="456"/>
      <c r="KNP68" s="456"/>
      <c r="KNQ68" s="456"/>
      <c r="KNR68" s="456"/>
      <c r="KNS68" s="456"/>
      <c r="KNT68" s="456"/>
      <c r="KNU68" s="456"/>
      <c r="KNV68" s="456"/>
      <c r="KNW68" s="456"/>
      <c r="KNX68" s="456"/>
      <c r="KNY68" s="456"/>
      <c r="KNZ68" s="456"/>
      <c r="KOA68" s="456"/>
      <c r="KOB68" s="456"/>
      <c r="KOC68" s="456"/>
      <c r="KOD68" s="456"/>
      <c r="KOE68" s="456"/>
      <c r="KOF68" s="456"/>
      <c r="KOG68" s="456"/>
      <c r="KOH68" s="456"/>
      <c r="KOI68" s="456"/>
      <c r="KOJ68" s="456"/>
      <c r="KOK68" s="456"/>
      <c r="KOL68" s="456"/>
      <c r="KOM68" s="456"/>
      <c r="KON68" s="456"/>
      <c r="KOO68" s="456"/>
      <c r="KOP68" s="456"/>
      <c r="KOQ68" s="456"/>
      <c r="KOR68" s="456"/>
      <c r="KOS68" s="456"/>
      <c r="KOT68" s="456"/>
      <c r="KOU68" s="456"/>
      <c r="KOV68" s="456"/>
      <c r="KOW68" s="456"/>
      <c r="KOX68" s="456"/>
      <c r="KOY68" s="456"/>
      <c r="KOZ68" s="456"/>
      <c r="KPA68" s="456"/>
      <c r="KPB68" s="456"/>
      <c r="KPC68" s="456"/>
      <c r="KPD68" s="456"/>
      <c r="KPE68" s="456"/>
      <c r="KPF68" s="456"/>
      <c r="KPG68" s="456"/>
      <c r="KPH68" s="456"/>
      <c r="KPI68" s="456"/>
      <c r="KPJ68" s="456"/>
      <c r="KPK68" s="456"/>
      <c r="KPL68" s="456"/>
      <c r="KPM68" s="456"/>
      <c r="KPN68" s="456"/>
      <c r="KPO68" s="456"/>
      <c r="KPP68" s="456"/>
      <c r="KPQ68" s="456"/>
      <c r="KPR68" s="456"/>
      <c r="KPS68" s="456"/>
      <c r="KPT68" s="456"/>
      <c r="KPU68" s="456"/>
      <c r="KPV68" s="456"/>
      <c r="KPW68" s="456"/>
      <c r="KPX68" s="456"/>
      <c r="KPY68" s="456"/>
      <c r="KPZ68" s="456"/>
      <c r="KQA68" s="456"/>
      <c r="KQB68" s="456"/>
      <c r="KQC68" s="456"/>
      <c r="KQD68" s="456"/>
      <c r="KQE68" s="456"/>
      <c r="KQF68" s="456"/>
      <c r="KQG68" s="456"/>
      <c r="KQH68" s="456"/>
      <c r="KQI68" s="456"/>
      <c r="KQJ68" s="456"/>
      <c r="KQK68" s="456"/>
      <c r="KQL68" s="456"/>
      <c r="KQM68" s="456"/>
      <c r="KQN68" s="456"/>
      <c r="KQO68" s="456"/>
      <c r="KQP68" s="456"/>
      <c r="KQQ68" s="456"/>
      <c r="KQR68" s="456"/>
      <c r="KQS68" s="456"/>
      <c r="KQT68" s="456"/>
      <c r="KQU68" s="456"/>
      <c r="KQV68" s="456"/>
      <c r="KQW68" s="456"/>
      <c r="KQX68" s="456"/>
      <c r="KQY68" s="456"/>
      <c r="KQZ68" s="456"/>
      <c r="KRA68" s="456"/>
      <c r="KRB68" s="456"/>
      <c r="KRC68" s="456"/>
      <c r="KRD68" s="456"/>
      <c r="KRE68" s="456"/>
      <c r="KRF68" s="456"/>
      <c r="KRG68" s="456"/>
      <c r="KRH68" s="456"/>
      <c r="KRI68" s="456"/>
      <c r="KRJ68" s="456"/>
      <c r="KRK68" s="456"/>
      <c r="KRL68" s="456"/>
      <c r="KRM68" s="456"/>
      <c r="KRN68" s="456"/>
      <c r="KRO68" s="456"/>
      <c r="KRP68" s="456"/>
      <c r="KRQ68" s="456"/>
      <c r="KRR68" s="456"/>
      <c r="KRS68" s="456"/>
      <c r="KRT68" s="456"/>
      <c r="KRU68" s="456"/>
      <c r="KRV68" s="456"/>
      <c r="KRW68" s="456"/>
      <c r="KRX68" s="456"/>
      <c r="KRY68" s="456"/>
      <c r="KRZ68" s="456"/>
      <c r="KSA68" s="456"/>
      <c r="KSB68" s="456"/>
      <c r="KSC68" s="456"/>
      <c r="KSD68" s="456"/>
      <c r="KSE68" s="456"/>
      <c r="KSF68" s="456"/>
      <c r="KSG68" s="456"/>
      <c r="KSH68" s="456"/>
      <c r="KSI68" s="456"/>
      <c r="KSJ68" s="456"/>
      <c r="KSK68" s="456"/>
      <c r="KSL68" s="456"/>
      <c r="KSM68" s="456"/>
      <c r="KSN68" s="456"/>
      <c r="KSO68" s="456"/>
      <c r="KSP68" s="456"/>
      <c r="KSQ68" s="456"/>
      <c r="KSR68" s="456"/>
      <c r="KSS68" s="456"/>
      <c r="KST68" s="456"/>
      <c r="KSU68" s="456"/>
      <c r="KSV68" s="456"/>
      <c r="KSW68" s="456"/>
      <c r="KSX68" s="456"/>
      <c r="KSY68" s="456"/>
      <c r="KSZ68" s="456"/>
      <c r="KTA68" s="456"/>
      <c r="KTB68" s="456"/>
      <c r="KTC68" s="456"/>
      <c r="KTD68" s="456"/>
      <c r="KTE68" s="456"/>
      <c r="KTF68" s="456"/>
      <c r="KTG68" s="456"/>
      <c r="KTH68" s="456"/>
      <c r="KTI68" s="456"/>
      <c r="KTJ68" s="456"/>
      <c r="KTK68" s="456"/>
      <c r="KTL68" s="456"/>
      <c r="KTM68" s="456"/>
      <c r="KTN68" s="456"/>
      <c r="KTO68" s="456"/>
      <c r="KTP68" s="456"/>
      <c r="KTQ68" s="456"/>
      <c r="KTR68" s="456"/>
      <c r="KTS68" s="456"/>
      <c r="KTT68" s="456"/>
      <c r="KTU68" s="456"/>
      <c r="KTV68" s="456"/>
      <c r="KTW68" s="456"/>
      <c r="KTX68" s="456"/>
      <c r="KTY68" s="456"/>
      <c r="KTZ68" s="456"/>
      <c r="KUA68" s="456"/>
      <c r="KUB68" s="456"/>
      <c r="KUC68" s="456"/>
      <c r="KUD68" s="456"/>
      <c r="KUE68" s="456"/>
      <c r="KUF68" s="456"/>
      <c r="KUG68" s="456"/>
      <c r="KUH68" s="456"/>
      <c r="KUI68" s="456"/>
      <c r="KUJ68" s="456"/>
      <c r="KUK68" s="456"/>
      <c r="KUL68" s="456"/>
      <c r="KUM68" s="456"/>
      <c r="KUN68" s="456"/>
      <c r="KUO68" s="456"/>
      <c r="KUP68" s="456"/>
      <c r="KUQ68" s="456"/>
      <c r="KUR68" s="456"/>
      <c r="KUS68" s="456"/>
      <c r="KUT68" s="456"/>
      <c r="KUU68" s="456"/>
      <c r="KUV68" s="456"/>
      <c r="KUW68" s="456"/>
      <c r="KUX68" s="456"/>
      <c r="KUY68" s="456"/>
      <c r="KUZ68" s="456"/>
      <c r="KVA68" s="456"/>
      <c r="KVB68" s="456"/>
      <c r="KVC68" s="456"/>
      <c r="KVD68" s="456"/>
      <c r="KVE68" s="456"/>
      <c r="KVF68" s="456"/>
      <c r="KVG68" s="456"/>
      <c r="KVH68" s="456"/>
      <c r="KVI68" s="456"/>
      <c r="KVJ68" s="456"/>
      <c r="KVK68" s="456"/>
      <c r="KVL68" s="456"/>
      <c r="KVM68" s="456"/>
      <c r="KVN68" s="456"/>
      <c r="KVO68" s="456"/>
      <c r="KVP68" s="456"/>
      <c r="KVQ68" s="456"/>
      <c r="KVR68" s="456"/>
      <c r="KVS68" s="456"/>
      <c r="KVT68" s="456"/>
      <c r="KVU68" s="456"/>
      <c r="KVV68" s="456"/>
      <c r="KVW68" s="456"/>
      <c r="KVX68" s="456"/>
      <c r="KVY68" s="456"/>
      <c r="KVZ68" s="456"/>
      <c r="KWA68" s="456"/>
      <c r="KWB68" s="456"/>
      <c r="KWC68" s="456"/>
      <c r="KWD68" s="456"/>
      <c r="KWE68" s="456"/>
      <c r="KWF68" s="456"/>
      <c r="KWG68" s="456"/>
      <c r="KWH68" s="456"/>
      <c r="KWI68" s="456"/>
      <c r="KWJ68" s="456"/>
      <c r="KWK68" s="456"/>
      <c r="KWL68" s="456"/>
      <c r="KWM68" s="456"/>
      <c r="KWN68" s="456"/>
      <c r="KWO68" s="456"/>
      <c r="KWP68" s="456"/>
      <c r="KWQ68" s="456"/>
      <c r="KWR68" s="456"/>
      <c r="KWS68" s="456"/>
      <c r="KWT68" s="456"/>
      <c r="KWU68" s="456"/>
      <c r="KWV68" s="456"/>
      <c r="KWW68" s="456"/>
      <c r="KWX68" s="456"/>
      <c r="KWY68" s="456"/>
      <c r="KWZ68" s="456"/>
      <c r="KXA68" s="456"/>
      <c r="KXB68" s="456"/>
      <c r="KXC68" s="456"/>
      <c r="KXD68" s="456"/>
      <c r="KXE68" s="456"/>
      <c r="KXF68" s="456"/>
      <c r="KXG68" s="456"/>
      <c r="KXH68" s="456"/>
      <c r="KXI68" s="456"/>
      <c r="KXJ68" s="456"/>
      <c r="KXK68" s="456"/>
      <c r="KXL68" s="456"/>
      <c r="KXM68" s="456"/>
      <c r="KXN68" s="456"/>
      <c r="KXO68" s="456"/>
      <c r="KXP68" s="456"/>
      <c r="KXQ68" s="456"/>
      <c r="KXR68" s="456"/>
      <c r="KXS68" s="456"/>
      <c r="KXT68" s="456"/>
      <c r="KXU68" s="456"/>
      <c r="KXV68" s="456"/>
      <c r="KXW68" s="456"/>
      <c r="KXX68" s="456"/>
      <c r="KXY68" s="456"/>
      <c r="KXZ68" s="456"/>
      <c r="KYA68" s="456"/>
      <c r="KYB68" s="456"/>
      <c r="KYC68" s="456"/>
      <c r="KYD68" s="456"/>
      <c r="KYE68" s="456"/>
      <c r="KYF68" s="456"/>
      <c r="KYG68" s="456"/>
      <c r="KYH68" s="456"/>
      <c r="KYI68" s="456"/>
      <c r="KYJ68" s="456"/>
      <c r="KYK68" s="456"/>
      <c r="KYL68" s="456"/>
      <c r="KYM68" s="456"/>
      <c r="KYN68" s="456"/>
      <c r="KYO68" s="456"/>
      <c r="KYP68" s="456"/>
      <c r="KYQ68" s="456"/>
      <c r="KYR68" s="456"/>
      <c r="KYS68" s="456"/>
      <c r="KYT68" s="456"/>
      <c r="KYU68" s="456"/>
      <c r="KYV68" s="456"/>
      <c r="KYW68" s="456"/>
      <c r="KYX68" s="456"/>
      <c r="KYY68" s="456"/>
      <c r="KYZ68" s="456"/>
      <c r="KZA68" s="456"/>
      <c r="KZB68" s="456"/>
      <c r="KZC68" s="456"/>
      <c r="KZD68" s="456"/>
      <c r="KZE68" s="456"/>
      <c r="KZF68" s="456"/>
      <c r="KZG68" s="456"/>
      <c r="KZH68" s="456"/>
      <c r="KZI68" s="456"/>
      <c r="KZJ68" s="456"/>
      <c r="KZK68" s="456"/>
      <c r="KZL68" s="456"/>
      <c r="KZM68" s="456"/>
      <c r="KZN68" s="456"/>
      <c r="KZO68" s="456"/>
      <c r="KZP68" s="456"/>
      <c r="KZQ68" s="456"/>
      <c r="KZR68" s="456"/>
      <c r="KZS68" s="456"/>
      <c r="KZT68" s="456"/>
      <c r="KZU68" s="456"/>
      <c r="KZV68" s="456"/>
      <c r="KZW68" s="456"/>
      <c r="KZX68" s="456"/>
      <c r="KZY68" s="456"/>
      <c r="KZZ68" s="456"/>
      <c r="LAA68" s="456"/>
      <c r="LAB68" s="456"/>
      <c r="LAC68" s="456"/>
      <c r="LAD68" s="456"/>
      <c r="LAE68" s="456"/>
      <c r="LAF68" s="456"/>
      <c r="LAG68" s="456"/>
      <c r="LAH68" s="456"/>
      <c r="LAI68" s="456"/>
      <c r="LAJ68" s="456"/>
      <c r="LAK68" s="456"/>
      <c r="LAL68" s="456"/>
      <c r="LAM68" s="456"/>
      <c r="LAN68" s="456"/>
      <c r="LAO68" s="456"/>
      <c r="LAP68" s="456"/>
      <c r="LAQ68" s="456"/>
      <c r="LAR68" s="456"/>
      <c r="LAS68" s="456"/>
      <c r="LAT68" s="456"/>
      <c r="LAU68" s="456"/>
      <c r="LAV68" s="456"/>
      <c r="LAW68" s="456"/>
      <c r="LAX68" s="456"/>
      <c r="LAY68" s="456"/>
      <c r="LAZ68" s="456"/>
      <c r="LBA68" s="456"/>
      <c r="LBB68" s="456"/>
      <c r="LBC68" s="456"/>
      <c r="LBD68" s="456"/>
      <c r="LBE68" s="456"/>
      <c r="LBF68" s="456"/>
      <c r="LBG68" s="456"/>
      <c r="LBH68" s="456"/>
      <c r="LBI68" s="456"/>
      <c r="LBJ68" s="456"/>
      <c r="LBK68" s="456"/>
      <c r="LBL68" s="456"/>
      <c r="LBM68" s="456"/>
      <c r="LBN68" s="456"/>
      <c r="LBO68" s="456"/>
      <c r="LBP68" s="456"/>
      <c r="LBQ68" s="456"/>
      <c r="LBR68" s="456"/>
      <c r="LBS68" s="456"/>
      <c r="LBT68" s="456"/>
      <c r="LBU68" s="456"/>
      <c r="LBV68" s="456"/>
      <c r="LBW68" s="456"/>
      <c r="LBX68" s="456"/>
      <c r="LBY68" s="456"/>
      <c r="LBZ68" s="456"/>
      <c r="LCA68" s="456"/>
      <c r="LCB68" s="456"/>
      <c r="LCC68" s="456"/>
      <c r="LCD68" s="456"/>
      <c r="LCE68" s="456"/>
      <c r="LCF68" s="456"/>
      <c r="LCG68" s="456"/>
      <c r="LCH68" s="456"/>
      <c r="LCI68" s="456"/>
      <c r="LCJ68" s="456"/>
      <c r="LCK68" s="456"/>
      <c r="LCL68" s="456"/>
      <c r="LCM68" s="456"/>
      <c r="LCN68" s="456"/>
      <c r="LCO68" s="456"/>
      <c r="LCP68" s="456"/>
      <c r="LCQ68" s="456"/>
      <c r="LCR68" s="456"/>
      <c r="LCS68" s="456"/>
      <c r="LCT68" s="456"/>
      <c r="LCU68" s="456"/>
      <c r="LCV68" s="456"/>
      <c r="LCW68" s="456"/>
      <c r="LCX68" s="456"/>
      <c r="LCY68" s="456"/>
      <c r="LCZ68" s="456"/>
      <c r="LDA68" s="456"/>
      <c r="LDB68" s="456"/>
      <c r="LDC68" s="456"/>
      <c r="LDD68" s="456"/>
      <c r="LDE68" s="456"/>
      <c r="LDF68" s="456"/>
      <c r="LDG68" s="456"/>
      <c r="LDH68" s="456"/>
      <c r="LDI68" s="456"/>
      <c r="LDJ68" s="456"/>
      <c r="LDK68" s="456"/>
      <c r="LDL68" s="456"/>
      <c r="LDM68" s="456"/>
      <c r="LDN68" s="456"/>
      <c r="LDO68" s="456"/>
      <c r="LDP68" s="456"/>
      <c r="LDQ68" s="456"/>
      <c r="LDR68" s="456"/>
      <c r="LDS68" s="456"/>
      <c r="LDT68" s="456"/>
      <c r="LDU68" s="456"/>
      <c r="LDV68" s="456"/>
      <c r="LDW68" s="456"/>
      <c r="LDX68" s="456"/>
      <c r="LDY68" s="456"/>
      <c r="LDZ68" s="456"/>
      <c r="LEA68" s="456"/>
      <c r="LEB68" s="456"/>
      <c r="LEC68" s="456"/>
      <c r="LED68" s="456"/>
      <c r="LEE68" s="456"/>
      <c r="LEF68" s="456"/>
      <c r="LEG68" s="456"/>
      <c r="LEH68" s="456"/>
      <c r="LEI68" s="456"/>
      <c r="LEJ68" s="456"/>
      <c r="LEK68" s="456"/>
      <c r="LEL68" s="456"/>
      <c r="LEM68" s="456"/>
      <c r="LEN68" s="456"/>
      <c r="LEO68" s="456"/>
      <c r="LEP68" s="456"/>
      <c r="LEQ68" s="456"/>
      <c r="LER68" s="456"/>
      <c r="LES68" s="456"/>
      <c r="LET68" s="456"/>
      <c r="LEU68" s="456"/>
      <c r="LEV68" s="456"/>
      <c r="LEW68" s="456"/>
      <c r="LEX68" s="456"/>
      <c r="LEY68" s="456"/>
      <c r="LEZ68" s="456"/>
      <c r="LFA68" s="456"/>
      <c r="LFB68" s="456"/>
      <c r="LFC68" s="456"/>
      <c r="LFD68" s="456"/>
      <c r="LFE68" s="456"/>
      <c r="LFF68" s="456"/>
      <c r="LFG68" s="456"/>
      <c r="LFH68" s="456"/>
      <c r="LFI68" s="456"/>
      <c r="LFJ68" s="456"/>
      <c r="LFK68" s="456"/>
      <c r="LFL68" s="456"/>
      <c r="LFM68" s="456"/>
      <c r="LFN68" s="456"/>
      <c r="LFO68" s="456"/>
      <c r="LFP68" s="456"/>
      <c r="LFQ68" s="456"/>
      <c r="LFR68" s="456"/>
      <c r="LFS68" s="456"/>
      <c r="LFT68" s="456"/>
      <c r="LFU68" s="456"/>
      <c r="LFV68" s="456"/>
      <c r="LFW68" s="456"/>
      <c r="LFX68" s="456"/>
      <c r="LFY68" s="456"/>
      <c r="LFZ68" s="456"/>
      <c r="LGA68" s="456"/>
      <c r="LGB68" s="456"/>
      <c r="LGC68" s="456"/>
      <c r="LGD68" s="456"/>
      <c r="LGE68" s="456"/>
      <c r="LGF68" s="456"/>
      <c r="LGG68" s="456"/>
      <c r="LGH68" s="456"/>
      <c r="LGI68" s="456"/>
      <c r="LGJ68" s="456"/>
      <c r="LGK68" s="456"/>
      <c r="LGL68" s="456"/>
      <c r="LGM68" s="456"/>
      <c r="LGN68" s="456"/>
      <c r="LGO68" s="456"/>
      <c r="LGP68" s="456"/>
      <c r="LGQ68" s="456"/>
      <c r="LGR68" s="456"/>
      <c r="LGS68" s="456"/>
      <c r="LGT68" s="456"/>
      <c r="LGU68" s="456"/>
      <c r="LGV68" s="456"/>
      <c r="LGW68" s="456"/>
      <c r="LGX68" s="456"/>
      <c r="LGY68" s="456"/>
      <c r="LGZ68" s="456"/>
      <c r="LHA68" s="456"/>
      <c r="LHB68" s="456"/>
      <c r="LHC68" s="456"/>
      <c r="LHD68" s="456"/>
      <c r="LHE68" s="456"/>
      <c r="LHF68" s="456"/>
      <c r="LHG68" s="456"/>
      <c r="LHH68" s="456"/>
      <c r="LHI68" s="456"/>
      <c r="LHJ68" s="456"/>
      <c r="LHK68" s="456"/>
      <c r="LHL68" s="456"/>
      <c r="LHM68" s="456"/>
      <c r="LHN68" s="456"/>
      <c r="LHO68" s="456"/>
      <c r="LHP68" s="456"/>
      <c r="LHQ68" s="456"/>
      <c r="LHR68" s="456"/>
      <c r="LHS68" s="456"/>
      <c r="LHT68" s="456"/>
      <c r="LHU68" s="456"/>
      <c r="LHV68" s="456"/>
      <c r="LHW68" s="456"/>
      <c r="LHX68" s="456"/>
      <c r="LHY68" s="456"/>
      <c r="LHZ68" s="456"/>
      <c r="LIA68" s="456"/>
      <c r="LIB68" s="456"/>
      <c r="LIC68" s="456"/>
      <c r="LID68" s="456"/>
      <c r="LIE68" s="456"/>
      <c r="LIF68" s="456"/>
      <c r="LIG68" s="456"/>
      <c r="LIH68" s="456"/>
      <c r="LII68" s="456"/>
      <c r="LIJ68" s="456"/>
      <c r="LIK68" s="456"/>
      <c r="LIL68" s="456"/>
      <c r="LIM68" s="456"/>
      <c r="LIN68" s="456"/>
      <c r="LIO68" s="456"/>
      <c r="LIP68" s="456"/>
      <c r="LIQ68" s="456"/>
      <c r="LIR68" s="456"/>
      <c r="LIS68" s="456"/>
      <c r="LIT68" s="456"/>
      <c r="LIU68" s="456"/>
      <c r="LIV68" s="456"/>
      <c r="LIW68" s="456"/>
      <c r="LIX68" s="456"/>
      <c r="LIY68" s="456"/>
      <c r="LIZ68" s="456"/>
      <c r="LJA68" s="456"/>
      <c r="LJB68" s="456"/>
      <c r="LJC68" s="456"/>
      <c r="LJD68" s="456"/>
      <c r="LJE68" s="456"/>
      <c r="LJF68" s="456"/>
      <c r="LJG68" s="456"/>
      <c r="LJH68" s="456"/>
      <c r="LJI68" s="456"/>
      <c r="LJJ68" s="456"/>
      <c r="LJK68" s="456"/>
      <c r="LJL68" s="456"/>
      <c r="LJM68" s="456"/>
      <c r="LJN68" s="456"/>
      <c r="LJO68" s="456"/>
      <c r="LJP68" s="456"/>
      <c r="LJQ68" s="456"/>
      <c r="LJR68" s="456"/>
      <c r="LJS68" s="456"/>
      <c r="LJT68" s="456"/>
      <c r="LJU68" s="456"/>
      <c r="LJV68" s="456"/>
      <c r="LJW68" s="456"/>
      <c r="LJX68" s="456"/>
      <c r="LJY68" s="456"/>
      <c r="LJZ68" s="456"/>
      <c r="LKA68" s="456"/>
      <c r="LKB68" s="456"/>
      <c r="LKC68" s="456"/>
      <c r="LKD68" s="456"/>
      <c r="LKE68" s="456"/>
      <c r="LKF68" s="456"/>
      <c r="LKG68" s="456"/>
      <c r="LKH68" s="456"/>
      <c r="LKI68" s="456"/>
      <c r="LKJ68" s="456"/>
      <c r="LKK68" s="456"/>
      <c r="LKL68" s="456"/>
      <c r="LKM68" s="456"/>
      <c r="LKN68" s="456"/>
      <c r="LKO68" s="456"/>
      <c r="LKP68" s="456"/>
      <c r="LKQ68" s="456"/>
      <c r="LKR68" s="456"/>
      <c r="LKS68" s="456"/>
      <c r="LKT68" s="456"/>
      <c r="LKU68" s="456"/>
      <c r="LKV68" s="456"/>
      <c r="LKW68" s="456"/>
      <c r="LKX68" s="456"/>
      <c r="LKY68" s="456"/>
      <c r="LKZ68" s="456"/>
      <c r="LLA68" s="456"/>
      <c r="LLB68" s="456"/>
      <c r="LLC68" s="456"/>
      <c r="LLD68" s="456"/>
      <c r="LLE68" s="456"/>
      <c r="LLF68" s="456"/>
      <c r="LLG68" s="456"/>
      <c r="LLH68" s="456"/>
      <c r="LLI68" s="456"/>
      <c r="LLJ68" s="456"/>
      <c r="LLK68" s="456"/>
      <c r="LLL68" s="456"/>
      <c r="LLM68" s="456"/>
      <c r="LLN68" s="456"/>
      <c r="LLO68" s="456"/>
      <c r="LLP68" s="456"/>
      <c r="LLQ68" s="456"/>
      <c r="LLR68" s="456"/>
      <c r="LLS68" s="456"/>
      <c r="LLT68" s="456"/>
      <c r="LLU68" s="456"/>
      <c r="LLV68" s="456"/>
      <c r="LLW68" s="456"/>
      <c r="LLX68" s="456"/>
      <c r="LLY68" s="456"/>
      <c r="LLZ68" s="456"/>
      <c r="LMA68" s="456"/>
      <c r="LMB68" s="456"/>
      <c r="LMC68" s="456"/>
      <c r="LMD68" s="456"/>
      <c r="LME68" s="456"/>
      <c r="LMF68" s="456"/>
      <c r="LMG68" s="456"/>
      <c r="LMH68" s="456"/>
      <c r="LMI68" s="456"/>
      <c r="LMJ68" s="456"/>
      <c r="LMK68" s="456"/>
      <c r="LML68" s="456"/>
      <c r="LMM68" s="456"/>
      <c r="LMN68" s="456"/>
      <c r="LMO68" s="456"/>
      <c r="LMP68" s="456"/>
      <c r="LMQ68" s="456"/>
      <c r="LMR68" s="456"/>
      <c r="LMS68" s="456"/>
      <c r="LMT68" s="456"/>
      <c r="LMU68" s="456"/>
      <c r="LMV68" s="456"/>
      <c r="LMW68" s="456"/>
      <c r="LMX68" s="456"/>
      <c r="LMY68" s="456"/>
      <c r="LMZ68" s="456"/>
      <c r="LNA68" s="456"/>
      <c r="LNB68" s="456"/>
      <c r="LNC68" s="456"/>
      <c r="LND68" s="456"/>
      <c r="LNE68" s="456"/>
      <c r="LNF68" s="456"/>
      <c r="LNG68" s="456"/>
      <c r="LNH68" s="456"/>
      <c r="LNI68" s="456"/>
      <c r="LNJ68" s="456"/>
      <c r="LNK68" s="456"/>
      <c r="LNL68" s="456"/>
      <c r="LNM68" s="456"/>
      <c r="LNN68" s="456"/>
      <c r="LNO68" s="456"/>
      <c r="LNP68" s="456"/>
      <c r="LNQ68" s="456"/>
      <c r="LNR68" s="456"/>
      <c r="LNS68" s="456"/>
      <c r="LNT68" s="456"/>
      <c r="LNU68" s="456"/>
      <c r="LNV68" s="456"/>
      <c r="LNW68" s="456"/>
      <c r="LNX68" s="456"/>
      <c r="LNY68" s="456"/>
      <c r="LNZ68" s="456"/>
      <c r="LOA68" s="456"/>
      <c r="LOB68" s="456"/>
      <c r="LOC68" s="456"/>
      <c r="LOD68" s="456"/>
      <c r="LOE68" s="456"/>
      <c r="LOF68" s="456"/>
      <c r="LOG68" s="456"/>
      <c r="LOH68" s="456"/>
      <c r="LOI68" s="456"/>
      <c r="LOJ68" s="456"/>
      <c r="LOK68" s="456"/>
      <c r="LOL68" s="456"/>
      <c r="LOM68" s="456"/>
      <c r="LON68" s="456"/>
      <c r="LOO68" s="456"/>
      <c r="LOP68" s="456"/>
      <c r="LOQ68" s="456"/>
      <c r="LOR68" s="456"/>
      <c r="LOS68" s="456"/>
      <c r="LOT68" s="456"/>
      <c r="LOU68" s="456"/>
      <c r="LOV68" s="456"/>
      <c r="LOW68" s="456"/>
      <c r="LOX68" s="456"/>
      <c r="LOY68" s="456"/>
      <c r="LOZ68" s="456"/>
      <c r="LPA68" s="456"/>
      <c r="LPB68" s="456"/>
      <c r="LPC68" s="456"/>
      <c r="LPD68" s="456"/>
      <c r="LPE68" s="456"/>
      <c r="LPF68" s="456"/>
      <c r="LPG68" s="456"/>
      <c r="LPH68" s="456"/>
      <c r="LPI68" s="456"/>
      <c r="LPJ68" s="456"/>
      <c r="LPK68" s="456"/>
      <c r="LPL68" s="456"/>
      <c r="LPM68" s="456"/>
      <c r="LPN68" s="456"/>
      <c r="LPO68" s="456"/>
      <c r="LPP68" s="456"/>
      <c r="LPQ68" s="456"/>
      <c r="LPR68" s="456"/>
      <c r="LPS68" s="456"/>
      <c r="LPT68" s="456"/>
      <c r="LPU68" s="456"/>
      <c r="LPV68" s="456"/>
      <c r="LPW68" s="456"/>
      <c r="LPX68" s="456"/>
      <c r="LPY68" s="456"/>
      <c r="LPZ68" s="456"/>
      <c r="LQA68" s="456"/>
      <c r="LQB68" s="456"/>
      <c r="LQC68" s="456"/>
      <c r="LQD68" s="456"/>
      <c r="LQE68" s="456"/>
      <c r="LQF68" s="456"/>
      <c r="LQG68" s="456"/>
      <c r="LQH68" s="456"/>
      <c r="LQI68" s="456"/>
      <c r="LQJ68" s="456"/>
      <c r="LQK68" s="456"/>
      <c r="LQL68" s="456"/>
      <c r="LQM68" s="456"/>
      <c r="LQN68" s="456"/>
      <c r="LQO68" s="456"/>
      <c r="LQP68" s="456"/>
      <c r="LQQ68" s="456"/>
      <c r="LQR68" s="456"/>
      <c r="LQS68" s="456"/>
      <c r="LQT68" s="456"/>
      <c r="LQU68" s="456"/>
      <c r="LQV68" s="456"/>
      <c r="LQW68" s="456"/>
      <c r="LQX68" s="456"/>
      <c r="LQY68" s="456"/>
      <c r="LQZ68" s="456"/>
      <c r="LRA68" s="456"/>
      <c r="LRB68" s="456"/>
      <c r="LRC68" s="456"/>
      <c r="LRD68" s="456"/>
      <c r="LRE68" s="456"/>
      <c r="LRF68" s="456"/>
      <c r="LRG68" s="456"/>
      <c r="LRH68" s="456"/>
      <c r="LRI68" s="456"/>
      <c r="LRJ68" s="456"/>
      <c r="LRK68" s="456"/>
      <c r="LRL68" s="456"/>
      <c r="LRM68" s="456"/>
      <c r="LRN68" s="456"/>
      <c r="LRO68" s="456"/>
      <c r="LRP68" s="456"/>
      <c r="LRQ68" s="456"/>
      <c r="LRR68" s="456"/>
      <c r="LRS68" s="456"/>
      <c r="LRT68" s="456"/>
      <c r="LRU68" s="456"/>
      <c r="LRV68" s="456"/>
      <c r="LRW68" s="456"/>
      <c r="LRX68" s="456"/>
      <c r="LRY68" s="456"/>
      <c r="LRZ68" s="456"/>
      <c r="LSA68" s="456"/>
      <c r="LSB68" s="456"/>
      <c r="LSC68" s="456"/>
      <c r="LSD68" s="456"/>
      <c r="LSE68" s="456"/>
      <c r="LSF68" s="456"/>
      <c r="LSG68" s="456"/>
      <c r="LSH68" s="456"/>
      <c r="LSI68" s="456"/>
      <c r="LSJ68" s="456"/>
      <c r="LSK68" s="456"/>
      <c r="LSL68" s="456"/>
      <c r="LSM68" s="456"/>
      <c r="LSN68" s="456"/>
      <c r="LSO68" s="456"/>
      <c r="LSP68" s="456"/>
      <c r="LSQ68" s="456"/>
      <c r="LSR68" s="456"/>
      <c r="LSS68" s="456"/>
      <c r="LST68" s="456"/>
      <c r="LSU68" s="456"/>
      <c r="LSV68" s="456"/>
      <c r="LSW68" s="456"/>
      <c r="LSX68" s="456"/>
      <c r="LSY68" s="456"/>
      <c r="LSZ68" s="456"/>
      <c r="LTA68" s="456"/>
      <c r="LTB68" s="456"/>
      <c r="LTC68" s="456"/>
      <c r="LTD68" s="456"/>
      <c r="LTE68" s="456"/>
      <c r="LTF68" s="456"/>
      <c r="LTG68" s="456"/>
      <c r="LTH68" s="456"/>
      <c r="LTI68" s="456"/>
      <c r="LTJ68" s="456"/>
      <c r="LTK68" s="456"/>
      <c r="LTL68" s="456"/>
      <c r="LTM68" s="456"/>
      <c r="LTN68" s="456"/>
      <c r="LTO68" s="456"/>
      <c r="LTP68" s="456"/>
      <c r="LTQ68" s="456"/>
      <c r="LTR68" s="456"/>
      <c r="LTS68" s="456"/>
      <c r="LTT68" s="456"/>
      <c r="LTU68" s="456"/>
      <c r="LTV68" s="456"/>
      <c r="LTW68" s="456"/>
      <c r="LTX68" s="456"/>
      <c r="LTY68" s="456"/>
      <c r="LTZ68" s="456"/>
      <c r="LUA68" s="456"/>
      <c r="LUB68" s="456"/>
      <c r="LUC68" s="456"/>
      <c r="LUD68" s="456"/>
      <c r="LUE68" s="456"/>
      <c r="LUF68" s="456"/>
      <c r="LUG68" s="456"/>
      <c r="LUH68" s="456"/>
      <c r="LUI68" s="456"/>
      <c r="LUJ68" s="456"/>
      <c r="LUK68" s="456"/>
      <c r="LUL68" s="456"/>
      <c r="LUM68" s="456"/>
      <c r="LUN68" s="456"/>
      <c r="LUO68" s="456"/>
      <c r="LUP68" s="456"/>
      <c r="LUQ68" s="456"/>
      <c r="LUR68" s="456"/>
      <c r="LUS68" s="456"/>
      <c r="LUT68" s="456"/>
      <c r="LUU68" s="456"/>
      <c r="LUV68" s="456"/>
      <c r="LUW68" s="456"/>
      <c r="LUX68" s="456"/>
      <c r="LUY68" s="456"/>
      <c r="LUZ68" s="456"/>
      <c r="LVA68" s="456"/>
      <c r="LVB68" s="456"/>
      <c r="LVC68" s="456"/>
      <c r="LVD68" s="456"/>
      <c r="LVE68" s="456"/>
      <c r="LVF68" s="456"/>
      <c r="LVG68" s="456"/>
      <c r="LVH68" s="456"/>
      <c r="LVI68" s="456"/>
      <c r="LVJ68" s="456"/>
      <c r="LVK68" s="456"/>
      <c r="LVL68" s="456"/>
      <c r="LVM68" s="456"/>
      <c r="LVN68" s="456"/>
      <c r="LVO68" s="456"/>
      <c r="LVP68" s="456"/>
      <c r="LVQ68" s="456"/>
      <c r="LVR68" s="456"/>
      <c r="LVS68" s="456"/>
      <c r="LVT68" s="456"/>
      <c r="LVU68" s="456"/>
      <c r="LVV68" s="456"/>
      <c r="LVW68" s="456"/>
      <c r="LVX68" s="456"/>
      <c r="LVY68" s="456"/>
      <c r="LVZ68" s="456"/>
      <c r="LWA68" s="456"/>
      <c r="LWB68" s="456"/>
      <c r="LWC68" s="456"/>
      <c r="LWD68" s="456"/>
      <c r="LWE68" s="456"/>
      <c r="LWF68" s="456"/>
      <c r="LWG68" s="456"/>
      <c r="LWH68" s="456"/>
      <c r="LWI68" s="456"/>
      <c r="LWJ68" s="456"/>
      <c r="LWK68" s="456"/>
      <c r="LWL68" s="456"/>
      <c r="LWM68" s="456"/>
      <c r="LWN68" s="456"/>
      <c r="LWO68" s="456"/>
      <c r="LWP68" s="456"/>
      <c r="LWQ68" s="456"/>
      <c r="LWR68" s="456"/>
      <c r="LWS68" s="456"/>
      <c r="LWT68" s="456"/>
      <c r="LWU68" s="456"/>
      <c r="LWV68" s="456"/>
      <c r="LWW68" s="456"/>
      <c r="LWX68" s="456"/>
      <c r="LWY68" s="456"/>
      <c r="LWZ68" s="456"/>
      <c r="LXA68" s="456"/>
      <c r="LXB68" s="456"/>
      <c r="LXC68" s="456"/>
      <c r="LXD68" s="456"/>
      <c r="LXE68" s="456"/>
      <c r="LXF68" s="456"/>
      <c r="LXG68" s="456"/>
      <c r="LXH68" s="456"/>
      <c r="LXI68" s="456"/>
      <c r="LXJ68" s="456"/>
      <c r="LXK68" s="456"/>
      <c r="LXL68" s="456"/>
      <c r="LXM68" s="456"/>
      <c r="LXN68" s="456"/>
      <c r="LXO68" s="456"/>
      <c r="LXP68" s="456"/>
      <c r="LXQ68" s="456"/>
      <c r="LXR68" s="456"/>
      <c r="LXS68" s="456"/>
      <c r="LXT68" s="456"/>
      <c r="LXU68" s="456"/>
      <c r="LXV68" s="456"/>
      <c r="LXW68" s="456"/>
      <c r="LXX68" s="456"/>
      <c r="LXY68" s="456"/>
      <c r="LXZ68" s="456"/>
      <c r="LYA68" s="456"/>
      <c r="LYB68" s="456"/>
      <c r="LYC68" s="456"/>
      <c r="LYD68" s="456"/>
      <c r="LYE68" s="456"/>
      <c r="LYF68" s="456"/>
      <c r="LYG68" s="456"/>
      <c r="LYH68" s="456"/>
      <c r="LYI68" s="456"/>
      <c r="LYJ68" s="456"/>
      <c r="LYK68" s="456"/>
      <c r="LYL68" s="456"/>
      <c r="LYM68" s="456"/>
      <c r="LYN68" s="456"/>
      <c r="LYO68" s="456"/>
      <c r="LYP68" s="456"/>
      <c r="LYQ68" s="456"/>
      <c r="LYR68" s="456"/>
      <c r="LYS68" s="456"/>
      <c r="LYT68" s="456"/>
      <c r="LYU68" s="456"/>
      <c r="LYV68" s="456"/>
      <c r="LYW68" s="456"/>
      <c r="LYX68" s="456"/>
      <c r="LYY68" s="456"/>
      <c r="LYZ68" s="456"/>
      <c r="LZA68" s="456"/>
      <c r="LZB68" s="456"/>
      <c r="LZC68" s="456"/>
      <c r="LZD68" s="456"/>
      <c r="LZE68" s="456"/>
      <c r="LZF68" s="456"/>
      <c r="LZG68" s="456"/>
      <c r="LZH68" s="456"/>
      <c r="LZI68" s="456"/>
      <c r="LZJ68" s="456"/>
      <c r="LZK68" s="456"/>
      <c r="LZL68" s="456"/>
      <c r="LZM68" s="456"/>
      <c r="LZN68" s="456"/>
      <c r="LZO68" s="456"/>
      <c r="LZP68" s="456"/>
      <c r="LZQ68" s="456"/>
      <c r="LZR68" s="456"/>
      <c r="LZS68" s="456"/>
      <c r="LZT68" s="456"/>
      <c r="LZU68" s="456"/>
      <c r="LZV68" s="456"/>
      <c r="LZW68" s="456"/>
      <c r="LZX68" s="456"/>
      <c r="LZY68" s="456"/>
      <c r="LZZ68" s="456"/>
      <c r="MAA68" s="456"/>
      <c r="MAB68" s="456"/>
      <c r="MAC68" s="456"/>
      <c r="MAD68" s="456"/>
      <c r="MAE68" s="456"/>
      <c r="MAF68" s="456"/>
      <c r="MAG68" s="456"/>
      <c r="MAH68" s="456"/>
      <c r="MAI68" s="456"/>
      <c r="MAJ68" s="456"/>
      <c r="MAK68" s="456"/>
      <c r="MAL68" s="456"/>
      <c r="MAM68" s="456"/>
      <c r="MAN68" s="456"/>
      <c r="MAO68" s="456"/>
      <c r="MAP68" s="456"/>
      <c r="MAQ68" s="456"/>
      <c r="MAR68" s="456"/>
      <c r="MAS68" s="456"/>
      <c r="MAT68" s="456"/>
      <c r="MAU68" s="456"/>
      <c r="MAV68" s="456"/>
      <c r="MAW68" s="456"/>
      <c r="MAX68" s="456"/>
      <c r="MAY68" s="456"/>
      <c r="MAZ68" s="456"/>
      <c r="MBA68" s="456"/>
      <c r="MBB68" s="456"/>
      <c r="MBC68" s="456"/>
      <c r="MBD68" s="456"/>
      <c r="MBE68" s="456"/>
      <c r="MBF68" s="456"/>
      <c r="MBG68" s="456"/>
      <c r="MBH68" s="456"/>
      <c r="MBI68" s="456"/>
      <c r="MBJ68" s="456"/>
      <c r="MBK68" s="456"/>
      <c r="MBL68" s="456"/>
      <c r="MBM68" s="456"/>
      <c r="MBN68" s="456"/>
      <c r="MBO68" s="456"/>
      <c r="MBP68" s="456"/>
      <c r="MBQ68" s="456"/>
      <c r="MBR68" s="456"/>
      <c r="MBS68" s="456"/>
      <c r="MBT68" s="456"/>
      <c r="MBU68" s="456"/>
      <c r="MBV68" s="456"/>
      <c r="MBW68" s="456"/>
      <c r="MBX68" s="456"/>
      <c r="MBY68" s="456"/>
      <c r="MBZ68" s="456"/>
      <c r="MCA68" s="456"/>
      <c r="MCB68" s="456"/>
      <c r="MCC68" s="456"/>
      <c r="MCD68" s="456"/>
      <c r="MCE68" s="456"/>
      <c r="MCF68" s="456"/>
      <c r="MCG68" s="456"/>
      <c r="MCH68" s="456"/>
      <c r="MCI68" s="456"/>
      <c r="MCJ68" s="456"/>
      <c r="MCK68" s="456"/>
      <c r="MCL68" s="456"/>
      <c r="MCM68" s="456"/>
      <c r="MCN68" s="456"/>
      <c r="MCO68" s="456"/>
      <c r="MCP68" s="456"/>
      <c r="MCQ68" s="456"/>
      <c r="MCR68" s="456"/>
      <c r="MCS68" s="456"/>
      <c r="MCT68" s="456"/>
      <c r="MCU68" s="456"/>
      <c r="MCV68" s="456"/>
      <c r="MCW68" s="456"/>
      <c r="MCX68" s="456"/>
      <c r="MCY68" s="456"/>
      <c r="MCZ68" s="456"/>
      <c r="MDA68" s="456"/>
      <c r="MDB68" s="456"/>
      <c r="MDC68" s="456"/>
      <c r="MDD68" s="456"/>
      <c r="MDE68" s="456"/>
      <c r="MDF68" s="456"/>
      <c r="MDG68" s="456"/>
      <c r="MDH68" s="456"/>
      <c r="MDI68" s="456"/>
      <c r="MDJ68" s="456"/>
      <c r="MDK68" s="456"/>
      <c r="MDL68" s="456"/>
      <c r="MDM68" s="456"/>
      <c r="MDN68" s="456"/>
      <c r="MDO68" s="456"/>
      <c r="MDP68" s="456"/>
      <c r="MDQ68" s="456"/>
      <c r="MDR68" s="456"/>
      <c r="MDS68" s="456"/>
      <c r="MDT68" s="456"/>
      <c r="MDU68" s="456"/>
      <c r="MDV68" s="456"/>
      <c r="MDW68" s="456"/>
      <c r="MDX68" s="456"/>
      <c r="MDY68" s="456"/>
      <c r="MDZ68" s="456"/>
      <c r="MEA68" s="456"/>
      <c r="MEB68" s="456"/>
      <c r="MEC68" s="456"/>
      <c r="MED68" s="456"/>
      <c r="MEE68" s="456"/>
      <c r="MEF68" s="456"/>
      <c r="MEG68" s="456"/>
      <c r="MEH68" s="456"/>
      <c r="MEI68" s="456"/>
      <c r="MEJ68" s="456"/>
      <c r="MEK68" s="456"/>
      <c r="MEL68" s="456"/>
      <c r="MEM68" s="456"/>
      <c r="MEN68" s="456"/>
      <c r="MEO68" s="456"/>
      <c r="MEP68" s="456"/>
      <c r="MEQ68" s="456"/>
      <c r="MER68" s="456"/>
      <c r="MES68" s="456"/>
      <c r="MET68" s="456"/>
      <c r="MEU68" s="456"/>
      <c r="MEV68" s="456"/>
      <c r="MEW68" s="456"/>
      <c r="MEX68" s="456"/>
      <c r="MEY68" s="456"/>
      <c r="MEZ68" s="456"/>
      <c r="MFA68" s="456"/>
      <c r="MFB68" s="456"/>
      <c r="MFC68" s="456"/>
      <c r="MFD68" s="456"/>
      <c r="MFE68" s="456"/>
      <c r="MFF68" s="456"/>
      <c r="MFG68" s="456"/>
      <c r="MFH68" s="456"/>
      <c r="MFI68" s="456"/>
      <c r="MFJ68" s="456"/>
      <c r="MFK68" s="456"/>
      <c r="MFL68" s="456"/>
      <c r="MFM68" s="456"/>
      <c r="MFN68" s="456"/>
      <c r="MFO68" s="456"/>
      <c r="MFP68" s="456"/>
      <c r="MFQ68" s="456"/>
      <c r="MFR68" s="456"/>
      <c r="MFS68" s="456"/>
      <c r="MFT68" s="456"/>
      <c r="MFU68" s="456"/>
      <c r="MFV68" s="456"/>
      <c r="MFW68" s="456"/>
      <c r="MFX68" s="456"/>
      <c r="MFY68" s="456"/>
      <c r="MFZ68" s="456"/>
      <c r="MGA68" s="456"/>
      <c r="MGB68" s="456"/>
      <c r="MGC68" s="456"/>
      <c r="MGD68" s="456"/>
      <c r="MGE68" s="456"/>
      <c r="MGF68" s="456"/>
      <c r="MGG68" s="456"/>
      <c r="MGH68" s="456"/>
      <c r="MGI68" s="456"/>
      <c r="MGJ68" s="456"/>
      <c r="MGK68" s="456"/>
      <c r="MGL68" s="456"/>
      <c r="MGM68" s="456"/>
      <c r="MGN68" s="456"/>
      <c r="MGO68" s="456"/>
      <c r="MGP68" s="456"/>
      <c r="MGQ68" s="456"/>
      <c r="MGR68" s="456"/>
      <c r="MGS68" s="456"/>
      <c r="MGT68" s="456"/>
      <c r="MGU68" s="456"/>
      <c r="MGV68" s="456"/>
      <c r="MGW68" s="456"/>
      <c r="MGX68" s="456"/>
      <c r="MGY68" s="456"/>
      <c r="MGZ68" s="456"/>
      <c r="MHA68" s="456"/>
      <c r="MHB68" s="456"/>
      <c r="MHC68" s="456"/>
      <c r="MHD68" s="456"/>
      <c r="MHE68" s="456"/>
      <c r="MHF68" s="456"/>
      <c r="MHG68" s="456"/>
      <c r="MHH68" s="456"/>
      <c r="MHI68" s="456"/>
      <c r="MHJ68" s="456"/>
      <c r="MHK68" s="456"/>
      <c r="MHL68" s="456"/>
      <c r="MHM68" s="456"/>
      <c r="MHN68" s="456"/>
      <c r="MHO68" s="456"/>
      <c r="MHP68" s="456"/>
      <c r="MHQ68" s="456"/>
      <c r="MHR68" s="456"/>
      <c r="MHS68" s="456"/>
      <c r="MHT68" s="456"/>
      <c r="MHU68" s="456"/>
      <c r="MHV68" s="456"/>
      <c r="MHW68" s="456"/>
      <c r="MHX68" s="456"/>
      <c r="MHY68" s="456"/>
      <c r="MHZ68" s="456"/>
      <c r="MIA68" s="456"/>
      <c r="MIB68" s="456"/>
      <c r="MIC68" s="456"/>
      <c r="MID68" s="456"/>
      <c r="MIE68" s="456"/>
      <c r="MIF68" s="456"/>
      <c r="MIG68" s="456"/>
      <c r="MIH68" s="456"/>
      <c r="MII68" s="456"/>
      <c r="MIJ68" s="456"/>
      <c r="MIK68" s="456"/>
      <c r="MIL68" s="456"/>
      <c r="MIM68" s="456"/>
      <c r="MIN68" s="456"/>
      <c r="MIO68" s="456"/>
      <c r="MIP68" s="456"/>
      <c r="MIQ68" s="456"/>
      <c r="MIR68" s="456"/>
      <c r="MIS68" s="456"/>
      <c r="MIT68" s="456"/>
      <c r="MIU68" s="456"/>
      <c r="MIV68" s="456"/>
      <c r="MIW68" s="456"/>
      <c r="MIX68" s="456"/>
      <c r="MIY68" s="456"/>
      <c r="MIZ68" s="456"/>
      <c r="MJA68" s="456"/>
      <c r="MJB68" s="456"/>
      <c r="MJC68" s="456"/>
      <c r="MJD68" s="456"/>
      <c r="MJE68" s="456"/>
      <c r="MJF68" s="456"/>
      <c r="MJG68" s="456"/>
      <c r="MJH68" s="456"/>
      <c r="MJI68" s="456"/>
      <c r="MJJ68" s="456"/>
      <c r="MJK68" s="456"/>
      <c r="MJL68" s="456"/>
      <c r="MJM68" s="456"/>
      <c r="MJN68" s="456"/>
      <c r="MJO68" s="456"/>
      <c r="MJP68" s="456"/>
      <c r="MJQ68" s="456"/>
      <c r="MJR68" s="456"/>
      <c r="MJS68" s="456"/>
      <c r="MJT68" s="456"/>
      <c r="MJU68" s="456"/>
      <c r="MJV68" s="456"/>
      <c r="MJW68" s="456"/>
      <c r="MJX68" s="456"/>
      <c r="MJY68" s="456"/>
      <c r="MJZ68" s="456"/>
      <c r="MKA68" s="456"/>
      <c r="MKB68" s="456"/>
      <c r="MKC68" s="456"/>
      <c r="MKD68" s="456"/>
      <c r="MKE68" s="456"/>
      <c r="MKF68" s="456"/>
      <c r="MKG68" s="456"/>
      <c r="MKH68" s="456"/>
      <c r="MKI68" s="456"/>
      <c r="MKJ68" s="456"/>
      <c r="MKK68" s="456"/>
      <c r="MKL68" s="456"/>
      <c r="MKM68" s="456"/>
      <c r="MKN68" s="456"/>
      <c r="MKO68" s="456"/>
      <c r="MKP68" s="456"/>
      <c r="MKQ68" s="456"/>
      <c r="MKR68" s="456"/>
      <c r="MKS68" s="456"/>
      <c r="MKT68" s="456"/>
      <c r="MKU68" s="456"/>
      <c r="MKV68" s="456"/>
      <c r="MKW68" s="456"/>
      <c r="MKX68" s="456"/>
      <c r="MKY68" s="456"/>
      <c r="MKZ68" s="456"/>
      <c r="MLA68" s="456"/>
      <c r="MLB68" s="456"/>
      <c r="MLC68" s="456"/>
      <c r="MLD68" s="456"/>
      <c r="MLE68" s="456"/>
      <c r="MLF68" s="456"/>
      <c r="MLG68" s="456"/>
      <c r="MLH68" s="456"/>
      <c r="MLI68" s="456"/>
      <c r="MLJ68" s="456"/>
      <c r="MLK68" s="456"/>
      <c r="MLL68" s="456"/>
      <c r="MLM68" s="456"/>
      <c r="MLN68" s="456"/>
      <c r="MLO68" s="456"/>
      <c r="MLP68" s="456"/>
      <c r="MLQ68" s="456"/>
      <c r="MLR68" s="456"/>
      <c r="MLS68" s="456"/>
      <c r="MLT68" s="456"/>
      <c r="MLU68" s="456"/>
      <c r="MLV68" s="456"/>
      <c r="MLW68" s="456"/>
      <c r="MLX68" s="456"/>
      <c r="MLY68" s="456"/>
      <c r="MLZ68" s="456"/>
      <c r="MMA68" s="456"/>
      <c r="MMB68" s="456"/>
      <c r="MMC68" s="456"/>
      <c r="MMD68" s="456"/>
      <c r="MME68" s="456"/>
      <c r="MMF68" s="456"/>
      <c r="MMG68" s="456"/>
      <c r="MMH68" s="456"/>
      <c r="MMI68" s="456"/>
      <c r="MMJ68" s="456"/>
      <c r="MMK68" s="456"/>
      <c r="MML68" s="456"/>
      <c r="MMM68" s="456"/>
      <c r="MMN68" s="456"/>
      <c r="MMO68" s="456"/>
      <c r="MMP68" s="456"/>
      <c r="MMQ68" s="456"/>
      <c r="MMR68" s="456"/>
      <c r="MMS68" s="456"/>
      <c r="MMT68" s="456"/>
      <c r="MMU68" s="456"/>
      <c r="MMV68" s="456"/>
      <c r="MMW68" s="456"/>
      <c r="MMX68" s="456"/>
      <c r="MMY68" s="456"/>
      <c r="MMZ68" s="456"/>
      <c r="MNA68" s="456"/>
      <c r="MNB68" s="456"/>
      <c r="MNC68" s="456"/>
      <c r="MND68" s="456"/>
      <c r="MNE68" s="456"/>
      <c r="MNF68" s="456"/>
      <c r="MNG68" s="456"/>
      <c r="MNH68" s="456"/>
      <c r="MNI68" s="456"/>
      <c r="MNJ68" s="456"/>
      <c r="MNK68" s="456"/>
      <c r="MNL68" s="456"/>
      <c r="MNM68" s="456"/>
      <c r="MNN68" s="456"/>
      <c r="MNO68" s="456"/>
      <c r="MNP68" s="456"/>
      <c r="MNQ68" s="456"/>
      <c r="MNR68" s="456"/>
      <c r="MNS68" s="456"/>
      <c r="MNT68" s="456"/>
      <c r="MNU68" s="456"/>
      <c r="MNV68" s="456"/>
      <c r="MNW68" s="456"/>
      <c r="MNX68" s="456"/>
      <c r="MNY68" s="456"/>
      <c r="MNZ68" s="456"/>
      <c r="MOA68" s="456"/>
      <c r="MOB68" s="456"/>
      <c r="MOC68" s="456"/>
      <c r="MOD68" s="456"/>
      <c r="MOE68" s="456"/>
      <c r="MOF68" s="456"/>
      <c r="MOG68" s="456"/>
      <c r="MOH68" s="456"/>
      <c r="MOI68" s="456"/>
      <c r="MOJ68" s="456"/>
      <c r="MOK68" s="456"/>
      <c r="MOL68" s="456"/>
      <c r="MOM68" s="456"/>
      <c r="MON68" s="456"/>
      <c r="MOO68" s="456"/>
      <c r="MOP68" s="456"/>
      <c r="MOQ68" s="456"/>
      <c r="MOR68" s="456"/>
      <c r="MOS68" s="456"/>
      <c r="MOT68" s="456"/>
      <c r="MOU68" s="456"/>
      <c r="MOV68" s="456"/>
      <c r="MOW68" s="456"/>
      <c r="MOX68" s="456"/>
      <c r="MOY68" s="456"/>
      <c r="MOZ68" s="456"/>
      <c r="MPA68" s="456"/>
      <c r="MPB68" s="456"/>
      <c r="MPC68" s="456"/>
      <c r="MPD68" s="456"/>
      <c r="MPE68" s="456"/>
      <c r="MPF68" s="456"/>
      <c r="MPG68" s="456"/>
      <c r="MPH68" s="456"/>
      <c r="MPI68" s="456"/>
      <c r="MPJ68" s="456"/>
      <c r="MPK68" s="456"/>
      <c r="MPL68" s="456"/>
      <c r="MPM68" s="456"/>
      <c r="MPN68" s="456"/>
      <c r="MPO68" s="456"/>
      <c r="MPP68" s="456"/>
      <c r="MPQ68" s="456"/>
      <c r="MPR68" s="456"/>
      <c r="MPS68" s="456"/>
      <c r="MPT68" s="456"/>
      <c r="MPU68" s="456"/>
      <c r="MPV68" s="456"/>
      <c r="MPW68" s="456"/>
      <c r="MPX68" s="456"/>
      <c r="MPY68" s="456"/>
      <c r="MPZ68" s="456"/>
      <c r="MQA68" s="456"/>
      <c r="MQB68" s="456"/>
      <c r="MQC68" s="456"/>
      <c r="MQD68" s="456"/>
      <c r="MQE68" s="456"/>
      <c r="MQF68" s="456"/>
      <c r="MQG68" s="456"/>
      <c r="MQH68" s="456"/>
      <c r="MQI68" s="456"/>
      <c r="MQJ68" s="456"/>
      <c r="MQK68" s="456"/>
      <c r="MQL68" s="456"/>
      <c r="MQM68" s="456"/>
      <c r="MQN68" s="456"/>
      <c r="MQO68" s="456"/>
      <c r="MQP68" s="456"/>
      <c r="MQQ68" s="456"/>
      <c r="MQR68" s="456"/>
      <c r="MQS68" s="456"/>
      <c r="MQT68" s="456"/>
      <c r="MQU68" s="456"/>
      <c r="MQV68" s="456"/>
      <c r="MQW68" s="456"/>
      <c r="MQX68" s="456"/>
      <c r="MQY68" s="456"/>
      <c r="MQZ68" s="456"/>
      <c r="MRA68" s="456"/>
      <c r="MRB68" s="456"/>
      <c r="MRC68" s="456"/>
      <c r="MRD68" s="456"/>
      <c r="MRE68" s="456"/>
      <c r="MRF68" s="456"/>
      <c r="MRG68" s="456"/>
      <c r="MRH68" s="456"/>
      <c r="MRI68" s="456"/>
      <c r="MRJ68" s="456"/>
      <c r="MRK68" s="456"/>
      <c r="MRL68" s="456"/>
      <c r="MRM68" s="456"/>
      <c r="MRN68" s="456"/>
      <c r="MRO68" s="456"/>
      <c r="MRP68" s="456"/>
      <c r="MRQ68" s="456"/>
      <c r="MRR68" s="456"/>
      <c r="MRS68" s="456"/>
      <c r="MRT68" s="456"/>
      <c r="MRU68" s="456"/>
      <c r="MRV68" s="456"/>
      <c r="MRW68" s="456"/>
      <c r="MRX68" s="456"/>
      <c r="MRY68" s="456"/>
      <c r="MRZ68" s="456"/>
      <c r="MSA68" s="456"/>
      <c r="MSB68" s="456"/>
      <c r="MSC68" s="456"/>
      <c r="MSD68" s="456"/>
      <c r="MSE68" s="456"/>
      <c r="MSF68" s="456"/>
      <c r="MSG68" s="456"/>
      <c r="MSH68" s="456"/>
      <c r="MSI68" s="456"/>
      <c r="MSJ68" s="456"/>
      <c r="MSK68" s="456"/>
      <c r="MSL68" s="456"/>
      <c r="MSM68" s="456"/>
      <c r="MSN68" s="456"/>
      <c r="MSO68" s="456"/>
      <c r="MSP68" s="456"/>
      <c r="MSQ68" s="456"/>
      <c r="MSR68" s="456"/>
      <c r="MSS68" s="456"/>
      <c r="MST68" s="456"/>
      <c r="MSU68" s="456"/>
      <c r="MSV68" s="456"/>
      <c r="MSW68" s="456"/>
      <c r="MSX68" s="456"/>
      <c r="MSY68" s="456"/>
      <c r="MSZ68" s="456"/>
      <c r="MTA68" s="456"/>
      <c r="MTB68" s="456"/>
      <c r="MTC68" s="456"/>
      <c r="MTD68" s="456"/>
      <c r="MTE68" s="456"/>
      <c r="MTF68" s="456"/>
      <c r="MTG68" s="456"/>
      <c r="MTH68" s="456"/>
      <c r="MTI68" s="456"/>
      <c r="MTJ68" s="456"/>
      <c r="MTK68" s="456"/>
      <c r="MTL68" s="456"/>
      <c r="MTM68" s="456"/>
      <c r="MTN68" s="456"/>
      <c r="MTO68" s="456"/>
      <c r="MTP68" s="456"/>
      <c r="MTQ68" s="456"/>
      <c r="MTR68" s="456"/>
      <c r="MTS68" s="456"/>
      <c r="MTT68" s="456"/>
      <c r="MTU68" s="456"/>
      <c r="MTV68" s="456"/>
      <c r="MTW68" s="456"/>
      <c r="MTX68" s="456"/>
      <c r="MTY68" s="456"/>
      <c r="MTZ68" s="456"/>
      <c r="MUA68" s="456"/>
      <c r="MUB68" s="456"/>
      <c r="MUC68" s="456"/>
      <c r="MUD68" s="456"/>
      <c r="MUE68" s="456"/>
      <c r="MUF68" s="456"/>
      <c r="MUG68" s="456"/>
      <c r="MUH68" s="456"/>
      <c r="MUI68" s="456"/>
      <c r="MUJ68" s="456"/>
      <c r="MUK68" s="456"/>
      <c r="MUL68" s="456"/>
      <c r="MUM68" s="456"/>
      <c r="MUN68" s="456"/>
      <c r="MUO68" s="456"/>
      <c r="MUP68" s="456"/>
      <c r="MUQ68" s="456"/>
      <c r="MUR68" s="456"/>
      <c r="MUS68" s="456"/>
      <c r="MUT68" s="456"/>
      <c r="MUU68" s="456"/>
      <c r="MUV68" s="456"/>
      <c r="MUW68" s="456"/>
      <c r="MUX68" s="456"/>
      <c r="MUY68" s="456"/>
      <c r="MUZ68" s="456"/>
      <c r="MVA68" s="456"/>
      <c r="MVB68" s="456"/>
      <c r="MVC68" s="456"/>
      <c r="MVD68" s="456"/>
      <c r="MVE68" s="456"/>
      <c r="MVF68" s="456"/>
      <c r="MVG68" s="456"/>
      <c r="MVH68" s="456"/>
      <c r="MVI68" s="456"/>
      <c r="MVJ68" s="456"/>
      <c r="MVK68" s="456"/>
      <c r="MVL68" s="456"/>
      <c r="MVM68" s="456"/>
      <c r="MVN68" s="456"/>
      <c r="MVO68" s="456"/>
      <c r="MVP68" s="456"/>
      <c r="MVQ68" s="456"/>
      <c r="MVR68" s="456"/>
      <c r="MVS68" s="456"/>
      <c r="MVT68" s="456"/>
      <c r="MVU68" s="456"/>
      <c r="MVV68" s="456"/>
      <c r="MVW68" s="456"/>
      <c r="MVX68" s="456"/>
      <c r="MVY68" s="456"/>
      <c r="MVZ68" s="456"/>
      <c r="MWA68" s="456"/>
      <c r="MWB68" s="456"/>
      <c r="MWC68" s="456"/>
      <c r="MWD68" s="456"/>
      <c r="MWE68" s="456"/>
      <c r="MWF68" s="456"/>
      <c r="MWG68" s="456"/>
      <c r="MWH68" s="456"/>
      <c r="MWI68" s="456"/>
      <c r="MWJ68" s="456"/>
      <c r="MWK68" s="456"/>
      <c r="MWL68" s="456"/>
      <c r="MWM68" s="456"/>
      <c r="MWN68" s="456"/>
      <c r="MWO68" s="456"/>
      <c r="MWP68" s="456"/>
      <c r="MWQ68" s="456"/>
      <c r="MWR68" s="456"/>
      <c r="MWS68" s="456"/>
      <c r="MWT68" s="456"/>
      <c r="MWU68" s="456"/>
      <c r="MWV68" s="456"/>
      <c r="MWW68" s="456"/>
      <c r="MWX68" s="456"/>
      <c r="MWY68" s="456"/>
      <c r="MWZ68" s="456"/>
      <c r="MXA68" s="456"/>
      <c r="MXB68" s="456"/>
      <c r="MXC68" s="456"/>
      <c r="MXD68" s="456"/>
      <c r="MXE68" s="456"/>
      <c r="MXF68" s="456"/>
      <c r="MXG68" s="456"/>
      <c r="MXH68" s="456"/>
      <c r="MXI68" s="456"/>
      <c r="MXJ68" s="456"/>
      <c r="MXK68" s="456"/>
      <c r="MXL68" s="456"/>
      <c r="MXM68" s="456"/>
      <c r="MXN68" s="456"/>
      <c r="MXO68" s="456"/>
      <c r="MXP68" s="456"/>
      <c r="MXQ68" s="456"/>
      <c r="MXR68" s="456"/>
      <c r="MXS68" s="456"/>
      <c r="MXT68" s="456"/>
      <c r="MXU68" s="456"/>
      <c r="MXV68" s="456"/>
      <c r="MXW68" s="456"/>
      <c r="MXX68" s="456"/>
      <c r="MXY68" s="456"/>
      <c r="MXZ68" s="456"/>
      <c r="MYA68" s="456"/>
      <c r="MYB68" s="456"/>
      <c r="MYC68" s="456"/>
      <c r="MYD68" s="456"/>
      <c r="MYE68" s="456"/>
      <c r="MYF68" s="456"/>
      <c r="MYG68" s="456"/>
      <c r="MYH68" s="456"/>
      <c r="MYI68" s="456"/>
      <c r="MYJ68" s="456"/>
      <c r="MYK68" s="456"/>
      <c r="MYL68" s="456"/>
      <c r="MYM68" s="456"/>
      <c r="MYN68" s="456"/>
      <c r="MYO68" s="456"/>
      <c r="MYP68" s="456"/>
      <c r="MYQ68" s="456"/>
      <c r="MYR68" s="456"/>
      <c r="MYS68" s="456"/>
      <c r="MYT68" s="456"/>
      <c r="MYU68" s="456"/>
      <c r="MYV68" s="456"/>
      <c r="MYW68" s="456"/>
      <c r="MYX68" s="456"/>
      <c r="MYY68" s="456"/>
      <c r="MYZ68" s="456"/>
      <c r="MZA68" s="456"/>
      <c r="MZB68" s="456"/>
      <c r="MZC68" s="456"/>
      <c r="MZD68" s="456"/>
      <c r="MZE68" s="456"/>
      <c r="MZF68" s="456"/>
      <c r="MZG68" s="456"/>
      <c r="MZH68" s="456"/>
      <c r="MZI68" s="456"/>
      <c r="MZJ68" s="456"/>
      <c r="MZK68" s="456"/>
      <c r="MZL68" s="456"/>
      <c r="MZM68" s="456"/>
      <c r="MZN68" s="456"/>
      <c r="MZO68" s="456"/>
      <c r="MZP68" s="456"/>
      <c r="MZQ68" s="456"/>
      <c r="MZR68" s="456"/>
      <c r="MZS68" s="456"/>
      <c r="MZT68" s="456"/>
      <c r="MZU68" s="456"/>
      <c r="MZV68" s="456"/>
      <c r="MZW68" s="456"/>
      <c r="MZX68" s="456"/>
      <c r="MZY68" s="456"/>
      <c r="MZZ68" s="456"/>
      <c r="NAA68" s="456"/>
      <c r="NAB68" s="456"/>
      <c r="NAC68" s="456"/>
      <c r="NAD68" s="456"/>
      <c r="NAE68" s="456"/>
      <c r="NAF68" s="456"/>
      <c r="NAG68" s="456"/>
      <c r="NAH68" s="456"/>
      <c r="NAI68" s="456"/>
      <c r="NAJ68" s="456"/>
      <c r="NAK68" s="456"/>
      <c r="NAL68" s="456"/>
      <c r="NAM68" s="456"/>
      <c r="NAN68" s="456"/>
      <c r="NAO68" s="456"/>
      <c r="NAP68" s="456"/>
      <c r="NAQ68" s="456"/>
      <c r="NAR68" s="456"/>
      <c r="NAS68" s="456"/>
      <c r="NAT68" s="456"/>
      <c r="NAU68" s="456"/>
      <c r="NAV68" s="456"/>
      <c r="NAW68" s="456"/>
      <c r="NAX68" s="456"/>
      <c r="NAY68" s="456"/>
      <c r="NAZ68" s="456"/>
      <c r="NBA68" s="456"/>
      <c r="NBB68" s="456"/>
      <c r="NBC68" s="456"/>
      <c r="NBD68" s="456"/>
      <c r="NBE68" s="456"/>
      <c r="NBF68" s="456"/>
      <c r="NBG68" s="456"/>
      <c r="NBH68" s="456"/>
      <c r="NBI68" s="456"/>
      <c r="NBJ68" s="456"/>
      <c r="NBK68" s="456"/>
      <c r="NBL68" s="456"/>
      <c r="NBM68" s="456"/>
      <c r="NBN68" s="456"/>
      <c r="NBO68" s="456"/>
      <c r="NBP68" s="456"/>
      <c r="NBQ68" s="456"/>
      <c r="NBR68" s="456"/>
      <c r="NBS68" s="456"/>
      <c r="NBT68" s="456"/>
      <c r="NBU68" s="456"/>
      <c r="NBV68" s="456"/>
      <c r="NBW68" s="456"/>
      <c r="NBX68" s="456"/>
      <c r="NBY68" s="456"/>
      <c r="NBZ68" s="456"/>
      <c r="NCA68" s="456"/>
      <c r="NCB68" s="456"/>
      <c r="NCC68" s="456"/>
      <c r="NCD68" s="456"/>
      <c r="NCE68" s="456"/>
      <c r="NCF68" s="456"/>
      <c r="NCG68" s="456"/>
      <c r="NCH68" s="456"/>
      <c r="NCI68" s="456"/>
      <c r="NCJ68" s="456"/>
      <c r="NCK68" s="456"/>
      <c r="NCL68" s="456"/>
      <c r="NCM68" s="456"/>
      <c r="NCN68" s="456"/>
      <c r="NCO68" s="456"/>
      <c r="NCP68" s="456"/>
      <c r="NCQ68" s="456"/>
      <c r="NCR68" s="456"/>
      <c r="NCS68" s="456"/>
      <c r="NCT68" s="456"/>
      <c r="NCU68" s="456"/>
      <c r="NCV68" s="456"/>
      <c r="NCW68" s="456"/>
      <c r="NCX68" s="456"/>
      <c r="NCY68" s="456"/>
      <c r="NCZ68" s="456"/>
      <c r="NDA68" s="456"/>
      <c r="NDB68" s="456"/>
      <c r="NDC68" s="456"/>
      <c r="NDD68" s="456"/>
      <c r="NDE68" s="456"/>
      <c r="NDF68" s="456"/>
      <c r="NDG68" s="456"/>
      <c r="NDH68" s="456"/>
      <c r="NDI68" s="456"/>
      <c r="NDJ68" s="456"/>
      <c r="NDK68" s="456"/>
      <c r="NDL68" s="456"/>
      <c r="NDM68" s="456"/>
      <c r="NDN68" s="456"/>
      <c r="NDO68" s="456"/>
      <c r="NDP68" s="456"/>
      <c r="NDQ68" s="456"/>
      <c r="NDR68" s="456"/>
      <c r="NDS68" s="456"/>
      <c r="NDT68" s="456"/>
      <c r="NDU68" s="456"/>
      <c r="NDV68" s="456"/>
      <c r="NDW68" s="456"/>
      <c r="NDX68" s="456"/>
      <c r="NDY68" s="456"/>
      <c r="NDZ68" s="456"/>
      <c r="NEA68" s="456"/>
      <c r="NEB68" s="456"/>
      <c r="NEC68" s="456"/>
      <c r="NED68" s="456"/>
      <c r="NEE68" s="456"/>
      <c r="NEF68" s="456"/>
      <c r="NEG68" s="456"/>
      <c r="NEH68" s="456"/>
      <c r="NEI68" s="456"/>
      <c r="NEJ68" s="456"/>
      <c r="NEK68" s="456"/>
      <c r="NEL68" s="456"/>
      <c r="NEM68" s="456"/>
      <c r="NEN68" s="456"/>
      <c r="NEO68" s="456"/>
      <c r="NEP68" s="456"/>
      <c r="NEQ68" s="456"/>
      <c r="NER68" s="456"/>
      <c r="NES68" s="456"/>
      <c r="NET68" s="456"/>
      <c r="NEU68" s="456"/>
      <c r="NEV68" s="456"/>
      <c r="NEW68" s="456"/>
      <c r="NEX68" s="456"/>
      <c r="NEY68" s="456"/>
      <c r="NEZ68" s="456"/>
      <c r="NFA68" s="456"/>
      <c r="NFB68" s="456"/>
      <c r="NFC68" s="456"/>
      <c r="NFD68" s="456"/>
      <c r="NFE68" s="456"/>
      <c r="NFF68" s="456"/>
      <c r="NFG68" s="456"/>
      <c r="NFH68" s="456"/>
      <c r="NFI68" s="456"/>
      <c r="NFJ68" s="456"/>
      <c r="NFK68" s="456"/>
      <c r="NFL68" s="456"/>
      <c r="NFM68" s="456"/>
      <c r="NFN68" s="456"/>
      <c r="NFO68" s="456"/>
      <c r="NFP68" s="456"/>
      <c r="NFQ68" s="456"/>
      <c r="NFR68" s="456"/>
      <c r="NFS68" s="456"/>
      <c r="NFT68" s="456"/>
      <c r="NFU68" s="456"/>
      <c r="NFV68" s="456"/>
      <c r="NFW68" s="456"/>
      <c r="NFX68" s="456"/>
      <c r="NFY68" s="456"/>
      <c r="NFZ68" s="456"/>
      <c r="NGA68" s="456"/>
      <c r="NGB68" s="456"/>
      <c r="NGC68" s="456"/>
      <c r="NGD68" s="456"/>
      <c r="NGE68" s="456"/>
      <c r="NGF68" s="456"/>
      <c r="NGG68" s="456"/>
      <c r="NGH68" s="456"/>
      <c r="NGI68" s="456"/>
      <c r="NGJ68" s="456"/>
      <c r="NGK68" s="456"/>
      <c r="NGL68" s="456"/>
      <c r="NGM68" s="456"/>
      <c r="NGN68" s="456"/>
      <c r="NGO68" s="456"/>
      <c r="NGP68" s="456"/>
      <c r="NGQ68" s="456"/>
      <c r="NGR68" s="456"/>
      <c r="NGS68" s="456"/>
      <c r="NGT68" s="456"/>
      <c r="NGU68" s="456"/>
      <c r="NGV68" s="456"/>
      <c r="NGW68" s="456"/>
      <c r="NGX68" s="456"/>
      <c r="NGY68" s="456"/>
      <c r="NGZ68" s="456"/>
      <c r="NHA68" s="456"/>
      <c r="NHB68" s="456"/>
      <c r="NHC68" s="456"/>
      <c r="NHD68" s="456"/>
      <c r="NHE68" s="456"/>
      <c r="NHF68" s="456"/>
      <c r="NHG68" s="456"/>
      <c r="NHH68" s="456"/>
      <c r="NHI68" s="456"/>
      <c r="NHJ68" s="456"/>
      <c r="NHK68" s="456"/>
      <c r="NHL68" s="456"/>
      <c r="NHM68" s="456"/>
      <c r="NHN68" s="456"/>
      <c r="NHO68" s="456"/>
      <c r="NHP68" s="456"/>
      <c r="NHQ68" s="456"/>
      <c r="NHR68" s="456"/>
      <c r="NHS68" s="456"/>
      <c r="NHT68" s="456"/>
      <c r="NHU68" s="456"/>
      <c r="NHV68" s="456"/>
      <c r="NHW68" s="456"/>
      <c r="NHX68" s="456"/>
      <c r="NHY68" s="456"/>
      <c r="NHZ68" s="456"/>
      <c r="NIA68" s="456"/>
      <c r="NIB68" s="456"/>
      <c r="NIC68" s="456"/>
      <c r="NID68" s="456"/>
      <c r="NIE68" s="456"/>
      <c r="NIF68" s="456"/>
      <c r="NIG68" s="456"/>
      <c r="NIH68" s="456"/>
      <c r="NII68" s="456"/>
      <c r="NIJ68" s="456"/>
      <c r="NIK68" s="456"/>
      <c r="NIL68" s="456"/>
      <c r="NIM68" s="456"/>
      <c r="NIN68" s="456"/>
      <c r="NIO68" s="456"/>
      <c r="NIP68" s="456"/>
      <c r="NIQ68" s="456"/>
      <c r="NIR68" s="456"/>
      <c r="NIS68" s="456"/>
      <c r="NIT68" s="456"/>
      <c r="NIU68" s="456"/>
      <c r="NIV68" s="456"/>
      <c r="NIW68" s="456"/>
      <c r="NIX68" s="456"/>
      <c r="NIY68" s="456"/>
      <c r="NIZ68" s="456"/>
      <c r="NJA68" s="456"/>
      <c r="NJB68" s="456"/>
      <c r="NJC68" s="456"/>
      <c r="NJD68" s="456"/>
      <c r="NJE68" s="456"/>
      <c r="NJF68" s="456"/>
      <c r="NJG68" s="456"/>
      <c r="NJH68" s="456"/>
      <c r="NJI68" s="456"/>
      <c r="NJJ68" s="456"/>
      <c r="NJK68" s="456"/>
      <c r="NJL68" s="456"/>
      <c r="NJM68" s="456"/>
      <c r="NJN68" s="456"/>
      <c r="NJO68" s="456"/>
      <c r="NJP68" s="456"/>
      <c r="NJQ68" s="456"/>
      <c r="NJR68" s="456"/>
      <c r="NJS68" s="456"/>
      <c r="NJT68" s="456"/>
      <c r="NJU68" s="456"/>
      <c r="NJV68" s="456"/>
      <c r="NJW68" s="456"/>
      <c r="NJX68" s="456"/>
      <c r="NJY68" s="456"/>
      <c r="NJZ68" s="456"/>
      <c r="NKA68" s="456"/>
      <c r="NKB68" s="456"/>
      <c r="NKC68" s="456"/>
      <c r="NKD68" s="456"/>
      <c r="NKE68" s="456"/>
      <c r="NKF68" s="456"/>
      <c r="NKG68" s="456"/>
      <c r="NKH68" s="456"/>
      <c r="NKI68" s="456"/>
      <c r="NKJ68" s="456"/>
      <c r="NKK68" s="456"/>
      <c r="NKL68" s="456"/>
      <c r="NKM68" s="456"/>
      <c r="NKN68" s="456"/>
      <c r="NKO68" s="456"/>
      <c r="NKP68" s="456"/>
      <c r="NKQ68" s="456"/>
      <c r="NKR68" s="456"/>
      <c r="NKS68" s="456"/>
      <c r="NKT68" s="456"/>
      <c r="NKU68" s="456"/>
      <c r="NKV68" s="456"/>
      <c r="NKW68" s="456"/>
      <c r="NKX68" s="456"/>
      <c r="NKY68" s="456"/>
      <c r="NKZ68" s="456"/>
      <c r="NLA68" s="456"/>
      <c r="NLB68" s="456"/>
      <c r="NLC68" s="456"/>
      <c r="NLD68" s="456"/>
      <c r="NLE68" s="456"/>
      <c r="NLF68" s="456"/>
      <c r="NLG68" s="456"/>
      <c r="NLH68" s="456"/>
      <c r="NLI68" s="456"/>
      <c r="NLJ68" s="456"/>
      <c r="NLK68" s="456"/>
      <c r="NLL68" s="456"/>
      <c r="NLM68" s="456"/>
      <c r="NLN68" s="456"/>
      <c r="NLO68" s="456"/>
      <c r="NLP68" s="456"/>
      <c r="NLQ68" s="456"/>
      <c r="NLR68" s="456"/>
      <c r="NLS68" s="456"/>
      <c r="NLT68" s="456"/>
      <c r="NLU68" s="456"/>
      <c r="NLV68" s="456"/>
      <c r="NLW68" s="456"/>
      <c r="NLX68" s="456"/>
      <c r="NLY68" s="456"/>
      <c r="NLZ68" s="456"/>
      <c r="NMA68" s="456"/>
      <c r="NMB68" s="456"/>
      <c r="NMC68" s="456"/>
      <c r="NMD68" s="456"/>
      <c r="NME68" s="456"/>
      <c r="NMF68" s="456"/>
      <c r="NMG68" s="456"/>
      <c r="NMH68" s="456"/>
      <c r="NMI68" s="456"/>
      <c r="NMJ68" s="456"/>
      <c r="NMK68" s="456"/>
      <c r="NML68" s="456"/>
      <c r="NMM68" s="456"/>
      <c r="NMN68" s="456"/>
      <c r="NMO68" s="456"/>
      <c r="NMP68" s="456"/>
      <c r="NMQ68" s="456"/>
      <c r="NMR68" s="456"/>
      <c r="NMS68" s="456"/>
      <c r="NMT68" s="456"/>
      <c r="NMU68" s="456"/>
      <c r="NMV68" s="456"/>
      <c r="NMW68" s="456"/>
      <c r="NMX68" s="456"/>
      <c r="NMY68" s="456"/>
      <c r="NMZ68" s="456"/>
      <c r="NNA68" s="456"/>
      <c r="NNB68" s="456"/>
      <c r="NNC68" s="456"/>
      <c r="NND68" s="456"/>
      <c r="NNE68" s="456"/>
      <c r="NNF68" s="456"/>
      <c r="NNG68" s="456"/>
      <c r="NNH68" s="456"/>
      <c r="NNI68" s="456"/>
      <c r="NNJ68" s="456"/>
      <c r="NNK68" s="456"/>
      <c r="NNL68" s="456"/>
      <c r="NNM68" s="456"/>
      <c r="NNN68" s="456"/>
      <c r="NNO68" s="456"/>
      <c r="NNP68" s="456"/>
      <c r="NNQ68" s="456"/>
      <c r="NNR68" s="456"/>
      <c r="NNS68" s="456"/>
      <c r="NNT68" s="456"/>
      <c r="NNU68" s="456"/>
      <c r="NNV68" s="456"/>
      <c r="NNW68" s="456"/>
      <c r="NNX68" s="456"/>
      <c r="NNY68" s="456"/>
      <c r="NNZ68" s="456"/>
      <c r="NOA68" s="456"/>
      <c r="NOB68" s="456"/>
      <c r="NOC68" s="456"/>
      <c r="NOD68" s="456"/>
      <c r="NOE68" s="456"/>
      <c r="NOF68" s="456"/>
      <c r="NOG68" s="456"/>
      <c r="NOH68" s="456"/>
      <c r="NOI68" s="456"/>
      <c r="NOJ68" s="456"/>
      <c r="NOK68" s="456"/>
      <c r="NOL68" s="456"/>
      <c r="NOM68" s="456"/>
      <c r="NON68" s="456"/>
      <c r="NOO68" s="456"/>
      <c r="NOP68" s="456"/>
      <c r="NOQ68" s="456"/>
      <c r="NOR68" s="456"/>
      <c r="NOS68" s="456"/>
      <c r="NOT68" s="456"/>
      <c r="NOU68" s="456"/>
      <c r="NOV68" s="456"/>
      <c r="NOW68" s="456"/>
      <c r="NOX68" s="456"/>
      <c r="NOY68" s="456"/>
      <c r="NOZ68" s="456"/>
      <c r="NPA68" s="456"/>
      <c r="NPB68" s="456"/>
      <c r="NPC68" s="456"/>
      <c r="NPD68" s="456"/>
      <c r="NPE68" s="456"/>
      <c r="NPF68" s="456"/>
      <c r="NPG68" s="456"/>
      <c r="NPH68" s="456"/>
      <c r="NPI68" s="456"/>
      <c r="NPJ68" s="456"/>
      <c r="NPK68" s="456"/>
      <c r="NPL68" s="456"/>
      <c r="NPM68" s="456"/>
      <c r="NPN68" s="456"/>
      <c r="NPO68" s="456"/>
      <c r="NPP68" s="456"/>
      <c r="NPQ68" s="456"/>
      <c r="NPR68" s="456"/>
      <c r="NPS68" s="456"/>
      <c r="NPT68" s="456"/>
      <c r="NPU68" s="456"/>
      <c r="NPV68" s="456"/>
      <c r="NPW68" s="456"/>
      <c r="NPX68" s="456"/>
      <c r="NPY68" s="456"/>
      <c r="NPZ68" s="456"/>
      <c r="NQA68" s="456"/>
      <c r="NQB68" s="456"/>
      <c r="NQC68" s="456"/>
      <c r="NQD68" s="456"/>
      <c r="NQE68" s="456"/>
      <c r="NQF68" s="456"/>
      <c r="NQG68" s="456"/>
      <c r="NQH68" s="456"/>
      <c r="NQI68" s="456"/>
      <c r="NQJ68" s="456"/>
      <c r="NQK68" s="456"/>
      <c r="NQL68" s="456"/>
      <c r="NQM68" s="456"/>
      <c r="NQN68" s="456"/>
      <c r="NQO68" s="456"/>
      <c r="NQP68" s="456"/>
      <c r="NQQ68" s="456"/>
      <c r="NQR68" s="456"/>
      <c r="NQS68" s="456"/>
      <c r="NQT68" s="456"/>
      <c r="NQU68" s="456"/>
      <c r="NQV68" s="456"/>
      <c r="NQW68" s="456"/>
      <c r="NQX68" s="456"/>
      <c r="NQY68" s="456"/>
      <c r="NQZ68" s="456"/>
      <c r="NRA68" s="456"/>
      <c r="NRB68" s="456"/>
      <c r="NRC68" s="456"/>
      <c r="NRD68" s="456"/>
      <c r="NRE68" s="456"/>
      <c r="NRF68" s="456"/>
      <c r="NRG68" s="456"/>
      <c r="NRH68" s="456"/>
      <c r="NRI68" s="456"/>
      <c r="NRJ68" s="456"/>
      <c r="NRK68" s="456"/>
      <c r="NRL68" s="456"/>
      <c r="NRM68" s="456"/>
      <c r="NRN68" s="456"/>
      <c r="NRO68" s="456"/>
      <c r="NRP68" s="456"/>
      <c r="NRQ68" s="456"/>
      <c r="NRR68" s="456"/>
      <c r="NRS68" s="456"/>
      <c r="NRT68" s="456"/>
      <c r="NRU68" s="456"/>
      <c r="NRV68" s="456"/>
      <c r="NRW68" s="456"/>
      <c r="NRX68" s="456"/>
      <c r="NRY68" s="456"/>
      <c r="NRZ68" s="456"/>
      <c r="NSA68" s="456"/>
      <c r="NSB68" s="456"/>
      <c r="NSC68" s="456"/>
      <c r="NSD68" s="456"/>
      <c r="NSE68" s="456"/>
      <c r="NSF68" s="456"/>
      <c r="NSG68" s="456"/>
      <c r="NSH68" s="456"/>
      <c r="NSI68" s="456"/>
      <c r="NSJ68" s="456"/>
      <c r="NSK68" s="456"/>
      <c r="NSL68" s="456"/>
      <c r="NSM68" s="456"/>
      <c r="NSN68" s="456"/>
      <c r="NSO68" s="456"/>
      <c r="NSP68" s="456"/>
      <c r="NSQ68" s="456"/>
      <c r="NSR68" s="456"/>
      <c r="NSS68" s="456"/>
      <c r="NST68" s="456"/>
      <c r="NSU68" s="456"/>
      <c r="NSV68" s="456"/>
      <c r="NSW68" s="456"/>
      <c r="NSX68" s="456"/>
      <c r="NSY68" s="456"/>
      <c r="NSZ68" s="456"/>
      <c r="NTA68" s="456"/>
      <c r="NTB68" s="456"/>
      <c r="NTC68" s="456"/>
      <c r="NTD68" s="456"/>
      <c r="NTE68" s="456"/>
      <c r="NTF68" s="456"/>
      <c r="NTG68" s="456"/>
      <c r="NTH68" s="456"/>
      <c r="NTI68" s="456"/>
      <c r="NTJ68" s="456"/>
      <c r="NTK68" s="456"/>
      <c r="NTL68" s="456"/>
      <c r="NTM68" s="456"/>
      <c r="NTN68" s="456"/>
      <c r="NTO68" s="456"/>
      <c r="NTP68" s="456"/>
      <c r="NTQ68" s="456"/>
      <c r="NTR68" s="456"/>
      <c r="NTS68" s="456"/>
      <c r="NTT68" s="456"/>
      <c r="NTU68" s="456"/>
      <c r="NTV68" s="456"/>
      <c r="NTW68" s="456"/>
      <c r="NTX68" s="456"/>
      <c r="NTY68" s="456"/>
      <c r="NTZ68" s="456"/>
      <c r="NUA68" s="456"/>
      <c r="NUB68" s="456"/>
      <c r="NUC68" s="456"/>
      <c r="NUD68" s="456"/>
      <c r="NUE68" s="456"/>
      <c r="NUF68" s="456"/>
      <c r="NUG68" s="456"/>
      <c r="NUH68" s="456"/>
      <c r="NUI68" s="456"/>
      <c r="NUJ68" s="456"/>
      <c r="NUK68" s="456"/>
      <c r="NUL68" s="456"/>
      <c r="NUM68" s="456"/>
      <c r="NUN68" s="456"/>
      <c r="NUO68" s="456"/>
      <c r="NUP68" s="456"/>
      <c r="NUQ68" s="456"/>
      <c r="NUR68" s="456"/>
      <c r="NUS68" s="456"/>
      <c r="NUT68" s="456"/>
      <c r="NUU68" s="456"/>
      <c r="NUV68" s="456"/>
      <c r="NUW68" s="456"/>
      <c r="NUX68" s="456"/>
      <c r="NUY68" s="456"/>
      <c r="NUZ68" s="456"/>
      <c r="NVA68" s="456"/>
      <c r="NVB68" s="456"/>
      <c r="NVC68" s="456"/>
      <c r="NVD68" s="456"/>
      <c r="NVE68" s="456"/>
      <c r="NVF68" s="456"/>
      <c r="NVG68" s="456"/>
      <c r="NVH68" s="456"/>
      <c r="NVI68" s="456"/>
      <c r="NVJ68" s="456"/>
      <c r="NVK68" s="456"/>
      <c r="NVL68" s="456"/>
      <c r="NVM68" s="456"/>
      <c r="NVN68" s="456"/>
      <c r="NVO68" s="456"/>
      <c r="NVP68" s="456"/>
      <c r="NVQ68" s="456"/>
      <c r="NVR68" s="456"/>
      <c r="NVS68" s="456"/>
      <c r="NVT68" s="456"/>
      <c r="NVU68" s="456"/>
      <c r="NVV68" s="456"/>
      <c r="NVW68" s="456"/>
      <c r="NVX68" s="456"/>
      <c r="NVY68" s="456"/>
      <c r="NVZ68" s="456"/>
      <c r="NWA68" s="456"/>
      <c r="NWB68" s="456"/>
      <c r="NWC68" s="456"/>
      <c r="NWD68" s="456"/>
      <c r="NWE68" s="456"/>
      <c r="NWF68" s="456"/>
      <c r="NWG68" s="456"/>
      <c r="NWH68" s="456"/>
      <c r="NWI68" s="456"/>
      <c r="NWJ68" s="456"/>
      <c r="NWK68" s="456"/>
      <c r="NWL68" s="456"/>
      <c r="NWM68" s="456"/>
      <c r="NWN68" s="456"/>
      <c r="NWO68" s="456"/>
      <c r="NWP68" s="456"/>
      <c r="NWQ68" s="456"/>
      <c r="NWR68" s="456"/>
      <c r="NWS68" s="456"/>
      <c r="NWT68" s="456"/>
      <c r="NWU68" s="456"/>
      <c r="NWV68" s="456"/>
      <c r="NWW68" s="456"/>
      <c r="NWX68" s="456"/>
      <c r="NWY68" s="456"/>
      <c r="NWZ68" s="456"/>
      <c r="NXA68" s="456"/>
      <c r="NXB68" s="456"/>
      <c r="NXC68" s="456"/>
      <c r="NXD68" s="456"/>
      <c r="NXE68" s="456"/>
      <c r="NXF68" s="456"/>
      <c r="NXG68" s="456"/>
      <c r="NXH68" s="456"/>
      <c r="NXI68" s="456"/>
      <c r="NXJ68" s="456"/>
      <c r="NXK68" s="456"/>
      <c r="NXL68" s="456"/>
      <c r="NXM68" s="456"/>
      <c r="NXN68" s="456"/>
      <c r="NXO68" s="456"/>
      <c r="NXP68" s="456"/>
      <c r="NXQ68" s="456"/>
      <c r="NXR68" s="456"/>
      <c r="NXS68" s="456"/>
      <c r="NXT68" s="456"/>
      <c r="NXU68" s="456"/>
      <c r="NXV68" s="456"/>
      <c r="NXW68" s="456"/>
      <c r="NXX68" s="456"/>
      <c r="NXY68" s="456"/>
      <c r="NXZ68" s="456"/>
      <c r="NYA68" s="456"/>
      <c r="NYB68" s="456"/>
      <c r="NYC68" s="456"/>
      <c r="NYD68" s="456"/>
      <c r="NYE68" s="456"/>
      <c r="NYF68" s="456"/>
      <c r="NYG68" s="456"/>
      <c r="NYH68" s="456"/>
      <c r="NYI68" s="456"/>
      <c r="NYJ68" s="456"/>
      <c r="NYK68" s="456"/>
      <c r="NYL68" s="456"/>
      <c r="NYM68" s="456"/>
      <c r="NYN68" s="456"/>
      <c r="NYO68" s="456"/>
      <c r="NYP68" s="456"/>
      <c r="NYQ68" s="456"/>
      <c r="NYR68" s="456"/>
      <c r="NYS68" s="456"/>
      <c r="NYT68" s="456"/>
      <c r="NYU68" s="456"/>
      <c r="NYV68" s="456"/>
      <c r="NYW68" s="456"/>
      <c r="NYX68" s="456"/>
      <c r="NYY68" s="456"/>
      <c r="NYZ68" s="456"/>
      <c r="NZA68" s="456"/>
      <c r="NZB68" s="456"/>
      <c r="NZC68" s="456"/>
      <c r="NZD68" s="456"/>
      <c r="NZE68" s="456"/>
      <c r="NZF68" s="456"/>
      <c r="NZG68" s="456"/>
      <c r="NZH68" s="456"/>
      <c r="NZI68" s="456"/>
      <c r="NZJ68" s="456"/>
      <c r="NZK68" s="456"/>
      <c r="NZL68" s="456"/>
      <c r="NZM68" s="456"/>
      <c r="NZN68" s="456"/>
      <c r="NZO68" s="456"/>
      <c r="NZP68" s="456"/>
      <c r="NZQ68" s="456"/>
      <c r="NZR68" s="456"/>
      <c r="NZS68" s="456"/>
      <c r="NZT68" s="456"/>
      <c r="NZU68" s="456"/>
      <c r="NZV68" s="456"/>
      <c r="NZW68" s="456"/>
      <c r="NZX68" s="456"/>
      <c r="NZY68" s="456"/>
      <c r="NZZ68" s="456"/>
      <c r="OAA68" s="456"/>
      <c r="OAB68" s="456"/>
      <c r="OAC68" s="456"/>
      <c r="OAD68" s="456"/>
      <c r="OAE68" s="456"/>
      <c r="OAF68" s="456"/>
      <c r="OAG68" s="456"/>
      <c r="OAH68" s="456"/>
      <c r="OAI68" s="456"/>
      <c r="OAJ68" s="456"/>
      <c r="OAK68" s="456"/>
      <c r="OAL68" s="456"/>
      <c r="OAM68" s="456"/>
      <c r="OAN68" s="456"/>
      <c r="OAO68" s="456"/>
      <c r="OAP68" s="456"/>
      <c r="OAQ68" s="456"/>
      <c r="OAR68" s="456"/>
      <c r="OAS68" s="456"/>
      <c r="OAT68" s="456"/>
      <c r="OAU68" s="456"/>
      <c r="OAV68" s="456"/>
      <c r="OAW68" s="456"/>
      <c r="OAX68" s="456"/>
      <c r="OAY68" s="456"/>
      <c r="OAZ68" s="456"/>
      <c r="OBA68" s="456"/>
      <c r="OBB68" s="456"/>
      <c r="OBC68" s="456"/>
      <c r="OBD68" s="456"/>
      <c r="OBE68" s="456"/>
      <c r="OBF68" s="456"/>
      <c r="OBG68" s="456"/>
      <c r="OBH68" s="456"/>
      <c r="OBI68" s="456"/>
      <c r="OBJ68" s="456"/>
      <c r="OBK68" s="456"/>
      <c r="OBL68" s="456"/>
      <c r="OBM68" s="456"/>
      <c r="OBN68" s="456"/>
      <c r="OBO68" s="456"/>
      <c r="OBP68" s="456"/>
      <c r="OBQ68" s="456"/>
      <c r="OBR68" s="456"/>
      <c r="OBS68" s="456"/>
      <c r="OBT68" s="456"/>
      <c r="OBU68" s="456"/>
      <c r="OBV68" s="456"/>
      <c r="OBW68" s="456"/>
      <c r="OBX68" s="456"/>
      <c r="OBY68" s="456"/>
      <c r="OBZ68" s="456"/>
      <c r="OCA68" s="456"/>
      <c r="OCB68" s="456"/>
      <c r="OCC68" s="456"/>
      <c r="OCD68" s="456"/>
      <c r="OCE68" s="456"/>
      <c r="OCF68" s="456"/>
      <c r="OCG68" s="456"/>
      <c r="OCH68" s="456"/>
      <c r="OCI68" s="456"/>
      <c r="OCJ68" s="456"/>
      <c r="OCK68" s="456"/>
      <c r="OCL68" s="456"/>
      <c r="OCM68" s="456"/>
      <c r="OCN68" s="456"/>
      <c r="OCO68" s="456"/>
      <c r="OCP68" s="456"/>
      <c r="OCQ68" s="456"/>
      <c r="OCR68" s="456"/>
      <c r="OCS68" s="456"/>
      <c r="OCT68" s="456"/>
      <c r="OCU68" s="456"/>
      <c r="OCV68" s="456"/>
      <c r="OCW68" s="456"/>
      <c r="OCX68" s="456"/>
      <c r="OCY68" s="456"/>
      <c r="OCZ68" s="456"/>
      <c r="ODA68" s="456"/>
      <c r="ODB68" s="456"/>
      <c r="ODC68" s="456"/>
      <c r="ODD68" s="456"/>
      <c r="ODE68" s="456"/>
      <c r="ODF68" s="456"/>
      <c r="ODG68" s="456"/>
      <c r="ODH68" s="456"/>
      <c r="ODI68" s="456"/>
      <c r="ODJ68" s="456"/>
      <c r="ODK68" s="456"/>
      <c r="ODL68" s="456"/>
      <c r="ODM68" s="456"/>
      <c r="ODN68" s="456"/>
      <c r="ODO68" s="456"/>
      <c r="ODP68" s="456"/>
      <c r="ODQ68" s="456"/>
      <c r="ODR68" s="456"/>
      <c r="ODS68" s="456"/>
      <c r="ODT68" s="456"/>
      <c r="ODU68" s="456"/>
      <c r="ODV68" s="456"/>
      <c r="ODW68" s="456"/>
      <c r="ODX68" s="456"/>
      <c r="ODY68" s="456"/>
      <c r="ODZ68" s="456"/>
      <c r="OEA68" s="456"/>
      <c r="OEB68" s="456"/>
      <c r="OEC68" s="456"/>
      <c r="OED68" s="456"/>
      <c r="OEE68" s="456"/>
      <c r="OEF68" s="456"/>
      <c r="OEG68" s="456"/>
      <c r="OEH68" s="456"/>
      <c r="OEI68" s="456"/>
      <c r="OEJ68" s="456"/>
      <c r="OEK68" s="456"/>
      <c r="OEL68" s="456"/>
      <c r="OEM68" s="456"/>
      <c r="OEN68" s="456"/>
      <c r="OEO68" s="456"/>
      <c r="OEP68" s="456"/>
      <c r="OEQ68" s="456"/>
      <c r="OER68" s="456"/>
      <c r="OES68" s="456"/>
      <c r="OET68" s="456"/>
      <c r="OEU68" s="456"/>
      <c r="OEV68" s="456"/>
      <c r="OEW68" s="456"/>
      <c r="OEX68" s="456"/>
      <c r="OEY68" s="456"/>
      <c r="OEZ68" s="456"/>
      <c r="OFA68" s="456"/>
      <c r="OFB68" s="456"/>
      <c r="OFC68" s="456"/>
      <c r="OFD68" s="456"/>
      <c r="OFE68" s="456"/>
      <c r="OFF68" s="456"/>
      <c r="OFG68" s="456"/>
      <c r="OFH68" s="456"/>
      <c r="OFI68" s="456"/>
      <c r="OFJ68" s="456"/>
      <c r="OFK68" s="456"/>
      <c r="OFL68" s="456"/>
      <c r="OFM68" s="456"/>
      <c r="OFN68" s="456"/>
      <c r="OFO68" s="456"/>
      <c r="OFP68" s="456"/>
      <c r="OFQ68" s="456"/>
      <c r="OFR68" s="456"/>
      <c r="OFS68" s="456"/>
      <c r="OFT68" s="456"/>
      <c r="OFU68" s="456"/>
      <c r="OFV68" s="456"/>
      <c r="OFW68" s="456"/>
      <c r="OFX68" s="456"/>
      <c r="OFY68" s="456"/>
      <c r="OFZ68" s="456"/>
      <c r="OGA68" s="456"/>
      <c r="OGB68" s="456"/>
      <c r="OGC68" s="456"/>
      <c r="OGD68" s="456"/>
      <c r="OGE68" s="456"/>
      <c r="OGF68" s="456"/>
      <c r="OGG68" s="456"/>
      <c r="OGH68" s="456"/>
      <c r="OGI68" s="456"/>
      <c r="OGJ68" s="456"/>
      <c r="OGK68" s="456"/>
      <c r="OGL68" s="456"/>
      <c r="OGM68" s="456"/>
      <c r="OGN68" s="456"/>
      <c r="OGO68" s="456"/>
      <c r="OGP68" s="456"/>
      <c r="OGQ68" s="456"/>
      <c r="OGR68" s="456"/>
      <c r="OGS68" s="456"/>
      <c r="OGT68" s="456"/>
      <c r="OGU68" s="456"/>
      <c r="OGV68" s="456"/>
      <c r="OGW68" s="456"/>
      <c r="OGX68" s="456"/>
      <c r="OGY68" s="456"/>
      <c r="OGZ68" s="456"/>
      <c r="OHA68" s="456"/>
      <c r="OHB68" s="456"/>
      <c r="OHC68" s="456"/>
      <c r="OHD68" s="456"/>
      <c r="OHE68" s="456"/>
      <c r="OHF68" s="456"/>
      <c r="OHG68" s="456"/>
      <c r="OHH68" s="456"/>
      <c r="OHI68" s="456"/>
      <c r="OHJ68" s="456"/>
      <c r="OHK68" s="456"/>
      <c r="OHL68" s="456"/>
      <c r="OHM68" s="456"/>
      <c r="OHN68" s="456"/>
      <c r="OHO68" s="456"/>
      <c r="OHP68" s="456"/>
      <c r="OHQ68" s="456"/>
      <c r="OHR68" s="456"/>
      <c r="OHS68" s="456"/>
      <c r="OHT68" s="456"/>
      <c r="OHU68" s="456"/>
      <c r="OHV68" s="456"/>
      <c r="OHW68" s="456"/>
      <c r="OHX68" s="456"/>
      <c r="OHY68" s="456"/>
      <c r="OHZ68" s="456"/>
      <c r="OIA68" s="456"/>
      <c r="OIB68" s="456"/>
      <c r="OIC68" s="456"/>
      <c r="OID68" s="456"/>
      <c r="OIE68" s="456"/>
      <c r="OIF68" s="456"/>
      <c r="OIG68" s="456"/>
      <c r="OIH68" s="456"/>
      <c r="OII68" s="456"/>
      <c r="OIJ68" s="456"/>
      <c r="OIK68" s="456"/>
      <c r="OIL68" s="456"/>
      <c r="OIM68" s="456"/>
      <c r="OIN68" s="456"/>
      <c r="OIO68" s="456"/>
      <c r="OIP68" s="456"/>
      <c r="OIQ68" s="456"/>
      <c r="OIR68" s="456"/>
      <c r="OIS68" s="456"/>
      <c r="OIT68" s="456"/>
      <c r="OIU68" s="456"/>
      <c r="OIV68" s="456"/>
      <c r="OIW68" s="456"/>
      <c r="OIX68" s="456"/>
      <c r="OIY68" s="456"/>
      <c r="OIZ68" s="456"/>
      <c r="OJA68" s="456"/>
      <c r="OJB68" s="456"/>
      <c r="OJC68" s="456"/>
      <c r="OJD68" s="456"/>
      <c r="OJE68" s="456"/>
      <c r="OJF68" s="456"/>
      <c r="OJG68" s="456"/>
      <c r="OJH68" s="456"/>
      <c r="OJI68" s="456"/>
      <c r="OJJ68" s="456"/>
      <c r="OJK68" s="456"/>
      <c r="OJL68" s="456"/>
      <c r="OJM68" s="456"/>
      <c r="OJN68" s="456"/>
      <c r="OJO68" s="456"/>
      <c r="OJP68" s="456"/>
      <c r="OJQ68" s="456"/>
      <c r="OJR68" s="456"/>
      <c r="OJS68" s="456"/>
      <c r="OJT68" s="456"/>
      <c r="OJU68" s="456"/>
      <c r="OJV68" s="456"/>
      <c r="OJW68" s="456"/>
      <c r="OJX68" s="456"/>
      <c r="OJY68" s="456"/>
      <c r="OJZ68" s="456"/>
      <c r="OKA68" s="456"/>
      <c r="OKB68" s="456"/>
      <c r="OKC68" s="456"/>
      <c r="OKD68" s="456"/>
      <c r="OKE68" s="456"/>
      <c r="OKF68" s="456"/>
      <c r="OKG68" s="456"/>
      <c r="OKH68" s="456"/>
      <c r="OKI68" s="456"/>
      <c r="OKJ68" s="456"/>
      <c r="OKK68" s="456"/>
      <c r="OKL68" s="456"/>
      <c r="OKM68" s="456"/>
      <c r="OKN68" s="456"/>
      <c r="OKO68" s="456"/>
      <c r="OKP68" s="456"/>
      <c r="OKQ68" s="456"/>
      <c r="OKR68" s="456"/>
      <c r="OKS68" s="456"/>
      <c r="OKT68" s="456"/>
      <c r="OKU68" s="456"/>
      <c r="OKV68" s="456"/>
      <c r="OKW68" s="456"/>
      <c r="OKX68" s="456"/>
      <c r="OKY68" s="456"/>
      <c r="OKZ68" s="456"/>
      <c r="OLA68" s="456"/>
      <c r="OLB68" s="456"/>
      <c r="OLC68" s="456"/>
      <c r="OLD68" s="456"/>
      <c r="OLE68" s="456"/>
      <c r="OLF68" s="456"/>
      <c r="OLG68" s="456"/>
      <c r="OLH68" s="456"/>
      <c r="OLI68" s="456"/>
      <c r="OLJ68" s="456"/>
      <c r="OLK68" s="456"/>
      <c r="OLL68" s="456"/>
      <c r="OLM68" s="456"/>
      <c r="OLN68" s="456"/>
      <c r="OLO68" s="456"/>
      <c r="OLP68" s="456"/>
      <c r="OLQ68" s="456"/>
      <c r="OLR68" s="456"/>
      <c r="OLS68" s="456"/>
      <c r="OLT68" s="456"/>
      <c r="OLU68" s="456"/>
      <c r="OLV68" s="456"/>
      <c r="OLW68" s="456"/>
      <c r="OLX68" s="456"/>
      <c r="OLY68" s="456"/>
      <c r="OLZ68" s="456"/>
      <c r="OMA68" s="456"/>
      <c r="OMB68" s="456"/>
      <c r="OMC68" s="456"/>
      <c r="OMD68" s="456"/>
      <c r="OME68" s="456"/>
      <c r="OMF68" s="456"/>
      <c r="OMG68" s="456"/>
      <c r="OMH68" s="456"/>
      <c r="OMI68" s="456"/>
      <c r="OMJ68" s="456"/>
      <c r="OMK68" s="456"/>
      <c r="OML68" s="456"/>
      <c r="OMM68" s="456"/>
      <c r="OMN68" s="456"/>
      <c r="OMO68" s="456"/>
      <c r="OMP68" s="456"/>
      <c r="OMQ68" s="456"/>
      <c r="OMR68" s="456"/>
      <c r="OMS68" s="456"/>
      <c r="OMT68" s="456"/>
      <c r="OMU68" s="456"/>
      <c r="OMV68" s="456"/>
      <c r="OMW68" s="456"/>
      <c r="OMX68" s="456"/>
      <c r="OMY68" s="456"/>
      <c r="OMZ68" s="456"/>
      <c r="ONA68" s="456"/>
      <c r="ONB68" s="456"/>
      <c r="ONC68" s="456"/>
      <c r="OND68" s="456"/>
      <c r="ONE68" s="456"/>
      <c r="ONF68" s="456"/>
      <c r="ONG68" s="456"/>
      <c r="ONH68" s="456"/>
      <c r="ONI68" s="456"/>
      <c r="ONJ68" s="456"/>
      <c r="ONK68" s="456"/>
      <c r="ONL68" s="456"/>
      <c r="ONM68" s="456"/>
      <c r="ONN68" s="456"/>
      <c r="ONO68" s="456"/>
      <c r="ONP68" s="456"/>
      <c r="ONQ68" s="456"/>
      <c r="ONR68" s="456"/>
      <c r="ONS68" s="456"/>
      <c r="ONT68" s="456"/>
      <c r="ONU68" s="456"/>
      <c r="ONV68" s="456"/>
      <c r="ONW68" s="456"/>
      <c r="ONX68" s="456"/>
      <c r="ONY68" s="456"/>
      <c r="ONZ68" s="456"/>
      <c r="OOA68" s="456"/>
      <c r="OOB68" s="456"/>
      <c r="OOC68" s="456"/>
      <c r="OOD68" s="456"/>
      <c r="OOE68" s="456"/>
      <c r="OOF68" s="456"/>
      <c r="OOG68" s="456"/>
      <c r="OOH68" s="456"/>
      <c r="OOI68" s="456"/>
      <c r="OOJ68" s="456"/>
      <c r="OOK68" s="456"/>
      <c r="OOL68" s="456"/>
      <c r="OOM68" s="456"/>
      <c r="OON68" s="456"/>
      <c r="OOO68" s="456"/>
      <c r="OOP68" s="456"/>
      <c r="OOQ68" s="456"/>
      <c r="OOR68" s="456"/>
      <c r="OOS68" s="456"/>
      <c r="OOT68" s="456"/>
      <c r="OOU68" s="456"/>
      <c r="OOV68" s="456"/>
      <c r="OOW68" s="456"/>
      <c r="OOX68" s="456"/>
      <c r="OOY68" s="456"/>
      <c r="OOZ68" s="456"/>
      <c r="OPA68" s="456"/>
      <c r="OPB68" s="456"/>
      <c r="OPC68" s="456"/>
      <c r="OPD68" s="456"/>
      <c r="OPE68" s="456"/>
      <c r="OPF68" s="456"/>
      <c r="OPG68" s="456"/>
      <c r="OPH68" s="456"/>
      <c r="OPI68" s="456"/>
      <c r="OPJ68" s="456"/>
      <c r="OPK68" s="456"/>
      <c r="OPL68" s="456"/>
      <c r="OPM68" s="456"/>
      <c r="OPN68" s="456"/>
      <c r="OPO68" s="456"/>
      <c r="OPP68" s="456"/>
      <c r="OPQ68" s="456"/>
      <c r="OPR68" s="456"/>
      <c r="OPS68" s="456"/>
      <c r="OPT68" s="456"/>
      <c r="OPU68" s="456"/>
      <c r="OPV68" s="456"/>
      <c r="OPW68" s="456"/>
      <c r="OPX68" s="456"/>
      <c r="OPY68" s="456"/>
      <c r="OPZ68" s="456"/>
      <c r="OQA68" s="456"/>
      <c r="OQB68" s="456"/>
      <c r="OQC68" s="456"/>
      <c r="OQD68" s="456"/>
      <c r="OQE68" s="456"/>
      <c r="OQF68" s="456"/>
      <c r="OQG68" s="456"/>
      <c r="OQH68" s="456"/>
      <c r="OQI68" s="456"/>
      <c r="OQJ68" s="456"/>
      <c r="OQK68" s="456"/>
      <c r="OQL68" s="456"/>
      <c r="OQM68" s="456"/>
      <c r="OQN68" s="456"/>
      <c r="OQO68" s="456"/>
      <c r="OQP68" s="456"/>
      <c r="OQQ68" s="456"/>
      <c r="OQR68" s="456"/>
      <c r="OQS68" s="456"/>
      <c r="OQT68" s="456"/>
      <c r="OQU68" s="456"/>
      <c r="OQV68" s="456"/>
      <c r="OQW68" s="456"/>
      <c r="OQX68" s="456"/>
      <c r="OQY68" s="456"/>
      <c r="OQZ68" s="456"/>
      <c r="ORA68" s="456"/>
      <c r="ORB68" s="456"/>
      <c r="ORC68" s="456"/>
      <c r="ORD68" s="456"/>
      <c r="ORE68" s="456"/>
      <c r="ORF68" s="456"/>
      <c r="ORG68" s="456"/>
      <c r="ORH68" s="456"/>
      <c r="ORI68" s="456"/>
      <c r="ORJ68" s="456"/>
      <c r="ORK68" s="456"/>
      <c r="ORL68" s="456"/>
      <c r="ORM68" s="456"/>
      <c r="ORN68" s="456"/>
      <c r="ORO68" s="456"/>
      <c r="ORP68" s="456"/>
      <c r="ORQ68" s="456"/>
      <c r="ORR68" s="456"/>
      <c r="ORS68" s="456"/>
      <c r="ORT68" s="456"/>
      <c r="ORU68" s="456"/>
      <c r="ORV68" s="456"/>
      <c r="ORW68" s="456"/>
      <c r="ORX68" s="456"/>
      <c r="ORY68" s="456"/>
      <c r="ORZ68" s="456"/>
      <c r="OSA68" s="456"/>
      <c r="OSB68" s="456"/>
      <c r="OSC68" s="456"/>
      <c r="OSD68" s="456"/>
      <c r="OSE68" s="456"/>
      <c r="OSF68" s="456"/>
      <c r="OSG68" s="456"/>
      <c r="OSH68" s="456"/>
      <c r="OSI68" s="456"/>
      <c r="OSJ68" s="456"/>
      <c r="OSK68" s="456"/>
      <c r="OSL68" s="456"/>
      <c r="OSM68" s="456"/>
      <c r="OSN68" s="456"/>
      <c r="OSO68" s="456"/>
      <c r="OSP68" s="456"/>
      <c r="OSQ68" s="456"/>
      <c r="OSR68" s="456"/>
      <c r="OSS68" s="456"/>
      <c r="OST68" s="456"/>
      <c r="OSU68" s="456"/>
      <c r="OSV68" s="456"/>
      <c r="OSW68" s="456"/>
      <c r="OSX68" s="456"/>
      <c r="OSY68" s="456"/>
      <c r="OSZ68" s="456"/>
      <c r="OTA68" s="456"/>
      <c r="OTB68" s="456"/>
      <c r="OTC68" s="456"/>
      <c r="OTD68" s="456"/>
      <c r="OTE68" s="456"/>
      <c r="OTF68" s="456"/>
      <c r="OTG68" s="456"/>
      <c r="OTH68" s="456"/>
      <c r="OTI68" s="456"/>
      <c r="OTJ68" s="456"/>
      <c r="OTK68" s="456"/>
      <c r="OTL68" s="456"/>
      <c r="OTM68" s="456"/>
      <c r="OTN68" s="456"/>
      <c r="OTO68" s="456"/>
      <c r="OTP68" s="456"/>
      <c r="OTQ68" s="456"/>
      <c r="OTR68" s="456"/>
      <c r="OTS68" s="456"/>
      <c r="OTT68" s="456"/>
      <c r="OTU68" s="456"/>
      <c r="OTV68" s="456"/>
      <c r="OTW68" s="456"/>
      <c r="OTX68" s="456"/>
      <c r="OTY68" s="456"/>
      <c r="OTZ68" s="456"/>
      <c r="OUA68" s="456"/>
      <c r="OUB68" s="456"/>
      <c r="OUC68" s="456"/>
      <c r="OUD68" s="456"/>
      <c r="OUE68" s="456"/>
      <c r="OUF68" s="456"/>
      <c r="OUG68" s="456"/>
      <c r="OUH68" s="456"/>
      <c r="OUI68" s="456"/>
      <c r="OUJ68" s="456"/>
      <c r="OUK68" s="456"/>
      <c r="OUL68" s="456"/>
      <c r="OUM68" s="456"/>
      <c r="OUN68" s="456"/>
      <c r="OUO68" s="456"/>
      <c r="OUP68" s="456"/>
      <c r="OUQ68" s="456"/>
      <c r="OUR68" s="456"/>
      <c r="OUS68" s="456"/>
      <c r="OUT68" s="456"/>
      <c r="OUU68" s="456"/>
      <c r="OUV68" s="456"/>
      <c r="OUW68" s="456"/>
      <c r="OUX68" s="456"/>
      <c r="OUY68" s="456"/>
      <c r="OUZ68" s="456"/>
      <c r="OVA68" s="456"/>
      <c r="OVB68" s="456"/>
      <c r="OVC68" s="456"/>
      <c r="OVD68" s="456"/>
      <c r="OVE68" s="456"/>
      <c r="OVF68" s="456"/>
      <c r="OVG68" s="456"/>
      <c r="OVH68" s="456"/>
      <c r="OVI68" s="456"/>
      <c r="OVJ68" s="456"/>
      <c r="OVK68" s="456"/>
      <c r="OVL68" s="456"/>
      <c r="OVM68" s="456"/>
      <c r="OVN68" s="456"/>
      <c r="OVO68" s="456"/>
      <c r="OVP68" s="456"/>
      <c r="OVQ68" s="456"/>
      <c r="OVR68" s="456"/>
      <c r="OVS68" s="456"/>
      <c r="OVT68" s="456"/>
      <c r="OVU68" s="456"/>
      <c r="OVV68" s="456"/>
      <c r="OVW68" s="456"/>
      <c r="OVX68" s="456"/>
      <c r="OVY68" s="456"/>
      <c r="OVZ68" s="456"/>
      <c r="OWA68" s="456"/>
      <c r="OWB68" s="456"/>
      <c r="OWC68" s="456"/>
      <c r="OWD68" s="456"/>
      <c r="OWE68" s="456"/>
      <c r="OWF68" s="456"/>
      <c r="OWG68" s="456"/>
      <c r="OWH68" s="456"/>
      <c r="OWI68" s="456"/>
      <c r="OWJ68" s="456"/>
      <c r="OWK68" s="456"/>
      <c r="OWL68" s="456"/>
      <c r="OWM68" s="456"/>
      <c r="OWN68" s="456"/>
      <c r="OWO68" s="456"/>
      <c r="OWP68" s="456"/>
      <c r="OWQ68" s="456"/>
      <c r="OWR68" s="456"/>
      <c r="OWS68" s="456"/>
      <c r="OWT68" s="456"/>
      <c r="OWU68" s="456"/>
      <c r="OWV68" s="456"/>
      <c r="OWW68" s="456"/>
      <c r="OWX68" s="456"/>
      <c r="OWY68" s="456"/>
      <c r="OWZ68" s="456"/>
      <c r="OXA68" s="456"/>
      <c r="OXB68" s="456"/>
      <c r="OXC68" s="456"/>
      <c r="OXD68" s="456"/>
      <c r="OXE68" s="456"/>
      <c r="OXF68" s="456"/>
      <c r="OXG68" s="456"/>
      <c r="OXH68" s="456"/>
      <c r="OXI68" s="456"/>
      <c r="OXJ68" s="456"/>
      <c r="OXK68" s="456"/>
      <c r="OXL68" s="456"/>
      <c r="OXM68" s="456"/>
      <c r="OXN68" s="456"/>
      <c r="OXO68" s="456"/>
      <c r="OXP68" s="456"/>
      <c r="OXQ68" s="456"/>
      <c r="OXR68" s="456"/>
      <c r="OXS68" s="456"/>
      <c r="OXT68" s="456"/>
      <c r="OXU68" s="456"/>
      <c r="OXV68" s="456"/>
      <c r="OXW68" s="456"/>
      <c r="OXX68" s="456"/>
      <c r="OXY68" s="456"/>
      <c r="OXZ68" s="456"/>
      <c r="OYA68" s="456"/>
      <c r="OYB68" s="456"/>
      <c r="OYC68" s="456"/>
      <c r="OYD68" s="456"/>
      <c r="OYE68" s="456"/>
      <c r="OYF68" s="456"/>
      <c r="OYG68" s="456"/>
      <c r="OYH68" s="456"/>
      <c r="OYI68" s="456"/>
      <c r="OYJ68" s="456"/>
      <c r="OYK68" s="456"/>
      <c r="OYL68" s="456"/>
      <c r="OYM68" s="456"/>
      <c r="OYN68" s="456"/>
      <c r="OYO68" s="456"/>
      <c r="OYP68" s="456"/>
      <c r="OYQ68" s="456"/>
      <c r="OYR68" s="456"/>
      <c r="OYS68" s="456"/>
      <c r="OYT68" s="456"/>
      <c r="OYU68" s="456"/>
      <c r="OYV68" s="456"/>
      <c r="OYW68" s="456"/>
      <c r="OYX68" s="456"/>
      <c r="OYY68" s="456"/>
      <c r="OYZ68" s="456"/>
      <c r="OZA68" s="456"/>
      <c r="OZB68" s="456"/>
      <c r="OZC68" s="456"/>
      <c r="OZD68" s="456"/>
      <c r="OZE68" s="456"/>
      <c r="OZF68" s="456"/>
      <c r="OZG68" s="456"/>
      <c r="OZH68" s="456"/>
      <c r="OZI68" s="456"/>
      <c r="OZJ68" s="456"/>
      <c r="OZK68" s="456"/>
      <c r="OZL68" s="456"/>
      <c r="OZM68" s="456"/>
      <c r="OZN68" s="456"/>
      <c r="OZO68" s="456"/>
      <c r="OZP68" s="456"/>
      <c r="OZQ68" s="456"/>
      <c r="OZR68" s="456"/>
      <c r="OZS68" s="456"/>
      <c r="OZT68" s="456"/>
      <c r="OZU68" s="456"/>
      <c r="OZV68" s="456"/>
      <c r="OZW68" s="456"/>
      <c r="OZX68" s="456"/>
      <c r="OZY68" s="456"/>
      <c r="OZZ68" s="456"/>
      <c r="PAA68" s="456"/>
      <c r="PAB68" s="456"/>
      <c r="PAC68" s="456"/>
      <c r="PAD68" s="456"/>
      <c r="PAE68" s="456"/>
      <c r="PAF68" s="456"/>
      <c r="PAG68" s="456"/>
      <c r="PAH68" s="456"/>
      <c r="PAI68" s="456"/>
      <c r="PAJ68" s="456"/>
      <c r="PAK68" s="456"/>
      <c r="PAL68" s="456"/>
      <c r="PAM68" s="456"/>
      <c r="PAN68" s="456"/>
      <c r="PAO68" s="456"/>
      <c r="PAP68" s="456"/>
      <c r="PAQ68" s="456"/>
      <c r="PAR68" s="456"/>
      <c r="PAS68" s="456"/>
      <c r="PAT68" s="456"/>
      <c r="PAU68" s="456"/>
      <c r="PAV68" s="456"/>
      <c r="PAW68" s="456"/>
      <c r="PAX68" s="456"/>
      <c r="PAY68" s="456"/>
      <c r="PAZ68" s="456"/>
      <c r="PBA68" s="456"/>
      <c r="PBB68" s="456"/>
      <c r="PBC68" s="456"/>
      <c r="PBD68" s="456"/>
      <c r="PBE68" s="456"/>
      <c r="PBF68" s="456"/>
      <c r="PBG68" s="456"/>
      <c r="PBH68" s="456"/>
      <c r="PBI68" s="456"/>
      <c r="PBJ68" s="456"/>
      <c r="PBK68" s="456"/>
      <c r="PBL68" s="456"/>
      <c r="PBM68" s="456"/>
      <c r="PBN68" s="456"/>
      <c r="PBO68" s="456"/>
      <c r="PBP68" s="456"/>
      <c r="PBQ68" s="456"/>
      <c r="PBR68" s="456"/>
      <c r="PBS68" s="456"/>
      <c r="PBT68" s="456"/>
      <c r="PBU68" s="456"/>
      <c r="PBV68" s="456"/>
      <c r="PBW68" s="456"/>
      <c r="PBX68" s="456"/>
      <c r="PBY68" s="456"/>
      <c r="PBZ68" s="456"/>
      <c r="PCA68" s="456"/>
      <c r="PCB68" s="456"/>
      <c r="PCC68" s="456"/>
      <c r="PCD68" s="456"/>
      <c r="PCE68" s="456"/>
      <c r="PCF68" s="456"/>
      <c r="PCG68" s="456"/>
      <c r="PCH68" s="456"/>
      <c r="PCI68" s="456"/>
      <c r="PCJ68" s="456"/>
      <c r="PCK68" s="456"/>
      <c r="PCL68" s="456"/>
      <c r="PCM68" s="456"/>
      <c r="PCN68" s="456"/>
      <c r="PCO68" s="456"/>
      <c r="PCP68" s="456"/>
      <c r="PCQ68" s="456"/>
      <c r="PCR68" s="456"/>
      <c r="PCS68" s="456"/>
      <c r="PCT68" s="456"/>
      <c r="PCU68" s="456"/>
      <c r="PCV68" s="456"/>
      <c r="PCW68" s="456"/>
      <c r="PCX68" s="456"/>
      <c r="PCY68" s="456"/>
      <c r="PCZ68" s="456"/>
      <c r="PDA68" s="456"/>
      <c r="PDB68" s="456"/>
      <c r="PDC68" s="456"/>
      <c r="PDD68" s="456"/>
      <c r="PDE68" s="456"/>
      <c r="PDF68" s="456"/>
      <c r="PDG68" s="456"/>
      <c r="PDH68" s="456"/>
      <c r="PDI68" s="456"/>
      <c r="PDJ68" s="456"/>
      <c r="PDK68" s="456"/>
      <c r="PDL68" s="456"/>
      <c r="PDM68" s="456"/>
      <c r="PDN68" s="456"/>
      <c r="PDO68" s="456"/>
      <c r="PDP68" s="456"/>
      <c r="PDQ68" s="456"/>
      <c r="PDR68" s="456"/>
      <c r="PDS68" s="456"/>
      <c r="PDT68" s="456"/>
      <c r="PDU68" s="456"/>
      <c r="PDV68" s="456"/>
      <c r="PDW68" s="456"/>
      <c r="PDX68" s="456"/>
      <c r="PDY68" s="456"/>
      <c r="PDZ68" s="456"/>
      <c r="PEA68" s="456"/>
      <c r="PEB68" s="456"/>
      <c r="PEC68" s="456"/>
      <c r="PED68" s="456"/>
      <c r="PEE68" s="456"/>
      <c r="PEF68" s="456"/>
      <c r="PEG68" s="456"/>
      <c r="PEH68" s="456"/>
      <c r="PEI68" s="456"/>
      <c r="PEJ68" s="456"/>
      <c r="PEK68" s="456"/>
      <c r="PEL68" s="456"/>
      <c r="PEM68" s="456"/>
      <c r="PEN68" s="456"/>
      <c r="PEO68" s="456"/>
      <c r="PEP68" s="456"/>
      <c r="PEQ68" s="456"/>
      <c r="PER68" s="456"/>
      <c r="PES68" s="456"/>
      <c r="PET68" s="456"/>
      <c r="PEU68" s="456"/>
      <c r="PEV68" s="456"/>
      <c r="PEW68" s="456"/>
      <c r="PEX68" s="456"/>
      <c r="PEY68" s="456"/>
      <c r="PEZ68" s="456"/>
      <c r="PFA68" s="456"/>
      <c r="PFB68" s="456"/>
      <c r="PFC68" s="456"/>
      <c r="PFD68" s="456"/>
      <c r="PFE68" s="456"/>
      <c r="PFF68" s="456"/>
      <c r="PFG68" s="456"/>
      <c r="PFH68" s="456"/>
      <c r="PFI68" s="456"/>
      <c r="PFJ68" s="456"/>
      <c r="PFK68" s="456"/>
      <c r="PFL68" s="456"/>
      <c r="PFM68" s="456"/>
      <c r="PFN68" s="456"/>
      <c r="PFO68" s="456"/>
      <c r="PFP68" s="456"/>
      <c r="PFQ68" s="456"/>
      <c r="PFR68" s="456"/>
      <c r="PFS68" s="456"/>
      <c r="PFT68" s="456"/>
      <c r="PFU68" s="456"/>
      <c r="PFV68" s="456"/>
      <c r="PFW68" s="456"/>
      <c r="PFX68" s="456"/>
      <c r="PFY68" s="456"/>
      <c r="PFZ68" s="456"/>
      <c r="PGA68" s="456"/>
      <c r="PGB68" s="456"/>
      <c r="PGC68" s="456"/>
      <c r="PGD68" s="456"/>
      <c r="PGE68" s="456"/>
      <c r="PGF68" s="456"/>
      <c r="PGG68" s="456"/>
      <c r="PGH68" s="456"/>
      <c r="PGI68" s="456"/>
      <c r="PGJ68" s="456"/>
      <c r="PGK68" s="456"/>
      <c r="PGL68" s="456"/>
      <c r="PGM68" s="456"/>
      <c r="PGN68" s="456"/>
      <c r="PGO68" s="456"/>
      <c r="PGP68" s="456"/>
      <c r="PGQ68" s="456"/>
      <c r="PGR68" s="456"/>
      <c r="PGS68" s="456"/>
      <c r="PGT68" s="456"/>
      <c r="PGU68" s="456"/>
      <c r="PGV68" s="456"/>
      <c r="PGW68" s="456"/>
      <c r="PGX68" s="456"/>
      <c r="PGY68" s="456"/>
      <c r="PGZ68" s="456"/>
      <c r="PHA68" s="456"/>
      <c r="PHB68" s="456"/>
      <c r="PHC68" s="456"/>
      <c r="PHD68" s="456"/>
      <c r="PHE68" s="456"/>
      <c r="PHF68" s="456"/>
      <c r="PHG68" s="456"/>
      <c r="PHH68" s="456"/>
      <c r="PHI68" s="456"/>
      <c r="PHJ68" s="456"/>
      <c r="PHK68" s="456"/>
      <c r="PHL68" s="456"/>
      <c r="PHM68" s="456"/>
      <c r="PHN68" s="456"/>
      <c r="PHO68" s="456"/>
      <c r="PHP68" s="456"/>
      <c r="PHQ68" s="456"/>
      <c r="PHR68" s="456"/>
      <c r="PHS68" s="456"/>
      <c r="PHT68" s="456"/>
      <c r="PHU68" s="456"/>
      <c r="PHV68" s="456"/>
      <c r="PHW68" s="456"/>
      <c r="PHX68" s="456"/>
      <c r="PHY68" s="456"/>
      <c r="PHZ68" s="456"/>
      <c r="PIA68" s="456"/>
      <c r="PIB68" s="456"/>
      <c r="PIC68" s="456"/>
      <c r="PID68" s="456"/>
      <c r="PIE68" s="456"/>
      <c r="PIF68" s="456"/>
      <c r="PIG68" s="456"/>
      <c r="PIH68" s="456"/>
      <c r="PII68" s="456"/>
      <c r="PIJ68" s="456"/>
      <c r="PIK68" s="456"/>
      <c r="PIL68" s="456"/>
      <c r="PIM68" s="456"/>
      <c r="PIN68" s="456"/>
      <c r="PIO68" s="456"/>
      <c r="PIP68" s="456"/>
      <c r="PIQ68" s="456"/>
      <c r="PIR68" s="456"/>
      <c r="PIS68" s="456"/>
      <c r="PIT68" s="456"/>
      <c r="PIU68" s="456"/>
      <c r="PIV68" s="456"/>
      <c r="PIW68" s="456"/>
      <c r="PIX68" s="456"/>
      <c r="PIY68" s="456"/>
      <c r="PIZ68" s="456"/>
      <c r="PJA68" s="456"/>
      <c r="PJB68" s="456"/>
      <c r="PJC68" s="456"/>
      <c r="PJD68" s="456"/>
      <c r="PJE68" s="456"/>
      <c r="PJF68" s="456"/>
      <c r="PJG68" s="456"/>
      <c r="PJH68" s="456"/>
      <c r="PJI68" s="456"/>
      <c r="PJJ68" s="456"/>
      <c r="PJK68" s="456"/>
      <c r="PJL68" s="456"/>
      <c r="PJM68" s="456"/>
      <c r="PJN68" s="456"/>
      <c r="PJO68" s="456"/>
      <c r="PJP68" s="456"/>
      <c r="PJQ68" s="456"/>
      <c r="PJR68" s="456"/>
      <c r="PJS68" s="456"/>
      <c r="PJT68" s="456"/>
      <c r="PJU68" s="456"/>
      <c r="PJV68" s="456"/>
      <c r="PJW68" s="456"/>
      <c r="PJX68" s="456"/>
      <c r="PJY68" s="456"/>
      <c r="PJZ68" s="456"/>
      <c r="PKA68" s="456"/>
      <c r="PKB68" s="456"/>
      <c r="PKC68" s="456"/>
      <c r="PKD68" s="456"/>
      <c r="PKE68" s="456"/>
      <c r="PKF68" s="456"/>
      <c r="PKG68" s="456"/>
      <c r="PKH68" s="456"/>
      <c r="PKI68" s="456"/>
      <c r="PKJ68" s="456"/>
      <c r="PKK68" s="456"/>
      <c r="PKL68" s="456"/>
      <c r="PKM68" s="456"/>
      <c r="PKN68" s="456"/>
      <c r="PKO68" s="456"/>
      <c r="PKP68" s="456"/>
      <c r="PKQ68" s="456"/>
      <c r="PKR68" s="456"/>
      <c r="PKS68" s="456"/>
      <c r="PKT68" s="456"/>
      <c r="PKU68" s="456"/>
      <c r="PKV68" s="456"/>
      <c r="PKW68" s="456"/>
      <c r="PKX68" s="456"/>
      <c r="PKY68" s="456"/>
      <c r="PKZ68" s="456"/>
      <c r="PLA68" s="456"/>
      <c r="PLB68" s="456"/>
      <c r="PLC68" s="456"/>
      <c r="PLD68" s="456"/>
      <c r="PLE68" s="456"/>
      <c r="PLF68" s="456"/>
      <c r="PLG68" s="456"/>
      <c r="PLH68" s="456"/>
      <c r="PLI68" s="456"/>
      <c r="PLJ68" s="456"/>
      <c r="PLK68" s="456"/>
      <c r="PLL68" s="456"/>
      <c r="PLM68" s="456"/>
      <c r="PLN68" s="456"/>
      <c r="PLO68" s="456"/>
      <c r="PLP68" s="456"/>
      <c r="PLQ68" s="456"/>
      <c r="PLR68" s="456"/>
      <c r="PLS68" s="456"/>
      <c r="PLT68" s="456"/>
      <c r="PLU68" s="456"/>
      <c r="PLV68" s="456"/>
      <c r="PLW68" s="456"/>
      <c r="PLX68" s="456"/>
      <c r="PLY68" s="456"/>
      <c r="PLZ68" s="456"/>
      <c r="PMA68" s="456"/>
      <c r="PMB68" s="456"/>
      <c r="PMC68" s="456"/>
      <c r="PMD68" s="456"/>
      <c r="PME68" s="456"/>
      <c r="PMF68" s="456"/>
      <c r="PMG68" s="456"/>
      <c r="PMH68" s="456"/>
      <c r="PMI68" s="456"/>
      <c r="PMJ68" s="456"/>
      <c r="PMK68" s="456"/>
      <c r="PML68" s="456"/>
      <c r="PMM68" s="456"/>
      <c r="PMN68" s="456"/>
      <c r="PMO68" s="456"/>
      <c r="PMP68" s="456"/>
      <c r="PMQ68" s="456"/>
      <c r="PMR68" s="456"/>
      <c r="PMS68" s="456"/>
      <c r="PMT68" s="456"/>
      <c r="PMU68" s="456"/>
      <c r="PMV68" s="456"/>
      <c r="PMW68" s="456"/>
      <c r="PMX68" s="456"/>
      <c r="PMY68" s="456"/>
      <c r="PMZ68" s="456"/>
      <c r="PNA68" s="456"/>
      <c r="PNB68" s="456"/>
      <c r="PNC68" s="456"/>
      <c r="PND68" s="456"/>
      <c r="PNE68" s="456"/>
      <c r="PNF68" s="456"/>
      <c r="PNG68" s="456"/>
      <c r="PNH68" s="456"/>
      <c r="PNI68" s="456"/>
      <c r="PNJ68" s="456"/>
      <c r="PNK68" s="456"/>
      <c r="PNL68" s="456"/>
      <c r="PNM68" s="456"/>
      <c r="PNN68" s="456"/>
      <c r="PNO68" s="456"/>
      <c r="PNP68" s="456"/>
      <c r="PNQ68" s="456"/>
      <c r="PNR68" s="456"/>
      <c r="PNS68" s="456"/>
      <c r="PNT68" s="456"/>
      <c r="PNU68" s="456"/>
      <c r="PNV68" s="456"/>
      <c r="PNW68" s="456"/>
      <c r="PNX68" s="456"/>
      <c r="PNY68" s="456"/>
      <c r="PNZ68" s="456"/>
      <c r="POA68" s="456"/>
      <c r="POB68" s="456"/>
      <c r="POC68" s="456"/>
      <c r="POD68" s="456"/>
      <c r="POE68" s="456"/>
      <c r="POF68" s="456"/>
      <c r="POG68" s="456"/>
      <c r="POH68" s="456"/>
      <c r="POI68" s="456"/>
      <c r="POJ68" s="456"/>
      <c r="POK68" s="456"/>
      <c r="POL68" s="456"/>
      <c r="POM68" s="456"/>
      <c r="PON68" s="456"/>
      <c r="POO68" s="456"/>
      <c r="POP68" s="456"/>
      <c r="POQ68" s="456"/>
      <c r="POR68" s="456"/>
      <c r="POS68" s="456"/>
      <c r="POT68" s="456"/>
      <c r="POU68" s="456"/>
      <c r="POV68" s="456"/>
      <c r="POW68" s="456"/>
      <c r="POX68" s="456"/>
      <c r="POY68" s="456"/>
      <c r="POZ68" s="456"/>
      <c r="PPA68" s="456"/>
      <c r="PPB68" s="456"/>
      <c r="PPC68" s="456"/>
      <c r="PPD68" s="456"/>
      <c r="PPE68" s="456"/>
      <c r="PPF68" s="456"/>
      <c r="PPG68" s="456"/>
      <c r="PPH68" s="456"/>
      <c r="PPI68" s="456"/>
      <c r="PPJ68" s="456"/>
      <c r="PPK68" s="456"/>
      <c r="PPL68" s="456"/>
      <c r="PPM68" s="456"/>
      <c r="PPN68" s="456"/>
      <c r="PPO68" s="456"/>
      <c r="PPP68" s="456"/>
      <c r="PPQ68" s="456"/>
      <c r="PPR68" s="456"/>
      <c r="PPS68" s="456"/>
      <c r="PPT68" s="456"/>
      <c r="PPU68" s="456"/>
      <c r="PPV68" s="456"/>
      <c r="PPW68" s="456"/>
      <c r="PPX68" s="456"/>
      <c r="PPY68" s="456"/>
      <c r="PPZ68" s="456"/>
      <c r="PQA68" s="456"/>
      <c r="PQB68" s="456"/>
      <c r="PQC68" s="456"/>
      <c r="PQD68" s="456"/>
      <c r="PQE68" s="456"/>
      <c r="PQF68" s="456"/>
      <c r="PQG68" s="456"/>
      <c r="PQH68" s="456"/>
      <c r="PQI68" s="456"/>
      <c r="PQJ68" s="456"/>
      <c r="PQK68" s="456"/>
      <c r="PQL68" s="456"/>
      <c r="PQM68" s="456"/>
      <c r="PQN68" s="456"/>
      <c r="PQO68" s="456"/>
      <c r="PQP68" s="456"/>
      <c r="PQQ68" s="456"/>
      <c r="PQR68" s="456"/>
      <c r="PQS68" s="456"/>
      <c r="PQT68" s="456"/>
      <c r="PQU68" s="456"/>
      <c r="PQV68" s="456"/>
      <c r="PQW68" s="456"/>
      <c r="PQX68" s="456"/>
      <c r="PQY68" s="456"/>
      <c r="PQZ68" s="456"/>
      <c r="PRA68" s="456"/>
      <c r="PRB68" s="456"/>
      <c r="PRC68" s="456"/>
      <c r="PRD68" s="456"/>
      <c r="PRE68" s="456"/>
      <c r="PRF68" s="456"/>
      <c r="PRG68" s="456"/>
      <c r="PRH68" s="456"/>
      <c r="PRI68" s="456"/>
      <c r="PRJ68" s="456"/>
      <c r="PRK68" s="456"/>
      <c r="PRL68" s="456"/>
      <c r="PRM68" s="456"/>
      <c r="PRN68" s="456"/>
      <c r="PRO68" s="456"/>
      <c r="PRP68" s="456"/>
      <c r="PRQ68" s="456"/>
      <c r="PRR68" s="456"/>
      <c r="PRS68" s="456"/>
      <c r="PRT68" s="456"/>
      <c r="PRU68" s="456"/>
      <c r="PRV68" s="456"/>
      <c r="PRW68" s="456"/>
      <c r="PRX68" s="456"/>
      <c r="PRY68" s="456"/>
      <c r="PRZ68" s="456"/>
      <c r="PSA68" s="456"/>
      <c r="PSB68" s="456"/>
      <c r="PSC68" s="456"/>
      <c r="PSD68" s="456"/>
      <c r="PSE68" s="456"/>
      <c r="PSF68" s="456"/>
      <c r="PSG68" s="456"/>
      <c r="PSH68" s="456"/>
      <c r="PSI68" s="456"/>
      <c r="PSJ68" s="456"/>
      <c r="PSK68" s="456"/>
      <c r="PSL68" s="456"/>
      <c r="PSM68" s="456"/>
      <c r="PSN68" s="456"/>
      <c r="PSO68" s="456"/>
      <c r="PSP68" s="456"/>
      <c r="PSQ68" s="456"/>
      <c r="PSR68" s="456"/>
      <c r="PSS68" s="456"/>
      <c r="PST68" s="456"/>
      <c r="PSU68" s="456"/>
      <c r="PSV68" s="456"/>
      <c r="PSW68" s="456"/>
      <c r="PSX68" s="456"/>
      <c r="PSY68" s="456"/>
      <c r="PSZ68" s="456"/>
      <c r="PTA68" s="456"/>
      <c r="PTB68" s="456"/>
      <c r="PTC68" s="456"/>
      <c r="PTD68" s="456"/>
      <c r="PTE68" s="456"/>
      <c r="PTF68" s="456"/>
      <c r="PTG68" s="456"/>
      <c r="PTH68" s="456"/>
      <c r="PTI68" s="456"/>
      <c r="PTJ68" s="456"/>
      <c r="PTK68" s="456"/>
      <c r="PTL68" s="456"/>
      <c r="PTM68" s="456"/>
      <c r="PTN68" s="456"/>
      <c r="PTO68" s="456"/>
      <c r="PTP68" s="456"/>
      <c r="PTQ68" s="456"/>
      <c r="PTR68" s="456"/>
      <c r="PTS68" s="456"/>
      <c r="PTT68" s="456"/>
      <c r="PTU68" s="456"/>
      <c r="PTV68" s="456"/>
      <c r="PTW68" s="456"/>
      <c r="PTX68" s="456"/>
      <c r="PTY68" s="456"/>
      <c r="PTZ68" s="456"/>
      <c r="PUA68" s="456"/>
      <c r="PUB68" s="456"/>
      <c r="PUC68" s="456"/>
      <c r="PUD68" s="456"/>
      <c r="PUE68" s="456"/>
      <c r="PUF68" s="456"/>
      <c r="PUG68" s="456"/>
      <c r="PUH68" s="456"/>
      <c r="PUI68" s="456"/>
      <c r="PUJ68" s="456"/>
      <c r="PUK68" s="456"/>
      <c r="PUL68" s="456"/>
      <c r="PUM68" s="456"/>
      <c r="PUN68" s="456"/>
      <c r="PUO68" s="456"/>
      <c r="PUP68" s="456"/>
      <c r="PUQ68" s="456"/>
      <c r="PUR68" s="456"/>
      <c r="PUS68" s="456"/>
      <c r="PUT68" s="456"/>
      <c r="PUU68" s="456"/>
      <c r="PUV68" s="456"/>
      <c r="PUW68" s="456"/>
      <c r="PUX68" s="456"/>
      <c r="PUY68" s="456"/>
      <c r="PUZ68" s="456"/>
      <c r="PVA68" s="456"/>
      <c r="PVB68" s="456"/>
      <c r="PVC68" s="456"/>
      <c r="PVD68" s="456"/>
      <c r="PVE68" s="456"/>
      <c r="PVF68" s="456"/>
      <c r="PVG68" s="456"/>
      <c r="PVH68" s="456"/>
      <c r="PVI68" s="456"/>
      <c r="PVJ68" s="456"/>
      <c r="PVK68" s="456"/>
      <c r="PVL68" s="456"/>
      <c r="PVM68" s="456"/>
      <c r="PVN68" s="456"/>
      <c r="PVO68" s="456"/>
      <c r="PVP68" s="456"/>
      <c r="PVQ68" s="456"/>
      <c r="PVR68" s="456"/>
      <c r="PVS68" s="456"/>
      <c r="PVT68" s="456"/>
      <c r="PVU68" s="456"/>
      <c r="PVV68" s="456"/>
      <c r="PVW68" s="456"/>
      <c r="PVX68" s="456"/>
      <c r="PVY68" s="456"/>
      <c r="PVZ68" s="456"/>
      <c r="PWA68" s="456"/>
      <c r="PWB68" s="456"/>
      <c r="PWC68" s="456"/>
      <c r="PWD68" s="456"/>
      <c r="PWE68" s="456"/>
      <c r="PWF68" s="456"/>
      <c r="PWG68" s="456"/>
      <c r="PWH68" s="456"/>
      <c r="PWI68" s="456"/>
      <c r="PWJ68" s="456"/>
      <c r="PWK68" s="456"/>
      <c r="PWL68" s="456"/>
      <c r="PWM68" s="456"/>
      <c r="PWN68" s="456"/>
      <c r="PWO68" s="456"/>
      <c r="PWP68" s="456"/>
      <c r="PWQ68" s="456"/>
      <c r="PWR68" s="456"/>
      <c r="PWS68" s="456"/>
      <c r="PWT68" s="456"/>
      <c r="PWU68" s="456"/>
      <c r="PWV68" s="456"/>
      <c r="PWW68" s="456"/>
      <c r="PWX68" s="456"/>
      <c r="PWY68" s="456"/>
      <c r="PWZ68" s="456"/>
      <c r="PXA68" s="456"/>
      <c r="PXB68" s="456"/>
      <c r="PXC68" s="456"/>
      <c r="PXD68" s="456"/>
      <c r="PXE68" s="456"/>
      <c r="PXF68" s="456"/>
      <c r="PXG68" s="456"/>
      <c r="PXH68" s="456"/>
      <c r="PXI68" s="456"/>
      <c r="PXJ68" s="456"/>
      <c r="PXK68" s="456"/>
      <c r="PXL68" s="456"/>
      <c r="PXM68" s="456"/>
      <c r="PXN68" s="456"/>
      <c r="PXO68" s="456"/>
      <c r="PXP68" s="456"/>
      <c r="PXQ68" s="456"/>
      <c r="PXR68" s="456"/>
      <c r="PXS68" s="456"/>
      <c r="PXT68" s="456"/>
      <c r="PXU68" s="456"/>
      <c r="PXV68" s="456"/>
      <c r="PXW68" s="456"/>
      <c r="PXX68" s="456"/>
      <c r="PXY68" s="456"/>
      <c r="PXZ68" s="456"/>
      <c r="PYA68" s="456"/>
      <c r="PYB68" s="456"/>
      <c r="PYC68" s="456"/>
      <c r="PYD68" s="456"/>
      <c r="PYE68" s="456"/>
      <c r="PYF68" s="456"/>
      <c r="PYG68" s="456"/>
      <c r="PYH68" s="456"/>
      <c r="PYI68" s="456"/>
      <c r="PYJ68" s="456"/>
      <c r="PYK68" s="456"/>
      <c r="PYL68" s="456"/>
      <c r="PYM68" s="456"/>
      <c r="PYN68" s="456"/>
      <c r="PYO68" s="456"/>
      <c r="PYP68" s="456"/>
      <c r="PYQ68" s="456"/>
      <c r="PYR68" s="456"/>
      <c r="PYS68" s="456"/>
      <c r="PYT68" s="456"/>
      <c r="PYU68" s="456"/>
      <c r="PYV68" s="456"/>
      <c r="PYW68" s="456"/>
      <c r="PYX68" s="456"/>
      <c r="PYY68" s="456"/>
      <c r="PYZ68" s="456"/>
      <c r="PZA68" s="456"/>
      <c r="PZB68" s="456"/>
      <c r="PZC68" s="456"/>
      <c r="PZD68" s="456"/>
      <c r="PZE68" s="456"/>
      <c r="PZF68" s="456"/>
      <c r="PZG68" s="456"/>
      <c r="PZH68" s="456"/>
      <c r="PZI68" s="456"/>
      <c r="PZJ68" s="456"/>
      <c r="PZK68" s="456"/>
      <c r="PZL68" s="456"/>
      <c r="PZM68" s="456"/>
      <c r="PZN68" s="456"/>
      <c r="PZO68" s="456"/>
      <c r="PZP68" s="456"/>
      <c r="PZQ68" s="456"/>
      <c r="PZR68" s="456"/>
      <c r="PZS68" s="456"/>
      <c r="PZT68" s="456"/>
      <c r="PZU68" s="456"/>
      <c r="PZV68" s="456"/>
      <c r="PZW68" s="456"/>
      <c r="PZX68" s="456"/>
      <c r="PZY68" s="456"/>
      <c r="PZZ68" s="456"/>
      <c r="QAA68" s="456"/>
      <c r="QAB68" s="456"/>
      <c r="QAC68" s="456"/>
      <c r="QAD68" s="456"/>
      <c r="QAE68" s="456"/>
      <c r="QAF68" s="456"/>
      <c r="QAG68" s="456"/>
      <c r="QAH68" s="456"/>
      <c r="QAI68" s="456"/>
      <c r="QAJ68" s="456"/>
      <c r="QAK68" s="456"/>
      <c r="QAL68" s="456"/>
      <c r="QAM68" s="456"/>
      <c r="QAN68" s="456"/>
      <c r="QAO68" s="456"/>
      <c r="QAP68" s="456"/>
      <c r="QAQ68" s="456"/>
      <c r="QAR68" s="456"/>
      <c r="QAS68" s="456"/>
      <c r="QAT68" s="456"/>
      <c r="QAU68" s="456"/>
      <c r="QAV68" s="456"/>
      <c r="QAW68" s="456"/>
      <c r="QAX68" s="456"/>
      <c r="QAY68" s="456"/>
      <c r="QAZ68" s="456"/>
      <c r="QBA68" s="456"/>
      <c r="QBB68" s="456"/>
      <c r="QBC68" s="456"/>
      <c r="QBD68" s="456"/>
      <c r="QBE68" s="456"/>
      <c r="QBF68" s="456"/>
      <c r="QBG68" s="456"/>
      <c r="QBH68" s="456"/>
      <c r="QBI68" s="456"/>
      <c r="QBJ68" s="456"/>
      <c r="QBK68" s="456"/>
      <c r="QBL68" s="456"/>
      <c r="QBM68" s="456"/>
      <c r="QBN68" s="456"/>
      <c r="QBO68" s="456"/>
      <c r="QBP68" s="456"/>
      <c r="QBQ68" s="456"/>
      <c r="QBR68" s="456"/>
      <c r="QBS68" s="456"/>
      <c r="QBT68" s="456"/>
      <c r="QBU68" s="456"/>
      <c r="QBV68" s="456"/>
      <c r="QBW68" s="456"/>
      <c r="QBX68" s="456"/>
      <c r="QBY68" s="456"/>
      <c r="QBZ68" s="456"/>
      <c r="QCA68" s="456"/>
      <c r="QCB68" s="456"/>
      <c r="QCC68" s="456"/>
      <c r="QCD68" s="456"/>
      <c r="QCE68" s="456"/>
      <c r="QCF68" s="456"/>
      <c r="QCG68" s="456"/>
      <c r="QCH68" s="456"/>
      <c r="QCI68" s="456"/>
      <c r="QCJ68" s="456"/>
      <c r="QCK68" s="456"/>
      <c r="QCL68" s="456"/>
      <c r="QCM68" s="456"/>
      <c r="QCN68" s="456"/>
      <c r="QCO68" s="456"/>
      <c r="QCP68" s="456"/>
      <c r="QCQ68" s="456"/>
      <c r="QCR68" s="456"/>
      <c r="QCS68" s="456"/>
      <c r="QCT68" s="456"/>
      <c r="QCU68" s="456"/>
      <c r="QCV68" s="456"/>
      <c r="QCW68" s="456"/>
      <c r="QCX68" s="456"/>
      <c r="QCY68" s="456"/>
      <c r="QCZ68" s="456"/>
      <c r="QDA68" s="456"/>
      <c r="QDB68" s="456"/>
      <c r="QDC68" s="456"/>
      <c r="QDD68" s="456"/>
      <c r="QDE68" s="456"/>
      <c r="QDF68" s="456"/>
      <c r="QDG68" s="456"/>
      <c r="QDH68" s="456"/>
      <c r="QDI68" s="456"/>
      <c r="QDJ68" s="456"/>
      <c r="QDK68" s="456"/>
      <c r="QDL68" s="456"/>
      <c r="QDM68" s="456"/>
      <c r="QDN68" s="456"/>
      <c r="QDO68" s="456"/>
      <c r="QDP68" s="456"/>
      <c r="QDQ68" s="456"/>
      <c r="QDR68" s="456"/>
      <c r="QDS68" s="456"/>
      <c r="QDT68" s="456"/>
      <c r="QDU68" s="456"/>
      <c r="QDV68" s="456"/>
      <c r="QDW68" s="456"/>
      <c r="QDX68" s="456"/>
      <c r="QDY68" s="456"/>
      <c r="QDZ68" s="456"/>
      <c r="QEA68" s="456"/>
      <c r="QEB68" s="456"/>
      <c r="QEC68" s="456"/>
      <c r="QED68" s="456"/>
      <c r="QEE68" s="456"/>
      <c r="QEF68" s="456"/>
      <c r="QEG68" s="456"/>
      <c r="QEH68" s="456"/>
      <c r="QEI68" s="456"/>
      <c r="QEJ68" s="456"/>
      <c r="QEK68" s="456"/>
      <c r="QEL68" s="456"/>
      <c r="QEM68" s="456"/>
      <c r="QEN68" s="456"/>
      <c r="QEO68" s="456"/>
      <c r="QEP68" s="456"/>
      <c r="QEQ68" s="456"/>
      <c r="QER68" s="456"/>
      <c r="QES68" s="456"/>
      <c r="QET68" s="456"/>
      <c r="QEU68" s="456"/>
      <c r="QEV68" s="456"/>
      <c r="QEW68" s="456"/>
      <c r="QEX68" s="456"/>
      <c r="QEY68" s="456"/>
      <c r="QEZ68" s="456"/>
      <c r="QFA68" s="456"/>
      <c r="QFB68" s="456"/>
      <c r="QFC68" s="456"/>
      <c r="QFD68" s="456"/>
      <c r="QFE68" s="456"/>
      <c r="QFF68" s="456"/>
      <c r="QFG68" s="456"/>
      <c r="QFH68" s="456"/>
      <c r="QFI68" s="456"/>
      <c r="QFJ68" s="456"/>
      <c r="QFK68" s="456"/>
      <c r="QFL68" s="456"/>
      <c r="QFM68" s="456"/>
      <c r="QFN68" s="456"/>
      <c r="QFO68" s="456"/>
      <c r="QFP68" s="456"/>
      <c r="QFQ68" s="456"/>
      <c r="QFR68" s="456"/>
      <c r="QFS68" s="456"/>
      <c r="QFT68" s="456"/>
      <c r="QFU68" s="456"/>
      <c r="QFV68" s="456"/>
      <c r="QFW68" s="456"/>
      <c r="QFX68" s="456"/>
      <c r="QFY68" s="456"/>
      <c r="QFZ68" s="456"/>
      <c r="QGA68" s="456"/>
      <c r="QGB68" s="456"/>
      <c r="QGC68" s="456"/>
      <c r="QGD68" s="456"/>
      <c r="QGE68" s="456"/>
      <c r="QGF68" s="456"/>
      <c r="QGG68" s="456"/>
      <c r="QGH68" s="456"/>
      <c r="QGI68" s="456"/>
      <c r="QGJ68" s="456"/>
      <c r="QGK68" s="456"/>
      <c r="QGL68" s="456"/>
      <c r="QGM68" s="456"/>
      <c r="QGN68" s="456"/>
      <c r="QGO68" s="456"/>
      <c r="QGP68" s="456"/>
      <c r="QGQ68" s="456"/>
      <c r="QGR68" s="456"/>
      <c r="QGS68" s="456"/>
      <c r="QGT68" s="456"/>
      <c r="QGU68" s="456"/>
      <c r="QGV68" s="456"/>
      <c r="QGW68" s="456"/>
      <c r="QGX68" s="456"/>
      <c r="QGY68" s="456"/>
      <c r="QGZ68" s="456"/>
      <c r="QHA68" s="456"/>
      <c r="QHB68" s="456"/>
      <c r="QHC68" s="456"/>
      <c r="QHD68" s="456"/>
      <c r="QHE68" s="456"/>
      <c r="QHF68" s="456"/>
      <c r="QHG68" s="456"/>
      <c r="QHH68" s="456"/>
      <c r="QHI68" s="456"/>
      <c r="QHJ68" s="456"/>
      <c r="QHK68" s="456"/>
      <c r="QHL68" s="456"/>
      <c r="QHM68" s="456"/>
      <c r="QHN68" s="456"/>
      <c r="QHO68" s="456"/>
      <c r="QHP68" s="456"/>
      <c r="QHQ68" s="456"/>
      <c r="QHR68" s="456"/>
      <c r="QHS68" s="456"/>
      <c r="QHT68" s="456"/>
      <c r="QHU68" s="456"/>
      <c r="QHV68" s="456"/>
      <c r="QHW68" s="456"/>
      <c r="QHX68" s="456"/>
      <c r="QHY68" s="456"/>
      <c r="QHZ68" s="456"/>
      <c r="QIA68" s="456"/>
      <c r="QIB68" s="456"/>
      <c r="QIC68" s="456"/>
      <c r="QID68" s="456"/>
      <c r="QIE68" s="456"/>
      <c r="QIF68" s="456"/>
      <c r="QIG68" s="456"/>
      <c r="QIH68" s="456"/>
      <c r="QII68" s="456"/>
      <c r="QIJ68" s="456"/>
      <c r="QIK68" s="456"/>
      <c r="QIL68" s="456"/>
      <c r="QIM68" s="456"/>
      <c r="QIN68" s="456"/>
      <c r="QIO68" s="456"/>
      <c r="QIP68" s="456"/>
      <c r="QIQ68" s="456"/>
      <c r="QIR68" s="456"/>
      <c r="QIS68" s="456"/>
      <c r="QIT68" s="456"/>
      <c r="QIU68" s="456"/>
      <c r="QIV68" s="456"/>
      <c r="QIW68" s="456"/>
      <c r="QIX68" s="456"/>
      <c r="QIY68" s="456"/>
      <c r="QIZ68" s="456"/>
      <c r="QJA68" s="456"/>
      <c r="QJB68" s="456"/>
      <c r="QJC68" s="456"/>
      <c r="QJD68" s="456"/>
      <c r="QJE68" s="456"/>
      <c r="QJF68" s="456"/>
      <c r="QJG68" s="456"/>
      <c r="QJH68" s="456"/>
      <c r="QJI68" s="456"/>
      <c r="QJJ68" s="456"/>
      <c r="QJK68" s="456"/>
      <c r="QJL68" s="456"/>
      <c r="QJM68" s="456"/>
      <c r="QJN68" s="456"/>
      <c r="QJO68" s="456"/>
      <c r="QJP68" s="456"/>
      <c r="QJQ68" s="456"/>
      <c r="QJR68" s="456"/>
      <c r="QJS68" s="456"/>
      <c r="QJT68" s="456"/>
      <c r="QJU68" s="456"/>
      <c r="QJV68" s="456"/>
      <c r="QJW68" s="456"/>
      <c r="QJX68" s="456"/>
      <c r="QJY68" s="456"/>
      <c r="QJZ68" s="456"/>
      <c r="QKA68" s="456"/>
      <c r="QKB68" s="456"/>
      <c r="QKC68" s="456"/>
      <c r="QKD68" s="456"/>
      <c r="QKE68" s="456"/>
      <c r="QKF68" s="456"/>
      <c r="QKG68" s="456"/>
      <c r="QKH68" s="456"/>
      <c r="QKI68" s="456"/>
      <c r="QKJ68" s="456"/>
      <c r="QKK68" s="456"/>
      <c r="QKL68" s="456"/>
      <c r="QKM68" s="456"/>
      <c r="QKN68" s="456"/>
      <c r="QKO68" s="456"/>
      <c r="QKP68" s="456"/>
      <c r="QKQ68" s="456"/>
      <c r="QKR68" s="456"/>
      <c r="QKS68" s="456"/>
      <c r="QKT68" s="456"/>
      <c r="QKU68" s="456"/>
      <c r="QKV68" s="456"/>
      <c r="QKW68" s="456"/>
      <c r="QKX68" s="456"/>
      <c r="QKY68" s="456"/>
      <c r="QKZ68" s="456"/>
      <c r="QLA68" s="456"/>
      <c r="QLB68" s="456"/>
      <c r="QLC68" s="456"/>
      <c r="QLD68" s="456"/>
      <c r="QLE68" s="456"/>
      <c r="QLF68" s="456"/>
      <c r="QLG68" s="456"/>
      <c r="QLH68" s="456"/>
      <c r="QLI68" s="456"/>
      <c r="QLJ68" s="456"/>
      <c r="QLK68" s="456"/>
      <c r="QLL68" s="456"/>
      <c r="QLM68" s="456"/>
      <c r="QLN68" s="456"/>
      <c r="QLO68" s="456"/>
      <c r="QLP68" s="456"/>
      <c r="QLQ68" s="456"/>
      <c r="QLR68" s="456"/>
      <c r="QLS68" s="456"/>
      <c r="QLT68" s="456"/>
      <c r="QLU68" s="456"/>
      <c r="QLV68" s="456"/>
      <c r="QLW68" s="456"/>
      <c r="QLX68" s="456"/>
      <c r="QLY68" s="456"/>
      <c r="QLZ68" s="456"/>
      <c r="QMA68" s="456"/>
      <c r="QMB68" s="456"/>
      <c r="QMC68" s="456"/>
      <c r="QMD68" s="456"/>
      <c r="QME68" s="456"/>
      <c r="QMF68" s="456"/>
      <c r="QMG68" s="456"/>
      <c r="QMH68" s="456"/>
      <c r="QMI68" s="456"/>
      <c r="QMJ68" s="456"/>
      <c r="QMK68" s="456"/>
      <c r="QML68" s="456"/>
      <c r="QMM68" s="456"/>
      <c r="QMN68" s="456"/>
      <c r="QMO68" s="456"/>
      <c r="QMP68" s="456"/>
      <c r="QMQ68" s="456"/>
      <c r="QMR68" s="456"/>
      <c r="QMS68" s="456"/>
      <c r="QMT68" s="456"/>
      <c r="QMU68" s="456"/>
      <c r="QMV68" s="456"/>
      <c r="QMW68" s="456"/>
      <c r="QMX68" s="456"/>
      <c r="QMY68" s="456"/>
      <c r="QMZ68" s="456"/>
      <c r="QNA68" s="456"/>
      <c r="QNB68" s="456"/>
      <c r="QNC68" s="456"/>
      <c r="QND68" s="456"/>
      <c r="QNE68" s="456"/>
      <c r="QNF68" s="456"/>
      <c r="QNG68" s="456"/>
      <c r="QNH68" s="456"/>
      <c r="QNI68" s="456"/>
      <c r="QNJ68" s="456"/>
      <c r="QNK68" s="456"/>
      <c r="QNL68" s="456"/>
      <c r="QNM68" s="456"/>
      <c r="QNN68" s="456"/>
      <c r="QNO68" s="456"/>
      <c r="QNP68" s="456"/>
      <c r="QNQ68" s="456"/>
      <c r="QNR68" s="456"/>
      <c r="QNS68" s="456"/>
      <c r="QNT68" s="456"/>
      <c r="QNU68" s="456"/>
      <c r="QNV68" s="456"/>
      <c r="QNW68" s="456"/>
      <c r="QNX68" s="456"/>
      <c r="QNY68" s="456"/>
      <c r="QNZ68" s="456"/>
      <c r="QOA68" s="456"/>
      <c r="QOB68" s="456"/>
      <c r="QOC68" s="456"/>
      <c r="QOD68" s="456"/>
      <c r="QOE68" s="456"/>
      <c r="QOF68" s="456"/>
      <c r="QOG68" s="456"/>
      <c r="QOH68" s="456"/>
      <c r="QOI68" s="456"/>
      <c r="QOJ68" s="456"/>
      <c r="QOK68" s="456"/>
      <c r="QOL68" s="456"/>
      <c r="QOM68" s="456"/>
      <c r="QON68" s="456"/>
      <c r="QOO68" s="456"/>
      <c r="QOP68" s="456"/>
      <c r="QOQ68" s="456"/>
      <c r="QOR68" s="456"/>
      <c r="QOS68" s="456"/>
      <c r="QOT68" s="456"/>
      <c r="QOU68" s="456"/>
      <c r="QOV68" s="456"/>
      <c r="QOW68" s="456"/>
      <c r="QOX68" s="456"/>
      <c r="QOY68" s="456"/>
      <c r="QOZ68" s="456"/>
      <c r="QPA68" s="456"/>
      <c r="QPB68" s="456"/>
      <c r="QPC68" s="456"/>
      <c r="QPD68" s="456"/>
      <c r="QPE68" s="456"/>
      <c r="QPF68" s="456"/>
      <c r="QPG68" s="456"/>
      <c r="QPH68" s="456"/>
      <c r="QPI68" s="456"/>
      <c r="QPJ68" s="456"/>
      <c r="QPK68" s="456"/>
      <c r="QPL68" s="456"/>
      <c r="QPM68" s="456"/>
      <c r="QPN68" s="456"/>
      <c r="QPO68" s="456"/>
      <c r="QPP68" s="456"/>
      <c r="QPQ68" s="456"/>
      <c r="QPR68" s="456"/>
      <c r="QPS68" s="456"/>
      <c r="QPT68" s="456"/>
      <c r="QPU68" s="456"/>
      <c r="QPV68" s="456"/>
      <c r="QPW68" s="456"/>
      <c r="QPX68" s="456"/>
      <c r="QPY68" s="456"/>
      <c r="QPZ68" s="456"/>
      <c r="QQA68" s="456"/>
      <c r="QQB68" s="456"/>
      <c r="QQC68" s="456"/>
      <c r="QQD68" s="456"/>
      <c r="QQE68" s="456"/>
      <c r="QQF68" s="456"/>
      <c r="QQG68" s="456"/>
      <c r="QQH68" s="456"/>
      <c r="QQI68" s="456"/>
      <c r="QQJ68" s="456"/>
      <c r="QQK68" s="456"/>
      <c r="QQL68" s="456"/>
      <c r="QQM68" s="456"/>
      <c r="QQN68" s="456"/>
      <c r="QQO68" s="456"/>
      <c r="QQP68" s="456"/>
      <c r="QQQ68" s="456"/>
      <c r="QQR68" s="456"/>
      <c r="QQS68" s="456"/>
      <c r="QQT68" s="456"/>
      <c r="QQU68" s="456"/>
      <c r="QQV68" s="456"/>
      <c r="QQW68" s="456"/>
      <c r="QQX68" s="456"/>
      <c r="QQY68" s="456"/>
      <c r="QQZ68" s="456"/>
      <c r="QRA68" s="456"/>
      <c r="QRB68" s="456"/>
      <c r="QRC68" s="456"/>
      <c r="QRD68" s="456"/>
      <c r="QRE68" s="456"/>
      <c r="QRF68" s="456"/>
      <c r="QRG68" s="456"/>
      <c r="QRH68" s="456"/>
      <c r="QRI68" s="456"/>
      <c r="QRJ68" s="456"/>
      <c r="QRK68" s="456"/>
      <c r="QRL68" s="456"/>
      <c r="QRM68" s="456"/>
      <c r="QRN68" s="456"/>
      <c r="QRO68" s="456"/>
      <c r="QRP68" s="456"/>
      <c r="QRQ68" s="456"/>
      <c r="QRR68" s="456"/>
      <c r="QRS68" s="456"/>
      <c r="QRT68" s="456"/>
      <c r="QRU68" s="456"/>
      <c r="QRV68" s="456"/>
      <c r="QRW68" s="456"/>
      <c r="QRX68" s="456"/>
      <c r="QRY68" s="456"/>
      <c r="QRZ68" s="456"/>
      <c r="QSA68" s="456"/>
      <c r="QSB68" s="456"/>
      <c r="QSC68" s="456"/>
      <c r="QSD68" s="456"/>
      <c r="QSE68" s="456"/>
      <c r="QSF68" s="456"/>
      <c r="QSG68" s="456"/>
      <c r="QSH68" s="456"/>
      <c r="QSI68" s="456"/>
      <c r="QSJ68" s="456"/>
      <c r="QSK68" s="456"/>
      <c r="QSL68" s="456"/>
      <c r="QSM68" s="456"/>
      <c r="QSN68" s="456"/>
      <c r="QSO68" s="456"/>
      <c r="QSP68" s="456"/>
      <c r="QSQ68" s="456"/>
      <c r="QSR68" s="456"/>
      <c r="QSS68" s="456"/>
      <c r="QST68" s="456"/>
      <c r="QSU68" s="456"/>
      <c r="QSV68" s="456"/>
      <c r="QSW68" s="456"/>
      <c r="QSX68" s="456"/>
      <c r="QSY68" s="456"/>
      <c r="QSZ68" s="456"/>
      <c r="QTA68" s="456"/>
      <c r="QTB68" s="456"/>
      <c r="QTC68" s="456"/>
      <c r="QTD68" s="456"/>
      <c r="QTE68" s="456"/>
      <c r="QTF68" s="456"/>
      <c r="QTG68" s="456"/>
      <c r="QTH68" s="456"/>
      <c r="QTI68" s="456"/>
      <c r="QTJ68" s="456"/>
      <c r="QTK68" s="456"/>
      <c r="QTL68" s="456"/>
      <c r="QTM68" s="456"/>
      <c r="QTN68" s="456"/>
      <c r="QTO68" s="456"/>
      <c r="QTP68" s="456"/>
      <c r="QTQ68" s="456"/>
      <c r="QTR68" s="456"/>
      <c r="QTS68" s="456"/>
      <c r="QTT68" s="456"/>
      <c r="QTU68" s="456"/>
      <c r="QTV68" s="456"/>
      <c r="QTW68" s="456"/>
      <c r="QTX68" s="456"/>
      <c r="QTY68" s="456"/>
      <c r="QTZ68" s="456"/>
      <c r="QUA68" s="456"/>
      <c r="QUB68" s="456"/>
      <c r="QUC68" s="456"/>
      <c r="QUD68" s="456"/>
      <c r="QUE68" s="456"/>
      <c r="QUF68" s="456"/>
      <c r="QUG68" s="456"/>
      <c r="QUH68" s="456"/>
      <c r="QUI68" s="456"/>
      <c r="QUJ68" s="456"/>
      <c r="QUK68" s="456"/>
      <c r="QUL68" s="456"/>
      <c r="QUM68" s="456"/>
      <c r="QUN68" s="456"/>
      <c r="QUO68" s="456"/>
      <c r="QUP68" s="456"/>
      <c r="QUQ68" s="456"/>
      <c r="QUR68" s="456"/>
      <c r="QUS68" s="456"/>
      <c r="QUT68" s="456"/>
      <c r="QUU68" s="456"/>
      <c r="QUV68" s="456"/>
      <c r="QUW68" s="456"/>
      <c r="QUX68" s="456"/>
      <c r="QUY68" s="456"/>
      <c r="QUZ68" s="456"/>
      <c r="QVA68" s="456"/>
      <c r="QVB68" s="456"/>
      <c r="QVC68" s="456"/>
      <c r="QVD68" s="456"/>
      <c r="QVE68" s="456"/>
      <c r="QVF68" s="456"/>
      <c r="QVG68" s="456"/>
      <c r="QVH68" s="456"/>
      <c r="QVI68" s="456"/>
      <c r="QVJ68" s="456"/>
      <c r="QVK68" s="456"/>
      <c r="QVL68" s="456"/>
      <c r="QVM68" s="456"/>
      <c r="QVN68" s="456"/>
      <c r="QVO68" s="456"/>
      <c r="QVP68" s="456"/>
      <c r="QVQ68" s="456"/>
      <c r="QVR68" s="456"/>
      <c r="QVS68" s="456"/>
      <c r="QVT68" s="456"/>
      <c r="QVU68" s="456"/>
      <c r="QVV68" s="456"/>
      <c r="QVW68" s="456"/>
      <c r="QVX68" s="456"/>
      <c r="QVY68" s="456"/>
      <c r="QVZ68" s="456"/>
      <c r="QWA68" s="456"/>
      <c r="QWB68" s="456"/>
      <c r="QWC68" s="456"/>
      <c r="QWD68" s="456"/>
      <c r="QWE68" s="456"/>
      <c r="QWF68" s="456"/>
      <c r="QWG68" s="456"/>
      <c r="QWH68" s="456"/>
      <c r="QWI68" s="456"/>
      <c r="QWJ68" s="456"/>
      <c r="QWK68" s="456"/>
      <c r="QWL68" s="456"/>
      <c r="QWM68" s="456"/>
      <c r="QWN68" s="456"/>
      <c r="QWO68" s="456"/>
      <c r="QWP68" s="456"/>
      <c r="QWQ68" s="456"/>
      <c r="QWR68" s="456"/>
      <c r="QWS68" s="456"/>
      <c r="QWT68" s="456"/>
      <c r="QWU68" s="456"/>
      <c r="QWV68" s="456"/>
      <c r="QWW68" s="456"/>
      <c r="QWX68" s="456"/>
      <c r="QWY68" s="456"/>
      <c r="QWZ68" s="456"/>
      <c r="QXA68" s="456"/>
      <c r="QXB68" s="456"/>
      <c r="QXC68" s="456"/>
      <c r="QXD68" s="456"/>
      <c r="QXE68" s="456"/>
      <c r="QXF68" s="456"/>
      <c r="QXG68" s="456"/>
      <c r="QXH68" s="456"/>
      <c r="QXI68" s="456"/>
      <c r="QXJ68" s="456"/>
      <c r="QXK68" s="456"/>
      <c r="QXL68" s="456"/>
      <c r="QXM68" s="456"/>
      <c r="QXN68" s="456"/>
      <c r="QXO68" s="456"/>
      <c r="QXP68" s="456"/>
      <c r="QXQ68" s="456"/>
      <c r="QXR68" s="456"/>
      <c r="QXS68" s="456"/>
      <c r="QXT68" s="456"/>
      <c r="QXU68" s="456"/>
      <c r="QXV68" s="456"/>
      <c r="QXW68" s="456"/>
      <c r="QXX68" s="456"/>
      <c r="QXY68" s="456"/>
      <c r="QXZ68" s="456"/>
      <c r="QYA68" s="456"/>
      <c r="QYB68" s="456"/>
      <c r="QYC68" s="456"/>
      <c r="QYD68" s="456"/>
      <c r="QYE68" s="456"/>
      <c r="QYF68" s="456"/>
      <c r="QYG68" s="456"/>
      <c r="QYH68" s="456"/>
      <c r="QYI68" s="456"/>
      <c r="QYJ68" s="456"/>
      <c r="QYK68" s="456"/>
      <c r="QYL68" s="456"/>
      <c r="QYM68" s="456"/>
      <c r="QYN68" s="456"/>
      <c r="QYO68" s="456"/>
      <c r="QYP68" s="456"/>
      <c r="QYQ68" s="456"/>
      <c r="QYR68" s="456"/>
      <c r="QYS68" s="456"/>
      <c r="QYT68" s="456"/>
      <c r="QYU68" s="456"/>
      <c r="QYV68" s="456"/>
      <c r="QYW68" s="456"/>
      <c r="QYX68" s="456"/>
      <c r="QYY68" s="456"/>
      <c r="QYZ68" s="456"/>
      <c r="QZA68" s="456"/>
      <c r="QZB68" s="456"/>
      <c r="QZC68" s="456"/>
      <c r="QZD68" s="456"/>
      <c r="QZE68" s="456"/>
      <c r="QZF68" s="456"/>
      <c r="QZG68" s="456"/>
      <c r="QZH68" s="456"/>
      <c r="QZI68" s="456"/>
      <c r="QZJ68" s="456"/>
      <c r="QZK68" s="456"/>
      <c r="QZL68" s="456"/>
      <c r="QZM68" s="456"/>
      <c r="QZN68" s="456"/>
      <c r="QZO68" s="456"/>
      <c r="QZP68" s="456"/>
      <c r="QZQ68" s="456"/>
      <c r="QZR68" s="456"/>
      <c r="QZS68" s="456"/>
      <c r="QZT68" s="456"/>
      <c r="QZU68" s="456"/>
      <c r="QZV68" s="456"/>
      <c r="QZW68" s="456"/>
      <c r="QZX68" s="456"/>
      <c r="QZY68" s="456"/>
      <c r="QZZ68" s="456"/>
      <c r="RAA68" s="456"/>
      <c r="RAB68" s="456"/>
      <c r="RAC68" s="456"/>
      <c r="RAD68" s="456"/>
      <c r="RAE68" s="456"/>
      <c r="RAF68" s="456"/>
      <c r="RAG68" s="456"/>
      <c r="RAH68" s="456"/>
      <c r="RAI68" s="456"/>
      <c r="RAJ68" s="456"/>
      <c r="RAK68" s="456"/>
      <c r="RAL68" s="456"/>
      <c r="RAM68" s="456"/>
      <c r="RAN68" s="456"/>
      <c r="RAO68" s="456"/>
      <c r="RAP68" s="456"/>
      <c r="RAQ68" s="456"/>
      <c r="RAR68" s="456"/>
      <c r="RAS68" s="456"/>
      <c r="RAT68" s="456"/>
      <c r="RAU68" s="456"/>
      <c r="RAV68" s="456"/>
      <c r="RAW68" s="456"/>
      <c r="RAX68" s="456"/>
      <c r="RAY68" s="456"/>
      <c r="RAZ68" s="456"/>
      <c r="RBA68" s="456"/>
      <c r="RBB68" s="456"/>
      <c r="RBC68" s="456"/>
      <c r="RBD68" s="456"/>
      <c r="RBE68" s="456"/>
      <c r="RBF68" s="456"/>
      <c r="RBG68" s="456"/>
      <c r="RBH68" s="456"/>
      <c r="RBI68" s="456"/>
      <c r="RBJ68" s="456"/>
      <c r="RBK68" s="456"/>
      <c r="RBL68" s="456"/>
      <c r="RBM68" s="456"/>
      <c r="RBN68" s="456"/>
      <c r="RBO68" s="456"/>
      <c r="RBP68" s="456"/>
      <c r="RBQ68" s="456"/>
      <c r="RBR68" s="456"/>
      <c r="RBS68" s="456"/>
      <c r="RBT68" s="456"/>
      <c r="RBU68" s="456"/>
      <c r="RBV68" s="456"/>
      <c r="RBW68" s="456"/>
      <c r="RBX68" s="456"/>
      <c r="RBY68" s="456"/>
      <c r="RBZ68" s="456"/>
      <c r="RCA68" s="456"/>
      <c r="RCB68" s="456"/>
      <c r="RCC68" s="456"/>
      <c r="RCD68" s="456"/>
      <c r="RCE68" s="456"/>
      <c r="RCF68" s="456"/>
      <c r="RCG68" s="456"/>
      <c r="RCH68" s="456"/>
      <c r="RCI68" s="456"/>
      <c r="RCJ68" s="456"/>
      <c r="RCK68" s="456"/>
      <c r="RCL68" s="456"/>
      <c r="RCM68" s="456"/>
      <c r="RCN68" s="456"/>
      <c r="RCO68" s="456"/>
      <c r="RCP68" s="456"/>
      <c r="RCQ68" s="456"/>
      <c r="RCR68" s="456"/>
      <c r="RCS68" s="456"/>
      <c r="RCT68" s="456"/>
      <c r="RCU68" s="456"/>
      <c r="RCV68" s="456"/>
      <c r="RCW68" s="456"/>
      <c r="RCX68" s="456"/>
      <c r="RCY68" s="456"/>
      <c r="RCZ68" s="456"/>
      <c r="RDA68" s="456"/>
      <c r="RDB68" s="456"/>
      <c r="RDC68" s="456"/>
      <c r="RDD68" s="456"/>
      <c r="RDE68" s="456"/>
      <c r="RDF68" s="456"/>
      <c r="RDG68" s="456"/>
      <c r="RDH68" s="456"/>
      <c r="RDI68" s="456"/>
      <c r="RDJ68" s="456"/>
      <c r="RDK68" s="456"/>
      <c r="RDL68" s="456"/>
      <c r="RDM68" s="456"/>
      <c r="RDN68" s="456"/>
      <c r="RDO68" s="456"/>
      <c r="RDP68" s="456"/>
      <c r="RDQ68" s="456"/>
      <c r="RDR68" s="456"/>
      <c r="RDS68" s="456"/>
      <c r="RDT68" s="456"/>
      <c r="RDU68" s="456"/>
      <c r="RDV68" s="456"/>
      <c r="RDW68" s="456"/>
      <c r="RDX68" s="456"/>
      <c r="RDY68" s="456"/>
      <c r="RDZ68" s="456"/>
      <c r="REA68" s="456"/>
      <c r="REB68" s="456"/>
      <c r="REC68" s="456"/>
      <c r="RED68" s="456"/>
      <c r="REE68" s="456"/>
      <c r="REF68" s="456"/>
      <c r="REG68" s="456"/>
      <c r="REH68" s="456"/>
      <c r="REI68" s="456"/>
      <c r="REJ68" s="456"/>
      <c r="REK68" s="456"/>
      <c r="REL68" s="456"/>
      <c r="REM68" s="456"/>
      <c r="REN68" s="456"/>
      <c r="REO68" s="456"/>
      <c r="REP68" s="456"/>
      <c r="REQ68" s="456"/>
      <c r="RER68" s="456"/>
      <c r="RES68" s="456"/>
      <c r="RET68" s="456"/>
      <c r="REU68" s="456"/>
      <c r="REV68" s="456"/>
      <c r="REW68" s="456"/>
      <c r="REX68" s="456"/>
      <c r="REY68" s="456"/>
      <c r="REZ68" s="456"/>
      <c r="RFA68" s="456"/>
      <c r="RFB68" s="456"/>
      <c r="RFC68" s="456"/>
      <c r="RFD68" s="456"/>
      <c r="RFE68" s="456"/>
      <c r="RFF68" s="456"/>
      <c r="RFG68" s="456"/>
      <c r="RFH68" s="456"/>
      <c r="RFI68" s="456"/>
      <c r="RFJ68" s="456"/>
      <c r="RFK68" s="456"/>
      <c r="RFL68" s="456"/>
      <c r="RFM68" s="456"/>
      <c r="RFN68" s="456"/>
      <c r="RFO68" s="456"/>
      <c r="RFP68" s="456"/>
      <c r="RFQ68" s="456"/>
      <c r="RFR68" s="456"/>
      <c r="RFS68" s="456"/>
      <c r="RFT68" s="456"/>
      <c r="RFU68" s="456"/>
      <c r="RFV68" s="456"/>
      <c r="RFW68" s="456"/>
      <c r="RFX68" s="456"/>
      <c r="RFY68" s="456"/>
      <c r="RFZ68" s="456"/>
      <c r="RGA68" s="456"/>
      <c r="RGB68" s="456"/>
      <c r="RGC68" s="456"/>
      <c r="RGD68" s="456"/>
      <c r="RGE68" s="456"/>
      <c r="RGF68" s="456"/>
      <c r="RGG68" s="456"/>
      <c r="RGH68" s="456"/>
      <c r="RGI68" s="456"/>
      <c r="RGJ68" s="456"/>
      <c r="RGK68" s="456"/>
      <c r="RGL68" s="456"/>
      <c r="RGM68" s="456"/>
      <c r="RGN68" s="456"/>
      <c r="RGO68" s="456"/>
      <c r="RGP68" s="456"/>
      <c r="RGQ68" s="456"/>
      <c r="RGR68" s="456"/>
      <c r="RGS68" s="456"/>
      <c r="RGT68" s="456"/>
      <c r="RGU68" s="456"/>
      <c r="RGV68" s="456"/>
      <c r="RGW68" s="456"/>
      <c r="RGX68" s="456"/>
      <c r="RGY68" s="456"/>
      <c r="RGZ68" s="456"/>
      <c r="RHA68" s="456"/>
      <c r="RHB68" s="456"/>
      <c r="RHC68" s="456"/>
      <c r="RHD68" s="456"/>
      <c r="RHE68" s="456"/>
      <c r="RHF68" s="456"/>
      <c r="RHG68" s="456"/>
      <c r="RHH68" s="456"/>
      <c r="RHI68" s="456"/>
      <c r="RHJ68" s="456"/>
      <c r="RHK68" s="456"/>
      <c r="RHL68" s="456"/>
      <c r="RHM68" s="456"/>
      <c r="RHN68" s="456"/>
      <c r="RHO68" s="456"/>
      <c r="RHP68" s="456"/>
      <c r="RHQ68" s="456"/>
      <c r="RHR68" s="456"/>
      <c r="RHS68" s="456"/>
      <c r="RHT68" s="456"/>
      <c r="RHU68" s="456"/>
      <c r="RHV68" s="456"/>
      <c r="RHW68" s="456"/>
      <c r="RHX68" s="456"/>
      <c r="RHY68" s="456"/>
      <c r="RHZ68" s="456"/>
      <c r="RIA68" s="456"/>
      <c r="RIB68" s="456"/>
      <c r="RIC68" s="456"/>
      <c r="RID68" s="456"/>
      <c r="RIE68" s="456"/>
      <c r="RIF68" s="456"/>
      <c r="RIG68" s="456"/>
      <c r="RIH68" s="456"/>
      <c r="RII68" s="456"/>
      <c r="RIJ68" s="456"/>
      <c r="RIK68" s="456"/>
      <c r="RIL68" s="456"/>
      <c r="RIM68" s="456"/>
      <c r="RIN68" s="456"/>
      <c r="RIO68" s="456"/>
      <c r="RIP68" s="456"/>
      <c r="RIQ68" s="456"/>
      <c r="RIR68" s="456"/>
      <c r="RIS68" s="456"/>
      <c r="RIT68" s="456"/>
      <c r="RIU68" s="456"/>
      <c r="RIV68" s="456"/>
      <c r="RIW68" s="456"/>
      <c r="RIX68" s="456"/>
      <c r="RIY68" s="456"/>
      <c r="RIZ68" s="456"/>
      <c r="RJA68" s="456"/>
      <c r="RJB68" s="456"/>
      <c r="RJC68" s="456"/>
      <c r="RJD68" s="456"/>
      <c r="RJE68" s="456"/>
      <c r="RJF68" s="456"/>
      <c r="RJG68" s="456"/>
      <c r="RJH68" s="456"/>
      <c r="RJI68" s="456"/>
      <c r="RJJ68" s="456"/>
      <c r="RJK68" s="456"/>
      <c r="RJL68" s="456"/>
      <c r="RJM68" s="456"/>
      <c r="RJN68" s="456"/>
      <c r="RJO68" s="456"/>
      <c r="RJP68" s="456"/>
      <c r="RJQ68" s="456"/>
      <c r="RJR68" s="456"/>
      <c r="RJS68" s="456"/>
      <c r="RJT68" s="456"/>
      <c r="RJU68" s="456"/>
      <c r="RJV68" s="456"/>
      <c r="RJW68" s="456"/>
      <c r="RJX68" s="456"/>
      <c r="RJY68" s="456"/>
      <c r="RJZ68" s="456"/>
      <c r="RKA68" s="456"/>
      <c r="RKB68" s="456"/>
      <c r="RKC68" s="456"/>
      <c r="RKD68" s="456"/>
      <c r="RKE68" s="456"/>
      <c r="RKF68" s="456"/>
      <c r="RKG68" s="456"/>
      <c r="RKH68" s="456"/>
      <c r="RKI68" s="456"/>
      <c r="RKJ68" s="456"/>
      <c r="RKK68" s="456"/>
      <c r="RKL68" s="456"/>
      <c r="RKM68" s="456"/>
      <c r="RKN68" s="456"/>
      <c r="RKO68" s="456"/>
      <c r="RKP68" s="456"/>
      <c r="RKQ68" s="456"/>
      <c r="RKR68" s="456"/>
      <c r="RKS68" s="456"/>
      <c r="RKT68" s="456"/>
      <c r="RKU68" s="456"/>
      <c r="RKV68" s="456"/>
      <c r="RKW68" s="456"/>
      <c r="RKX68" s="456"/>
      <c r="RKY68" s="456"/>
      <c r="RKZ68" s="456"/>
      <c r="RLA68" s="456"/>
      <c r="RLB68" s="456"/>
      <c r="RLC68" s="456"/>
      <c r="RLD68" s="456"/>
      <c r="RLE68" s="456"/>
      <c r="RLF68" s="456"/>
      <c r="RLG68" s="456"/>
      <c r="RLH68" s="456"/>
      <c r="RLI68" s="456"/>
      <c r="RLJ68" s="456"/>
      <c r="RLK68" s="456"/>
      <c r="RLL68" s="456"/>
      <c r="RLM68" s="456"/>
      <c r="RLN68" s="456"/>
      <c r="RLO68" s="456"/>
      <c r="RLP68" s="456"/>
      <c r="RLQ68" s="456"/>
      <c r="RLR68" s="456"/>
      <c r="RLS68" s="456"/>
      <c r="RLT68" s="456"/>
      <c r="RLU68" s="456"/>
      <c r="RLV68" s="456"/>
      <c r="RLW68" s="456"/>
      <c r="RLX68" s="456"/>
      <c r="RLY68" s="456"/>
      <c r="RLZ68" s="456"/>
      <c r="RMA68" s="456"/>
      <c r="RMB68" s="456"/>
      <c r="RMC68" s="456"/>
      <c r="RMD68" s="456"/>
      <c r="RME68" s="456"/>
      <c r="RMF68" s="456"/>
      <c r="RMG68" s="456"/>
      <c r="RMH68" s="456"/>
      <c r="RMI68" s="456"/>
      <c r="RMJ68" s="456"/>
      <c r="RMK68" s="456"/>
      <c r="RML68" s="456"/>
      <c r="RMM68" s="456"/>
      <c r="RMN68" s="456"/>
      <c r="RMO68" s="456"/>
      <c r="RMP68" s="456"/>
      <c r="RMQ68" s="456"/>
      <c r="RMR68" s="456"/>
      <c r="RMS68" s="456"/>
      <c r="RMT68" s="456"/>
      <c r="RMU68" s="456"/>
      <c r="RMV68" s="456"/>
      <c r="RMW68" s="456"/>
      <c r="RMX68" s="456"/>
      <c r="RMY68" s="456"/>
      <c r="RMZ68" s="456"/>
      <c r="RNA68" s="456"/>
      <c r="RNB68" s="456"/>
      <c r="RNC68" s="456"/>
      <c r="RND68" s="456"/>
      <c r="RNE68" s="456"/>
      <c r="RNF68" s="456"/>
      <c r="RNG68" s="456"/>
      <c r="RNH68" s="456"/>
      <c r="RNI68" s="456"/>
      <c r="RNJ68" s="456"/>
      <c r="RNK68" s="456"/>
      <c r="RNL68" s="456"/>
      <c r="RNM68" s="456"/>
      <c r="RNN68" s="456"/>
      <c r="RNO68" s="456"/>
      <c r="RNP68" s="456"/>
      <c r="RNQ68" s="456"/>
      <c r="RNR68" s="456"/>
      <c r="RNS68" s="456"/>
      <c r="RNT68" s="456"/>
      <c r="RNU68" s="456"/>
      <c r="RNV68" s="456"/>
      <c r="RNW68" s="456"/>
      <c r="RNX68" s="456"/>
      <c r="RNY68" s="456"/>
      <c r="RNZ68" s="456"/>
      <c r="ROA68" s="456"/>
      <c r="ROB68" s="456"/>
      <c r="ROC68" s="456"/>
      <c r="ROD68" s="456"/>
      <c r="ROE68" s="456"/>
      <c r="ROF68" s="456"/>
      <c r="ROG68" s="456"/>
      <c r="ROH68" s="456"/>
      <c r="ROI68" s="456"/>
      <c r="ROJ68" s="456"/>
      <c r="ROK68" s="456"/>
      <c r="ROL68" s="456"/>
      <c r="ROM68" s="456"/>
      <c r="RON68" s="456"/>
      <c r="ROO68" s="456"/>
      <c r="ROP68" s="456"/>
      <c r="ROQ68" s="456"/>
      <c r="ROR68" s="456"/>
      <c r="ROS68" s="456"/>
      <c r="ROT68" s="456"/>
      <c r="ROU68" s="456"/>
      <c r="ROV68" s="456"/>
      <c r="ROW68" s="456"/>
      <c r="ROX68" s="456"/>
      <c r="ROY68" s="456"/>
      <c r="ROZ68" s="456"/>
      <c r="RPA68" s="456"/>
      <c r="RPB68" s="456"/>
      <c r="RPC68" s="456"/>
      <c r="RPD68" s="456"/>
      <c r="RPE68" s="456"/>
      <c r="RPF68" s="456"/>
      <c r="RPG68" s="456"/>
      <c r="RPH68" s="456"/>
      <c r="RPI68" s="456"/>
      <c r="RPJ68" s="456"/>
      <c r="RPK68" s="456"/>
      <c r="RPL68" s="456"/>
      <c r="RPM68" s="456"/>
      <c r="RPN68" s="456"/>
      <c r="RPO68" s="456"/>
      <c r="RPP68" s="456"/>
      <c r="RPQ68" s="456"/>
      <c r="RPR68" s="456"/>
      <c r="RPS68" s="456"/>
      <c r="RPT68" s="456"/>
      <c r="RPU68" s="456"/>
      <c r="RPV68" s="456"/>
      <c r="RPW68" s="456"/>
      <c r="RPX68" s="456"/>
      <c r="RPY68" s="456"/>
      <c r="RPZ68" s="456"/>
      <c r="RQA68" s="456"/>
      <c r="RQB68" s="456"/>
      <c r="RQC68" s="456"/>
      <c r="RQD68" s="456"/>
      <c r="RQE68" s="456"/>
      <c r="RQF68" s="456"/>
      <c r="RQG68" s="456"/>
      <c r="RQH68" s="456"/>
      <c r="RQI68" s="456"/>
      <c r="RQJ68" s="456"/>
      <c r="RQK68" s="456"/>
      <c r="RQL68" s="456"/>
      <c r="RQM68" s="456"/>
      <c r="RQN68" s="456"/>
      <c r="RQO68" s="456"/>
      <c r="RQP68" s="456"/>
      <c r="RQQ68" s="456"/>
      <c r="RQR68" s="456"/>
      <c r="RQS68" s="456"/>
      <c r="RQT68" s="456"/>
      <c r="RQU68" s="456"/>
      <c r="RQV68" s="456"/>
      <c r="RQW68" s="456"/>
      <c r="RQX68" s="456"/>
      <c r="RQY68" s="456"/>
      <c r="RQZ68" s="456"/>
      <c r="RRA68" s="456"/>
      <c r="RRB68" s="456"/>
      <c r="RRC68" s="456"/>
      <c r="RRD68" s="456"/>
      <c r="RRE68" s="456"/>
      <c r="RRF68" s="456"/>
      <c r="RRG68" s="456"/>
      <c r="RRH68" s="456"/>
      <c r="RRI68" s="456"/>
      <c r="RRJ68" s="456"/>
      <c r="RRK68" s="456"/>
      <c r="RRL68" s="456"/>
      <c r="RRM68" s="456"/>
      <c r="RRN68" s="456"/>
      <c r="RRO68" s="456"/>
      <c r="RRP68" s="456"/>
      <c r="RRQ68" s="456"/>
      <c r="RRR68" s="456"/>
      <c r="RRS68" s="456"/>
      <c r="RRT68" s="456"/>
      <c r="RRU68" s="456"/>
      <c r="RRV68" s="456"/>
      <c r="RRW68" s="456"/>
      <c r="RRX68" s="456"/>
      <c r="RRY68" s="456"/>
      <c r="RRZ68" s="456"/>
      <c r="RSA68" s="456"/>
      <c r="RSB68" s="456"/>
      <c r="RSC68" s="456"/>
      <c r="RSD68" s="456"/>
      <c r="RSE68" s="456"/>
      <c r="RSF68" s="456"/>
      <c r="RSG68" s="456"/>
      <c r="RSH68" s="456"/>
      <c r="RSI68" s="456"/>
      <c r="RSJ68" s="456"/>
      <c r="RSK68" s="456"/>
      <c r="RSL68" s="456"/>
      <c r="RSM68" s="456"/>
      <c r="RSN68" s="456"/>
      <c r="RSO68" s="456"/>
      <c r="RSP68" s="456"/>
      <c r="RSQ68" s="456"/>
      <c r="RSR68" s="456"/>
      <c r="RSS68" s="456"/>
      <c r="RST68" s="456"/>
      <c r="RSU68" s="456"/>
      <c r="RSV68" s="456"/>
      <c r="RSW68" s="456"/>
      <c r="RSX68" s="456"/>
      <c r="RSY68" s="456"/>
      <c r="RSZ68" s="456"/>
      <c r="RTA68" s="456"/>
      <c r="RTB68" s="456"/>
      <c r="RTC68" s="456"/>
      <c r="RTD68" s="456"/>
      <c r="RTE68" s="456"/>
      <c r="RTF68" s="456"/>
      <c r="RTG68" s="456"/>
      <c r="RTH68" s="456"/>
      <c r="RTI68" s="456"/>
      <c r="RTJ68" s="456"/>
      <c r="RTK68" s="456"/>
      <c r="RTL68" s="456"/>
      <c r="RTM68" s="456"/>
      <c r="RTN68" s="456"/>
      <c r="RTO68" s="456"/>
      <c r="RTP68" s="456"/>
      <c r="RTQ68" s="456"/>
      <c r="RTR68" s="456"/>
      <c r="RTS68" s="456"/>
      <c r="RTT68" s="456"/>
      <c r="RTU68" s="456"/>
      <c r="RTV68" s="456"/>
      <c r="RTW68" s="456"/>
      <c r="RTX68" s="456"/>
      <c r="RTY68" s="456"/>
      <c r="RTZ68" s="456"/>
      <c r="RUA68" s="456"/>
      <c r="RUB68" s="456"/>
      <c r="RUC68" s="456"/>
      <c r="RUD68" s="456"/>
      <c r="RUE68" s="456"/>
      <c r="RUF68" s="456"/>
      <c r="RUG68" s="456"/>
      <c r="RUH68" s="456"/>
      <c r="RUI68" s="456"/>
      <c r="RUJ68" s="456"/>
      <c r="RUK68" s="456"/>
      <c r="RUL68" s="456"/>
      <c r="RUM68" s="456"/>
      <c r="RUN68" s="456"/>
      <c r="RUO68" s="456"/>
      <c r="RUP68" s="456"/>
      <c r="RUQ68" s="456"/>
      <c r="RUR68" s="456"/>
      <c r="RUS68" s="456"/>
      <c r="RUT68" s="456"/>
      <c r="RUU68" s="456"/>
      <c r="RUV68" s="456"/>
      <c r="RUW68" s="456"/>
      <c r="RUX68" s="456"/>
      <c r="RUY68" s="456"/>
      <c r="RUZ68" s="456"/>
      <c r="RVA68" s="456"/>
      <c r="RVB68" s="456"/>
      <c r="RVC68" s="456"/>
      <c r="RVD68" s="456"/>
      <c r="RVE68" s="456"/>
      <c r="RVF68" s="456"/>
      <c r="RVG68" s="456"/>
      <c r="RVH68" s="456"/>
      <c r="RVI68" s="456"/>
      <c r="RVJ68" s="456"/>
      <c r="RVK68" s="456"/>
      <c r="RVL68" s="456"/>
      <c r="RVM68" s="456"/>
      <c r="RVN68" s="456"/>
      <c r="RVO68" s="456"/>
      <c r="RVP68" s="456"/>
      <c r="RVQ68" s="456"/>
      <c r="RVR68" s="456"/>
      <c r="RVS68" s="456"/>
      <c r="RVT68" s="456"/>
      <c r="RVU68" s="456"/>
      <c r="RVV68" s="456"/>
      <c r="RVW68" s="456"/>
      <c r="RVX68" s="456"/>
      <c r="RVY68" s="456"/>
      <c r="RVZ68" s="456"/>
      <c r="RWA68" s="456"/>
      <c r="RWB68" s="456"/>
      <c r="RWC68" s="456"/>
      <c r="RWD68" s="456"/>
      <c r="RWE68" s="456"/>
      <c r="RWF68" s="456"/>
      <c r="RWG68" s="456"/>
      <c r="RWH68" s="456"/>
      <c r="RWI68" s="456"/>
      <c r="RWJ68" s="456"/>
      <c r="RWK68" s="456"/>
      <c r="RWL68" s="456"/>
      <c r="RWM68" s="456"/>
      <c r="RWN68" s="456"/>
      <c r="RWO68" s="456"/>
      <c r="RWP68" s="456"/>
      <c r="RWQ68" s="456"/>
      <c r="RWR68" s="456"/>
      <c r="RWS68" s="456"/>
      <c r="RWT68" s="456"/>
      <c r="RWU68" s="456"/>
      <c r="RWV68" s="456"/>
      <c r="RWW68" s="456"/>
      <c r="RWX68" s="456"/>
      <c r="RWY68" s="456"/>
      <c r="RWZ68" s="456"/>
      <c r="RXA68" s="456"/>
      <c r="RXB68" s="456"/>
      <c r="RXC68" s="456"/>
      <c r="RXD68" s="456"/>
      <c r="RXE68" s="456"/>
      <c r="RXF68" s="456"/>
      <c r="RXG68" s="456"/>
      <c r="RXH68" s="456"/>
      <c r="RXI68" s="456"/>
      <c r="RXJ68" s="456"/>
      <c r="RXK68" s="456"/>
      <c r="RXL68" s="456"/>
      <c r="RXM68" s="456"/>
      <c r="RXN68" s="456"/>
      <c r="RXO68" s="456"/>
      <c r="RXP68" s="456"/>
      <c r="RXQ68" s="456"/>
      <c r="RXR68" s="456"/>
      <c r="RXS68" s="456"/>
      <c r="RXT68" s="456"/>
      <c r="RXU68" s="456"/>
      <c r="RXV68" s="456"/>
      <c r="RXW68" s="456"/>
      <c r="RXX68" s="456"/>
      <c r="RXY68" s="456"/>
      <c r="RXZ68" s="456"/>
      <c r="RYA68" s="456"/>
      <c r="RYB68" s="456"/>
      <c r="RYC68" s="456"/>
      <c r="RYD68" s="456"/>
      <c r="RYE68" s="456"/>
      <c r="RYF68" s="456"/>
      <c r="RYG68" s="456"/>
      <c r="RYH68" s="456"/>
      <c r="RYI68" s="456"/>
      <c r="RYJ68" s="456"/>
      <c r="RYK68" s="456"/>
      <c r="RYL68" s="456"/>
      <c r="RYM68" s="456"/>
      <c r="RYN68" s="456"/>
      <c r="RYO68" s="456"/>
      <c r="RYP68" s="456"/>
      <c r="RYQ68" s="456"/>
      <c r="RYR68" s="456"/>
      <c r="RYS68" s="456"/>
      <c r="RYT68" s="456"/>
      <c r="RYU68" s="456"/>
      <c r="RYV68" s="456"/>
      <c r="RYW68" s="456"/>
      <c r="RYX68" s="456"/>
      <c r="RYY68" s="456"/>
      <c r="RYZ68" s="456"/>
      <c r="RZA68" s="456"/>
      <c r="RZB68" s="456"/>
      <c r="RZC68" s="456"/>
      <c r="RZD68" s="456"/>
      <c r="RZE68" s="456"/>
      <c r="RZF68" s="456"/>
      <c r="RZG68" s="456"/>
      <c r="RZH68" s="456"/>
      <c r="RZI68" s="456"/>
      <c r="RZJ68" s="456"/>
      <c r="RZK68" s="456"/>
      <c r="RZL68" s="456"/>
      <c r="RZM68" s="456"/>
      <c r="RZN68" s="456"/>
      <c r="RZO68" s="456"/>
      <c r="RZP68" s="456"/>
      <c r="RZQ68" s="456"/>
      <c r="RZR68" s="456"/>
      <c r="RZS68" s="456"/>
      <c r="RZT68" s="456"/>
      <c r="RZU68" s="456"/>
      <c r="RZV68" s="456"/>
      <c r="RZW68" s="456"/>
      <c r="RZX68" s="456"/>
      <c r="RZY68" s="456"/>
      <c r="RZZ68" s="456"/>
      <c r="SAA68" s="456"/>
      <c r="SAB68" s="456"/>
      <c r="SAC68" s="456"/>
      <c r="SAD68" s="456"/>
      <c r="SAE68" s="456"/>
      <c r="SAF68" s="456"/>
      <c r="SAG68" s="456"/>
      <c r="SAH68" s="456"/>
      <c r="SAI68" s="456"/>
      <c r="SAJ68" s="456"/>
      <c r="SAK68" s="456"/>
      <c r="SAL68" s="456"/>
      <c r="SAM68" s="456"/>
      <c r="SAN68" s="456"/>
      <c r="SAO68" s="456"/>
      <c r="SAP68" s="456"/>
      <c r="SAQ68" s="456"/>
      <c r="SAR68" s="456"/>
      <c r="SAS68" s="456"/>
      <c r="SAT68" s="456"/>
      <c r="SAU68" s="456"/>
      <c r="SAV68" s="456"/>
      <c r="SAW68" s="456"/>
      <c r="SAX68" s="456"/>
      <c r="SAY68" s="456"/>
      <c r="SAZ68" s="456"/>
      <c r="SBA68" s="456"/>
      <c r="SBB68" s="456"/>
      <c r="SBC68" s="456"/>
      <c r="SBD68" s="456"/>
      <c r="SBE68" s="456"/>
      <c r="SBF68" s="456"/>
      <c r="SBG68" s="456"/>
      <c r="SBH68" s="456"/>
      <c r="SBI68" s="456"/>
      <c r="SBJ68" s="456"/>
      <c r="SBK68" s="456"/>
      <c r="SBL68" s="456"/>
      <c r="SBM68" s="456"/>
      <c r="SBN68" s="456"/>
      <c r="SBO68" s="456"/>
      <c r="SBP68" s="456"/>
      <c r="SBQ68" s="456"/>
      <c r="SBR68" s="456"/>
      <c r="SBS68" s="456"/>
      <c r="SBT68" s="456"/>
      <c r="SBU68" s="456"/>
      <c r="SBV68" s="456"/>
      <c r="SBW68" s="456"/>
      <c r="SBX68" s="456"/>
      <c r="SBY68" s="456"/>
      <c r="SBZ68" s="456"/>
      <c r="SCA68" s="456"/>
      <c r="SCB68" s="456"/>
      <c r="SCC68" s="456"/>
      <c r="SCD68" s="456"/>
      <c r="SCE68" s="456"/>
      <c r="SCF68" s="456"/>
      <c r="SCG68" s="456"/>
      <c r="SCH68" s="456"/>
      <c r="SCI68" s="456"/>
      <c r="SCJ68" s="456"/>
      <c r="SCK68" s="456"/>
      <c r="SCL68" s="456"/>
      <c r="SCM68" s="456"/>
      <c r="SCN68" s="456"/>
      <c r="SCO68" s="456"/>
      <c r="SCP68" s="456"/>
      <c r="SCQ68" s="456"/>
      <c r="SCR68" s="456"/>
      <c r="SCS68" s="456"/>
      <c r="SCT68" s="456"/>
      <c r="SCU68" s="456"/>
      <c r="SCV68" s="456"/>
      <c r="SCW68" s="456"/>
      <c r="SCX68" s="456"/>
      <c r="SCY68" s="456"/>
      <c r="SCZ68" s="456"/>
      <c r="SDA68" s="456"/>
      <c r="SDB68" s="456"/>
      <c r="SDC68" s="456"/>
      <c r="SDD68" s="456"/>
      <c r="SDE68" s="456"/>
      <c r="SDF68" s="456"/>
      <c r="SDG68" s="456"/>
      <c r="SDH68" s="456"/>
      <c r="SDI68" s="456"/>
      <c r="SDJ68" s="456"/>
      <c r="SDK68" s="456"/>
      <c r="SDL68" s="456"/>
      <c r="SDM68" s="456"/>
      <c r="SDN68" s="456"/>
      <c r="SDO68" s="456"/>
      <c r="SDP68" s="456"/>
      <c r="SDQ68" s="456"/>
      <c r="SDR68" s="456"/>
      <c r="SDS68" s="456"/>
      <c r="SDT68" s="456"/>
      <c r="SDU68" s="456"/>
      <c r="SDV68" s="456"/>
      <c r="SDW68" s="456"/>
      <c r="SDX68" s="456"/>
      <c r="SDY68" s="456"/>
      <c r="SDZ68" s="456"/>
      <c r="SEA68" s="456"/>
      <c r="SEB68" s="456"/>
      <c r="SEC68" s="456"/>
      <c r="SED68" s="456"/>
      <c r="SEE68" s="456"/>
      <c r="SEF68" s="456"/>
      <c r="SEG68" s="456"/>
      <c r="SEH68" s="456"/>
      <c r="SEI68" s="456"/>
      <c r="SEJ68" s="456"/>
      <c r="SEK68" s="456"/>
      <c r="SEL68" s="456"/>
      <c r="SEM68" s="456"/>
      <c r="SEN68" s="456"/>
      <c r="SEO68" s="456"/>
      <c r="SEP68" s="456"/>
      <c r="SEQ68" s="456"/>
      <c r="SER68" s="456"/>
      <c r="SES68" s="456"/>
      <c r="SET68" s="456"/>
      <c r="SEU68" s="456"/>
      <c r="SEV68" s="456"/>
      <c r="SEW68" s="456"/>
      <c r="SEX68" s="456"/>
      <c r="SEY68" s="456"/>
      <c r="SEZ68" s="456"/>
      <c r="SFA68" s="456"/>
      <c r="SFB68" s="456"/>
      <c r="SFC68" s="456"/>
      <c r="SFD68" s="456"/>
      <c r="SFE68" s="456"/>
      <c r="SFF68" s="456"/>
      <c r="SFG68" s="456"/>
      <c r="SFH68" s="456"/>
      <c r="SFI68" s="456"/>
      <c r="SFJ68" s="456"/>
      <c r="SFK68" s="456"/>
      <c r="SFL68" s="456"/>
      <c r="SFM68" s="456"/>
      <c r="SFN68" s="456"/>
      <c r="SFO68" s="456"/>
      <c r="SFP68" s="456"/>
      <c r="SFQ68" s="456"/>
      <c r="SFR68" s="456"/>
      <c r="SFS68" s="456"/>
      <c r="SFT68" s="456"/>
      <c r="SFU68" s="456"/>
      <c r="SFV68" s="456"/>
      <c r="SFW68" s="456"/>
      <c r="SFX68" s="456"/>
      <c r="SFY68" s="456"/>
      <c r="SFZ68" s="456"/>
      <c r="SGA68" s="456"/>
      <c r="SGB68" s="456"/>
      <c r="SGC68" s="456"/>
      <c r="SGD68" s="456"/>
      <c r="SGE68" s="456"/>
      <c r="SGF68" s="456"/>
      <c r="SGG68" s="456"/>
      <c r="SGH68" s="456"/>
      <c r="SGI68" s="456"/>
      <c r="SGJ68" s="456"/>
      <c r="SGK68" s="456"/>
      <c r="SGL68" s="456"/>
      <c r="SGM68" s="456"/>
      <c r="SGN68" s="456"/>
      <c r="SGO68" s="456"/>
      <c r="SGP68" s="456"/>
      <c r="SGQ68" s="456"/>
      <c r="SGR68" s="456"/>
      <c r="SGS68" s="456"/>
      <c r="SGT68" s="456"/>
      <c r="SGU68" s="456"/>
      <c r="SGV68" s="456"/>
      <c r="SGW68" s="456"/>
      <c r="SGX68" s="456"/>
      <c r="SGY68" s="456"/>
      <c r="SGZ68" s="456"/>
      <c r="SHA68" s="456"/>
      <c r="SHB68" s="456"/>
      <c r="SHC68" s="456"/>
      <c r="SHD68" s="456"/>
      <c r="SHE68" s="456"/>
      <c r="SHF68" s="456"/>
      <c r="SHG68" s="456"/>
      <c r="SHH68" s="456"/>
      <c r="SHI68" s="456"/>
      <c r="SHJ68" s="456"/>
      <c r="SHK68" s="456"/>
      <c r="SHL68" s="456"/>
      <c r="SHM68" s="456"/>
      <c r="SHN68" s="456"/>
      <c r="SHO68" s="456"/>
      <c r="SHP68" s="456"/>
      <c r="SHQ68" s="456"/>
      <c r="SHR68" s="456"/>
      <c r="SHS68" s="456"/>
      <c r="SHT68" s="456"/>
      <c r="SHU68" s="456"/>
      <c r="SHV68" s="456"/>
      <c r="SHW68" s="456"/>
      <c r="SHX68" s="456"/>
      <c r="SHY68" s="456"/>
      <c r="SHZ68" s="456"/>
      <c r="SIA68" s="456"/>
      <c r="SIB68" s="456"/>
      <c r="SIC68" s="456"/>
      <c r="SID68" s="456"/>
      <c r="SIE68" s="456"/>
      <c r="SIF68" s="456"/>
      <c r="SIG68" s="456"/>
      <c r="SIH68" s="456"/>
      <c r="SII68" s="456"/>
      <c r="SIJ68" s="456"/>
      <c r="SIK68" s="456"/>
      <c r="SIL68" s="456"/>
      <c r="SIM68" s="456"/>
      <c r="SIN68" s="456"/>
      <c r="SIO68" s="456"/>
      <c r="SIP68" s="456"/>
      <c r="SIQ68" s="456"/>
      <c r="SIR68" s="456"/>
      <c r="SIS68" s="456"/>
      <c r="SIT68" s="456"/>
      <c r="SIU68" s="456"/>
      <c r="SIV68" s="456"/>
      <c r="SIW68" s="456"/>
      <c r="SIX68" s="456"/>
      <c r="SIY68" s="456"/>
      <c r="SIZ68" s="456"/>
      <c r="SJA68" s="456"/>
      <c r="SJB68" s="456"/>
      <c r="SJC68" s="456"/>
      <c r="SJD68" s="456"/>
      <c r="SJE68" s="456"/>
      <c r="SJF68" s="456"/>
      <c r="SJG68" s="456"/>
      <c r="SJH68" s="456"/>
      <c r="SJI68" s="456"/>
      <c r="SJJ68" s="456"/>
      <c r="SJK68" s="456"/>
      <c r="SJL68" s="456"/>
      <c r="SJM68" s="456"/>
      <c r="SJN68" s="456"/>
      <c r="SJO68" s="456"/>
      <c r="SJP68" s="456"/>
      <c r="SJQ68" s="456"/>
      <c r="SJR68" s="456"/>
      <c r="SJS68" s="456"/>
      <c r="SJT68" s="456"/>
      <c r="SJU68" s="456"/>
      <c r="SJV68" s="456"/>
      <c r="SJW68" s="456"/>
      <c r="SJX68" s="456"/>
      <c r="SJY68" s="456"/>
      <c r="SJZ68" s="456"/>
      <c r="SKA68" s="456"/>
      <c r="SKB68" s="456"/>
      <c r="SKC68" s="456"/>
      <c r="SKD68" s="456"/>
      <c r="SKE68" s="456"/>
      <c r="SKF68" s="456"/>
      <c r="SKG68" s="456"/>
      <c r="SKH68" s="456"/>
      <c r="SKI68" s="456"/>
      <c r="SKJ68" s="456"/>
      <c r="SKK68" s="456"/>
      <c r="SKL68" s="456"/>
      <c r="SKM68" s="456"/>
      <c r="SKN68" s="456"/>
      <c r="SKO68" s="456"/>
      <c r="SKP68" s="456"/>
      <c r="SKQ68" s="456"/>
      <c r="SKR68" s="456"/>
      <c r="SKS68" s="456"/>
      <c r="SKT68" s="456"/>
      <c r="SKU68" s="456"/>
      <c r="SKV68" s="456"/>
      <c r="SKW68" s="456"/>
      <c r="SKX68" s="456"/>
      <c r="SKY68" s="456"/>
      <c r="SKZ68" s="456"/>
      <c r="SLA68" s="456"/>
      <c r="SLB68" s="456"/>
      <c r="SLC68" s="456"/>
      <c r="SLD68" s="456"/>
      <c r="SLE68" s="456"/>
      <c r="SLF68" s="456"/>
      <c r="SLG68" s="456"/>
      <c r="SLH68" s="456"/>
      <c r="SLI68" s="456"/>
      <c r="SLJ68" s="456"/>
      <c r="SLK68" s="456"/>
      <c r="SLL68" s="456"/>
      <c r="SLM68" s="456"/>
      <c r="SLN68" s="456"/>
      <c r="SLO68" s="456"/>
      <c r="SLP68" s="456"/>
      <c r="SLQ68" s="456"/>
      <c r="SLR68" s="456"/>
      <c r="SLS68" s="456"/>
      <c r="SLT68" s="456"/>
      <c r="SLU68" s="456"/>
      <c r="SLV68" s="456"/>
      <c r="SLW68" s="456"/>
      <c r="SLX68" s="456"/>
      <c r="SLY68" s="456"/>
      <c r="SLZ68" s="456"/>
      <c r="SMA68" s="456"/>
      <c r="SMB68" s="456"/>
      <c r="SMC68" s="456"/>
      <c r="SMD68" s="456"/>
      <c r="SME68" s="456"/>
      <c r="SMF68" s="456"/>
      <c r="SMG68" s="456"/>
      <c r="SMH68" s="456"/>
      <c r="SMI68" s="456"/>
      <c r="SMJ68" s="456"/>
      <c r="SMK68" s="456"/>
      <c r="SML68" s="456"/>
      <c r="SMM68" s="456"/>
      <c r="SMN68" s="456"/>
      <c r="SMO68" s="456"/>
      <c r="SMP68" s="456"/>
      <c r="SMQ68" s="456"/>
      <c r="SMR68" s="456"/>
      <c r="SMS68" s="456"/>
      <c r="SMT68" s="456"/>
      <c r="SMU68" s="456"/>
      <c r="SMV68" s="456"/>
      <c r="SMW68" s="456"/>
      <c r="SMX68" s="456"/>
      <c r="SMY68" s="456"/>
      <c r="SMZ68" s="456"/>
      <c r="SNA68" s="456"/>
      <c r="SNB68" s="456"/>
      <c r="SNC68" s="456"/>
      <c r="SND68" s="456"/>
      <c r="SNE68" s="456"/>
      <c r="SNF68" s="456"/>
      <c r="SNG68" s="456"/>
      <c r="SNH68" s="456"/>
      <c r="SNI68" s="456"/>
      <c r="SNJ68" s="456"/>
      <c r="SNK68" s="456"/>
      <c r="SNL68" s="456"/>
      <c r="SNM68" s="456"/>
      <c r="SNN68" s="456"/>
      <c r="SNO68" s="456"/>
      <c r="SNP68" s="456"/>
      <c r="SNQ68" s="456"/>
      <c r="SNR68" s="456"/>
      <c r="SNS68" s="456"/>
      <c r="SNT68" s="456"/>
      <c r="SNU68" s="456"/>
      <c r="SNV68" s="456"/>
      <c r="SNW68" s="456"/>
      <c r="SNX68" s="456"/>
      <c r="SNY68" s="456"/>
      <c r="SNZ68" s="456"/>
      <c r="SOA68" s="456"/>
      <c r="SOB68" s="456"/>
      <c r="SOC68" s="456"/>
      <c r="SOD68" s="456"/>
      <c r="SOE68" s="456"/>
      <c r="SOF68" s="456"/>
      <c r="SOG68" s="456"/>
      <c r="SOH68" s="456"/>
      <c r="SOI68" s="456"/>
      <c r="SOJ68" s="456"/>
      <c r="SOK68" s="456"/>
      <c r="SOL68" s="456"/>
      <c r="SOM68" s="456"/>
      <c r="SON68" s="456"/>
      <c r="SOO68" s="456"/>
      <c r="SOP68" s="456"/>
      <c r="SOQ68" s="456"/>
      <c r="SOR68" s="456"/>
      <c r="SOS68" s="456"/>
      <c r="SOT68" s="456"/>
      <c r="SOU68" s="456"/>
      <c r="SOV68" s="456"/>
      <c r="SOW68" s="456"/>
      <c r="SOX68" s="456"/>
      <c r="SOY68" s="456"/>
      <c r="SOZ68" s="456"/>
      <c r="SPA68" s="456"/>
      <c r="SPB68" s="456"/>
      <c r="SPC68" s="456"/>
      <c r="SPD68" s="456"/>
      <c r="SPE68" s="456"/>
      <c r="SPF68" s="456"/>
      <c r="SPG68" s="456"/>
      <c r="SPH68" s="456"/>
      <c r="SPI68" s="456"/>
      <c r="SPJ68" s="456"/>
      <c r="SPK68" s="456"/>
      <c r="SPL68" s="456"/>
      <c r="SPM68" s="456"/>
      <c r="SPN68" s="456"/>
      <c r="SPO68" s="456"/>
      <c r="SPP68" s="456"/>
      <c r="SPQ68" s="456"/>
      <c r="SPR68" s="456"/>
      <c r="SPS68" s="456"/>
      <c r="SPT68" s="456"/>
      <c r="SPU68" s="456"/>
      <c r="SPV68" s="456"/>
      <c r="SPW68" s="456"/>
      <c r="SPX68" s="456"/>
      <c r="SPY68" s="456"/>
      <c r="SPZ68" s="456"/>
      <c r="SQA68" s="456"/>
      <c r="SQB68" s="456"/>
      <c r="SQC68" s="456"/>
      <c r="SQD68" s="456"/>
      <c r="SQE68" s="456"/>
      <c r="SQF68" s="456"/>
      <c r="SQG68" s="456"/>
      <c r="SQH68" s="456"/>
      <c r="SQI68" s="456"/>
      <c r="SQJ68" s="456"/>
      <c r="SQK68" s="456"/>
      <c r="SQL68" s="456"/>
      <c r="SQM68" s="456"/>
      <c r="SQN68" s="456"/>
      <c r="SQO68" s="456"/>
      <c r="SQP68" s="456"/>
      <c r="SQQ68" s="456"/>
      <c r="SQR68" s="456"/>
      <c r="SQS68" s="456"/>
      <c r="SQT68" s="456"/>
      <c r="SQU68" s="456"/>
      <c r="SQV68" s="456"/>
      <c r="SQW68" s="456"/>
      <c r="SQX68" s="456"/>
      <c r="SQY68" s="456"/>
      <c r="SQZ68" s="456"/>
      <c r="SRA68" s="456"/>
      <c r="SRB68" s="456"/>
      <c r="SRC68" s="456"/>
      <c r="SRD68" s="456"/>
      <c r="SRE68" s="456"/>
      <c r="SRF68" s="456"/>
      <c r="SRG68" s="456"/>
      <c r="SRH68" s="456"/>
      <c r="SRI68" s="456"/>
      <c r="SRJ68" s="456"/>
      <c r="SRK68" s="456"/>
      <c r="SRL68" s="456"/>
      <c r="SRM68" s="456"/>
      <c r="SRN68" s="456"/>
      <c r="SRO68" s="456"/>
      <c r="SRP68" s="456"/>
      <c r="SRQ68" s="456"/>
      <c r="SRR68" s="456"/>
      <c r="SRS68" s="456"/>
      <c r="SRT68" s="456"/>
      <c r="SRU68" s="456"/>
      <c r="SRV68" s="456"/>
      <c r="SRW68" s="456"/>
      <c r="SRX68" s="456"/>
      <c r="SRY68" s="456"/>
      <c r="SRZ68" s="456"/>
      <c r="SSA68" s="456"/>
      <c r="SSB68" s="456"/>
      <c r="SSC68" s="456"/>
      <c r="SSD68" s="456"/>
      <c r="SSE68" s="456"/>
      <c r="SSF68" s="456"/>
      <c r="SSG68" s="456"/>
      <c r="SSH68" s="456"/>
      <c r="SSI68" s="456"/>
      <c r="SSJ68" s="456"/>
      <c r="SSK68" s="456"/>
      <c r="SSL68" s="456"/>
      <c r="SSM68" s="456"/>
      <c r="SSN68" s="456"/>
      <c r="SSO68" s="456"/>
      <c r="SSP68" s="456"/>
      <c r="SSQ68" s="456"/>
      <c r="SSR68" s="456"/>
      <c r="SSS68" s="456"/>
      <c r="SST68" s="456"/>
      <c r="SSU68" s="456"/>
      <c r="SSV68" s="456"/>
      <c r="SSW68" s="456"/>
      <c r="SSX68" s="456"/>
      <c r="SSY68" s="456"/>
      <c r="SSZ68" s="456"/>
      <c r="STA68" s="456"/>
      <c r="STB68" s="456"/>
      <c r="STC68" s="456"/>
      <c r="STD68" s="456"/>
      <c r="STE68" s="456"/>
      <c r="STF68" s="456"/>
      <c r="STG68" s="456"/>
      <c r="STH68" s="456"/>
      <c r="STI68" s="456"/>
      <c r="STJ68" s="456"/>
      <c r="STK68" s="456"/>
      <c r="STL68" s="456"/>
      <c r="STM68" s="456"/>
      <c r="STN68" s="456"/>
      <c r="STO68" s="456"/>
      <c r="STP68" s="456"/>
      <c r="STQ68" s="456"/>
      <c r="STR68" s="456"/>
      <c r="STS68" s="456"/>
      <c r="STT68" s="456"/>
      <c r="STU68" s="456"/>
      <c r="STV68" s="456"/>
      <c r="STW68" s="456"/>
      <c r="STX68" s="456"/>
      <c r="STY68" s="456"/>
      <c r="STZ68" s="456"/>
      <c r="SUA68" s="456"/>
      <c r="SUB68" s="456"/>
      <c r="SUC68" s="456"/>
      <c r="SUD68" s="456"/>
      <c r="SUE68" s="456"/>
      <c r="SUF68" s="456"/>
      <c r="SUG68" s="456"/>
      <c r="SUH68" s="456"/>
      <c r="SUI68" s="456"/>
      <c r="SUJ68" s="456"/>
      <c r="SUK68" s="456"/>
      <c r="SUL68" s="456"/>
      <c r="SUM68" s="456"/>
      <c r="SUN68" s="456"/>
      <c r="SUO68" s="456"/>
      <c r="SUP68" s="456"/>
      <c r="SUQ68" s="456"/>
      <c r="SUR68" s="456"/>
      <c r="SUS68" s="456"/>
      <c r="SUT68" s="456"/>
      <c r="SUU68" s="456"/>
      <c r="SUV68" s="456"/>
      <c r="SUW68" s="456"/>
      <c r="SUX68" s="456"/>
      <c r="SUY68" s="456"/>
      <c r="SUZ68" s="456"/>
      <c r="SVA68" s="456"/>
      <c r="SVB68" s="456"/>
      <c r="SVC68" s="456"/>
      <c r="SVD68" s="456"/>
      <c r="SVE68" s="456"/>
      <c r="SVF68" s="456"/>
      <c r="SVG68" s="456"/>
      <c r="SVH68" s="456"/>
      <c r="SVI68" s="456"/>
      <c r="SVJ68" s="456"/>
      <c r="SVK68" s="456"/>
      <c r="SVL68" s="456"/>
      <c r="SVM68" s="456"/>
      <c r="SVN68" s="456"/>
      <c r="SVO68" s="456"/>
      <c r="SVP68" s="456"/>
      <c r="SVQ68" s="456"/>
      <c r="SVR68" s="456"/>
      <c r="SVS68" s="456"/>
      <c r="SVT68" s="456"/>
      <c r="SVU68" s="456"/>
      <c r="SVV68" s="456"/>
      <c r="SVW68" s="456"/>
      <c r="SVX68" s="456"/>
      <c r="SVY68" s="456"/>
      <c r="SVZ68" s="456"/>
      <c r="SWA68" s="456"/>
      <c r="SWB68" s="456"/>
      <c r="SWC68" s="456"/>
      <c r="SWD68" s="456"/>
      <c r="SWE68" s="456"/>
      <c r="SWF68" s="456"/>
      <c r="SWG68" s="456"/>
      <c r="SWH68" s="456"/>
      <c r="SWI68" s="456"/>
      <c r="SWJ68" s="456"/>
      <c r="SWK68" s="456"/>
      <c r="SWL68" s="456"/>
      <c r="SWM68" s="456"/>
      <c r="SWN68" s="456"/>
      <c r="SWO68" s="456"/>
      <c r="SWP68" s="456"/>
      <c r="SWQ68" s="456"/>
      <c r="SWR68" s="456"/>
      <c r="SWS68" s="456"/>
      <c r="SWT68" s="456"/>
      <c r="SWU68" s="456"/>
      <c r="SWV68" s="456"/>
      <c r="SWW68" s="456"/>
      <c r="SWX68" s="456"/>
      <c r="SWY68" s="456"/>
      <c r="SWZ68" s="456"/>
      <c r="SXA68" s="456"/>
      <c r="SXB68" s="456"/>
      <c r="SXC68" s="456"/>
      <c r="SXD68" s="456"/>
      <c r="SXE68" s="456"/>
      <c r="SXF68" s="456"/>
      <c r="SXG68" s="456"/>
      <c r="SXH68" s="456"/>
      <c r="SXI68" s="456"/>
      <c r="SXJ68" s="456"/>
      <c r="SXK68" s="456"/>
      <c r="SXL68" s="456"/>
      <c r="SXM68" s="456"/>
      <c r="SXN68" s="456"/>
      <c r="SXO68" s="456"/>
      <c r="SXP68" s="456"/>
      <c r="SXQ68" s="456"/>
      <c r="SXR68" s="456"/>
      <c r="SXS68" s="456"/>
      <c r="SXT68" s="456"/>
      <c r="SXU68" s="456"/>
      <c r="SXV68" s="456"/>
      <c r="SXW68" s="456"/>
      <c r="SXX68" s="456"/>
      <c r="SXY68" s="456"/>
      <c r="SXZ68" s="456"/>
      <c r="SYA68" s="456"/>
      <c r="SYB68" s="456"/>
      <c r="SYC68" s="456"/>
      <c r="SYD68" s="456"/>
      <c r="SYE68" s="456"/>
      <c r="SYF68" s="456"/>
      <c r="SYG68" s="456"/>
      <c r="SYH68" s="456"/>
      <c r="SYI68" s="456"/>
      <c r="SYJ68" s="456"/>
      <c r="SYK68" s="456"/>
      <c r="SYL68" s="456"/>
      <c r="SYM68" s="456"/>
      <c r="SYN68" s="456"/>
      <c r="SYO68" s="456"/>
      <c r="SYP68" s="456"/>
      <c r="SYQ68" s="456"/>
      <c r="SYR68" s="456"/>
      <c r="SYS68" s="456"/>
      <c r="SYT68" s="456"/>
      <c r="SYU68" s="456"/>
      <c r="SYV68" s="456"/>
      <c r="SYW68" s="456"/>
      <c r="SYX68" s="456"/>
      <c r="SYY68" s="456"/>
      <c r="SYZ68" s="456"/>
      <c r="SZA68" s="456"/>
      <c r="SZB68" s="456"/>
      <c r="SZC68" s="456"/>
      <c r="SZD68" s="456"/>
      <c r="SZE68" s="456"/>
      <c r="SZF68" s="456"/>
      <c r="SZG68" s="456"/>
      <c r="SZH68" s="456"/>
      <c r="SZI68" s="456"/>
      <c r="SZJ68" s="456"/>
      <c r="SZK68" s="456"/>
      <c r="SZL68" s="456"/>
      <c r="SZM68" s="456"/>
      <c r="SZN68" s="456"/>
      <c r="SZO68" s="456"/>
      <c r="SZP68" s="456"/>
      <c r="SZQ68" s="456"/>
      <c r="SZR68" s="456"/>
      <c r="SZS68" s="456"/>
      <c r="SZT68" s="456"/>
      <c r="SZU68" s="456"/>
      <c r="SZV68" s="456"/>
      <c r="SZW68" s="456"/>
      <c r="SZX68" s="456"/>
      <c r="SZY68" s="456"/>
      <c r="SZZ68" s="456"/>
      <c r="TAA68" s="456"/>
      <c r="TAB68" s="456"/>
      <c r="TAC68" s="456"/>
      <c r="TAD68" s="456"/>
      <c r="TAE68" s="456"/>
      <c r="TAF68" s="456"/>
      <c r="TAG68" s="456"/>
      <c r="TAH68" s="456"/>
      <c r="TAI68" s="456"/>
      <c r="TAJ68" s="456"/>
      <c r="TAK68" s="456"/>
      <c r="TAL68" s="456"/>
      <c r="TAM68" s="456"/>
      <c r="TAN68" s="456"/>
      <c r="TAO68" s="456"/>
      <c r="TAP68" s="456"/>
      <c r="TAQ68" s="456"/>
      <c r="TAR68" s="456"/>
      <c r="TAS68" s="456"/>
      <c r="TAT68" s="456"/>
      <c r="TAU68" s="456"/>
      <c r="TAV68" s="456"/>
      <c r="TAW68" s="456"/>
      <c r="TAX68" s="456"/>
      <c r="TAY68" s="456"/>
      <c r="TAZ68" s="456"/>
      <c r="TBA68" s="456"/>
      <c r="TBB68" s="456"/>
      <c r="TBC68" s="456"/>
      <c r="TBD68" s="456"/>
      <c r="TBE68" s="456"/>
      <c r="TBF68" s="456"/>
      <c r="TBG68" s="456"/>
      <c r="TBH68" s="456"/>
      <c r="TBI68" s="456"/>
      <c r="TBJ68" s="456"/>
      <c r="TBK68" s="456"/>
      <c r="TBL68" s="456"/>
      <c r="TBM68" s="456"/>
      <c r="TBN68" s="456"/>
      <c r="TBO68" s="456"/>
      <c r="TBP68" s="456"/>
      <c r="TBQ68" s="456"/>
      <c r="TBR68" s="456"/>
      <c r="TBS68" s="456"/>
      <c r="TBT68" s="456"/>
      <c r="TBU68" s="456"/>
      <c r="TBV68" s="456"/>
      <c r="TBW68" s="456"/>
      <c r="TBX68" s="456"/>
      <c r="TBY68" s="456"/>
      <c r="TBZ68" s="456"/>
      <c r="TCA68" s="456"/>
      <c r="TCB68" s="456"/>
      <c r="TCC68" s="456"/>
      <c r="TCD68" s="456"/>
      <c r="TCE68" s="456"/>
      <c r="TCF68" s="456"/>
      <c r="TCG68" s="456"/>
      <c r="TCH68" s="456"/>
      <c r="TCI68" s="456"/>
      <c r="TCJ68" s="456"/>
      <c r="TCK68" s="456"/>
      <c r="TCL68" s="456"/>
      <c r="TCM68" s="456"/>
      <c r="TCN68" s="456"/>
      <c r="TCO68" s="456"/>
      <c r="TCP68" s="456"/>
      <c r="TCQ68" s="456"/>
      <c r="TCR68" s="456"/>
      <c r="TCS68" s="456"/>
      <c r="TCT68" s="456"/>
      <c r="TCU68" s="456"/>
      <c r="TCV68" s="456"/>
      <c r="TCW68" s="456"/>
      <c r="TCX68" s="456"/>
      <c r="TCY68" s="456"/>
      <c r="TCZ68" s="456"/>
      <c r="TDA68" s="456"/>
      <c r="TDB68" s="456"/>
      <c r="TDC68" s="456"/>
      <c r="TDD68" s="456"/>
      <c r="TDE68" s="456"/>
      <c r="TDF68" s="456"/>
      <c r="TDG68" s="456"/>
      <c r="TDH68" s="456"/>
      <c r="TDI68" s="456"/>
      <c r="TDJ68" s="456"/>
      <c r="TDK68" s="456"/>
      <c r="TDL68" s="456"/>
      <c r="TDM68" s="456"/>
      <c r="TDN68" s="456"/>
      <c r="TDO68" s="456"/>
      <c r="TDP68" s="456"/>
      <c r="TDQ68" s="456"/>
      <c r="TDR68" s="456"/>
      <c r="TDS68" s="456"/>
      <c r="TDT68" s="456"/>
      <c r="TDU68" s="456"/>
      <c r="TDV68" s="456"/>
      <c r="TDW68" s="456"/>
      <c r="TDX68" s="456"/>
      <c r="TDY68" s="456"/>
      <c r="TDZ68" s="456"/>
      <c r="TEA68" s="456"/>
      <c r="TEB68" s="456"/>
      <c r="TEC68" s="456"/>
      <c r="TED68" s="456"/>
      <c r="TEE68" s="456"/>
      <c r="TEF68" s="456"/>
      <c r="TEG68" s="456"/>
      <c r="TEH68" s="456"/>
      <c r="TEI68" s="456"/>
      <c r="TEJ68" s="456"/>
      <c r="TEK68" s="456"/>
      <c r="TEL68" s="456"/>
      <c r="TEM68" s="456"/>
      <c r="TEN68" s="456"/>
      <c r="TEO68" s="456"/>
      <c r="TEP68" s="456"/>
      <c r="TEQ68" s="456"/>
      <c r="TER68" s="456"/>
      <c r="TES68" s="456"/>
      <c r="TET68" s="456"/>
      <c r="TEU68" s="456"/>
      <c r="TEV68" s="456"/>
      <c r="TEW68" s="456"/>
      <c r="TEX68" s="456"/>
      <c r="TEY68" s="456"/>
      <c r="TEZ68" s="456"/>
      <c r="TFA68" s="456"/>
      <c r="TFB68" s="456"/>
      <c r="TFC68" s="456"/>
      <c r="TFD68" s="456"/>
      <c r="TFE68" s="456"/>
      <c r="TFF68" s="456"/>
      <c r="TFG68" s="456"/>
      <c r="TFH68" s="456"/>
      <c r="TFI68" s="456"/>
      <c r="TFJ68" s="456"/>
      <c r="TFK68" s="456"/>
      <c r="TFL68" s="456"/>
      <c r="TFM68" s="456"/>
      <c r="TFN68" s="456"/>
      <c r="TFO68" s="456"/>
      <c r="TFP68" s="456"/>
      <c r="TFQ68" s="456"/>
      <c r="TFR68" s="456"/>
      <c r="TFS68" s="456"/>
      <c r="TFT68" s="456"/>
      <c r="TFU68" s="456"/>
      <c r="TFV68" s="456"/>
      <c r="TFW68" s="456"/>
      <c r="TFX68" s="456"/>
      <c r="TFY68" s="456"/>
      <c r="TFZ68" s="456"/>
      <c r="TGA68" s="456"/>
      <c r="TGB68" s="456"/>
      <c r="TGC68" s="456"/>
      <c r="TGD68" s="456"/>
      <c r="TGE68" s="456"/>
      <c r="TGF68" s="456"/>
      <c r="TGG68" s="456"/>
      <c r="TGH68" s="456"/>
      <c r="TGI68" s="456"/>
      <c r="TGJ68" s="456"/>
      <c r="TGK68" s="456"/>
      <c r="TGL68" s="456"/>
      <c r="TGM68" s="456"/>
      <c r="TGN68" s="456"/>
      <c r="TGO68" s="456"/>
      <c r="TGP68" s="456"/>
      <c r="TGQ68" s="456"/>
      <c r="TGR68" s="456"/>
      <c r="TGS68" s="456"/>
      <c r="TGT68" s="456"/>
      <c r="TGU68" s="456"/>
      <c r="TGV68" s="456"/>
      <c r="TGW68" s="456"/>
      <c r="TGX68" s="456"/>
      <c r="TGY68" s="456"/>
      <c r="TGZ68" s="456"/>
      <c r="THA68" s="456"/>
      <c r="THB68" s="456"/>
      <c r="THC68" s="456"/>
      <c r="THD68" s="456"/>
      <c r="THE68" s="456"/>
      <c r="THF68" s="456"/>
      <c r="THG68" s="456"/>
      <c r="THH68" s="456"/>
      <c r="THI68" s="456"/>
      <c r="THJ68" s="456"/>
      <c r="THK68" s="456"/>
      <c r="THL68" s="456"/>
      <c r="THM68" s="456"/>
      <c r="THN68" s="456"/>
      <c r="THO68" s="456"/>
      <c r="THP68" s="456"/>
      <c r="THQ68" s="456"/>
      <c r="THR68" s="456"/>
      <c r="THS68" s="456"/>
      <c r="THT68" s="456"/>
      <c r="THU68" s="456"/>
      <c r="THV68" s="456"/>
      <c r="THW68" s="456"/>
      <c r="THX68" s="456"/>
      <c r="THY68" s="456"/>
      <c r="THZ68" s="456"/>
      <c r="TIA68" s="456"/>
      <c r="TIB68" s="456"/>
      <c r="TIC68" s="456"/>
      <c r="TID68" s="456"/>
      <c r="TIE68" s="456"/>
      <c r="TIF68" s="456"/>
      <c r="TIG68" s="456"/>
      <c r="TIH68" s="456"/>
      <c r="TII68" s="456"/>
      <c r="TIJ68" s="456"/>
      <c r="TIK68" s="456"/>
      <c r="TIL68" s="456"/>
      <c r="TIM68" s="456"/>
      <c r="TIN68" s="456"/>
      <c r="TIO68" s="456"/>
      <c r="TIP68" s="456"/>
      <c r="TIQ68" s="456"/>
      <c r="TIR68" s="456"/>
      <c r="TIS68" s="456"/>
      <c r="TIT68" s="456"/>
      <c r="TIU68" s="456"/>
      <c r="TIV68" s="456"/>
      <c r="TIW68" s="456"/>
      <c r="TIX68" s="456"/>
      <c r="TIY68" s="456"/>
      <c r="TIZ68" s="456"/>
      <c r="TJA68" s="456"/>
      <c r="TJB68" s="456"/>
      <c r="TJC68" s="456"/>
      <c r="TJD68" s="456"/>
      <c r="TJE68" s="456"/>
      <c r="TJF68" s="456"/>
      <c r="TJG68" s="456"/>
      <c r="TJH68" s="456"/>
      <c r="TJI68" s="456"/>
      <c r="TJJ68" s="456"/>
      <c r="TJK68" s="456"/>
      <c r="TJL68" s="456"/>
      <c r="TJM68" s="456"/>
      <c r="TJN68" s="456"/>
      <c r="TJO68" s="456"/>
      <c r="TJP68" s="456"/>
      <c r="TJQ68" s="456"/>
      <c r="TJR68" s="456"/>
      <c r="TJS68" s="456"/>
      <c r="TJT68" s="456"/>
      <c r="TJU68" s="456"/>
      <c r="TJV68" s="456"/>
      <c r="TJW68" s="456"/>
      <c r="TJX68" s="456"/>
      <c r="TJY68" s="456"/>
      <c r="TJZ68" s="456"/>
      <c r="TKA68" s="456"/>
      <c r="TKB68" s="456"/>
      <c r="TKC68" s="456"/>
      <c r="TKD68" s="456"/>
      <c r="TKE68" s="456"/>
      <c r="TKF68" s="456"/>
      <c r="TKG68" s="456"/>
      <c r="TKH68" s="456"/>
      <c r="TKI68" s="456"/>
      <c r="TKJ68" s="456"/>
      <c r="TKK68" s="456"/>
      <c r="TKL68" s="456"/>
      <c r="TKM68" s="456"/>
      <c r="TKN68" s="456"/>
      <c r="TKO68" s="456"/>
      <c r="TKP68" s="456"/>
      <c r="TKQ68" s="456"/>
      <c r="TKR68" s="456"/>
      <c r="TKS68" s="456"/>
      <c r="TKT68" s="456"/>
      <c r="TKU68" s="456"/>
      <c r="TKV68" s="456"/>
      <c r="TKW68" s="456"/>
      <c r="TKX68" s="456"/>
      <c r="TKY68" s="456"/>
      <c r="TKZ68" s="456"/>
      <c r="TLA68" s="456"/>
      <c r="TLB68" s="456"/>
      <c r="TLC68" s="456"/>
      <c r="TLD68" s="456"/>
      <c r="TLE68" s="456"/>
      <c r="TLF68" s="456"/>
      <c r="TLG68" s="456"/>
      <c r="TLH68" s="456"/>
      <c r="TLI68" s="456"/>
      <c r="TLJ68" s="456"/>
      <c r="TLK68" s="456"/>
      <c r="TLL68" s="456"/>
      <c r="TLM68" s="456"/>
      <c r="TLN68" s="456"/>
      <c r="TLO68" s="456"/>
      <c r="TLP68" s="456"/>
      <c r="TLQ68" s="456"/>
      <c r="TLR68" s="456"/>
      <c r="TLS68" s="456"/>
      <c r="TLT68" s="456"/>
      <c r="TLU68" s="456"/>
      <c r="TLV68" s="456"/>
      <c r="TLW68" s="456"/>
      <c r="TLX68" s="456"/>
      <c r="TLY68" s="456"/>
      <c r="TLZ68" s="456"/>
      <c r="TMA68" s="456"/>
      <c r="TMB68" s="456"/>
      <c r="TMC68" s="456"/>
      <c r="TMD68" s="456"/>
      <c r="TME68" s="456"/>
      <c r="TMF68" s="456"/>
      <c r="TMG68" s="456"/>
      <c r="TMH68" s="456"/>
      <c r="TMI68" s="456"/>
      <c r="TMJ68" s="456"/>
      <c r="TMK68" s="456"/>
      <c r="TML68" s="456"/>
      <c r="TMM68" s="456"/>
      <c r="TMN68" s="456"/>
      <c r="TMO68" s="456"/>
      <c r="TMP68" s="456"/>
      <c r="TMQ68" s="456"/>
      <c r="TMR68" s="456"/>
      <c r="TMS68" s="456"/>
      <c r="TMT68" s="456"/>
      <c r="TMU68" s="456"/>
      <c r="TMV68" s="456"/>
      <c r="TMW68" s="456"/>
      <c r="TMX68" s="456"/>
      <c r="TMY68" s="456"/>
      <c r="TMZ68" s="456"/>
      <c r="TNA68" s="456"/>
      <c r="TNB68" s="456"/>
      <c r="TNC68" s="456"/>
      <c r="TND68" s="456"/>
      <c r="TNE68" s="456"/>
      <c r="TNF68" s="456"/>
      <c r="TNG68" s="456"/>
      <c r="TNH68" s="456"/>
      <c r="TNI68" s="456"/>
      <c r="TNJ68" s="456"/>
      <c r="TNK68" s="456"/>
      <c r="TNL68" s="456"/>
      <c r="TNM68" s="456"/>
      <c r="TNN68" s="456"/>
      <c r="TNO68" s="456"/>
      <c r="TNP68" s="456"/>
      <c r="TNQ68" s="456"/>
      <c r="TNR68" s="456"/>
      <c r="TNS68" s="456"/>
      <c r="TNT68" s="456"/>
      <c r="TNU68" s="456"/>
      <c r="TNV68" s="456"/>
      <c r="TNW68" s="456"/>
      <c r="TNX68" s="456"/>
      <c r="TNY68" s="456"/>
      <c r="TNZ68" s="456"/>
      <c r="TOA68" s="456"/>
      <c r="TOB68" s="456"/>
      <c r="TOC68" s="456"/>
      <c r="TOD68" s="456"/>
      <c r="TOE68" s="456"/>
      <c r="TOF68" s="456"/>
      <c r="TOG68" s="456"/>
      <c r="TOH68" s="456"/>
      <c r="TOI68" s="456"/>
      <c r="TOJ68" s="456"/>
      <c r="TOK68" s="456"/>
      <c r="TOL68" s="456"/>
      <c r="TOM68" s="456"/>
      <c r="TON68" s="456"/>
      <c r="TOO68" s="456"/>
      <c r="TOP68" s="456"/>
      <c r="TOQ68" s="456"/>
      <c r="TOR68" s="456"/>
      <c r="TOS68" s="456"/>
      <c r="TOT68" s="456"/>
      <c r="TOU68" s="456"/>
      <c r="TOV68" s="456"/>
      <c r="TOW68" s="456"/>
      <c r="TOX68" s="456"/>
      <c r="TOY68" s="456"/>
      <c r="TOZ68" s="456"/>
      <c r="TPA68" s="456"/>
      <c r="TPB68" s="456"/>
      <c r="TPC68" s="456"/>
      <c r="TPD68" s="456"/>
      <c r="TPE68" s="456"/>
      <c r="TPF68" s="456"/>
      <c r="TPG68" s="456"/>
      <c r="TPH68" s="456"/>
      <c r="TPI68" s="456"/>
      <c r="TPJ68" s="456"/>
      <c r="TPK68" s="456"/>
      <c r="TPL68" s="456"/>
      <c r="TPM68" s="456"/>
      <c r="TPN68" s="456"/>
      <c r="TPO68" s="456"/>
      <c r="TPP68" s="456"/>
      <c r="TPQ68" s="456"/>
      <c r="TPR68" s="456"/>
      <c r="TPS68" s="456"/>
      <c r="TPT68" s="456"/>
      <c r="TPU68" s="456"/>
      <c r="TPV68" s="456"/>
      <c r="TPW68" s="456"/>
      <c r="TPX68" s="456"/>
      <c r="TPY68" s="456"/>
      <c r="TPZ68" s="456"/>
      <c r="TQA68" s="456"/>
      <c r="TQB68" s="456"/>
      <c r="TQC68" s="456"/>
      <c r="TQD68" s="456"/>
      <c r="TQE68" s="456"/>
      <c r="TQF68" s="456"/>
      <c r="TQG68" s="456"/>
      <c r="TQH68" s="456"/>
      <c r="TQI68" s="456"/>
      <c r="TQJ68" s="456"/>
      <c r="TQK68" s="456"/>
      <c r="TQL68" s="456"/>
      <c r="TQM68" s="456"/>
      <c r="TQN68" s="456"/>
      <c r="TQO68" s="456"/>
      <c r="TQP68" s="456"/>
      <c r="TQQ68" s="456"/>
      <c r="TQR68" s="456"/>
      <c r="TQS68" s="456"/>
      <c r="TQT68" s="456"/>
      <c r="TQU68" s="456"/>
      <c r="TQV68" s="456"/>
      <c r="TQW68" s="456"/>
      <c r="TQX68" s="456"/>
      <c r="TQY68" s="456"/>
      <c r="TQZ68" s="456"/>
      <c r="TRA68" s="456"/>
      <c r="TRB68" s="456"/>
      <c r="TRC68" s="456"/>
      <c r="TRD68" s="456"/>
      <c r="TRE68" s="456"/>
      <c r="TRF68" s="456"/>
      <c r="TRG68" s="456"/>
      <c r="TRH68" s="456"/>
      <c r="TRI68" s="456"/>
      <c r="TRJ68" s="456"/>
      <c r="TRK68" s="456"/>
      <c r="TRL68" s="456"/>
      <c r="TRM68" s="456"/>
      <c r="TRN68" s="456"/>
      <c r="TRO68" s="456"/>
      <c r="TRP68" s="456"/>
      <c r="TRQ68" s="456"/>
      <c r="TRR68" s="456"/>
      <c r="TRS68" s="456"/>
      <c r="TRT68" s="456"/>
      <c r="TRU68" s="456"/>
      <c r="TRV68" s="456"/>
      <c r="TRW68" s="456"/>
      <c r="TRX68" s="456"/>
      <c r="TRY68" s="456"/>
      <c r="TRZ68" s="456"/>
      <c r="TSA68" s="456"/>
      <c r="TSB68" s="456"/>
      <c r="TSC68" s="456"/>
      <c r="TSD68" s="456"/>
      <c r="TSE68" s="456"/>
      <c r="TSF68" s="456"/>
      <c r="TSG68" s="456"/>
      <c r="TSH68" s="456"/>
      <c r="TSI68" s="456"/>
      <c r="TSJ68" s="456"/>
      <c r="TSK68" s="456"/>
      <c r="TSL68" s="456"/>
      <c r="TSM68" s="456"/>
      <c r="TSN68" s="456"/>
      <c r="TSO68" s="456"/>
      <c r="TSP68" s="456"/>
      <c r="TSQ68" s="456"/>
      <c r="TSR68" s="456"/>
      <c r="TSS68" s="456"/>
      <c r="TST68" s="456"/>
      <c r="TSU68" s="456"/>
      <c r="TSV68" s="456"/>
      <c r="TSW68" s="456"/>
      <c r="TSX68" s="456"/>
      <c r="TSY68" s="456"/>
      <c r="TSZ68" s="456"/>
      <c r="TTA68" s="456"/>
      <c r="TTB68" s="456"/>
      <c r="TTC68" s="456"/>
      <c r="TTD68" s="456"/>
      <c r="TTE68" s="456"/>
      <c r="TTF68" s="456"/>
      <c r="TTG68" s="456"/>
      <c r="TTH68" s="456"/>
      <c r="TTI68" s="456"/>
      <c r="TTJ68" s="456"/>
      <c r="TTK68" s="456"/>
      <c r="TTL68" s="456"/>
      <c r="TTM68" s="456"/>
      <c r="TTN68" s="456"/>
      <c r="TTO68" s="456"/>
      <c r="TTP68" s="456"/>
      <c r="TTQ68" s="456"/>
      <c r="TTR68" s="456"/>
      <c r="TTS68" s="456"/>
      <c r="TTT68" s="456"/>
      <c r="TTU68" s="456"/>
      <c r="TTV68" s="456"/>
      <c r="TTW68" s="456"/>
      <c r="TTX68" s="456"/>
      <c r="TTY68" s="456"/>
      <c r="TTZ68" s="456"/>
      <c r="TUA68" s="456"/>
      <c r="TUB68" s="456"/>
      <c r="TUC68" s="456"/>
      <c r="TUD68" s="456"/>
      <c r="TUE68" s="456"/>
      <c r="TUF68" s="456"/>
      <c r="TUG68" s="456"/>
      <c r="TUH68" s="456"/>
      <c r="TUI68" s="456"/>
      <c r="TUJ68" s="456"/>
      <c r="TUK68" s="456"/>
      <c r="TUL68" s="456"/>
      <c r="TUM68" s="456"/>
      <c r="TUN68" s="456"/>
      <c r="TUO68" s="456"/>
      <c r="TUP68" s="456"/>
      <c r="TUQ68" s="456"/>
      <c r="TUR68" s="456"/>
      <c r="TUS68" s="456"/>
      <c r="TUT68" s="456"/>
      <c r="TUU68" s="456"/>
      <c r="TUV68" s="456"/>
      <c r="TUW68" s="456"/>
      <c r="TUX68" s="456"/>
      <c r="TUY68" s="456"/>
      <c r="TUZ68" s="456"/>
      <c r="TVA68" s="456"/>
      <c r="TVB68" s="456"/>
      <c r="TVC68" s="456"/>
      <c r="TVD68" s="456"/>
      <c r="TVE68" s="456"/>
      <c r="TVF68" s="456"/>
      <c r="TVG68" s="456"/>
      <c r="TVH68" s="456"/>
      <c r="TVI68" s="456"/>
      <c r="TVJ68" s="456"/>
      <c r="TVK68" s="456"/>
      <c r="TVL68" s="456"/>
      <c r="TVM68" s="456"/>
      <c r="TVN68" s="456"/>
      <c r="TVO68" s="456"/>
      <c r="TVP68" s="456"/>
      <c r="TVQ68" s="456"/>
      <c r="TVR68" s="456"/>
      <c r="TVS68" s="456"/>
      <c r="TVT68" s="456"/>
      <c r="TVU68" s="456"/>
      <c r="TVV68" s="456"/>
      <c r="TVW68" s="456"/>
      <c r="TVX68" s="456"/>
      <c r="TVY68" s="456"/>
      <c r="TVZ68" s="456"/>
      <c r="TWA68" s="456"/>
      <c r="TWB68" s="456"/>
      <c r="TWC68" s="456"/>
      <c r="TWD68" s="456"/>
      <c r="TWE68" s="456"/>
      <c r="TWF68" s="456"/>
      <c r="TWG68" s="456"/>
      <c r="TWH68" s="456"/>
      <c r="TWI68" s="456"/>
      <c r="TWJ68" s="456"/>
      <c r="TWK68" s="456"/>
      <c r="TWL68" s="456"/>
      <c r="TWM68" s="456"/>
      <c r="TWN68" s="456"/>
      <c r="TWO68" s="456"/>
      <c r="TWP68" s="456"/>
      <c r="TWQ68" s="456"/>
      <c r="TWR68" s="456"/>
      <c r="TWS68" s="456"/>
      <c r="TWT68" s="456"/>
      <c r="TWU68" s="456"/>
      <c r="TWV68" s="456"/>
      <c r="TWW68" s="456"/>
      <c r="TWX68" s="456"/>
      <c r="TWY68" s="456"/>
      <c r="TWZ68" s="456"/>
      <c r="TXA68" s="456"/>
      <c r="TXB68" s="456"/>
      <c r="TXC68" s="456"/>
      <c r="TXD68" s="456"/>
      <c r="TXE68" s="456"/>
      <c r="TXF68" s="456"/>
      <c r="TXG68" s="456"/>
      <c r="TXH68" s="456"/>
      <c r="TXI68" s="456"/>
      <c r="TXJ68" s="456"/>
      <c r="TXK68" s="456"/>
      <c r="TXL68" s="456"/>
      <c r="TXM68" s="456"/>
      <c r="TXN68" s="456"/>
      <c r="TXO68" s="456"/>
      <c r="TXP68" s="456"/>
      <c r="TXQ68" s="456"/>
      <c r="TXR68" s="456"/>
      <c r="TXS68" s="456"/>
      <c r="TXT68" s="456"/>
      <c r="TXU68" s="456"/>
      <c r="TXV68" s="456"/>
      <c r="TXW68" s="456"/>
      <c r="TXX68" s="456"/>
      <c r="TXY68" s="456"/>
      <c r="TXZ68" s="456"/>
      <c r="TYA68" s="456"/>
      <c r="TYB68" s="456"/>
      <c r="TYC68" s="456"/>
      <c r="TYD68" s="456"/>
      <c r="TYE68" s="456"/>
      <c r="TYF68" s="456"/>
      <c r="TYG68" s="456"/>
      <c r="TYH68" s="456"/>
      <c r="TYI68" s="456"/>
      <c r="TYJ68" s="456"/>
      <c r="TYK68" s="456"/>
      <c r="TYL68" s="456"/>
      <c r="TYM68" s="456"/>
      <c r="TYN68" s="456"/>
      <c r="TYO68" s="456"/>
      <c r="TYP68" s="456"/>
      <c r="TYQ68" s="456"/>
      <c r="TYR68" s="456"/>
      <c r="TYS68" s="456"/>
      <c r="TYT68" s="456"/>
      <c r="TYU68" s="456"/>
      <c r="TYV68" s="456"/>
      <c r="TYW68" s="456"/>
      <c r="TYX68" s="456"/>
      <c r="TYY68" s="456"/>
      <c r="TYZ68" s="456"/>
      <c r="TZA68" s="456"/>
      <c r="TZB68" s="456"/>
      <c r="TZC68" s="456"/>
      <c r="TZD68" s="456"/>
      <c r="TZE68" s="456"/>
      <c r="TZF68" s="456"/>
      <c r="TZG68" s="456"/>
      <c r="TZH68" s="456"/>
      <c r="TZI68" s="456"/>
      <c r="TZJ68" s="456"/>
      <c r="TZK68" s="456"/>
      <c r="TZL68" s="456"/>
      <c r="TZM68" s="456"/>
      <c r="TZN68" s="456"/>
      <c r="TZO68" s="456"/>
      <c r="TZP68" s="456"/>
      <c r="TZQ68" s="456"/>
      <c r="TZR68" s="456"/>
      <c r="TZS68" s="456"/>
      <c r="TZT68" s="456"/>
      <c r="TZU68" s="456"/>
      <c r="TZV68" s="456"/>
      <c r="TZW68" s="456"/>
      <c r="TZX68" s="456"/>
      <c r="TZY68" s="456"/>
      <c r="TZZ68" s="456"/>
      <c r="UAA68" s="456"/>
      <c r="UAB68" s="456"/>
      <c r="UAC68" s="456"/>
      <c r="UAD68" s="456"/>
      <c r="UAE68" s="456"/>
      <c r="UAF68" s="456"/>
      <c r="UAG68" s="456"/>
      <c r="UAH68" s="456"/>
      <c r="UAI68" s="456"/>
      <c r="UAJ68" s="456"/>
      <c r="UAK68" s="456"/>
      <c r="UAL68" s="456"/>
      <c r="UAM68" s="456"/>
      <c r="UAN68" s="456"/>
      <c r="UAO68" s="456"/>
      <c r="UAP68" s="456"/>
      <c r="UAQ68" s="456"/>
      <c r="UAR68" s="456"/>
      <c r="UAS68" s="456"/>
      <c r="UAT68" s="456"/>
      <c r="UAU68" s="456"/>
      <c r="UAV68" s="456"/>
      <c r="UAW68" s="456"/>
      <c r="UAX68" s="456"/>
      <c r="UAY68" s="456"/>
      <c r="UAZ68" s="456"/>
      <c r="UBA68" s="456"/>
      <c r="UBB68" s="456"/>
      <c r="UBC68" s="456"/>
      <c r="UBD68" s="456"/>
      <c r="UBE68" s="456"/>
      <c r="UBF68" s="456"/>
      <c r="UBG68" s="456"/>
      <c r="UBH68" s="456"/>
      <c r="UBI68" s="456"/>
      <c r="UBJ68" s="456"/>
      <c r="UBK68" s="456"/>
      <c r="UBL68" s="456"/>
      <c r="UBM68" s="456"/>
      <c r="UBN68" s="456"/>
      <c r="UBO68" s="456"/>
      <c r="UBP68" s="456"/>
      <c r="UBQ68" s="456"/>
      <c r="UBR68" s="456"/>
      <c r="UBS68" s="456"/>
      <c r="UBT68" s="456"/>
      <c r="UBU68" s="456"/>
      <c r="UBV68" s="456"/>
      <c r="UBW68" s="456"/>
      <c r="UBX68" s="456"/>
      <c r="UBY68" s="456"/>
      <c r="UBZ68" s="456"/>
      <c r="UCA68" s="456"/>
      <c r="UCB68" s="456"/>
      <c r="UCC68" s="456"/>
      <c r="UCD68" s="456"/>
      <c r="UCE68" s="456"/>
      <c r="UCF68" s="456"/>
      <c r="UCG68" s="456"/>
      <c r="UCH68" s="456"/>
      <c r="UCI68" s="456"/>
      <c r="UCJ68" s="456"/>
      <c r="UCK68" s="456"/>
      <c r="UCL68" s="456"/>
      <c r="UCM68" s="456"/>
      <c r="UCN68" s="456"/>
      <c r="UCO68" s="456"/>
      <c r="UCP68" s="456"/>
      <c r="UCQ68" s="456"/>
      <c r="UCR68" s="456"/>
      <c r="UCS68" s="456"/>
      <c r="UCT68" s="456"/>
      <c r="UCU68" s="456"/>
      <c r="UCV68" s="456"/>
      <c r="UCW68" s="456"/>
      <c r="UCX68" s="456"/>
      <c r="UCY68" s="456"/>
      <c r="UCZ68" s="456"/>
      <c r="UDA68" s="456"/>
      <c r="UDB68" s="456"/>
      <c r="UDC68" s="456"/>
      <c r="UDD68" s="456"/>
      <c r="UDE68" s="456"/>
      <c r="UDF68" s="456"/>
      <c r="UDG68" s="456"/>
      <c r="UDH68" s="456"/>
      <c r="UDI68" s="456"/>
      <c r="UDJ68" s="456"/>
      <c r="UDK68" s="456"/>
      <c r="UDL68" s="456"/>
      <c r="UDM68" s="456"/>
      <c r="UDN68" s="456"/>
      <c r="UDO68" s="456"/>
      <c r="UDP68" s="456"/>
      <c r="UDQ68" s="456"/>
      <c r="UDR68" s="456"/>
      <c r="UDS68" s="456"/>
      <c r="UDT68" s="456"/>
      <c r="UDU68" s="456"/>
      <c r="UDV68" s="456"/>
      <c r="UDW68" s="456"/>
      <c r="UDX68" s="456"/>
      <c r="UDY68" s="456"/>
      <c r="UDZ68" s="456"/>
      <c r="UEA68" s="456"/>
      <c r="UEB68" s="456"/>
      <c r="UEC68" s="456"/>
      <c r="UED68" s="456"/>
      <c r="UEE68" s="456"/>
      <c r="UEF68" s="456"/>
      <c r="UEG68" s="456"/>
      <c r="UEH68" s="456"/>
      <c r="UEI68" s="456"/>
      <c r="UEJ68" s="456"/>
      <c r="UEK68" s="456"/>
      <c r="UEL68" s="456"/>
      <c r="UEM68" s="456"/>
      <c r="UEN68" s="456"/>
      <c r="UEO68" s="456"/>
      <c r="UEP68" s="456"/>
      <c r="UEQ68" s="456"/>
      <c r="UER68" s="456"/>
      <c r="UES68" s="456"/>
      <c r="UET68" s="456"/>
      <c r="UEU68" s="456"/>
      <c r="UEV68" s="456"/>
      <c r="UEW68" s="456"/>
      <c r="UEX68" s="456"/>
      <c r="UEY68" s="456"/>
      <c r="UEZ68" s="456"/>
      <c r="UFA68" s="456"/>
      <c r="UFB68" s="456"/>
      <c r="UFC68" s="456"/>
      <c r="UFD68" s="456"/>
      <c r="UFE68" s="456"/>
      <c r="UFF68" s="456"/>
      <c r="UFG68" s="456"/>
      <c r="UFH68" s="456"/>
      <c r="UFI68" s="456"/>
      <c r="UFJ68" s="456"/>
      <c r="UFK68" s="456"/>
      <c r="UFL68" s="456"/>
      <c r="UFM68" s="456"/>
      <c r="UFN68" s="456"/>
      <c r="UFO68" s="456"/>
      <c r="UFP68" s="456"/>
      <c r="UFQ68" s="456"/>
      <c r="UFR68" s="456"/>
      <c r="UFS68" s="456"/>
      <c r="UFT68" s="456"/>
      <c r="UFU68" s="456"/>
      <c r="UFV68" s="456"/>
      <c r="UFW68" s="456"/>
      <c r="UFX68" s="456"/>
      <c r="UFY68" s="456"/>
      <c r="UFZ68" s="456"/>
      <c r="UGA68" s="456"/>
      <c r="UGB68" s="456"/>
      <c r="UGC68" s="456"/>
      <c r="UGD68" s="456"/>
      <c r="UGE68" s="456"/>
      <c r="UGF68" s="456"/>
      <c r="UGG68" s="456"/>
      <c r="UGH68" s="456"/>
      <c r="UGI68" s="456"/>
      <c r="UGJ68" s="456"/>
      <c r="UGK68" s="456"/>
      <c r="UGL68" s="456"/>
      <c r="UGM68" s="456"/>
      <c r="UGN68" s="456"/>
      <c r="UGO68" s="456"/>
      <c r="UGP68" s="456"/>
      <c r="UGQ68" s="456"/>
      <c r="UGR68" s="456"/>
      <c r="UGS68" s="456"/>
      <c r="UGT68" s="456"/>
      <c r="UGU68" s="456"/>
      <c r="UGV68" s="456"/>
      <c r="UGW68" s="456"/>
      <c r="UGX68" s="456"/>
      <c r="UGY68" s="456"/>
      <c r="UGZ68" s="456"/>
      <c r="UHA68" s="456"/>
      <c r="UHB68" s="456"/>
      <c r="UHC68" s="456"/>
      <c r="UHD68" s="456"/>
      <c r="UHE68" s="456"/>
      <c r="UHF68" s="456"/>
      <c r="UHG68" s="456"/>
      <c r="UHH68" s="456"/>
      <c r="UHI68" s="456"/>
      <c r="UHJ68" s="456"/>
      <c r="UHK68" s="456"/>
      <c r="UHL68" s="456"/>
      <c r="UHM68" s="456"/>
      <c r="UHN68" s="456"/>
      <c r="UHO68" s="456"/>
      <c r="UHP68" s="456"/>
      <c r="UHQ68" s="456"/>
      <c r="UHR68" s="456"/>
      <c r="UHS68" s="456"/>
      <c r="UHT68" s="456"/>
      <c r="UHU68" s="456"/>
      <c r="UHV68" s="456"/>
      <c r="UHW68" s="456"/>
      <c r="UHX68" s="456"/>
      <c r="UHY68" s="456"/>
      <c r="UHZ68" s="456"/>
      <c r="UIA68" s="456"/>
      <c r="UIB68" s="456"/>
      <c r="UIC68" s="456"/>
      <c r="UID68" s="456"/>
      <c r="UIE68" s="456"/>
      <c r="UIF68" s="456"/>
      <c r="UIG68" s="456"/>
      <c r="UIH68" s="456"/>
      <c r="UII68" s="456"/>
      <c r="UIJ68" s="456"/>
      <c r="UIK68" s="456"/>
      <c r="UIL68" s="456"/>
      <c r="UIM68" s="456"/>
      <c r="UIN68" s="456"/>
      <c r="UIO68" s="456"/>
      <c r="UIP68" s="456"/>
      <c r="UIQ68" s="456"/>
      <c r="UIR68" s="456"/>
      <c r="UIS68" s="456"/>
      <c r="UIT68" s="456"/>
      <c r="UIU68" s="456"/>
      <c r="UIV68" s="456"/>
      <c r="UIW68" s="456"/>
      <c r="UIX68" s="456"/>
      <c r="UIY68" s="456"/>
      <c r="UIZ68" s="456"/>
      <c r="UJA68" s="456"/>
      <c r="UJB68" s="456"/>
      <c r="UJC68" s="456"/>
      <c r="UJD68" s="456"/>
      <c r="UJE68" s="456"/>
      <c r="UJF68" s="456"/>
      <c r="UJG68" s="456"/>
      <c r="UJH68" s="456"/>
      <c r="UJI68" s="456"/>
      <c r="UJJ68" s="456"/>
      <c r="UJK68" s="456"/>
      <c r="UJL68" s="456"/>
      <c r="UJM68" s="456"/>
      <c r="UJN68" s="456"/>
      <c r="UJO68" s="456"/>
      <c r="UJP68" s="456"/>
      <c r="UJQ68" s="456"/>
      <c r="UJR68" s="456"/>
      <c r="UJS68" s="456"/>
      <c r="UJT68" s="456"/>
      <c r="UJU68" s="456"/>
      <c r="UJV68" s="456"/>
      <c r="UJW68" s="456"/>
      <c r="UJX68" s="456"/>
      <c r="UJY68" s="456"/>
      <c r="UJZ68" s="456"/>
      <c r="UKA68" s="456"/>
      <c r="UKB68" s="456"/>
      <c r="UKC68" s="456"/>
      <c r="UKD68" s="456"/>
      <c r="UKE68" s="456"/>
      <c r="UKF68" s="456"/>
      <c r="UKG68" s="456"/>
      <c r="UKH68" s="456"/>
      <c r="UKI68" s="456"/>
      <c r="UKJ68" s="456"/>
      <c r="UKK68" s="456"/>
      <c r="UKL68" s="456"/>
      <c r="UKM68" s="456"/>
      <c r="UKN68" s="456"/>
      <c r="UKO68" s="456"/>
      <c r="UKP68" s="456"/>
      <c r="UKQ68" s="456"/>
      <c r="UKR68" s="456"/>
      <c r="UKS68" s="456"/>
      <c r="UKT68" s="456"/>
      <c r="UKU68" s="456"/>
      <c r="UKV68" s="456"/>
      <c r="UKW68" s="456"/>
      <c r="UKX68" s="456"/>
      <c r="UKY68" s="456"/>
      <c r="UKZ68" s="456"/>
      <c r="ULA68" s="456"/>
      <c r="ULB68" s="456"/>
      <c r="ULC68" s="456"/>
      <c r="ULD68" s="456"/>
      <c r="ULE68" s="456"/>
      <c r="ULF68" s="456"/>
      <c r="ULG68" s="456"/>
      <c r="ULH68" s="456"/>
      <c r="ULI68" s="456"/>
      <c r="ULJ68" s="456"/>
      <c r="ULK68" s="456"/>
      <c r="ULL68" s="456"/>
      <c r="ULM68" s="456"/>
      <c r="ULN68" s="456"/>
      <c r="ULO68" s="456"/>
      <c r="ULP68" s="456"/>
      <c r="ULQ68" s="456"/>
      <c r="ULR68" s="456"/>
      <c r="ULS68" s="456"/>
      <c r="ULT68" s="456"/>
      <c r="ULU68" s="456"/>
      <c r="ULV68" s="456"/>
      <c r="ULW68" s="456"/>
      <c r="ULX68" s="456"/>
      <c r="ULY68" s="456"/>
      <c r="ULZ68" s="456"/>
      <c r="UMA68" s="456"/>
      <c r="UMB68" s="456"/>
      <c r="UMC68" s="456"/>
      <c r="UMD68" s="456"/>
      <c r="UME68" s="456"/>
      <c r="UMF68" s="456"/>
      <c r="UMG68" s="456"/>
      <c r="UMH68" s="456"/>
      <c r="UMI68" s="456"/>
      <c r="UMJ68" s="456"/>
      <c r="UMK68" s="456"/>
      <c r="UML68" s="456"/>
      <c r="UMM68" s="456"/>
      <c r="UMN68" s="456"/>
      <c r="UMO68" s="456"/>
      <c r="UMP68" s="456"/>
      <c r="UMQ68" s="456"/>
      <c r="UMR68" s="456"/>
      <c r="UMS68" s="456"/>
      <c r="UMT68" s="456"/>
      <c r="UMU68" s="456"/>
      <c r="UMV68" s="456"/>
      <c r="UMW68" s="456"/>
      <c r="UMX68" s="456"/>
      <c r="UMY68" s="456"/>
      <c r="UMZ68" s="456"/>
      <c r="UNA68" s="456"/>
      <c r="UNB68" s="456"/>
      <c r="UNC68" s="456"/>
      <c r="UND68" s="456"/>
      <c r="UNE68" s="456"/>
      <c r="UNF68" s="456"/>
      <c r="UNG68" s="456"/>
      <c r="UNH68" s="456"/>
      <c r="UNI68" s="456"/>
      <c r="UNJ68" s="456"/>
      <c r="UNK68" s="456"/>
      <c r="UNL68" s="456"/>
      <c r="UNM68" s="456"/>
      <c r="UNN68" s="456"/>
      <c r="UNO68" s="456"/>
      <c r="UNP68" s="456"/>
      <c r="UNQ68" s="456"/>
      <c r="UNR68" s="456"/>
      <c r="UNS68" s="456"/>
      <c r="UNT68" s="456"/>
      <c r="UNU68" s="456"/>
      <c r="UNV68" s="456"/>
      <c r="UNW68" s="456"/>
      <c r="UNX68" s="456"/>
      <c r="UNY68" s="456"/>
      <c r="UNZ68" s="456"/>
      <c r="UOA68" s="456"/>
      <c r="UOB68" s="456"/>
      <c r="UOC68" s="456"/>
      <c r="UOD68" s="456"/>
      <c r="UOE68" s="456"/>
      <c r="UOF68" s="456"/>
      <c r="UOG68" s="456"/>
      <c r="UOH68" s="456"/>
      <c r="UOI68" s="456"/>
      <c r="UOJ68" s="456"/>
      <c r="UOK68" s="456"/>
      <c r="UOL68" s="456"/>
      <c r="UOM68" s="456"/>
      <c r="UON68" s="456"/>
      <c r="UOO68" s="456"/>
      <c r="UOP68" s="456"/>
      <c r="UOQ68" s="456"/>
      <c r="UOR68" s="456"/>
      <c r="UOS68" s="456"/>
      <c r="UOT68" s="456"/>
      <c r="UOU68" s="456"/>
      <c r="UOV68" s="456"/>
      <c r="UOW68" s="456"/>
      <c r="UOX68" s="456"/>
      <c r="UOY68" s="456"/>
      <c r="UOZ68" s="456"/>
      <c r="UPA68" s="456"/>
      <c r="UPB68" s="456"/>
      <c r="UPC68" s="456"/>
      <c r="UPD68" s="456"/>
      <c r="UPE68" s="456"/>
      <c r="UPF68" s="456"/>
      <c r="UPG68" s="456"/>
      <c r="UPH68" s="456"/>
      <c r="UPI68" s="456"/>
      <c r="UPJ68" s="456"/>
      <c r="UPK68" s="456"/>
      <c r="UPL68" s="456"/>
      <c r="UPM68" s="456"/>
      <c r="UPN68" s="456"/>
      <c r="UPO68" s="456"/>
      <c r="UPP68" s="456"/>
      <c r="UPQ68" s="456"/>
      <c r="UPR68" s="456"/>
      <c r="UPS68" s="456"/>
      <c r="UPT68" s="456"/>
      <c r="UPU68" s="456"/>
      <c r="UPV68" s="456"/>
      <c r="UPW68" s="456"/>
      <c r="UPX68" s="456"/>
      <c r="UPY68" s="456"/>
      <c r="UPZ68" s="456"/>
      <c r="UQA68" s="456"/>
      <c r="UQB68" s="456"/>
      <c r="UQC68" s="456"/>
      <c r="UQD68" s="456"/>
      <c r="UQE68" s="456"/>
      <c r="UQF68" s="456"/>
      <c r="UQG68" s="456"/>
      <c r="UQH68" s="456"/>
      <c r="UQI68" s="456"/>
      <c r="UQJ68" s="456"/>
      <c r="UQK68" s="456"/>
      <c r="UQL68" s="456"/>
      <c r="UQM68" s="456"/>
      <c r="UQN68" s="456"/>
      <c r="UQO68" s="456"/>
      <c r="UQP68" s="456"/>
      <c r="UQQ68" s="456"/>
      <c r="UQR68" s="456"/>
      <c r="UQS68" s="456"/>
      <c r="UQT68" s="456"/>
      <c r="UQU68" s="456"/>
      <c r="UQV68" s="456"/>
      <c r="UQW68" s="456"/>
      <c r="UQX68" s="456"/>
      <c r="UQY68" s="456"/>
      <c r="UQZ68" s="456"/>
      <c r="URA68" s="456"/>
      <c r="URB68" s="456"/>
      <c r="URC68" s="456"/>
      <c r="URD68" s="456"/>
      <c r="URE68" s="456"/>
      <c r="URF68" s="456"/>
      <c r="URG68" s="456"/>
      <c r="URH68" s="456"/>
      <c r="URI68" s="456"/>
      <c r="URJ68" s="456"/>
      <c r="URK68" s="456"/>
      <c r="URL68" s="456"/>
      <c r="URM68" s="456"/>
      <c r="URN68" s="456"/>
      <c r="URO68" s="456"/>
      <c r="URP68" s="456"/>
      <c r="URQ68" s="456"/>
      <c r="URR68" s="456"/>
      <c r="URS68" s="456"/>
      <c r="URT68" s="456"/>
      <c r="URU68" s="456"/>
      <c r="URV68" s="456"/>
      <c r="URW68" s="456"/>
      <c r="URX68" s="456"/>
      <c r="URY68" s="456"/>
      <c r="URZ68" s="456"/>
      <c r="USA68" s="456"/>
      <c r="USB68" s="456"/>
      <c r="USC68" s="456"/>
      <c r="USD68" s="456"/>
      <c r="USE68" s="456"/>
      <c r="USF68" s="456"/>
      <c r="USG68" s="456"/>
      <c r="USH68" s="456"/>
      <c r="USI68" s="456"/>
      <c r="USJ68" s="456"/>
      <c r="USK68" s="456"/>
      <c r="USL68" s="456"/>
      <c r="USM68" s="456"/>
      <c r="USN68" s="456"/>
      <c r="USO68" s="456"/>
      <c r="USP68" s="456"/>
      <c r="USQ68" s="456"/>
      <c r="USR68" s="456"/>
      <c r="USS68" s="456"/>
      <c r="UST68" s="456"/>
      <c r="USU68" s="456"/>
      <c r="USV68" s="456"/>
      <c r="USW68" s="456"/>
      <c r="USX68" s="456"/>
      <c r="USY68" s="456"/>
      <c r="USZ68" s="456"/>
      <c r="UTA68" s="456"/>
      <c r="UTB68" s="456"/>
      <c r="UTC68" s="456"/>
      <c r="UTD68" s="456"/>
      <c r="UTE68" s="456"/>
      <c r="UTF68" s="456"/>
      <c r="UTG68" s="456"/>
      <c r="UTH68" s="456"/>
      <c r="UTI68" s="456"/>
      <c r="UTJ68" s="456"/>
      <c r="UTK68" s="456"/>
      <c r="UTL68" s="456"/>
      <c r="UTM68" s="456"/>
      <c r="UTN68" s="456"/>
      <c r="UTO68" s="456"/>
      <c r="UTP68" s="456"/>
      <c r="UTQ68" s="456"/>
      <c r="UTR68" s="456"/>
      <c r="UTS68" s="456"/>
      <c r="UTT68" s="456"/>
      <c r="UTU68" s="456"/>
      <c r="UTV68" s="456"/>
      <c r="UTW68" s="456"/>
      <c r="UTX68" s="456"/>
      <c r="UTY68" s="456"/>
      <c r="UTZ68" s="456"/>
      <c r="UUA68" s="456"/>
      <c r="UUB68" s="456"/>
      <c r="UUC68" s="456"/>
      <c r="UUD68" s="456"/>
      <c r="UUE68" s="456"/>
      <c r="UUF68" s="456"/>
      <c r="UUG68" s="456"/>
      <c r="UUH68" s="456"/>
      <c r="UUI68" s="456"/>
      <c r="UUJ68" s="456"/>
      <c r="UUK68" s="456"/>
      <c r="UUL68" s="456"/>
      <c r="UUM68" s="456"/>
      <c r="UUN68" s="456"/>
      <c r="UUO68" s="456"/>
      <c r="UUP68" s="456"/>
      <c r="UUQ68" s="456"/>
      <c r="UUR68" s="456"/>
      <c r="UUS68" s="456"/>
      <c r="UUT68" s="456"/>
      <c r="UUU68" s="456"/>
      <c r="UUV68" s="456"/>
      <c r="UUW68" s="456"/>
      <c r="UUX68" s="456"/>
      <c r="UUY68" s="456"/>
      <c r="UUZ68" s="456"/>
      <c r="UVA68" s="456"/>
      <c r="UVB68" s="456"/>
      <c r="UVC68" s="456"/>
      <c r="UVD68" s="456"/>
      <c r="UVE68" s="456"/>
      <c r="UVF68" s="456"/>
      <c r="UVG68" s="456"/>
      <c r="UVH68" s="456"/>
      <c r="UVI68" s="456"/>
      <c r="UVJ68" s="456"/>
      <c r="UVK68" s="456"/>
      <c r="UVL68" s="456"/>
      <c r="UVM68" s="456"/>
      <c r="UVN68" s="456"/>
      <c r="UVO68" s="456"/>
      <c r="UVP68" s="456"/>
      <c r="UVQ68" s="456"/>
      <c r="UVR68" s="456"/>
      <c r="UVS68" s="456"/>
      <c r="UVT68" s="456"/>
      <c r="UVU68" s="456"/>
      <c r="UVV68" s="456"/>
      <c r="UVW68" s="456"/>
      <c r="UVX68" s="456"/>
      <c r="UVY68" s="456"/>
      <c r="UVZ68" s="456"/>
      <c r="UWA68" s="456"/>
      <c r="UWB68" s="456"/>
      <c r="UWC68" s="456"/>
      <c r="UWD68" s="456"/>
      <c r="UWE68" s="456"/>
      <c r="UWF68" s="456"/>
      <c r="UWG68" s="456"/>
      <c r="UWH68" s="456"/>
      <c r="UWI68" s="456"/>
      <c r="UWJ68" s="456"/>
      <c r="UWK68" s="456"/>
      <c r="UWL68" s="456"/>
      <c r="UWM68" s="456"/>
      <c r="UWN68" s="456"/>
      <c r="UWO68" s="456"/>
      <c r="UWP68" s="456"/>
      <c r="UWQ68" s="456"/>
      <c r="UWR68" s="456"/>
      <c r="UWS68" s="456"/>
      <c r="UWT68" s="456"/>
      <c r="UWU68" s="456"/>
      <c r="UWV68" s="456"/>
      <c r="UWW68" s="456"/>
      <c r="UWX68" s="456"/>
      <c r="UWY68" s="456"/>
      <c r="UWZ68" s="456"/>
      <c r="UXA68" s="456"/>
      <c r="UXB68" s="456"/>
      <c r="UXC68" s="456"/>
      <c r="UXD68" s="456"/>
      <c r="UXE68" s="456"/>
      <c r="UXF68" s="456"/>
      <c r="UXG68" s="456"/>
      <c r="UXH68" s="456"/>
      <c r="UXI68" s="456"/>
      <c r="UXJ68" s="456"/>
      <c r="UXK68" s="456"/>
      <c r="UXL68" s="456"/>
      <c r="UXM68" s="456"/>
      <c r="UXN68" s="456"/>
      <c r="UXO68" s="456"/>
      <c r="UXP68" s="456"/>
      <c r="UXQ68" s="456"/>
      <c r="UXR68" s="456"/>
      <c r="UXS68" s="456"/>
      <c r="UXT68" s="456"/>
      <c r="UXU68" s="456"/>
      <c r="UXV68" s="456"/>
      <c r="UXW68" s="456"/>
      <c r="UXX68" s="456"/>
      <c r="UXY68" s="456"/>
      <c r="UXZ68" s="456"/>
      <c r="UYA68" s="456"/>
      <c r="UYB68" s="456"/>
      <c r="UYC68" s="456"/>
      <c r="UYD68" s="456"/>
      <c r="UYE68" s="456"/>
      <c r="UYF68" s="456"/>
      <c r="UYG68" s="456"/>
      <c r="UYH68" s="456"/>
      <c r="UYI68" s="456"/>
      <c r="UYJ68" s="456"/>
      <c r="UYK68" s="456"/>
      <c r="UYL68" s="456"/>
      <c r="UYM68" s="456"/>
      <c r="UYN68" s="456"/>
      <c r="UYO68" s="456"/>
      <c r="UYP68" s="456"/>
      <c r="UYQ68" s="456"/>
      <c r="UYR68" s="456"/>
      <c r="UYS68" s="456"/>
      <c r="UYT68" s="456"/>
      <c r="UYU68" s="456"/>
      <c r="UYV68" s="456"/>
      <c r="UYW68" s="456"/>
      <c r="UYX68" s="456"/>
      <c r="UYY68" s="456"/>
      <c r="UYZ68" s="456"/>
      <c r="UZA68" s="456"/>
      <c r="UZB68" s="456"/>
      <c r="UZC68" s="456"/>
      <c r="UZD68" s="456"/>
      <c r="UZE68" s="456"/>
      <c r="UZF68" s="456"/>
      <c r="UZG68" s="456"/>
      <c r="UZH68" s="456"/>
      <c r="UZI68" s="456"/>
      <c r="UZJ68" s="456"/>
      <c r="UZK68" s="456"/>
      <c r="UZL68" s="456"/>
      <c r="UZM68" s="456"/>
      <c r="UZN68" s="456"/>
      <c r="UZO68" s="456"/>
      <c r="UZP68" s="456"/>
      <c r="UZQ68" s="456"/>
      <c r="UZR68" s="456"/>
      <c r="UZS68" s="456"/>
      <c r="UZT68" s="456"/>
      <c r="UZU68" s="456"/>
      <c r="UZV68" s="456"/>
      <c r="UZW68" s="456"/>
      <c r="UZX68" s="456"/>
      <c r="UZY68" s="456"/>
      <c r="UZZ68" s="456"/>
      <c r="VAA68" s="456"/>
      <c r="VAB68" s="456"/>
      <c r="VAC68" s="456"/>
      <c r="VAD68" s="456"/>
      <c r="VAE68" s="456"/>
      <c r="VAF68" s="456"/>
      <c r="VAG68" s="456"/>
      <c r="VAH68" s="456"/>
      <c r="VAI68" s="456"/>
      <c r="VAJ68" s="456"/>
      <c r="VAK68" s="456"/>
      <c r="VAL68" s="456"/>
      <c r="VAM68" s="456"/>
      <c r="VAN68" s="456"/>
      <c r="VAO68" s="456"/>
      <c r="VAP68" s="456"/>
      <c r="VAQ68" s="456"/>
      <c r="VAR68" s="456"/>
      <c r="VAS68" s="456"/>
      <c r="VAT68" s="456"/>
      <c r="VAU68" s="456"/>
      <c r="VAV68" s="456"/>
      <c r="VAW68" s="456"/>
      <c r="VAX68" s="456"/>
      <c r="VAY68" s="456"/>
      <c r="VAZ68" s="456"/>
      <c r="VBA68" s="456"/>
      <c r="VBB68" s="456"/>
      <c r="VBC68" s="456"/>
      <c r="VBD68" s="456"/>
      <c r="VBE68" s="456"/>
      <c r="VBF68" s="456"/>
      <c r="VBG68" s="456"/>
      <c r="VBH68" s="456"/>
      <c r="VBI68" s="456"/>
      <c r="VBJ68" s="456"/>
      <c r="VBK68" s="456"/>
      <c r="VBL68" s="456"/>
      <c r="VBM68" s="456"/>
      <c r="VBN68" s="456"/>
      <c r="VBO68" s="456"/>
      <c r="VBP68" s="456"/>
      <c r="VBQ68" s="456"/>
      <c r="VBR68" s="456"/>
      <c r="VBS68" s="456"/>
      <c r="VBT68" s="456"/>
      <c r="VBU68" s="456"/>
      <c r="VBV68" s="456"/>
      <c r="VBW68" s="456"/>
      <c r="VBX68" s="456"/>
      <c r="VBY68" s="456"/>
      <c r="VBZ68" s="456"/>
      <c r="VCA68" s="456"/>
      <c r="VCB68" s="456"/>
      <c r="VCC68" s="456"/>
      <c r="VCD68" s="456"/>
      <c r="VCE68" s="456"/>
      <c r="VCF68" s="456"/>
      <c r="VCG68" s="456"/>
      <c r="VCH68" s="456"/>
      <c r="VCI68" s="456"/>
      <c r="VCJ68" s="456"/>
      <c r="VCK68" s="456"/>
      <c r="VCL68" s="456"/>
      <c r="VCM68" s="456"/>
      <c r="VCN68" s="456"/>
      <c r="VCO68" s="456"/>
      <c r="VCP68" s="456"/>
      <c r="VCQ68" s="456"/>
      <c r="VCR68" s="456"/>
      <c r="VCS68" s="456"/>
      <c r="VCT68" s="456"/>
      <c r="VCU68" s="456"/>
      <c r="VCV68" s="456"/>
      <c r="VCW68" s="456"/>
      <c r="VCX68" s="456"/>
      <c r="VCY68" s="456"/>
      <c r="VCZ68" s="456"/>
      <c r="VDA68" s="456"/>
      <c r="VDB68" s="456"/>
      <c r="VDC68" s="456"/>
      <c r="VDD68" s="456"/>
      <c r="VDE68" s="456"/>
      <c r="VDF68" s="456"/>
      <c r="VDG68" s="456"/>
      <c r="VDH68" s="456"/>
      <c r="VDI68" s="456"/>
      <c r="VDJ68" s="456"/>
      <c r="VDK68" s="456"/>
      <c r="VDL68" s="456"/>
      <c r="VDM68" s="456"/>
      <c r="VDN68" s="456"/>
      <c r="VDO68" s="456"/>
      <c r="VDP68" s="456"/>
      <c r="VDQ68" s="456"/>
      <c r="VDR68" s="456"/>
      <c r="VDS68" s="456"/>
      <c r="VDT68" s="456"/>
      <c r="VDU68" s="456"/>
      <c r="VDV68" s="456"/>
      <c r="VDW68" s="456"/>
      <c r="VDX68" s="456"/>
      <c r="VDY68" s="456"/>
      <c r="VDZ68" s="456"/>
      <c r="VEA68" s="456"/>
      <c r="VEB68" s="456"/>
      <c r="VEC68" s="456"/>
      <c r="VED68" s="456"/>
      <c r="VEE68" s="456"/>
      <c r="VEF68" s="456"/>
      <c r="VEG68" s="456"/>
      <c r="VEH68" s="456"/>
      <c r="VEI68" s="456"/>
      <c r="VEJ68" s="456"/>
      <c r="VEK68" s="456"/>
      <c r="VEL68" s="456"/>
      <c r="VEM68" s="456"/>
      <c r="VEN68" s="456"/>
      <c r="VEO68" s="456"/>
      <c r="VEP68" s="456"/>
      <c r="VEQ68" s="456"/>
      <c r="VER68" s="456"/>
      <c r="VES68" s="456"/>
      <c r="VET68" s="456"/>
      <c r="VEU68" s="456"/>
      <c r="VEV68" s="456"/>
      <c r="VEW68" s="456"/>
      <c r="VEX68" s="456"/>
      <c r="VEY68" s="456"/>
      <c r="VEZ68" s="456"/>
      <c r="VFA68" s="456"/>
      <c r="VFB68" s="456"/>
      <c r="VFC68" s="456"/>
      <c r="VFD68" s="456"/>
      <c r="VFE68" s="456"/>
      <c r="VFF68" s="456"/>
      <c r="VFG68" s="456"/>
      <c r="VFH68" s="456"/>
      <c r="VFI68" s="456"/>
      <c r="VFJ68" s="456"/>
      <c r="VFK68" s="456"/>
      <c r="VFL68" s="456"/>
      <c r="VFM68" s="456"/>
      <c r="VFN68" s="456"/>
      <c r="VFO68" s="456"/>
      <c r="VFP68" s="456"/>
      <c r="VFQ68" s="456"/>
      <c r="VFR68" s="456"/>
      <c r="VFS68" s="456"/>
      <c r="VFT68" s="456"/>
      <c r="VFU68" s="456"/>
      <c r="VFV68" s="456"/>
      <c r="VFW68" s="456"/>
      <c r="VFX68" s="456"/>
      <c r="VFY68" s="456"/>
      <c r="VFZ68" s="456"/>
      <c r="VGA68" s="456"/>
      <c r="VGB68" s="456"/>
      <c r="VGC68" s="456"/>
      <c r="VGD68" s="456"/>
      <c r="VGE68" s="456"/>
      <c r="VGF68" s="456"/>
      <c r="VGG68" s="456"/>
      <c r="VGH68" s="456"/>
      <c r="VGI68" s="456"/>
      <c r="VGJ68" s="456"/>
      <c r="VGK68" s="456"/>
      <c r="VGL68" s="456"/>
      <c r="VGM68" s="456"/>
      <c r="VGN68" s="456"/>
      <c r="VGO68" s="456"/>
      <c r="VGP68" s="456"/>
      <c r="VGQ68" s="456"/>
      <c r="VGR68" s="456"/>
      <c r="VGS68" s="456"/>
      <c r="VGT68" s="456"/>
      <c r="VGU68" s="456"/>
      <c r="VGV68" s="456"/>
      <c r="VGW68" s="456"/>
      <c r="VGX68" s="456"/>
      <c r="VGY68" s="456"/>
      <c r="VGZ68" s="456"/>
      <c r="VHA68" s="456"/>
      <c r="VHB68" s="456"/>
      <c r="VHC68" s="456"/>
      <c r="VHD68" s="456"/>
      <c r="VHE68" s="456"/>
      <c r="VHF68" s="456"/>
      <c r="VHG68" s="456"/>
      <c r="VHH68" s="456"/>
      <c r="VHI68" s="456"/>
      <c r="VHJ68" s="456"/>
      <c r="VHK68" s="456"/>
      <c r="VHL68" s="456"/>
      <c r="VHM68" s="456"/>
      <c r="VHN68" s="456"/>
      <c r="VHO68" s="456"/>
      <c r="VHP68" s="456"/>
      <c r="VHQ68" s="456"/>
      <c r="VHR68" s="456"/>
      <c r="VHS68" s="456"/>
      <c r="VHT68" s="456"/>
      <c r="VHU68" s="456"/>
      <c r="VHV68" s="456"/>
      <c r="VHW68" s="456"/>
      <c r="VHX68" s="456"/>
      <c r="VHY68" s="456"/>
      <c r="VHZ68" s="456"/>
      <c r="VIA68" s="456"/>
      <c r="VIB68" s="456"/>
      <c r="VIC68" s="456"/>
      <c r="VID68" s="456"/>
      <c r="VIE68" s="456"/>
      <c r="VIF68" s="456"/>
      <c r="VIG68" s="456"/>
      <c r="VIH68" s="456"/>
      <c r="VII68" s="456"/>
      <c r="VIJ68" s="456"/>
      <c r="VIK68" s="456"/>
      <c r="VIL68" s="456"/>
      <c r="VIM68" s="456"/>
      <c r="VIN68" s="456"/>
      <c r="VIO68" s="456"/>
      <c r="VIP68" s="456"/>
      <c r="VIQ68" s="456"/>
      <c r="VIR68" s="456"/>
      <c r="VIS68" s="456"/>
      <c r="VIT68" s="456"/>
      <c r="VIU68" s="456"/>
      <c r="VIV68" s="456"/>
      <c r="VIW68" s="456"/>
      <c r="VIX68" s="456"/>
      <c r="VIY68" s="456"/>
      <c r="VIZ68" s="456"/>
      <c r="VJA68" s="456"/>
      <c r="VJB68" s="456"/>
      <c r="VJC68" s="456"/>
      <c r="VJD68" s="456"/>
      <c r="VJE68" s="456"/>
      <c r="VJF68" s="456"/>
      <c r="VJG68" s="456"/>
      <c r="VJH68" s="456"/>
      <c r="VJI68" s="456"/>
      <c r="VJJ68" s="456"/>
      <c r="VJK68" s="456"/>
      <c r="VJL68" s="456"/>
      <c r="VJM68" s="456"/>
      <c r="VJN68" s="456"/>
      <c r="VJO68" s="456"/>
      <c r="VJP68" s="456"/>
      <c r="VJQ68" s="456"/>
      <c r="VJR68" s="456"/>
      <c r="VJS68" s="456"/>
      <c r="VJT68" s="456"/>
      <c r="VJU68" s="456"/>
      <c r="VJV68" s="456"/>
      <c r="VJW68" s="456"/>
      <c r="VJX68" s="456"/>
      <c r="VJY68" s="456"/>
      <c r="VJZ68" s="456"/>
      <c r="VKA68" s="456"/>
      <c r="VKB68" s="456"/>
      <c r="VKC68" s="456"/>
      <c r="VKD68" s="456"/>
      <c r="VKE68" s="456"/>
      <c r="VKF68" s="456"/>
      <c r="VKG68" s="456"/>
      <c r="VKH68" s="456"/>
      <c r="VKI68" s="456"/>
      <c r="VKJ68" s="456"/>
      <c r="VKK68" s="456"/>
      <c r="VKL68" s="456"/>
      <c r="VKM68" s="456"/>
      <c r="VKN68" s="456"/>
      <c r="VKO68" s="456"/>
      <c r="VKP68" s="456"/>
      <c r="VKQ68" s="456"/>
      <c r="VKR68" s="456"/>
      <c r="VKS68" s="456"/>
      <c r="VKT68" s="456"/>
      <c r="VKU68" s="456"/>
      <c r="VKV68" s="456"/>
      <c r="VKW68" s="456"/>
      <c r="VKX68" s="456"/>
      <c r="VKY68" s="456"/>
      <c r="VKZ68" s="456"/>
      <c r="VLA68" s="456"/>
      <c r="VLB68" s="456"/>
      <c r="VLC68" s="456"/>
      <c r="VLD68" s="456"/>
      <c r="VLE68" s="456"/>
      <c r="VLF68" s="456"/>
      <c r="VLG68" s="456"/>
      <c r="VLH68" s="456"/>
      <c r="VLI68" s="456"/>
      <c r="VLJ68" s="456"/>
      <c r="VLK68" s="456"/>
      <c r="VLL68" s="456"/>
      <c r="VLM68" s="456"/>
      <c r="VLN68" s="456"/>
      <c r="VLO68" s="456"/>
      <c r="VLP68" s="456"/>
      <c r="VLQ68" s="456"/>
      <c r="VLR68" s="456"/>
      <c r="VLS68" s="456"/>
      <c r="VLT68" s="456"/>
      <c r="VLU68" s="456"/>
      <c r="VLV68" s="456"/>
      <c r="VLW68" s="456"/>
      <c r="VLX68" s="456"/>
      <c r="VLY68" s="456"/>
      <c r="VLZ68" s="456"/>
      <c r="VMA68" s="456"/>
      <c r="VMB68" s="456"/>
      <c r="VMC68" s="456"/>
      <c r="VMD68" s="456"/>
      <c r="VME68" s="456"/>
      <c r="VMF68" s="456"/>
      <c r="VMG68" s="456"/>
      <c r="VMH68" s="456"/>
      <c r="VMI68" s="456"/>
      <c r="VMJ68" s="456"/>
      <c r="VMK68" s="456"/>
      <c r="VML68" s="456"/>
      <c r="VMM68" s="456"/>
      <c r="VMN68" s="456"/>
      <c r="VMO68" s="456"/>
      <c r="VMP68" s="456"/>
      <c r="VMQ68" s="456"/>
      <c r="VMR68" s="456"/>
      <c r="VMS68" s="456"/>
      <c r="VMT68" s="456"/>
      <c r="VMU68" s="456"/>
      <c r="VMV68" s="456"/>
      <c r="VMW68" s="456"/>
      <c r="VMX68" s="456"/>
      <c r="VMY68" s="456"/>
      <c r="VMZ68" s="456"/>
      <c r="VNA68" s="456"/>
      <c r="VNB68" s="456"/>
      <c r="VNC68" s="456"/>
      <c r="VND68" s="456"/>
      <c r="VNE68" s="456"/>
      <c r="VNF68" s="456"/>
      <c r="VNG68" s="456"/>
      <c r="VNH68" s="456"/>
      <c r="VNI68" s="456"/>
      <c r="VNJ68" s="456"/>
      <c r="VNK68" s="456"/>
      <c r="VNL68" s="456"/>
      <c r="VNM68" s="456"/>
      <c r="VNN68" s="456"/>
      <c r="VNO68" s="456"/>
      <c r="VNP68" s="456"/>
      <c r="VNQ68" s="456"/>
      <c r="VNR68" s="456"/>
      <c r="VNS68" s="456"/>
      <c r="VNT68" s="456"/>
      <c r="VNU68" s="456"/>
      <c r="VNV68" s="456"/>
      <c r="VNW68" s="456"/>
      <c r="VNX68" s="456"/>
      <c r="VNY68" s="456"/>
      <c r="VNZ68" s="456"/>
      <c r="VOA68" s="456"/>
      <c r="VOB68" s="456"/>
      <c r="VOC68" s="456"/>
      <c r="VOD68" s="456"/>
      <c r="VOE68" s="456"/>
      <c r="VOF68" s="456"/>
      <c r="VOG68" s="456"/>
      <c r="VOH68" s="456"/>
      <c r="VOI68" s="456"/>
      <c r="VOJ68" s="456"/>
      <c r="VOK68" s="456"/>
      <c r="VOL68" s="456"/>
      <c r="VOM68" s="456"/>
      <c r="VON68" s="456"/>
      <c r="VOO68" s="456"/>
      <c r="VOP68" s="456"/>
      <c r="VOQ68" s="456"/>
      <c r="VOR68" s="456"/>
      <c r="VOS68" s="456"/>
      <c r="VOT68" s="456"/>
      <c r="VOU68" s="456"/>
      <c r="VOV68" s="456"/>
      <c r="VOW68" s="456"/>
      <c r="VOX68" s="456"/>
      <c r="VOY68" s="456"/>
      <c r="VOZ68" s="456"/>
      <c r="VPA68" s="456"/>
      <c r="VPB68" s="456"/>
      <c r="VPC68" s="456"/>
      <c r="VPD68" s="456"/>
      <c r="VPE68" s="456"/>
      <c r="VPF68" s="456"/>
      <c r="VPG68" s="456"/>
      <c r="VPH68" s="456"/>
      <c r="VPI68" s="456"/>
      <c r="VPJ68" s="456"/>
      <c r="VPK68" s="456"/>
      <c r="VPL68" s="456"/>
      <c r="VPM68" s="456"/>
      <c r="VPN68" s="456"/>
      <c r="VPO68" s="456"/>
      <c r="VPP68" s="456"/>
      <c r="VPQ68" s="456"/>
      <c r="VPR68" s="456"/>
      <c r="VPS68" s="456"/>
      <c r="VPT68" s="456"/>
      <c r="VPU68" s="456"/>
      <c r="VPV68" s="456"/>
      <c r="VPW68" s="456"/>
      <c r="VPX68" s="456"/>
      <c r="VPY68" s="456"/>
      <c r="VPZ68" s="456"/>
      <c r="VQA68" s="456"/>
      <c r="VQB68" s="456"/>
      <c r="VQC68" s="456"/>
      <c r="VQD68" s="456"/>
      <c r="VQE68" s="456"/>
      <c r="VQF68" s="456"/>
      <c r="VQG68" s="456"/>
      <c r="VQH68" s="456"/>
      <c r="VQI68" s="456"/>
      <c r="VQJ68" s="456"/>
      <c r="VQK68" s="456"/>
      <c r="VQL68" s="456"/>
      <c r="VQM68" s="456"/>
      <c r="VQN68" s="456"/>
      <c r="VQO68" s="456"/>
      <c r="VQP68" s="456"/>
      <c r="VQQ68" s="456"/>
      <c r="VQR68" s="456"/>
      <c r="VQS68" s="456"/>
      <c r="VQT68" s="456"/>
      <c r="VQU68" s="456"/>
      <c r="VQV68" s="456"/>
      <c r="VQW68" s="456"/>
      <c r="VQX68" s="456"/>
      <c r="VQY68" s="456"/>
      <c r="VQZ68" s="456"/>
      <c r="VRA68" s="456"/>
      <c r="VRB68" s="456"/>
      <c r="VRC68" s="456"/>
      <c r="VRD68" s="456"/>
      <c r="VRE68" s="456"/>
      <c r="VRF68" s="456"/>
      <c r="VRG68" s="456"/>
      <c r="VRH68" s="456"/>
      <c r="VRI68" s="456"/>
      <c r="VRJ68" s="456"/>
      <c r="VRK68" s="456"/>
      <c r="VRL68" s="456"/>
      <c r="VRM68" s="456"/>
      <c r="VRN68" s="456"/>
      <c r="VRO68" s="456"/>
      <c r="VRP68" s="456"/>
      <c r="VRQ68" s="456"/>
      <c r="VRR68" s="456"/>
      <c r="VRS68" s="456"/>
      <c r="VRT68" s="456"/>
      <c r="VRU68" s="456"/>
      <c r="VRV68" s="456"/>
      <c r="VRW68" s="456"/>
      <c r="VRX68" s="456"/>
      <c r="VRY68" s="456"/>
      <c r="VRZ68" s="456"/>
      <c r="VSA68" s="456"/>
      <c r="VSB68" s="456"/>
      <c r="VSC68" s="456"/>
      <c r="VSD68" s="456"/>
      <c r="VSE68" s="456"/>
      <c r="VSF68" s="456"/>
      <c r="VSG68" s="456"/>
      <c r="VSH68" s="456"/>
      <c r="VSI68" s="456"/>
      <c r="VSJ68" s="456"/>
      <c r="VSK68" s="456"/>
      <c r="VSL68" s="456"/>
      <c r="VSM68" s="456"/>
      <c r="VSN68" s="456"/>
      <c r="VSO68" s="456"/>
      <c r="VSP68" s="456"/>
      <c r="VSQ68" s="456"/>
      <c r="VSR68" s="456"/>
      <c r="VSS68" s="456"/>
      <c r="VST68" s="456"/>
      <c r="VSU68" s="456"/>
      <c r="VSV68" s="456"/>
      <c r="VSW68" s="456"/>
      <c r="VSX68" s="456"/>
      <c r="VSY68" s="456"/>
      <c r="VSZ68" s="456"/>
      <c r="VTA68" s="456"/>
      <c r="VTB68" s="456"/>
      <c r="VTC68" s="456"/>
      <c r="VTD68" s="456"/>
      <c r="VTE68" s="456"/>
      <c r="VTF68" s="456"/>
      <c r="VTG68" s="456"/>
      <c r="VTH68" s="456"/>
      <c r="VTI68" s="456"/>
      <c r="VTJ68" s="456"/>
      <c r="VTK68" s="456"/>
      <c r="VTL68" s="456"/>
      <c r="VTM68" s="456"/>
      <c r="VTN68" s="456"/>
      <c r="VTO68" s="456"/>
      <c r="VTP68" s="456"/>
      <c r="VTQ68" s="456"/>
      <c r="VTR68" s="456"/>
      <c r="VTS68" s="456"/>
      <c r="VTT68" s="456"/>
      <c r="VTU68" s="456"/>
      <c r="VTV68" s="456"/>
      <c r="VTW68" s="456"/>
      <c r="VTX68" s="456"/>
      <c r="VTY68" s="456"/>
      <c r="VTZ68" s="456"/>
      <c r="VUA68" s="456"/>
      <c r="VUB68" s="456"/>
      <c r="VUC68" s="456"/>
      <c r="VUD68" s="456"/>
      <c r="VUE68" s="456"/>
      <c r="VUF68" s="456"/>
      <c r="VUG68" s="456"/>
      <c r="VUH68" s="456"/>
      <c r="VUI68" s="456"/>
      <c r="VUJ68" s="456"/>
      <c r="VUK68" s="456"/>
      <c r="VUL68" s="456"/>
      <c r="VUM68" s="456"/>
      <c r="VUN68" s="456"/>
      <c r="VUO68" s="456"/>
      <c r="VUP68" s="456"/>
      <c r="VUQ68" s="456"/>
      <c r="VUR68" s="456"/>
      <c r="VUS68" s="456"/>
      <c r="VUT68" s="456"/>
      <c r="VUU68" s="456"/>
      <c r="VUV68" s="456"/>
      <c r="VUW68" s="456"/>
      <c r="VUX68" s="456"/>
      <c r="VUY68" s="456"/>
      <c r="VUZ68" s="456"/>
      <c r="VVA68" s="456"/>
      <c r="VVB68" s="456"/>
      <c r="VVC68" s="456"/>
      <c r="VVD68" s="456"/>
      <c r="VVE68" s="456"/>
      <c r="VVF68" s="456"/>
      <c r="VVG68" s="456"/>
      <c r="VVH68" s="456"/>
      <c r="VVI68" s="456"/>
      <c r="VVJ68" s="456"/>
      <c r="VVK68" s="456"/>
      <c r="VVL68" s="456"/>
      <c r="VVM68" s="456"/>
      <c r="VVN68" s="456"/>
      <c r="VVO68" s="456"/>
      <c r="VVP68" s="456"/>
      <c r="VVQ68" s="456"/>
      <c r="VVR68" s="456"/>
      <c r="VVS68" s="456"/>
      <c r="VVT68" s="456"/>
      <c r="VVU68" s="456"/>
      <c r="VVV68" s="456"/>
      <c r="VVW68" s="456"/>
      <c r="VVX68" s="456"/>
      <c r="VVY68" s="456"/>
      <c r="VVZ68" s="456"/>
      <c r="VWA68" s="456"/>
      <c r="VWB68" s="456"/>
      <c r="VWC68" s="456"/>
      <c r="VWD68" s="456"/>
      <c r="VWE68" s="456"/>
      <c r="VWF68" s="456"/>
      <c r="VWG68" s="456"/>
      <c r="VWH68" s="456"/>
      <c r="VWI68" s="456"/>
      <c r="VWJ68" s="456"/>
      <c r="VWK68" s="456"/>
      <c r="VWL68" s="456"/>
      <c r="VWM68" s="456"/>
      <c r="VWN68" s="456"/>
      <c r="VWO68" s="456"/>
      <c r="VWP68" s="456"/>
      <c r="VWQ68" s="456"/>
      <c r="VWR68" s="456"/>
      <c r="VWS68" s="456"/>
      <c r="VWT68" s="456"/>
      <c r="VWU68" s="456"/>
      <c r="VWV68" s="456"/>
      <c r="VWW68" s="456"/>
      <c r="VWX68" s="456"/>
      <c r="VWY68" s="456"/>
      <c r="VWZ68" s="456"/>
      <c r="VXA68" s="456"/>
      <c r="VXB68" s="456"/>
      <c r="VXC68" s="456"/>
      <c r="VXD68" s="456"/>
      <c r="VXE68" s="456"/>
      <c r="VXF68" s="456"/>
      <c r="VXG68" s="456"/>
      <c r="VXH68" s="456"/>
      <c r="VXI68" s="456"/>
      <c r="VXJ68" s="456"/>
      <c r="VXK68" s="456"/>
      <c r="VXL68" s="456"/>
      <c r="VXM68" s="456"/>
      <c r="VXN68" s="456"/>
      <c r="VXO68" s="456"/>
      <c r="VXP68" s="456"/>
      <c r="VXQ68" s="456"/>
      <c r="VXR68" s="456"/>
      <c r="VXS68" s="456"/>
      <c r="VXT68" s="456"/>
      <c r="VXU68" s="456"/>
      <c r="VXV68" s="456"/>
      <c r="VXW68" s="456"/>
      <c r="VXX68" s="456"/>
      <c r="VXY68" s="456"/>
      <c r="VXZ68" s="456"/>
      <c r="VYA68" s="456"/>
      <c r="VYB68" s="456"/>
      <c r="VYC68" s="456"/>
      <c r="VYD68" s="456"/>
      <c r="VYE68" s="456"/>
      <c r="VYF68" s="456"/>
      <c r="VYG68" s="456"/>
      <c r="VYH68" s="456"/>
      <c r="VYI68" s="456"/>
      <c r="VYJ68" s="456"/>
      <c r="VYK68" s="456"/>
      <c r="VYL68" s="456"/>
      <c r="VYM68" s="456"/>
      <c r="VYN68" s="456"/>
      <c r="VYO68" s="456"/>
      <c r="VYP68" s="456"/>
      <c r="VYQ68" s="456"/>
      <c r="VYR68" s="456"/>
      <c r="VYS68" s="456"/>
      <c r="VYT68" s="456"/>
      <c r="VYU68" s="456"/>
      <c r="VYV68" s="456"/>
      <c r="VYW68" s="456"/>
      <c r="VYX68" s="456"/>
      <c r="VYY68" s="456"/>
      <c r="VYZ68" s="456"/>
      <c r="VZA68" s="456"/>
      <c r="VZB68" s="456"/>
      <c r="VZC68" s="456"/>
      <c r="VZD68" s="456"/>
      <c r="VZE68" s="456"/>
      <c r="VZF68" s="456"/>
      <c r="VZG68" s="456"/>
      <c r="VZH68" s="456"/>
      <c r="VZI68" s="456"/>
      <c r="VZJ68" s="456"/>
      <c r="VZK68" s="456"/>
      <c r="VZL68" s="456"/>
      <c r="VZM68" s="456"/>
      <c r="VZN68" s="456"/>
      <c r="VZO68" s="456"/>
      <c r="VZP68" s="456"/>
      <c r="VZQ68" s="456"/>
      <c r="VZR68" s="456"/>
      <c r="VZS68" s="456"/>
      <c r="VZT68" s="456"/>
      <c r="VZU68" s="456"/>
      <c r="VZV68" s="456"/>
      <c r="VZW68" s="456"/>
      <c r="VZX68" s="456"/>
      <c r="VZY68" s="456"/>
      <c r="VZZ68" s="456"/>
      <c r="WAA68" s="456"/>
      <c r="WAB68" s="456"/>
      <c r="WAC68" s="456"/>
      <c r="WAD68" s="456"/>
      <c r="WAE68" s="456"/>
      <c r="WAF68" s="456"/>
      <c r="WAG68" s="456"/>
      <c r="WAH68" s="456"/>
      <c r="WAI68" s="456"/>
      <c r="WAJ68" s="456"/>
      <c r="WAK68" s="456"/>
      <c r="WAL68" s="456"/>
      <c r="WAM68" s="456"/>
      <c r="WAN68" s="456"/>
      <c r="WAO68" s="456"/>
      <c r="WAP68" s="456"/>
      <c r="WAQ68" s="456"/>
      <c r="WAR68" s="456"/>
      <c r="WAS68" s="456"/>
      <c r="WAT68" s="456"/>
      <c r="WAU68" s="456"/>
      <c r="WAV68" s="456"/>
      <c r="WAW68" s="456"/>
      <c r="WAX68" s="456"/>
      <c r="WAY68" s="456"/>
      <c r="WAZ68" s="456"/>
      <c r="WBA68" s="456"/>
      <c r="WBB68" s="456"/>
      <c r="WBC68" s="456"/>
      <c r="WBD68" s="456"/>
      <c r="WBE68" s="456"/>
      <c r="WBF68" s="456"/>
      <c r="WBG68" s="456"/>
      <c r="WBH68" s="456"/>
      <c r="WBI68" s="456"/>
      <c r="WBJ68" s="456"/>
      <c r="WBK68" s="456"/>
      <c r="WBL68" s="456"/>
      <c r="WBM68" s="456"/>
      <c r="WBN68" s="456"/>
      <c r="WBO68" s="456"/>
      <c r="WBP68" s="456"/>
      <c r="WBQ68" s="456"/>
      <c r="WBR68" s="456"/>
      <c r="WBS68" s="456"/>
      <c r="WBT68" s="456"/>
      <c r="WBU68" s="456"/>
      <c r="WBV68" s="456"/>
      <c r="WBW68" s="456"/>
      <c r="WBX68" s="456"/>
      <c r="WBY68" s="456"/>
      <c r="WBZ68" s="456"/>
      <c r="WCA68" s="456"/>
      <c r="WCB68" s="456"/>
      <c r="WCC68" s="456"/>
      <c r="WCD68" s="456"/>
      <c r="WCE68" s="456"/>
      <c r="WCF68" s="456"/>
      <c r="WCG68" s="456"/>
      <c r="WCH68" s="456"/>
      <c r="WCI68" s="456"/>
      <c r="WCJ68" s="456"/>
      <c r="WCK68" s="456"/>
      <c r="WCL68" s="456"/>
      <c r="WCM68" s="456"/>
      <c r="WCN68" s="456"/>
      <c r="WCO68" s="456"/>
      <c r="WCP68" s="456"/>
      <c r="WCQ68" s="456"/>
      <c r="WCR68" s="456"/>
      <c r="WCS68" s="456"/>
      <c r="WCT68" s="456"/>
      <c r="WCU68" s="456"/>
      <c r="WCV68" s="456"/>
      <c r="WCW68" s="456"/>
      <c r="WCX68" s="456"/>
      <c r="WCY68" s="456"/>
      <c r="WCZ68" s="456"/>
      <c r="WDA68" s="456"/>
      <c r="WDB68" s="456"/>
      <c r="WDC68" s="456"/>
      <c r="WDD68" s="456"/>
      <c r="WDE68" s="456"/>
      <c r="WDF68" s="456"/>
      <c r="WDG68" s="456"/>
      <c r="WDH68" s="456"/>
      <c r="WDI68" s="456"/>
      <c r="WDJ68" s="456"/>
      <c r="WDK68" s="456"/>
      <c r="WDL68" s="456"/>
      <c r="WDM68" s="456"/>
      <c r="WDN68" s="456"/>
      <c r="WDO68" s="456"/>
      <c r="WDP68" s="456"/>
      <c r="WDQ68" s="456"/>
      <c r="WDR68" s="456"/>
      <c r="WDS68" s="456"/>
      <c r="WDT68" s="456"/>
      <c r="WDU68" s="456"/>
      <c r="WDV68" s="456"/>
      <c r="WDW68" s="456"/>
      <c r="WDX68" s="456"/>
      <c r="WDY68" s="456"/>
      <c r="WDZ68" s="456"/>
      <c r="WEA68" s="456"/>
      <c r="WEB68" s="456"/>
      <c r="WEC68" s="456"/>
      <c r="WED68" s="456"/>
      <c r="WEE68" s="456"/>
      <c r="WEF68" s="456"/>
      <c r="WEG68" s="456"/>
      <c r="WEH68" s="456"/>
      <c r="WEI68" s="456"/>
      <c r="WEJ68" s="456"/>
      <c r="WEK68" s="456"/>
      <c r="WEL68" s="456"/>
      <c r="WEM68" s="456"/>
      <c r="WEN68" s="456"/>
      <c r="WEO68" s="456"/>
      <c r="WEP68" s="456"/>
      <c r="WEQ68" s="456"/>
      <c r="WER68" s="456"/>
      <c r="WES68" s="456"/>
      <c r="WET68" s="456"/>
      <c r="WEU68" s="456"/>
      <c r="WEV68" s="456"/>
      <c r="WEW68" s="456"/>
      <c r="WEX68" s="456"/>
      <c r="WEY68" s="456"/>
      <c r="WEZ68" s="456"/>
      <c r="WFA68" s="456"/>
      <c r="WFB68" s="456"/>
      <c r="WFC68" s="456"/>
      <c r="WFD68" s="456"/>
      <c r="WFE68" s="456"/>
      <c r="WFF68" s="456"/>
      <c r="WFG68" s="456"/>
      <c r="WFH68" s="456"/>
      <c r="WFI68" s="456"/>
      <c r="WFJ68" s="456"/>
      <c r="WFK68" s="456"/>
      <c r="WFL68" s="456"/>
      <c r="WFM68" s="456"/>
      <c r="WFN68" s="456"/>
      <c r="WFO68" s="456"/>
      <c r="WFP68" s="456"/>
      <c r="WFQ68" s="456"/>
      <c r="WFR68" s="456"/>
      <c r="WFS68" s="456"/>
      <c r="WFT68" s="456"/>
      <c r="WFU68" s="456"/>
      <c r="WFV68" s="456"/>
      <c r="WFW68" s="456"/>
      <c r="WFX68" s="456"/>
      <c r="WFY68" s="456"/>
      <c r="WFZ68" s="456"/>
      <c r="WGA68" s="456"/>
      <c r="WGB68" s="456"/>
      <c r="WGC68" s="456"/>
      <c r="WGD68" s="456"/>
      <c r="WGE68" s="456"/>
      <c r="WGF68" s="456"/>
      <c r="WGG68" s="456"/>
      <c r="WGH68" s="456"/>
      <c r="WGI68" s="456"/>
      <c r="WGJ68" s="456"/>
      <c r="WGK68" s="456"/>
      <c r="WGL68" s="456"/>
      <c r="WGM68" s="456"/>
      <c r="WGN68" s="456"/>
      <c r="WGO68" s="456"/>
      <c r="WGP68" s="456"/>
      <c r="WGQ68" s="456"/>
      <c r="WGR68" s="456"/>
      <c r="WGS68" s="456"/>
      <c r="WGT68" s="456"/>
      <c r="WGU68" s="456"/>
      <c r="WGV68" s="456"/>
      <c r="WGW68" s="456"/>
      <c r="WGX68" s="456"/>
      <c r="WGY68" s="456"/>
      <c r="WGZ68" s="456"/>
      <c r="WHA68" s="456"/>
      <c r="WHB68" s="456"/>
      <c r="WHC68" s="456"/>
      <c r="WHD68" s="456"/>
      <c r="WHE68" s="456"/>
      <c r="WHF68" s="456"/>
      <c r="WHG68" s="456"/>
      <c r="WHH68" s="456"/>
      <c r="WHI68" s="456"/>
      <c r="WHJ68" s="456"/>
      <c r="WHK68" s="456"/>
      <c r="WHL68" s="456"/>
      <c r="WHM68" s="456"/>
      <c r="WHN68" s="456"/>
      <c r="WHO68" s="456"/>
      <c r="WHP68" s="456"/>
      <c r="WHQ68" s="456"/>
      <c r="WHR68" s="456"/>
      <c r="WHS68" s="456"/>
      <c r="WHT68" s="456"/>
      <c r="WHU68" s="456"/>
      <c r="WHV68" s="456"/>
      <c r="WHW68" s="456"/>
      <c r="WHX68" s="456"/>
      <c r="WHY68" s="456"/>
      <c r="WHZ68" s="456"/>
      <c r="WIA68" s="456"/>
      <c r="WIB68" s="456"/>
      <c r="WIC68" s="456"/>
      <c r="WID68" s="456"/>
      <c r="WIE68" s="456"/>
      <c r="WIF68" s="456"/>
      <c r="WIG68" s="456"/>
      <c r="WIH68" s="456"/>
      <c r="WII68" s="456"/>
      <c r="WIJ68" s="456"/>
      <c r="WIK68" s="456"/>
      <c r="WIL68" s="456"/>
      <c r="WIM68" s="456"/>
      <c r="WIN68" s="456"/>
      <c r="WIO68" s="456"/>
      <c r="WIP68" s="456"/>
      <c r="WIQ68" s="456"/>
      <c r="WIR68" s="456"/>
      <c r="WIS68" s="456"/>
      <c r="WIT68" s="456"/>
      <c r="WIU68" s="456"/>
      <c r="WIV68" s="456"/>
      <c r="WIW68" s="456"/>
      <c r="WIX68" s="456"/>
      <c r="WIY68" s="456"/>
      <c r="WIZ68" s="456"/>
      <c r="WJA68" s="456"/>
      <c r="WJB68" s="456"/>
      <c r="WJC68" s="456"/>
      <c r="WJD68" s="456"/>
      <c r="WJE68" s="456"/>
      <c r="WJF68" s="456"/>
      <c r="WJG68" s="456"/>
      <c r="WJH68" s="456"/>
      <c r="WJI68" s="456"/>
      <c r="WJJ68" s="456"/>
      <c r="WJK68" s="456"/>
      <c r="WJL68" s="456"/>
      <c r="WJM68" s="456"/>
      <c r="WJN68" s="456"/>
      <c r="WJO68" s="456"/>
      <c r="WJP68" s="456"/>
      <c r="WJQ68" s="456"/>
      <c r="WJR68" s="456"/>
      <c r="WJS68" s="456"/>
      <c r="WJT68" s="456"/>
      <c r="WJU68" s="456"/>
      <c r="WJV68" s="456"/>
      <c r="WJW68" s="456"/>
      <c r="WJX68" s="456"/>
      <c r="WJY68" s="456"/>
      <c r="WJZ68" s="456"/>
      <c r="WKA68" s="456"/>
      <c r="WKB68" s="456"/>
      <c r="WKC68" s="456"/>
      <c r="WKD68" s="456"/>
      <c r="WKE68" s="456"/>
      <c r="WKF68" s="456"/>
      <c r="WKG68" s="456"/>
      <c r="WKH68" s="456"/>
      <c r="WKI68" s="456"/>
      <c r="WKJ68" s="456"/>
      <c r="WKK68" s="456"/>
      <c r="WKL68" s="456"/>
      <c r="WKM68" s="456"/>
      <c r="WKN68" s="456"/>
      <c r="WKO68" s="456"/>
      <c r="WKP68" s="456"/>
      <c r="WKQ68" s="456"/>
      <c r="WKR68" s="456"/>
      <c r="WKS68" s="456"/>
      <c r="WKT68" s="456"/>
      <c r="WKU68" s="456"/>
      <c r="WKV68" s="456"/>
      <c r="WKW68" s="456"/>
      <c r="WKX68" s="456"/>
      <c r="WKY68" s="456"/>
      <c r="WKZ68" s="456"/>
      <c r="WLA68" s="456"/>
      <c r="WLB68" s="456"/>
      <c r="WLC68" s="456"/>
      <c r="WLD68" s="456"/>
      <c r="WLE68" s="456"/>
      <c r="WLF68" s="456"/>
      <c r="WLG68" s="456"/>
      <c r="WLH68" s="456"/>
      <c r="WLI68" s="456"/>
      <c r="WLJ68" s="456"/>
      <c r="WLK68" s="456"/>
      <c r="WLL68" s="456"/>
      <c r="WLM68" s="456"/>
      <c r="WLN68" s="456"/>
      <c r="WLO68" s="456"/>
      <c r="WLP68" s="456"/>
      <c r="WLQ68" s="456"/>
      <c r="WLR68" s="456"/>
      <c r="WLS68" s="456"/>
      <c r="WLT68" s="456"/>
      <c r="WLU68" s="456"/>
      <c r="WLV68" s="456"/>
      <c r="WLW68" s="456"/>
      <c r="WLX68" s="456"/>
      <c r="WLY68" s="456"/>
      <c r="WLZ68" s="456"/>
      <c r="WMA68" s="456"/>
      <c r="WMB68" s="456"/>
      <c r="WMC68" s="456"/>
      <c r="WMD68" s="456"/>
      <c r="WME68" s="456"/>
      <c r="WMF68" s="456"/>
      <c r="WMG68" s="456"/>
      <c r="WMH68" s="456"/>
      <c r="WMI68" s="456"/>
      <c r="WMJ68" s="456"/>
      <c r="WMK68" s="456"/>
      <c r="WML68" s="456"/>
      <c r="WMM68" s="456"/>
      <c r="WMN68" s="456"/>
      <c r="WMO68" s="456"/>
      <c r="WMP68" s="456"/>
      <c r="WMQ68" s="456"/>
      <c r="WMR68" s="456"/>
      <c r="WMS68" s="456"/>
      <c r="WMT68" s="456"/>
      <c r="WMU68" s="456"/>
      <c r="WMV68" s="456"/>
      <c r="WMW68" s="456"/>
      <c r="WMX68" s="456"/>
      <c r="WMY68" s="456"/>
      <c r="WMZ68" s="456"/>
      <c r="WNA68" s="456"/>
      <c r="WNB68" s="456"/>
      <c r="WNC68" s="456"/>
      <c r="WND68" s="456"/>
      <c r="WNE68" s="456"/>
      <c r="WNF68" s="456"/>
      <c r="WNG68" s="456"/>
      <c r="WNH68" s="456"/>
      <c r="WNI68" s="456"/>
      <c r="WNJ68" s="456"/>
      <c r="WNK68" s="456"/>
      <c r="WNL68" s="456"/>
      <c r="WNM68" s="456"/>
      <c r="WNN68" s="456"/>
      <c r="WNO68" s="456"/>
      <c r="WNP68" s="456"/>
      <c r="WNQ68" s="456"/>
      <c r="WNR68" s="456"/>
      <c r="WNS68" s="456"/>
      <c r="WNT68" s="456"/>
      <c r="WNU68" s="456"/>
      <c r="WNV68" s="456"/>
      <c r="WNW68" s="456"/>
      <c r="WNX68" s="456"/>
      <c r="WNY68" s="456"/>
      <c r="WNZ68" s="456"/>
      <c r="WOA68" s="456"/>
      <c r="WOB68" s="456"/>
      <c r="WOC68" s="456"/>
      <c r="WOD68" s="456"/>
      <c r="WOE68" s="456"/>
      <c r="WOF68" s="456"/>
      <c r="WOG68" s="456"/>
      <c r="WOH68" s="456"/>
      <c r="WOI68" s="456"/>
      <c r="WOJ68" s="456"/>
      <c r="WOK68" s="456"/>
      <c r="WOL68" s="456"/>
      <c r="WOM68" s="456"/>
      <c r="WON68" s="456"/>
      <c r="WOO68" s="456"/>
      <c r="WOP68" s="456"/>
      <c r="WOQ68" s="456"/>
      <c r="WOR68" s="456"/>
      <c r="WOS68" s="456"/>
      <c r="WOT68" s="456"/>
      <c r="WOU68" s="456"/>
      <c r="WOV68" s="456"/>
      <c r="WOW68" s="456"/>
      <c r="WOX68" s="456"/>
      <c r="WOY68" s="456"/>
      <c r="WOZ68" s="456"/>
      <c r="WPA68" s="456"/>
      <c r="WPB68" s="456"/>
      <c r="WPC68" s="456"/>
      <c r="WPD68" s="456"/>
      <c r="WPE68" s="456"/>
      <c r="WPF68" s="456"/>
      <c r="WPG68" s="456"/>
      <c r="WPH68" s="456"/>
      <c r="WPI68" s="456"/>
      <c r="WPJ68" s="456"/>
      <c r="WPK68" s="456"/>
      <c r="WPL68" s="456"/>
      <c r="WPM68" s="456"/>
      <c r="WPN68" s="456"/>
      <c r="WPO68" s="456"/>
      <c r="WPP68" s="456"/>
      <c r="WPQ68" s="456"/>
      <c r="WPR68" s="456"/>
      <c r="WPS68" s="456"/>
      <c r="WPT68" s="456"/>
      <c r="WPU68" s="456"/>
      <c r="WPV68" s="456"/>
      <c r="WPW68" s="456"/>
      <c r="WPX68" s="456"/>
      <c r="WPY68" s="456"/>
      <c r="WPZ68" s="456"/>
      <c r="WQA68" s="456"/>
      <c r="WQB68" s="456"/>
      <c r="WQC68" s="456"/>
      <c r="WQD68" s="456"/>
      <c r="WQE68" s="456"/>
      <c r="WQF68" s="456"/>
      <c r="WQG68" s="456"/>
      <c r="WQH68" s="456"/>
      <c r="WQI68" s="456"/>
      <c r="WQJ68" s="456"/>
      <c r="WQK68" s="456"/>
      <c r="WQL68" s="456"/>
      <c r="WQM68" s="456"/>
      <c r="WQN68" s="456"/>
      <c r="WQO68" s="456"/>
      <c r="WQP68" s="456"/>
      <c r="WQQ68" s="456"/>
      <c r="WQR68" s="456"/>
      <c r="WQS68" s="456"/>
      <c r="WQT68" s="456"/>
      <c r="WQU68" s="456"/>
      <c r="WQV68" s="456"/>
      <c r="WQW68" s="456"/>
      <c r="WQX68" s="456"/>
      <c r="WQY68" s="456"/>
      <c r="WQZ68" s="456"/>
      <c r="WRA68" s="456"/>
      <c r="WRB68" s="456"/>
      <c r="WRC68" s="456"/>
      <c r="WRD68" s="456"/>
      <c r="WRE68" s="456"/>
      <c r="WRF68" s="456"/>
      <c r="WRG68" s="456"/>
      <c r="WRH68" s="456"/>
      <c r="WRI68" s="456"/>
      <c r="WRJ68" s="456"/>
      <c r="WRK68" s="456"/>
      <c r="WRL68" s="456"/>
      <c r="WRM68" s="456"/>
      <c r="WRN68" s="456"/>
      <c r="WRO68" s="456"/>
      <c r="WRP68" s="456"/>
      <c r="WRQ68" s="456"/>
      <c r="WRR68" s="456"/>
      <c r="WRS68" s="456"/>
      <c r="WRT68" s="456"/>
      <c r="WRU68" s="456"/>
      <c r="WRV68" s="456"/>
      <c r="WRW68" s="456"/>
      <c r="WRX68" s="456"/>
      <c r="WRY68" s="456"/>
      <c r="WRZ68" s="456"/>
      <c r="WSA68" s="456"/>
      <c r="WSB68" s="456"/>
      <c r="WSC68" s="456"/>
      <c r="WSD68" s="456"/>
      <c r="WSE68" s="456"/>
      <c r="WSF68" s="456"/>
      <c r="WSG68" s="456"/>
      <c r="WSH68" s="456"/>
      <c r="WSI68" s="456"/>
      <c r="WSJ68" s="456"/>
      <c r="WSK68" s="456"/>
      <c r="WSL68" s="456"/>
      <c r="WSM68" s="456"/>
      <c r="WSN68" s="456"/>
      <c r="WSO68" s="456"/>
      <c r="WSP68" s="456"/>
      <c r="WSQ68" s="456"/>
      <c r="WSR68" s="456"/>
      <c r="WSS68" s="456"/>
      <c r="WST68" s="456"/>
      <c r="WSU68" s="456"/>
      <c r="WSV68" s="456"/>
      <c r="WSW68" s="456"/>
      <c r="WSX68" s="456"/>
      <c r="WSY68" s="456"/>
      <c r="WSZ68" s="456"/>
      <c r="WTA68" s="456"/>
      <c r="WTB68" s="456"/>
      <c r="WTC68" s="456"/>
      <c r="WTD68" s="456"/>
      <c r="WTE68" s="456"/>
      <c r="WTF68" s="456"/>
      <c r="WTG68" s="456"/>
      <c r="WTH68" s="456"/>
      <c r="WTI68" s="456"/>
      <c r="WTJ68" s="456"/>
      <c r="WTK68" s="456"/>
      <c r="WTL68" s="456"/>
      <c r="WTM68" s="456"/>
      <c r="WTN68" s="456"/>
      <c r="WTO68" s="456"/>
      <c r="WTP68" s="456"/>
      <c r="WTQ68" s="456"/>
      <c r="WTR68" s="456"/>
      <c r="WTS68" s="456"/>
      <c r="WTT68" s="456"/>
      <c r="WTU68" s="456"/>
      <c r="WTV68" s="456"/>
      <c r="WTW68" s="456"/>
      <c r="WTX68" s="456"/>
      <c r="WTY68" s="456"/>
      <c r="WTZ68" s="456"/>
      <c r="WUA68" s="456"/>
      <c r="WUB68" s="456"/>
      <c r="WUC68" s="456"/>
      <c r="WUD68" s="456"/>
      <c r="WUE68" s="456"/>
      <c r="WUF68" s="456"/>
      <c r="WUG68" s="456"/>
      <c r="WUH68" s="456"/>
      <c r="WUI68" s="456"/>
      <c r="WUJ68" s="456"/>
      <c r="WUK68" s="456"/>
      <c r="WUL68" s="456"/>
      <c r="WUM68" s="456"/>
      <c r="WUN68" s="456"/>
      <c r="WUO68" s="456"/>
      <c r="WUP68" s="456"/>
      <c r="WUQ68" s="456"/>
      <c r="WUR68" s="456"/>
      <c r="WUS68" s="456"/>
      <c r="WUT68" s="456"/>
      <c r="WUU68" s="456"/>
      <c r="WUV68" s="456"/>
      <c r="WUW68" s="456"/>
      <c r="WUX68" s="456"/>
      <c r="WUY68" s="456"/>
      <c r="WUZ68" s="456"/>
      <c r="WVA68" s="456"/>
      <c r="WVB68" s="456"/>
      <c r="WVC68" s="456"/>
      <c r="WVD68" s="456"/>
      <c r="WVE68" s="456"/>
      <c r="WVF68" s="456"/>
      <c r="WVG68" s="456"/>
      <c r="WVH68" s="456"/>
      <c r="WVI68" s="456"/>
      <c r="WVJ68" s="456"/>
      <c r="WVK68" s="456"/>
      <c r="WVL68" s="456"/>
      <c r="WVM68" s="456"/>
      <c r="WVN68" s="456"/>
      <c r="WVO68" s="456"/>
      <c r="WVP68" s="456"/>
      <c r="WVQ68" s="456"/>
      <c r="WVR68" s="456"/>
      <c r="WVS68" s="456"/>
      <c r="WVT68" s="456"/>
      <c r="WVU68" s="456"/>
      <c r="WVV68" s="456"/>
      <c r="WVW68" s="456"/>
      <c r="WVX68" s="456"/>
      <c r="WVY68" s="456"/>
      <c r="WVZ68" s="456"/>
      <c r="WWA68" s="456"/>
      <c r="WWB68" s="456"/>
      <c r="WWC68" s="456"/>
      <c r="WWD68" s="456"/>
      <c r="WWE68" s="456"/>
      <c r="WWF68" s="456"/>
      <c r="WWG68" s="456"/>
      <c r="WWH68" s="456"/>
      <c r="WWI68" s="456"/>
      <c r="WWJ68" s="456"/>
      <c r="WWK68" s="456"/>
      <c r="WWL68" s="456"/>
      <c r="WWM68" s="456"/>
      <c r="WWN68" s="456"/>
      <c r="WWO68" s="456"/>
      <c r="WWP68" s="456"/>
      <c r="WWQ68" s="456"/>
      <c r="WWR68" s="456"/>
      <c r="WWS68" s="456"/>
      <c r="WWT68" s="456"/>
      <c r="WWU68" s="456"/>
      <c r="WWV68" s="456"/>
      <c r="WWW68" s="456"/>
      <c r="WWX68" s="456"/>
      <c r="WWY68" s="456"/>
      <c r="WWZ68" s="456"/>
      <c r="WXA68" s="456"/>
      <c r="WXB68" s="456"/>
      <c r="WXC68" s="456"/>
      <c r="WXD68" s="456"/>
      <c r="WXE68" s="456"/>
      <c r="WXF68" s="456"/>
      <c r="WXG68" s="456"/>
      <c r="WXH68" s="456"/>
      <c r="WXI68" s="456"/>
      <c r="WXJ68" s="456"/>
      <c r="WXK68" s="456"/>
      <c r="WXL68" s="456"/>
      <c r="WXM68" s="456"/>
      <c r="WXN68" s="456"/>
      <c r="WXO68" s="456"/>
      <c r="WXP68" s="456"/>
      <c r="WXQ68" s="456"/>
      <c r="WXR68" s="456"/>
      <c r="WXS68" s="456"/>
      <c r="WXT68" s="456"/>
      <c r="WXU68" s="456"/>
      <c r="WXV68" s="456"/>
      <c r="WXW68" s="456"/>
      <c r="WXX68" s="456"/>
      <c r="WXY68" s="456"/>
      <c r="WXZ68" s="456"/>
      <c r="WYA68" s="456"/>
      <c r="WYB68" s="456"/>
      <c r="WYC68" s="456"/>
      <c r="WYD68" s="456"/>
      <c r="WYE68" s="456"/>
      <c r="WYF68" s="456"/>
      <c r="WYG68" s="456"/>
      <c r="WYH68" s="456"/>
      <c r="WYI68" s="456"/>
      <c r="WYJ68" s="456"/>
      <c r="WYK68" s="456"/>
      <c r="WYL68" s="456"/>
      <c r="WYM68" s="456"/>
      <c r="WYN68" s="456"/>
      <c r="WYO68" s="456"/>
      <c r="WYP68" s="456"/>
      <c r="WYQ68" s="456"/>
      <c r="WYR68" s="456"/>
      <c r="WYS68" s="456"/>
      <c r="WYT68" s="456"/>
      <c r="WYU68" s="456"/>
      <c r="WYV68" s="456"/>
      <c r="WYW68" s="456"/>
      <c r="WYX68" s="456"/>
      <c r="WYY68" s="456"/>
      <c r="WYZ68" s="456"/>
      <c r="WZA68" s="456"/>
      <c r="WZB68" s="456"/>
      <c r="WZC68" s="456"/>
      <c r="WZD68" s="456"/>
      <c r="WZE68" s="456"/>
      <c r="WZF68" s="456"/>
      <c r="WZG68" s="456"/>
      <c r="WZH68" s="456"/>
      <c r="WZI68" s="456"/>
      <c r="WZJ68" s="456"/>
      <c r="WZK68" s="456"/>
      <c r="WZL68" s="456"/>
      <c r="WZM68" s="456"/>
      <c r="WZN68" s="456"/>
      <c r="WZO68" s="456"/>
      <c r="WZP68" s="456"/>
      <c r="WZQ68" s="456"/>
      <c r="WZR68" s="456"/>
      <c r="WZS68" s="456"/>
      <c r="WZT68" s="456"/>
      <c r="WZU68" s="456"/>
      <c r="WZV68" s="456"/>
      <c r="WZW68" s="456"/>
      <c r="WZX68" s="456"/>
      <c r="WZY68" s="456"/>
      <c r="WZZ68" s="456"/>
      <c r="XAA68" s="456"/>
      <c r="XAB68" s="456"/>
      <c r="XAC68" s="456"/>
      <c r="XAD68" s="456"/>
      <c r="XAE68" s="456"/>
      <c r="XAF68" s="456"/>
      <c r="XAG68" s="456"/>
      <c r="XAH68" s="456"/>
      <c r="XAI68" s="456"/>
      <c r="XAJ68" s="456"/>
      <c r="XAK68" s="456"/>
      <c r="XAL68" s="456"/>
      <c r="XAM68" s="456"/>
      <c r="XAN68" s="456"/>
      <c r="XAO68" s="456"/>
      <c r="XAP68" s="456"/>
      <c r="XAQ68" s="456"/>
      <c r="XAR68" s="456"/>
      <c r="XAS68" s="456"/>
      <c r="XAT68" s="456"/>
      <c r="XAU68" s="456"/>
      <c r="XAV68" s="456"/>
      <c r="XAW68" s="456"/>
      <c r="XAX68" s="456"/>
      <c r="XAY68" s="456"/>
      <c r="XAZ68" s="456"/>
      <c r="XBA68" s="456"/>
      <c r="XBB68" s="456"/>
      <c r="XBC68" s="456"/>
      <c r="XBD68" s="456"/>
      <c r="XBE68" s="456"/>
      <c r="XBF68" s="456"/>
      <c r="XBG68" s="456"/>
      <c r="XBH68" s="456"/>
      <c r="XBI68" s="456"/>
      <c r="XBJ68" s="456"/>
      <c r="XBK68" s="456"/>
      <c r="XBL68" s="456"/>
      <c r="XBM68" s="456"/>
      <c r="XBN68" s="456"/>
      <c r="XBO68" s="456"/>
      <c r="XBP68" s="456"/>
      <c r="XBQ68" s="456"/>
      <c r="XBR68" s="456"/>
      <c r="XBS68" s="456"/>
      <c r="XBT68" s="456"/>
      <c r="XBU68" s="456"/>
      <c r="XBV68" s="456"/>
      <c r="XBW68" s="456"/>
      <c r="XBX68" s="456"/>
      <c r="XBY68" s="456"/>
      <c r="XBZ68" s="456"/>
      <c r="XCA68" s="456"/>
      <c r="XCB68" s="456"/>
      <c r="XCC68" s="456"/>
      <c r="XCD68" s="456"/>
      <c r="XCE68" s="456"/>
      <c r="XCF68" s="456"/>
      <c r="XCG68" s="456"/>
      <c r="XCH68" s="456"/>
      <c r="XCI68" s="456"/>
      <c r="XCJ68" s="456"/>
      <c r="XCK68" s="456"/>
      <c r="XCL68" s="456"/>
      <c r="XCM68" s="456"/>
      <c r="XCN68" s="456"/>
      <c r="XCO68" s="456"/>
      <c r="XCP68" s="456"/>
      <c r="XCQ68" s="456"/>
      <c r="XCR68" s="456"/>
      <c r="XCS68" s="456"/>
      <c r="XCT68" s="456"/>
      <c r="XCU68" s="456"/>
      <c r="XCV68" s="456"/>
      <c r="XCW68" s="456"/>
      <c r="XCX68" s="456"/>
      <c r="XCY68" s="456"/>
      <c r="XCZ68" s="456"/>
      <c r="XDA68" s="456"/>
      <c r="XDB68" s="456"/>
      <c r="XDC68" s="456"/>
      <c r="XDD68" s="456"/>
      <c r="XDE68" s="456"/>
      <c r="XDF68" s="456"/>
      <c r="XDG68" s="456"/>
      <c r="XDH68" s="456"/>
      <c r="XDI68" s="456"/>
      <c r="XDJ68" s="456"/>
      <c r="XDK68" s="456"/>
      <c r="XDL68" s="456"/>
      <c r="XDM68" s="456"/>
      <c r="XDN68" s="456"/>
      <c r="XDO68" s="456"/>
      <c r="XDP68" s="456"/>
      <c r="XDQ68" s="456"/>
      <c r="XDR68" s="456"/>
      <c r="XDS68" s="456"/>
      <c r="XDT68" s="456"/>
      <c r="XDU68" s="456"/>
      <c r="XDV68" s="456"/>
      <c r="XDW68" s="456"/>
      <c r="XDX68" s="456"/>
      <c r="XDY68" s="456"/>
      <c r="XDZ68" s="456"/>
      <c r="XEA68" s="456"/>
      <c r="XEB68" s="456"/>
      <c r="XEC68" s="456"/>
      <c r="XED68" s="456"/>
      <c r="XEE68" s="456"/>
      <c r="XEF68" s="456"/>
      <c r="XEG68" s="456"/>
      <c r="XEH68" s="456"/>
      <c r="XEI68" s="456"/>
      <c r="XEJ68" s="456"/>
      <c r="XEK68" s="456"/>
      <c r="XEL68" s="456"/>
      <c r="XEM68" s="456"/>
      <c r="XEN68" s="456"/>
    </row>
    <row r="69" spans="1:16368" s="144" customFormat="1" x14ac:dyDescent="0.2">
      <c r="A69" s="19"/>
      <c r="B69" s="178"/>
      <c r="C69" s="257"/>
      <c r="D69" s="43"/>
      <c r="E69" s="21"/>
      <c r="F69" s="72"/>
      <c r="G69" s="69"/>
      <c r="H69" s="69"/>
      <c r="I69" s="69"/>
      <c r="J69" s="50"/>
      <c r="K69" s="27"/>
      <c r="L69" s="169"/>
      <c r="M69" s="169"/>
      <c r="N69" s="346"/>
      <c r="O69" s="266">
        <f>1</f>
        <v>1</v>
      </c>
      <c r="P69" s="138"/>
      <c r="R69" s="146"/>
      <c r="S69" s="145"/>
      <c r="V69" s="265"/>
      <c r="W69" s="265" t="str">
        <f t="shared" si="6"/>
        <v/>
      </c>
      <c r="X69" s="138" t="str">
        <f t="shared" si="7"/>
        <v/>
      </c>
    </row>
    <row r="70" spans="1:16368" s="144" customFormat="1" ht="186" customHeight="1" x14ac:dyDescent="0.2">
      <c r="A70" s="19">
        <f>A66+1</f>
        <v>20</v>
      </c>
      <c r="B70" s="180" t="s">
        <v>249</v>
      </c>
      <c r="C70" s="143" t="s">
        <v>249</v>
      </c>
      <c r="D70" s="160" t="s">
        <v>250</v>
      </c>
      <c r="E70" s="149">
        <f>LEN(D70)</f>
        <v>294</v>
      </c>
      <c r="F70" s="155" t="s">
        <v>34</v>
      </c>
      <c r="G70" s="149" t="s">
        <v>23</v>
      </c>
      <c r="H70" s="149" t="s">
        <v>23</v>
      </c>
      <c r="I70" s="149" t="s">
        <v>35</v>
      </c>
      <c r="J70" s="170" t="s">
        <v>251</v>
      </c>
      <c r="K70" s="215" t="s">
        <v>23</v>
      </c>
      <c r="L70" s="170" t="s">
        <v>252</v>
      </c>
      <c r="M70" s="27"/>
      <c r="N70" s="10"/>
      <c r="O70" s="261">
        <f>1</f>
        <v>1</v>
      </c>
      <c r="P70" s="138"/>
      <c r="R70" s="406" t="s">
        <v>31</v>
      </c>
      <c r="S70" s="145"/>
      <c r="V70" s="264">
        <v>22.126214981079102</v>
      </c>
      <c r="W70" s="264">
        <f t="shared" si="6"/>
        <v>22.126214981079102</v>
      </c>
      <c r="X70" s="138">
        <f t="shared" si="7"/>
        <v>22.126214981079102</v>
      </c>
    </row>
    <row r="71" spans="1:16368" s="144" customFormat="1" x14ac:dyDescent="0.2">
      <c r="A71" s="19"/>
      <c r="B71" s="178"/>
      <c r="C71" s="63"/>
      <c r="D71" s="176"/>
      <c r="E71" s="21"/>
      <c r="F71" s="64"/>
      <c r="G71" s="21"/>
      <c r="H71" s="21"/>
      <c r="I71" s="21"/>
      <c r="J71" s="54"/>
      <c r="K71" s="27"/>
      <c r="L71" s="54"/>
      <c r="M71" s="54"/>
      <c r="N71" s="10"/>
      <c r="O71" s="266">
        <f>1</f>
        <v>1</v>
      </c>
      <c r="P71" s="138"/>
      <c r="R71" s="146"/>
      <c r="S71" s="145"/>
      <c r="V71" s="265"/>
      <c r="W71" s="265" t="str">
        <f t="shared" ref="W71:W102" si="9">IF(V71="","",V71*O71)</f>
        <v/>
      </c>
      <c r="X71" s="138" t="str">
        <f t="shared" ref="X71:X102" si="10">IF(R71="yes",W71,"")</f>
        <v/>
      </c>
    </row>
    <row r="72" spans="1:16368" s="144" customFormat="1" ht="408" customHeight="1" x14ac:dyDescent="0.2">
      <c r="A72" s="19">
        <f>A70+1</f>
        <v>21</v>
      </c>
      <c r="B72" s="180" t="s">
        <v>253</v>
      </c>
      <c r="C72" s="143" t="s">
        <v>253</v>
      </c>
      <c r="D72" s="160" t="s">
        <v>254</v>
      </c>
      <c r="E72" s="149">
        <f>LEN(D72)</f>
        <v>1218</v>
      </c>
      <c r="F72" s="155" t="s">
        <v>34</v>
      </c>
      <c r="G72" s="149" t="s">
        <v>23</v>
      </c>
      <c r="H72" s="149" t="s">
        <v>23</v>
      </c>
      <c r="I72" s="149" t="s">
        <v>255</v>
      </c>
      <c r="J72" s="140" t="s">
        <v>256</v>
      </c>
      <c r="K72" s="215" t="s">
        <v>23</v>
      </c>
      <c r="L72" s="147" t="s">
        <v>257</v>
      </c>
      <c r="M72" s="26"/>
      <c r="N72" s="10"/>
      <c r="O72" s="261">
        <f>1</f>
        <v>1</v>
      </c>
      <c r="P72" s="138"/>
      <c r="R72" s="406" t="s">
        <v>31</v>
      </c>
      <c r="S72" s="145"/>
      <c r="V72" s="264">
        <v>18.710653305053711</v>
      </c>
      <c r="W72" s="264">
        <f t="shared" si="9"/>
        <v>18.710653305053711</v>
      </c>
      <c r="X72" s="138">
        <f t="shared" si="10"/>
        <v>18.710653305053711</v>
      </c>
    </row>
    <row r="73" spans="1:16368" s="228" customFormat="1" ht="182.25" customHeight="1" x14ac:dyDescent="0.2">
      <c r="A73" s="19"/>
      <c r="B73" s="230" t="s">
        <v>258</v>
      </c>
      <c r="C73" s="235" t="s">
        <v>258</v>
      </c>
      <c r="D73" s="148" t="s">
        <v>223</v>
      </c>
      <c r="E73" s="141">
        <f>LEN(D73)</f>
        <v>143</v>
      </c>
      <c r="F73" s="143" t="s">
        <v>34</v>
      </c>
      <c r="G73" s="141" t="s">
        <v>23</v>
      </c>
      <c r="H73" s="141" t="s">
        <v>23</v>
      </c>
      <c r="I73" s="141" t="s">
        <v>35</v>
      </c>
      <c r="J73" s="140" t="s">
        <v>259</v>
      </c>
      <c r="K73" s="215" t="s">
        <v>23</v>
      </c>
      <c r="L73" s="147" t="s">
        <v>260</v>
      </c>
      <c r="M73" s="26"/>
      <c r="N73" s="25"/>
      <c r="O73" s="368">
        <f>1</f>
        <v>1</v>
      </c>
      <c r="P73" s="139"/>
      <c r="R73" s="410" t="s">
        <v>31</v>
      </c>
      <c r="S73" s="222"/>
      <c r="V73" s="268">
        <v>8</v>
      </c>
      <c r="W73" s="268">
        <f t="shared" si="9"/>
        <v>8</v>
      </c>
      <c r="X73" s="139">
        <f t="shared" si="10"/>
        <v>8</v>
      </c>
    </row>
    <row r="74" spans="1:16368" s="228" customFormat="1" ht="182.25" customHeight="1" x14ac:dyDescent="0.2">
      <c r="A74" s="19"/>
      <c r="B74" s="230" t="s">
        <v>261</v>
      </c>
      <c r="C74" s="235" t="s">
        <v>261</v>
      </c>
      <c r="D74" s="148" t="s">
        <v>227</v>
      </c>
      <c r="E74" s="141">
        <f>LEN(D74)</f>
        <v>170</v>
      </c>
      <c r="F74" s="143" t="s">
        <v>34</v>
      </c>
      <c r="G74" s="141" t="s">
        <v>23</v>
      </c>
      <c r="H74" s="141" t="s">
        <v>23</v>
      </c>
      <c r="I74" s="141" t="s">
        <v>35</v>
      </c>
      <c r="J74" s="140" t="s">
        <v>259</v>
      </c>
      <c r="K74" s="215" t="s">
        <v>23</v>
      </c>
      <c r="L74" s="147" t="s">
        <v>262</v>
      </c>
      <c r="M74" s="26"/>
      <c r="N74" s="25"/>
      <c r="O74" s="368">
        <f>1</f>
        <v>1</v>
      </c>
      <c r="P74" s="139"/>
      <c r="R74" s="410" t="s">
        <v>31</v>
      </c>
      <c r="S74" s="222"/>
      <c r="V74" s="268">
        <v>8</v>
      </c>
      <c r="W74" s="268">
        <f t="shared" si="9"/>
        <v>8</v>
      </c>
      <c r="X74" s="139">
        <f t="shared" si="10"/>
        <v>8</v>
      </c>
    </row>
    <row r="75" spans="1:16368" s="144" customFormat="1" ht="182.25" customHeight="1" x14ac:dyDescent="0.2">
      <c r="A75" s="19"/>
      <c r="B75" s="230" t="s">
        <v>263</v>
      </c>
      <c r="C75" s="235" t="s">
        <v>263</v>
      </c>
      <c r="D75" s="148" t="s">
        <v>230</v>
      </c>
      <c r="E75" s="141">
        <f>LEN(D75)</f>
        <v>176</v>
      </c>
      <c r="F75" s="143" t="s">
        <v>34</v>
      </c>
      <c r="G75" s="141" t="s">
        <v>23</v>
      </c>
      <c r="H75" s="141" t="s">
        <v>23</v>
      </c>
      <c r="I75" s="141" t="s">
        <v>35</v>
      </c>
      <c r="J75" s="140" t="s">
        <v>259</v>
      </c>
      <c r="K75" s="215" t="s">
        <v>23</v>
      </c>
      <c r="L75" s="147" t="s">
        <v>264</v>
      </c>
      <c r="M75" s="26"/>
      <c r="N75" s="25"/>
      <c r="O75" s="261">
        <f>1</f>
        <v>1</v>
      </c>
      <c r="P75" s="138"/>
      <c r="R75" s="406" t="s">
        <v>31</v>
      </c>
      <c r="S75" s="145"/>
      <c r="V75" s="264">
        <v>8</v>
      </c>
      <c r="W75" s="264">
        <f t="shared" si="9"/>
        <v>8</v>
      </c>
      <c r="X75" s="138">
        <f t="shared" si="10"/>
        <v>8</v>
      </c>
    </row>
    <row r="76" spans="1:16368" s="144" customFormat="1" x14ac:dyDescent="0.2">
      <c r="A76" s="62"/>
      <c r="B76" s="252"/>
      <c r="C76" s="257"/>
      <c r="D76" s="258"/>
      <c r="E76" s="69"/>
      <c r="F76" s="63"/>
      <c r="G76" s="69"/>
      <c r="H76" s="69"/>
      <c r="I76" s="69"/>
      <c r="J76" s="50"/>
      <c r="K76" s="27"/>
      <c r="L76" s="169"/>
      <c r="M76" s="169"/>
      <c r="N76" s="25"/>
      <c r="O76" s="266">
        <f>1</f>
        <v>1</v>
      </c>
      <c r="P76" s="138"/>
      <c r="R76" s="146"/>
      <c r="S76" s="145"/>
      <c r="V76" s="265"/>
      <c r="W76" s="265" t="str">
        <f t="shared" si="9"/>
        <v/>
      </c>
      <c r="X76" s="138" t="str">
        <f t="shared" si="10"/>
        <v/>
      </c>
    </row>
    <row r="77" spans="1:16368" s="144" customFormat="1" ht="124" customHeight="1" x14ac:dyDescent="0.2">
      <c r="A77" s="19">
        <v>19</v>
      </c>
      <c r="B77" s="178" t="s">
        <v>265</v>
      </c>
      <c r="C77" s="63" t="s">
        <v>265</v>
      </c>
      <c r="D77" s="43" t="s">
        <v>266</v>
      </c>
      <c r="E77" s="21">
        <f>LEN(D77)</f>
        <v>235</v>
      </c>
      <c r="F77" s="21" t="s">
        <v>108</v>
      </c>
      <c r="G77" s="21" t="s">
        <v>23</v>
      </c>
      <c r="H77" s="21" t="s">
        <v>23</v>
      </c>
      <c r="I77" s="21" t="s">
        <v>26</v>
      </c>
      <c r="J77" s="48" t="s">
        <v>267</v>
      </c>
      <c r="K77" s="44" t="s">
        <v>23</v>
      </c>
      <c r="L77" s="452" t="s">
        <v>268</v>
      </c>
      <c r="M77" s="452"/>
      <c r="N77" s="505" t="s">
        <v>236</v>
      </c>
      <c r="O77" s="266">
        <f>1</f>
        <v>1</v>
      </c>
      <c r="P77" s="138"/>
      <c r="R77" s="146" t="s">
        <v>22</v>
      </c>
      <c r="S77" s="145"/>
      <c r="V77" s="265">
        <v>23.200380325317379</v>
      </c>
      <c r="W77" s="265">
        <f t="shared" si="9"/>
        <v>23.200380325317379</v>
      </c>
      <c r="X77" s="138" t="str">
        <f t="shared" si="10"/>
        <v/>
      </c>
    </row>
    <row r="78" spans="1:16368" s="144" customFormat="1" ht="108.5" customHeight="1" x14ac:dyDescent="0.2">
      <c r="A78" s="19" t="e">
        <f>#REF!+1</f>
        <v>#REF!</v>
      </c>
      <c r="B78" s="178" t="s">
        <v>269</v>
      </c>
      <c r="C78" s="177" t="s">
        <v>269</v>
      </c>
      <c r="D78" s="43" t="s">
        <v>238</v>
      </c>
      <c r="E78" s="21">
        <f>LEN(D78)</f>
        <v>246</v>
      </c>
      <c r="F78" s="72" t="s">
        <v>34</v>
      </c>
      <c r="G78" s="69" t="s">
        <v>23</v>
      </c>
      <c r="H78" s="69" t="s">
        <v>23</v>
      </c>
      <c r="I78" s="69" t="s">
        <v>35</v>
      </c>
      <c r="J78" s="50" t="s">
        <v>270</v>
      </c>
      <c r="K78" s="44" t="s">
        <v>23</v>
      </c>
      <c r="L78" s="50" t="s">
        <v>271</v>
      </c>
      <c r="M78" s="50"/>
      <c r="N78" s="506"/>
      <c r="O78" s="266">
        <f>1</f>
        <v>1</v>
      </c>
      <c r="P78" s="138"/>
      <c r="R78" s="146" t="s">
        <v>22</v>
      </c>
      <c r="S78" s="145"/>
      <c r="V78" s="265">
        <v>1.9277389049530029</v>
      </c>
      <c r="W78" s="265">
        <f t="shared" si="9"/>
        <v>1.9277389049530029</v>
      </c>
      <c r="X78" s="138" t="str">
        <f t="shared" si="10"/>
        <v/>
      </c>
    </row>
    <row r="79" spans="1:16368" s="144" customFormat="1" ht="155" customHeight="1" x14ac:dyDescent="0.2">
      <c r="A79" s="62">
        <v>18</v>
      </c>
      <c r="B79" s="252" t="s">
        <v>272</v>
      </c>
      <c r="C79" s="257" t="s">
        <v>272</v>
      </c>
      <c r="D79" s="258" t="s">
        <v>242</v>
      </c>
      <c r="E79" s="69">
        <f>LEN(D79)</f>
        <v>181</v>
      </c>
      <c r="F79" s="63" t="s">
        <v>34</v>
      </c>
      <c r="G79" s="69" t="s">
        <v>23</v>
      </c>
      <c r="H79" s="69" t="s">
        <v>23</v>
      </c>
      <c r="I79" s="69" t="s">
        <v>35</v>
      </c>
      <c r="J79" s="50" t="s">
        <v>273</v>
      </c>
      <c r="K79" s="44" t="s">
        <v>23</v>
      </c>
      <c r="L79" s="169" t="s">
        <v>274</v>
      </c>
      <c r="M79" s="169"/>
      <c r="N79" s="25"/>
      <c r="O79" s="266">
        <f>1</f>
        <v>1</v>
      </c>
      <c r="P79" s="138"/>
      <c r="R79" s="146" t="s">
        <v>22</v>
      </c>
      <c r="S79" s="145"/>
      <c r="V79" s="265">
        <v>4.7874016761779794</v>
      </c>
      <c r="W79" s="265">
        <f t="shared" si="9"/>
        <v>4.7874016761779794</v>
      </c>
      <c r="X79" s="138" t="str">
        <f t="shared" si="10"/>
        <v/>
      </c>
    </row>
    <row r="80" spans="1:16368" s="144" customFormat="1" ht="139.5" customHeight="1" x14ac:dyDescent="0.2">
      <c r="A80" s="453"/>
      <c r="B80" s="178" t="s">
        <v>275</v>
      </c>
      <c r="C80" s="177" t="s">
        <v>275</v>
      </c>
      <c r="D80" s="454" t="s">
        <v>246</v>
      </c>
      <c r="E80" s="448">
        <f>LEN(D80)</f>
        <v>215</v>
      </c>
      <c r="F80" s="64" t="s">
        <v>34</v>
      </c>
      <c r="G80" s="21" t="s">
        <v>23</v>
      </c>
      <c r="H80" s="21" t="s">
        <v>23</v>
      </c>
      <c r="I80" s="21" t="s">
        <v>35</v>
      </c>
      <c r="J80" s="457" t="s">
        <v>276</v>
      </c>
      <c r="K80" s="44" t="s">
        <v>23</v>
      </c>
      <c r="L80" s="458" t="s">
        <v>277</v>
      </c>
      <c r="M80" s="459"/>
      <c r="N80" s="10"/>
      <c r="O80" s="266">
        <f>1</f>
        <v>1</v>
      </c>
      <c r="P80" s="138"/>
      <c r="Q80" s="456"/>
      <c r="R80" s="146" t="s">
        <v>22</v>
      </c>
      <c r="S80" s="145"/>
      <c r="T80" s="456"/>
      <c r="U80" s="456"/>
      <c r="V80" s="265">
        <v>20.918367385864261</v>
      </c>
      <c r="W80" s="265">
        <f t="shared" si="9"/>
        <v>20.918367385864261</v>
      </c>
      <c r="X80" s="138" t="str">
        <f t="shared" si="10"/>
        <v/>
      </c>
      <c r="Y80" s="456"/>
      <c r="Z80" s="456"/>
      <c r="AA80" s="456"/>
      <c r="AB80" s="456"/>
      <c r="AC80" s="456"/>
      <c r="AD80" s="456"/>
      <c r="AE80" s="456"/>
      <c r="AF80" s="456"/>
      <c r="AG80" s="456"/>
      <c r="AH80" s="456"/>
      <c r="AI80" s="456"/>
      <c r="AJ80" s="456"/>
      <c r="AK80" s="456"/>
      <c r="AL80" s="456"/>
      <c r="AM80" s="456"/>
      <c r="AN80" s="456"/>
      <c r="AO80" s="456"/>
      <c r="AP80" s="456"/>
      <c r="AQ80" s="456"/>
      <c r="AR80" s="456"/>
      <c r="AS80" s="456"/>
      <c r="AT80" s="456"/>
      <c r="AU80" s="456"/>
      <c r="AV80" s="456"/>
      <c r="AW80" s="456"/>
      <c r="AX80" s="456"/>
      <c r="AY80" s="456"/>
      <c r="AZ80" s="456"/>
      <c r="BA80" s="456"/>
      <c r="BB80" s="456"/>
      <c r="BC80" s="456"/>
      <c r="BD80" s="456"/>
      <c r="BE80" s="456"/>
      <c r="BF80" s="456"/>
      <c r="BG80" s="456"/>
      <c r="BH80" s="456"/>
      <c r="BI80" s="456"/>
      <c r="BJ80" s="456"/>
      <c r="BK80" s="456"/>
      <c r="BL80" s="456"/>
      <c r="BM80" s="456"/>
      <c r="BN80" s="456"/>
      <c r="BO80" s="456"/>
      <c r="BP80" s="456"/>
      <c r="BQ80" s="456"/>
      <c r="BR80" s="456"/>
      <c r="BS80" s="456"/>
      <c r="BT80" s="456"/>
      <c r="BU80" s="456"/>
      <c r="BV80" s="456"/>
      <c r="BW80" s="456"/>
      <c r="BX80" s="456"/>
      <c r="BY80" s="456"/>
      <c r="BZ80" s="456"/>
      <c r="CA80" s="456"/>
      <c r="CB80" s="456"/>
      <c r="CC80" s="456"/>
      <c r="CD80" s="456"/>
      <c r="CE80" s="456"/>
      <c r="CF80" s="456"/>
      <c r="CG80" s="456"/>
      <c r="CH80" s="456"/>
      <c r="CI80" s="456"/>
      <c r="CJ80" s="456"/>
      <c r="CK80" s="456"/>
      <c r="CL80" s="456"/>
      <c r="CM80" s="456"/>
      <c r="CN80" s="456"/>
      <c r="CO80" s="456"/>
      <c r="CP80" s="456"/>
      <c r="CQ80" s="456"/>
      <c r="CR80" s="456"/>
      <c r="CS80" s="456"/>
      <c r="CT80" s="456"/>
      <c r="CU80" s="456"/>
      <c r="CV80" s="456"/>
      <c r="CW80" s="456"/>
      <c r="CX80" s="456"/>
      <c r="CY80" s="456"/>
      <c r="CZ80" s="456"/>
      <c r="DA80" s="456"/>
      <c r="DB80" s="456"/>
      <c r="DC80" s="456"/>
      <c r="DD80" s="456"/>
      <c r="DE80" s="456"/>
      <c r="DF80" s="456"/>
      <c r="DG80" s="456"/>
      <c r="DH80" s="456"/>
      <c r="DI80" s="456"/>
      <c r="DJ80" s="456"/>
      <c r="DK80" s="456"/>
      <c r="DL80" s="456"/>
      <c r="DM80" s="456"/>
      <c r="DN80" s="456"/>
      <c r="DO80" s="456"/>
      <c r="DP80" s="456"/>
      <c r="DQ80" s="456"/>
      <c r="DR80" s="456"/>
      <c r="DS80" s="456"/>
      <c r="DT80" s="456"/>
      <c r="DU80" s="456"/>
      <c r="DV80" s="456"/>
      <c r="DW80" s="456"/>
      <c r="DX80" s="456"/>
      <c r="DY80" s="456"/>
      <c r="DZ80" s="456"/>
      <c r="EA80" s="456"/>
      <c r="EB80" s="456"/>
      <c r="EC80" s="456"/>
      <c r="ED80" s="456"/>
      <c r="EE80" s="456"/>
      <c r="EF80" s="456"/>
      <c r="EG80" s="456"/>
      <c r="EH80" s="456"/>
      <c r="EI80" s="456"/>
      <c r="EJ80" s="456"/>
      <c r="EK80" s="456"/>
      <c r="EL80" s="456"/>
      <c r="EM80" s="456"/>
      <c r="EN80" s="456"/>
      <c r="EO80" s="456"/>
      <c r="EP80" s="456"/>
      <c r="EQ80" s="456"/>
      <c r="ER80" s="456"/>
      <c r="ES80" s="456"/>
      <c r="ET80" s="456"/>
      <c r="EU80" s="456"/>
      <c r="EV80" s="456"/>
      <c r="EW80" s="456"/>
      <c r="EX80" s="456"/>
      <c r="EY80" s="456"/>
      <c r="EZ80" s="456"/>
      <c r="FA80" s="456"/>
      <c r="FB80" s="456"/>
      <c r="FC80" s="456"/>
      <c r="FD80" s="456"/>
      <c r="FE80" s="456"/>
      <c r="FF80" s="456"/>
      <c r="FG80" s="456"/>
      <c r="FH80" s="456"/>
      <c r="FI80" s="456"/>
      <c r="FJ80" s="456"/>
      <c r="FK80" s="456"/>
      <c r="FL80" s="456"/>
      <c r="FM80" s="456"/>
      <c r="FN80" s="456"/>
      <c r="FO80" s="456"/>
      <c r="FP80" s="456"/>
      <c r="FQ80" s="456"/>
      <c r="FR80" s="456"/>
      <c r="FS80" s="456"/>
      <c r="FT80" s="456"/>
      <c r="FU80" s="456"/>
      <c r="FV80" s="456"/>
      <c r="FW80" s="456"/>
      <c r="FX80" s="456"/>
      <c r="FY80" s="456"/>
      <c r="FZ80" s="456"/>
      <c r="GA80" s="456"/>
      <c r="GB80" s="456"/>
      <c r="GC80" s="456"/>
      <c r="GD80" s="456"/>
      <c r="GE80" s="456"/>
      <c r="GF80" s="456"/>
      <c r="GG80" s="456"/>
      <c r="GH80" s="456"/>
      <c r="GI80" s="456"/>
      <c r="GJ80" s="456"/>
      <c r="GK80" s="456"/>
      <c r="GL80" s="456"/>
      <c r="GM80" s="456"/>
      <c r="GN80" s="456"/>
      <c r="GO80" s="456"/>
      <c r="GP80" s="456"/>
      <c r="GQ80" s="456"/>
      <c r="GR80" s="456"/>
      <c r="GS80" s="456"/>
      <c r="GT80" s="456"/>
      <c r="GU80" s="456"/>
      <c r="GV80" s="456"/>
      <c r="GW80" s="456"/>
      <c r="GX80" s="456"/>
      <c r="GY80" s="456"/>
      <c r="GZ80" s="456"/>
      <c r="HA80" s="456"/>
      <c r="HB80" s="456"/>
      <c r="HC80" s="456"/>
      <c r="HD80" s="456"/>
      <c r="HE80" s="456"/>
      <c r="HF80" s="456"/>
      <c r="HG80" s="456"/>
      <c r="HH80" s="456"/>
      <c r="HI80" s="456"/>
      <c r="HJ80" s="456"/>
      <c r="HK80" s="456"/>
      <c r="HL80" s="456"/>
      <c r="HM80" s="456"/>
      <c r="HN80" s="456"/>
      <c r="HO80" s="456"/>
      <c r="HP80" s="456"/>
      <c r="HQ80" s="456"/>
      <c r="HR80" s="456"/>
      <c r="HS80" s="456"/>
      <c r="HT80" s="456"/>
      <c r="HU80" s="456"/>
      <c r="HV80" s="456"/>
      <c r="HW80" s="456"/>
      <c r="HX80" s="456"/>
      <c r="HY80" s="456"/>
      <c r="HZ80" s="456"/>
      <c r="IA80" s="456"/>
      <c r="IB80" s="456"/>
      <c r="IC80" s="456"/>
      <c r="ID80" s="456"/>
      <c r="IE80" s="456"/>
      <c r="IF80" s="456"/>
      <c r="IG80" s="456"/>
      <c r="IH80" s="456"/>
      <c r="II80" s="456"/>
      <c r="IJ80" s="456"/>
      <c r="IK80" s="456"/>
      <c r="IL80" s="456"/>
      <c r="IM80" s="456"/>
      <c r="IN80" s="456"/>
      <c r="IO80" s="456"/>
      <c r="IP80" s="456"/>
      <c r="IQ80" s="456"/>
      <c r="IR80" s="456"/>
      <c r="IS80" s="456"/>
      <c r="IT80" s="456"/>
      <c r="IU80" s="456"/>
      <c r="IV80" s="456"/>
      <c r="IW80" s="456"/>
      <c r="IX80" s="456"/>
      <c r="IY80" s="456"/>
      <c r="IZ80" s="456"/>
      <c r="JA80" s="456"/>
      <c r="JB80" s="456"/>
      <c r="JC80" s="456"/>
      <c r="JD80" s="456"/>
      <c r="JE80" s="456"/>
      <c r="JF80" s="456"/>
      <c r="JG80" s="456"/>
      <c r="JH80" s="456"/>
      <c r="JI80" s="456"/>
      <c r="JJ80" s="456"/>
      <c r="JK80" s="456"/>
      <c r="JL80" s="456"/>
      <c r="JM80" s="456"/>
      <c r="JN80" s="456"/>
      <c r="JO80" s="456"/>
      <c r="JP80" s="456"/>
      <c r="JQ80" s="456"/>
      <c r="JR80" s="456"/>
      <c r="JS80" s="456"/>
      <c r="JT80" s="456"/>
      <c r="JU80" s="456"/>
      <c r="JV80" s="456"/>
      <c r="JW80" s="456"/>
      <c r="JX80" s="456"/>
      <c r="JY80" s="456"/>
      <c r="JZ80" s="456"/>
      <c r="KA80" s="456"/>
      <c r="KB80" s="456"/>
      <c r="KC80" s="456"/>
      <c r="KD80" s="456"/>
      <c r="KE80" s="456"/>
      <c r="KF80" s="456"/>
      <c r="KG80" s="456"/>
      <c r="KH80" s="456"/>
      <c r="KI80" s="456"/>
      <c r="KJ80" s="456"/>
      <c r="KK80" s="456"/>
      <c r="KL80" s="456"/>
      <c r="KM80" s="456"/>
      <c r="KN80" s="456"/>
      <c r="KO80" s="456"/>
      <c r="KP80" s="456"/>
      <c r="KQ80" s="456"/>
      <c r="KR80" s="456"/>
      <c r="KS80" s="456"/>
      <c r="KT80" s="456"/>
      <c r="KU80" s="456"/>
      <c r="KV80" s="456"/>
      <c r="KW80" s="456"/>
      <c r="KX80" s="456"/>
      <c r="KY80" s="456"/>
      <c r="KZ80" s="456"/>
      <c r="LA80" s="456"/>
      <c r="LB80" s="456"/>
      <c r="LC80" s="456"/>
      <c r="LD80" s="456"/>
      <c r="LE80" s="456"/>
      <c r="LF80" s="456"/>
      <c r="LG80" s="456"/>
      <c r="LH80" s="456"/>
      <c r="LI80" s="456"/>
      <c r="LJ80" s="456"/>
      <c r="LK80" s="456"/>
      <c r="LL80" s="456"/>
      <c r="LM80" s="456"/>
      <c r="LN80" s="456"/>
      <c r="LO80" s="456"/>
      <c r="LP80" s="456"/>
      <c r="LQ80" s="456"/>
      <c r="LR80" s="456"/>
      <c r="LS80" s="456"/>
      <c r="LT80" s="456"/>
      <c r="LU80" s="456"/>
      <c r="LV80" s="456"/>
      <c r="LW80" s="456"/>
      <c r="LX80" s="456"/>
      <c r="LY80" s="456"/>
      <c r="LZ80" s="456"/>
      <c r="MA80" s="456"/>
      <c r="MB80" s="456"/>
      <c r="MC80" s="456"/>
      <c r="MD80" s="456"/>
      <c r="ME80" s="456"/>
      <c r="MF80" s="456"/>
      <c r="MG80" s="456"/>
      <c r="MH80" s="456"/>
      <c r="MI80" s="456"/>
      <c r="MJ80" s="456"/>
      <c r="MK80" s="456"/>
      <c r="ML80" s="456"/>
      <c r="MM80" s="456"/>
      <c r="MN80" s="456"/>
      <c r="MO80" s="456"/>
      <c r="MP80" s="456"/>
      <c r="MQ80" s="456"/>
      <c r="MR80" s="456"/>
      <c r="MS80" s="456"/>
      <c r="MT80" s="456"/>
      <c r="MU80" s="456"/>
      <c r="MV80" s="456"/>
      <c r="MW80" s="456"/>
      <c r="MX80" s="456"/>
      <c r="MY80" s="456"/>
      <c r="MZ80" s="456"/>
      <c r="NA80" s="456"/>
      <c r="NB80" s="456"/>
      <c r="NC80" s="456"/>
      <c r="ND80" s="456"/>
      <c r="NE80" s="456"/>
      <c r="NF80" s="456"/>
      <c r="NG80" s="456"/>
      <c r="NH80" s="456"/>
      <c r="NI80" s="456"/>
      <c r="NJ80" s="456"/>
      <c r="NK80" s="456"/>
      <c r="NL80" s="456"/>
      <c r="NM80" s="456"/>
      <c r="NN80" s="456"/>
      <c r="NO80" s="456"/>
      <c r="NP80" s="456"/>
      <c r="NQ80" s="456"/>
      <c r="NR80" s="456"/>
      <c r="NS80" s="456"/>
      <c r="NT80" s="456"/>
      <c r="NU80" s="456"/>
      <c r="NV80" s="456"/>
      <c r="NW80" s="456"/>
      <c r="NX80" s="456"/>
      <c r="NY80" s="456"/>
      <c r="NZ80" s="456"/>
      <c r="OA80" s="456"/>
      <c r="OB80" s="456"/>
      <c r="OC80" s="456"/>
      <c r="OD80" s="456"/>
      <c r="OE80" s="456"/>
      <c r="OF80" s="456"/>
      <c r="OG80" s="456"/>
      <c r="OH80" s="456"/>
      <c r="OI80" s="456"/>
      <c r="OJ80" s="456"/>
      <c r="OK80" s="456"/>
      <c r="OL80" s="456"/>
      <c r="OM80" s="456"/>
      <c r="ON80" s="456"/>
      <c r="OO80" s="456"/>
      <c r="OP80" s="456"/>
      <c r="OQ80" s="456"/>
      <c r="OR80" s="456"/>
      <c r="OS80" s="456"/>
      <c r="OT80" s="456"/>
      <c r="OU80" s="456"/>
      <c r="OV80" s="456"/>
      <c r="OW80" s="456"/>
      <c r="OX80" s="456"/>
      <c r="OY80" s="456"/>
      <c r="OZ80" s="456"/>
      <c r="PA80" s="456"/>
      <c r="PB80" s="456"/>
      <c r="PC80" s="456"/>
      <c r="PD80" s="456"/>
      <c r="PE80" s="456"/>
      <c r="PF80" s="456"/>
      <c r="PG80" s="456"/>
      <c r="PH80" s="456"/>
      <c r="PI80" s="456"/>
      <c r="PJ80" s="456"/>
      <c r="PK80" s="456"/>
      <c r="PL80" s="456"/>
      <c r="PM80" s="456"/>
      <c r="PN80" s="456"/>
      <c r="PO80" s="456"/>
      <c r="PP80" s="456"/>
      <c r="PQ80" s="456"/>
      <c r="PR80" s="456"/>
      <c r="PS80" s="456"/>
      <c r="PT80" s="456"/>
      <c r="PU80" s="456"/>
      <c r="PV80" s="456"/>
      <c r="PW80" s="456"/>
      <c r="PX80" s="456"/>
      <c r="PY80" s="456"/>
      <c r="PZ80" s="456"/>
      <c r="QA80" s="456"/>
      <c r="QB80" s="456"/>
      <c r="QC80" s="456"/>
      <c r="QD80" s="456"/>
      <c r="QE80" s="456"/>
      <c r="QF80" s="456"/>
      <c r="QG80" s="456"/>
      <c r="QH80" s="456"/>
      <c r="QI80" s="456"/>
      <c r="QJ80" s="456"/>
      <c r="QK80" s="456"/>
      <c r="QL80" s="456"/>
      <c r="QM80" s="456"/>
      <c r="QN80" s="456"/>
      <c r="QO80" s="456"/>
      <c r="QP80" s="456"/>
      <c r="QQ80" s="456"/>
      <c r="QR80" s="456"/>
      <c r="QS80" s="456"/>
      <c r="QT80" s="456"/>
      <c r="QU80" s="456"/>
      <c r="QV80" s="456"/>
      <c r="QW80" s="456"/>
      <c r="QX80" s="456"/>
      <c r="QY80" s="456"/>
      <c r="QZ80" s="456"/>
      <c r="RA80" s="456"/>
      <c r="RB80" s="456"/>
      <c r="RC80" s="456"/>
      <c r="RD80" s="456"/>
      <c r="RE80" s="456"/>
      <c r="RF80" s="456"/>
      <c r="RG80" s="456"/>
      <c r="RH80" s="456"/>
      <c r="RI80" s="456"/>
      <c r="RJ80" s="456"/>
      <c r="RK80" s="456"/>
      <c r="RL80" s="456"/>
      <c r="RM80" s="456"/>
      <c r="RN80" s="456"/>
      <c r="RO80" s="456"/>
      <c r="RP80" s="456"/>
      <c r="RQ80" s="456"/>
      <c r="RR80" s="456"/>
      <c r="RS80" s="456"/>
      <c r="RT80" s="456"/>
      <c r="RU80" s="456"/>
      <c r="RV80" s="456"/>
      <c r="RW80" s="456"/>
      <c r="RX80" s="456"/>
      <c r="RY80" s="456"/>
      <c r="RZ80" s="456"/>
      <c r="SA80" s="456"/>
      <c r="SB80" s="456"/>
      <c r="SC80" s="456"/>
      <c r="SD80" s="456"/>
      <c r="SE80" s="456"/>
      <c r="SF80" s="456"/>
      <c r="SG80" s="456"/>
      <c r="SH80" s="456"/>
      <c r="SI80" s="456"/>
      <c r="SJ80" s="456"/>
      <c r="SK80" s="456"/>
      <c r="SL80" s="456"/>
      <c r="SM80" s="456"/>
      <c r="SN80" s="456"/>
      <c r="SO80" s="456"/>
      <c r="SP80" s="456"/>
      <c r="SQ80" s="456"/>
      <c r="SR80" s="456"/>
      <c r="SS80" s="456"/>
      <c r="ST80" s="456"/>
      <c r="SU80" s="456"/>
      <c r="SV80" s="456"/>
      <c r="SW80" s="456"/>
      <c r="SX80" s="456"/>
      <c r="SY80" s="456"/>
      <c r="SZ80" s="456"/>
      <c r="TA80" s="456"/>
      <c r="TB80" s="456"/>
      <c r="TC80" s="456"/>
      <c r="TD80" s="456"/>
      <c r="TE80" s="456"/>
      <c r="TF80" s="456"/>
      <c r="TG80" s="456"/>
      <c r="TH80" s="456"/>
      <c r="TI80" s="456"/>
      <c r="TJ80" s="456"/>
      <c r="TK80" s="456"/>
      <c r="TL80" s="456"/>
      <c r="TM80" s="456"/>
      <c r="TN80" s="456"/>
      <c r="TO80" s="456"/>
      <c r="TP80" s="456"/>
      <c r="TQ80" s="456"/>
      <c r="TR80" s="456"/>
      <c r="TS80" s="456"/>
      <c r="TT80" s="456"/>
      <c r="TU80" s="456"/>
      <c r="TV80" s="456"/>
      <c r="TW80" s="456"/>
      <c r="TX80" s="456"/>
      <c r="TY80" s="456"/>
      <c r="TZ80" s="456"/>
      <c r="UA80" s="456"/>
      <c r="UB80" s="456"/>
      <c r="UC80" s="456"/>
      <c r="UD80" s="456"/>
      <c r="UE80" s="456"/>
      <c r="UF80" s="456"/>
      <c r="UG80" s="456"/>
      <c r="UH80" s="456"/>
      <c r="UI80" s="456"/>
      <c r="UJ80" s="456"/>
      <c r="UK80" s="456"/>
      <c r="UL80" s="456"/>
      <c r="UM80" s="456"/>
      <c r="UN80" s="456"/>
      <c r="UO80" s="456"/>
      <c r="UP80" s="456"/>
      <c r="UQ80" s="456"/>
      <c r="UR80" s="456"/>
      <c r="US80" s="456"/>
      <c r="UT80" s="456"/>
      <c r="UU80" s="456"/>
      <c r="UV80" s="456"/>
      <c r="UW80" s="456"/>
      <c r="UX80" s="456"/>
      <c r="UY80" s="456"/>
      <c r="UZ80" s="456"/>
      <c r="VA80" s="456"/>
      <c r="VB80" s="456"/>
      <c r="VC80" s="456"/>
      <c r="VD80" s="456"/>
      <c r="VE80" s="456"/>
      <c r="VF80" s="456"/>
      <c r="VG80" s="456"/>
      <c r="VH80" s="456"/>
      <c r="VI80" s="456"/>
      <c r="VJ80" s="456"/>
      <c r="VK80" s="456"/>
      <c r="VL80" s="456"/>
      <c r="VM80" s="456"/>
      <c r="VN80" s="456"/>
      <c r="VO80" s="456"/>
      <c r="VP80" s="456"/>
      <c r="VQ80" s="456"/>
      <c r="VR80" s="456"/>
      <c r="VS80" s="456"/>
      <c r="VT80" s="456"/>
      <c r="VU80" s="456"/>
      <c r="VV80" s="456"/>
      <c r="VW80" s="456"/>
      <c r="VX80" s="456"/>
      <c r="VY80" s="456"/>
      <c r="VZ80" s="456"/>
      <c r="WA80" s="456"/>
      <c r="WB80" s="456"/>
      <c r="WC80" s="456"/>
      <c r="WD80" s="456"/>
      <c r="WE80" s="456"/>
      <c r="WF80" s="456"/>
      <c r="WG80" s="456"/>
      <c r="WH80" s="456"/>
      <c r="WI80" s="456"/>
      <c r="WJ80" s="456"/>
      <c r="WK80" s="456"/>
      <c r="WL80" s="456"/>
      <c r="WM80" s="456"/>
      <c r="WN80" s="456"/>
      <c r="WO80" s="456"/>
      <c r="WP80" s="456"/>
      <c r="WQ80" s="456"/>
      <c r="WR80" s="456"/>
      <c r="WS80" s="456"/>
      <c r="WT80" s="456"/>
      <c r="WU80" s="456"/>
      <c r="WV80" s="456"/>
      <c r="WW80" s="456"/>
      <c r="WX80" s="456"/>
      <c r="WY80" s="456"/>
      <c r="WZ80" s="456"/>
      <c r="XA80" s="456"/>
      <c r="XB80" s="456"/>
      <c r="XC80" s="456"/>
      <c r="XD80" s="456"/>
      <c r="XE80" s="456"/>
      <c r="XF80" s="456"/>
      <c r="XG80" s="456"/>
      <c r="XH80" s="456"/>
      <c r="XI80" s="456"/>
      <c r="XJ80" s="456"/>
      <c r="XK80" s="456"/>
      <c r="XL80" s="456"/>
      <c r="XM80" s="456"/>
      <c r="XN80" s="456"/>
      <c r="XO80" s="456"/>
      <c r="XP80" s="456"/>
      <c r="XQ80" s="456"/>
      <c r="XR80" s="456"/>
      <c r="XS80" s="456"/>
      <c r="XT80" s="456"/>
      <c r="XU80" s="456"/>
      <c r="XV80" s="456"/>
      <c r="XW80" s="456"/>
      <c r="XX80" s="456"/>
      <c r="XY80" s="456"/>
      <c r="XZ80" s="456"/>
      <c r="YA80" s="456"/>
      <c r="YB80" s="456"/>
      <c r="YC80" s="456"/>
      <c r="YD80" s="456"/>
      <c r="YE80" s="456"/>
      <c r="YF80" s="456"/>
      <c r="YG80" s="456"/>
      <c r="YH80" s="456"/>
      <c r="YI80" s="456"/>
      <c r="YJ80" s="456"/>
      <c r="YK80" s="456"/>
      <c r="YL80" s="456"/>
      <c r="YM80" s="456"/>
      <c r="YN80" s="456"/>
      <c r="YO80" s="456"/>
      <c r="YP80" s="456"/>
      <c r="YQ80" s="456"/>
      <c r="YR80" s="456"/>
      <c r="YS80" s="456"/>
      <c r="YT80" s="456"/>
      <c r="YU80" s="456"/>
      <c r="YV80" s="456"/>
      <c r="YW80" s="456"/>
      <c r="YX80" s="456"/>
      <c r="YY80" s="456"/>
      <c r="YZ80" s="456"/>
      <c r="ZA80" s="456"/>
      <c r="ZB80" s="456"/>
      <c r="ZC80" s="456"/>
      <c r="ZD80" s="456"/>
      <c r="ZE80" s="456"/>
      <c r="ZF80" s="456"/>
      <c r="ZG80" s="456"/>
      <c r="ZH80" s="456"/>
      <c r="ZI80" s="456"/>
      <c r="ZJ80" s="456"/>
      <c r="ZK80" s="456"/>
      <c r="ZL80" s="456"/>
      <c r="ZM80" s="456"/>
      <c r="ZN80" s="456"/>
      <c r="ZO80" s="456"/>
      <c r="ZP80" s="456"/>
      <c r="ZQ80" s="456"/>
      <c r="ZR80" s="456"/>
      <c r="ZS80" s="456"/>
      <c r="ZT80" s="456"/>
      <c r="ZU80" s="456"/>
      <c r="ZV80" s="456"/>
      <c r="ZW80" s="456"/>
      <c r="ZX80" s="456"/>
      <c r="ZY80" s="456"/>
      <c r="ZZ80" s="456"/>
      <c r="AAA80" s="456"/>
      <c r="AAB80" s="456"/>
      <c r="AAC80" s="456"/>
      <c r="AAD80" s="456"/>
      <c r="AAE80" s="456"/>
      <c r="AAF80" s="456"/>
      <c r="AAG80" s="456"/>
      <c r="AAH80" s="456"/>
      <c r="AAI80" s="456"/>
      <c r="AAJ80" s="456"/>
      <c r="AAK80" s="456"/>
      <c r="AAL80" s="456"/>
      <c r="AAM80" s="456"/>
      <c r="AAN80" s="456"/>
      <c r="AAO80" s="456"/>
      <c r="AAP80" s="456"/>
      <c r="AAQ80" s="456"/>
      <c r="AAR80" s="456"/>
      <c r="AAS80" s="456"/>
      <c r="AAT80" s="456"/>
      <c r="AAU80" s="456"/>
      <c r="AAV80" s="456"/>
      <c r="AAW80" s="456"/>
      <c r="AAX80" s="456"/>
      <c r="AAY80" s="456"/>
      <c r="AAZ80" s="456"/>
      <c r="ABA80" s="456"/>
      <c r="ABB80" s="456"/>
      <c r="ABC80" s="456"/>
      <c r="ABD80" s="456"/>
      <c r="ABE80" s="456"/>
      <c r="ABF80" s="456"/>
      <c r="ABG80" s="456"/>
      <c r="ABH80" s="456"/>
      <c r="ABI80" s="456"/>
      <c r="ABJ80" s="456"/>
      <c r="ABK80" s="456"/>
      <c r="ABL80" s="456"/>
      <c r="ABM80" s="456"/>
      <c r="ABN80" s="456"/>
      <c r="ABO80" s="456"/>
      <c r="ABP80" s="456"/>
      <c r="ABQ80" s="456"/>
      <c r="ABR80" s="456"/>
      <c r="ABS80" s="456"/>
      <c r="ABT80" s="456"/>
      <c r="ABU80" s="456"/>
      <c r="ABV80" s="456"/>
      <c r="ABW80" s="456"/>
      <c r="ABX80" s="456"/>
      <c r="ABY80" s="456"/>
      <c r="ABZ80" s="456"/>
      <c r="ACA80" s="456"/>
      <c r="ACB80" s="456"/>
      <c r="ACC80" s="456"/>
      <c r="ACD80" s="456"/>
      <c r="ACE80" s="456"/>
      <c r="ACF80" s="456"/>
      <c r="ACG80" s="456"/>
      <c r="ACH80" s="456"/>
      <c r="ACI80" s="456"/>
      <c r="ACJ80" s="456"/>
      <c r="ACK80" s="456"/>
      <c r="ACL80" s="456"/>
      <c r="ACM80" s="456"/>
      <c r="ACN80" s="456"/>
      <c r="ACO80" s="456"/>
      <c r="ACP80" s="456"/>
      <c r="ACQ80" s="456"/>
      <c r="ACR80" s="456"/>
      <c r="ACS80" s="456"/>
      <c r="ACT80" s="456"/>
      <c r="ACU80" s="456"/>
      <c r="ACV80" s="456"/>
      <c r="ACW80" s="456"/>
      <c r="ACX80" s="456"/>
      <c r="ACY80" s="456"/>
      <c r="ACZ80" s="456"/>
      <c r="ADA80" s="456"/>
      <c r="ADB80" s="456"/>
      <c r="ADC80" s="456"/>
      <c r="ADD80" s="456"/>
      <c r="ADE80" s="456"/>
      <c r="ADF80" s="456"/>
      <c r="ADG80" s="456"/>
      <c r="ADH80" s="456"/>
      <c r="ADI80" s="456"/>
      <c r="ADJ80" s="456"/>
      <c r="ADK80" s="456"/>
      <c r="ADL80" s="456"/>
      <c r="ADM80" s="456"/>
      <c r="ADN80" s="456"/>
      <c r="ADO80" s="456"/>
      <c r="ADP80" s="456"/>
      <c r="ADQ80" s="456"/>
      <c r="ADR80" s="456"/>
      <c r="ADS80" s="456"/>
      <c r="ADT80" s="456"/>
      <c r="ADU80" s="456"/>
      <c r="ADV80" s="456"/>
      <c r="ADW80" s="456"/>
      <c r="ADX80" s="456"/>
      <c r="ADY80" s="456"/>
      <c r="ADZ80" s="456"/>
      <c r="AEA80" s="456"/>
      <c r="AEB80" s="456"/>
      <c r="AEC80" s="456"/>
      <c r="AED80" s="456"/>
      <c r="AEE80" s="456"/>
      <c r="AEF80" s="456"/>
      <c r="AEG80" s="456"/>
      <c r="AEH80" s="456"/>
      <c r="AEI80" s="456"/>
      <c r="AEJ80" s="456"/>
      <c r="AEK80" s="456"/>
      <c r="AEL80" s="456"/>
      <c r="AEM80" s="456"/>
      <c r="AEN80" s="456"/>
      <c r="AEO80" s="456"/>
      <c r="AEP80" s="456"/>
      <c r="AEQ80" s="456"/>
      <c r="AER80" s="456"/>
      <c r="AES80" s="456"/>
      <c r="AET80" s="456"/>
      <c r="AEU80" s="456"/>
      <c r="AEV80" s="456"/>
      <c r="AEW80" s="456"/>
      <c r="AEX80" s="456"/>
      <c r="AEY80" s="456"/>
      <c r="AEZ80" s="456"/>
      <c r="AFA80" s="456"/>
      <c r="AFB80" s="456"/>
      <c r="AFC80" s="456"/>
      <c r="AFD80" s="456"/>
      <c r="AFE80" s="456"/>
      <c r="AFF80" s="456"/>
      <c r="AFG80" s="456"/>
      <c r="AFH80" s="456"/>
      <c r="AFI80" s="456"/>
      <c r="AFJ80" s="456"/>
      <c r="AFK80" s="456"/>
      <c r="AFL80" s="456"/>
      <c r="AFM80" s="456"/>
      <c r="AFN80" s="456"/>
      <c r="AFO80" s="456"/>
      <c r="AFP80" s="456"/>
      <c r="AFQ80" s="456"/>
      <c r="AFR80" s="456"/>
      <c r="AFS80" s="456"/>
      <c r="AFT80" s="456"/>
      <c r="AFU80" s="456"/>
      <c r="AFV80" s="456"/>
      <c r="AFW80" s="456"/>
      <c r="AFX80" s="456"/>
      <c r="AFY80" s="456"/>
      <c r="AFZ80" s="456"/>
      <c r="AGA80" s="456"/>
      <c r="AGB80" s="456"/>
      <c r="AGC80" s="456"/>
      <c r="AGD80" s="456"/>
      <c r="AGE80" s="456"/>
      <c r="AGF80" s="456"/>
      <c r="AGG80" s="456"/>
      <c r="AGH80" s="456"/>
      <c r="AGI80" s="456"/>
      <c r="AGJ80" s="456"/>
      <c r="AGK80" s="456"/>
      <c r="AGL80" s="456"/>
      <c r="AGM80" s="456"/>
      <c r="AGN80" s="456"/>
      <c r="AGO80" s="456"/>
      <c r="AGP80" s="456"/>
      <c r="AGQ80" s="456"/>
      <c r="AGR80" s="456"/>
      <c r="AGS80" s="456"/>
      <c r="AGT80" s="456"/>
      <c r="AGU80" s="456"/>
      <c r="AGV80" s="456"/>
      <c r="AGW80" s="456"/>
      <c r="AGX80" s="456"/>
      <c r="AGY80" s="456"/>
      <c r="AGZ80" s="456"/>
      <c r="AHA80" s="456"/>
      <c r="AHB80" s="456"/>
      <c r="AHC80" s="456"/>
      <c r="AHD80" s="456"/>
      <c r="AHE80" s="456"/>
      <c r="AHF80" s="456"/>
      <c r="AHG80" s="456"/>
      <c r="AHH80" s="456"/>
      <c r="AHI80" s="456"/>
      <c r="AHJ80" s="456"/>
      <c r="AHK80" s="456"/>
      <c r="AHL80" s="456"/>
      <c r="AHM80" s="456"/>
      <c r="AHN80" s="456"/>
      <c r="AHO80" s="456"/>
      <c r="AHP80" s="456"/>
      <c r="AHQ80" s="456"/>
      <c r="AHR80" s="456"/>
      <c r="AHS80" s="456"/>
      <c r="AHT80" s="456"/>
      <c r="AHU80" s="456"/>
      <c r="AHV80" s="456"/>
      <c r="AHW80" s="456"/>
      <c r="AHX80" s="456"/>
      <c r="AHY80" s="456"/>
      <c r="AHZ80" s="456"/>
      <c r="AIA80" s="456"/>
      <c r="AIB80" s="456"/>
      <c r="AIC80" s="456"/>
      <c r="AID80" s="456"/>
      <c r="AIE80" s="456"/>
      <c r="AIF80" s="456"/>
      <c r="AIG80" s="456"/>
      <c r="AIH80" s="456"/>
      <c r="AII80" s="456"/>
      <c r="AIJ80" s="456"/>
      <c r="AIK80" s="456"/>
      <c r="AIL80" s="456"/>
      <c r="AIM80" s="456"/>
      <c r="AIN80" s="456"/>
      <c r="AIO80" s="456"/>
      <c r="AIP80" s="456"/>
      <c r="AIQ80" s="456"/>
      <c r="AIR80" s="456"/>
      <c r="AIS80" s="456"/>
      <c r="AIT80" s="456"/>
      <c r="AIU80" s="456"/>
      <c r="AIV80" s="456"/>
      <c r="AIW80" s="456"/>
      <c r="AIX80" s="456"/>
      <c r="AIY80" s="456"/>
      <c r="AIZ80" s="456"/>
      <c r="AJA80" s="456"/>
      <c r="AJB80" s="456"/>
      <c r="AJC80" s="456"/>
      <c r="AJD80" s="456"/>
      <c r="AJE80" s="456"/>
      <c r="AJF80" s="456"/>
      <c r="AJG80" s="456"/>
      <c r="AJH80" s="456"/>
      <c r="AJI80" s="456"/>
      <c r="AJJ80" s="456"/>
      <c r="AJK80" s="456"/>
      <c r="AJL80" s="456"/>
      <c r="AJM80" s="456"/>
      <c r="AJN80" s="456"/>
      <c r="AJO80" s="456"/>
      <c r="AJP80" s="456"/>
      <c r="AJQ80" s="456"/>
      <c r="AJR80" s="456"/>
      <c r="AJS80" s="456"/>
      <c r="AJT80" s="456"/>
      <c r="AJU80" s="456"/>
      <c r="AJV80" s="456"/>
      <c r="AJW80" s="456"/>
      <c r="AJX80" s="456"/>
      <c r="AJY80" s="456"/>
      <c r="AJZ80" s="456"/>
      <c r="AKA80" s="456"/>
      <c r="AKB80" s="456"/>
      <c r="AKC80" s="456"/>
      <c r="AKD80" s="456"/>
      <c r="AKE80" s="456"/>
      <c r="AKF80" s="456"/>
      <c r="AKG80" s="456"/>
      <c r="AKH80" s="456"/>
      <c r="AKI80" s="456"/>
      <c r="AKJ80" s="456"/>
      <c r="AKK80" s="456"/>
      <c r="AKL80" s="456"/>
      <c r="AKM80" s="456"/>
      <c r="AKN80" s="456"/>
      <c r="AKO80" s="456"/>
      <c r="AKP80" s="456"/>
      <c r="AKQ80" s="456"/>
      <c r="AKR80" s="456"/>
      <c r="AKS80" s="456"/>
      <c r="AKT80" s="456"/>
      <c r="AKU80" s="456"/>
      <c r="AKV80" s="456"/>
      <c r="AKW80" s="456"/>
      <c r="AKX80" s="456"/>
      <c r="AKY80" s="456"/>
      <c r="AKZ80" s="456"/>
      <c r="ALA80" s="456"/>
      <c r="ALB80" s="456"/>
      <c r="ALC80" s="456"/>
      <c r="ALD80" s="456"/>
      <c r="ALE80" s="456"/>
      <c r="ALF80" s="456"/>
      <c r="ALG80" s="456"/>
      <c r="ALH80" s="456"/>
      <c r="ALI80" s="456"/>
      <c r="ALJ80" s="456"/>
      <c r="ALK80" s="456"/>
      <c r="ALL80" s="456"/>
      <c r="ALM80" s="456"/>
      <c r="ALN80" s="456"/>
      <c r="ALO80" s="456"/>
      <c r="ALP80" s="456"/>
      <c r="ALQ80" s="456"/>
      <c r="ALR80" s="456"/>
      <c r="ALS80" s="456"/>
      <c r="ALT80" s="456"/>
      <c r="ALU80" s="456"/>
      <c r="ALV80" s="456"/>
      <c r="ALW80" s="456"/>
      <c r="ALX80" s="456"/>
      <c r="ALY80" s="456"/>
      <c r="ALZ80" s="456"/>
      <c r="AMA80" s="456"/>
      <c r="AMB80" s="456"/>
      <c r="AMC80" s="456"/>
      <c r="AMD80" s="456"/>
      <c r="AME80" s="456"/>
      <c r="AMF80" s="456"/>
      <c r="AMG80" s="456"/>
      <c r="AMH80" s="456"/>
      <c r="AMI80" s="456"/>
      <c r="AMJ80" s="456"/>
      <c r="AMK80" s="456"/>
      <c r="AML80" s="456"/>
      <c r="AMM80" s="456"/>
      <c r="AMN80" s="456"/>
      <c r="AMO80" s="456"/>
      <c r="AMP80" s="456"/>
      <c r="AMQ80" s="456"/>
      <c r="AMR80" s="456"/>
      <c r="AMS80" s="456"/>
      <c r="AMT80" s="456"/>
      <c r="AMU80" s="456"/>
      <c r="AMV80" s="456"/>
      <c r="AMW80" s="456"/>
      <c r="AMX80" s="456"/>
      <c r="AMY80" s="456"/>
      <c r="AMZ80" s="456"/>
      <c r="ANA80" s="456"/>
      <c r="ANB80" s="456"/>
      <c r="ANC80" s="456"/>
      <c r="AND80" s="456"/>
      <c r="ANE80" s="456"/>
      <c r="ANF80" s="456"/>
      <c r="ANG80" s="456"/>
      <c r="ANH80" s="456"/>
      <c r="ANI80" s="456"/>
      <c r="ANJ80" s="456"/>
      <c r="ANK80" s="456"/>
      <c r="ANL80" s="456"/>
      <c r="ANM80" s="456"/>
      <c r="ANN80" s="456"/>
      <c r="ANO80" s="456"/>
      <c r="ANP80" s="456"/>
      <c r="ANQ80" s="456"/>
      <c r="ANR80" s="456"/>
      <c r="ANS80" s="456"/>
      <c r="ANT80" s="456"/>
      <c r="ANU80" s="456"/>
      <c r="ANV80" s="456"/>
      <c r="ANW80" s="456"/>
      <c r="ANX80" s="456"/>
      <c r="ANY80" s="456"/>
      <c r="ANZ80" s="456"/>
      <c r="AOA80" s="456"/>
      <c r="AOB80" s="456"/>
      <c r="AOC80" s="456"/>
      <c r="AOD80" s="456"/>
      <c r="AOE80" s="456"/>
      <c r="AOF80" s="456"/>
      <c r="AOG80" s="456"/>
      <c r="AOH80" s="456"/>
      <c r="AOI80" s="456"/>
      <c r="AOJ80" s="456"/>
      <c r="AOK80" s="456"/>
      <c r="AOL80" s="456"/>
      <c r="AOM80" s="456"/>
      <c r="AON80" s="456"/>
      <c r="AOO80" s="456"/>
      <c r="AOP80" s="456"/>
      <c r="AOQ80" s="456"/>
      <c r="AOR80" s="456"/>
      <c r="AOS80" s="456"/>
      <c r="AOT80" s="456"/>
      <c r="AOU80" s="456"/>
      <c r="AOV80" s="456"/>
      <c r="AOW80" s="456"/>
      <c r="AOX80" s="456"/>
      <c r="AOY80" s="456"/>
      <c r="AOZ80" s="456"/>
      <c r="APA80" s="456"/>
      <c r="APB80" s="456"/>
      <c r="APC80" s="456"/>
      <c r="APD80" s="456"/>
      <c r="APE80" s="456"/>
      <c r="APF80" s="456"/>
      <c r="APG80" s="456"/>
      <c r="APH80" s="456"/>
      <c r="API80" s="456"/>
      <c r="APJ80" s="456"/>
      <c r="APK80" s="456"/>
      <c r="APL80" s="456"/>
      <c r="APM80" s="456"/>
      <c r="APN80" s="456"/>
      <c r="APO80" s="456"/>
      <c r="APP80" s="456"/>
      <c r="APQ80" s="456"/>
      <c r="APR80" s="456"/>
      <c r="APS80" s="456"/>
      <c r="APT80" s="456"/>
      <c r="APU80" s="456"/>
      <c r="APV80" s="456"/>
      <c r="APW80" s="456"/>
      <c r="APX80" s="456"/>
      <c r="APY80" s="456"/>
      <c r="APZ80" s="456"/>
      <c r="AQA80" s="456"/>
      <c r="AQB80" s="456"/>
      <c r="AQC80" s="456"/>
      <c r="AQD80" s="456"/>
      <c r="AQE80" s="456"/>
      <c r="AQF80" s="456"/>
      <c r="AQG80" s="456"/>
      <c r="AQH80" s="456"/>
      <c r="AQI80" s="456"/>
      <c r="AQJ80" s="456"/>
      <c r="AQK80" s="456"/>
      <c r="AQL80" s="456"/>
      <c r="AQM80" s="456"/>
      <c r="AQN80" s="456"/>
      <c r="AQO80" s="456"/>
      <c r="AQP80" s="456"/>
      <c r="AQQ80" s="456"/>
      <c r="AQR80" s="456"/>
      <c r="AQS80" s="456"/>
      <c r="AQT80" s="456"/>
      <c r="AQU80" s="456"/>
      <c r="AQV80" s="456"/>
      <c r="AQW80" s="456"/>
      <c r="AQX80" s="456"/>
      <c r="AQY80" s="456"/>
      <c r="AQZ80" s="456"/>
      <c r="ARA80" s="456"/>
      <c r="ARB80" s="456"/>
      <c r="ARC80" s="456"/>
      <c r="ARD80" s="456"/>
      <c r="ARE80" s="456"/>
      <c r="ARF80" s="456"/>
      <c r="ARG80" s="456"/>
      <c r="ARH80" s="456"/>
      <c r="ARI80" s="456"/>
      <c r="ARJ80" s="456"/>
      <c r="ARK80" s="456"/>
      <c r="ARL80" s="456"/>
      <c r="ARM80" s="456"/>
      <c r="ARN80" s="456"/>
      <c r="ARO80" s="456"/>
      <c r="ARP80" s="456"/>
      <c r="ARQ80" s="456"/>
      <c r="ARR80" s="456"/>
      <c r="ARS80" s="456"/>
      <c r="ART80" s="456"/>
      <c r="ARU80" s="456"/>
      <c r="ARV80" s="456"/>
      <c r="ARW80" s="456"/>
      <c r="ARX80" s="456"/>
      <c r="ARY80" s="456"/>
      <c r="ARZ80" s="456"/>
      <c r="ASA80" s="456"/>
      <c r="ASB80" s="456"/>
      <c r="ASC80" s="456"/>
      <c r="ASD80" s="456"/>
      <c r="ASE80" s="456"/>
      <c r="ASF80" s="456"/>
      <c r="ASG80" s="456"/>
      <c r="ASH80" s="456"/>
      <c r="ASI80" s="456"/>
      <c r="ASJ80" s="456"/>
      <c r="ASK80" s="456"/>
      <c r="ASL80" s="456"/>
      <c r="ASM80" s="456"/>
      <c r="ASN80" s="456"/>
      <c r="ASO80" s="456"/>
      <c r="ASP80" s="456"/>
      <c r="ASQ80" s="456"/>
      <c r="ASR80" s="456"/>
      <c r="ASS80" s="456"/>
      <c r="AST80" s="456"/>
      <c r="ASU80" s="456"/>
      <c r="ASV80" s="456"/>
      <c r="ASW80" s="456"/>
      <c r="ASX80" s="456"/>
      <c r="ASY80" s="456"/>
      <c r="ASZ80" s="456"/>
      <c r="ATA80" s="456"/>
      <c r="ATB80" s="456"/>
      <c r="ATC80" s="456"/>
      <c r="ATD80" s="456"/>
      <c r="ATE80" s="456"/>
      <c r="ATF80" s="456"/>
      <c r="ATG80" s="456"/>
      <c r="ATH80" s="456"/>
      <c r="ATI80" s="456"/>
      <c r="ATJ80" s="456"/>
      <c r="ATK80" s="456"/>
      <c r="ATL80" s="456"/>
      <c r="ATM80" s="456"/>
      <c r="ATN80" s="456"/>
      <c r="ATO80" s="456"/>
      <c r="ATP80" s="456"/>
      <c r="ATQ80" s="456"/>
      <c r="ATR80" s="456"/>
      <c r="ATS80" s="456"/>
      <c r="ATT80" s="456"/>
      <c r="ATU80" s="456"/>
      <c r="ATV80" s="456"/>
      <c r="ATW80" s="456"/>
      <c r="ATX80" s="456"/>
      <c r="ATY80" s="456"/>
      <c r="ATZ80" s="456"/>
      <c r="AUA80" s="456"/>
      <c r="AUB80" s="456"/>
      <c r="AUC80" s="456"/>
      <c r="AUD80" s="456"/>
      <c r="AUE80" s="456"/>
      <c r="AUF80" s="456"/>
      <c r="AUG80" s="456"/>
      <c r="AUH80" s="456"/>
      <c r="AUI80" s="456"/>
      <c r="AUJ80" s="456"/>
      <c r="AUK80" s="456"/>
      <c r="AUL80" s="456"/>
      <c r="AUM80" s="456"/>
      <c r="AUN80" s="456"/>
      <c r="AUO80" s="456"/>
      <c r="AUP80" s="456"/>
      <c r="AUQ80" s="456"/>
      <c r="AUR80" s="456"/>
      <c r="AUS80" s="456"/>
      <c r="AUT80" s="456"/>
      <c r="AUU80" s="456"/>
      <c r="AUV80" s="456"/>
      <c r="AUW80" s="456"/>
      <c r="AUX80" s="456"/>
      <c r="AUY80" s="456"/>
      <c r="AUZ80" s="456"/>
      <c r="AVA80" s="456"/>
      <c r="AVB80" s="456"/>
      <c r="AVC80" s="456"/>
      <c r="AVD80" s="456"/>
      <c r="AVE80" s="456"/>
      <c r="AVF80" s="456"/>
      <c r="AVG80" s="456"/>
      <c r="AVH80" s="456"/>
      <c r="AVI80" s="456"/>
      <c r="AVJ80" s="456"/>
      <c r="AVK80" s="456"/>
      <c r="AVL80" s="456"/>
      <c r="AVM80" s="456"/>
      <c r="AVN80" s="456"/>
      <c r="AVO80" s="456"/>
      <c r="AVP80" s="456"/>
      <c r="AVQ80" s="456"/>
      <c r="AVR80" s="456"/>
      <c r="AVS80" s="456"/>
      <c r="AVT80" s="456"/>
      <c r="AVU80" s="456"/>
      <c r="AVV80" s="456"/>
      <c r="AVW80" s="456"/>
      <c r="AVX80" s="456"/>
      <c r="AVY80" s="456"/>
      <c r="AVZ80" s="456"/>
      <c r="AWA80" s="456"/>
      <c r="AWB80" s="456"/>
      <c r="AWC80" s="456"/>
      <c r="AWD80" s="456"/>
      <c r="AWE80" s="456"/>
      <c r="AWF80" s="456"/>
      <c r="AWG80" s="456"/>
      <c r="AWH80" s="456"/>
      <c r="AWI80" s="456"/>
      <c r="AWJ80" s="456"/>
      <c r="AWK80" s="456"/>
      <c r="AWL80" s="456"/>
      <c r="AWM80" s="456"/>
      <c r="AWN80" s="456"/>
      <c r="AWO80" s="456"/>
      <c r="AWP80" s="456"/>
      <c r="AWQ80" s="456"/>
      <c r="AWR80" s="456"/>
      <c r="AWS80" s="456"/>
      <c r="AWT80" s="456"/>
      <c r="AWU80" s="456"/>
      <c r="AWV80" s="456"/>
      <c r="AWW80" s="456"/>
      <c r="AWX80" s="456"/>
      <c r="AWY80" s="456"/>
      <c r="AWZ80" s="456"/>
      <c r="AXA80" s="456"/>
      <c r="AXB80" s="456"/>
      <c r="AXC80" s="456"/>
      <c r="AXD80" s="456"/>
      <c r="AXE80" s="456"/>
      <c r="AXF80" s="456"/>
      <c r="AXG80" s="456"/>
      <c r="AXH80" s="456"/>
      <c r="AXI80" s="456"/>
      <c r="AXJ80" s="456"/>
      <c r="AXK80" s="456"/>
      <c r="AXL80" s="456"/>
      <c r="AXM80" s="456"/>
      <c r="AXN80" s="456"/>
      <c r="AXO80" s="456"/>
      <c r="AXP80" s="456"/>
      <c r="AXQ80" s="456"/>
      <c r="AXR80" s="456"/>
      <c r="AXS80" s="456"/>
      <c r="AXT80" s="456"/>
      <c r="AXU80" s="456"/>
      <c r="AXV80" s="456"/>
      <c r="AXW80" s="456"/>
      <c r="AXX80" s="456"/>
      <c r="AXY80" s="456"/>
      <c r="AXZ80" s="456"/>
      <c r="AYA80" s="456"/>
      <c r="AYB80" s="456"/>
      <c r="AYC80" s="456"/>
      <c r="AYD80" s="456"/>
      <c r="AYE80" s="456"/>
      <c r="AYF80" s="456"/>
      <c r="AYG80" s="456"/>
      <c r="AYH80" s="456"/>
      <c r="AYI80" s="456"/>
      <c r="AYJ80" s="456"/>
      <c r="AYK80" s="456"/>
      <c r="AYL80" s="456"/>
      <c r="AYM80" s="456"/>
      <c r="AYN80" s="456"/>
      <c r="AYO80" s="456"/>
      <c r="AYP80" s="456"/>
      <c r="AYQ80" s="456"/>
      <c r="AYR80" s="456"/>
      <c r="AYS80" s="456"/>
      <c r="AYT80" s="456"/>
      <c r="AYU80" s="456"/>
      <c r="AYV80" s="456"/>
      <c r="AYW80" s="456"/>
      <c r="AYX80" s="456"/>
      <c r="AYY80" s="456"/>
      <c r="AYZ80" s="456"/>
      <c r="AZA80" s="456"/>
      <c r="AZB80" s="456"/>
      <c r="AZC80" s="456"/>
      <c r="AZD80" s="456"/>
      <c r="AZE80" s="456"/>
      <c r="AZF80" s="456"/>
      <c r="AZG80" s="456"/>
      <c r="AZH80" s="456"/>
      <c r="AZI80" s="456"/>
      <c r="AZJ80" s="456"/>
      <c r="AZK80" s="456"/>
      <c r="AZL80" s="456"/>
      <c r="AZM80" s="456"/>
      <c r="AZN80" s="456"/>
      <c r="AZO80" s="456"/>
      <c r="AZP80" s="456"/>
      <c r="AZQ80" s="456"/>
      <c r="AZR80" s="456"/>
      <c r="AZS80" s="456"/>
      <c r="AZT80" s="456"/>
      <c r="AZU80" s="456"/>
      <c r="AZV80" s="456"/>
      <c r="AZW80" s="456"/>
      <c r="AZX80" s="456"/>
      <c r="AZY80" s="456"/>
      <c r="AZZ80" s="456"/>
      <c r="BAA80" s="456"/>
      <c r="BAB80" s="456"/>
      <c r="BAC80" s="456"/>
      <c r="BAD80" s="456"/>
      <c r="BAE80" s="456"/>
      <c r="BAF80" s="456"/>
      <c r="BAG80" s="456"/>
      <c r="BAH80" s="456"/>
      <c r="BAI80" s="456"/>
      <c r="BAJ80" s="456"/>
      <c r="BAK80" s="456"/>
      <c r="BAL80" s="456"/>
      <c r="BAM80" s="456"/>
      <c r="BAN80" s="456"/>
      <c r="BAO80" s="456"/>
      <c r="BAP80" s="456"/>
      <c r="BAQ80" s="456"/>
      <c r="BAR80" s="456"/>
      <c r="BAS80" s="456"/>
      <c r="BAT80" s="456"/>
      <c r="BAU80" s="456"/>
      <c r="BAV80" s="456"/>
      <c r="BAW80" s="456"/>
      <c r="BAX80" s="456"/>
      <c r="BAY80" s="456"/>
      <c r="BAZ80" s="456"/>
      <c r="BBA80" s="456"/>
      <c r="BBB80" s="456"/>
      <c r="BBC80" s="456"/>
      <c r="BBD80" s="456"/>
      <c r="BBE80" s="456"/>
      <c r="BBF80" s="456"/>
      <c r="BBG80" s="456"/>
      <c r="BBH80" s="456"/>
      <c r="BBI80" s="456"/>
      <c r="BBJ80" s="456"/>
      <c r="BBK80" s="456"/>
      <c r="BBL80" s="456"/>
      <c r="BBM80" s="456"/>
      <c r="BBN80" s="456"/>
      <c r="BBO80" s="456"/>
      <c r="BBP80" s="456"/>
      <c r="BBQ80" s="456"/>
      <c r="BBR80" s="456"/>
      <c r="BBS80" s="456"/>
      <c r="BBT80" s="456"/>
      <c r="BBU80" s="456"/>
      <c r="BBV80" s="456"/>
      <c r="BBW80" s="456"/>
      <c r="BBX80" s="456"/>
      <c r="BBY80" s="456"/>
      <c r="BBZ80" s="456"/>
      <c r="BCA80" s="456"/>
      <c r="BCB80" s="456"/>
      <c r="BCC80" s="456"/>
      <c r="BCD80" s="456"/>
      <c r="BCE80" s="456"/>
      <c r="BCF80" s="456"/>
      <c r="BCG80" s="456"/>
      <c r="BCH80" s="456"/>
      <c r="BCI80" s="456"/>
      <c r="BCJ80" s="456"/>
      <c r="BCK80" s="456"/>
      <c r="BCL80" s="456"/>
      <c r="BCM80" s="456"/>
      <c r="BCN80" s="456"/>
      <c r="BCO80" s="456"/>
      <c r="BCP80" s="456"/>
      <c r="BCQ80" s="456"/>
      <c r="BCR80" s="456"/>
      <c r="BCS80" s="456"/>
      <c r="BCT80" s="456"/>
      <c r="BCU80" s="456"/>
      <c r="BCV80" s="456"/>
      <c r="BCW80" s="456"/>
      <c r="BCX80" s="456"/>
      <c r="BCY80" s="456"/>
      <c r="BCZ80" s="456"/>
      <c r="BDA80" s="456"/>
      <c r="BDB80" s="456"/>
      <c r="BDC80" s="456"/>
      <c r="BDD80" s="456"/>
      <c r="BDE80" s="456"/>
      <c r="BDF80" s="456"/>
      <c r="BDG80" s="456"/>
      <c r="BDH80" s="456"/>
      <c r="BDI80" s="456"/>
      <c r="BDJ80" s="456"/>
      <c r="BDK80" s="456"/>
      <c r="BDL80" s="456"/>
      <c r="BDM80" s="456"/>
      <c r="BDN80" s="456"/>
      <c r="BDO80" s="456"/>
      <c r="BDP80" s="456"/>
      <c r="BDQ80" s="456"/>
      <c r="BDR80" s="456"/>
      <c r="BDS80" s="456"/>
      <c r="BDT80" s="456"/>
      <c r="BDU80" s="456"/>
      <c r="BDV80" s="456"/>
      <c r="BDW80" s="456"/>
      <c r="BDX80" s="456"/>
      <c r="BDY80" s="456"/>
      <c r="BDZ80" s="456"/>
      <c r="BEA80" s="456"/>
      <c r="BEB80" s="456"/>
      <c r="BEC80" s="456"/>
      <c r="BED80" s="456"/>
      <c r="BEE80" s="456"/>
      <c r="BEF80" s="456"/>
      <c r="BEG80" s="456"/>
      <c r="BEH80" s="456"/>
      <c r="BEI80" s="456"/>
      <c r="BEJ80" s="456"/>
      <c r="BEK80" s="456"/>
      <c r="BEL80" s="456"/>
      <c r="BEM80" s="456"/>
      <c r="BEN80" s="456"/>
      <c r="BEO80" s="456"/>
      <c r="BEP80" s="456"/>
      <c r="BEQ80" s="456"/>
      <c r="BER80" s="456"/>
      <c r="BES80" s="456"/>
      <c r="BET80" s="456"/>
      <c r="BEU80" s="456"/>
      <c r="BEV80" s="456"/>
      <c r="BEW80" s="456"/>
      <c r="BEX80" s="456"/>
      <c r="BEY80" s="456"/>
      <c r="BEZ80" s="456"/>
      <c r="BFA80" s="456"/>
      <c r="BFB80" s="456"/>
      <c r="BFC80" s="456"/>
      <c r="BFD80" s="456"/>
      <c r="BFE80" s="456"/>
      <c r="BFF80" s="456"/>
      <c r="BFG80" s="456"/>
      <c r="BFH80" s="456"/>
      <c r="BFI80" s="456"/>
      <c r="BFJ80" s="456"/>
      <c r="BFK80" s="456"/>
      <c r="BFL80" s="456"/>
      <c r="BFM80" s="456"/>
      <c r="BFN80" s="456"/>
      <c r="BFO80" s="456"/>
      <c r="BFP80" s="456"/>
      <c r="BFQ80" s="456"/>
      <c r="BFR80" s="456"/>
      <c r="BFS80" s="456"/>
      <c r="BFT80" s="456"/>
      <c r="BFU80" s="456"/>
      <c r="BFV80" s="456"/>
      <c r="BFW80" s="456"/>
      <c r="BFX80" s="456"/>
      <c r="BFY80" s="456"/>
      <c r="BFZ80" s="456"/>
      <c r="BGA80" s="456"/>
      <c r="BGB80" s="456"/>
      <c r="BGC80" s="456"/>
      <c r="BGD80" s="456"/>
      <c r="BGE80" s="456"/>
      <c r="BGF80" s="456"/>
      <c r="BGG80" s="456"/>
      <c r="BGH80" s="456"/>
      <c r="BGI80" s="456"/>
      <c r="BGJ80" s="456"/>
      <c r="BGK80" s="456"/>
      <c r="BGL80" s="456"/>
      <c r="BGM80" s="456"/>
      <c r="BGN80" s="456"/>
      <c r="BGO80" s="456"/>
      <c r="BGP80" s="456"/>
      <c r="BGQ80" s="456"/>
      <c r="BGR80" s="456"/>
      <c r="BGS80" s="456"/>
      <c r="BGT80" s="456"/>
      <c r="BGU80" s="456"/>
      <c r="BGV80" s="456"/>
      <c r="BGW80" s="456"/>
      <c r="BGX80" s="456"/>
      <c r="BGY80" s="456"/>
      <c r="BGZ80" s="456"/>
      <c r="BHA80" s="456"/>
      <c r="BHB80" s="456"/>
      <c r="BHC80" s="456"/>
      <c r="BHD80" s="456"/>
      <c r="BHE80" s="456"/>
      <c r="BHF80" s="456"/>
      <c r="BHG80" s="456"/>
      <c r="BHH80" s="456"/>
      <c r="BHI80" s="456"/>
      <c r="BHJ80" s="456"/>
      <c r="BHK80" s="456"/>
      <c r="BHL80" s="456"/>
      <c r="BHM80" s="456"/>
      <c r="BHN80" s="456"/>
      <c r="BHO80" s="456"/>
      <c r="BHP80" s="456"/>
      <c r="BHQ80" s="456"/>
      <c r="BHR80" s="456"/>
      <c r="BHS80" s="456"/>
      <c r="BHT80" s="456"/>
      <c r="BHU80" s="456"/>
      <c r="BHV80" s="456"/>
      <c r="BHW80" s="456"/>
      <c r="BHX80" s="456"/>
      <c r="BHY80" s="456"/>
      <c r="BHZ80" s="456"/>
      <c r="BIA80" s="456"/>
      <c r="BIB80" s="456"/>
      <c r="BIC80" s="456"/>
      <c r="BID80" s="456"/>
      <c r="BIE80" s="456"/>
      <c r="BIF80" s="456"/>
      <c r="BIG80" s="456"/>
      <c r="BIH80" s="456"/>
      <c r="BII80" s="456"/>
      <c r="BIJ80" s="456"/>
      <c r="BIK80" s="456"/>
      <c r="BIL80" s="456"/>
      <c r="BIM80" s="456"/>
      <c r="BIN80" s="456"/>
      <c r="BIO80" s="456"/>
      <c r="BIP80" s="456"/>
      <c r="BIQ80" s="456"/>
      <c r="BIR80" s="456"/>
      <c r="BIS80" s="456"/>
      <c r="BIT80" s="456"/>
      <c r="BIU80" s="456"/>
      <c r="BIV80" s="456"/>
      <c r="BIW80" s="456"/>
      <c r="BIX80" s="456"/>
      <c r="BIY80" s="456"/>
      <c r="BIZ80" s="456"/>
      <c r="BJA80" s="456"/>
      <c r="BJB80" s="456"/>
      <c r="BJC80" s="456"/>
      <c r="BJD80" s="456"/>
      <c r="BJE80" s="456"/>
      <c r="BJF80" s="456"/>
      <c r="BJG80" s="456"/>
      <c r="BJH80" s="456"/>
      <c r="BJI80" s="456"/>
      <c r="BJJ80" s="456"/>
      <c r="BJK80" s="456"/>
      <c r="BJL80" s="456"/>
      <c r="BJM80" s="456"/>
      <c r="BJN80" s="456"/>
      <c r="BJO80" s="456"/>
      <c r="BJP80" s="456"/>
      <c r="BJQ80" s="456"/>
      <c r="BJR80" s="456"/>
      <c r="BJS80" s="456"/>
      <c r="BJT80" s="456"/>
      <c r="BJU80" s="456"/>
      <c r="BJV80" s="456"/>
      <c r="BJW80" s="456"/>
      <c r="BJX80" s="456"/>
      <c r="BJY80" s="456"/>
      <c r="BJZ80" s="456"/>
      <c r="BKA80" s="456"/>
      <c r="BKB80" s="456"/>
      <c r="BKC80" s="456"/>
      <c r="BKD80" s="456"/>
      <c r="BKE80" s="456"/>
      <c r="BKF80" s="456"/>
      <c r="BKG80" s="456"/>
      <c r="BKH80" s="456"/>
      <c r="BKI80" s="456"/>
      <c r="BKJ80" s="456"/>
      <c r="BKK80" s="456"/>
      <c r="BKL80" s="456"/>
      <c r="BKM80" s="456"/>
      <c r="BKN80" s="456"/>
      <c r="BKO80" s="456"/>
      <c r="BKP80" s="456"/>
      <c r="BKQ80" s="456"/>
      <c r="BKR80" s="456"/>
      <c r="BKS80" s="456"/>
      <c r="BKT80" s="456"/>
      <c r="BKU80" s="456"/>
      <c r="BKV80" s="456"/>
      <c r="BKW80" s="456"/>
      <c r="BKX80" s="456"/>
      <c r="BKY80" s="456"/>
      <c r="BKZ80" s="456"/>
      <c r="BLA80" s="456"/>
      <c r="BLB80" s="456"/>
      <c r="BLC80" s="456"/>
      <c r="BLD80" s="456"/>
      <c r="BLE80" s="456"/>
      <c r="BLF80" s="456"/>
      <c r="BLG80" s="456"/>
      <c r="BLH80" s="456"/>
      <c r="BLI80" s="456"/>
      <c r="BLJ80" s="456"/>
      <c r="BLK80" s="456"/>
      <c r="BLL80" s="456"/>
      <c r="BLM80" s="456"/>
      <c r="BLN80" s="456"/>
      <c r="BLO80" s="456"/>
      <c r="BLP80" s="456"/>
      <c r="BLQ80" s="456"/>
      <c r="BLR80" s="456"/>
      <c r="BLS80" s="456"/>
      <c r="BLT80" s="456"/>
      <c r="BLU80" s="456"/>
      <c r="BLV80" s="456"/>
      <c r="BLW80" s="456"/>
      <c r="BLX80" s="456"/>
      <c r="BLY80" s="456"/>
      <c r="BLZ80" s="456"/>
      <c r="BMA80" s="456"/>
      <c r="BMB80" s="456"/>
      <c r="BMC80" s="456"/>
      <c r="BMD80" s="456"/>
      <c r="BME80" s="456"/>
      <c r="BMF80" s="456"/>
      <c r="BMG80" s="456"/>
      <c r="BMH80" s="456"/>
      <c r="BMI80" s="456"/>
      <c r="BMJ80" s="456"/>
      <c r="BMK80" s="456"/>
      <c r="BML80" s="456"/>
      <c r="BMM80" s="456"/>
      <c r="BMN80" s="456"/>
      <c r="BMO80" s="456"/>
      <c r="BMP80" s="456"/>
      <c r="BMQ80" s="456"/>
      <c r="BMR80" s="456"/>
      <c r="BMS80" s="456"/>
      <c r="BMT80" s="456"/>
      <c r="BMU80" s="456"/>
      <c r="BMV80" s="456"/>
      <c r="BMW80" s="456"/>
      <c r="BMX80" s="456"/>
      <c r="BMY80" s="456"/>
      <c r="BMZ80" s="456"/>
      <c r="BNA80" s="456"/>
      <c r="BNB80" s="456"/>
      <c r="BNC80" s="456"/>
      <c r="BND80" s="456"/>
      <c r="BNE80" s="456"/>
      <c r="BNF80" s="456"/>
      <c r="BNG80" s="456"/>
      <c r="BNH80" s="456"/>
      <c r="BNI80" s="456"/>
      <c r="BNJ80" s="456"/>
      <c r="BNK80" s="456"/>
      <c r="BNL80" s="456"/>
      <c r="BNM80" s="456"/>
      <c r="BNN80" s="456"/>
      <c r="BNO80" s="456"/>
      <c r="BNP80" s="456"/>
      <c r="BNQ80" s="456"/>
      <c r="BNR80" s="456"/>
      <c r="BNS80" s="456"/>
      <c r="BNT80" s="456"/>
      <c r="BNU80" s="456"/>
      <c r="BNV80" s="456"/>
      <c r="BNW80" s="456"/>
      <c r="BNX80" s="456"/>
      <c r="BNY80" s="456"/>
      <c r="BNZ80" s="456"/>
      <c r="BOA80" s="456"/>
      <c r="BOB80" s="456"/>
      <c r="BOC80" s="456"/>
      <c r="BOD80" s="456"/>
      <c r="BOE80" s="456"/>
      <c r="BOF80" s="456"/>
      <c r="BOG80" s="456"/>
      <c r="BOH80" s="456"/>
      <c r="BOI80" s="456"/>
      <c r="BOJ80" s="456"/>
      <c r="BOK80" s="456"/>
      <c r="BOL80" s="456"/>
      <c r="BOM80" s="456"/>
      <c r="BON80" s="456"/>
      <c r="BOO80" s="456"/>
      <c r="BOP80" s="456"/>
      <c r="BOQ80" s="456"/>
      <c r="BOR80" s="456"/>
      <c r="BOS80" s="456"/>
      <c r="BOT80" s="456"/>
      <c r="BOU80" s="456"/>
      <c r="BOV80" s="456"/>
      <c r="BOW80" s="456"/>
      <c r="BOX80" s="456"/>
      <c r="BOY80" s="456"/>
      <c r="BOZ80" s="456"/>
      <c r="BPA80" s="456"/>
      <c r="BPB80" s="456"/>
      <c r="BPC80" s="456"/>
      <c r="BPD80" s="456"/>
      <c r="BPE80" s="456"/>
      <c r="BPF80" s="456"/>
      <c r="BPG80" s="456"/>
      <c r="BPH80" s="456"/>
      <c r="BPI80" s="456"/>
      <c r="BPJ80" s="456"/>
      <c r="BPK80" s="456"/>
      <c r="BPL80" s="456"/>
      <c r="BPM80" s="456"/>
      <c r="BPN80" s="456"/>
      <c r="BPO80" s="456"/>
      <c r="BPP80" s="456"/>
      <c r="BPQ80" s="456"/>
      <c r="BPR80" s="456"/>
      <c r="BPS80" s="456"/>
      <c r="BPT80" s="456"/>
      <c r="BPU80" s="456"/>
      <c r="BPV80" s="456"/>
      <c r="BPW80" s="456"/>
      <c r="BPX80" s="456"/>
      <c r="BPY80" s="456"/>
      <c r="BPZ80" s="456"/>
      <c r="BQA80" s="456"/>
      <c r="BQB80" s="456"/>
      <c r="BQC80" s="456"/>
      <c r="BQD80" s="456"/>
      <c r="BQE80" s="456"/>
      <c r="BQF80" s="456"/>
      <c r="BQG80" s="456"/>
      <c r="BQH80" s="456"/>
      <c r="BQI80" s="456"/>
      <c r="BQJ80" s="456"/>
      <c r="BQK80" s="456"/>
      <c r="BQL80" s="456"/>
      <c r="BQM80" s="456"/>
      <c r="BQN80" s="456"/>
      <c r="BQO80" s="456"/>
      <c r="BQP80" s="456"/>
      <c r="BQQ80" s="456"/>
      <c r="BQR80" s="456"/>
      <c r="BQS80" s="456"/>
      <c r="BQT80" s="456"/>
      <c r="BQU80" s="456"/>
      <c r="BQV80" s="456"/>
      <c r="BQW80" s="456"/>
      <c r="BQX80" s="456"/>
      <c r="BQY80" s="456"/>
      <c r="BQZ80" s="456"/>
      <c r="BRA80" s="456"/>
      <c r="BRB80" s="456"/>
      <c r="BRC80" s="456"/>
      <c r="BRD80" s="456"/>
      <c r="BRE80" s="456"/>
      <c r="BRF80" s="456"/>
      <c r="BRG80" s="456"/>
      <c r="BRH80" s="456"/>
      <c r="BRI80" s="456"/>
      <c r="BRJ80" s="456"/>
      <c r="BRK80" s="456"/>
      <c r="BRL80" s="456"/>
      <c r="BRM80" s="456"/>
      <c r="BRN80" s="456"/>
      <c r="BRO80" s="456"/>
      <c r="BRP80" s="456"/>
      <c r="BRQ80" s="456"/>
      <c r="BRR80" s="456"/>
      <c r="BRS80" s="456"/>
      <c r="BRT80" s="456"/>
      <c r="BRU80" s="456"/>
      <c r="BRV80" s="456"/>
      <c r="BRW80" s="456"/>
      <c r="BRX80" s="456"/>
      <c r="BRY80" s="456"/>
      <c r="BRZ80" s="456"/>
      <c r="BSA80" s="456"/>
      <c r="BSB80" s="456"/>
      <c r="BSC80" s="456"/>
      <c r="BSD80" s="456"/>
      <c r="BSE80" s="456"/>
      <c r="BSF80" s="456"/>
      <c r="BSG80" s="456"/>
      <c r="BSH80" s="456"/>
      <c r="BSI80" s="456"/>
      <c r="BSJ80" s="456"/>
      <c r="BSK80" s="456"/>
      <c r="BSL80" s="456"/>
      <c r="BSM80" s="456"/>
      <c r="BSN80" s="456"/>
      <c r="BSO80" s="456"/>
      <c r="BSP80" s="456"/>
      <c r="BSQ80" s="456"/>
      <c r="BSR80" s="456"/>
      <c r="BSS80" s="456"/>
      <c r="BST80" s="456"/>
      <c r="BSU80" s="456"/>
      <c r="BSV80" s="456"/>
      <c r="BSW80" s="456"/>
      <c r="BSX80" s="456"/>
      <c r="BSY80" s="456"/>
      <c r="BSZ80" s="456"/>
      <c r="BTA80" s="456"/>
      <c r="BTB80" s="456"/>
      <c r="BTC80" s="456"/>
      <c r="BTD80" s="456"/>
      <c r="BTE80" s="456"/>
      <c r="BTF80" s="456"/>
      <c r="BTG80" s="456"/>
      <c r="BTH80" s="456"/>
      <c r="BTI80" s="456"/>
      <c r="BTJ80" s="456"/>
      <c r="BTK80" s="456"/>
      <c r="BTL80" s="456"/>
      <c r="BTM80" s="456"/>
      <c r="BTN80" s="456"/>
      <c r="BTO80" s="456"/>
      <c r="BTP80" s="456"/>
      <c r="BTQ80" s="456"/>
      <c r="BTR80" s="456"/>
      <c r="BTS80" s="456"/>
      <c r="BTT80" s="456"/>
      <c r="BTU80" s="456"/>
      <c r="BTV80" s="456"/>
      <c r="BTW80" s="456"/>
      <c r="BTX80" s="456"/>
      <c r="BTY80" s="456"/>
      <c r="BTZ80" s="456"/>
      <c r="BUA80" s="456"/>
      <c r="BUB80" s="456"/>
      <c r="BUC80" s="456"/>
      <c r="BUD80" s="456"/>
      <c r="BUE80" s="456"/>
      <c r="BUF80" s="456"/>
      <c r="BUG80" s="456"/>
      <c r="BUH80" s="456"/>
      <c r="BUI80" s="456"/>
      <c r="BUJ80" s="456"/>
      <c r="BUK80" s="456"/>
      <c r="BUL80" s="456"/>
      <c r="BUM80" s="456"/>
      <c r="BUN80" s="456"/>
      <c r="BUO80" s="456"/>
      <c r="BUP80" s="456"/>
      <c r="BUQ80" s="456"/>
      <c r="BUR80" s="456"/>
      <c r="BUS80" s="456"/>
      <c r="BUT80" s="456"/>
      <c r="BUU80" s="456"/>
      <c r="BUV80" s="456"/>
      <c r="BUW80" s="456"/>
      <c r="BUX80" s="456"/>
      <c r="BUY80" s="456"/>
      <c r="BUZ80" s="456"/>
      <c r="BVA80" s="456"/>
      <c r="BVB80" s="456"/>
      <c r="BVC80" s="456"/>
      <c r="BVD80" s="456"/>
      <c r="BVE80" s="456"/>
      <c r="BVF80" s="456"/>
      <c r="BVG80" s="456"/>
      <c r="BVH80" s="456"/>
      <c r="BVI80" s="456"/>
      <c r="BVJ80" s="456"/>
      <c r="BVK80" s="456"/>
      <c r="BVL80" s="456"/>
      <c r="BVM80" s="456"/>
      <c r="BVN80" s="456"/>
      <c r="BVO80" s="456"/>
      <c r="BVP80" s="456"/>
      <c r="BVQ80" s="456"/>
      <c r="BVR80" s="456"/>
      <c r="BVS80" s="456"/>
      <c r="BVT80" s="456"/>
      <c r="BVU80" s="456"/>
      <c r="BVV80" s="456"/>
      <c r="BVW80" s="456"/>
      <c r="BVX80" s="456"/>
      <c r="BVY80" s="456"/>
      <c r="BVZ80" s="456"/>
      <c r="BWA80" s="456"/>
      <c r="BWB80" s="456"/>
      <c r="BWC80" s="456"/>
      <c r="BWD80" s="456"/>
      <c r="BWE80" s="456"/>
      <c r="BWF80" s="456"/>
      <c r="BWG80" s="456"/>
      <c r="BWH80" s="456"/>
      <c r="BWI80" s="456"/>
      <c r="BWJ80" s="456"/>
      <c r="BWK80" s="456"/>
      <c r="BWL80" s="456"/>
      <c r="BWM80" s="456"/>
      <c r="BWN80" s="456"/>
      <c r="BWO80" s="456"/>
      <c r="BWP80" s="456"/>
      <c r="BWQ80" s="456"/>
      <c r="BWR80" s="456"/>
      <c r="BWS80" s="456"/>
      <c r="BWT80" s="456"/>
      <c r="BWU80" s="456"/>
      <c r="BWV80" s="456"/>
      <c r="BWW80" s="456"/>
      <c r="BWX80" s="456"/>
      <c r="BWY80" s="456"/>
      <c r="BWZ80" s="456"/>
      <c r="BXA80" s="456"/>
      <c r="BXB80" s="456"/>
      <c r="BXC80" s="456"/>
      <c r="BXD80" s="456"/>
      <c r="BXE80" s="456"/>
      <c r="BXF80" s="456"/>
      <c r="BXG80" s="456"/>
      <c r="BXH80" s="456"/>
      <c r="BXI80" s="456"/>
      <c r="BXJ80" s="456"/>
      <c r="BXK80" s="456"/>
      <c r="BXL80" s="456"/>
      <c r="BXM80" s="456"/>
      <c r="BXN80" s="456"/>
      <c r="BXO80" s="456"/>
      <c r="BXP80" s="456"/>
      <c r="BXQ80" s="456"/>
      <c r="BXR80" s="456"/>
      <c r="BXS80" s="456"/>
      <c r="BXT80" s="456"/>
      <c r="BXU80" s="456"/>
      <c r="BXV80" s="456"/>
      <c r="BXW80" s="456"/>
      <c r="BXX80" s="456"/>
      <c r="BXY80" s="456"/>
      <c r="BXZ80" s="456"/>
      <c r="BYA80" s="456"/>
      <c r="BYB80" s="456"/>
      <c r="BYC80" s="456"/>
      <c r="BYD80" s="456"/>
      <c r="BYE80" s="456"/>
      <c r="BYF80" s="456"/>
      <c r="BYG80" s="456"/>
      <c r="BYH80" s="456"/>
      <c r="BYI80" s="456"/>
      <c r="BYJ80" s="456"/>
      <c r="BYK80" s="456"/>
      <c r="BYL80" s="456"/>
      <c r="BYM80" s="456"/>
      <c r="BYN80" s="456"/>
      <c r="BYO80" s="456"/>
      <c r="BYP80" s="456"/>
      <c r="BYQ80" s="456"/>
      <c r="BYR80" s="456"/>
      <c r="BYS80" s="456"/>
      <c r="BYT80" s="456"/>
      <c r="BYU80" s="456"/>
      <c r="BYV80" s="456"/>
      <c r="BYW80" s="456"/>
      <c r="BYX80" s="456"/>
      <c r="BYY80" s="456"/>
      <c r="BYZ80" s="456"/>
      <c r="BZA80" s="456"/>
      <c r="BZB80" s="456"/>
      <c r="BZC80" s="456"/>
      <c r="BZD80" s="456"/>
      <c r="BZE80" s="456"/>
      <c r="BZF80" s="456"/>
      <c r="BZG80" s="456"/>
      <c r="BZH80" s="456"/>
      <c r="BZI80" s="456"/>
      <c r="BZJ80" s="456"/>
      <c r="BZK80" s="456"/>
      <c r="BZL80" s="456"/>
      <c r="BZM80" s="456"/>
      <c r="BZN80" s="456"/>
      <c r="BZO80" s="456"/>
      <c r="BZP80" s="456"/>
      <c r="BZQ80" s="456"/>
      <c r="BZR80" s="456"/>
      <c r="BZS80" s="456"/>
      <c r="BZT80" s="456"/>
      <c r="BZU80" s="456"/>
      <c r="BZV80" s="456"/>
      <c r="BZW80" s="456"/>
      <c r="BZX80" s="456"/>
      <c r="BZY80" s="456"/>
      <c r="BZZ80" s="456"/>
      <c r="CAA80" s="456"/>
      <c r="CAB80" s="456"/>
      <c r="CAC80" s="456"/>
      <c r="CAD80" s="456"/>
      <c r="CAE80" s="456"/>
      <c r="CAF80" s="456"/>
      <c r="CAG80" s="456"/>
      <c r="CAH80" s="456"/>
      <c r="CAI80" s="456"/>
      <c r="CAJ80" s="456"/>
      <c r="CAK80" s="456"/>
      <c r="CAL80" s="456"/>
      <c r="CAM80" s="456"/>
      <c r="CAN80" s="456"/>
      <c r="CAO80" s="456"/>
      <c r="CAP80" s="456"/>
      <c r="CAQ80" s="456"/>
      <c r="CAR80" s="456"/>
      <c r="CAS80" s="456"/>
      <c r="CAT80" s="456"/>
      <c r="CAU80" s="456"/>
      <c r="CAV80" s="456"/>
      <c r="CAW80" s="456"/>
      <c r="CAX80" s="456"/>
      <c r="CAY80" s="456"/>
      <c r="CAZ80" s="456"/>
      <c r="CBA80" s="456"/>
      <c r="CBB80" s="456"/>
      <c r="CBC80" s="456"/>
      <c r="CBD80" s="456"/>
      <c r="CBE80" s="456"/>
      <c r="CBF80" s="456"/>
      <c r="CBG80" s="456"/>
      <c r="CBH80" s="456"/>
      <c r="CBI80" s="456"/>
      <c r="CBJ80" s="456"/>
      <c r="CBK80" s="456"/>
      <c r="CBL80" s="456"/>
      <c r="CBM80" s="456"/>
      <c r="CBN80" s="456"/>
      <c r="CBO80" s="456"/>
      <c r="CBP80" s="456"/>
      <c r="CBQ80" s="456"/>
      <c r="CBR80" s="456"/>
      <c r="CBS80" s="456"/>
      <c r="CBT80" s="456"/>
      <c r="CBU80" s="456"/>
      <c r="CBV80" s="456"/>
      <c r="CBW80" s="456"/>
      <c r="CBX80" s="456"/>
      <c r="CBY80" s="456"/>
      <c r="CBZ80" s="456"/>
      <c r="CCA80" s="456"/>
      <c r="CCB80" s="456"/>
      <c r="CCC80" s="456"/>
      <c r="CCD80" s="456"/>
      <c r="CCE80" s="456"/>
      <c r="CCF80" s="456"/>
      <c r="CCG80" s="456"/>
      <c r="CCH80" s="456"/>
      <c r="CCI80" s="456"/>
      <c r="CCJ80" s="456"/>
      <c r="CCK80" s="456"/>
      <c r="CCL80" s="456"/>
      <c r="CCM80" s="456"/>
      <c r="CCN80" s="456"/>
      <c r="CCO80" s="456"/>
      <c r="CCP80" s="456"/>
      <c r="CCQ80" s="456"/>
      <c r="CCR80" s="456"/>
      <c r="CCS80" s="456"/>
      <c r="CCT80" s="456"/>
      <c r="CCU80" s="456"/>
      <c r="CCV80" s="456"/>
      <c r="CCW80" s="456"/>
      <c r="CCX80" s="456"/>
      <c r="CCY80" s="456"/>
      <c r="CCZ80" s="456"/>
      <c r="CDA80" s="456"/>
      <c r="CDB80" s="456"/>
      <c r="CDC80" s="456"/>
      <c r="CDD80" s="456"/>
      <c r="CDE80" s="456"/>
      <c r="CDF80" s="456"/>
      <c r="CDG80" s="456"/>
      <c r="CDH80" s="456"/>
      <c r="CDI80" s="456"/>
      <c r="CDJ80" s="456"/>
      <c r="CDK80" s="456"/>
      <c r="CDL80" s="456"/>
      <c r="CDM80" s="456"/>
      <c r="CDN80" s="456"/>
      <c r="CDO80" s="456"/>
      <c r="CDP80" s="456"/>
      <c r="CDQ80" s="456"/>
      <c r="CDR80" s="456"/>
      <c r="CDS80" s="456"/>
      <c r="CDT80" s="456"/>
      <c r="CDU80" s="456"/>
      <c r="CDV80" s="456"/>
      <c r="CDW80" s="456"/>
      <c r="CDX80" s="456"/>
      <c r="CDY80" s="456"/>
      <c r="CDZ80" s="456"/>
      <c r="CEA80" s="456"/>
      <c r="CEB80" s="456"/>
      <c r="CEC80" s="456"/>
      <c r="CED80" s="456"/>
      <c r="CEE80" s="456"/>
      <c r="CEF80" s="456"/>
      <c r="CEG80" s="456"/>
      <c r="CEH80" s="456"/>
      <c r="CEI80" s="456"/>
      <c r="CEJ80" s="456"/>
      <c r="CEK80" s="456"/>
      <c r="CEL80" s="456"/>
      <c r="CEM80" s="456"/>
      <c r="CEN80" s="456"/>
      <c r="CEO80" s="456"/>
      <c r="CEP80" s="456"/>
      <c r="CEQ80" s="456"/>
      <c r="CER80" s="456"/>
      <c r="CES80" s="456"/>
      <c r="CET80" s="456"/>
      <c r="CEU80" s="456"/>
      <c r="CEV80" s="456"/>
      <c r="CEW80" s="456"/>
      <c r="CEX80" s="456"/>
      <c r="CEY80" s="456"/>
      <c r="CEZ80" s="456"/>
      <c r="CFA80" s="456"/>
      <c r="CFB80" s="456"/>
      <c r="CFC80" s="456"/>
      <c r="CFD80" s="456"/>
      <c r="CFE80" s="456"/>
      <c r="CFF80" s="456"/>
      <c r="CFG80" s="456"/>
      <c r="CFH80" s="456"/>
      <c r="CFI80" s="456"/>
      <c r="CFJ80" s="456"/>
      <c r="CFK80" s="456"/>
      <c r="CFL80" s="456"/>
      <c r="CFM80" s="456"/>
      <c r="CFN80" s="456"/>
      <c r="CFO80" s="456"/>
      <c r="CFP80" s="456"/>
      <c r="CFQ80" s="456"/>
      <c r="CFR80" s="456"/>
      <c r="CFS80" s="456"/>
      <c r="CFT80" s="456"/>
      <c r="CFU80" s="456"/>
      <c r="CFV80" s="456"/>
      <c r="CFW80" s="456"/>
      <c r="CFX80" s="456"/>
      <c r="CFY80" s="456"/>
      <c r="CFZ80" s="456"/>
      <c r="CGA80" s="456"/>
      <c r="CGB80" s="456"/>
      <c r="CGC80" s="456"/>
      <c r="CGD80" s="456"/>
      <c r="CGE80" s="456"/>
      <c r="CGF80" s="456"/>
      <c r="CGG80" s="456"/>
      <c r="CGH80" s="456"/>
      <c r="CGI80" s="456"/>
      <c r="CGJ80" s="456"/>
      <c r="CGK80" s="456"/>
      <c r="CGL80" s="456"/>
      <c r="CGM80" s="456"/>
      <c r="CGN80" s="456"/>
      <c r="CGO80" s="456"/>
      <c r="CGP80" s="456"/>
      <c r="CGQ80" s="456"/>
      <c r="CGR80" s="456"/>
      <c r="CGS80" s="456"/>
      <c r="CGT80" s="456"/>
      <c r="CGU80" s="456"/>
      <c r="CGV80" s="456"/>
      <c r="CGW80" s="456"/>
      <c r="CGX80" s="456"/>
      <c r="CGY80" s="456"/>
      <c r="CGZ80" s="456"/>
      <c r="CHA80" s="456"/>
      <c r="CHB80" s="456"/>
      <c r="CHC80" s="456"/>
      <c r="CHD80" s="456"/>
      <c r="CHE80" s="456"/>
      <c r="CHF80" s="456"/>
      <c r="CHG80" s="456"/>
      <c r="CHH80" s="456"/>
      <c r="CHI80" s="456"/>
      <c r="CHJ80" s="456"/>
      <c r="CHK80" s="456"/>
      <c r="CHL80" s="456"/>
      <c r="CHM80" s="456"/>
      <c r="CHN80" s="456"/>
      <c r="CHO80" s="456"/>
      <c r="CHP80" s="456"/>
      <c r="CHQ80" s="456"/>
      <c r="CHR80" s="456"/>
      <c r="CHS80" s="456"/>
      <c r="CHT80" s="456"/>
      <c r="CHU80" s="456"/>
      <c r="CHV80" s="456"/>
      <c r="CHW80" s="456"/>
      <c r="CHX80" s="456"/>
      <c r="CHY80" s="456"/>
      <c r="CHZ80" s="456"/>
      <c r="CIA80" s="456"/>
      <c r="CIB80" s="456"/>
      <c r="CIC80" s="456"/>
      <c r="CID80" s="456"/>
      <c r="CIE80" s="456"/>
      <c r="CIF80" s="456"/>
      <c r="CIG80" s="456"/>
      <c r="CIH80" s="456"/>
      <c r="CII80" s="456"/>
      <c r="CIJ80" s="456"/>
      <c r="CIK80" s="456"/>
      <c r="CIL80" s="456"/>
      <c r="CIM80" s="456"/>
      <c r="CIN80" s="456"/>
      <c r="CIO80" s="456"/>
      <c r="CIP80" s="456"/>
      <c r="CIQ80" s="456"/>
      <c r="CIR80" s="456"/>
      <c r="CIS80" s="456"/>
      <c r="CIT80" s="456"/>
      <c r="CIU80" s="456"/>
      <c r="CIV80" s="456"/>
      <c r="CIW80" s="456"/>
      <c r="CIX80" s="456"/>
      <c r="CIY80" s="456"/>
      <c r="CIZ80" s="456"/>
      <c r="CJA80" s="456"/>
      <c r="CJB80" s="456"/>
      <c r="CJC80" s="456"/>
      <c r="CJD80" s="456"/>
      <c r="CJE80" s="456"/>
      <c r="CJF80" s="456"/>
      <c r="CJG80" s="456"/>
      <c r="CJH80" s="456"/>
      <c r="CJI80" s="456"/>
      <c r="CJJ80" s="456"/>
      <c r="CJK80" s="456"/>
      <c r="CJL80" s="456"/>
      <c r="CJM80" s="456"/>
      <c r="CJN80" s="456"/>
      <c r="CJO80" s="456"/>
      <c r="CJP80" s="456"/>
      <c r="CJQ80" s="456"/>
      <c r="CJR80" s="456"/>
      <c r="CJS80" s="456"/>
      <c r="CJT80" s="456"/>
      <c r="CJU80" s="456"/>
      <c r="CJV80" s="456"/>
      <c r="CJW80" s="456"/>
      <c r="CJX80" s="456"/>
      <c r="CJY80" s="456"/>
      <c r="CJZ80" s="456"/>
      <c r="CKA80" s="456"/>
      <c r="CKB80" s="456"/>
      <c r="CKC80" s="456"/>
      <c r="CKD80" s="456"/>
      <c r="CKE80" s="456"/>
      <c r="CKF80" s="456"/>
      <c r="CKG80" s="456"/>
      <c r="CKH80" s="456"/>
      <c r="CKI80" s="456"/>
      <c r="CKJ80" s="456"/>
      <c r="CKK80" s="456"/>
      <c r="CKL80" s="456"/>
      <c r="CKM80" s="456"/>
      <c r="CKN80" s="456"/>
      <c r="CKO80" s="456"/>
      <c r="CKP80" s="456"/>
      <c r="CKQ80" s="456"/>
      <c r="CKR80" s="456"/>
      <c r="CKS80" s="456"/>
      <c r="CKT80" s="456"/>
      <c r="CKU80" s="456"/>
      <c r="CKV80" s="456"/>
      <c r="CKW80" s="456"/>
      <c r="CKX80" s="456"/>
      <c r="CKY80" s="456"/>
      <c r="CKZ80" s="456"/>
      <c r="CLA80" s="456"/>
      <c r="CLB80" s="456"/>
      <c r="CLC80" s="456"/>
      <c r="CLD80" s="456"/>
      <c r="CLE80" s="456"/>
      <c r="CLF80" s="456"/>
      <c r="CLG80" s="456"/>
      <c r="CLH80" s="456"/>
      <c r="CLI80" s="456"/>
      <c r="CLJ80" s="456"/>
      <c r="CLK80" s="456"/>
      <c r="CLL80" s="456"/>
      <c r="CLM80" s="456"/>
      <c r="CLN80" s="456"/>
      <c r="CLO80" s="456"/>
      <c r="CLP80" s="456"/>
      <c r="CLQ80" s="456"/>
      <c r="CLR80" s="456"/>
      <c r="CLS80" s="456"/>
      <c r="CLT80" s="456"/>
      <c r="CLU80" s="456"/>
      <c r="CLV80" s="456"/>
      <c r="CLW80" s="456"/>
      <c r="CLX80" s="456"/>
      <c r="CLY80" s="456"/>
      <c r="CLZ80" s="456"/>
      <c r="CMA80" s="456"/>
      <c r="CMB80" s="456"/>
      <c r="CMC80" s="456"/>
      <c r="CMD80" s="456"/>
      <c r="CME80" s="456"/>
      <c r="CMF80" s="456"/>
      <c r="CMG80" s="456"/>
      <c r="CMH80" s="456"/>
      <c r="CMI80" s="456"/>
      <c r="CMJ80" s="456"/>
      <c r="CMK80" s="456"/>
      <c r="CML80" s="456"/>
      <c r="CMM80" s="456"/>
      <c r="CMN80" s="456"/>
      <c r="CMO80" s="456"/>
      <c r="CMP80" s="456"/>
      <c r="CMQ80" s="456"/>
      <c r="CMR80" s="456"/>
      <c r="CMS80" s="456"/>
      <c r="CMT80" s="456"/>
      <c r="CMU80" s="456"/>
      <c r="CMV80" s="456"/>
      <c r="CMW80" s="456"/>
      <c r="CMX80" s="456"/>
      <c r="CMY80" s="456"/>
      <c r="CMZ80" s="456"/>
      <c r="CNA80" s="456"/>
      <c r="CNB80" s="456"/>
      <c r="CNC80" s="456"/>
      <c r="CND80" s="456"/>
      <c r="CNE80" s="456"/>
      <c r="CNF80" s="456"/>
      <c r="CNG80" s="456"/>
      <c r="CNH80" s="456"/>
      <c r="CNI80" s="456"/>
      <c r="CNJ80" s="456"/>
      <c r="CNK80" s="456"/>
      <c r="CNL80" s="456"/>
      <c r="CNM80" s="456"/>
      <c r="CNN80" s="456"/>
      <c r="CNO80" s="456"/>
      <c r="CNP80" s="456"/>
      <c r="CNQ80" s="456"/>
      <c r="CNR80" s="456"/>
      <c r="CNS80" s="456"/>
      <c r="CNT80" s="456"/>
      <c r="CNU80" s="456"/>
      <c r="CNV80" s="456"/>
      <c r="CNW80" s="456"/>
      <c r="CNX80" s="456"/>
      <c r="CNY80" s="456"/>
      <c r="CNZ80" s="456"/>
      <c r="COA80" s="456"/>
      <c r="COB80" s="456"/>
      <c r="COC80" s="456"/>
      <c r="COD80" s="456"/>
      <c r="COE80" s="456"/>
      <c r="COF80" s="456"/>
      <c r="COG80" s="456"/>
      <c r="COH80" s="456"/>
      <c r="COI80" s="456"/>
      <c r="COJ80" s="456"/>
      <c r="COK80" s="456"/>
      <c r="COL80" s="456"/>
      <c r="COM80" s="456"/>
      <c r="CON80" s="456"/>
      <c r="COO80" s="456"/>
      <c r="COP80" s="456"/>
      <c r="COQ80" s="456"/>
      <c r="COR80" s="456"/>
      <c r="COS80" s="456"/>
      <c r="COT80" s="456"/>
      <c r="COU80" s="456"/>
      <c r="COV80" s="456"/>
      <c r="COW80" s="456"/>
      <c r="COX80" s="456"/>
      <c r="COY80" s="456"/>
      <c r="COZ80" s="456"/>
      <c r="CPA80" s="456"/>
      <c r="CPB80" s="456"/>
      <c r="CPC80" s="456"/>
      <c r="CPD80" s="456"/>
      <c r="CPE80" s="456"/>
      <c r="CPF80" s="456"/>
      <c r="CPG80" s="456"/>
      <c r="CPH80" s="456"/>
      <c r="CPI80" s="456"/>
      <c r="CPJ80" s="456"/>
      <c r="CPK80" s="456"/>
      <c r="CPL80" s="456"/>
      <c r="CPM80" s="456"/>
      <c r="CPN80" s="456"/>
      <c r="CPO80" s="456"/>
      <c r="CPP80" s="456"/>
      <c r="CPQ80" s="456"/>
      <c r="CPR80" s="456"/>
      <c r="CPS80" s="456"/>
      <c r="CPT80" s="456"/>
      <c r="CPU80" s="456"/>
      <c r="CPV80" s="456"/>
      <c r="CPW80" s="456"/>
      <c r="CPX80" s="456"/>
      <c r="CPY80" s="456"/>
      <c r="CPZ80" s="456"/>
      <c r="CQA80" s="456"/>
      <c r="CQB80" s="456"/>
      <c r="CQC80" s="456"/>
      <c r="CQD80" s="456"/>
      <c r="CQE80" s="456"/>
      <c r="CQF80" s="456"/>
      <c r="CQG80" s="456"/>
      <c r="CQH80" s="456"/>
      <c r="CQI80" s="456"/>
      <c r="CQJ80" s="456"/>
      <c r="CQK80" s="456"/>
      <c r="CQL80" s="456"/>
      <c r="CQM80" s="456"/>
      <c r="CQN80" s="456"/>
      <c r="CQO80" s="456"/>
      <c r="CQP80" s="456"/>
      <c r="CQQ80" s="456"/>
      <c r="CQR80" s="456"/>
      <c r="CQS80" s="456"/>
      <c r="CQT80" s="456"/>
      <c r="CQU80" s="456"/>
      <c r="CQV80" s="456"/>
      <c r="CQW80" s="456"/>
      <c r="CQX80" s="456"/>
      <c r="CQY80" s="456"/>
      <c r="CQZ80" s="456"/>
      <c r="CRA80" s="456"/>
      <c r="CRB80" s="456"/>
      <c r="CRC80" s="456"/>
      <c r="CRD80" s="456"/>
      <c r="CRE80" s="456"/>
      <c r="CRF80" s="456"/>
      <c r="CRG80" s="456"/>
      <c r="CRH80" s="456"/>
      <c r="CRI80" s="456"/>
      <c r="CRJ80" s="456"/>
      <c r="CRK80" s="456"/>
      <c r="CRL80" s="456"/>
      <c r="CRM80" s="456"/>
      <c r="CRN80" s="456"/>
      <c r="CRO80" s="456"/>
      <c r="CRP80" s="456"/>
      <c r="CRQ80" s="456"/>
      <c r="CRR80" s="456"/>
      <c r="CRS80" s="456"/>
      <c r="CRT80" s="456"/>
      <c r="CRU80" s="456"/>
      <c r="CRV80" s="456"/>
      <c r="CRW80" s="456"/>
      <c r="CRX80" s="456"/>
      <c r="CRY80" s="456"/>
      <c r="CRZ80" s="456"/>
      <c r="CSA80" s="456"/>
      <c r="CSB80" s="456"/>
      <c r="CSC80" s="456"/>
      <c r="CSD80" s="456"/>
      <c r="CSE80" s="456"/>
      <c r="CSF80" s="456"/>
      <c r="CSG80" s="456"/>
      <c r="CSH80" s="456"/>
      <c r="CSI80" s="456"/>
      <c r="CSJ80" s="456"/>
      <c r="CSK80" s="456"/>
      <c r="CSL80" s="456"/>
      <c r="CSM80" s="456"/>
      <c r="CSN80" s="456"/>
      <c r="CSO80" s="456"/>
      <c r="CSP80" s="456"/>
      <c r="CSQ80" s="456"/>
      <c r="CSR80" s="456"/>
      <c r="CSS80" s="456"/>
      <c r="CST80" s="456"/>
      <c r="CSU80" s="456"/>
      <c r="CSV80" s="456"/>
      <c r="CSW80" s="456"/>
      <c r="CSX80" s="456"/>
      <c r="CSY80" s="456"/>
      <c r="CSZ80" s="456"/>
      <c r="CTA80" s="456"/>
      <c r="CTB80" s="456"/>
      <c r="CTC80" s="456"/>
      <c r="CTD80" s="456"/>
      <c r="CTE80" s="456"/>
      <c r="CTF80" s="456"/>
      <c r="CTG80" s="456"/>
      <c r="CTH80" s="456"/>
      <c r="CTI80" s="456"/>
      <c r="CTJ80" s="456"/>
      <c r="CTK80" s="456"/>
      <c r="CTL80" s="456"/>
      <c r="CTM80" s="456"/>
      <c r="CTN80" s="456"/>
      <c r="CTO80" s="456"/>
      <c r="CTP80" s="456"/>
      <c r="CTQ80" s="456"/>
      <c r="CTR80" s="456"/>
      <c r="CTS80" s="456"/>
      <c r="CTT80" s="456"/>
      <c r="CTU80" s="456"/>
      <c r="CTV80" s="456"/>
      <c r="CTW80" s="456"/>
      <c r="CTX80" s="456"/>
      <c r="CTY80" s="456"/>
      <c r="CTZ80" s="456"/>
      <c r="CUA80" s="456"/>
      <c r="CUB80" s="456"/>
      <c r="CUC80" s="456"/>
      <c r="CUD80" s="456"/>
      <c r="CUE80" s="456"/>
      <c r="CUF80" s="456"/>
      <c r="CUG80" s="456"/>
      <c r="CUH80" s="456"/>
      <c r="CUI80" s="456"/>
      <c r="CUJ80" s="456"/>
      <c r="CUK80" s="456"/>
      <c r="CUL80" s="456"/>
      <c r="CUM80" s="456"/>
      <c r="CUN80" s="456"/>
      <c r="CUO80" s="456"/>
      <c r="CUP80" s="456"/>
      <c r="CUQ80" s="456"/>
      <c r="CUR80" s="456"/>
      <c r="CUS80" s="456"/>
      <c r="CUT80" s="456"/>
      <c r="CUU80" s="456"/>
      <c r="CUV80" s="456"/>
      <c r="CUW80" s="456"/>
      <c r="CUX80" s="456"/>
      <c r="CUY80" s="456"/>
      <c r="CUZ80" s="456"/>
      <c r="CVA80" s="456"/>
      <c r="CVB80" s="456"/>
      <c r="CVC80" s="456"/>
      <c r="CVD80" s="456"/>
      <c r="CVE80" s="456"/>
      <c r="CVF80" s="456"/>
      <c r="CVG80" s="456"/>
      <c r="CVH80" s="456"/>
      <c r="CVI80" s="456"/>
      <c r="CVJ80" s="456"/>
      <c r="CVK80" s="456"/>
      <c r="CVL80" s="456"/>
      <c r="CVM80" s="456"/>
      <c r="CVN80" s="456"/>
      <c r="CVO80" s="456"/>
      <c r="CVP80" s="456"/>
      <c r="CVQ80" s="456"/>
      <c r="CVR80" s="456"/>
      <c r="CVS80" s="456"/>
      <c r="CVT80" s="456"/>
      <c r="CVU80" s="456"/>
      <c r="CVV80" s="456"/>
      <c r="CVW80" s="456"/>
      <c r="CVX80" s="456"/>
      <c r="CVY80" s="456"/>
      <c r="CVZ80" s="456"/>
      <c r="CWA80" s="456"/>
      <c r="CWB80" s="456"/>
      <c r="CWC80" s="456"/>
      <c r="CWD80" s="456"/>
      <c r="CWE80" s="456"/>
      <c r="CWF80" s="456"/>
      <c r="CWG80" s="456"/>
      <c r="CWH80" s="456"/>
      <c r="CWI80" s="456"/>
      <c r="CWJ80" s="456"/>
      <c r="CWK80" s="456"/>
      <c r="CWL80" s="456"/>
      <c r="CWM80" s="456"/>
      <c r="CWN80" s="456"/>
      <c r="CWO80" s="456"/>
      <c r="CWP80" s="456"/>
      <c r="CWQ80" s="456"/>
      <c r="CWR80" s="456"/>
      <c r="CWS80" s="456"/>
      <c r="CWT80" s="456"/>
      <c r="CWU80" s="456"/>
      <c r="CWV80" s="456"/>
      <c r="CWW80" s="456"/>
      <c r="CWX80" s="456"/>
      <c r="CWY80" s="456"/>
      <c r="CWZ80" s="456"/>
      <c r="CXA80" s="456"/>
      <c r="CXB80" s="456"/>
      <c r="CXC80" s="456"/>
      <c r="CXD80" s="456"/>
      <c r="CXE80" s="456"/>
      <c r="CXF80" s="456"/>
      <c r="CXG80" s="456"/>
      <c r="CXH80" s="456"/>
      <c r="CXI80" s="456"/>
      <c r="CXJ80" s="456"/>
      <c r="CXK80" s="456"/>
      <c r="CXL80" s="456"/>
      <c r="CXM80" s="456"/>
      <c r="CXN80" s="456"/>
      <c r="CXO80" s="456"/>
      <c r="CXP80" s="456"/>
      <c r="CXQ80" s="456"/>
      <c r="CXR80" s="456"/>
      <c r="CXS80" s="456"/>
      <c r="CXT80" s="456"/>
      <c r="CXU80" s="456"/>
      <c r="CXV80" s="456"/>
      <c r="CXW80" s="456"/>
      <c r="CXX80" s="456"/>
      <c r="CXY80" s="456"/>
      <c r="CXZ80" s="456"/>
      <c r="CYA80" s="456"/>
      <c r="CYB80" s="456"/>
      <c r="CYC80" s="456"/>
      <c r="CYD80" s="456"/>
      <c r="CYE80" s="456"/>
      <c r="CYF80" s="456"/>
      <c r="CYG80" s="456"/>
      <c r="CYH80" s="456"/>
      <c r="CYI80" s="456"/>
      <c r="CYJ80" s="456"/>
      <c r="CYK80" s="456"/>
      <c r="CYL80" s="456"/>
      <c r="CYM80" s="456"/>
      <c r="CYN80" s="456"/>
      <c r="CYO80" s="456"/>
      <c r="CYP80" s="456"/>
      <c r="CYQ80" s="456"/>
      <c r="CYR80" s="456"/>
      <c r="CYS80" s="456"/>
      <c r="CYT80" s="456"/>
      <c r="CYU80" s="456"/>
      <c r="CYV80" s="456"/>
      <c r="CYW80" s="456"/>
      <c r="CYX80" s="456"/>
      <c r="CYY80" s="456"/>
      <c r="CYZ80" s="456"/>
      <c r="CZA80" s="456"/>
      <c r="CZB80" s="456"/>
      <c r="CZC80" s="456"/>
      <c r="CZD80" s="456"/>
      <c r="CZE80" s="456"/>
      <c r="CZF80" s="456"/>
      <c r="CZG80" s="456"/>
      <c r="CZH80" s="456"/>
      <c r="CZI80" s="456"/>
      <c r="CZJ80" s="456"/>
      <c r="CZK80" s="456"/>
      <c r="CZL80" s="456"/>
      <c r="CZM80" s="456"/>
      <c r="CZN80" s="456"/>
      <c r="CZO80" s="456"/>
      <c r="CZP80" s="456"/>
      <c r="CZQ80" s="456"/>
      <c r="CZR80" s="456"/>
      <c r="CZS80" s="456"/>
      <c r="CZT80" s="456"/>
      <c r="CZU80" s="456"/>
      <c r="CZV80" s="456"/>
      <c r="CZW80" s="456"/>
      <c r="CZX80" s="456"/>
      <c r="CZY80" s="456"/>
      <c r="CZZ80" s="456"/>
      <c r="DAA80" s="456"/>
      <c r="DAB80" s="456"/>
      <c r="DAC80" s="456"/>
      <c r="DAD80" s="456"/>
      <c r="DAE80" s="456"/>
      <c r="DAF80" s="456"/>
      <c r="DAG80" s="456"/>
      <c r="DAH80" s="456"/>
      <c r="DAI80" s="456"/>
      <c r="DAJ80" s="456"/>
      <c r="DAK80" s="456"/>
      <c r="DAL80" s="456"/>
      <c r="DAM80" s="456"/>
      <c r="DAN80" s="456"/>
      <c r="DAO80" s="456"/>
      <c r="DAP80" s="456"/>
      <c r="DAQ80" s="456"/>
      <c r="DAR80" s="456"/>
      <c r="DAS80" s="456"/>
      <c r="DAT80" s="456"/>
      <c r="DAU80" s="456"/>
      <c r="DAV80" s="456"/>
      <c r="DAW80" s="456"/>
      <c r="DAX80" s="456"/>
      <c r="DAY80" s="456"/>
      <c r="DAZ80" s="456"/>
      <c r="DBA80" s="456"/>
      <c r="DBB80" s="456"/>
      <c r="DBC80" s="456"/>
      <c r="DBD80" s="456"/>
      <c r="DBE80" s="456"/>
      <c r="DBF80" s="456"/>
      <c r="DBG80" s="456"/>
      <c r="DBH80" s="456"/>
      <c r="DBI80" s="456"/>
      <c r="DBJ80" s="456"/>
      <c r="DBK80" s="456"/>
      <c r="DBL80" s="456"/>
      <c r="DBM80" s="456"/>
      <c r="DBN80" s="456"/>
      <c r="DBO80" s="456"/>
      <c r="DBP80" s="456"/>
      <c r="DBQ80" s="456"/>
      <c r="DBR80" s="456"/>
      <c r="DBS80" s="456"/>
      <c r="DBT80" s="456"/>
      <c r="DBU80" s="456"/>
      <c r="DBV80" s="456"/>
      <c r="DBW80" s="456"/>
      <c r="DBX80" s="456"/>
      <c r="DBY80" s="456"/>
      <c r="DBZ80" s="456"/>
      <c r="DCA80" s="456"/>
      <c r="DCB80" s="456"/>
      <c r="DCC80" s="456"/>
      <c r="DCD80" s="456"/>
      <c r="DCE80" s="456"/>
      <c r="DCF80" s="456"/>
      <c r="DCG80" s="456"/>
      <c r="DCH80" s="456"/>
      <c r="DCI80" s="456"/>
      <c r="DCJ80" s="456"/>
      <c r="DCK80" s="456"/>
      <c r="DCL80" s="456"/>
      <c r="DCM80" s="456"/>
      <c r="DCN80" s="456"/>
      <c r="DCO80" s="456"/>
      <c r="DCP80" s="456"/>
      <c r="DCQ80" s="456"/>
      <c r="DCR80" s="456"/>
      <c r="DCS80" s="456"/>
      <c r="DCT80" s="456"/>
      <c r="DCU80" s="456"/>
      <c r="DCV80" s="456"/>
      <c r="DCW80" s="456"/>
      <c r="DCX80" s="456"/>
      <c r="DCY80" s="456"/>
      <c r="DCZ80" s="456"/>
      <c r="DDA80" s="456"/>
      <c r="DDB80" s="456"/>
      <c r="DDC80" s="456"/>
      <c r="DDD80" s="456"/>
      <c r="DDE80" s="456"/>
      <c r="DDF80" s="456"/>
      <c r="DDG80" s="456"/>
      <c r="DDH80" s="456"/>
      <c r="DDI80" s="456"/>
      <c r="DDJ80" s="456"/>
      <c r="DDK80" s="456"/>
      <c r="DDL80" s="456"/>
      <c r="DDM80" s="456"/>
      <c r="DDN80" s="456"/>
      <c r="DDO80" s="456"/>
      <c r="DDP80" s="456"/>
      <c r="DDQ80" s="456"/>
      <c r="DDR80" s="456"/>
      <c r="DDS80" s="456"/>
      <c r="DDT80" s="456"/>
      <c r="DDU80" s="456"/>
      <c r="DDV80" s="456"/>
      <c r="DDW80" s="456"/>
      <c r="DDX80" s="456"/>
      <c r="DDY80" s="456"/>
      <c r="DDZ80" s="456"/>
      <c r="DEA80" s="456"/>
      <c r="DEB80" s="456"/>
      <c r="DEC80" s="456"/>
      <c r="DED80" s="456"/>
      <c r="DEE80" s="456"/>
      <c r="DEF80" s="456"/>
      <c r="DEG80" s="456"/>
      <c r="DEH80" s="456"/>
      <c r="DEI80" s="456"/>
      <c r="DEJ80" s="456"/>
      <c r="DEK80" s="456"/>
      <c r="DEL80" s="456"/>
      <c r="DEM80" s="456"/>
      <c r="DEN80" s="456"/>
      <c r="DEO80" s="456"/>
      <c r="DEP80" s="456"/>
      <c r="DEQ80" s="456"/>
      <c r="DER80" s="456"/>
      <c r="DES80" s="456"/>
      <c r="DET80" s="456"/>
      <c r="DEU80" s="456"/>
      <c r="DEV80" s="456"/>
      <c r="DEW80" s="456"/>
      <c r="DEX80" s="456"/>
      <c r="DEY80" s="456"/>
      <c r="DEZ80" s="456"/>
      <c r="DFA80" s="456"/>
      <c r="DFB80" s="456"/>
      <c r="DFC80" s="456"/>
      <c r="DFD80" s="456"/>
      <c r="DFE80" s="456"/>
      <c r="DFF80" s="456"/>
      <c r="DFG80" s="456"/>
      <c r="DFH80" s="456"/>
      <c r="DFI80" s="456"/>
      <c r="DFJ80" s="456"/>
      <c r="DFK80" s="456"/>
      <c r="DFL80" s="456"/>
      <c r="DFM80" s="456"/>
      <c r="DFN80" s="456"/>
      <c r="DFO80" s="456"/>
      <c r="DFP80" s="456"/>
      <c r="DFQ80" s="456"/>
      <c r="DFR80" s="456"/>
      <c r="DFS80" s="456"/>
      <c r="DFT80" s="456"/>
      <c r="DFU80" s="456"/>
      <c r="DFV80" s="456"/>
      <c r="DFW80" s="456"/>
      <c r="DFX80" s="456"/>
      <c r="DFY80" s="456"/>
      <c r="DFZ80" s="456"/>
      <c r="DGA80" s="456"/>
      <c r="DGB80" s="456"/>
      <c r="DGC80" s="456"/>
      <c r="DGD80" s="456"/>
      <c r="DGE80" s="456"/>
      <c r="DGF80" s="456"/>
      <c r="DGG80" s="456"/>
      <c r="DGH80" s="456"/>
      <c r="DGI80" s="456"/>
      <c r="DGJ80" s="456"/>
      <c r="DGK80" s="456"/>
      <c r="DGL80" s="456"/>
      <c r="DGM80" s="456"/>
      <c r="DGN80" s="456"/>
      <c r="DGO80" s="456"/>
      <c r="DGP80" s="456"/>
      <c r="DGQ80" s="456"/>
      <c r="DGR80" s="456"/>
      <c r="DGS80" s="456"/>
      <c r="DGT80" s="456"/>
      <c r="DGU80" s="456"/>
      <c r="DGV80" s="456"/>
      <c r="DGW80" s="456"/>
      <c r="DGX80" s="456"/>
      <c r="DGY80" s="456"/>
      <c r="DGZ80" s="456"/>
      <c r="DHA80" s="456"/>
      <c r="DHB80" s="456"/>
      <c r="DHC80" s="456"/>
      <c r="DHD80" s="456"/>
      <c r="DHE80" s="456"/>
      <c r="DHF80" s="456"/>
      <c r="DHG80" s="456"/>
      <c r="DHH80" s="456"/>
      <c r="DHI80" s="456"/>
      <c r="DHJ80" s="456"/>
      <c r="DHK80" s="456"/>
      <c r="DHL80" s="456"/>
      <c r="DHM80" s="456"/>
      <c r="DHN80" s="456"/>
      <c r="DHO80" s="456"/>
      <c r="DHP80" s="456"/>
      <c r="DHQ80" s="456"/>
      <c r="DHR80" s="456"/>
      <c r="DHS80" s="456"/>
      <c r="DHT80" s="456"/>
      <c r="DHU80" s="456"/>
      <c r="DHV80" s="456"/>
      <c r="DHW80" s="456"/>
      <c r="DHX80" s="456"/>
      <c r="DHY80" s="456"/>
      <c r="DHZ80" s="456"/>
      <c r="DIA80" s="456"/>
      <c r="DIB80" s="456"/>
      <c r="DIC80" s="456"/>
      <c r="DID80" s="456"/>
      <c r="DIE80" s="456"/>
      <c r="DIF80" s="456"/>
      <c r="DIG80" s="456"/>
      <c r="DIH80" s="456"/>
      <c r="DII80" s="456"/>
      <c r="DIJ80" s="456"/>
      <c r="DIK80" s="456"/>
      <c r="DIL80" s="456"/>
      <c r="DIM80" s="456"/>
      <c r="DIN80" s="456"/>
      <c r="DIO80" s="456"/>
      <c r="DIP80" s="456"/>
      <c r="DIQ80" s="456"/>
      <c r="DIR80" s="456"/>
      <c r="DIS80" s="456"/>
      <c r="DIT80" s="456"/>
      <c r="DIU80" s="456"/>
      <c r="DIV80" s="456"/>
      <c r="DIW80" s="456"/>
      <c r="DIX80" s="456"/>
      <c r="DIY80" s="456"/>
      <c r="DIZ80" s="456"/>
      <c r="DJA80" s="456"/>
      <c r="DJB80" s="456"/>
      <c r="DJC80" s="456"/>
      <c r="DJD80" s="456"/>
      <c r="DJE80" s="456"/>
      <c r="DJF80" s="456"/>
      <c r="DJG80" s="456"/>
      <c r="DJH80" s="456"/>
      <c r="DJI80" s="456"/>
      <c r="DJJ80" s="456"/>
      <c r="DJK80" s="456"/>
      <c r="DJL80" s="456"/>
      <c r="DJM80" s="456"/>
      <c r="DJN80" s="456"/>
      <c r="DJO80" s="456"/>
      <c r="DJP80" s="456"/>
      <c r="DJQ80" s="456"/>
      <c r="DJR80" s="456"/>
      <c r="DJS80" s="456"/>
      <c r="DJT80" s="456"/>
      <c r="DJU80" s="456"/>
      <c r="DJV80" s="456"/>
      <c r="DJW80" s="456"/>
      <c r="DJX80" s="456"/>
      <c r="DJY80" s="456"/>
      <c r="DJZ80" s="456"/>
      <c r="DKA80" s="456"/>
      <c r="DKB80" s="456"/>
      <c r="DKC80" s="456"/>
      <c r="DKD80" s="456"/>
      <c r="DKE80" s="456"/>
      <c r="DKF80" s="456"/>
      <c r="DKG80" s="456"/>
      <c r="DKH80" s="456"/>
      <c r="DKI80" s="456"/>
      <c r="DKJ80" s="456"/>
      <c r="DKK80" s="456"/>
      <c r="DKL80" s="456"/>
      <c r="DKM80" s="456"/>
      <c r="DKN80" s="456"/>
      <c r="DKO80" s="456"/>
      <c r="DKP80" s="456"/>
      <c r="DKQ80" s="456"/>
      <c r="DKR80" s="456"/>
      <c r="DKS80" s="456"/>
      <c r="DKT80" s="456"/>
      <c r="DKU80" s="456"/>
      <c r="DKV80" s="456"/>
      <c r="DKW80" s="456"/>
      <c r="DKX80" s="456"/>
      <c r="DKY80" s="456"/>
      <c r="DKZ80" s="456"/>
      <c r="DLA80" s="456"/>
      <c r="DLB80" s="456"/>
      <c r="DLC80" s="456"/>
      <c r="DLD80" s="456"/>
      <c r="DLE80" s="456"/>
      <c r="DLF80" s="456"/>
      <c r="DLG80" s="456"/>
      <c r="DLH80" s="456"/>
      <c r="DLI80" s="456"/>
      <c r="DLJ80" s="456"/>
      <c r="DLK80" s="456"/>
      <c r="DLL80" s="456"/>
      <c r="DLM80" s="456"/>
      <c r="DLN80" s="456"/>
      <c r="DLO80" s="456"/>
      <c r="DLP80" s="456"/>
      <c r="DLQ80" s="456"/>
      <c r="DLR80" s="456"/>
      <c r="DLS80" s="456"/>
      <c r="DLT80" s="456"/>
      <c r="DLU80" s="456"/>
      <c r="DLV80" s="456"/>
      <c r="DLW80" s="456"/>
      <c r="DLX80" s="456"/>
      <c r="DLY80" s="456"/>
      <c r="DLZ80" s="456"/>
      <c r="DMA80" s="456"/>
      <c r="DMB80" s="456"/>
      <c r="DMC80" s="456"/>
      <c r="DMD80" s="456"/>
      <c r="DME80" s="456"/>
      <c r="DMF80" s="456"/>
      <c r="DMG80" s="456"/>
      <c r="DMH80" s="456"/>
      <c r="DMI80" s="456"/>
      <c r="DMJ80" s="456"/>
      <c r="DMK80" s="456"/>
      <c r="DML80" s="456"/>
      <c r="DMM80" s="456"/>
      <c r="DMN80" s="456"/>
      <c r="DMO80" s="456"/>
      <c r="DMP80" s="456"/>
      <c r="DMQ80" s="456"/>
      <c r="DMR80" s="456"/>
      <c r="DMS80" s="456"/>
      <c r="DMT80" s="456"/>
      <c r="DMU80" s="456"/>
      <c r="DMV80" s="456"/>
      <c r="DMW80" s="456"/>
      <c r="DMX80" s="456"/>
      <c r="DMY80" s="456"/>
      <c r="DMZ80" s="456"/>
      <c r="DNA80" s="456"/>
      <c r="DNB80" s="456"/>
      <c r="DNC80" s="456"/>
      <c r="DND80" s="456"/>
      <c r="DNE80" s="456"/>
      <c r="DNF80" s="456"/>
      <c r="DNG80" s="456"/>
      <c r="DNH80" s="456"/>
      <c r="DNI80" s="456"/>
      <c r="DNJ80" s="456"/>
      <c r="DNK80" s="456"/>
      <c r="DNL80" s="456"/>
      <c r="DNM80" s="456"/>
      <c r="DNN80" s="456"/>
      <c r="DNO80" s="456"/>
      <c r="DNP80" s="456"/>
      <c r="DNQ80" s="456"/>
      <c r="DNR80" s="456"/>
      <c r="DNS80" s="456"/>
      <c r="DNT80" s="456"/>
      <c r="DNU80" s="456"/>
      <c r="DNV80" s="456"/>
      <c r="DNW80" s="456"/>
      <c r="DNX80" s="456"/>
      <c r="DNY80" s="456"/>
      <c r="DNZ80" s="456"/>
      <c r="DOA80" s="456"/>
      <c r="DOB80" s="456"/>
      <c r="DOC80" s="456"/>
      <c r="DOD80" s="456"/>
      <c r="DOE80" s="456"/>
      <c r="DOF80" s="456"/>
      <c r="DOG80" s="456"/>
      <c r="DOH80" s="456"/>
      <c r="DOI80" s="456"/>
      <c r="DOJ80" s="456"/>
      <c r="DOK80" s="456"/>
      <c r="DOL80" s="456"/>
      <c r="DOM80" s="456"/>
      <c r="DON80" s="456"/>
      <c r="DOO80" s="456"/>
      <c r="DOP80" s="456"/>
      <c r="DOQ80" s="456"/>
      <c r="DOR80" s="456"/>
      <c r="DOS80" s="456"/>
      <c r="DOT80" s="456"/>
      <c r="DOU80" s="456"/>
      <c r="DOV80" s="456"/>
      <c r="DOW80" s="456"/>
      <c r="DOX80" s="456"/>
      <c r="DOY80" s="456"/>
      <c r="DOZ80" s="456"/>
      <c r="DPA80" s="456"/>
      <c r="DPB80" s="456"/>
      <c r="DPC80" s="456"/>
      <c r="DPD80" s="456"/>
      <c r="DPE80" s="456"/>
      <c r="DPF80" s="456"/>
      <c r="DPG80" s="456"/>
      <c r="DPH80" s="456"/>
      <c r="DPI80" s="456"/>
      <c r="DPJ80" s="456"/>
      <c r="DPK80" s="456"/>
      <c r="DPL80" s="456"/>
      <c r="DPM80" s="456"/>
      <c r="DPN80" s="456"/>
      <c r="DPO80" s="456"/>
      <c r="DPP80" s="456"/>
      <c r="DPQ80" s="456"/>
      <c r="DPR80" s="456"/>
      <c r="DPS80" s="456"/>
      <c r="DPT80" s="456"/>
      <c r="DPU80" s="456"/>
      <c r="DPV80" s="456"/>
      <c r="DPW80" s="456"/>
      <c r="DPX80" s="456"/>
      <c r="DPY80" s="456"/>
      <c r="DPZ80" s="456"/>
      <c r="DQA80" s="456"/>
      <c r="DQB80" s="456"/>
      <c r="DQC80" s="456"/>
      <c r="DQD80" s="456"/>
      <c r="DQE80" s="456"/>
      <c r="DQF80" s="456"/>
      <c r="DQG80" s="456"/>
      <c r="DQH80" s="456"/>
      <c r="DQI80" s="456"/>
      <c r="DQJ80" s="456"/>
      <c r="DQK80" s="456"/>
      <c r="DQL80" s="456"/>
      <c r="DQM80" s="456"/>
      <c r="DQN80" s="456"/>
      <c r="DQO80" s="456"/>
      <c r="DQP80" s="456"/>
      <c r="DQQ80" s="456"/>
      <c r="DQR80" s="456"/>
      <c r="DQS80" s="456"/>
      <c r="DQT80" s="456"/>
      <c r="DQU80" s="456"/>
      <c r="DQV80" s="456"/>
      <c r="DQW80" s="456"/>
      <c r="DQX80" s="456"/>
      <c r="DQY80" s="456"/>
      <c r="DQZ80" s="456"/>
      <c r="DRA80" s="456"/>
      <c r="DRB80" s="456"/>
      <c r="DRC80" s="456"/>
      <c r="DRD80" s="456"/>
      <c r="DRE80" s="456"/>
      <c r="DRF80" s="456"/>
      <c r="DRG80" s="456"/>
      <c r="DRH80" s="456"/>
      <c r="DRI80" s="456"/>
      <c r="DRJ80" s="456"/>
      <c r="DRK80" s="456"/>
      <c r="DRL80" s="456"/>
      <c r="DRM80" s="456"/>
      <c r="DRN80" s="456"/>
      <c r="DRO80" s="456"/>
      <c r="DRP80" s="456"/>
      <c r="DRQ80" s="456"/>
      <c r="DRR80" s="456"/>
      <c r="DRS80" s="456"/>
      <c r="DRT80" s="456"/>
      <c r="DRU80" s="456"/>
      <c r="DRV80" s="456"/>
      <c r="DRW80" s="456"/>
      <c r="DRX80" s="456"/>
      <c r="DRY80" s="456"/>
      <c r="DRZ80" s="456"/>
      <c r="DSA80" s="456"/>
      <c r="DSB80" s="456"/>
      <c r="DSC80" s="456"/>
      <c r="DSD80" s="456"/>
      <c r="DSE80" s="456"/>
      <c r="DSF80" s="456"/>
      <c r="DSG80" s="456"/>
      <c r="DSH80" s="456"/>
      <c r="DSI80" s="456"/>
      <c r="DSJ80" s="456"/>
      <c r="DSK80" s="456"/>
      <c r="DSL80" s="456"/>
      <c r="DSM80" s="456"/>
      <c r="DSN80" s="456"/>
      <c r="DSO80" s="456"/>
      <c r="DSP80" s="456"/>
      <c r="DSQ80" s="456"/>
      <c r="DSR80" s="456"/>
      <c r="DSS80" s="456"/>
      <c r="DST80" s="456"/>
      <c r="DSU80" s="456"/>
      <c r="DSV80" s="456"/>
      <c r="DSW80" s="456"/>
      <c r="DSX80" s="456"/>
      <c r="DSY80" s="456"/>
      <c r="DSZ80" s="456"/>
      <c r="DTA80" s="456"/>
      <c r="DTB80" s="456"/>
      <c r="DTC80" s="456"/>
      <c r="DTD80" s="456"/>
      <c r="DTE80" s="456"/>
      <c r="DTF80" s="456"/>
      <c r="DTG80" s="456"/>
      <c r="DTH80" s="456"/>
      <c r="DTI80" s="456"/>
      <c r="DTJ80" s="456"/>
      <c r="DTK80" s="456"/>
      <c r="DTL80" s="456"/>
      <c r="DTM80" s="456"/>
      <c r="DTN80" s="456"/>
      <c r="DTO80" s="456"/>
      <c r="DTP80" s="456"/>
      <c r="DTQ80" s="456"/>
      <c r="DTR80" s="456"/>
      <c r="DTS80" s="456"/>
      <c r="DTT80" s="456"/>
      <c r="DTU80" s="456"/>
      <c r="DTV80" s="456"/>
      <c r="DTW80" s="456"/>
      <c r="DTX80" s="456"/>
      <c r="DTY80" s="456"/>
      <c r="DTZ80" s="456"/>
      <c r="DUA80" s="456"/>
      <c r="DUB80" s="456"/>
      <c r="DUC80" s="456"/>
      <c r="DUD80" s="456"/>
      <c r="DUE80" s="456"/>
      <c r="DUF80" s="456"/>
      <c r="DUG80" s="456"/>
      <c r="DUH80" s="456"/>
      <c r="DUI80" s="456"/>
      <c r="DUJ80" s="456"/>
      <c r="DUK80" s="456"/>
      <c r="DUL80" s="456"/>
      <c r="DUM80" s="456"/>
      <c r="DUN80" s="456"/>
      <c r="DUO80" s="456"/>
      <c r="DUP80" s="456"/>
      <c r="DUQ80" s="456"/>
      <c r="DUR80" s="456"/>
      <c r="DUS80" s="456"/>
      <c r="DUT80" s="456"/>
      <c r="DUU80" s="456"/>
      <c r="DUV80" s="456"/>
      <c r="DUW80" s="456"/>
      <c r="DUX80" s="456"/>
      <c r="DUY80" s="456"/>
      <c r="DUZ80" s="456"/>
      <c r="DVA80" s="456"/>
      <c r="DVB80" s="456"/>
      <c r="DVC80" s="456"/>
      <c r="DVD80" s="456"/>
      <c r="DVE80" s="456"/>
      <c r="DVF80" s="456"/>
      <c r="DVG80" s="456"/>
      <c r="DVH80" s="456"/>
      <c r="DVI80" s="456"/>
      <c r="DVJ80" s="456"/>
      <c r="DVK80" s="456"/>
      <c r="DVL80" s="456"/>
      <c r="DVM80" s="456"/>
      <c r="DVN80" s="456"/>
      <c r="DVO80" s="456"/>
      <c r="DVP80" s="456"/>
      <c r="DVQ80" s="456"/>
      <c r="DVR80" s="456"/>
      <c r="DVS80" s="456"/>
      <c r="DVT80" s="456"/>
      <c r="DVU80" s="456"/>
      <c r="DVV80" s="456"/>
      <c r="DVW80" s="456"/>
      <c r="DVX80" s="456"/>
      <c r="DVY80" s="456"/>
      <c r="DVZ80" s="456"/>
      <c r="DWA80" s="456"/>
      <c r="DWB80" s="456"/>
      <c r="DWC80" s="456"/>
      <c r="DWD80" s="456"/>
      <c r="DWE80" s="456"/>
      <c r="DWF80" s="456"/>
      <c r="DWG80" s="456"/>
      <c r="DWH80" s="456"/>
      <c r="DWI80" s="456"/>
      <c r="DWJ80" s="456"/>
      <c r="DWK80" s="456"/>
      <c r="DWL80" s="456"/>
      <c r="DWM80" s="456"/>
      <c r="DWN80" s="456"/>
      <c r="DWO80" s="456"/>
      <c r="DWP80" s="456"/>
      <c r="DWQ80" s="456"/>
      <c r="DWR80" s="456"/>
      <c r="DWS80" s="456"/>
      <c r="DWT80" s="456"/>
      <c r="DWU80" s="456"/>
      <c r="DWV80" s="456"/>
      <c r="DWW80" s="456"/>
      <c r="DWX80" s="456"/>
      <c r="DWY80" s="456"/>
      <c r="DWZ80" s="456"/>
      <c r="DXA80" s="456"/>
      <c r="DXB80" s="456"/>
      <c r="DXC80" s="456"/>
      <c r="DXD80" s="456"/>
      <c r="DXE80" s="456"/>
      <c r="DXF80" s="456"/>
      <c r="DXG80" s="456"/>
      <c r="DXH80" s="456"/>
      <c r="DXI80" s="456"/>
      <c r="DXJ80" s="456"/>
      <c r="DXK80" s="456"/>
      <c r="DXL80" s="456"/>
      <c r="DXM80" s="456"/>
      <c r="DXN80" s="456"/>
      <c r="DXO80" s="456"/>
      <c r="DXP80" s="456"/>
      <c r="DXQ80" s="456"/>
      <c r="DXR80" s="456"/>
      <c r="DXS80" s="456"/>
      <c r="DXT80" s="456"/>
      <c r="DXU80" s="456"/>
      <c r="DXV80" s="456"/>
      <c r="DXW80" s="456"/>
      <c r="DXX80" s="456"/>
      <c r="DXY80" s="456"/>
      <c r="DXZ80" s="456"/>
      <c r="DYA80" s="456"/>
      <c r="DYB80" s="456"/>
      <c r="DYC80" s="456"/>
      <c r="DYD80" s="456"/>
      <c r="DYE80" s="456"/>
      <c r="DYF80" s="456"/>
      <c r="DYG80" s="456"/>
      <c r="DYH80" s="456"/>
      <c r="DYI80" s="456"/>
      <c r="DYJ80" s="456"/>
      <c r="DYK80" s="456"/>
      <c r="DYL80" s="456"/>
      <c r="DYM80" s="456"/>
      <c r="DYN80" s="456"/>
      <c r="DYO80" s="456"/>
      <c r="DYP80" s="456"/>
      <c r="DYQ80" s="456"/>
      <c r="DYR80" s="456"/>
      <c r="DYS80" s="456"/>
      <c r="DYT80" s="456"/>
      <c r="DYU80" s="456"/>
      <c r="DYV80" s="456"/>
      <c r="DYW80" s="456"/>
      <c r="DYX80" s="456"/>
      <c r="DYY80" s="456"/>
      <c r="DYZ80" s="456"/>
      <c r="DZA80" s="456"/>
      <c r="DZB80" s="456"/>
      <c r="DZC80" s="456"/>
      <c r="DZD80" s="456"/>
      <c r="DZE80" s="456"/>
      <c r="DZF80" s="456"/>
      <c r="DZG80" s="456"/>
      <c r="DZH80" s="456"/>
      <c r="DZI80" s="456"/>
      <c r="DZJ80" s="456"/>
      <c r="DZK80" s="456"/>
      <c r="DZL80" s="456"/>
      <c r="DZM80" s="456"/>
      <c r="DZN80" s="456"/>
      <c r="DZO80" s="456"/>
      <c r="DZP80" s="456"/>
      <c r="DZQ80" s="456"/>
      <c r="DZR80" s="456"/>
      <c r="DZS80" s="456"/>
      <c r="DZT80" s="456"/>
      <c r="DZU80" s="456"/>
      <c r="DZV80" s="456"/>
      <c r="DZW80" s="456"/>
      <c r="DZX80" s="456"/>
      <c r="DZY80" s="456"/>
      <c r="DZZ80" s="456"/>
      <c r="EAA80" s="456"/>
      <c r="EAB80" s="456"/>
      <c r="EAC80" s="456"/>
      <c r="EAD80" s="456"/>
      <c r="EAE80" s="456"/>
      <c r="EAF80" s="456"/>
      <c r="EAG80" s="456"/>
      <c r="EAH80" s="456"/>
      <c r="EAI80" s="456"/>
      <c r="EAJ80" s="456"/>
      <c r="EAK80" s="456"/>
      <c r="EAL80" s="456"/>
      <c r="EAM80" s="456"/>
      <c r="EAN80" s="456"/>
      <c r="EAO80" s="456"/>
      <c r="EAP80" s="456"/>
      <c r="EAQ80" s="456"/>
      <c r="EAR80" s="456"/>
      <c r="EAS80" s="456"/>
      <c r="EAT80" s="456"/>
      <c r="EAU80" s="456"/>
      <c r="EAV80" s="456"/>
      <c r="EAW80" s="456"/>
      <c r="EAX80" s="456"/>
      <c r="EAY80" s="456"/>
      <c r="EAZ80" s="456"/>
      <c r="EBA80" s="456"/>
      <c r="EBB80" s="456"/>
      <c r="EBC80" s="456"/>
      <c r="EBD80" s="456"/>
      <c r="EBE80" s="456"/>
      <c r="EBF80" s="456"/>
      <c r="EBG80" s="456"/>
      <c r="EBH80" s="456"/>
      <c r="EBI80" s="456"/>
      <c r="EBJ80" s="456"/>
      <c r="EBK80" s="456"/>
      <c r="EBL80" s="456"/>
      <c r="EBM80" s="456"/>
      <c r="EBN80" s="456"/>
      <c r="EBO80" s="456"/>
      <c r="EBP80" s="456"/>
      <c r="EBQ80" s="456"/>
      <c r="EBR80" s="456"/>
      <c r="EBS80" s="456"/>
      <c r="EBT80" s="456"/>
      <c r="EBU80" s="456"/>
      <c r="EBV80" s="456"/>
      <c r="EBW80" s="456"/>
      <c r="EBX80" s="456"/>
      <c r="EBY80" s="456"/>
      <c r="EBZ80" s="456"/>
      <c r="ECA80" s="456"/>
      <c r="ECB80" s="456"/>
      <c r="ECC80" s="456"/>
      <c r="ECD80" s="456"/>
      <c r="ECE80" s="456"/>
      <c r="ECF80" s="456"/>
      <c r="ECG80" s="456"/>
      <c r="ECH80" s="456"/>
      <c r="ECI80" s="456"/>
      <c r="ECJ80" s="456"/>
      <c r="ECK80" s="456"/>
      <c r="ECL80" s="456"/>
      <c r="ECM80" s="456"/>
      <c r="ECN80" s="456"/>
      <c r="ECO80" s="456"/>
      <c r="ECP80" s="456"/>
      <c r="ECQ80" s="456"/>
      <c r="ECR80" s="456"/>
      <c r="ECS80" s="456"/>
      <c r="ECT80" s="456"/>
      <c r="ECU80" s="456"/>
      <c r="ECV80" s="456"/>
      <c r="ECW80" s="456"/>
      <c r="ECX80" s="456"/>
      <c r="ECY80" s="456"/>
      <c r="ECZ80" s="456"/>
      <c r="EDA80" s="456"/>
      <c r="EDB80" s="456"/>
      <c r="EDC80" s="456"/>
      <c r="EDD80" s="456"/>
      <c r="EDE80" s="456"/>
      <c r="EDF80" s="456"/>
      <c r="EDG80" s="456"/>
      <c r="EDH80" s="456"/>
      <c r="EDI80" s="456"/>
      <c r="EDJ80" s="456"/>
      <c r="EDK80" s="456"/>
      <c r="EDL80" s="456"/>
      <c r="EDM80" s="456"/>
      <c r="EDN80" s="456"/>
      <c r="EDO80" s="456"/>
      <c r="EDP80" s="456"/>
      <c r="EDQ80" s="456"/>
      <c r="EDR80" s="456"/>
      <c r="EDS80" s="456"/>
      <c r="EDT80" s="456"/>
      <c r="EDU80" s="456"/>
      <c r="EDV80" s="456"/>
      <c r="EDW80" s="456"/>
      <c r="EDX80" s="456"/>
      <c r="EDY80" s="456"/>
      <c r="EDZ80" s="456"/>
      <c r="EEA80" s="456"/>
      <c r="EEB80" s="456"/>
      <c r="EEC80" s="456"/>
      <c r="EED80" s="456"/>
      <c r="EEE80" s="456"/>
      <c r="EEF80" s="456"/>
      <c r="EEG80" s="456"/>
      <c r="EEH80" s="456"/>
      <c r="EEI80" s="456"/>
      <c r="EEJ80" s="456"/>
      <c r="EEK80" s="456"/>
      <c r="EEL80" s="456"/>
      <c r="EEM80" s="456"/>
      <c r="EEN80" s="456"/>
      <c r="EEO80" s="456"/>
      <c r="EEP80" s="456"/>
      <c r="EEQ80" s="456"/>
      <c r="EER80" s="456"/>
      <c r="EES80" s="456"/>
      <c r="EET80" s="456"/>
      <c r="EEU80" s="456"/>
      <c r="EEV80" s="456"/>
      <c r="EEW80" s="456"/>
      <c r="EEX80" s="456"/>
      <c r="EEY80" s="456"/>
      <c r="EEZ80" s="456"/>
      <c r="EFA80" s="456"/>
      <c r="EFB80" s="456"/>
      <c r="EFC80" s="456"/>
      <c r="EFD80" s="456"/>
      <c r="EFE80" s="456"/>
      <c r="EFF80" s="456"/>
      <c r="EFG80" s="456"/>
      <c r="EFH80" s="456"/>
      <c r="EFI80" s="456"/>
      <c r="EFJ80" s="456"/>
      <c r="EFK80" s="456"/>
      <c r="EFL80" s="456"/>
      <c r="EFM80" s="456"/>
      <c r="EFN80" s="456"/>
      <c r="EFO80" s="456"/>
      <c r="EFP80" s="456"/>
      <c r="EFQ80" s="456"/>
      <c r="EFR80" s="456"/>
      <c r="EFS80" s="456"/>
      <c r="EFT80" s="456"/>
      <c r="EFU80" s="456"/>
      <c r="EFV80" s="456"/>
      <c r="EFW80" s="456"/>
      <c r="EFX80" s="456"/>
      <c r="EFY80" s="456"/>
      <c r="EFZ80" s="456"/>
      <c r="EGA80" s="456"/>
      <c r="EGB80" s="456"/>
      <c r="EGC80" s="456"/>
      <c r="EGD80" s="456"/>
      <c r="EGE80" s="456"/>
      <c r="EGF80" s="456"/>
      <c r="EGG80" s="456"/>
      <c r="EGH80" s="456"/>
      <c r="EGI80" s="456"/>
      <c r="EGJ80" s="456"/>
      <c r="EGK80" s="456"/>
      <c r="EGL80" s="456"/>
      <c r="EGM80" s="456"/>
      <c r="EGN80" s="456"/>
      <c r="EGO80" s="456"/>
      <c r="EGP80" s="456"/>
      <c r="EGQ80" s="456"/>
      <c r="EGR80" s="456"/>
      <c r="EGS80" s="456"/>
      <c r="EGT80" s="456"/>
      <c r="EGU80" s="456"/>
      <c r="EGV80" s="456"/>
      <c r="EGW80" s="456"/>
      <c r="EGX80" s="456"/>
      <c r="EGY80" s="456"/>
      <c r="EGZ80" s="456"/>
      <c r="EHA80" s="456"/>
      <c r="EHB80" s="456"/>
      <c r="EHC80" s="456"/>
      <c r="EHD80" s="456"/>
      <c r="EHE80" s="456"/>
      <c r="EHF80" s="456"/>
      <c r="EHG80" s="456"/>
      <c r="EHH80" s="456"/>
      <c r="EHI80" s="456"/>
      <c r="EHJ80" s="456"/>
      <c r="EHK80" s="456"/>
      <c r="EHL80" s="456"/>
      <c r="EHM80" s="456"/>
      <c r="EHN80" s="456"/>
      <c r="EHO80" s="456"/>
      <c r="EHP80" s="456"/>
      <c r="EHQ80" s="456"/>
      <c r="EHR80" s="456"/>
      <c r="EHS80" s="456"/>
      <c r="EHT80" s="456"/>
      <c r="EHU80" s="456"/>
      <c r="EHV80" s="456"/>
      <c r="EHW80" s="456"/>
      <c r="EHX80" s="456"/>
      <c r="EHY80" s="456"/>
      <c r="EHZ80" s="456"/>
      <c r="EIA80" s="456"/>
      <c r="EIB80" s="456"/>
      <c r="EIC80" s="456"/>
      <c r="EID80" s="456"/>
      <c r="EIE80" s="456"/>
      <c r="EIF80" s="456"/>
      <c r="EIG80" s="456"/>
      <c r="EIH80" s="456"/>
      <c r="EII80" s="456"/>
      <c r="EIJ80" s="456"/>
      <c r="EIK80" s="456"/>
      <c r="EIL80" s="456"/>
      <c r="EIM80" s="456"/>
      <c r="EIN80" s="456"/>
      <c r="EIO80" s="456"/>
      <c r="EIP80" s="456"/>
      <c r="EIQ80" s="456"/>
      <c r="EIR80" s="456"/>
      <c r="EIS80" s="456"/>
      <c r="EIT80" s="456"/>
      <c r="EIU80" s="456"/>
      <c r="EIV80" s="456"/>
      <c r="EIW80" s="456"/>
      <c r="EIX80" s="456"/>
      <c r="EIY80" s="456"/>
      <c r="EIZ80" s="456"/>
      <c r="EJA80" s="456"/>
      <c r="EJB80" s="456"/>
      <c r="EJC80" s="456"/>
      <c r="EJD80" s="456"/>
      <c r="EJE80" s="456"/>
      <c r="EJF80" s="456"/>
      <c r="EJG80" s="456"/>
      <c r="EJH80" s="456"/>
      <c r="EJI80" s="456"/>
      <c r="EJJ80" s="456"/>
      <c r="EJK80" s="456"/>
      <c r="EJL80" s="456"/>
      <c r="EJM80" s="456"/>
      <c r="EJN80" s="456"/>
      <c r="EJO80" s="456"/>
      <c r="EJP80" s="456"/>
      <c r="EJQ80" s="456"/>
      <c r="EJR80" s="456"/>
      <c r="EJS80" s="456"/>
      <c r="EJT80" s="456"/>
      <c r="EJU80" s="456"/>
      <c r="EJV80" s="456"/>
      <c r="EJW80" s="456"/>
      <c r="EJX80" s="456"/>
      <c r="EJY80" s="456"/>
      <c r="EJZ80" s="456"/>
      <c r="EKA80" s="456"/>
      <c r="EKB80" s="456"/>
      <c r="EKC80" s="456"/>
      <c r="EKD80" s="456"/>
      <c r="EKE80" s="456"/>
      <c r="EKF80" s="456"/>
      <c r="EKG80" s="456"/>
      <c r="EKH80" s="456"/>
      <c r="EKI80" s="456"/>
      <c r="EKJ80" s="456"/>
      <c r="EKK80" s="456"/>
      <c r="EKL80" s="456"/>
      <c r="EKM80" s="456"/>
      <c r="EKN80" s="456"/>
      <c r="EKO80" s="456"/>
      <c r="EKP80" s="456"/>
      <c r="EKQ80" s="456"/>
      <c r="EKR80" s="456"/>
      <c r="EKS80" s="456"/>
      <c r="EKT80" s="456"/>
      <c r="EKU80" s="456"/>
      <c r="EKV80" s="456"/>
      <c r="EKW80" s="456"/>
      <c r="EKX80" s="456"/>
      <c r="EKY80" s="456"/>
      <c r="EKZ80" s="456"/>
      <c r="ELA80" s="456"/>
      <c r="ELB80" s="456"/>
      <c r="ELC80" s="456"/>
      <c r="ELD80" s="456"/>
      <c r="ELE80" s="456"/>
      <c r="ELF80" s="456"/>
      <c r="ELG80" s="456"/>
      <c r="ELH80" s="456"/>
      <c r="ELI80" s="456"/>
      <c r="ELJ80" s="456"/>
      <c r="ELK80" s="456"/>
      <c r="ELL80" s="456"/>
      <c r="ELM80" s="456"/>
      <c r="ELN80" s="456"/>
      <c r="ELO80" s="456"/>
      <c r="ELP80" s="456"/>
      <c r="ELQ80" s="456"/>
      <c r="ELR80" s="456"/>
      <c r="ELS80" s="456"/>
      <c r="ELT80" s="456"/>
      <c r="ELU80" s="456"/>
      <c r="ELV80" s="456"/>
      <c r="ELW80" s="456"/>
      <c r="ELX80" s="456"/>
      <c r="ELY80" s="456"/>
      <c r="ELZ80" s="456"/>
      <c r="EMA80" s="456"/>
      <c r="EMB80" s="456"/>
      <c r="EMC80" s="456"/>
      <c r="EMD80" s="456"/>
      <c r="EME80" s="456"/>
      <c r="EMF80" s="456"/>
      <c r="EMG80" s="456"/>
      <c r="EMH80" s="456"/>
      <c r="EMI80" s="456"/>
      <c r="EMJ80" s="456"/>
      <c r="EMK80" s="456"/>
      <c r="EML80" s="456"/>
      <c r="EMM80" s="456"/>
      <c r="EMN80" s="456"/>
      <c r="EMO80" s="456"/>
      <c r="EMP80" s="456"/>
      <c r="EMQ80" s="456"/>
      <c r="EMR80" s="456"/>
      <c r="EMS80" s="456"/>
      <c r="EMT80" s="456"/>
      <c r="EMU80" s="456"/>
      <c r="EMV80" s="456"/>
      <c r="EMW80" s="456"/>
      <c r="EMX80" s="456"/>
      <c r="EMY80" s="456"/>
      <c r="EMZ80" s="456"/>
      <c r="ENA80" s="456"/>
      <c r="ENB80" s="456"/>
      <c r="ENC80" s="456"/>
      <c r="END80" s="456"/>
      <c r="ENE80" s="456"/>
      <c r="ENF80" s="456"/>
      <c r="ENG80" s="456"/>
      <c r="ENH80" s="456"/>
      <c r="ENI80" s="456"/>
      <c r="ENJ80" s="456"/>
      <c r="ENK80" s="456"/>
      <c r="ENL80" s="456"/>
      <c r="ENM80" s="456"/>
      <c r="ENN80" s="456"/>
      <c r="ENO80" s="456"/>
      <c r="ENP80" s="456"/>
      <c r="ENQ80" s="456"/>
      <c r="ENR80" s="456"/>
      <c r="ENS80" s="456"/>
      <c r="ENT80" s="456"/>
      <c r="ENU80" s="456"/>
      <c r="ENV80" s="456"/>
      <c r="ENW80" s="456"/>
      <c r="ENX80" s="456"/>
      <c r="ENY80" s="456"/>
      <c r="ENZ80" s="456"/>
      <c r="EOA80" s="456"/>
      <c r="EOB80" s="456"/>
      <c r="EOC80" s="456"/>
      <c r="EOD80" s="456"/>
      <c r="EOE80" s="456"/>
      <c r="EOF80" s="456"/>
      <c r="EOG80" s="456"/>
      <c r="EOH80" s="456"/>
      <c r="EOI80" s="456"/>
      <c r="EOJ80" s="456"/>
      <c r="EOK80" s="456"/>
      <c r="EOL80" s="456"/>
      <c r="EOM80" s="456"/>
      <c r="EON80" s="456"/>
      <c r="EOO80" s="456"/>
      <c r="EOP80" s="456"/>
      <c r="EOQ80" s="456"/>
      <c r="EOR80" s="456"/>
      <c r="EOS80" s="456"/>
      <c r="EOT80" s="456"/>
      <c r="EOU80" s="456"/>
      <c r="EOV80" s="456"/>
      <c r="EOW80" s="456"/>
      <c r="EOX80" s="456"/>
      <c r="EOY80" s="456"/>
      <c r="EOZ80" s="456"/>
      <c r="EPA80" s="456"/>
      <c r="EPB80" s="456"/>
      <c r="EPC80" s="456"/>
      <c r="EPD80" s="456"/>
      <c r="EPE80" s="456"/>
      <c r="EPF80" s="456"/>
      <c r="EPG80" s="456"/>
      <c r="EPH80" s="456"/>
      <c r="EPI80" s="456"/>
      <c r="EPJ80" s="456"/>
      <c r="EPK80" s="456"/>
      <c r="EPL80" s="456"/>
      <c r="EPM80" s="456"/>
      <c r="EPN80" s="456"/>
      <c r="EPO80" s="456"/>
      <c r="EPP80" s="456"/>
      <c r="EPQ80" s="456"/>
      <c r="EPR80" s="456"/>
      <c r="EPS80" s="456"/>
      <c r="EPT80" s="456"/>
      <c r="EPU80" s="456"/>
      <c r="EPV80" s="456"/>
      <c r="EPW80" s="456"/>
      <c r="EPX80" s="456"/>
      <c r="EPY80" s="456"/>
      <c r="EPZ80" s="456"/>
      <c r="EQA80" s="456"/>
      <c r="EQB80" s="456"/>
      <c r="EQC80" s="456"/>
      <c r="EQD80" s="456"/>
      <c r="EQE80" s="456"/>
      <c r="EQF80" s="456"/>
      <c r="EQG80" s="456"/>
      <c r="EQH80" s="456"/>
      <c r="EQI80" s="456"/>
      <c r="EQJ80" s="456"/>
      <c r="EQK80" s="456"/>
      <c r="EQL80" s="456"/>
      <c r="EQM80" s="456"/>
      <c r="EQN80" s="456"/>
      <c r="EQO80" s="456"/>
      <c r="EQP80" s="456"/>
      <c r="EQQ80" s="456"/>
      <c r="EQR80" s="456"/>
      <c r="EQS80" s="456"/>
      <c r="EQT80" s="456"/>
      <c r="EQU80" s="456"/>
      <c r="EQV80" s="456"/>
      <c r="EQW80" s="456"/>
      <c r="EQX80" s="456"/>
      <c r="EQY80" s="456"/>
      <c r="EQZ80" s="456"/>
      <c r="ERA80" s="456"/>
      <c r="ERB80" s="456"/>
      <c r="ERC80" s="456"/>
      <c r="ERD80" s="456"/>
      <c r="ERE80" s="456"/>
      <c r="ERF80" s="456"/>
      <c r="ERG80" s="456"/>
      <c r="ERH80" s="456"/>
      <c r="ERI80" s="456"/>
      <c r="ERJ80" s="456"/>
      <c r="ERK80" s="456"/>
      <c r="ERL80" s="456"/>
      <c r="ERM80" s="456"/>
      <c r="ERN80" s="456"/>
      <c r="ERO80" s="456"/>
      <c r="ERP80" s="456"/>
      <c r="ERQ80" s="456"/>
      <c r="ERR80" s="456"/>
      <c r="ERS80" s="456"/>
      <c r="ERT80" s="456"/>
      <c r="ERU80" s="456"/>
      <c r="ERV80" s="456"/>
      <c r="ERW80" s="456"/>
      <c r="ERX80" s="456"/>
      <c r="ERY80" s="456"/>
      <c r="ERZ80" s="456"/>
      <c r="ESA80" s="456"/>
      <c r="ESB80" s="456"/>
      <c r="ESC80" s="456"/>
      <c r="ESD80" s="456"/>
      <c r="ESE80" s="456"/>
      <c r="ESF80" s="456"/>
      <c r="ESG80" s="456"/>
      <c r="ESH80" s="456"/>
      <c r="ESI80" s="456"/>
      <c r="ESJ80" s="456"/>
      <c r="ESK80" s="456"/>
      <c r="ESL80" s="456"/>
      <c r="ESM80" s="456"/>
      <c r="ESN80" s="456"/>
      <c r="ESO80" s="456"/>
      <c r="ESP80" s="456"/>
      <c r="ESQ80" s="456"/>
      <c r="ESR80" s="456"/>
      <c r="ESS80" s="456"/>
      <c r="EST80" s="456"/>
      <c r="ESU80" s="456"/>
      <c r="ESV80" s="456"/>
      <c r="ESW80" s="456"/>
      <c r="ESX80" s="456"/>
      <c r="ESY80" s="456"/>
      <c r="ESZ80" s="456"/>
      <c r="ETA80" s="456"/>
      <c r="ETB80" s="456"/>
      <c r="ETC80" s="456"/>
      <c r="ETD80" s="456"/>
      <c r="ETE80" s="456"/>
      <c r="ETF80" s="456"/>
      <c r="ETG80" s="456"/>
      <c r="ETH80" s="456"/>
      <c r="ETI80" s="456"/>
      <c r="ETJ80" s="456"/>
      <c r="ETK80" s="456"/>
      <c r="ETL80" s="456"/>
      <c r="ETM80" s="456"/>
      <c r="ETN80" s="456"/>
      <c r="ETO80" s="456"/>
      <c r="ETP80" s="456"/>
      <c r="ETQ80" s="456"/>
      <c r="ETR80" s="456"/>
      <c r="ETS80" s="456"/>
      <c r="ETT80" s="456"/>
      <c r="ETU80" s="456"/>
      <c r="ETV80" s="456"/>
      <c r="ETW80" s="456"/>
      <c r="ETX80" s="456"/>
      <c r="ETY80" s="456"/>
      <c r="ETZ80" s="456"/>
      <c r="EUA80" s="456"/>
      <c r="EUB80" s="456"/>
      <c r="EUC80" s="456"/>
      <c r="EUD80" s="456"/>
      <c r="EUE80" s="456"/>
      <c r="EUF80" s="456"/>
      <c r="EUG80" s="456"/>
      <c r="EUH80" s="456"/>
      <c r="EUI80" s="456"/>
      <c r="EUJ80" s="456"/>
      <c r="EUK80" s="456"/>
      <c r="EUL80" s="456"/>
      <c r="EUM80" s="456"/>
      <c r="EUN80" s="456"/>
      <c r="EUO80" s="456"/>
      <c r="EUP80" s="456"/>
      <c r="EUQ80" s="456"/>
      <c r="EUR80" s="456"/>
      <c r="EUS80" s="456"/>
      <c r="EUT80" s="456"/>
      <c r="EUU80" s="456"/>
      <c r="EUV80" s="456"/>
      <c r="EUW80" s="456"/>
      <c r="EUX80" s="456"/>
      <c r="EUY80" s="456"/>
      <c r="EUZ80" s="456"/>
      <c r="EVA80" s="456"/>
      <c r="EVB80" s="456"/>
      <c r="EVC80" s="456"/>
      <c r="EVD80" s="456"/>
      <c r="EVE80" s="456"/>
      <c r="EVF80" s="456"/>
      <c r="EVG80" s="456"/>
      <c r="EVH80" s="456"/>
      <c r="EVI80" s="456"/>
      <c r="EVJ80" s="456"/>
      <c r="EVK80" s="456"/>
      <c r="EVL80" s="456"/>
      <c r="EVM80" s="456"/>
      <c r="EVN80" s="456"/>
      <c r="EVO80" s="456"/>
      <c r="EVP80" s="456"/>
      <c r="EVQ80" s="456"/>
      <c r="EVR80" s="456"/>
      <c r="EVS80" s="456"/>
      <c r="EVT80" s="456"/>
      <c r="EVU80" s="456"/>
      <c r="EVV80" s="456"/>
      <c r="EVW80" s="456"/>
      <c r="EVX80" s="456"/>
      <c r="EVY80" s="456"/>
      <c r="EVZ80" s="456"/>
      <c r="EWA80" s="456"/>
      <c r="EWB80" s="456"/>
      <c r="EWC80" s="456"/>
      <c r="EWD80" s="456"/>
      <c r="EWE80" s="456"/>
      <c r="EWF80" s="456"/>
      <c r="EWG80" s="456"/>
      <c r="EWH80" s="456"/>
      <c r="EWI80" s="456"/>
      <c r="EWJ80" s="456"/>
      <c r="EWK80" s="456"/>
      <c r="EWL80" s="456"/>
      <c r="EWM80" s="456"/>
      <c r="EWN80" s="456"/>
      <c r="EWO80" s="456"/>
      <c r="EWP80" s="456"/>
      <c r="EWQ80" s="456"/>
      <c r="EWR80" s="456"/>
      <c r="EWS80" s="456"/>
      <c r="EWT80" s="456"/>
      <c r="EWU80" s="456"/>
      <c r="EWV80" s="456"/>
      <c r="EWW80" s="456"/>
      <c r="EWX80" s="456"/>
      <c r="EWY80" s="456"/>
      <c r="EWZ80" s="456"/>
      <c r="EXA80" s="456"/>
      <c r="EXB80" s="456"/>
      <c r="EXC80" s="456"/>
      <c r="EXD80" s="456"/>
      <c r="EXE80" s="456"/>
      <c r="EXF80" s="456"/>
      <c r="EXG80" s="456"/>
      <c r="EXH80" s="456"/>
      <c r="EXI80" s="456"/>
      <c r="EXJ80" s="456"/>
      <c r="EXK80" s="456"/>
      <c r="EXL80" s="456"/>
      <c r="EXM80" s="456"/>
      <c r="EXN80" s="456"/>
      <c r="EXO80" s="456"/>
      <c r="EXP80" s="456"/>
      <c r="EXQ80" s="456"/>
      <c r="EXR80" s="456"/>
      <c r="EXS80" s="456"/>
      <c r="EXT80" s="456"/>
      <c r="EXU80" s="456"/>
      <c r="EXV80" s="456"/>
      <c r="EXW80" s="456"/>
      <c r="EXX80" s="456"/>
      <c r="EXY80" s="456"/>
      <c r="EXZ80" s="456"/>
      <c r="EYA80" s="456"/>
      <c r="EYB80" s="456"/>
      <c r="EYC80" s="456"/>
      <c r="EYD80" s="456"/>
      <c r="EYE80" s="456"/>
      <c r="EYF80" s="456"/>
      <c r="EYG80" s="456"/>
      <c r="EYH80" s="456"/>
      <c r="EYI80" s="456"/>
      <c r="EYJ80" s="456"/>
      <c r="EYK80" s="456"/>
      <c r="EYL80" s="456"/>
      <c r="EYM80" s="456"/>
      <c r="EYN80" s="456"/>
      <c r="EYO80" s="456"/>
      <c r="EYP80" s="456"/>
      <c r="EYQ80" s="456"/>
      <c r="EYR80" s="456"/>
      <c r="EYS80" s="456"/>
      <c r="EYT80" s="456"/>
      <c r="EYU80" s="456"/>
      <c r="EYV80" s="456"/>
      <c r="EYW80" s="456"/>
      <c r="EYX80" s="456"/>
      <c r="EYY80" s="456"/>
      <c r="EYZ80" s="456"/>
      <c r="EZA80" s="456"/>
      <c r="EZB80" s="456"/>
      <c r="EZC80" s="456"/>
      <c r="EZD80" s="456"/>
      <c r="EZE80" s="456"/>
      <c r="EZF80" s="456"/>
      <c r="EZG80" s="456"/>
      <c r="EZH80" s="456"/>
      <c r="EZI80" s="456"/>
      <c r="EZJ80" s="456"/>
      <c r="EZK80" s="456"/>
      <c r="EZL80" s="456"/>
      <c r="EZM80" s="456"/>
      <c r="EZN80" s="456"/>
      <c r="EZO80" s="456"/>
      <c r="EZP80" s="456"/>
      <c r="EZQ80" s="456"/>
      <c r="EZR80" s="456"/>
      <c r="EZS80" s="456"/>
      <c r="EZT80" s="456"/>
      <c r="EZU80" s="456"/>
      <c r="EZV80" s="456"/>
      <c r="EZW80" s="456"/>
      <c r="EZX80" s="456"/>
      <c r="EZY80" s="456"/>
      <c r="EZZ80" s="456"/>
      <c r="FAA80" s="456"/>
      <c r="FAB80" s="456"/>
      <c r="FAC80" s="456"/>
      <c r="FAD80" s="456"/>
      <c r="FAE80" s="456"/>
      <c r="FAF80" s="456"/>
      <c r="FAG80" s="456"/>
      <c r="FAH80" s="456"/>
      <c r="FAI80" s="456"/>
      <c r="FAJ80" s="456"/>
      <c r="FAK80" s="456"/>
      <c r="FAL80" s="456"/>
      <c r="FAM80" s="456"/>
      <c r="FAN80" s="456"/>
      <c r="FAO80" s="456"/>
      <c r="FAP80" s="456"/>
      <c r="FAQ80" s="456"/>
      <c r="FAR80" s="456"/>
      <c r="FAS80" s="456"/>
      <c r="FAT80" s="456"/>
      <c r="FAU80" s="456"/>
      <c r="FAV80" s="456"/>
      <c r="FAW80" s="456"/>
      <c r="FAX80" s="456"/>
      <c r="FAY80" s="456"/>
      <c r="FAZ80" s="456"/>
      <c r="FBA80" s="456"/>
      <c r="FBB80" s="456"/>
      <c r="FBC80" s="456"/>
      <c r="FBD80" s="456"/>
      <c r="FBE80" s="456"/>
      <c r="FBF80" s="456"/>
      <c r="FBG80" s="456"/>
      <c r="FBH80" s="456"/>
      <c r="FBI80" s="456"/>
      <c r="FBJ80" s="456"/>
      <c r="FBK80" s="456"/>
      <c r="FBL80" s="456"/>
      <c r="FBM80" s="456"/>
      <c r="FBN80" s="456"/>
      <c r="FBO80" s="456"/>
      <c r="FBP80" s="456"/>
      <c r="FBQ80" s="456"/>
      <c r="FBR80" s="456"/>
      <c r="FBS80" s="456"/>
      <c r="FBT80" s="456"/>
      <c r="FBU80" s="456"/>
      <c r="FBV80" s="456"/>
      <c r="FBW80" s="456"/>
      <c r="FBX80" s="456"/>
      <c r="FBY80" s="456"/>
      <c r="FBZ80" s="456"/>
      <c r="FCA80" s="456"/>
      <c r="FCB80" s="456"/>
      <c r="FCC80" s="456"/>
      <c r="FCD80" s="456"/>
      <c r="FCE80" s="456"/>
      <c r="FCF80" s="456"/>
      <c r="FCG80" s="456"/>
      <c r="FCH80" s="456"/>
      <c r="FCI80" s="456"/>
      <c r="FCJ80" s="456"/>
      <c r="FCK80" s="456"/>
      <c r="FCL80" s="456"/>
      <c r="FCM80" s="456"/>
      <c r="FCN80" s="456"/>
      <c r="FCO80" s="456"/>
      <c r="FCP80" s="456"/>
      <c r="FCQ80" s="456"/>
      <c r="FCR80" s="456"/>
      <c r="FCS80" s="456"/>
      <c r="FCT80" s="456"/>
      <c r="FCU80" s="456"/>
      <c r="FCV80" s="456"/>
      <c r="FCW80" s="456"/>
      <c r="FCX80" s="456"/>
      <c r="FCY80" s="456"/>
      <c r="FCZ80" s="456"/>
      <c r="FDA80" s="456"/>
      <c r="FDB80" s="456"/>
      <c r="FDC80" s="456"/>
      <c r="FDD80" s="456"/>
      <c r="FDE80" s="456"/>
      <c r="FDF80" s="456"/>
      <c r="FDG80" s="456"/>
      <c r="FDH80" s="456"/>
      <c r="FDI80" s="456"/>
      <c r="FDJ80" s="456"/>
      <c r="FDK80" s="456"/>
      <c r="FDL80" s="456"/>
      <c r="FDM80" s="456"/>
      <c r="FDN80" s="456"/>
      <c r="FDO80" s="456"/>
      <c r="FDP80" s="456"/>
      <c r="FDQ80" s="456"/>
      <c r="FDR80" s="456"/>
      <c r="FDS80" s="456"/>
      <c r="FDT80" s="456"/>
      <c r="FDU80" s="456"/>
      <c r="FDV80" s="456"/>
      <c r="FDW80" s="456"/>
      <c r="FDX80" s="456"/>
      <c r="FDY80" s="456"/>
      <c r="FDZ80" s="456"/>
      <c r="FEA80" s="456"/>
      <c r="FEB80" s="456"/>
      <c r="FEC80" s="456"/>
      <c r="FED80" s="456"/>
      <c r="FEE80" s="456"/>
      <c r="FEF80" s="456"/>
      <c r="FEG80" s="456"/>
      <c r="FEH80" s="456"/>
      <c r="FEI80" s="456"/>
      <c r="FEJ80" s="456"/>
      <c r="FEK80" s="456"/>
      <c r="FEL80" s="456"/>
      <c r="FEM80" s="456"/>
      <c r="FEN80" s="456"/>
      <c r="FEO80" s="456"/>
      <c r="FEP80" s="456"/>
      <c r="FEQ80" s="456"/>
      <c r="FER80" s="456"/>
      <c r="FES80" s="456"/>
      <c r="FET80" s="456"/>
      <c r="FEU80" s="456"/>
      <c r="FEV80" s="456"/>
      <c r="FEW80" s="456"/>
      <c r="FEX80" s="456"/>
      <c r="FEY80" s="456"/>
      <c r="FEZ80" s="456"/>
      <c r="FFA80" s="456"/>
      <c r="FFB80" s="456"/>
      <c r="FFC80" s="456"/>
      <c r="FFD80" s="456"/>
      <c r="FFE80" s="456"/>
      <c r="FFF80" s="456"/>
      <c r="FFG80" s="456"/>
      <c r="FFH80" s="456"/>
      <c r="FFI80" s="456"/>
      <c r="FFJ80" s="456"/>
      <c r="FFK80" s="456"/>
      <c r="FFL80" s="456"/>
      <c r="FFM80" s="456"/>
      <c r="FFN80" s="456"/>
      <c r="FFO80" s="456"/>
      <c r="FFP80" s="456"/>
      <c r="FFQ80" s="456"/>
      <c r="FFR80" s="456"/>
      <c r="FFS80" s="456"/>
      <c r="FFT80" s="456"/>
      <c r="FFU80" s="456"/>
      <c r="FFV80" s="456"/>
      <c r="FFW80" s="456"/>
      <c r="FFX80" s="456"/>
      <c r="FFY80" s="456"/>
      <c r="FFZ80" s="456"/>
      <c r="FGA80" s="456"/>
      <c r="FGB80" s="456"/>
      <c r="FGC80" s="456"/>
      <c r="FGD80" s="456"/>
      <c r="FGE80" s="456"/>
      <c r="FGF80" s="456"/>
      <c r="FGG80" s="456"/>
      <c r="FGH80" s="456"/>
      <c r="FGI80" s="456"/>
      <c r="FGJ80" s="456"/>
      <c r="FGK80" s="456"/>
      <c r="FGL80" s="456"/>
      <c r="FGM80" s="456"/>
      <c r="FGN80" s="456"/>
      <c r="FGO80" s="456"/>
      <c r="FGP80" s="456"/>
      <c r="FGQ80" s="456"/>
      <c r="FGR80" s="456"/>
      <c r="FGS80" s="456"/>
      <c r="FGT80" s="456"/>
      <c r="FGU80" s="456"/>
      <c r="FGV80" s="456"/>
      <c r="FGW80" s="456"/>
      <c r="FGX80" s="456"/>
      <c r="FGY80" s="456"/>
      <c r="FGZ80" s="456"/>
      <c r="FHA80" s="456"/>
      <c r="FHB80" s="456"/>
      <c r="FHC80" s="456"/>
      <c r="FHD80" s="456"/>
      <c r="FHE80" s="456"/>
      <c r="FHF80" s="456"/>
      <c r="FHG80" s="456"/>
      <c r="FHH80" s="456"/>
      <c r="FHI80" s="456"/>
      <c r="FHJ80" s="456"/>
      <c r="FHK80" s="456"/>
      <c r="FHL80" s="456"/>
      <c r="FHM80" s="456"/>
      <c r="FHN80" s="456"/>
      <c r="FHO80" s="456"/>
      <c r="FHP80" s="456"/>
      <c r="FHQ80" s="456"/>
      <c r="FHR80" s="456"/>
      <c r="FHS80" s="456"/>
      <c r="FHT80" s="456"/>
      <c r="FHU80" s="456"/>
      <c r="FHV80" s="456"/>
      <c r="FHW80" s="456"/>
      <c r="FHX80" s="456"/>
      <c r="FHY80" s="456"/>
      <c r="FHZ80" s="456"/>
      <c r="FIA80" s="456"/>
      <c r="FIB80" s="456"/>
      <c r="FIC80" s="456"/>
      <c r="FID80" s="456"/>
      <c r="FIE80" s="456"/>
      <c r="FIF80" s="456"/>
      <c r="FIG80" s="456"/>
      <c r="FIH80" s="456"/>
      <c r="FII80" s="456"/>
      <c r="FIJ80" s="456"/>
      <c r="FIK80" s="456"/>
      <c r="FIL80" s="456"/>
      <c r="FIM80" s="456"/>
      <c r="FIN80" s="456"/>
      <c r="FIO80" s="456"/>
      <c r="FIP80" s="456"/>
      <c r="FIQ80" s="456"/>
      <c r="FIR80" s="456"/>
      <c r="FIS80" s="456"/>
      <c r="FIT80" s="456"/>
      <c r="FIU80" s="456"/>
      <c r="FIV80" s="456"/>
      <c r="FIW80" s="456"/>
      <c r="FIX80" s="456"/>
      <c r="FIY80" s="456"/>
      <c r="FIZ80" s="456"/>
      <c r="FJA80" s="456"/>
      <c r="FJB80" s="456"/>
      <c r="FJC80" s="456"/>
      <c r="FJD80" s="456"/>
      <c r="FJE80" s="456"/>
      <c r="FJF80" s="456"/>
      <c r="FJG80" s="456"/>
      <c r="FJH80" s="456"/>
      <c r="FJI80" s="456"/>
      <c r="FJJ80" s="456"/>
      <c r="FJK80" s="456"/>
      <c r="FJL80" s="456"/>
      <c r="FJM80" s="456"/>
      <c r="FJN80" s="456"/>
      <c r="FJO80" s="456"/>
      <c r="FJP80" s="456"/>
      <c r="FJQ80" s="456"/>
      <c r="FJR80" s="456"/>
      <c r="FJS80" s="456"/>
      <c r="FJT80" s="456"/>
      <c r="FJU80" s="456"/>
      <c r="FJV80" s="456"/>
      <c r="FJW80" s="456"/>
      <c r="FJX80" s="456"/>
      <c r="FJY80" s="456"/>
      <c r="FJZ80" s="456"/>
      <c r="FKA80" s="456"/>
      <c r="FKB80" s="456"/>
      <c r="FKC80" s="456"/>
      <c r="FKD80" s="456"/>
      <c r="FKE80" s="456"/>
      <c r="FKF80" s="456"/>
      <c r="FKG80" s="456"/>
      <c r="FKH80" s="456"/>
      <c r="FKI80" s="456"/>
      <c r="FKJ80" s="456"/>
      <c r="FKK80" s="456"/>
      <c r="FKL80" s="456"/>
      <c r="FKM80" s="456"/>
      <c r="FKN80" s="456"/>
      <c r="FKO80" s="456"/>
      <c r="FKP80" s="456"/>
      <c r="FKQ80" s="456"/>
      <c r="FKR80" s="456"/>
      <c r="FKS80" s="456"/>
      <c r="FKT80" s="456"/>
      <c r="FKU80" s="456"/>
      <c r="FKV80" s="456"/>
      <c r="FKW80" s="456"/>
      <c r="FKX80" s="456"/>
      <c r="FKY80" s="456"/>
      <c r="FKZ80" s="456"/>
      <c r="FLA80" s="456"/>
      <c r="FLB80" s="456"/>
      <c r="FLC80" s="456"/>
      <c r="FLD80" s="456"/>
      <c r="FLE80" s="456"/>
      <c r="FLF80" s="456"/>
      <c r="FLG80" s="456"/>
      <c r="FLH80" s="456"/>
      <c r="FLI80" s="456"/>
      <c r="FLJ80" s="456"/>
      <c r="FLK80" s="456"/>
      <c r="FLL80" s="456"/>
      <c r="FLM80" s="456"/>
      <c r="FLN80" s="456"/>
      <c r="FLO80" s="456"/>
      <c r="FLP80" s="456"/>
      <c r="FLQ80" s="456"/>
      <c r="FLR80" s="456"/>
      <c r="FLS80" s="456"/>
      <c r="FLT80" s="456"/>
      <c r="FLU80" s="456"/>
      <c r="FLV80" s="456"/>
      <c r="FLW80" s="456"/>
      <c r="FLX80" s="456"/>
      <c r="FLY80" s="456"/>
      <c r="FLZ80" s="456"/>
      <c r="FMA80" s="456"/>
      <c r="FMB80" s="456"/>
      <c r="FMC80" s="456"/>
      <c r="FMD80" s="456"/>
      <c r="FME80" s="456"/>
      <c r="FMF80" s="456"/>
      <c r="FMG80" s="456"/>
      <c r="FMH80" s="456"/>
      <c r="FMI80" s="456"/>
      <c r="FMJ80" s="456"/>
      <c r="FMK80" s="456"/>
      <c r="FML80" s="456"/>
      <c r="FMM80" s="456"/>
      <c r="FMN80" s="456"/>
      <c r="FMO80" s="456"/>
      <c r="FMP80" s="456"/>
      <c r="FMQ80" s="456"/>
      <c r="FMR80" s="456"/>
      <c r="FMS80" s="456"/>
      <c r="FMT80" s="456"/>
      <c r="FMU80" s="456"/>
      <c r="FMV80" s="456"/>
      <c r="FMW80" s="456"/>
      <c r="FMX80" s="456"/>
      <c r="FMY80" s="456"/>
      <c r="FMZ80" s="456"/>
      <c r="FNA80" s="456"/>
      <c r="FNB80" s="456"/>
      <c r="FNC80" s="456"/>
      <c r="FND80" s="456"/>
      <c r="FNE80" s="456"/>
      <c r="FNF80" s="456"/>
      <c r="FNG80" s="456"/>
      <c r="FNH80" s="456"/>
      <c r="FNI80" s="456"/>
      <c r="FNJ80" s="456"/>
      <c r="FNK80" s="456"/>
      <c r="FNL80" s="456"/>
      <c r="FNM80" s="456"/>
      <c r="FNN80" s="456"/>
      <c r="FNO80" s="456"/>
      <c r="FNP80" s="456"/>
      <c r="FNQ80" s="456"/>
      <c r="FNR80" s="456"/>
      <c r="FNS80" s="456"/>
      <c r="FNT80" s="456"/>
      <c r="FNU80" s="456"/>
      <c r="FNV80" s="456"/>
      <c r="FNW80" s="456"/>
      <c r="FNX80" s="456"/>
      <c r="FNY80" s="456"/>
      <c r="FNZ80" s="456"/>
      <c r="FOA80" s="456"/>
      <c r="FOB80" s="456"/>
      <c r="FOC80" s="456"/>
      <c r="FOD80" s="456"/>
      <c r="FOE80" s="456"/>
      <c r="FOF80" s="456"/>
      <c r="FOG80" s="456"/>
      <c r="FOH80" s="456"/>
      <c r="FOI80" s="456"/>
      <c r="FOJ80" s="456"/>
      <c r="FOK80" s="456"/>
      <c r="FOL80" s="456"/>
      <c r="FOM80" s="456"/>
      <c r="FON80" s="456"/>
      <c r="FOO80" s="456"/>
      <c r="FOP80" s="456"/>
      <c r="FOQ80" s="456"/>
      <c r="FOR80" s="456"/>
      <c r="FOS80" s="456"/>
      <c r="FOT80" s="456"/>
      <c r="FOU80" s="456"/>
      <c r="FOV80" s="456"/>
      <c r="FOW80" s="456"/>
      <c r="FOX80" s="456"/>
      <c r="FOY80" s="456"/>
      <c r="FOZ80" s="456"/>
      <c r="FPA80" s="456"/>
      <c r="FPB80" s="456"/>
      <c r="FPC80" s="456"/>
      <c r="FPD80" s="456"/>
      <c r="FPE80" s="456"/>
      <c r="FPF80" s="456"/>
      <c r="FPG80" s="456"/>
      <c r="FPH80" s="456"/>
      <c r="FPI80" s="456"/>
      <c r="FPJ80" s="456"/>
      <c r="FPK80" s="456"/>
      <c r="FPL80" s="456"/>
      <c r="FPM80" s="456"/>
      <c r="FPN80" s="456"/>
      <c r="FPO80" s="456"/>
      <c r="FPP80" s="456"/>
      <c r="FPQ80" s="456"/>
      <c r="FPR80" s="456"/>
      <c r="FPS80" s="456"/>
      <c r="FPT80" s="456"/>
      <c r="FPU80" s="456"/>
      <c r="FPV80" s="456"/>
      <c r="FPW80" s="456"/>
      <c r="FPX80" s="456"/>
      <c r="FPY80" s="456"/>
      <c r="FPZ80" s="456"/>
      <c r="FQA80" s="456"/>
      <c r="FQB80" s="456"/>
      <c r="FQC80" s="456"/>
      <c r="FQD80" s="456"/>
      <c r="FQE80" s="456"/>
      <c r="FQF80" s="456"/>
      <c r="FQG80" s="456"/>
      <c r="FQH80" s="456"/>
      <c r="FQI80" s="456"/>
      <c r="FQJ80" s="456"/>
      <c r="FQK80" s="456"/>
      <c r="FQL80" s="456"/>
      <c r="FQM80" s="456"/>
      <c r="FQN80" s="456"/>
      <c r="FQO80" s="456"/>
      <c r="FQP80" s="456"/>
      <c r="FQQ80" s="456"/>
      <c r="FQR80" s="456"/>
      <c r="FQS80" s="456"/>
      <c r="FQT80" s="456"/>
      <c r="FQU80" s="456"/>
      <c r="FQV80" s="456"/>
      <c r="FQW80" s="456"/>
      <c r="FQX80" s="456"/>
      <c r="FQY80" s="456"/>
      <c r="FQZ80" s="456"/>
      <c r="FRA80" s="456"/>
      <c r="FRB80" s="456"/>
      <c r="FRC80" s="456"/>
      <c r="FRD80" s="456"/>
      <c r="FRE80" s="456"/>
      <c r="FRF80" s="456"/>
      <c r="FRG80" s="456"/>
      <c r="FRH80" s="456"/>
      <c r="FRI80" s="456"/>
      <c r="FRJ80" s="456"/>
      <c r="FRK80" s="456"/>
      <c r="FRL80" s="456"/>
      <c r="FRM80" s="456"/>
      <c r="FRN80" s="456"/>
      <c r="FRO80" s="456"/>
      <c r="FRP80" s="456"/>
      <c r="FRQ80" s="456"/>
      <c r="FRR80" s="456"/>
      <c r="FRS80" s="456"/>
      <c r="FRT80" s="456"/>
      <c r="FRU80" s="456"/>
      <c r="FRV80" s="456"/>
      <c r="FRW80" s="456"/>
      <c r="FRX80" s="456"/>
      <c r="FRY80" s="456"/>
      <c r="FRZ80" s="456"/>
      <c r="FSA80" s="456"/>
      <c r="FSB80" s="456"/>
      <c r="FSC80" s="456"/>
      <c r="FSD80" s="456"/>
      <c r="FSE80" s="456"/>
      <c r="FSF80" s="456"/>
      <c r="FSG80" s="456"/>
      <c r="FSH80" s="456"/>
      <c r="FSI80" s="456"/>
      <c r="FSJ80" s="456"/>
      <c r="FSK80" s="456"/>
      <c r="FSL80" s="456"/>
      <c r="FSM80" s="456"/>
      <c r="FSN80" s="456"/>
      <c r="FSO80" s="456"/>
      <c r="FSP80" s="456"/>
      <c r="FSQ80" s="456"/>
      <c r="FSR80" s="456"/>
      <c r="FSS80" s="456"/>
      <c r="FST80" s="456"/>
      <c r="FSU80" s="456"/>
      <c r="FSV80" s="456"/>
      <c r="FSW80" s="456"/>
      <c r="FSX80" s="456"/>
      <c r="FSY80" s="456"/>
      <c r="FSZ80" s="456"/>
      <c r="FTA80" s="456"/>
      <c r="FTB80" s="456"/>
      <c r="FTC80" s="456"/>
      <c r="FTD80" s="456"/>
      <c r="FTE80" s="456"/>
      <c r="FTF80" s="456"/>
      <c r="FTG80" s="456"/>
      <c r="FTH80" s="456"/>
      <c r="FTI80" s="456"/>
      <c r="FTJ80" s="456"/>
      <c r="FTK80" s="456"/>
      <c r="FTL80" s="456"/>
      <c r="FTM80" s="456"/>
      <c r="FTN80" s="456"/>
      <c r="FTO80" s="456"/>
      <c r="FTP80" s="456"/>
      <c r="FTQ80" s="456"/>
      <c r="FTR80" s="456"/>
      <c r="FTS80" s="456"/>
      <c r="FTT80" s="456"/>
      <c r="FTU80" s="456"/>
      <c r="FTV80" s="456"/>
      <c r="FTW80" s="456"/>
      <c r="FTX80" s="456"/>
      <c r="FTY80" s="456"/>
      <c r="FTZ80" s="456"/>
      <c r="FUA80" s="456"/>
      <c r="FUB80" s="456"/>
      <c r="FUC80" s="456"/>
      <c r="FUD80" s="456"/>
      <c r="FUE80" s="456"/>
      <c r="FUF80" s="456"/>
      <c r="FUG80" s="456"/>
      <c r="FUH80" s="456"/>
      <c r="FUI80" s="456"/>
      <c r="FUJ80" s="456"/>
      <c r="FUK80" s="456"/>
      <c r="FUL80" s="456"/>
      <c r="FUM80" s="456"/>
      <c r="FUN80" s="456"/>
      <c r="FUO80" s="456"/>
      <c r="FUP80" s="456"/>
      <c r="FUQ80" s="456"/>
      <c r="FUR80" s="456"/>
      <c r="FUS80" s="456"/>
      <c r="FUT80" s="456"/>
      <c r="FUU80" s="456"/>
      <c r="FUV80" s="456"/>
      <c r="FUW80" s="456"/>
      <c r="FUX80" s="456"/>
      <c r="FUY80" s="456"/>
      <c r="FUZ80" s="456"/>
      <c r="FVA80" s="456"/>
      <c r="FVB80" s="456"/>
      <c r="FVC80" s="456"/>
      <c r="FVD80" s="456"/>
      <c r="FVE80" s="456"/>
      <c r="FVF80" s="456"/>
      <c r="FVG80" s="456"/>
      <c r="FVH80" s="456"/>
      <c r="FVI80" s="456"/>
      <c r="FVJ80" s="456"/>
      <c r="FVK80" s="456"/>
      <c r="FVL80" s="456"/>
      <c r="FVM80" s="456"/>
      <c r="FVN80" s="456"/>
      <c r="FVO80" s="456"/>
      <c r="FVP80" s="456"/>
      <c r="FVQ80" s="456"/>
      <c r="FVR80" s="456"/>
      <c r="FVS80" s="456"/>
      <c r="FVT80" s="456"/>
      <c r="FVU80" s="456"/>
      <c r="FVV80" s="456"/>
      <c r="FVW80" s="456"/>
      <c r="FVX80" s="456"/>
      <c r="FVY80" s="456"/>
      <c r="FVZ80" s="456"/>
      <c r="FWA80" s="456"/>
      <c r="FWB80" s="456"/>
      <c r="FWC80" s="456"/>
      <c r="FWD80" s="456"/>
      <c r="FWE80" s="456"/>
      <c r="FWF80" s="456"/>
      <c r="FWG80" s="456"/>
      <c r="FWH80" s="456"/>
      <c r="FWI80" s="456"/>
      <c r="FWJ80" s="456"/>
      <c r="FWK80" s="456"/>
      <c r="FWL80" s="456"/>
      <c r="FWM80" s="456"/>
      <c r="FWN80" s="456"/>
      <c r="FWO80" s="456"/>
      <c r="FWP80" s="456"/>
      <c r="FWQ80" s="456"/>
      <c r="FWR80" s="456"/>
      <c r="FWS80" s="456"/>
      <c r="FWT80" s="456"/>
      <c r="FWU80" s="456"/>
      <c r="FWV80" s="456"/>
      <c r="FWW80" s="456"/>
      <c r="FWX80" s="456"/>
      <c r="FWY80" s="456"/>
      <c r="FWZ80" s="456"/>
      <c r="FXA80" s="456"/>
      <c r="FXB80" s="456"/>
      <c r="FXC80" s="456"/>
      <c r="FXD80" s="456"/>
      <c r="FXE80" s="456"/>
      <c r="FXF80" s="456"/>
      <c r="FXG80" s="456"/>
      <c r="FXH80" s="456"/>
      <c r="FXI80" s="456"/>
      <c r="FXJ80" s="456"/>
      <c r="FXK80" s="456"/>
      <c r="FXL80" s="456"/>
      <c r="FXM80" s="456"/>
      <c r="FXN80" s="456"/>
      <c r="FXO80" s="456"/>
      <c r="FXP80" s="456"/>
      <c r="FXQ80" s="456"/>
      <c r="FXR80" s="456"/>
      <c r="FXS80" s="456"/>
      <c r="FXT80" s="456"/>
      <c r="FXU80" s="456"/>
      <c r="FXV80" s="456"/>
      <c r="FXW80" s="456"/>
      <c r="FXX80" s="456"/>
      <c r="FXY80" s="456"/>
      <c r="FXZ80" s="456"/>
      <c r="FYA80" s="456"/>
      <c r="FYB80" s="456"/>
      <c r="FYC80" s="456"/>
      <c r="FYD80" s="456"/>
      <c r="FYE80" s="456"/>
      <c r="FYF80" s="456"/>
      <c r="FYG80" s="456"/>
      <c r="FYH80" s="456"/>
      <c r="FYI80" s="456"/>
      <c r="FYJ80" s="456"/>
      <c r="FYK80" s="456"/>
      <c r="FYL80" s="456"/>
      <c r="FYM80" s="456"/>
      <c r="FYN80" s="456"/>
      <c r="FYO80" s="456"/>
      <c r="FYP80" s="456"/>
      <c r="FYQ80" s="456"/>
      <c r="FYR80" s="456"/>
      <c r="FYS80" s="456"/>
      <c r="FYT80" s="456"/>
      <c r="FYU80" s="456"/>
      <c r="FYV80" s="456"/>
      <c r="FYW80" s="456"/>
      <c r="FYX80" s="456"/>
      <c r="FYY80" s="456"/>
      <c r="FYZ80" s="456"/>
      <c r="FZA80" s="456"/>
      <c r="FZB80" s="456"/>
      <c r="FZC80" s="456"/>
      <c r="FZD80" s="456"/>
      <c r="FZE80" s="456"/>
      <c r="FZF80" s="456"/>
      <c r="FZG80" s="456"/>
      <c r="FZH80" s="456"/>
      <c r="FZI80" s="456"/>
      <c r="FZJ80" s="456"/>
      <c r="FZK80" s="456"/>
      <c r="FZL80" s="456"/>
      <c r="FZM80" s="456"/>
      <c r="FZN80" s="456"/>
      <c r="FZO80" s="456"/>
      <c r="FZP80" s="456"/>
      <c r="FZQ80" s="456"/>
      <c r="FZR80" s="456"/>
      <c r="FZS80" s="456"/>
      <c r="FZT80" s="456"/>
      <c r="FZU80" s="456"/>
      <c r="FZV80" s="456"/>
      <c r="FZW80" s="456"/>
      <c r="FZX80" s="456"/>
      <c r="FZY80" s="456"/>
      <c r="FZZ80" s="456"/>
      <c r="GAA80" s="456"/>
      <c r="GAB80" s="456"/>
      <c r="GAC80" s="456"/>
      <c r="GAD80" s="456"/>
      <c r="GAE80" s="456"/>
      <c r="GAF80" s="456"/>
      <c r="GAG80" s="456"/>
      <c r="GAH80" s="456"/>
      <c r="GAI80" s="456"/>
      <c r="GAJ80" s="456"/>
      <c r="GAK80" s="456"/>
      <c r="GAL80" s="456"/>
      <c r="GAM80" s="456"/>
      <c r="GAN80" s="456"/>
      <c r="GAO80" s="456"/>
      <c r="GAP80" s="456"/>
      <c r="GAQ80" s="456"/>
      <c r="GAR80" s="456"/>
      <c r="GAS80" s="456"/>
      <c r="GAT80" s="456"/>
      <c r="GAU80" s="456"/>
      <c r="GAV80" s="456"/>
      <c r="GAW80" s="456"/>
      <c r="GAX80" s="456"/>
      <c r="GAY80" s="456"/>
      <c r="GAZ80" s="456"/>
      <c r="GBA80" s="456"/>
      <c r="GBB80" s="456"/>
      <c r="GBC80" s="456"/>
      <c r="GBD80" s="456"/>
      <c r="GBE80" s="456"/>
      <c r="GBF80" s="456"/>
      <c r="GBG80" s="456"/>
      <c r="GBH80" s="456"/>
      <c r="GBI80" s="456"/>
      <c r="GBJ80" s="456"/>
      <c r="GBK80" s="456"/>
      <c r="GBL80" s="456"/>
      <c r="GBM80" s="456"/>
      <c r="GBN80" s="456"/>
      <c r="GBO80" s="456"/>
      <c r="GBP80" s="456"/>
      <c r="GBQ80" s="456"/>
      <c r="GBR80" s="456"/>
      <c r="GBS80" s="456"/>
      <c r="GBT80" s="456"/>
      <c r="GBU80" s="456"/>
      <c r="GBV80" s="456"/>
      <c r="GBW80" s="456"/>
      <c r="GBX80" s="456"/>
      <c r="GBY80" s="456"/>
      <c r="GBZ80" s="456"/>
      <c r="GCA80" s="456"/>
      <c r="GCB80" s="456"/>
      <c r="GCC80" s="456"/>
      <c r="GCD80" s="456"/>
      <c r="GCE80" s="456"/>
      <c r="GCF80" s="456"/>
      <c r="GCG80" s="456"/>
      <c r="GCH80" s="456"/>
      <c r="GCI80" s="456"/>
      <c r="GCJ80" s="456"/>
      <c r="GCK80" s="456"/>
      <c r="GCL80" s="456"/>
      <c r="GCM80" s="456"/>
      <c r="GCN80" s="456"/>
      <c r="GCO80" s="456"/>
      <c r="GCP80" s="456"/>
      <c r="GCQ80" s="456"/>
      <c r="GCR80" s="456"/>
      <c r="GCS80" s="456"/>
      <c r="GCT80" s="456"/>
      <c r="GCU80" s="456"/>
      <c r="GCV80" s="456"/>
      <c r="GCW80" s="456"/>
      <c r="GCX80" s="456"/>
      <c r="GCY80" s="456"/>
      <c r="GCZ80" s="456"/>
      <c r="GDA80" s="456"/>
      <c r="GDB80" s="456"/>
      <c r="GDC80" s="456"/>
      <c r="GDD80" s="456"/>
      <c r="GDE80" s="456"/>
      <c r="GDF80" s="456"/>
      <c r="GDG80" s="456"/>
      <c r="GDH80" s="456"/>
      <c r="GDI80" s="456"/>
      <c r="GDJ80" s="456"/>
      <c r="GDK80" s="456"/>
      <c r="GDL80" s="456"/>
      <c r="GDM80" s="456"/>
      <c r="GDN80" s="456"/>
      <c r="GDO80" s="456"/>
      <c r="GDP80" s="456"/>
      <c r="GDQ80" s="456"/>
      <c r="GDR80" s="456"/>
      <c r="GDS80" s="456"/>
      <c r="GDT80" s="456"/>
      <c r="GDU80" s="456"/>
      <c r="GDV80" s="456"/>
      <c r="GDW80" s="456"/>
      <c r="GDX80" s="456"/>
      <c r="GDY80" s="456"/>
      <c r="GDZ80" s="456"/>
      <c r="GEA80" s="456"/>
      <c r="GEB80" s="456"/>
      <c r="GEC80" s="456"/>
      <c r="GED80" s="456"/>
      <c r="GEE80" s="456"/>
      <c r="GEF80" s="456"/>
      <c r="GEG80" s="456"/>
      <c r="GEH80" s="456"/>
      <c r="GEI80" s="456"/>
      <c r="GEJ80" s="456"/>
      <c r="GEK80" s="456"/>
      <c r="GEL80" s="456"/>
      <c r="GEM80" s="456"/>
      <c r="GEN80" s="456"/>
      <c r="GEO80" s="456"/>
      <c r="GEP80" s="456"/>
      <c r="GEQ80" s="456"/>
      <c r="GER80" s="456"/>
      <c r="GES80" s="456"/>
      <c r="GET80" s="456"/>
      <c r="GEU80" s="456"/>
      <c r="GEV80" s="456"/>
      <c r="GEW80" s="456"/>
      <c r="GEX80" s="456"/>
      <c r="GEY80" s="456"/>
      <c r="GEZ80" s="456"/>
      <c r="GFA80" s="456"/>
      <c r="GFB80" s="456"/>
      <c r="GFC80" s="456"/>
      <c r="GFD80" s="456"/>
      <c r="GFE80" s="456"/>
      <c r="GFF80" s="456"/>
      <c r="GFG80" s="456"/>
      <c r="GFH80" s="456"/>
      <c r="GFI80" s="456"/>
      <c r="GFJ80" s="456"/>
      <c r="GFK80" s="456"/>
      <c r="GFL80" s="456"/>
      <c r="GFM80" s="456"/>
      <c r="GFN80" s="456"/>
      <c r="GFO80" s="456"/>
      <c r="GFP80" s="456"/>
      <c r="GFQ80" s="456"/>
      <c r="GFR80" s="456"/>
      <c r="GFS80" s="456"/>
      <c r="GFT80" s="456"/>
      <c r="GFU80" s="456"/>
      <c r="GFV80" s="456"/>
      <c r="GFW80" s="456"/>
      <c r="GFX80" s="456"/>
      <c r="GFY80" s="456"/>
      <c r="GFZ80" s="456"/>
      <c r="GGA80" s="456"/>
      <c r="GGB80" s="456"/>
      <c r="GGC80" s="456"/>
      <c r="GGD80" s="456"/>
      <c r="GGE80" s="456"/>
      <c r="GGF80" s="456"/>
      <c r="GGG80" s="456"/>
      <c r="GGH80" s="456"/>
      <c r="GGI80" s="456"/>
      <c r="GGJ80" s="456"/>
      <c r="GGK80" s="456"/>
      <c r="GGL80" s="456"/>
      <c r="GGM80" s="456"/>
      <c r="GGN80" s="456"/>
      <c r="GGO80" s="456"/>
      <c r="GGP80" s="456"/>
      <c r="GGQ80" s="456"/>
      <c r="GGR80" s="456"/>
      <c r="GGS80" s="456"/>
      <c r="GGT80" s="456"/>
      <c r="GGU80" s="456"/>
      <c r="GGV80" s="456"/>
      <c r="GGW80" s="456"/>
      <c r="GGX80" s="456"/>
      <c r="GGY80" s="456"/>
      <c r="GGZ80" s="456"/>
      <c r="GHA80" s="456"/>
      <c r="GHB80" s="456"/>
      <c r="GHC80" s="456"/>
      <c r="GHD80" s="456"/>
      <c r="GHE80" s="456"/>
      <c r="GHF80" s="456"/>
      <c r="GHG80" s="456"/>
      <c r="GHH80" s="456"/>
      <c r="GHI80" s="456"/>
      <c r="GHJ80" s="456"/>
      <c r="GHK80" s="456"/>
      <c r="GHL80" s="456"/>
      <c r="GHM80" s="456"/>
      <c r="GHN80" s="456"/>
      <c r="GHO80" s="456"/>
      <c r="GHP80" s="456"/>
      <c r="GHQ80" s="456"/>
      <c r="GHR80" s="456"/>
      <c r="GHS80" s="456"/>
      <c r="GHT80" s="456"/>
      <c r="GHU80" s="456"/>
      <c r="GHV80" s="456"/>
      <c r="GHW80" s="456"/>
      <c r="GHX80" s="456"/>
      <c r="GHY80" s="456"/>
      <c r="GHZ80" s="456"/>
      <c r="GIA80" s="456"/>
      <c r="GIB80" s="456"/>
      <c r="GIC80" s="456"/>
      <c r="GID80" s="456"/>
      <c r="GIE80" s="456"/>
      <c r="GIF80" s="456"/>
      <c r="GIG80" s="456"/>
      <c r="GIH80" s="456"/>
      <c r="GII80" s="456"/>
      <c r="GIJ80" s="456"/>
      <c r="GIK80" s="456"/>
      <c r="GIL80" s="456"/>
      <c r="GIM80" s="456"/>
      <c r="GIN80" s="456"/>
      <c r="GIO80" s="456"/>
      <c r="GIP80" s="456"/>
      <c r="GIQ80" s="456"/>
      <c r="GIR80" s="456"/>
      <c r="GIS80" s="456"/>
      <c r="GIT80" s="456"/>
      <c r="GIU80" s="456"/>
      <c r="GIV80" s="456"/>
      <c r="GIW80" s="456"/>
      <c r="GIX80" s="456"/>
      <c r="GIY80" s="456"/>
      <c r="GIZ80" s="456"/>
      <c r="GJA80" s="456"/>
      <c r="GJB80" s="456"/>
      <c r="GJC80" s="456"/>
      <c r="GJD80" s="456"/>
      <c r="GJE80" s="456"/>
      <c r="GJF80" s="456"/>
      <c r="GJG80" s="456"/>
      <c r="GJH80" s="456"/>
      <c r="GJI80" s="456"/>
      <c r="GJJ80" s="456"/>
      <c r="GJK80" s="456"/>
      <c r="GJL80" s="456"/>
      <c r="GJM80" s="456"/>
      <c r="GJN80" s="456"/>
      <c r="GJO80" s="456"/>
      <c r="GJP80" s="456"/>
      <c r="GJQ80" s="456"/>
      <c r="GJR80" s="456"/>
      <c r="GJS80" s="456"/>
      <c r="GJT80" s="456"/>
      <c r="GJU80" s="456"/>
      <c r="GJV80" s="456"/>
      <c r="GJW80" s="456"/>
      <c r="GJX80" s="456"/>
      <c r="GJY80" s="456"/>
      <c r="GJZ80" s="456"/>
      <c r="GKA80" s="456"/>
      <c r="GKB80" s="456"/>
      <c r="GKC80" s="456"/>
      <c r="GKD80" s="456"/>
      <c r="GKE80" s="456"/>
      <c r="GKF80" s="456"/>
      <c r="GKG80" s="456"/>
      <c r="GKH80" s="456"/>
      <c r="GKI80" s="456"/>
      <c r="GKJ80" s="456"/>
      <c r="GKK80" s="456"/>
      <c r="GKL80" s="456"/>
      <c r="GKM80" s="456"/>
      <c r="GKN80" s="456"/>
      <c r="GKO80" s="456"/>
      <c r="GKP80" s="456"/>
      <c r="GKQ80" s="456"/>
      <c r="GKR80" s="456"/>
      <c r="GKS80" s="456"/>
      <c r="GKT80" s="456"/>
      <c r="GKU80" s="456"/>
      <c r="GKV80" s="456"/>
      <c r="GKW80" s="456"/>
      <c r="GKX80" s="456"/>
      <c r="GKY80" s="456"/>
      <c r="GKZ80" s="456"/>
      <c r="GLA80" s="456"/>
      <c r="GLB80" s="456"/>
      <c r="GLC80" s="456"/>
      <c r="GLD80" s="456"/>
      <c r="GLE80" s="456"/>
      <c r="GLF80" s="456"/>
      <c r="GLG80" s="456"/>
      <c r="GLH80" s="456"/>
      <c r="GLI80" s="456"/>
      <c r="GLJ80" s="456"/>
      <c r="GLK80" s="456"/>
      <c r="GLL80" s="456"/>
      <c r="GLM80" s="456"/>
      <c r="GLN80" s="456"/>
      <c r="GLO80" s="456"/>
      <c r="GLP80" s="456"/>
      <c r="GLQ80" s="456"/>
      <c r="GLR80" s="456"/>
      <c r="GLS80" s="456"/>
      <c r="GLT80" s="456"/>
      <c r="GLU80" s="456"/>
      <c r="GLV80" s="456"/>
      <c r="GLW80" s="456"/>
      <c r="GLX80" s="456"/>
      <c r="GLY80" s="456"/>
      <c r="GLZ80" s="456"/>
      <c r="GMA80" s="456"/>
      <c r="GMB80" s="456"/>
      <c r="GMC80" s="456"/>
      <c r="GMD80" s="456"/>
      <c r="GME80" s="456"/>
      <c r="GMF80" s="456"/>
      <c r="GMG80" s="456"/>
      <c r="GMH80" s="456"/>
      <c r="GMI80" s="456"/>
      <c r="GMJ80" s="456"/>
      <c r="GMK80" s="456"/>
      <c r="GML80" s="456"/>
      <c r="GMM80" s="456"/>
      <c r="GMN80" s="456"/>
      <c r="GMO80" s="456"/>
      <c r="GMP80" s="456"/>
      <c r="GMQ80" s="456"/>
      <c r="GMR80" s="456"/>
      <c r="GMS80" s="456"/>
      <c r="GMT80" s="456"/>
      <c r="GMU80" s="456"/>
      <c r="GMV80" s="456"/>
      <c r="GMW80" s="456"/>
      <c r="GMX80" s="456"/>
      <c r="GMY80" s="456"/>
      <c r="GMZ80" s="456"/>
      <c r="GNA80" s="456"/>
      <c r="GNB80" s="456"/>
      <c r="GNC80" s="456"/>
      <c r="GND80" s="456"/>
      <c r="GNE80" s="456"/>
      <c r="GNF80" s="456"/>
      <c r="GNG80" s="456"/>
      <c r="GNH80" s="456"/>
      <c r="GNI80" s="456"/>
      <c r="GNJ80" s="456"/>
      <c r="GNK80" s="456"/>
      <c r="GNL80" s="456"/>
      <c r="GNM80" s="456"/>
      <c r="GNN80" s="456"/>
      <c r="GNO80" s="456"/>
      <c r="GNP80" s="456"/>
      <c r="GNQ80" s="456"/>
      <c r="GNR80" s="456"/>
      <c r="GNS80" s="456"/>
      <c r="GNT80" s="456"/>
      <c r="GNU80" s="456"/>
      <c r="GNV80" s="456"/>
      <c r="GNW80" s="456"/>
      <c r="GNX80" s="456"/>
      <c r="GNY80" s="456"/>
      <c r="GNZ80" s="456"/>
      <c r="GOA80" s="456"/>
      <c r="GOB80" s="456"/>
      <c r="GOC80" s="456"/>
      <c r="GOD80" s="456"/>
      <c r="GOE80" s="456"/>
      <c r="GOF80" s="456"/>
      <c r="GOG80" s="456"/>
      <c r="GOH80" s="456"/>
      <c r="GOI80" s="456"/>
      <c r="GOJ80" s="456"/>
      <c r="GOK80" s="456"/>
      <c r="GOL80" s="456"/>
      <c r="GOM80" s="456"/>
      <c r="GON80" s="456"/>
      <c r="GOO80" s="456"/>
      <c r="GOP80" s="456"/>
      <c r="GOQ80" s="456"/>
      <c r="GOR80" s="456"/>
      <c r="GOS80" s="456"/>
      <c r="GOT80" s="456"/>
      <c r="GOU80" s="456"/>
      <c r="GOV80" s="456"/>
      <c r="GOW80" s="456"/>
      <c r="GOX80" s="456"/>
      <c r="GOY80" s="456"/>
      <c r="GOZ80" s="456"/>
      <c r="GPA80" s="456"/>
      <c r="GPB80" s="456"/>
      <c r="GPC80" s="456"/>
      <c r="GPD80" s="456"/>
      <c r="GPE80" s="456"/>
      <c r="GPF80" s="456"/>
      <c r="GPG80" s="456"/>
      <c r="GPH80" s="456"/>
      <c r="GPI80" s="456"/>
      <c r="GPJ80" s="456"/>
      <c r="GPK80" s="456"/>
      <c r="GPL80" s="456"/>
      <c r="GPM80" s="456"/>
      <c r="GPN80" s="456"/>
      <c r="GPO80" s="456"/>
      <c r="GPP80" s="456"/>
      <c r="GPQ80" s="456"/>
      <c r="GPR80" s="456"/>
      <c r="GPS80" s="456"/>
      <c r="GPT80" s="456"/>
      <c r="GPU80" s="456"/>
      <c r="GPV80" s="456"/>
      <c r="GPW80" s="456"/>
      <c r="GPX80" s="456"/>
      <c r="GPY80" s="456"/>
      <c r="GPZ80" s="456"/>
      <c r="GQA80" s="456"/>
      <c r="GQB80" s="456"/>
      <c r="GQC80" s="456"/>
      <c r="GQD80" s="456"/>
      <c r="GQE80" s="456"/>
      <c r="GQF80" s="456"/>
      <c r="GQG80" s="456"/>
      <c r="GQH80" s="456"/>
      <c r="GQI80" s="456"/>
      <c r="GQJ80" s="456"/>
      <c r="GQK80" s="456"/>
      <c r="GQL80" s="456"/>
      <c r="GQM80" s="456"/>
      <c r="GQN80" s="456"/>
      <c r="GQO80" s="456"/>
      <c r="GQP80" s="456"/>
      <c r="GQQ80" s="456"/>
      <c r="GQR80" s="456"/>
      <c r="GQS80" s="456"/>
      <c r="GQT80" s="456"/>
      <c r="GQU80" s="456"/>
      <c r="GQV80" s="456"/>
      <c r="GQW80" s="456"/>
      <c r="GQX80" s="456"/>
      <c r="GQY80" s="456"/>
      <c r="GQZ80" s="456"/>
      <c r="GRA80" s="456"/>
      <c r="GRB80" s="456"/>
      <c r="GRC80" s="456"/>
      <c r="GRD80" s="456"/>
      <c r="GRE80" s="456"/>
      <c r="GRF80" s="456"/>
      <c r="GRG80" s="456"/>
      <c r="GRH80" s="456"/>
      <c r="GRI80" s="456"/>
      <c r="GRJ80" s="456"/>
      <c r="GRK80" s="456"/>
      <c r="GRL80" s="456"/>
      <c r="GRM80" s="456"/>
      <c r="GRN80" s="456"/>
      <c r="GRO80" s="456"/>
      <c r="GRP80" s="456"/>
      <c r="GRQ80" s="456"/>
      <c r="GRR80" s="456"/>
      <c r="GRS80" s="456"/>
      <c r="GRT80" s="456"/>
      <c r="GRU80" s="456"/>
      <c r="GRV80" s="456"/>
      <c r="GRW80" s="456"/>
      <c r="GRX80" s="456"/>
      <c r="GRY80" s="456"/>
      <c r="GRZ80" s="456"/>
      <c r="GSA80" s="456"/>
      <c r="GSB80" s="456"/>
      <c r="GSC80" s="456"/>
      <c r="GSD80" s="456"/>
      <c r="GSE80" s="456"/>
      <c r="GSF80" s="456"/>
      <c r="GSG80" s="456"/>
      <c r="GSH80" s="456"/>
      <c r="GSI80" s="456"/>
      <c r="GSJ80" s="456"/>
      <c r="GSK80" s="456"/>
      <c r="GSL80" s="456"/>
      <c r="GSM80" s="456"/>
      <c r="GSN80" s="456"/>
      <c r="GSO80" s="456"/>
      <c r="GSP80" s="456"/>
      <c r="GSQ80" s="456"/>
      <c r="GSR80" s="456"/>
      <c r="GSS80" s="456"/>
      <c r="GST80" s="456"/>
      <c r="GSU80" s="456"/>
      <c r="GSV80" s="456"/>
      <c r="GSW80" s="456"/>
      <c r="GSX80" s="456"/>
      <c r="GSY80" s="456"/>
      <c r="GSZ80" s="456"/>
      <c r="GTA80" s="456"/>
      <c r="GTB80" s="456"/>
      <c r="GTC80" s="456"/>
      <c r="GTD80" s="456"/>
      <c r="GTE80" s="456"/>
      <c r="GTF80" s="456"/>
      <c r="GTG80" s="456"/>
      <c r="GTH80" s="456"/>
      <c r="GTI80" s="456"/>
      <c r="GTJ80" s="456"/>
      <c r="GTK80" s="456"/>
      <c r="GTL80" s="456"/>
      <c r="GTM80" s="456"/>
      <c r="GTN80" s="456"/>
      <c r="GTO80" s="456"/>
      <c r="GTP80" s="456"/>
      <c r="GTQ80" s="456"/>
      <c r="GTR80" s="456"/>
      <c r="GTS80" s="456"/>
      <c r="GTT80" s="456"/>
      <c r="GTU80" s="456"/>
      <c r="GTV80" s="456"/>
      <c r="GTW80" s="456"/>
      <c r="GTX80" s="456"/>
      <c r="GTY80" s="456"/>
      <c r="GTZ80" s="456"/>
      <c r="GUA80" s="456"/>
      <c r="GUB80" s="456"/>
      <c r="GUC80" s="456"/>
      <c r="GUD80" s="456"/>
      <c r="GUE80" s="456"/>
      <c r="GUF80" s="456"/>
      <c r="GUG80" s="456"/>
      <c r="GUH80" s="456"/>
      <c r="GUI80" s="456"/>
      <c r="GUJ80" s="456"/>
      <c r="GUK80" s="456"/>
      <c r="GUL80" s="456"/>
      <c r="GUM80" s="456"/>
      <c r="GUN80" s="456"/>
      <c r="GUO80" s="456"/>
      <c r="GUP80" s="456"/>
      <c r="GUQ80" s="456"/>
      <c r="GUR80" s="456"/>
      <c r="GUS80" s="456"/>
      <c r="GUT80" s="456"/>
      <c r="GUU80" s="456"/>
      <c r="GUV80" s="456"/>
      <c r="GUW80" s="456"/>
      <c r="GUX80" s="456"/>
      <c r="GUY80" s="456"/>
      <c r="GUZ80" s="456"/>
      <c r="GVA80" s="456"/>
      <c r="GVB80" s="456"/>
      <c r="GVC80" s="456"/>
      <c r="GVD80" s="456"/>
      <c r="GVE80" s="456"/>
      <c r="GVF80" s="456"/>
      <c r="GVG80" s="456"/>
      <c r="GVH80" s="456"/>
      <c r="GVI80" s="456"/>
      <c r="GVJ80" s="456"/>
      <c r="GVK80" s="456"/>
      <c r="GVL80" s="456"/>
      <c r="GVM80" s="456"/>
      <c r="GVN80" s="456"/>
      <c r="GVO80" s="456"/>
      <c r="GVP80" s="456"/>
      <c r="GVQ80" s="456"/>
      <c r="GVR80" s="456"/>
      <c r="GVS80" s="456"/>
      <c r="GVT80" s="456"/>
      <c r="GVU80" s="456"/>
      <c r="GVV80" s="456"/>
      <c r="GVW80" s="456"/>
      <c r="GVX80" s="456"/>
      <c r="GVY80" s="456"/>
      <c r="GVZ80" s="456"/>
      <c r="GWA80" s="456"/>
      <c r="GWB80" s="456"/>
      <c r="GWC80" s="456"/>
      <c r="GWD80" s="456"/>
      <c r="GWE80" s="456"/>
      <c r="GWF80" s="456"/>
      <c r="GWG80" s="456"/>
      <c r="GWH80" s="456"/>
      <c r="GWI80" s="456"/>
      <c r="GWJ80" s="456"/>
      <c r="GWK80" s="456"/>
      <c r="GWL80" s="456"/>
      <c r="GWM80" s="456"/>
      <c r="GWN80" s="456"/>
      <c r="GWO80" s="456"/>
      <c r="GWP80" s="456"/>
      <c r="GWQ80" s="456"/>
      <c r="GWR80" s="456"/>
      <c r="GWS80" s="456"/>
      <c r="GWT80" s="456"/>
      <c r="GWU80" s="456"/>
      <c r="GWV80" s="456"/>
      <c r="GWW80" s="456"/>
      <c r="GWX80" s="456"/>
      <c r="GWY80" s="456"/>
      <c r="GWZ80" s="456"/>
      <c r="GXA80" s="456"/>
      <c r="GXB80" s="456"/>
      <c r="GXC80" s="456"/>
      <c r="GXD80" s="456"/>
      <c r="GXE80" s="456"/>
      <c r="GXF80" s="456"/>
      <c r="GXG80" s="456"/>
      <c r="GXH80" s="456"/>
      <c r="GXI80" s="456"/>
      <c r="GXJ80" s="456"/>
      <c r="GXK80" s="456"/>
      <c r="GXL80" s="456"/>
      <c r="GXM80" s="456"/>
      <c r="GXN80" s="456"/>
      <c r="GXO80" s="456"/>
      <c r="GXP80" s="456"/>
      <c r="GXQ80" s="456"/>
      <c r="GXR80" s="456"/>
      <c r="GXS80" s="456"/>
      <c r="GXT80" s="456"/>
      <c r="GXU80" s="456"/>
      <c r="GXV80" s="456"/>
      <c r="GXW80" s="456"/>
      <c r="GXX80" s="456"/>
      <c r="GXY80" s="456"/>
      <c r="GXZ80" s="456"/>
      <c r="GYA80" s="456"/>
      <c r="GYB80" s="456"/>
      <c r="GYC80" s="456"/>
      <c r="GYD80" s="456"/>
      <c r="GYE80" s="456"/>
      <c r="GYF80" s="456"/>
      <c r="GYG80" s="456"/>
      <c r="GYH80" s="456"/>
      <c r="GYI80" s="456"/>
      <c r="GYJ80" s="456"/>
      <c r="GYK80" s="456"/>
      <c r="GYL80" s="456"/>
      <c r="GYM80" s="456"/>
      <c r="GYN80" s="456"/>
      <c r="GYO80" s="456"/>
      <c r="GYP80" s="456"/>
      <c r="GYQ80" s="456"/>
      <c r="GYR80" s="456"/>
      <c r="GYS80" s="456"/>
      <c r="GYT80" s="456"/>
      <c r="GYU80" s="456"/>
      <c r="GYV80" s="456"/>
      <c r="GYW80" s="456"/>
      <c r="GYX80" s="456"/>
      <c r="GYY80" s="456"/>
      <c r="GYZ80" s="456"/>
      <c r="GZA80" s="456"/>
      <c r="GZB80" s="456"/>
      <c r="GZC80" s="456"/>
      <c r="GZD80" s="456"/>
      <c r="GZE80" s="456"/>
      <c r="GZF80" s="456"/>
      <c r="GZG80" s="456"/>
      <c r="GZH80" s="456"/>
      <c r="GZI80" s="456"/>
      <c r="GZJ80" s="456"/>
      <c r="GZK80" s="456"/>
      <c r="GZL80" s="456"/>
      <c r="GZM80" s="456"/>
      <c r="GZN80" s="456"/>
      <c r="GZO80" s="456"/>
      <c r="GZP80" s="456"/>
      <c r="GZQ80" s="456"/>
      <c r="GZR80" s="456"/>
      <c r="GZS80" s="456"/>
      <c r="GZT80" s="456"/>
      <c r="GZU80" s="456"/>
      <c r="GZV80" s="456"/>
      <c r="GZW80" s="456"/>
      <c r="GZX80" s="456"/>
      <c r="GZY80" s="456"/>
      <c r="GZZ80" s="456"/>
      <c r="HAA80" s="456"/>
      <c r="HAB80" s="456"/>
      <c r="HAC80" s="456"/>
      <c r="HAD80" s="456"/>
      <c r="HAE80" s="456"/>
      <c r="HAF80" s="456"/>
      <c r="HAG80" s="456"/>
      <c r="HAH80" s="456"/>
      <c r="HAI80" s="456"/>
      <c r="HAJ80" s="456"/>
      <c r="HAK80" s="456"/>
      <c r="HAL80" s="456"/>
      <c r="HAM80" s="456"/>
      <c r="HAN80" s="456"/>
      <c r="HAO80" s="456"/>
      <c r="HAP80" s="456"/>
      <c r="HAQ80" s="456"/>
      <c r="HAR80" s="456"/>
      <c r="HAS80" s="456"/>
      <c r="HAT80" s="456"/>
      <c r="HAU80" s="456"/>
      <c r="HAV80" s="456"/>
      <c r="HAW80" s="456"/>
      <c r="HAX80" s="456"/>
      <c r="HAY80" s="456"/>
      <c r="HAZ80" s="456"/>
      <c r="HBA80" s="456"/>
      <c r="HBB80" s="456"/>
      <c r="HBC80" s="456"/>
      <c r="HBD80" s="456"/>
      <c r="HBE80" s="456"/>
      <c r="HBF80" s="456"/>
      <c r="HBG80" s="456"/>
      <c r="HBH80" s="456"/>
      <c r="HBI80" s="456"/>
      <c r="HBJ80" s="456"/>
      <c r="HBK80" s="456"/>
      <c r="HBL80" s="456"/>
      <c r="HBM80" s="456"/>
      <c r="HBN80" s="456"/>
      <c r="HBO80" s="456"/>
      <c r="HBP80" s="456"/>
      <c r="HBQ80" s="456"/>
      <c r="HBR80" s="456"/>
      <c r="HBS80" s="456"/>
      <c r="HBT80" s="456"/>
      <c r="HBU80" s="456"/>
      <c r="HBV80" s="456"/>
      <c r="HBW80" s="456"/>
      <c r="HBX80" s="456"/>
      <c r="HBY80" s="456"/>
      <c r="HBZ80" s="456"/>
      <c r="HCA80" s="456"/>
      <c r="HCB80" s="456"/>
      <c r="HCC80" s="456"/>
      <c r="HCD80" s="456"/>
      <c r="HCE80" s="456"/>
      <c r="HCF80" s="456"/>
      <c r="HCG80" s="456"/>
      <c r="HCH80" s="456"/>
      <c r="HCI80" s="456"/>
      <c r="HCJ80" s="456"/>
      <c r="HCK80" s="456"/>
      <c r="HCL80" s="456"/>
      <c r="HCM80" s="456"/>
      <c r="HCN80" s="456"/>
      <c r="HCO80" s="456"/>
      <c r="HCP80" s="456"/>
      <c r="HCQ80" s="456"/>
      <c r="HCR80" s="456"/>
      <c r="HCS80" s="456"/>
      <c r="HCT80" s="456"/>
      <c r="HCU80" s="456"/>
      <c r="HCV80" s="456"/>
      <c r="HCW80" s="456"/>
      <c r="HCX80" s="456"/>
      <c r="HCY80" s="456"/>
      <c r="HCZ80" s="456"/>
      <c r="HDA80" s="456"/>
      <c r="HDB80" s="456"/>
      <c r="HDC80" s="456"/>
      <c r="HDD80" s="456"/>
      <c r="HDE80" s="456"/>
      <c r="HDF80" s="456"/>
      <c r="HDG80" s="456"/>
      <c r="HDH80" s="456"/>
      <c r="HDI80" s="456"/>
      <c r="HDJ80" s="456"/>
      <c r="HDK80" s="456"/>
      <c r="HDL80" s="456"/>
      <c r="HDM80" s="456"/>
      <c r="HDN80" s="456"/>
      <c r="HDO80" s="456"/>
      <c r="HDP80" s="456"/>
      <c r="HDQ80" s="456"/>
      <c r="HDR80" s="456"/>
      <c r="HDS80" s="456"/>
      <c r="HDT80" s="456"/>
      <c r="HDU80" s="456"/>
      <c r="HDV80" s="456"/>
      <c r="HDW80" s="456"/>
      <c r="HDX80" s="456"/>
      <c r="HDY80" s="456"/>
      <c r="HDZ80" s="456"/>
      <c r="HEA80" s="456"/>
      <c r="HEB80" s="456"/>
      <c r="HEC80" s="456"/>
      <c r="HED80" s="456"/>
      <c r="HEE80" s="456"/>
      <c r="HEF80" s="456"/>
      <c r="HEG80" s="456"/>
      <c r="HEH80" s="456"/>
      <c r="HEI80" s="456"/>
      <c r="HEJ80" s="456"/>
      <c r="HEK80" s="456"/>
      <c r="HEL80" s="456"/>
      <c r="HEM80" s="456"/>
      <c r="HEN80" s="456"/>
      <c r="HEO80" s="456"/>
      <c r="HEP80" s="456"/>
      <c r="HEQ80" s="456"/>
      <c r="HER80" s="456"/>
      <c r="HES80" s="456"/>
      <c r="HET80" s="456"/>
      <c r="HEU80" s="456"/>
      <c r="HEV80" s="456"/>
      <c r="HEW80" s="456"/>
      <c r="HEX80" s="456"/>
      <c r="HEY80" s="456"/>
      <c r="HEZ80" s="456"/>
      <c r="HFA80" s="456"/>
      <c r="HFB80" s="456"/>
      <c r="HFC80" s="456"/>
      <c r="HFD80" s="456"/>
      <c r="HFE80" s="456"/>
      <c r="HFF80" s="456"/>
      <c r="HFG80" s="456"/>
      <c r="HFH80" s="456"/>
      <c r="HFI80" s="456"/>
      <c r="HFJ80" s="456"/>
      <c r="HFK80" s="456"/>
      <c r="HFL80" s="456"/>
      <c r="HFM80" s="456"/>
      <c r="HFN80" s="456"/>
      <c r="HFO80" s="456"/>
      <c r="HFP80" s="456"/>
      <c r="HFQ80" s="456"/>
      <c r="HFR80" s="456"/>
      <c r="HFS80" s="456"/>
      <c r="HFT80" s="456"/>
      <c r="HFU80" s="456"/>
      <c r="HFV80" s="456"/>
      <c r="HFW80" s="456"/>
      <c r="HFX80" s="456"/>
      <c r="HFY80" s="456"/>
      <c r="HFZ80" s="456"/>
      <c r="HGA80" s="456"/>
      <c r="HGB80" s="456"/>
      <c r="HGC80" s="456"/>
      <c r="HGD80" s="456"/>
      <c r="HGE80" s="456"/>
      <c r="HGF80" s="456"/>
      <c r="HGG80" s="456"/>
      <c r="HGH80" s="456"/>
      <c r="HGI80" s="456"/>
      <c r="HGJ80" s="456"/>
      <c r="HGK80" s="456"/>
      <c r="HGL80" s="456"/>
      <c r="HGM80" s="456"/>
      <c r="HGN80" s="456"/>
      <c r="HGO80" s="456"/>
      <c r="HGP80" s="456"/>
      <c r="HGQ80" s="456"/>
      <c r="HGR80" s="456"/>
      <c r="HGS80" s="456"/>
      <c r="HGT80" s="456"/>
      <c r="HGU80" s="456"/>
      <c r="HGV80" s="456"/>
      <c r="HGW80" s="456"/>
      <c r="HGX80" s="456"/>
      <c r="HGY80" s="456"/>
      <c r="HGZ80" s="456"/>
      <c r="HHA80" s="456"/>
      <c r="HHB80" s="456"/>
      <c r="HHC80" s="456"/>
      <c r="HHD80" s="456"/>
      <c r="HHE80" s="456"/>
      <c r="HHF80" s="456"/>
      <c r="HHG80" s="456"/>
      <c r="HHH80" s="456"/>
      <c r="HHI80" s="456"/>
      <c r="HHJ80" s="456"/>
      <c r="HHK80" s="456"/>
      <c r="HHL80" s="456"/>
      <c r="HHM80" s="456"/>
      <c r="HHN80" s="456"/>
      <c r="HHO80" s="456"/>
      <c r="HHP80" s="456"/>
      <c r="HHQ80" s="456"/>
      <c r="HHR80" s="456"/>
      <c r="HHS80" s="456"/>
      <c r="HHT80" s="456"/>
      <c r="HHU80" s="456"/>
      <c r="HHV80" s="456"/>
      <c r="HHW80" s="456"/>
      <c r="HHX80" s="456"/>
      <c r="HHY80" s="456"/>
      <c r="HHZ80" s="456"/>
      <c r="HIA80" s="456"/>
      <c r="HIB80" s="456"/>
      <c r="HIC80" s="456"/>
      <c r="HID80" s="456"/>
      <c r="HIE80" s="456"/>
      <c r="HIF80" s="456"/>
      <c r="HIG80" s="456"/>
      <c r="HIH80" s="456"/>
      <c r="HII80" s="456"/>
      <c r="HIJ80" s="456"/>
      <c r="HIK80" s="456"/>
      <c r="HIL80" s="456"/>
      <c r="HIM80" s="456"/>
      <c r="HIN80" s="456"/>
      <c r="HIO80" s="456"/>
      <c r="HIP80" s="456"/>
      <c r="HIQ80" s="456"/>
      <c r="HIR80" s="456"/>
      <c r="HIS80" s="456"/>
      <c r="HIT80" s="456"/>
      <c r="HIU80" s="456"/>
      <c r="HIV80" s="456"/>
      <c r="HIW80" s="456"/>
      <c r="HIX80" s="456"/>
      <c r="HIY80" s="456"/>
      <c r="HIZ80" s="456"/>
      <c r="HJA80" s="456"/>
      <c r="HJB80" s="456"/>
      <c r="HJC80" s="456"/>
      <c r="HJD80" s="456"/>
      <c r="HJE80" s="456"/>
      <c r="HJF80" s="456"/>
      <c r="HJG80" s="456"/>
      <c r="HJH80" s="456"/>
      <c r="HJI80" s="456"/>
      <c r="HJJ80" s="456"/>
      <c r="HJK80" s="456"/>
      <c r="HJL80" s="456"/>
      <c r="HJM80" s="456"/>
      <c r="HJN80" s="456"/>
      <c r="HJO80" s="456"/>
      <c r="HJP80" s="456"/>
      <c r="HJQ80" s="456"/>
      <c r="HJR80" s="456"/>
      <c r="HJS80" s="456"/>
      <c r="HJT80" s="456"/>
      <c r="HJU80" s="456"/>
      <c r="HJV80" s="456"/>
      <c r="HJW80" s="456"/>
      <c r="HJX80" s="456"/>
      <c r="HJY80" s="456"/>
      <c r="HJZ80" s="456"/>
      <c r="HKA80" s="456"/>
      <c r="HKB80" s="456"/>
      <c r="HKC80" s="456"/>
      <c r="HKD80" s="456"/>
      <c r="HKE80" s="456"/>
      <c r="HKF80" s="456"/>
      <c r="HKG80" s="456"/>
      <c r="HKH80" s="456"/>
      <c r="HKI80" s="456"/>
      <c r="HKJ80" s="456"/>
      <c r="HKK80" s="456"/>
      <c r="HKL80" s="456"/>
      <c r="HKM80" s="456"/>
      <c r="HKN80" s="456"/>
      <c r="HKO80" s="456"/>
      <c r="HKP80" s="456"/>
      <c r="HKQ80" s="456"/>
      <c r="HKR80" s="456"/>
      <c r="HKS80" s="456"/>
      <c r="HKT80" s="456"/>
      <c r="HKU80" s="456"/>
      <c r="HKV80" s="456"/>
      <c r="HKW80" s="456"/>
      <c r="HKX80" s="456"/>
      <c r="HKY80" s="456"/>
      <c r="HKZ80" s="456"/>
      <c r="HLA80" s="456"/>
      <c r="HLB80" s="456"/>
      <c r="HLC80" s="456"/>
      <c r="HLD80" s="456"/>
      <c r="HLE80" s="456"/>
      <c r="HLF80" s="456"/>
      <c r="HLG80" s="456"/>
      <c r="HLH80" s="456"/>
      <c r="HLI80" s="456"/>
      <c r="HLJ80" s="456"/>
      <c r="HLK80" s="456"/>
      <c r="HLL80" s="456"/>
      <c r="HLM80" s="456"/>
      <c r="HLN80" s="456"/>
      <c r="HLO80" s="456"/>
      <c r="HLP80" s="456"/>
      <c r="HLQ80" s="456"/>
      <c r="HLR80" s="456"/>
      <c r="HLS80" s="456"/>
      <c r="HLT80" s="456"/>
      <c r="HLU80" s="456"/>
      <c r="HLV80" s="456"/>
      <c r="HLW80" s="456"/>
      <c r="HLX80" s="456"/>
      <c r="HLY80" s="456"/>
      <c r="HLZ80" s="456"/>
      <c r="HMA80" s="456"/>
      <c r="HMB80" s="456"/>
      <c r="HMC80" s="456"/>
      <c r="HMD80" s="456"/>
      <c r="HME80" s="456"/>
      <c r="HMF80" s="456"/>
      <c r="HMG80" s="456"/>
      <c r="HMH80" s="456"/>
      <c r="HMI80" s="456"/>
      <c r="HMJ80" s="456"/>
      <c r="HMK80" s="456"/>
      <c r="HML80" s="456"/>
      <c r="HMM80" s="456"/>
      <c r="HMN80" s="456"/>
      <c r="HMO80" s="456"/>
      <c r="HMP80" s="456"/>
      <c r="HMQ80" s="456"/>
      <c r="HMR80" s="456"/>
      <c r="HMS80" s="456"/>
      <c r="HMT80" s="456"/>
      <c r="HMU80" s="456"/>
      <c r="HMV80" s="456"/>
      <c r="HMW80" s="456"/>
      <c r="HMX80" s="456"/>
      <c r="HMY80" s="456"/>
      <c r="HMZ80" s="456"/>
      <c r="HNA80" s="456"/>
      <c r="HNB80" s="456"/>
      <c r="HNC80" s="456"/>
      <c r="HND80" s="456"/>
      <c r="HNE80" s="456"/>
      <c r="HNF80" s="456"/>
      <c r="HNG80" s="456"/>
      <c r="HNH80" s="456"/>
      <c r="HNI80" s="456"/>
      <c r="HNJ80" s="456"/>
      <c r="HNK80" s="456"/>
      <c r="HNL80" s="456"/>
      <c r="HNM80" s="456"/>
      <c r="HNN80" s="456"/>
      <c r="HNO80" s="456"/>
      <c r="HNP80" s="456"/>
      <c r="HNQ80" s="456"/>
      <c r="HNR80" s="456"/>
      <c r="HNS80" s="456"/>
      <c r="HNT80" s="456"/>
      <c r="HNU80" s="456"/>
      <c r="HNV80" s="456"/>
      <c r="HNW80" s="456"/>
      <c r="HNX80" s="456"/>
      <c r="HNY80" s="456"/>
      <c r="HNZ80" s="456"/>
      <c r="HOA80" s="456"/>
      <c r="HOB80" s="456"/>
      <c r="HOC80" s="456"/>
      <c r="HOD80" s="456"/>
      <c r="HOE80" s="456"/>
      <c r="HOF80" s="456"/>
      <c r="HOG80" s="456"/>
      <c r="HOH80" s="456"/>
      <c r="HOI80" s="456"/>
      <c r="HOJ80" s="456"/>
      <c r="HOK80" s="456"/>
      <c r="HOL80" s="456"/>
      <c r="HOM80" s="456"/>
      <c r="HON80" s="456"/>
      <c r="HOO80" s="456"/>
      <c r="HOP80" s="456"/>
      <c r="HOQ80" s="456"/>
      <c r="HOR80" s="456"/>
      <c r="HOS80" s="456"/>
      <c r="HOT80" s="456"/>
      <c r="HOU80" s="456"/>
      <c r="HOV80" s="456"/>
      <c r="HOW80" s="456"/>
      <c r="HOX80" s="456"/>
      <c r="HOY80" s="456"/>
      <c r="HOZ80" s="456"/>
      <c r="HPA80" s="456"/>
      <c r="HPB80" s="456"/>
      <c r="HPC80" s="456"/>
      <c r="HPD80" s="456"/>
      <c r="HPE80" s="456"/>
      <c r="HPF80" s="456"/>
      <c r="HPG80" s="456"/>
      <c r="HPH80" s="456"/>
      <c r="HPI80" s="456"/>
      <c r="HPJ80" s="456"/>
      <c r="HPK80" s="456"/>
      <c r="HPL80" s="456"/>
      <c r="HPM80" s="456"/>
      <c r="HPN80" s="456"/>
      <c r="HPO80" s="456"/>
      <c r="HPP80" s="456"/>
      <c r="HPQ80" s="456"/>
      <c r="HPR80" s="456"/>
      <c r="HPS80" s="456"/>
      <c r="HPT80" s="456"/>
      <c r="HPU80" s="456"/>
      <c r="HPV80" s="456"/>
      <c r="HPW80" s="456"/>
      <c r="HPX80" s="456"/>
      <c r="HPY80" s="456"/>
      <c r="HPZ80" s="456"/>
      <c r="HQA80" s="456"/>
      <c r="HQB80" s="456"/>
      <c r="HQC80" s="456"/>
      <c r="HQD80" s="456"/>
      <c r="HQE80" s="456"/>
      <c r="HQF80" s="456"/>
      <c r="HQG80" s="456"/>
      <c r="HQH80" s="456"/>
      <c r="HQI80" s="456"/>
      <c r="HQJ80" s="456"/>
      <c r="HQK80" s="456"/>
      <c r="HQL80" s="456"/>
      <c r="HQM80" s="456"/>
      <c r="HQN80" s="456"/>
      <c r="HQO80" s="456"/>
      <c r="HQP80" s="456"/>
      <c r="HQQ80" s="456"/>
      <c r="HQR80" s="456"/>
      <c r="HQS80" s="456"/>
      <c r="HQT80" s="456"/>
      <c r="HQU80" s="456"/>
      <c r="HQV80" s="456"/>
      <c r="HQW80" s="456"/>
      <c r="HQX80" s="456"/>
      <c r="HQY80" s="456"/>
      <c r="HQZ80" s="456"/>
      <c r="HRA80" s="456"/>
      <c r="HRB80" s="456"/>
      <c r="HRC80" s="456"/>
      <c r="HRD80" s="456"/>
      <c r="HRE80" s="456"/>
      <c r="HRF80" s="456"/>
      <c r="HRG80" s="456"/>
      <c r="HRH80" s="456"/>
      <c r="HRI80" s="456"/>
      <c r="HRJ80" s="456"/>
      <c r="HRK80" s="456"/>
      <c r="HRL80" s="456"/>
      <c r="HRM80" s="456"/>
      <c r="HRN80" s="456"/>
      <c r="HRO80" s="456"/>
      <c r="HRP80" s="456"/>
      <c r="HRQ80" s="456"/>
      <c r="HRR80" s="456"/>
      <c r="HRS80" s="456"/>
      <c r="HRT80" s="456"/>
      <c r="HRU80" s="456"/>
      <c r="HRV80" s="456"/>
      <c r="HRW80" s="456"/>
      <c r="HRX80" s="456"/>
      <c r="HRY80" s="456"/>
      <c r="HRZ80" s="456"/>
      <c r="HSA80" s="456"/>
      <c r="HSB80" s="456"/>
      <c r="HSC80" s="456"/>
      <c r="HSD80" s="456"/>
      <c r="HSE80" s="456"/>
      <c r="HSF80" s="456"/>
      <c r="HSG80" s="456"/>
      <c r="HSH80" s="456"/>
      <c r="HSI80" s="456"/>
      <c r="HSJ80" s="456"/>
      <c r="HSK80" s="456"/>
      <c r="HSL80" s="456"/>
      <c r="HSM80" s="456"/>
      <c r="HSN80" s="456"/>
      <c r="HSO80" s="456"/>
      <c r="HSP80" s="456"/>
      <c r="HSQ80" s="456"/>
      <c r="HSR80" s="456"/>
      <c r="HSS80" s="456"/>
      <c r="HST80" s="456"/>
      <c r="HSU80" s="456"/>
      <c r="HSV80" s="456"/>
      <c r="HSW80" s="456"/>
      <c r="HSX80" s="456"/>
      <c r="HSY80" s="456"/>
      <c r="HSZ80" s="456"/>
      <c r="HTA80" s="456"/>
      <c r="HTB80" s="456"/>
      <c r="HTC80" s="456"/>
      <c r="HTD80" s="456"/>
      <c r="HTE80" s="456"/>
      <c r="HTF80" s="456"/>
      <c r="HTG80" s="456"/>
      <c r="HTH80" s="456"/>
      <c r="HTI80" s="456"/>
      <c r="HTJ80" s="456"/>
      <c r="HTK80" s="456"/>
      <c r="HTL80" s="456"/>
      <c r="HTM80" s="456"/>
      <c r="HTN80" s="456"/>
      <c r="HTO80" s="456"/>
      <c r="HTP80" s="456"/>
      <c r="HTQ80" s="456"/>
      <c r="HTR80" s="456"/>
      <c r="HTS80" s="456"/>
      <c r="HTT80" s="456"/>
      <c r="HTU80" s="456"/>
      <c r="HTV80" s="456"/>
      <c r="HTW80" s="456"/>
      <c r="HTX80" s="456"/>
      <c r="HTY80" s="456"/>
      <c r="HTZ80" s="456"/>
      <c r="HUA80" s="456"/>
      <c r="HUB80" s="456"/>
      <c r="HUC80" s="456"/>
      <c r="HUD80" s="456"/>
      <c r="HUE80" s="456"/>
      <c r="HUF80" s="456"/>
      <c r="HUG80" s="456"/>
      <c r="HUH80" s="456"/>
      <c r="HUI80" s="456"/>
      <c r="HUJ80" s="456"/>
      <c r="HUK80" s="456"/>
      <c r="HUL80" s="456"/>
      <c r="HUM80" s="456"/>
      <c r="HUN80" s="456"/>
      <c r="HUO80" s="456"/>
      <c r="HUP80" s="456"/>
      <c r="HUQ80" s="456"/>
      <c r="HUR80" s="456"/>
      <c r="HUS80" s="456"/>
      <c r="HUT80" s="456"/>
      <c r="HUU80" s="456"/>
      <c r="HUV80" s="456"/>
      <c r="HUW80" s="456"/>
      <c r="HUX80" s="456"/>
      <c r="HUY80" s="456"/>
      <c r="HUZ80" s="456"/>
      <c r="HVA80" s="456"/>
      <c r="HVB80" s="456"/>
      <c r="HVC80" s="456"/>
      <c r="HVD80" s="456"/>
      <c r="HVE80" s="456"/>
      <c r="HVF80" s="456"/>
      <c r="HVG80" s="456"/>
      <c r="HVH80" s="456"/>
      <c r="HVI80" s="456"/>
      <c r="HVJ80" s="456"/>
      <c r="HVK80" s="456"/>
      <c r="HVL80" s="456"/>
      <c r="HVM80" s="456"/>
      <c r="HVN80" s="456"/>
      <c r="HVO80" s="456"/>
      <c r="HVP80" s="456"/>
      <c r="HVQ80" s="456"/>
      <c r="HVR80" s="456"/>
      <c r="HVS80" s="456"/>
      <c r="HVT80" s="456"/>
      <c r="HVU80" s="456"/>
      <c r="HVV80" s="456"/>
      <c r="HVW80" s="456"/>
      <c r="HVX80" s="456"/>
      <c r="HVY80" s="456"/>
      <c r="HVZ80" s="456"/>
      <c r="HWA80" s="456"/>
      <c r="HWB80" s="456"/>
      <c r="HWC80" s="456"/>
      <c r="HWD80" s="456"/>
      <c r="HWE80" s="456"/>
      <c r="HWF80" s="456"/>
      <c r="HWG80" s="456"/>
      <c r="HWH80" s="456"/>
      <c r="HWI80" s="456"/>
      <c r="HWJ80" s="456"/>
      <c r="HWK80" s="456"/>
      <c r="HWL80" s="456"/>
      <c r="HWM80" s="456"/>
      <c r="HWN80" s="456"/>
      <c r="HWO80" s="456"/>
      <c r="HWP80" s="456"/>
      <c r="HWQ80" s="456"/>
      <c r="HWR80" s="456"/>
      <c r="HWS80" s="456"/>
      <c r="HWT80" s="456"/>
      <c r="HWU80" s="456"/>
      <c r="HWV80" s="456"/>
      <c r="HWW80" s="456"/>
      <c r="HWX80" s="456"/>
      <c r="HWY80" s="456"/>
      <c r="HWZ80" s="456"/>
      <c r="HXA80" s="456"/>
      <c r="HXB80" s="456"/>
      <c r="HXC80" s="456"/>
      <c r="HXD80" s="456"/>
      <c r="HXE80" s="456"/>
      <c r="HXF80" s="456"/>
      <c r="HXG80" s="456"/>
      <c r="HXH80" s="456"/>
      <c r="HXI80" s="456"/>
      <c r="HXJ80" s="456"/>
      <c r="HXK80" s="456"/>
      <c r="HXL80" s="456"/>
      <c r="HXM80" s="456"/>
      <c r="HXN80" s="456"/>
      <c r="HXO80" s="456"/>
      <c r="HXP80" s="456"/>
      <c r="HXQ80" s="456"/>
      <c r="HXR80" s="456"/>
      <c r="HXS80" s="456"/>
      <c r="HXT80" s="456"/>
      <c r="HXU80" s="456"/>
      <c r="HXV80" s="456"/>
      <c r="HXW80" s="456"/>
      <c r="HXX80" s="456"/>
      <c r="HXY80" s="456"/>
      <c r="HXZ80" s="456"/>
      <c r="HYA80" s="456"/>
      <c r="HYB80" s="456"/>
      <c r="HYC80" s="456"/>
      <c r="HYD80" s="456"/>
      <c r="HYE80" s="456"/>
      <c r="HYF80" s="456"/>
      <c r="HYG80" s="456"/>
      <c r="HYH80" s="456"/>
      <c r="HYI80" s="456"/>
      <c r="HYJ80" s="456"/>
      <c r="HYK80" s="456"/>
      <c r="HYL80" s="456"/>
      <c r="HYM80" s="456"/>
      <c r="HYN80" s="456"/>
      <c r="HYO80" s="456"/>
      <c r="HYP80" s="456"/>
      <c r="HYQ80" s="456"/>
      <c r="HYR80" s="456"/>
      <c r="HYS80" s="456"/>
      <c r="HYT80" s="456"/>
      <c r="HYU80" s="456"/>
      <c r="HYV80" s="456"/>
      <c r="HYW80" s="456"/>
      <c r="HYX80" s="456"/>
      <c r="HYY80" s="456"/>
      <c r="HYZ80" s="456"/>
      <c r="HZA80" s="456"/>
      <c r="HZB80" s="456"/>
      <c r="HZC80" s="456"/>
      <c r="HZD80" s="456"/>
      <c r="HZE80" s="456"/>
      <c r="HZF80" s="456"/>
      <c r="HZG80" s="456"/>
      <c r="HZH80" s="456"/>
      <c r="HZI80" s="456"/>
      <c r="HZJ80" s="456"/>
      <c r="HZK80" s="456"/>
      <c r="HZL80" s="456"/>
      <c r="HZM80" s="456"/>
      <c r="HZN80" s="456"/>
      <c r="HZO80" s="456"/>
      <c r="HZP80" s="456"/>
      <c r="HZQ80" s="456"/>
      <c r="HZR80" s="456"/>
      <c r="HZS80" s="456"/>
      <c r="HZT80" s="456"/>
      <c r="HZU80" s="456"/>
      <c r="HZV80" s="456"/>
      <c r="HZW80" s="456"/>
      <c r="HZX80" s="456"/>
      <c r="HZY80" s="456"/>
      <c r="HZZ80" s="456"/>
      <c r="IAA80" s="456"/>
      <c r="IAB80" s="456"/>
      <c r="IAC80" s="456"/>
      <c r="IAD80" s="456"/>
      <c r="IAE80" s="456"/>
      <c r="IAF80" s="456"/>
      <c r="IAG80" s="456"/>
      <c r="IAH80" s="456"/>
      <c r="IAI80" s="456"/>
      <c r="IAJ80" s="456"/>
      <c r="IAK80" s="456"/>
      <c r="IAL80" s="456"/>
      <c r="IAM80" s="456"/>
      <c r="IAN80" s="456"/>
      <c r="IAO80" s="456"/>
      <c r="IAP80" s="456"/>
      <c r="IAQ80" s="456"/>
      <c r="IAR80" s="456"/>
      <c r="IAS80" s="456"/>
      <c r="IAT80" s="456"/>
      <c r="IAU80" s="456"/>
      <c r="IAV80" s="456"/>
      <c r="IAW80" s="456"/>
      <c r="IAX80" s="456"/>
      <c r="IAY80" s="456"/>
      <c r="IAZ80" s="456"/>
      <c r="IBA80" s="456"/>
      <c r="IBB80" s="456"/>
      <c r="IBC80" s="456"/>
      <c r="IBD80" s="456"/>
      <c r="IBE80" s="456"/>
      <c r="IBF80" s="456"/>
      <c r="IBG80" s="456"/>
      <c r="IBH80" s="456"/>
      <c r="IBI80" s="456"/>
      <c r="IBJ80" s="456"/>
      <c r="IBK80" s="456"/>
      <c r="IBL80" s="456"/>
      <c r="IBM80" s="456"/>
      <c r="IBN80" s="456"/>
      <c r="IBO80" s="456"/>
      <c r="IBP80" s="456"/>
      <c r="IBQ80" s="456"/>
      <c r="IBR80" s="456"/>
      <c r="IBS80" s="456"/>
      <c r="IBT80" s="456"/>
      <c r="IBU80" s="456"/>
      <c r="IBV80" s="456"/>
      <c r="IBW80" s="456"/>
      <c r="IBX80" s="456"/>
      <c r="IBY80" s="456"/>
      <c r="IBZ80" s="456"/>
      <c r="ICA80" s="456"/>
      <c r="ICB80" s="456"/>
      <c r="ICC80" s="456"/>
      <c r="ICD80" s="456"/>
      <c r="ICE80" s="456"/>
      <c r="ICF80" s="456"/>
      <c r="ICG80" s="456"/>
      <c r="ICH80" s="456"/>
      <c r="ICI80" s="456"/>
      <c r="ICJ80" s="456"/>
      <c r="ICK80" s="456"/>
      <c r="ICL80" s="456"/>
      <c r="ICM80" s="456"/>
      <c r="ICN80" s="456"/>
      <c r="ICO80" s="456"/>
      <c r="ICP80" s="456"/>
      <c r="ICQ80" s="456"/>
      <c r="ICR80" s="456"/>
      <c r="ICS80" s="456"/>
      <c r="ICT80" s="456"/>
      <c r="ICU80" s="456"/>
      <c r="ICV80" s="456"/>
      <c r="ICW80" s="456"/>
      <c r="ICX80" s="456"/>
      <c r="ICY80" s="456"/>
      <c r="ICZ80" s="456"/>
      <c r="IDA80" s="456"/>
      <c r="IDB80" s="456"/>
      <c r="IDC80" s="456"/>
      <c r="IDD80" s="456"/>
      <c r="IDE80" s="456"/>
      <c r="IDF80" s="456"/>
      <c r="IDG80" s="456"/>
      <c r="IDH80" s="456"/>
      <c r="IDI80" s="456"/>
      <c r="IDJ80" s="456"/>
      <c r="IDK80" s="456"/>
      <c r="IDL80" s="456"/>
      <c r="IDM80" s="456"/>
      <c r="IDN80" s="456"/>
      <c r="IDO80" s="456"/>
      <c r="IDP80" s="456"/>
      <c r="IDQ80" s="456"/>
      <c r="IDR80" s="456"/>
      <c r="IDS80" s="456"/>
      <c r="IDT80" s="456"/>
      <c r="IDU80" s="456"/>
      <c r="IDV80" s="456"/>
      <c r="IDW80" s="456"/>
      <c r="IDX80" s="456"/>
      <c r="IDY80" s="456"/>
      <c r="IDZ80" s="456"/>
      <c r="IEA80" s="456"/>
      <c r="IEB80" s="456"/>
      <c r="IEC80" s="456"/>
      <c r="IED80" s="456"/>
      <c r="IEE80" s="456"/>
      <c r="IEF80" s="456"/>
      <c r="IEG80" s="456"/>
      <c r="IEH80" s="456"/>
      <c r="IEI80" s="456"/>
      <c r="IEJ80" s="456"/>
      <c r="IEK80" s="456"/>
      <c r="IEL80" s="456"/>
      <c r="IEM80" s="456"/>
      <c r="IEN80" s="456"/>
      <c r="IEO80" s="456"/>
      <c r="IEP80" s="456"/>
      <c r="IEQ80" s="456"/>
      <c r="IER80" s="456"/>
      <c r="IES80" s="456"/>
      <c r="IET80" s="456"/>
      <c r="IEU80" s="456"/>
      <c r="IEV80" s="456"/>
      <c r="IEW80" s="456"/>
      <c r="IEX80" s="456"/>
      <c r="IEY80" s="456"/>
      <c r="IEZ80" s="456"/>
      <c r="IFA80" s="456"/>
      <c r="IFB80" s="456"/>
      <c r="IFC80" s="456"/>
      <c r="IFD80" s="456"/>
      <c r="IFE80" s="456"/>
      <c r="IFF80" s="456"/>
      <c r="IFG80" s="456"/>
      <c r="IFH80" s="456"/>
      <c r="IFI80" s="456"/>
      <c r="IFJ80" s="456"/>
      <c r="IFK80" s="456"/>
      <c r="IFL80" s="456"/>
      <c r="IFM80" s="456"/>
      <c r="IFN80" s="456"/>
      <c r="IFO80" s="456"/>
      <c r="IFP80" s="456"/>
      <c r="IFQ80" s="456"/>
      <c r="IFR80" s="456"/>
      <c r="IFS80" s="456"/>
      <c r="IFT80" s="456"/>
      <c r="IFU80" s="456"/>
      <c r="IFV80" s="456"/>
      <c r="IFW80" s="456"/>
      <c r="IFX80" s="456"/>
      <c r="IFY80" s="456"/>
      <c r="IFZ80" s="456"/>
      <c r="IGA80" s="456"/>
      <c r="IGB80" s="456"/>
      <c r="IGC80" s="456"/>
      <c r="IGD80" s="456"/>
      <c r="IGE80" s="456"/>
      <c r="IGF80" s="456"/>
      <c r="IGG80" s="456"/>
      <c r="IGH80" s="456"/>
      <c r="IGI80" s="456"/>
      <c r="IGJ80" s="456"/>
      <c r="IGK80" s="456"/>
      <c r="IGL80" s="456"/>
      <c r="IGM80" s="456"/>
      <c r="IGN80" s="456"/>
      <c r="IGO80" s="456"/>
      <c r="IGP80" s="456"/>
      <c r="IGQ80" s="456"/>
      <c r="IGR80" s="456"/>
      <c r="IGS80" s="456"/>
      <c r="IGT80" s="456"/>
      <c r="IGU80" s="456"/>
      <c r="IGV80" s="456"/>
      <c r="IGW80" s="456"/>
      <c r="IGX80" s="456"/>
      <c r="IGY80" s="456"/>
      <c r="IGZ80" s="456"/>
      <c r="IHA80" s="456"/>
      <c r="IHB80" s="456"/>
      <c r="IHC80" s="456"/>
      <c r="IHD80" s="456"/>
      <c r="IHE80" s="456"/>
      <c r="IHF80" s="456"/>
      <c r="IHG80" s="456"/>
      <c r="IHH80" s="456"/>
      <c r="IHI80" s="456"/>
      <c r="IHJ80" s="456"/>
      <c r="IHK80" s="456"/>
      <c r="IHL80" s="456"/>
      <c r="IHM80" s="456"/>
      <c r="IHN80" s="456"/>
      <c r="IHO80" s="456"/>
      <c r="IHP80" s="456"/>
      <c r="IHQ80" s="456"/>
      <c r="IHR80" s="456"/>
      <c r="IHS80" s="456"/>
      <c r="IHT80" s="456"/>
      <c r="IHU80" s="456"/>
      <c r="IHV80" s="456"/>
      <c r="IHW80" s="456"/>
      <c r="IHX80" s="456"/>
      <c r="IHY80" s="456"/>
      <c r="IHZ80" s="456"/>
      <c r="IIA80" s="456"/>
      <c r="IIB80" s="456"/>
      <c r="IIC80" s="456"/>
      <c r="IID80" s="456"/>
      <c r="IIE80" s="456"/>
      <c r="IIF80" s="456"/>
      <c r="IIG80" s="456"/>
      <c r="IIH80" s="456"/>
      <c r="III80" s="456"/>
      <c r="IIJ80" s="456"/>
      <c r="IIK80" s="456"/>
      <c r="IIL80" s="456"/>
      <c r="IIM80" s="456"/>
      <c r="IIN80" s="456"/>
      <c r="IIO80" s="456"/>
      <c r="IIP80" s="456"/>
      <c r="IIQ80" s="456"/>
      <c r="IIR80" s="456"/>
      <c r="IIS80" s="456"/>
      <c r="IIT80" s="456"/>
      <c r="IIU80" s="456"/>
      <c r="IIV80" s="456"/>
      <c r="IIW80" s="456"/>
      <c r="IIX80" s="456"/>
      <c r="IIY80" s="456"/>
      <c r="IIZ80" s="456"/>
      <c r="IJA80" s="456"/>
      <c r="IJB80" s="456"/>
      <c r="IJC80" s="456"/>
      <c r="IJD80" s="456"/>
      <c r="IJE80" s="456"/>
      <c r="IJF80" s="456"/>
      <c r="IJG80" s="456"/>
      <c r="IJH80" s="456"/>
      <c r="IJI80" s="456"/>
      <c r="IJJ80" s="456"/>
      <c r="IJK80" s="456"/>
      <c r="IJL80" s="456"/>
      <c r="IJM80" s="456"/>
      <c r="IJN80" s="456"/>
      <c r="IJO80" s="456"/>
      <c r="IJP80" s="456"/>
      <c r="IJQ80" s="456"/>
      <c r="IJR80" s="456"/>
      <c r="IJS80" s="456"/>
      <c r="IJT80" s="456"/>
      <c r="IJU80" s="456"/>
      <c r="IJV80" s="456"/>
      <c r="IJW80" s="456"/>
      <c r="IJX80" s="456"/>
      <c r="IJY80" s="456"/>
      <c r="IJZ80" s="456"/>
      <c r="IKA80" s="456"/>
      <c r="IKB80" s="456"/>
      <c r="IKC80" s="456"/>
      <c r="IKD80" s="456"/>
      <c r="IKE80" s="456"/>
      <c r="IKF80" s="456"/>
      <c r="IKG80" s="456"/>
      <c r="IKH80" s="456"/>
      <c r="IKI80" s="456"/>
      <c r="IKJ80" s="456"/>
      <c r="IKK80" s="456"/>
      <c r="IKL80" s="456"/>
      <c r="IKM80" s="456"/>
      <c r="IKN80" s="456"/>
      <c r="IKO80" s="456"/>
      <c r="IKP80" s="456"/>
      <c r="IKQ80" s="456"/>
      <c r="IKR80" s="456"/>
      <c r="IKS80" s="456"/>
      <c r="IKT80" s="456"/>
      <c r="IKU80" s="456"/>
      <c r="IKV80" s="456"/>
      <c r="IKW80" s="456"/>
      <c r="IKX80" s="456"/>
      <c r="IKY80" s="456"/>
      <c r="IKZ80" s="456"/>
      <c r="ILA80" s="456"/>
      <c r="ILB80" s="456"/>
      <c r="ILC80" s="456"/>
      <c r="ILD80" s="456"/>
      <c r="ILE80" s="456"/>
      <c r="ILF80" s="456"/>
      <c r="ILG80" s="456"/>
      <c r="ILH80" s="456"/>
      <c r="ILI80" s="456"/>
      <c r="ILJ80" s="456"/>
      <c r="ILK80" s="456"/>
      <c r="ILL80" s="456"/>
      <c r="ILM80" s="456"/>
      <c r="ILN80" s="456"/>
      <c r="ILO80" s="456"/>
      <c r="ILP80" s="456"/>
      <c r="ILQ80" s="456"/>
      <c r="ILR80" s="456"/>
      <c r="ILS80" s="456"/>
      <c r="ILT80" s="456"/>
      <c r="ILU80" s="456"/>
      <c r="ILV80" s="456"/>
      <c r="ILW80" s="456"/>
      <c r="ILX80" s="456"/>
      <c r="ILY80" s="456"/>
      <c r="ILZ80" s="456"/>
      <c r="IMA80" s="456"/>
      <c r="IMB80" s="456"/>
      <c r="IMC80" s="456"/>
      <c r="IMD80" s="456"/>
      <c r="IME80" s="456"/>
      <c r="IMF80" s="456"/>
      <c r="IMG80" s="456"/>
      <c r="IMH80" s="456"/>
      <c r="IMI80" s="456"/>
      <c r="IMJ80" s="456"/>
      <c r="IMK80" s="456"/>
      <c r="IML80" s="456"/>
      <c r="IMM80" s="456"/>
      <c r="IMN80" s="456"/>
      <c r="IMO80" s="456"/>
      <c r="IMP80" s="456"/>
      <c r="IMQ80" s="456"/>
      <c r="IMR80" s="456"/>
      <c r="IMS80" s="456"/>
      <c r="IMT80" s="456"/>
      <c r="IMU80" s="456"/>
      <c r="IMV80" s="456"/>
      <c r="IMW80" s="456"/>
      <c r="IMX80" s="456"/>
      <c r="IMY80" s="456"/>
      <c r="IMZ80" s="456"/>
      <c r="INA80" s="456"/>
      <c r="INB80" s="456"/>
      <c r="INC80" s="456"/>
      <c r="IND80" s="456"/>
      <c r="INE80" s="456"/>
      <c r="INF80" s="456"/>
      <c r="ING80" s="456"/>
      <c r="INH80" s="456"/>
      <c r="INI80" s="456"/>
      <c r="INJ80" s="456"/>
      <c r="INK80" s="456"/>
      <c r="INL80" s="456"/>
      <c r="INM80" s="456"/>
      <c r="INN80" s="456"/>
      <c r="INO80" s="456"/>
      <c r="INP80" s="456"/>
      <c r="INQ80" s="456"/>
      <c r="INR80" s="456"/>
      <c r="INS80" s="456"/>
      <c r="INT80" s="456"/>
      <c r="INU80" s="456"/>
      <c r="INV80" s="456"/>
      <c r="INW80" s="456"/>
      <c r="INX80" s="456"/>
      <c r="INY80" s="456"/>
      <c r="INZ80" s="456"/>
      <c r="IOA80" s="456"/>
      <c r="IOB80" s="456"/>
      <c r="IOC80" s="456"/>
      <c r="IOD80" s="456"/>
      <c r="IOE80" s="456"/>
      <c r="IOF80" s="456"/>
      <c r="IOG80" s="456"/>
      <c r="IOH80" s="456"/>
      <c r="IOI80" s="456"/>
      <c r="IOJ80" s="456"/>
      <c r="IOK80" s="456"/>
      <c r="IOL80" s="456"/>
      <c r="IOM80" s="456"/>
      <c r="ION80" s="456"/>
      <c r="IOO80" s="456"/>
      <c r="IOP80" s="456"/>
      <c r="IOQ80" s="456"/>
      <c r="IOR80" s="456"/>
      <c r="IOS80" s="456"/>
      <c r="IOT80" s="456"/>
      <c r="IOU80" s="456"/>
      <c r="IOV80" s="456"/>
      <c r="IOW80" s="456"/>
      <c r="IOX80" s="456"/>
      <c r="IOY80" s="456"/>
      <c r="IOZ80" s="456"/>
      <c r="IPA80" s="456"/>
      <c r="IPB80" s="456"/>
      <c r="IPC80" s="456"/>
      <c r="IPD80" s="456"/>
      <c r="IPE80" s="456"/>
      <c r="IPF80" s="456"/>
      <c r="IPG80" s="456"/>
      <c r="IPH80" s="456"/>
      <c r="IPI80" s="456"/>
      <c r="IPJ80" s="456"/>
      <c r="IPK80" s="456"/>
      <c r="IPL80" s="456"/>
      <c r="IPM80" s="456"/>
      <c r="IPN80" s="456"/>
      <c r="IPO80" s="456"/>
      <c r="IPP80" s="456"/>
      <c r="IPQ80" s="456"/>
      <c r="IPR80" s="456"/>
      <c r="IPS80" s="456"/>
      <c r="IPT80" s="456"/>
      <c r="IPU80" s="456"/>
      <c r="IPV80" s="456"/>
      <c r="IPW80" s="456"/>
      <c r="IPX80" s="456"/>
      <c r="IPY80" s="456"/>
      <c r="IPZ80" s="456"/>
      <c r="IQA80" s="456"/>
      <c r="IQB80" s="456"/>
      <c r="IQC80" s="456"/>
      <c r="IQD80" s="456"/>
      <c r="IQE80" s="456"/>
      <c r="IQF80" s="456"/>
      <c r="IQG80" s="456"/>
      <c r="IQH80" s="456"/>
      <c r="IQI80" s="456"/>
      <c r="IQJ80" s="456"/>
      <c r="IQK80" s="456"/>
      <c r="IQL80" s="456"/>
      <c r="IQM80" s="456"/>
      <c r="IQN80" s="456"/>
      <c r="IQO80" s="456"/>
      <c r="IQP80" s="456"/>
      <c r="IQQ80" s="456"/>
      <c r="IQR80" s="456"/>
      <c r="IQS80" s="456"/>
      <c r="IQT80" s="456"/>
      <c r="IQU80" s="456"/>
      <c r="IQV80" s="456"/>
      <c r="IQW80" s="456"/>
      <c r="IQX80" s="456"/>
      <c r="IQY80" s="456"/>
      <c r="IQZ80" s="456"/>
      <c r="IRA80" s="456"/>
      <c r="IRB80" s="456"/>
      <c r="IRC80" s="456"/>
      <c r="IRD80" s="456"/>
      <c r="IRE80" s="456"/>
      <c r="IRF80" s="456"/>
      <c r="IRG80" s="456"/>
      <c r="IRH80" s="456"/>
      <c r="IRI80" s="456"/>
      <c r="IRJ80" s="456"/>
      <c r="IRK80" s="456"/>
      <c r="IRL80" s="456"/>
      <c r="IRM80" s="456"/>
      <c r="IRN80" s="456"/>
      <c r="IRO80" s="456"/>
      <c r="IRP80" s="456"/>
      <c r="IRQ80" s="456"/>
      <c r="IRR80" s="456"/>
      <c r="IRS80" s="456"/>
      <c r="IRT80" s="456"/>
      <c r="IRU80" s="456"/>
      <c r="IRV80" s="456"/>
      <c r="IRW80" s="456"/>
      <c r="IRX80" s="456"/>
      <c r="IRY80" s="456"/>
      <c r="IRZ80" s="456"/>
      <c r="ISA80" s="456"/>
      <c r="ISB80" s="456"/>
      <c r="ISC80" s="456"/>
      <c r="ISD80" s="456"/>
      <c r="ISE80" s="456"/>
      <c r="ISF80" s="456"/>
      <c r="ISG80" s="456"/>
      <c r="ISH80" s="456"/>
      <c r="ISI80" s="456"/>
      <c r="ISJ80" s="456"/>
      <c r="ISK80" s="456"/>
      <c r="ISL80" s="456"/>
      <c r="ISM80" s="456"/>
      <c r="ISN80" s="456"/>
      <c r="ISO80" s="456"/>
      <c r="ISP80" s="456"/>
      <c r="ISQ80" s="456"/>
      <c r="ISR80" s="456"/>
      <c r="ISS80" s="456"/>
      <c r="IST80" s="456"/>
      <c r="ISU80" s="456"/>
      <c r="ISV80" s="456"/>
      <c r="ISW80" s="456"/>
      <c r="ISX80" s="456"/>
      <c r="ISY80" s="456"/>
      <c r="ISZ80" s="456"/>
      <c r="ITA80" s="456"/>
      <c r="ITB80" s="456"/>
      <c r="ITC80" s="456"/>
      <c r="ITD80" s="456"/>
      <c r="ITE80" s="456"/>
      <c r="ITF80" s="456"/>
      <c r="ITG80" s="456"/>
      <c r="ITH80" s="456"/>
      <c r="ITI80" s="456"/>
      <c r="ITJ80" s="456"/>
      <c r="ITK80" s="456"/>
      <c r="ITL80" s="456"/>
      <c r="ITM80" s="456"/>
      <c r="ITN80" s="456"/>
      <c r="ITO80" s="456"/>
      <c r="ITP80" s="456"/>
      <c r="ITQ80" s="456"/>
      <c r="ITR80" s="456"/>
      <c r="ITS80" s="456"/>
      <c r="ITT80" s="456"/>
      <c r="ITU80" s="456"/>
      <c r="ITV80" s="456"/>
      <c r="ITW80" s="456"/>
      <c r="ITX80" s="456"/>
      <c r="ITY80" s="456"/>
      <c r="ITZ80" s="456"/>
      <c r="IUA80" s="456"/>
      <c r="IUB80" s="456"/>
      <c r="IUC80" s="456"/>
      <c r="IUD80" s="456"/>
      <c r="IUE80" s="456"/>
      <c r="IUF80" s="456"/>
      <c r="IUG80" s="456"/>
      <c r="IUH80" s="456"/>
      <c r="IUI80" s="456"/>
      <c r="IUJ80" s="456"/>
      <c r="IUK80" s="456"/>
      <c r="IUL80" s="456"/>
      <c r="IUM80" s="456"/>
      <c r="IUN80" s="456"/>
      <c r="IUO80" s="456"/>
      <c r="IUP80" s="456"/>
      <c r="IUQ80" s="456"/>
      <c r="IUR80" s="456"/>
      <c r="IUS80" s="456"/>
      <c r="IUT80" s="456"/>
      <c r="IUU80" s="456"/>
      <c r="IUV80" s="456"/>
      <c r="IUW80" s="456"/>
      <c r="IUX80" s="456"/>
      <c r="IUY80" s="456"/>
      <c r="IUZ80" s="456"/>
      <c r="IVA80" s="456"/>
      <c r="IVB80" s="456"/>
      <c r="IVC80" s="456"/>
      <c r="IVD80" s="456"/>
      <c r="IVE80" s="456"/>
      <c r="IVF80" s="456"/>
      <c r="IVG80" s="456"/>
      <c r="IVH80" s="456"/>
      <c r="IVI80" s="456"/>
      <c r="IVJ80" s="456"/>
      <c r="IVK80" s="456"/>
      <c r="IVL80" s="456"/>
      <c r="IVM80" s="456"/>
      <c r="IVN80" s="456"/>
      <c r="IVO80" s="456"/>
      <c r="IVP80" s="456"/>
      <c r="IVQ80" s="456"/>
      <c r="IVR80" s="456"/>
      <c r="IVS80" s="456"/>
      <c r="IVT80" s="456"/>
      <c r="IVU80" s="456"/>
      <c r="IVV80" s="456"/>
      <c r="IVW80" s="456"/>
      <c r="IVX80" s="456"/>
      <c r="IVY80" s="456"/>
      <c r="IVZ80" s="456"/>
      <c r="IWA80" s="456"/>
      <c r="IWB80" s="456"/>
      <c r="IWC80" s="456"/>
      <c r="IWD80" s="456"/>
      <c r="IWE80" s="456"/>
      <c r="IWF80" s="456"/>
      <c r="IWG80" s="456"/>
      <c r="IWH80" s="456"/>
      <c r="IWI80" s="456"/>
      <c r="IWJ80" s="456"/>
      <c r="IWK80" s="456"/>
      <c r="IWL80" s="456"/>
      <c r="IWM80" s="456"/>
      <c r="IWN80" s="456"/>
      <c r="IWO80" s="456"/>
      <c r="IWP80" s="456"/>
      <c r="IWQ80" s="456"/>
      <c r="IWR80" s="456"/>
      <c r="IWS80" s="456"/>
      <c r="IWT80" s="456"/>
      <c r="IWU80" s="456"/>
      <c r="IWV80" s="456"/>
      <c r="IWW80" s="456"/>
      <c r="IWX80" s="456"/>
      <c r="IWY80" s="456"/>
      <c r="IWZ80" s="456"/>
      <c r="IXA80" s="456"/>
      <c r="IXB80" s="456"/>
      <c r="IXC80" s="456"/>
      <c r="IXD80" s="456"/>
      <c r="IXE80" s="456"/>
      <c r="IXF80" s="456"/>
      <c r="IXG80" s="456"/>
      <c r="IXH80" s="456"/>
      <c r="IXI80" s="456"/>
      <c r="IXJ80" s="456"/>
      <c r="IXK80" s="456"/>
      <c r="IXL80" s="456"/>
      <c r="IXM80" s="456"/>
      <c r="IXN80" s="456"/>
      <c r="IXO80" s="456"/>
      <c r="IXP80" s="456"/>
      <c r="IXQ80" s="456"/>
      <c r="IXR80" s="456"/>
      <c r="IXS80" s="456"/>
      <c r="IXT80" s="456"/>
      <c r="IXU80" s="456"/>
      <c r="IXV80" s="456"/>
      <c r="IXW80" s="456"/>
      <c r="IXX80" s="456"/>
      <c r="IXY80" s="456"/>
      <c r="IXZ80" s="456"/>
      <c r="IYA80" s="456"/>
      <c r="IYB80" s="456"/>
      <c r="IYC80" s="456"/>
      <c r="IYD80" s="456"/>
      <c r="IYE80" s="456"/>
      <c r="IYF80" s="456"/>
      <c r="IYG80" s="456"/>
      <c r="IYH80" s="456"/>
      <c r="IYI80" s="456"/>
      <c r="IYJ80" s="456"/>
      <c r="IYK80" s="456"/>
      <c r="IYL80" s="456"/>
      <c r="IYM80" s="456"/>
      <c r="IYN80" s="456"/>
      <c r="IYO80" s="456"/>
      <c r="IYP80" s="456"/>
      <c r="IYQ80" s="456"/>
      <c r="IYR80" s="456"/>
      <c r="IYS80" s="456"/>
      <c r="IYT80" s="456"/>
      <c r="IYU80" s="456"/>
      <c r="IYV80" s="456"/>
      <c r="IYW80" s="456"/>
      <c r="IYX80" s="456"/>
      <c r="IYY80" s="456"/>
      <c r="IYZ80" s="456"/>
      <c r="IZA80" s="456"/>
      <c r="IZB80" s="456"/>
      <c r="IZC80" s="456"/>
      <c r="IZD80" s="456"/>
      <c r="IZE80" s="456"/>
      <c r="IZF80" s="456"/>
      <c r="IZG80" s="456"/>
      <c r="IZH80" s="456"/>
      <c r="IZI80" s="456"/>
      <c r="IZJ80" s="456"/>
      <c r="IZK80" s="456"/>
      <c r="IZL80" s="456"/>
      <c r="IZM80" s="456"/>
      <c r="IZN80" s="456"/>
      <c r="IZO80" s="456"/>
      <c r="IZP80" s="456"/>
      <c r="IZQ80" s="456"/>
      <c r="IZR80" s="456"/>
      <c r="IZS80" s="456"/>
      <c r="IZT80" s="456"/>
      <c r="IZU80" s="456"/>
      <c r="IZV80" s="456"/>
      <c r="IZW80" s="456"/>
      <c r="IZX80" s="456"/>
      <c r="IZY80" s="456"/>
      <c r="IZZ80" s="456"/>
      <c r="JAA80" s="456"/>
      <c r="JAB80" s="456"/>
      <c r="JAC80" s="456"/>
      <c r="JAD80" s="456"/>
      <c r="JAE80" s="456"/>
      <c r="JAF80" s="456"/>
      <c r="JAG80" s="456"/>
      <c r="JAH80" s="456"/>
      <c r="JAI80" s="456"/>
      <c r="JAJ80" s="456"/>
      <c r="JAK80" s="456"/>
      <c r="JAL80" s="456"/>
      <c r="JAM80" s="456"/>
      <c r="JAN80" s="456"/>
      <c r="JAO80" s="456"/>
      <c r="JAP80" s="456"/>
      <c r="JAQ80" s="456"/>
      <c r="JAR80" s="456"/>
      <c r="JAS80" s="456"/>
      <c r="JAT80" s="456"/>
      <c r="JAU80" s="456"/>
      <c r="JAV80" s="456"/>
      <c r="JAW80" s="456"/>
      <c r="JAX80" s="456"/>
      <c r="JAY80" s="456"/>
      <c r="JAZ80" s="456"/>
      <c r="JBA80" s="456"/>
      <c r="JBB80" s="456"/>
      <c r="JBC80" s="456"/>
      <c r="JBD80" s="456"/>
      <c r="JBE80" s="456"/>
      <c r="JBF80" s="456"/>
      <c r="JBG80" s="456"/>
      <c r="JBH80" s="456"/>
      <c r="JBI80" s="456"/>
      <c r="JBJ80" s="456"/>
      <c r="JBK80" s="456"/>
      <c r="JBL80" s="456"/>
      <c r="JBM80" s="456"/>
      <c r="JBN80" s="456"/>
      <c r="JBO80" s="456"/>
      <c r="JBP80" s="456"/>
      <c r="JBQ80" s="456"/>
      <c r="JBR80" s="456"/>
      <c r="JBS80" s="456"/>
      <c r="JBT80" s="456"/>
      <c r="JBU80" s="456"/>
      <c r="JBV80" s="456"/>
      <c r="JBW80" s="456"/>
      <c r="JBX80" s="456"/>
      <c r="JBY80" s="456"/>
      <c r="JBZ80" s="456"/>
      <c r="JCA80" s="456"/>
      <c r="JCB80" s="456"/>
      <c r="JCC80" s="456"/>
      <c r="JCD80" s="456"/>
      <c r="JCE80" s="456"/>
      <c r="JCF80" s="456"/>
      <c r="JCG80" s="456"/>
      <c r="JCH80" s="456"/>
      <c r="JCI80" s="456"/>
      <c r="JCJ80" s="456"/>
      <c r="JCK80" s="456"/>
      <c r="JCL80" s="456"/>
      <c r="JCM80" s="456"/>
      <c r="JCN80" s="456"/>
      <c r="JCO80" s="456"/>
      <c r="JCP80" s="456"/>
      <c r="JCQ80" s="456"/>
      <c r="JCR80" s="456"/>
      <c r="JCS80" s="456"/>
      <c r="JCT80" s="456"/>
      <c r="JCU80" s="456"/>
      <c r="JCV80" s="456"/>
      <c r="JCW80" s="456"/>
      <c r="JCX80" s="456"/>
      <c r="JCY80" s="456"/>
      <c r="JCZ80" s="456"/>
      <c r="JDA80" s="456"/>
      <c r="JDB80" s="456"/>
      <c r="JDC80" s="456"/>
      <c r="JDD80" s="456"/>
      <c r="JDE80" s="456"/>
      <c r="JDF80" s="456"/>
      <c r="JDG80" s="456"/>
      <c r="JDH80" s="456"/>
      <c r="JDI80" s="456"/>
      <c r="JDJ80" s="456"/>
      <c r="JDK80" s="456"/>
      <c r="JDL80" s="456"/>
      <c r="JDM80" s="456"/>
      <c r="JDN80" s="456"/>
      <c r="JDO80" s="456"/>
      <c r="JDP80" s="456"/>
      <c r="JDQ80" s="456"/>
      <c r="JDR80" s="456"/>
      <c r="JDS80" s="456"/>
      <c r="JDT80" s="456"/>
      <c r="JDU80" s="456"/>
      <c r="JDV80" s="456"/>
      <c r="JDW80" s="456"/>
      <c r="JDX80" s="456"/>
      <c r="JDY80" s="456"/>
      <c r="JDZ80" s="456"/>
      <c r="JEA80" s="456"/>
      <c r="JEB80" s="456"/>
      <c r="JEC80" s="456"/>
      <c r="JED80" s="456"/>
      <c r="JEE80" s="456"/>
      <c r="JEF80" s="456"/>
      <c r="JEG80" s="456"/>
      <c r="JEH80" s="456"/>
      <c r="JEI80" s="456"/>
      <c r="JEJ80" s="456"/>
      <c r="JEK80" s="456"/>
      <c r="JEL80" s="456"/>
      <c r="JEM80" s="456"/>
      <c r="JEN80" s="456"/>
      <c r="JEO80" s="456"/>
      <c r="JEP80" s="456"/>
      <c r="JEQ80" s="456"/>
      <c r="JER80" s="456"/>
      <c r="JES80" s="456"/>
      <c r="JET80" s="456"/>
      <c r="JEU80" s="456"/>
      <c r="JEV80" s="456"/>
      <c r="JEW80" s="456"/>
      <c r="JEX80" s="456"/>
      <c r="JEY80" s="456"/>
      <c r="JEZ80" s="456"/>
      <c r="JFA80" s="456"/>
      <c r="JFB80" s="456"/>
      <c r="JFC80" s="456"/>
      <c r="JFD80" s="456"/>
      <c r="JFE80" s="456"/>
      <c r="JFF80" s="456"/>
      <c r="JFG80" s="456"/>
      <c r="JFH80" s="456"/>
      <c r="JFI80" s="456"/>
      <c r="JFJ80" s="456"/>
      <c r="JFK80" s="456"/>
      <c r="JFL80" s="456"/>
      <c r="JFM80" s="456"/>
      <c r="JFN80" s="456"/>
      <c r="JFO80" s="456"/>
      <c r="JFP80" s="456"/>
      <c r="JFQ80" s="456"/>
      <c r="JFR80" s="456"/>
      <c r="JFS80" s="456"/>
      <c r="JFT80" s="456"/>
      <c r="JFU80" s="456"/>
      <c r="JFV80" s="456"/>
      <c r="JFW80" s="456"/>
      <c r="JFX80" s="456"/>
      <c r="JFY80" s="456"/>
      <c r="JFZ80" s="456"/>
      <c r="JGA80" s="456"/>
      <c r="JGB80" s="456"/>
      <c r="JGC80" s="456"/>
      <c r="JGD80" s="456"/>
      <c r="JGE80" s="456"/>
      <c r="JGF80" s="456"/>
      <c r="JGG80" s="456"/>
      <c r="JGH80" s="456"/>
      <c r="JGI80" s="456"/>
      <c r="JGJ80" s="456"/>
      <c r="JGK80" s="456"/>
      <c r="JGL80" s="456"/>
      <c r="JGM80" s="456"/>
      <c r="JGN80" s="456"/>
      <c r="JGO80" s="456"/>
      <c r="JGP80" s="456"/>
      <c r="JGQ80" s="456"/>
      <c r="JGR80" s="456"/>
      <c r="JGS80" s="456"/>
      <c r="JGT80" s="456"/>
      <c r="JGU80" s="456"/>
      <c r="JGV80" s="456"/>
      <c r="JGW80" s="456"/>
      <c r="JGX80" s="456"/>
      <c r="JGY80" s="456"/>
      <c r="JGZ80" s="456"/>
      <c r="JHA80" s="456"/>
      <c r="JHB80" s="456"/>
      <c r="JHC80" s="456"/>
      <c r="JHD80" s="456"/>
      <c r="JHE80" s="456"/>
      <c r="JHF80" s="456"/>
      <c r="JHG80" s="456"/>
      <c r="JHH80" s="456"/>
      <c r="JHI80" s="456"/>
      <c r="JHJ80" s="456"/>
      <c r="JHK80" s="456"/>
      <c r="JHL80" s="456"/>
      <c r="JHM80" s="456"/>
      <c r="JHN80" s="456"/>
      <c r="JHO80" s="456"/>
      <c r="JHP80" s="456"/>
      <c r="JHQ80" s="456"/>
      <c r="JHR80" s="456"/>
      <c r="JHS80" s="456"/>
      <c r="JHT80" s="456"/>
      <c r="JHU80" s="456"/>
      <c r="JHV80" s="456"/>
      <c r="JHW80" s="456"/>
      <c r="JHX80" s="456"/>
      <c r="JHY80" s="456"/>
      <c r="JHZ80" s="456"/>
      <c r="JIA80" s="456"/>
      <c r="JIB80" s="456"/>
      <c r="JIC80" s="456"/>
      <c r="JID80" s="456"/>
      <c r="JIE80" s="456"/>
      <c r="JIF80" s="456"/>
      <c r="JIG80" s="456"/>
      <c r="JIH80" s="456"/>
      <c r="JII80" s="456"/>
      <c r="JIJ80" s="456"/>
      <c r="JIK80" s="456"/>
      <c r="JIL80" s="456"/>
      <c r="JIM80" s="456"/>
      <c r="JIN80" s="456"/>
      <c r="JIO80" s="456"/>
      <c r="JIP80" s="456"/>
      <c r="JIQ80" s="456"/>
      <c r="JIR80" s="456"/>
      <c r="JIS80" s="456"/>
      <c r="JIT80" s="456"/>
      <c r="JIU80" s="456"/>
      <c r="JIV80" s="456"/>
      <c r="JIW80" s="456"/>
      <c r="JIX80" s="456"/>
      <c r="JIY80" s="456"/>
      <c r="JIZ80" s="456"/>
      <c r="JJA80" s="456"/>
      <c r="JJB80" s="456"/>
      <c r="JJC80" s="456"/>
      <c r="JJD80" s="456"/>
      <c r="JJE80" s="456"/>
      <c r="JJF80" s="456"/>
      <c r="JJG80" s="456"/>
      <c r="JJH80" s="456"/>
      <c r="JJI80" s="456"/>
      <c r="JJJ80" s="456"/>
      <c r="JJK80" s="456"/>
      <c r="JJL80" s="456"/>
      <c r="JJM80" s="456"/>
      <c r="JJN80" s="456"/>
      <c r="JJO80" s="456"/>
      <c r="JJP80" s="456"/>
      <c r="JJQ80" s="456"/>
      <c r="JJR80" s="456"/>
      <c r="JJS80" s="456"/>
      <c r="JJT80" s="456"/>
      <c r="JJU80" s="456"/>
      <c r="JJV80" s="456"/>
      <c r="JJW80" s="456"/>
      <c r="JJX80" s="456"/>
      <c r="JJY80" s="456"/>
      <c r="JJZ80" s="456"/>
      <c r="JKA80" s="456"/>
      <c r="JKB80" s="456"/>
      <c r="JKC80" s="456"/>
      <c r="JKD80" s="456"/>
      <c r="JKE80" s="456"/>
      <c r="JKF80" s="456"/>
      <c r="JKG80" s="456"/>
      <c r="JKH80" s="456"/>
      <c r="JKI80" s="456"/>
      <c r="JKJ80" s="456"/>
      <c r="JKK80" s="456"/>
      <c r="JKL80" s="456"/>
      <c r="JKM80" s="456"/>
      <c r="JKN80" s="456"/>
      <c r="JKO80" s="456"/>
      <c r="JKP80" s="456"/>
      <c r="JKQ80" s="456"/>
      <c r="JKR80" s="456"/>
      <c r="JKS80" s="456"/>
      <c r="JKT80" s="456"/>
      <c r="JKU80" s="456"/>
      <c r="JKV80" s="456"/>
      <c r="JKW80" s="456"/>
      <c r="JKX80" s="456"/>
      <c r="JKY80" s="456"/>
      <c r="JKZ80" s="456"/>
      <c r="JLA80" s="456"/>
      <c r="JLB80" s="456"/>
      <c r="JLC80" s="456"/>
      <c r="JLD80" s="456"/>
      <c r="JLE80" s="456"/>
      <c r="JLF80" s="456"/>
      <c r="JLG80" s="456"/>
      <c r="JLH80" s="456"/>
      <c r="JLI80" s="456"/>
      <c r="JLJ80" s="456"/>
      <c r="JLK80" s="456"/>
      <c r="JLL80" s="456"/>
      <c r="JLM80" s="456"/>
      <c r="JLN80" s="456"/>
      <c r="JLO80" s="456"/>
      <c r="JLP80" s="456"/>
      <c r="JLQ80" s="456"/>
      <c r="JLR80" s="456"/>
      <c r="JLS80" s="456"/>
      <c r="JLT80" s="456"/>
      <c r="JLU80" s="456"/>
      <c r="JLV80" s="456"/>
      <c r="JLW80" s="456"/>
      <c r="JLX80" s="456"/>
      <c r="JLY80" s="456"/>
      <c r="JLZ80" s="456"/>
      <c r="JMA80" s="456"/>
      <c r="JMB80" s="456"/>
      <c r="JMC80" s="456"/>
      <c r="JMD80" s="456"/>
      <c r="JME80" s="456"/>
      <c r="JMF80" s="456"/>
      <c r="JMG80" s="456"/>
      <c r="JMH80" s="456"/>
      <c r="JMI80" s="456"/>
      <c r="JMJ80" s="456"/>
      <c r="JMK80" s="456"/>
      <c r="JML80" s="456"/>
      <c r="JMM80" s="456"/>
      <c r="JMN80" s="456"/>
      <c r="JMO80" s="456"/>
      <c r="JMP80" s="456"/>
      <c r="JMQ80" s="456"/>
      <c r="JMR80" s="456"/>
      <c r="JMS80" s="456"/>
      <c r="JMT80" s="456"/>
      <c r="JMU80" s="456"/>
      <c r="JMV80" s="456"/>
      <c r="JMW80" s="456"/>
      <c r="JMX80" s="456"/>
      <c r="JMY80" s="456"/>
      <c r="JMZ80" s="456"/>
      <c r="JNA80" s="456"/>
      <c r="JNB80" s="456"/>
      <c r="JNC80" s="456"/>
      <c r="JND80" s="456"/>
      <c r="JNE80" s="456"/>
      <c r="JNF80" s="456"/>
      <c r="JNG80" s="456"/>
      <c r="JNH80" s="456"/>
      <c r="JNI80" s="456"/>
      <c r="JNJ80" s="456"/>
      <c r="JNK80" s="456"/>
      <c r="JNL80" s="456"/>
      <c r="JNM80" s="456"/>
      <c r="JNN80" s="456"/>
      <c r="JNO80" s="456"/>
      <c r="JNP80" s="456"/>
      <c r="JNQ80" s="456"/>
      <c r="JNR80" s="456"/>
      <c r="JNS80" s="456"/>
      <c r="JNT80" s="456"/>
      <c r="JNU80" s="456"/>
      <c r="JNV80" s="456"/>
      <c r="JNW80" s="456"/>
      <c r="JNX80" s="456"/>
      <c r="JNY80" s="456"/>
      <c r="JNZ80" s="456"/>
      <c r="JOA80" s="456"/>
      <c r="JOB80" s="456"/>
      <c r="JOC80" s="456"/>
      <c r="JOD80" s="456"/>
      <c r="JOE80" s="456"/>
      <c r="JOF80" s="456"/>
      <c r="JOG80" s="456"/>
      <c r="JOH80" s="456"/>
      <c r="JOI80" s="456"/>
      <c r="JOJ80" s="456"/>
      <c r="JOK80" s="456"/>
      <c r="JOL80" s="456"/>
      <c r="JOM80" s="456"/>
      <c r="JON80" s="456"/>
      <c r="JOO80" s="456"/>
      <c r="JOP80" s="456"/>
      <c r="JOQ80" s="456"/>
      <c r="JOR80" s="456"/>
      <c r="JOS80" s="456"/>
      <c r="JOT80" s="456"/>
      <c r="JOU80" s="456"/>
      <c r="JOV80" s="456"/>
      <c r="JOW80" s="456"/>
      <c r="JOX80" s="456"/>
      <c r="JOY80" s="456"/>
      <c r="JOZ80" s="456"/>
      <c r="JPA80" s="456"/>
      <c r="JPB80" s="456"/>
      <c r="JPC80" s="456"/>
      <c r="JPD80" s="456"/>
      <c r="JPE80" s="456"/>
      <c r="JPF80" s="456"/>
      <c r="JPG80" s="456"/>
      <c r="JPH80" s="456"/>
      <c r="JPI80" s="456"/>
      <c r="JPJ80" s="456"/>
      <c r="JPK80" s="456"/>
      <c r="JPL80" s="456"/>
      <c r="JPM80" s="456"/>
      <c r="JPN80" s="456"/>
      <c r="JPO80" s="456"/>
      <c r="JPP80" s="456"/>
      <c r="JPQ80" s="456"/>
      <c r="JPR80" s="456"/>
      <c r="JPS80" s="456"/>
      <c r="JPT80" s="456"/>
      <c r="JPU80" s="456"/>
      <c r="JPV80" s="456"/>
      <c r="JPW80" s="456"/>
      <c r="JPX80" s="456"/>
      <c r="JPY80" s="456"/>
      <c r="JPZ80" s="456"/>
      <c r="JQA80" s="456"/>
      <c r="JQB80" s="456"/>
      <c r="JQC80" s="456"/>
      <c r="JQD80" s="456"/>
      <c r="JQE80" s="456"/>
      <c r="JQF80" s="456"/>
      <c r="JQG80" s="456"/>
      <c r="JQH80" s="456"/>
      <c r="JQI80" s="456"/>
      <c r="JQJ80" s="456"/>
      <c r="JQK80" s="456"/>
      <c r="JQL80" s="456"/>
      <c r="JQM80" s="456"/>
      <c r="JQN80" s="456"/>
      <c r="JQO80" s="456"/>
      <c r="JQP80" s="456"/>
      <c r="JQQ80" s="456"/>
      <c r="JQR80" s="456"/>
      <c r="JQS80" s="456"/>
      <c r="JQT80" s="456"/>
      <c r="JQU80" s="456"/>
      <c r="JQV80" s="456"/>
      <c r="JQW80" s="456"/>
      <c r="JQX80" s="456"/>
      <c r="JQY80" s="456"/>
      <c r="JQZ80" s="456"/>
      <c r="JRA80" s="456"/>
      <c r="JRB80" s="456"/>
      <c r="JRC80" s="456"/>
      <c r="JRD80" s="456"/>
      <c r="JRE80" s="456"/>
      <c r="JRF80" s="456"/>
      <c r="JRG80" s="456"/>
      <c r="JRH80" s="456"/>
      <c r="JRI80" s="456"/>
      <c r="JRJ80" s="456"/>
      <c r="JRK80" s="456"/>
      <c r="JRL80" s="456"/>
      <c r="JRM80" s="456"/>
      <c r="JRN80" s="456"/>
      <c r="JRO80" s="456"/>
      <c r="JRP80" s="456"/>
      <c r="JRQ80" s="456"/>
      <c r="JRR80" s="456"/>
      <c r="JRS80" s="456"/>
      <c r="JRT80" s="456"/>
      <c r="JRU80" s="456"/>
      <c r="JRV80" s="456"/>
      <c r="JRW80" s="456"/>
      <c r="JRX80" s="456"/>
      <c r="JRY80" s="456"/>
      <c r="JRZ80" s="456"/>
      <c r="JSA80" s="456"/>
      <c r="JSB80" s="456"/>
      <c r="JSC80" s="456"/>
      <c r="JSD80" s="456"/>
      <c r="JSE80" s="456"/>
      <c r="JSF80" s="456"/>
      <c r="JSG80" s="456"/>
      <c r="JSH80" s="456"/>
      <c r="JSI80" s="456"/>
      <c r="JSJ80" s="456"/>
      <c r="JSK80" s="456"/>
      <c r="JSL80" s="456"/>
      <c r="JSM80" s="456"/>
      <c r="JSN80" s="456"/>
      <c r="JSO80" s="456"/>
      <c r="JSP80" s="456"/>
      <c r="JSQ80" s="456"/>
      <c r="JSR80" s="456"/>
      <c r="JSS80" s="456"/>
      <c r="JST80" s="456"/>
      <c r="JSU80" s="456"/>
      <c r="JSV80" s="456"/>
      <c r="JSW80" s="456"/>
      <c r="JSX80" s="456"/>
      <c r="JSY80" s="456"/>
      <c r="JSZ80" s="456"/>
      <c r="JTA80" s="456"/>
      <c r="JTB80" s="456"/>
      <c r="JTC80" s="456"/>
      <c r="JTD80" s="456"/>
      <c r="JTE80" s="456"/>
      <c r="JTF80" s="456"/>
      <c r="JTG80" s="456"/>
      <c r="JTH80" s="456"/>
      <c r="JTI80" s="456"/>
      <c r="JTJ80" s="456"/>
      <c r="JTK80" s="456"/>
      <c r="JTL80" s="456"/>
      <c r="JTM80" s="456"/>
      <c r="JTN80" s="456"/>
      <c r="JTO80" s="456"/>
      <c r="JTP80" s="456"/>
      <c r="JTQ80" s="456"/>
      <c r="JTR80" s="456"/>
      <c r="JTS80" s="456"/>
      <c r="JTT80" s="456"/>
      <c r="JTU80" s="456"/>
      <c r="JTV80" s="456"/>
      <c r="JTW80" s="456"/>
      <c r="JTX80" s="456"/>
      <c r="JTY80" s="456"/>
      <c r="JTZ80" s="456"/>
      <c r="JUA80" s="456"/>
      <c r="JUB80" s="456"/>
      <c r="JUC80" s="456"/>
      <c r="JUD80" s="456"/>
      <c r="JUE80" s="456"/>
      <c r="JUF80" s="456"/>
      <c r="JUG80" s="456"/>
      <c r="JUH80" s="456"/>
      <c r="JUI80" s="456"/>
      <c r="JUJ80" s="456"/>
      <c r="JUK80" s="456"/>
      <c r="JUL80" s="456"/>
      <c r="JUM80" s="456"/>
      <c r="JUN80" s="456"/>
      <c r="JUO80" s="456"/>
      <c r="JUP80" s="456"/>
      <c r="JUQ80" s="456"/>
      <c r="JUR80" s="456"/>
      <c r="JUS80" s="456"/>
      <c r="JUT80" s="456"/>
      <c r="JUU80" s="456"/>
      <c r="JUV80" s="456"/>
      <c r="JUW80" s="456"/>
      <c r="JUX80" s="456"/>
      <c r="JUY80" s="456"/>
      <c r="JUZ80" s="456"/>
      <c r="JVA80" s="456"/>
      <c r="JVB80" s="456"/>
      <c r="JVC80" s="456"/>
      <c r="JVD80" s="456"/>
      <c r="JVE80" s="456"/>
      <c r="JVF80" s="456"/>
      <c r="JVG80" s="456"/>
      <c r="JVH80" s="456"/>
      <c r="JVI80" s="456"/>
      <c r="JVJ80" s="456"/>
      <c r="JVK80" s="456"/>
      <c r="JVL80" s="456"/>
      <c r="JVM80" s="456"/>
      <c r="JVN80" s="456"/>
      <c r="JVO80" s="456"/>
      <c r="JVP80" s="456"/>
      <c r="JVQ80" s="456"/>
      <c r="JVR80" s="456"/>
      <c r="JVS80" s="456"/>
      <c r="JVT80" s="456"/>
      <c r="JVU80" s="456"/>
      <c r="JVV80" s="456"/>
      <c r="JVW80" s="456"/>
      <c r="JVX80" s="456"/>
      <c r="JVY80" s="456"/>
      <c r="JVZ80" s="456"/>
      <c r="JWA80" s="456"/>
      <c r="JWB80" s="456"/>
      <c r="JWC80" s="456"/>
      <c r="JWD80" s="456"/>
      <c r="JWE80" s="456"/>
      <c r="JWF80" s="456"/>
      <c r="JWG80" s="456"/>
      <c r="JWH80" s="456"/>
      <c r="JWI80" s="456"/>
      <c r="JWJ80" s="456"/>
      <c r="JWK80" s="456"/>
      <c r="JWL80" s="456"/>
      <c r="JWM80" s="456"/>
      <c r="JWN80" s="456"/>
      <c r="JWO80" s="456"/>
      <c r="JWP80" s="456"/>
      <c r="JWQ80" s="456"/>
      <c r="JWR80" s="456"/>
      <c r="JWS80" s="456"/>
      <c r="JWT80" s="456"/>
      <c r="JWU80" s="456"/>
      <c r="JWV80" s="456"/>
      <c r="JWW80" s="456"/>
      <c r="JWX80" s="456"/>
      <c r="JWY80" s="456"/>
      <c r="JWZ80" s="456"/>
      <c r="JXA80" s="456"/>
      <c r="JXB80" s="456"/>
      <c r="JXC80" s="456"/>
      <c r="JXD80" s="456"/>
      <c r="JXE80" s="456"/>
      <c r="JXF80" s="456"/>
      <c r="JXG80" s="456"/>
      <c r="JXH80" s="456"/>
      <c r="JXI80" s="456"/>
      <c r="JXJ80" s="456"/>
      <c r="JXK80" s="456"/>
      <c r="JXL80" s="456"/>
      <c r="JXM80" s="456"/>
      <c r="JXN80" s="456"/>
      <c r="JXO80" s="456"/>
      <c r="JXP80" s="456"/>
      <c r="JXQ80" s="456"/>
      <c r="JXR80" s="456"/>
      <c r="JXS80" s="456"/>
      <c r="JXT80" s="456"/>
      <c r="JXU80" s="456"/>
      <c r="JXV80" s="456"/>
      <c r="JXW80" s="456"/>
      <c r="JXX80" s="456"/>
      <c r="JXY80" s="456"/>
      <c r="JXZ80" s="456"/>
      <c r="JYA80" s="456"/>
      <c r="JYB80" s="456"/>
      <c r="JYC80" s="456"/>
      <c r="JYD80" s="456"/>
      <c r="JYE80" s="456"/>
      <c r="JYF80" s="456"/>
      <c r="JYG80" s="456"/>
      <c r="JYH80" s="456"/>
      <c r="JYI80" s="456"/>
      <c r="JYJ80" s="456"/>
      <c r="JYK80" s="456"/>
      <c r="JYL80" s="456"/>
      <c r="JYM80" s="456"/>
      <c r="JYN80" s="456"/>
      <c r="JYO80" s="456"/>
      <c r="JYP80" s="456"/>
      <c r="JYQ80" s="456"/>
      <c r="JYR80" s="456"/>
      <c r="JYS80" s="456"/>
      <c r="JYT80" s="456"/>
      <c r="JYU80" s="456"/>
      <c r="JYV80" s="456"/>
      <c r="JYW80" s="456"/>
      <c r="JYX80" s="456"/>
      <c r="JYY80" s="456"/>
      <c r="JYZ80" s="456"/>
      <c r="JZA80" s="456"/>
      <c r="JZB80" s="456"/>
      <c r="JZC80" s="456"/>
      <c r="JZD80" s="456"/>
      <c r="JZE80" s="456"/>
      <c r="JZF80" s="456"/>
      <c r="JZG80" s="456"/>
      <c r="JZH80" s="456"/>
      <c r="JZI80" s="456"/>
      <c r="JZJ80" s="456"/>
      <c r="JZK80" s="456"/>
      <c r="JZL80" s="456"/>
      <c r="JZM80" s="456"/>
      <c r="JZN80" s="456"/>
      <c r="JZO80" s="456"/>
      <c r="JZP80" s="456"/>
      <c r="JZQ80" s="456"/>
      <c r="JZR80" s="456"/>
      <c r="JZS80" s="456"/>
      <c r="JZT80" s="456"/>
      <c r="JZU80" s="456"/>
      <c r="JZV80" s="456"/>
      <c r="JZW80" s="456"/>
      <c r="JZX80" s="456"/>
      <c r="JZY80" s="456"/>
      <c r="JZZ80" s="456"/>
      <c r="KAA80" s="456"/>
      <c r="KAB80" s="456"/>
      <c r="KAC80" s="456"/>
      <c r="KAD80" s="456"/>
      <c r="KAE80" s="456"/>
      <c r="KAF80" s="456"/>
      <c r="KAG80" s="456"/>
      <c r="KAH80" s="456"/>
      <c r="KAI80" s="456"/>
      <c r="KAJ80" s="456"/>
      <c r="KAK80" s="456"/>
      <c r="KAL80" s="456"/>
      <c r="KAM80" s="456"/>
      <c r="KAN80" s="456"/>
      <c r="KAO80" s="456"/>
      <c r="KAP80" s="456"/>
      <c r="KAQ80" s="456"/>
      <c r="KAR80" s="456"/>
      <c r="KAS80" s="456"/>
      <c r="KAT80" s="456"/>
      <c r="KAU80" s="456"/>
      <c r="KAV80" s="456"/>
      <c r="KAW80" s="456"/>
      <c r="KAX80" s="456"/>
      <c r="KAY80" s="456"/>
      <c r="KAZ80" s="456"/>
      <c r="KBA80" s="456"/>
      <c r="KBB80" s="456"/>
      <c r="KBC80" s="456"/>
      <c r="KBD80" s="456"/>
      <c r="KBE80" s="456"/>
      <c r="KBF80" s="456"/>
      <c r="KBG80" s="456"/>
      <c r="KBH80" s="456"/>
      <c r="KBI80" s="456"/>
      <c r="KBJ80" s="456"/>
      <c r="KBK80" s="456"/>
      <c r="KBL80" s="456"/>
      <c r="KBM80" s="456"/>
      <c r="KBN80" s="456"/>
      <c r="KBO80" s="456"/>
      <c r="KBP80" s="456"/>
      <c r="KBQ80" s="456"/>
      <c r="KBR80" s="456"/>
      <c r="KBS80" s="456"/>
      <c r="KBT80" s="456"/>
      <c r="KBU80" s="456"/>
      <c r="KBV80" s="456"/>
      <c r="KBW80" s="456"/>
      <c r="KBX80" s="456"/>
      <c r="KBY80" s="456"/>
      <c r="KBZ80" s="456"/>
      <c r="KCA80" s="456"/>
      <c r="KCB80" s="456"/>
      <c r="KCC80" s="456"/>
      <c r="KCD80" s="456"/>
      <c r="KCE80" s="456"/>
      <c r="KCF80" s="456"/>
      <c r="KCG80" s="456"/>
      <c r="KCH80" s="456"/>
      <c r="KCI80" s="456"/>
      <c r="KCJ80" s="456"/>
      <c r="KCK80" s="456"/>
      <c r="KCL80" s="456"/>
      <c r="KCM80" s="456"/>
      <c r="KCN80" s="456"/>
      <c r="KCO80" s="456"/>
      <c r="KCP80" s="456"/>
      <c r="KCQ80" s="456"/>
      <c r="KCR80" s="456"/>
      <c r="KCS80" s="456"/>
      <c r="KCT80" s="456"/>
      <c r="KCU80" s="456"/>
      <c r="KCV80" s="456"/>
      <c r="KCW80" s="456"/>
      <c r="KCX80" s="456"/>
      <c r="KCY80" s="456"/>
      <c r="KCZ80" s="456"/>
      <c r="KDA80" s="456"/>
      <c r="KDB80" s="456"/>
      <c r="KDC80" s="456"/>
      <c r="KDD80" s="456"/>
      <c r="KDE80" s="456"/>
      <c r="KDF80" s="456"/>
      <c r="KDG80" s="456"/>
      <c r="KDH80" s="456"/>
      <c r="KDI80" s="456"/>
      <c r="KDJ80" s="456"/>
      <c r="KDK80" s="456"/>
      <c r="KDL80" s="456"/>
      <c r="KDM80" s="456"/>
      <c r="KDN80" s="456"/>
      <c r="KDO80" s="456"/>
      <c r="KDP80" s="456"/>
      <c r="KDQ80" s="456"/>
      <c r="KDR80" s="456"/>
      <c r="KDS80" s="456"/>
      <c r="KDT80" s="456"/>
      <c r="KDU80" s="456"/>
      <c r="KDV80" s="456"/>
      <c r="KDW80" s="456"/>
      <c r="KDX80" s="456"/>
      <c r="KDY80" s="456"/>
      <c r="KDZ80" s="456"/>
      <c r="KEA80" s="456"/>
      <c r="KEB80" s="456"/>
      <c r="KEC80" s="456"/>
      <c r="KED80" s="456"/>
      <c r="KEE80" s="456"/>
      <c r="KEF80" s="456"/>
      <c r="KEG80" s="456"/>
      <c r="KEH80" s="456"/>
      <c r="KEI80" s="456"/>
      <c r="KEJ80" s="456"/>
      <c r="KEK80" s="456"/>
      <c r="KEL80" s="456"/>
      <c r="KEM80" s="456"/>
      <c r="KEN80" s="456"/>
      <c r="KEO80" s="456"/>
      <c r="KEP80" s="456"/>
      <c r="KEQ80" s="456"/>
      <c r="KER80" s="456"/>
      <c r="KES80" s="456"/>
      <c r="KET80" s="456"/>
      <c r="KEU80" s="456"/>
      <c r="KEV80" s="456"/>
      <c r="KEW80" s="456"/>
      <c r="KEX80" s="456"/>
      <c r="KEY80" s="456"/>
      <c r="KEZ80" s="456"/>
      <c r="KFA80" s="456"/>
      <c r="KFB80" s="456"/>
      <c r="KFC80" s="456"/>
      <c r="KFD80" s="456"/>
      <c r="KFE80" s="456"/>
      <c r="KFF80" s="456"/>
      <c r="KFG80" s="456"/>
      <c r="KFH80" s="456"/>
      <c r="KFI80" s="456"/>
      <c r="KFJ80" s="456"/>
      <c r="KFK80" s="456"/>
      <c r="KFL80" s="456"/>
      <c r="KFM80" s="456"/>
      <c r="KFN80" s="456"/>
      <c r="KFO80" s="456"/>
      <c r="KFP80" s="456"/>
      <c r="KFQ80" s="456"/>
      <c r="KFR80" s="456"/>
      <c r="KFS80" s="456"/>
      <c r="KFT80" s="456"/>
      <c r="KFU80" s="456"/>
      <c r="KFV80" s="456"/>
      <c r="KFW80" s="456"/>
      <c r="KFX80" s="456"/>
      <c r="KFY80" s="456"/>
      <c r="KFZ80" s="456"/>
      <c r="KGA80" s="456"/>
      <c r="KGB80" s="456"/>
      <c r="KGC80" s="456"/>
      <c r="KGD80" s="456"/>
      <c r="KGE80" s="456"/>
      <c r="KGF80" s="456"/>
      <c r="KGG80" s="456"/>
      <c r="KGH80" s="456"/>
      <c r="KGI80" s="456"/>
      <c r="KGJ80" s="456"/>
      <c r="KGK80" s="456"/>
      <c r="KGL80" s="456"/>
      <c r="KGM80" s="456"/>
      <c r="KGN80" s="456"/>
      <c r="KGO80" s="456"/>
      <c r="KGP80" s="456"/>
      <c r="KGQ80" s="456"/>
      <c r="KGR80" s="456"/>
      <c r="KGS80" s="456"/>
      <c r="KGT80" s="456"/>
      <c r="KGU80" s="456"/>
      <c r="KGV80" s="456"/>
      <c r="KGW80" s="456"/>
      <c r="KGX80" s="456"/>
      <c r="KGY80" s="456"/>
      <c r="KGZ80" s="456"/>
      <c r="KHA80" s="456"/>
      <c r="KHB80" s="456"/>
      <c r="KHC80" s="456"/>
      <c r="KHD80" s="456"/>
      <c r="KHE80" s="456"/>
      <c r="KHF80" s="456"/>
      <c r="KHG80" s="456"/>
      <c r="KHH80" s="456"/>
      <c r="KHI80" s="456"/>
      <c r="KHJ80" s="456"/>
      <c r="KHK80" s="456"/>
      <c r="KHL80" s="456"/>
      <c r="KHM80" s="456"/>
      <c r="KHN80" s="456"/>
      <c r="KHO80" s="456"/>
      <c r="KHP80" s="456"/>
      <c r="KHQ80" s="456"/>
      <c r="KHR80" s="456"/>
      <c r="KHS80" s="456"/>
      <c r="KHT80" s="456"/>
      <c r="KHU80" s="456"/>
      <c r="KHV80" s="456"/>
      <c r="KHW80" s="456"/>
      <c r="KHX80" s="456"/>
      <c r="KHY80" s="456"/>
      <c r="KHZ80" s="456"/>
      <c r="KIA80" s="456"/>
      <c r="KIB80" s="456"/>
      <c r="KIC80" s="456"/>
      <c r="KID80" s="456"/>
      <c r="KIE80" s="456"/>
      <c r="KIF80" s="456"/>
      <c r="KIG80" s="456"/>
      <c r="KIH80" s="456"/>
      <c r="KII80" s="456"/>
      <c r="KIJ80" s="456"/>
      <c r="KIK80" s="456"/>
      <c r="KIL80" s="456"/>
      <c r="KIM80" s="456"/>
      <c r="KIN80" s="456"/>
      <c r="KIO80" s="456"/>
      <c r="KIP80" s="456"/>
      <c r="KIQ80" s="456"/>
      <c r="KIR80" s="456"/>
      <c r="KIS80" s="456"/>
      <c r="KIT80" s="456"/>
      <c r="KIU80" s="456"/>
      <c r="KIV80" s="456"/>
      <c r="KIW80" s="456"/>
      <c r="KIX80" s="456"/>
      <c r="KIY80" s="456"/>
      <c r="KIZ80" s="456"/>
      <c r="KJA80" s="456"/>
      <c r="KJB80" s="456"/>
      <c r="KJC80" s="456"/>
      <c r="KJD80" s="456"/>
      <c r="KJE80" s="456"/>
      <c r="KJF80" s="456"/>
      <c r="KJG80" s="456"/>
      <c r="KJH80" s="456"/>
      <c r="KJI80" s="456"/>
      <c r="KJJ80" s="456"/>
      <c r="KJK80" s="456"/>
      <c r="KJL80" s="456"/>
      <c r="KJM80" s="456"/>
      <c r="KJN80" s="456"/>
      <c r="KJO80" s="456"/>
      <c r="KJP80" s="456"/>
      <c r="KJQ80" s="456"/>
      <c r="KJR80" s="456"/>
      <c r="KJS80" s="456"/>
      <c r="KJT80" s="456"/>
      <c r="KJU80" s="456"/>
      <c r="KJV80" s="456"/>
      <c r="KJW80" s="456"/>
      <c r="KJX80" s="456"/>
      <c r="KJY80" s="456"/>
      <c r="KJZ80" s="456"/>
      <c r="KKA80" s="456"/>
      <c r="KKB80" s="456"/>
      <c r="KKC80" s="456"/>
      <c r="KKD80" s="456"/>
      <c r="KKE80" s="456"/>
      <c r="KKF80" s="456"/>
      <c r="KKG80" s="456"/>
      <c r="KKH80" s="456"/>
      <c r="KKI80" s="456"/>
      <c r="KKJ80" s="456"/>
      <c r="KKK80" s="456"/>
      <c r="KKL80" s="456"/>
      <c r="KKM80" s="456"/>
      <c r="KKN80" s="456"/>
      <c r="KKO80" s="456"/>
      <c r="KKP80" s="456"/>
      <c r="KKQ80" s="456"/>
      <c r="KKR80" s="456"/>
      <c r="KKS80" s="456"/>
      <c r="KKT80" s="456"/>
      <c r="KKU80" s="456"/>
      <c r="KKV80" s="456"/>
      <c r="KKW80" s="456"/>
      <c r="KKX80" s="456"/>
      <c r="KKY80" s="456"/>
      <c r="KKZ80" s="456"/>
      <c r="KLA80" s="456"/>
      <c r="KLB80" s="456"/>
      <c r="KLC80" s="456"/>
      <c r="KLD80" s="456"/>
      <c r="KLE80" s="456"/>
      <c r="KLF80" s="456"/>
      <c r="KLG80" s="456"/>
      <c r="KLH80" s="456"/>
      <c r="KLI80" s="456"/>
      <c r="KLJ80" s="456"/>
      <c r="KLK80" s="456"/>
      <c r="KLL80" s="456"/>
      <c r="KLM80" s="456"/>
      <c r="KLN80" s="456"/>
      <c r="KLO80" s="456"/>
      <c r="KLP80" s="456"/>
      <c r="KLQ80" s="456"/>
      <c r="KLR80" s="456"/>
      <c r="KLS80" s="456"/>
      <c r="KLT80" s="456"/>
      <c r="KLU80" s="456"/>
      <c r="KLV80" s="456"/>
      <c r="KLW80" s="456"/>
      <c r="KLX80" s="456"/>
      <c r="KLY80" s="456"/>
      <c r="KLZ80" s="456"/>
      <c r="KMA80" s="456"/>
      <c r="KMB80" s="456"/>
      <c r="KMC80" s="456"/>
      <c r="KMD80" s="456"/>
      <c r="KME80" s="456"/>
      <c r="KMF80" s="456"/>
      <c r="KMG80" s="456"/>
      <c r="KMH80" s="456"/>
      <c r="KMI80" s="456"/>
      <c r="KMJ80" s="456"/>
      <c r="KMK80" s="456"/>
      <c r="KML80" s="456"/>
      <c r="KMM80" s="456"/>
      <c r="KMN80" s="456"/>
      <c r="KMO80" s="456"/>
      <c r="KMP80" s="456"/>
      <c r="KMQ80" s="456"/>
      <c r="KMR80" s="456"/>
      <c r="KMS80" s="456"/>
      <c r="KMT80" s="456"/>
      <c r="KMU80" s="456"/>
      <c r="KMV80" s="456"/>
      <c r="KMW80" s="456"/>
      <c r="KMX80" s="456"/>
      <c r="KMY80" s="456"/>
      <c r="KMZ80" s="456"/>
      <c r="KNA80" s="456"/>
      <c r="KNB80" s="456"/>
      <c r="KNC80" s="456"/>
      <c r="KND80" s="456"/>
      <c r="KNE80" s="456"/>
      <c r="KNF80" s="456"/>
      <c r="KNG80" s="456"/>
      <c r="KNH80" s="456"/>
      <c r="KNI80" s="456"/>
      <c r="KNJ80" s="456"/>
      <c r="KNK80" s="456"/>
      <c r="KNL80" s="456"/>
      <c r="KNM80" s="456"/>
      <c r="KNN80" s="456"/>
      <c r="KNO80" s="456"/>
      <c r="KNP80" s="456"/>
      <c r="KNQ80" s="456"/>
      <c r="KNR80" s="456"/>
      <c r="KNS80" s="456"/>
      <c r="KNT80" s="456"/>
      <c r="KNU80" s="456"/>
      <c r="KNV80" s="456"/>
      <c r="KNW80" s="456"/>
      <c r="KNX80" s="456"/>
      <c r="KNY80" s="456"/>
      <c r="KNZ80" s="456"/>
      <c r="KOA80" s="456"/>
      <c r="KOB80" s="456"/>
      <c r="KOC80" s="456"/>
      <c r="KOD80" s="456"/>
      <c r="KOE80" s="456"/>
      <c r="KOF80" s="456"/>
      <c r="KOG80" s="456"/>
      <c r="KOH80" s="456"/>
      <c r="KOI80" s="456"/>
      <c r="KOJ80" s="456"/>
      <c r="KOK80" s="456"/>
      <c r="KOL80" s="456"/>
      <c r="KOM80" s="456"/>
      <c r="KON80" s="456"/>
      <c r="KOO80" s="456"/>
      <c r="KOP80" s="456"/>
      <c r="KOQ80" s="456"/>
      <c r="KOR80" s="456"/>
      <c r="KOS80" s="456"/>
      <c r="KOT80" s="456"/>
      <c r="KOU80" s="456"/>
      <c r="KOV80" s="456"/>
      <c r="KOW80" s="456"/>
      <c r="KOX80" s="456"/>
      <c r="KOY80" s="456"/>
      <c r="KOZ80" s="456"/>
      <c r="KPA80" s="456"/>
      <c r="KPB80" s="456"/>
      <c r="KPC80" s="456"/>
      <c r="KPD80" s="456"/>
      <c r="KPE80" s="456"/>
      <c r="KPF80" s="456"/>
      <c r="KPG80" s="456"/>
      <c r="KPH80" s="456"/>
      <c r="KPI80" s="456"/>
      <c r="KPJ80" s="456"/>
      <c r="KPK80" s="456"/>
      <c r="KPL80" s="456"/>
      <c r="KPM80" s="456"/>
      <c r="KPN80" s="456"/>
      <c r="KPO80" s="456"/>
      <c r="KPP80" s="456"/>
      <c r="KPQ80" s="456"/>
      <c r="KPR80" s="456"/>
      <c r="KPS80" s="456"/>
      <c r="KPT80" s="456"/>
      <c r="KPU80" s="456"/>
      <c r="KPV80" s="456"/>
      <c r="KPW80" s="456"/>
      <c r="KPX80" s="456"/>
      <c r="KPY80" s="456"/>
      <c r="KPZ80" s="456"/>
      <c r="KQA80" s="456"/>
      <c r="KQB80" s="456"/>
      <c r="KQC80" s="456"/>
      <c r="KQD80" s="456"/>
      <c r="KQE80" s="456"/>
      <c r="KQF80" s="456"/>
      <c r="KQG80" s="456"/>
      <c r="KQH80" s="456"/>
      <c r="KQI80" s="456"/>
      <c r="KQJ80" s="456"/>
      <c r="KQK80" s="456"/>
      <c r="KQL80" s="456"/>
      <c r="KQM80" s="456"/>
      <c r="KQN80" s="456"/>
      <c r="KQO80" s="456"/>
      <c r="KQP80" s="456"/>
      <c r="KQQ80" s="456"/>
      <c r="KQR80" s="456"/>
      <c r="KQS80" s="456"/>
      <c r="KQT80" s="456"/>
      <c r="KQU80" s="456"/>
      <c r="KQV80" s="456"/>
      <c r="KQW80" s="456"/>
      <c r="KQX80" s="456"/>
      <c r="KQY80" s="456"/>
      <c r="KQZ80" s="456"/>
      <c r="KRA80" s="456"/>
      <c r="KRB80" s="456"/>
      <c r="KRC80" s="456"/>
      <c r="KRD80" s="456"/>
      <c r="KRE80" s="456"/>
      <c r="KRF80" s="456"/>
      <c r="KRG80" s="456"/>
      <c r="KRH80" s="456"/>
      <c r="KRI80" s="456"/>
      <c r="KRJ80" s="456"/>
      <c r="KRK80" s="456"/>
      <c r="KRL80" s="456"/>
      <c r="KRM80" s="456"/>
      <c r="KRN80" s="456"/>
      <c r="KRO80" s="456"/>
      <c r="KRP80" s="456"/>
      <c r="KRQ80" s="456"/>
      <c r="KRR80" s="456"/>
      <c r="KRS80" s="456"/>
      <c r="KRT80" s="456"/>
      <c r="KRU80" s="456"/>
      <c r="KRV80" s="456"/>
      <c r="KRW80" s="456"/>
      <c r="KRX80" s="456"/>
      <c r="KRY80" s="456"/>
      <c r="KRZ80" s="456"/>
      <c r="KSA80" s="456"/>
      <c r="KSB80" s="456"/>
      <c r="KSC80" s="456"/>
      <c r="KSD80" s="456"/>
      <c r="KSE80" s="456"/>
      <c r="KSF80" s="456"/>
      <c r="KSG80" s="456"/>
      <c r="KSH80" s="456"/>
      <c r="KSI80" s="456"/>
      <c r="KSJ80" s="456"/>
      <c r="KSK80" s="456"/>
      <c r="KSL80" s="456"/>
      <c r="KSM80" s="456"/>
      <c r="KSN80" s="456"/>
      <c r="KSO80" s="456"/>
      <c r="KSP80" s="456"/>
      <c r="KSQ80" s="456"/>
      <c r="KSR80" s="456"/>
      <c r="KSS80" s="456"/>
      <c r="KST80" s="456"/>
      <c r="KSU80" s="456"/>
      <c r="KSV80" s="456"/>
      <c r="KSW80" s="456"/>
      <c r="KSX80" s="456"/>
      <c r="KSY80" s="456"/>
      <c r="KSZ80" s="456"/>
      <c r="KTA80" s="456"/>
      <c r="KTB80" s="456"/>
      <c r="KTC80" s="456"/>
      <c r="KTD80" s="456"/>
      <c r="KTE80" s="456"/>
      <c r="KTF80" s="456"/>
      <c r="KTG80" s="456"/>
      <c r="KTH80" s="456"/>
      <c r="KTI80" s="456"/>
      <c r="KTJ80" s="456"/>
      <c r="KTK80" s="456"/>
      <c r="KTL80" s="456"/>
      <c r="KTM80" s="456"/>
      <c r="KTN80" s="456"/>
      <c r="KTO80" s="456"/>
      <c r="KTP80" s="456"/>
      <c r="KTQ80" s="456"/>
      <c r="KTR80" s="456"/>
      <c r="KTS80" s="456"/>
      <c r="KTT80" s="456"/>
      <c r="KTU80" s="456"/>
      <c r="KTV80" s="456"/>
      <c r="KTW80" s="456"/>
      <c r="KTX80" s="456"/>
      <c r="KTY80" s="456"/>
      <c r="KTZ80" s="456"/>
      <c r="KUA80" s="456"/>
      <c r="KUB80" s="456"/>
      <c r="KUC80" s="456"/>
      <c r="KUD80" s="456"/>
      <c r="KUE80" s="456"/>
      <c r="KUF80" s="456"/>
      <c r="KUG80" s="456"/>
      <c r="KUH80" s="456"/>
      <c r="KUI80" s="456"/>
      <c r="KUJ80" s="456"/>
      <c r="KUK80" s="456"/>
      <c r="KUL80" s="456"/>
      <c r="KUM80" s="456"/>
      <c r="KUN80" s="456"/>
      <c r="KUO80" s="456"/>
      <c r="KUP80" s="456"/>
      <c r="KUQ80" s="456"/>
      <c r="KUR80" s="456"/>
      <c r="KUS80" s="456"/>
      <c r="KUT80" s="456"/>
      <c r="KUU80" s="456"/>
      <c r="KUV80" s="456"/>
      <c r="KUW80" s="456"/>
      <c r="KUX80" s="456"/>
      <c r="KUY80" s="456"/>
      <c r="KUZ80" s="456"/>
      <c r="KVA80" s="456"/>
      <c r="KVB80" s="456"/>
      <c r="KVC80" s="456"/>
      <c r="KVD80" s="456"/>
      <c r="KVE80" s="456"/>
      <c r="KVF80" s="456"/>
      <c r="KVG80" s="456"/>
      <c r="KVH80" s="456"/>
      <c r="KVI80" s="456"/>
      <c r="KVJ80" s="456"/>
      <c r="KVK80" s="456"/>
      <c r="KVL80" s="456"/>
      <c r="KVM80" s="456"/>
      <c r="KVN80" s="456"/>
      <c r="KVO80" s="456"/>
      <c r="KVP80" s="456"/>
      <c r="KVQ80" s="456"/>
      <c r="KVR80" s="456"/>
      <c r="KVS80" s="456"/>
      <c r="KVT80" s="456"/>
      <c r="KVU80" s="456"/>
      <c r="KVV80" s="456"/>
      <c r="KVW80" s="456"/>
      <c r="KVX80" s="456"/>
      <c r="KVY80" s="456"/>
      <c r="KVZ80" s="456"/>
      <c r="KWA80" s="456"/>
      <c r="KWB80" s="456"/>
      <c r="KWC80" s="456"/>
      <c r="KWD80" s="456"/>
      <c r="KWE80" s="456"/>
      <c r="KWF80" s="456"/>
      <c r="KWG80" s="456"/>
      <c r="KWH80" s="456"/>
      <c r="KWI80" s="456"/>
      <c r="KWJ80" s="456"/>
      <c r="KWK80" s="456"/>
      <c r="KWL80" s="456"/>
      <c r="KWM80" s="456"/>
      <c r="KWN80" s="456"/>
      <c r="KWO80" s="456"/>
      <c r="KWP80" s="456"/>
      <c r="KWQ80" s="456"/>
      <c r="KWR80" s="456"/>
      <c r="KWS80" s="456"/>
      <c r="KWT80" s="456"/>
      <c r="KWU80" s="456"/>
      <c r="KWV80" s="456"/>
      <c r="KWW80" s="456"/>
      <c r="KWX80" s="456"/>
      <c r="KWY80" s="456"/>
      <c r="KWZ80" s="456"/>
      <c r="KXA80" s="456"/>
      <c r="KXB80" s="456"/>
      <c r="KXC80" s="456"/>
      <c r="KXD80" s="456"/>
      <c r="KXE80" s="456"/>
      <c r="KXF80" s="456"/>
      <c r="KXG80" s="456"/>
      <c r="KXH80" s="456"/>
      <c r="KXI80" s="456"/>
      <c r="KXJ80" s="456"/>
      <c r="KXK80" s="456"/>
      <c r="KXL80" s="456"/>
      <c r="KXM80" s="456"/>
      <c r="KXN80" s="456"/>
      <c r="KXO80" s="456"/>
      <c r="KXP80" s="456"/>
      <c r="KXQ80" s="456"/>
      <c r="KXR80" s="456"/>
      <c r="KXS80" s="456"/>
      <c r="KXT80" s="456"/>
      <c r="KXU80" s="456"/>
      <c r="KXV80" s="456"/>
      <c r="KXW80" s="456"/>
      <c r="KXX80" s="456"/>
      <c r="KXY80" s="456"/>
      <c r="KXZ80" s="456"/>
      <c r="KYA80" s="456"/>
      <c r="KYB80" s="456"/>
      <c r="KYC80" s="456"/>
      <c r="KYD80" s="456"/>
      <c r="KYE80" s="456"/>
      <c r="KYF80" s="456"/>
      <c r="KYG80" s="456"/>
      <c r="KYH80" s="456"/>
      <c r="KYI80" s="456"/>
      <c r="KYJ80" s="456"/>
      <c r="KYK80" s="456"/>
      <c r="KYL80" s="456"/>
      <c r="KYM80" s="456"/>
      <c r="KYN80" s="456"/>
      <c r="KYO80" s="456"/>
      <c r="KYP80" s="456"/>
      <c r="KYQ80" s="456"/>
      <c r="KYR80" s="456"/>
      <c r="KYS80" s="456"/>
      <c r="KYT80" s="456"/>
      <c r="KYU80" s="456"/>
      <c r="KYV80" s="456"/>
      <c r="KYW80" s="456"/>
      <c r="KYX80" s="456"/>
      <c r="KYY80" s="456"/>
      <c r="KYZ80" s="456"/>
      <c r="KZA80" s="456"/>
      <c r="KZB80" s="456"/>
      <c r="KZC80" s="456"/>
      <c r="KZD80" s="456"/>
      <c r="KZE80" s="456"/>
      <c r="KZF80" s="456"/>
      <c r="KZG80" s="456"/>
      <c r="KZH80" s="456"/>
      <c r="KZI80" s="456"/>
      <c r="KZJ80" s="456"/>
      <c r="KZK80" s="456"/>
      <c r="KZL80" s="456"/>
      <c r="KZM80" s="456"/>
      <c r="KZN80" s="456"/>
      <c r="KZO80" s="456"/>
      <c r="KZP80" s="456"/>
      <c r="KZQ80" s="456"/>
      <c r="KZR80" s="456"/>
      <c r="KZS80" s="456"/>
      <c r="KZT80" s="456"/>
      <c r="KZU80" s="456"/>
      <c r="KZV80" s="456"/>
      <c r="KZW80" s="456"/>
      <c r="KZX80" s="456"/>
      <c r="KZY80" s="456"/>
      <c r="KZZ80" s="456"/>
      <c r="LAA80" s="456"/>
      <c r="LAB80" s="456"/>
      <c r="LAC80" s="456"/>
      <c r="LAD80" s="456"/>
      <c r="LAE80" s="456"/>
      <c r="LAF80" s="456"/>
      <c r="LAG80" s="456"/>
      <c r="LAH80" s="456"/>
      <c r="LAI80" s="456"/>
      <c r="LAJ80" s="456"/>
      <c r="LAK80" s="456"/>
      <c r="LAL80" s="456"/>
      <c r="LAM80" s="456"/>
      <c r="LAN80" s="456"/>
      <c r="LAO80" s="456"/>
      <c r="LAP80" s="456"/>
      <c r="LAQ80" s="456"/>
      <c r="LAR80" s="456"/>
      <c r="LAS80" s="456"/>
      <c r="LAT80" s="456"/>
      <c r="LAU80" s="456"/>
      <c r="LAV80" s="456"/>
      <c r="LAW80" s="456"/>
      <c r="LAX80" s="456"/>
      <c r="LAY80" s="456"/>
      <c r="LAZ80" s="456"/>
      <c r="LBA80" s="456"/>
      <c r="LBB80" s="456"/>
      <c r="LBC80" s="456"/>
      <c r="LBD80" s="456"/>
      <c r="LBE80" s="456"/>
      <c r="LBF80" s="456"/>
      <c r="LBG80" s="456"/>
      <c r="LBH80" s="456"/>
      <c r="LBI80" s="456"/>
      <c r="LBJ80" s="456"/>
      <c r="LBK80" s="456"/>
      <c r="LBL80" s="456"/>
      <c r="LBM80" s="456"/>
      <c r="LBN80" s="456"/>
      <c r="LBO80" s="456"/>
      <c r="LBP80" s="456"/>
      <c r="LBQ80" s="456"/>
      <c r="LBR80" s="456"/>
      <c r="LBS80" s="456"/>
      <c r="LBT80" s="456"/>
      <c r="LBU80" s="456"/>
      <c r="LBV80" s="456"/>
      <c r="LBW80" s="456"/>
      <c r="LBX80" s="456"/>
      <c r="LBY80" s="456"/>
      <c r="LBZ80" s="456"/>
      <c r="LCA80" s="456"/>
      <c r="LCB80" s="456"/>
      <c r="LCC80" s="456"/>
      <c r="LCD80" s="456"/>
      <c r="LCE80" s="456"/>
      <c r="LCF80" s="456"/>
      <c r="LCG80" s="456"/>
      <c r="LCH80" s="456"/>
      <c r="LCI80" s="456"/>
      <c r="LCJ80" s="456"/>
      <c r="LCK80" s="456"/>
      <c r="LCL80" s="456"/>
      <c r="LCM80" s="456"/>
      <c r="LCN80" s="456"/>
      <c r="LCO80" s="456"/>
      <c r="LCP80" s="456"/>
      <c r="LCQ80" s="456"/>
      <c r="LCR80" s="456"/>
      <c r="LCS80" s="456"/>
      <c r="LCT80" s="456"/>
      <c r="LCU80" s="456"/>
      <c r="LCV80" s="456"/>
      <c r="LCW80" s="456"/>
      <c r="LCX80" s="456"/>
      <c r="LCY80" s="456"/>
      <c r="LCZ80" s="456"/>
      <c r="LDA80" s="456"/>
      <c r="LDB80" s="456"/>
      <c r="LDC80" s="456"/>
      <c r="LDD80" s="456"/>
      <c r="LDE80" s="456"/>
      <c r="LDF80" s="456"/>
      <c r="LDG80" s="456"/>
      <c r="LDH80" s="456"/>
      <c r="LDI80" s="456"/>
      <c r="LDJ80" s="456"/>
      <c r="LDK80" s="456"/>
      <c r="LDL80" s="456"/>
      <c r="LDM80" s="456"/>
      <c r="LDN80" s="456"/>
      <c r="LDO80" s="456"/>
      <c r="LDP80" s="456"/>
      <c r="LDQ80" s="456"/>
      <c r="LDR80" s="456"/>
      <c r="LDS80" s="456"/>
      <c r="LDT80" s="456"/>
      <c r="LDU80" s="456"/>
      <c r="LDV80" s="456"/>
      <c r="LDW80" s="456"/>
      <c r="LDX80" s="456"/>
      <c r="LDY80" s="456"/>
      <c r="LDZ80" s="456"/>
      <c r="LEA80" s="456"/>
      <c r="LEB80" s="456"/>
      <c r="LEC80" s="456"/>
      <c r="LED80" s="456"/>
      <c r="LEE80" s="456"/>
      <c r="LEF80" s="456"/>
      <c r="LEG80" s="456"/>
      <c r="LEH80" s="456"/>
      <c r="LEI80" s="456"/>
      <c r="LEJ80" s="456"/>
      <c r="LEK80" s="456"/>
      <c r="LEL80" s="456"/>
      <c r="LEM80" s="456"/>
      <c r="LEN80" s="456"/>
      <c r="LEO80" s="456"/>
      <c r="LEP80" s="456"/>
      <c r="LEQ80" s="456"/>
      <c r="LER80" s="456"/>
      <c r="LES80" s="456"/>
      <c r="LET80" s="456"/>
      <c r="LEU80" s="456"/>
      <c r="LEV80" s="456"/>
      <c r="LEW80" s="456"/>
      <c r="LEX80" s="456"/>
      <c r="LEY80" s="456"/>
      <c r="LEZ80" s="456"/>
      <c r="LFA80" s="456"/>
      <c r="LFB80" s="456"/>
      <c r="LFC80" s="456"/>
      <c r="LFD80" s="456"/>
      <c r="LFE80" s="456"/>
      <c r="LFF80" s="456"/>
      <c r="LFG80" s="456"/>
      <c r="LFH80" s="456"/>
      <c r="LFI80" s="456"/>
      <c r="LFJ80" s="456"/>
      <c r="LFK80" s="456"/>
      <c r="LFL80" s="456"/>
      <c r="LFM80" s="456"/>
      <c r="LFN80" s="456"/>
      <c r="LFO80" s="456"/>
      <c r="LFP80" s="456"/>
      <c r="LFQ80" s="456"/>
      <c r="LFR80" s="456"/>
      <c r="LFS80" s="456"/>
      <c r="LFT80" s="456"/>
      <c r="LFU80" s="456"/>
      <c r="LFV80" s="456"/>
      <c r="LFW80" s="456"/>
      <c r="LFX80" s="456"/>
      <c r="LFY80" s="456"/>
      <c r="LFZ80" s="456"/>
      <c r="LGA80" s="456"/>
      <c r="LGB80" s="456"/>
      <c r="LGC80" s="456"/>
      <c r="LGD80" s="456"/>
      <c r="LGE80" s="456"/>
      <c r="LGF80" s="456"/>
      <c r="LGG80" s="456"/>
      <c r="LGH80" s="456"/>
      <c r="LGI80" s="456"/>
      <c r="LGJ80" s="456"/>
      <c r="LGK80" s="456"/>
      <c r="LGL80" s="456"/>
      <c r="LGM80" s="456"/>
      <c r="LGN80" s="456"/>
      <c r="LGO80" s="456"/>
      <c r="LGP80" s="456"/>
      <c r="LGQ80" s="456"/>
      <c r="LGR80" s="456"/>
      <c r="LGS80" s="456"/>
      <c r="LGT80" s="456"/>
      <c r="LGU80" s="456"/>
      <c r="LGV80" s="456"/>
      <c r="LGW80" s="456"/>
      <c r="LGX80" s="456"/>
      <c r="LGY80" s="456"/>
      <c r="LGZ80" s="456"/>
      <c r="LHA80" s="456"/>
      <c r="LHB80" s="456"/>
      <c r="LHC80" s="456"/>
      <c r="LHD80" s="456"/>
      <c r="LHE80" s="456"/>
      <c r="LHF80" s="456"/>
      <c r="LHG80" s="456"/>
      <c r="LHH80" s="456"/>
      <c r="LHI80" s="456"/>
      <c r="LHJ80" s="456"/>
      <c r="LHK80" s="456"/>
      <c r="LHL80" s="456"/>
      <c r="LHM80" s="456"/>
      <c r="LHN80" s="456"/>
      <c r="LHO80" s="456"/>
      <c r="LHP80" s="456"/>
      <c r="LHQ80" s="456"/>
      <c r="LHR80" s="456"/>
      <c r="LHS80" s="456"/>
      <c r="LHT80" s="456"/>
      <c r="LHU80" s="456"/>
      <c r="LHV80" s="456"/>
      <c r="LHW80" s="456"/>
      <c r="LHX80" s="456"/>
      <c r="LHY80" s="456"/>
      <c r="LHZ80" s="456"/>
      <c r="LIA80" s="456"/>
      <c r="LIB80" s="456"/>
      <c r="LIC80" s="456"/>
      <c r="LID80" s="456"/>
      <c r="LIE80" s="456"/>
      <c r="LIF80" s="456"/>
      <c r="LIG80" s="456"/>
      <c r="LIH80" s="456"/>
      <c r="LII80" s="456"/>
      <c r="LIJ80" s="456"/>
      <c r="LIK80" s="456"/>
      <c r="LIL80" s="456"/>
      <c r="LIM80" s="456"/>
      <c r="LIN80" s="456"/>
      <c r="LIO80" s="456"/>
      <c r="LIP80" s="456"/>
      <c r="LIQ80" s="456"/>
      <c r="LIR80" s="456"/>
      <c r="LIS80" s="456"/>
      <c r="LIT80" s="456"/>
      <c r="LIU80" s="456"/>
      <c r="LIV80" s="456"/>
      <c r="LIW80" s="456"/>
      <c r="LIX80" s="456"/>
      <c r="LIY80" s="456"/>
      <c r="LIZ80" s="456"/>
      <c r="LJA80" s="456"/>
      <c r="LJB80" s="456"/>
      <c r="LJC80" s="456"/>
      <c r="LJD80" s="456"/>
      <c r="LJE80" s="456"/>
      <c r="LJF80" s="456"/>
      <c r="LJG80" s="456"/>
      <c r="LJH80" s="456"/>
      <c r="LJI80" s="456"/>
      <c r="LJJ80" s="456"/>
      <c r="LJK80" s="456"/>
      <c r="LJL80" s="456"/>
      <c r="LJM80" s="456"/>
      <c r="LJN80" s="456"/>
      <c r="LJO80" s="456"/>
      <c r="LJP80" s="456"/>
      <c r="LJQ80" s="456"/>
      <c r="LJR80" s="456"/>
      <c r="LJS80" s="456"/>
      <c r="LJT80" s="456"/>
      <c r="LJU80" s="456"/>
      <c r="LJV80" s="456"/>
      <c r="LJW80" s="456"/>
      <c r="LJX80" s="456"/>
      <c r="LJY80" s="456"/>
      <c r="LJZ80" s="456"/>
      <c r="LKA80" s="456"/>
      <c r="LKB80" s="456"/>
      <c r="LKC80" s="456"/>
      <c r="LKD80" s="456"/>
      <c r="LKE80" s="456"/>
      <c r="LKF80" s="456"/>
      <c r="LKG80" s="456"/>
      <c r="LKH80" s="456"/>
      <c r="LKI80" s="456"/>
      <c r="LKJ80" s="456"/>
      <c r="LKK80" s="456"/>
      <c r="LKL80" s="456"/>
      <c r="LKM80" s="456"/>
      <c r="LKN80" s="456"/>
      <c r="LKO80" s="456"/>
      <c r="LKP80" s="456"/>
      <c r="LKQ80" s="456"/>
      <c r="LKR80" s="456"/>
      <c r="LKS80" s="456"/>
      <c r="LKT80" s="456"/>
      <c r="LKU80" s="456"/>
      <c r="LKV80" s="456"/>
      <c r="LKW80" s="456"/>
      <c r="LKX80" s="456"/>
      <c r="LKY80" s="456"/>
      <c r="LKZ80" s="456"/>
      <c r="LLA80" s="456"/>
      <c r="LLB80" s="456"/>
      <c r="LLC80" s="456"/>
      <c r="LLD80" s="456"/>
      <c r="LLE80" s="456"/>
      <c r="LLF80" s="456"/>
      <c r="LLG80" s="456"/>
      <c r="LLH80" s="456"/>
      <c r="LLI80" s="456"/>
      <c r="LLJ80" s="456"/>
      <c r="LLK80" s="456"/>
      <c r="LLL80" s="456"/>
      <c r="LLM80" s="456"/>
      <c r="LLN80" s="456"/>
      <c r="LLO80" s="456"/>
      <c r="LLP80" s="456"/>
      <c r="LLQ80" s="456"/>
      <c r="LLR80" s="456"/>
      <c r="LLS80" s="456"/>
      <c r="LLT80" s="456"/>
      <c r="LLU80" s="456"/>
      <c r="LLV80" s="456"/>
      <c r="LLW80" s="456"/>
      <c r="LLX80" s="456"/>
      <c r="LLY80" s="456"/>
      <c r="LLZ80" s="456"/>
      <c r="LMA80" s="456"/>
      <c r="LMB80" s="456"/>
      <c r="LMC80" s="456"/>
      <c r="LMD80" s="456"/>
      <c r="LME80" s="456"/>
      <c r="LMF80" s="456"/>
      <c r="LMG80" s="456"/>
      <c r="LMH80" s="456"/>
      <c r="LMI80" s="456"/>
      <c r="LMJ80" s="456"/>
      <c r="LMK80" s="456"/>
      <c r="LML80" s="456"/>
      <c r="LMM80" s="456"/>
      <c r="LMN80" s="456"/>
      <c r="LMO80" s="456"/>
      <c r="LMP80" s="456"/>
      <c r="LMQ80" s="456"/>
      <c r="LMR80" s="456"/>
      <c r="LMS80" s="456"/>
      <c r="LMT80" s="456"/>
      <c r="LMU80" s="456"/>
      <c r="LMV80" s="456"/>
      <c r="LMW80" s="456"/>
      <c r="LMX80" s="456"/>
      <c r="LMY80" s="456"/>
      <c r="LMZ80" s="456"/>
      <c r="LNA80" s="456"/>
      <c r="LNB80" s="456"/>
      <c r="LNC80" s="456"/>
      <c r="LND80" s="456"/>
      <c r="LNE80" s="456"/>
      <c r="LNF80" s="456"/>
      <c r="LNG80" s="456"/>
      <c r="LNH80" s="456"/>
      <c r="LNI80" s="456"/>
      <c r="LNJ80" s="456"/>
      <c r="LNK80" s="456"/>
      <c r="LNL80" s="456"/>
      <c r="LNM80" s="456"/>
      <c r="LNN80" s="456"/>
      <c r="LNO80" s="456"/>
      <c r="LNP80" s="456"/>
      <c r="LNQ80" s="456"/>
      <c r="LNR80" s="456"/>
      <c r="LNS80" s="456"/>
      <c r="LNT80" s="456"/>
      <c r="LNU80" s="456"/>
      <c r="LNV80" s="456"/>
      <c r="LNW80" s="456"/>
      <c r="LNX80" s="456"/>
      <c r="LNY80" s="456"/>
      <c r="LNZ80" s="456"/>
      <c r="LOA80" s="456"/>
      <c r="LOB80" s="456"/>
      <c r="LOC80" s="456"/>
      <c r="LOD80" s="456"/>
      <c r="LOE80" s="456"/>
      <c r="LOF80" s="456"/>
      <c r="LOG80" s="456"/>
      <c r="LOH80" s="456"/>
      <c r="LOI80" s="456"/>
      <c r="LOJ80" s="456"/>
      <c r="LOK80" s="456"/>
      <c r="LOL80" s="456"/>
      <c r="LOM80" s="456"/>
      <c r="LON80" s="456"/>
      <c r="LOO80" s="456"/>
      <c r="LOP80" s="456"/>
      <c r="LOQ80" s="456"/>
      <c r="LOR80" s="456"/>
      <c r="LOS80" s="456"/>
      <c r="LOT80" s="456"/>
      <c r="LOU80" s="456"/>
      <c r="LOV80" s="456"/>
      <c r="LOW80" s="456"/>
      <c r="LOX80" s="456"/>
      <c r="LOY80" s="456"/>
      <c r="LOZ80" s="456"/>
      <c r="LPA80" s="456"/>
      <c r="LPB80" s="456"/>
      <c r="LPC80" s="456"/>
      <c r="LPD80" s="456"/>
      <c r="LPE80" s="456"/>
      <c r="LPF80" s="456"/>
      <c r="LPG80" s="456"/>
      <c r="LPH80" s="456"/>
      <c r="LPI80" s="456"/>
      <c r="LPJ80" s="456"/>
      <c r="LPK80" s="456"/>
      <c r="LPL80" s="456"/>
      <c r="LPM80" s="456"/>
      <c r="LPN80" s="456"/>
      <c r="LPO80" s="456"/>
      <c r="LPP80" s="456"/>
      <c r="LPQ80" s="456"/>
      <c r="LPR80" s="456"/>
      <c r="LPS80" s="456"/>
      <c r="LPT80" s="456"/>
      <c r="LPU80" s="456"/>
      <c r="LPV80" s="456"/>
      <c r="LPW80" s="456"/>
      <c r="LPX80" s="456"/>
      <c r="LPY80" s="456"/>
      <c r="LPZ80" s="456"/>
      <c r="LQA80" s="456"/>
      <c r="LQB80" s="456"/>
      <c r="LQC80" s="456"/>
      <c r="LQD80" s="456"/>
      <c r="LQE80" s="456"/>
      <c r="LQF80" s="456"/>
      <c r="LQG80" s="456"/>
      <c r="LQH80" s="456"/>
      <c r="LQI80" s="456"/>
      <c r="LQJ80" s="456"/>
      <c r="LQK80" s="456"/>
      <c r="LQL80" s="456"/>
      <c r="LQM80" s="456"/>
      <c r="LQN80" s="456"/>
      <c r="LQO80" s="456"/>
      <c r="LQP80" s="456"/>
      <c r="LQQ80" s="456"/>
      <c r="LQR80" s="456"/>
      <c r="LQS80" s="456"/>
      <c r="LQT80" s="456"/>
      <c r="LQU80" s="456"/>
      <c r="LQV80" s="456"/>
      <c r="LQW80" s="456"/>
      <c r="LQX80" s="456"/>
      <c r="LQY80" s="456"/>
      <c r="LQZ80" s="456"/>
      <c r="LRA80" s="456"/>
      <c r="LRB80" s="456"/>
      <c r="LRC80" s="456"/>
      <c r="LRD80" s="456"/>
      <c r="LRE80" s="456"/>
      <c r="LRF80" s="456"/>
      <c r="LRG80" s="456"/>
      <c r="LRH80" s="456"/>
      <c r="LRI80" s="456"/>
      <c r="LRJ80" s="456"/>
      <c r="LRK80" s="456"/>
      <c r="LRL80" s="456"/>
      <c r="LRM80" s="456"/>
      <c r="LRN80" s="456"/>
      <c r="LRO80" s="456"/>
      <c r="LRP80" s="456"/>
      <c r="LRQ80" s="456"/>
      <c r="LRR80" s="456"/>
      <c r="LRS80" s="456"/>
      <c r="LRT80" s="456"/>
      <c r="LRU80" s="456"/>
      <c r="LRV80" s="456"/>
      <c r="LRW80" s="456"/>
      <c r="LRX80" s="456"/>
      <c r="LRY80" s="456"/>
      <c r="LRZ80" s="456"/>
      <c r="LSA80" s="456"/>
      <c r="LSB80" s="456"/>
      <c r="LSC80" s="456"/>
      <c r="LSD80" s="456"/>
      <c r="LSE80" s="456"/>
      <c r="LSF80" s="456"/>
      <c r="LSG80" s="456"/>
      <c r="LSH80" s="456"/>
      <c r="LSI80" s="456"/>
      <c r="LSJ80" s="456"/>
      <c r="LSK80" s="456"/>
      <c r="LSL80" s="456"/>
      <c r="LSM80" s="456"/>
      <c r="LSN80" s="456"/>
      <c r="LSO80" s="456"/>
      <c r="LSP80" s="456"/>
      <c r="LSQ80" s="456"/>
      <c r="LSR80" s="456"/>
      <c r="LSS80" s="456"/>
      <c r="LST80" s="456"/>
      <c r="LSU80" s="456"/>
      <c r="LSV80" s="456"/>
      <c r="LSW80" s="456"/>
      <c r="LSX80" s="456"/>
      <c r="LSY80" s="456"/>
      <c r="LSZ80" s="456"/>
      <c r="LTA80" s="456"/>
      <c r="LTB80" s="456"/>
      <c r="LTC80" s="456"/>
      <c r="LTD80" s="456"/>
      <c r="LTE80" s="456"/>
      <c r="LTF80" s="456"/>
      <c r="LTG80" s="456"/>
      <c r="LTH80" s="456"/>
      <c r="LTI80" s="456"/>
      <c r="LTJ80" s="456"/>
      <c r="LTK80" s="456"/>
      <c r="LTL80" s="456"/>
      <c r="LTM80" s="456"/>
      <c r="LTN80" s="456"/>
      <c r="LTO80" s="456"/>
      <c r="LTP80" s="456"/>
      <c r="LTQ80" s="456"/>
      <c r="LTR80" s="456"/>
      <c r="LTS80" s="456"/>
      <c r="LTT80" s="456"/>
      <c r="LTU80" s="456"/>
      <c r="LTV80" s="456"/>
      <c r="LTW80" s="456"/>
      <c r="LTX80" s="456"/>
      <c r="LTY80" s="456"/>
      <c r="LTZ80" s="456"/>
      <c r="LUA80" s="456"/>
      <c r="LUB80" s="456"/>
      <c r="LUC80" s="456"/>
      <c r="LUD80" s="456"/>
      <c r="LUE80" s="456"/>
      <c r="LUF80" s="456"/>
      <c r="LUG80" s="456"/>
      <c r="LUH80" s="456"/>
      <c r="LUI80" s="456"/>
      <c r="LUJ80" s="456"/>
      <c r="LUK80" s="456"/>
      <c r="LUL80" s="456"/>
      <c r="LUM80" s="456"/>
      <c r="LUN80" s="456"/>
      <c r="LUO80" s="456"/>
      <c r="LUP80" s="456"/>
      <c r="LUQ80" s="456"/>
      <c r="LUR80" s="456"/>
      <c r="LUS80" s="456"/>
      <c r="LUT80" s="456"/>
      <c r="LUU80" s="456"/>
      <c r="LUV80" s="456"/>
      <c r="LUW80" s="456"/>
      <c r="LUX80" s="456"/>
      <c r="LUY80" s="456"/>
      <c r="LUZ80" s="456"/>
      <c r="LVA80" s="456"/>
      <c r="LVB80" s="456"/>
      <c r="LVC80" s="456"/>
      <c r="LVD80" s="456"/>
      <c r="LVE80" s="456"/>
      <c r="LVF80" s="456"/>
      <c r="LVG80" s="456"/>
      <c r="LVH80" s="456"/>
      <c r="LVI80" s="456"/>
      <c r="LVJ80" s="456"/>
      <c r="LVK80" s="456"/>
      <c r="LVL80" s="456"/>
      <c r="LVM80" s="456"/>
      <c r="LVN80" s="456"/>
      <c r="LVO80" s="456"/>
      <c r="LVP80" s="456"/>
      <c r="LVQ80" s="456"/>
      <c r="LVR80" s="456"/>
      <c r="LVS80" s="456"/>
      <c r="LVT80" s="456"/>
      <c r="LVU80" s="456"/>
      <c r="LVV80" s="456"/>
      <c r="LVW80" s="456"/>
      <c r="LVX80" s="456"/>
      <c r="LVY80" s="456"/>
      <c r="LVZ80" s="456"/>
      <c r="LWA80" s="456"/>
      <c r="LWB80" s="456"/>
      <c r="LWC80" s="456"/>
      <c r="LWD80" s="456"/>
      <c r="LWE80" s="456"/>
      <c r="LWF80" s="456"/>
      <c r="LWG80" s="456"/>
      <c r="LWH80" s="456"/>
      <c r="LWI80" s="456"/>
      <c r="LWJ80" s="456"/>
      <c r="LWK80" s="456"/>
      <c r="LWL80" s="456"/>
      <c r="LWM80" s="456"/>
      <c r="LWN80" s="456"/>
      <c r="LWO80" s="456"/>
      <c r="LWP80" s="456"/>
      <c r="LWQ80" s="456"/>
      <c r="LWR80" s="456"/>
      <c r="LWS80" s="456"/>
      <c r="LWT80" s="456"/>
      <c r="LWU80" s="456"/>
      <c r="LWV80" s="456"/>
      <c r="LWW80" s="456"/>
      <c r="LWX80" s="456"/>
      <c r="LWY80" s="456"/>
      <c r="LWZ80" s="456"/>
      <c r="LXA80" s="456"/>
      <c r="LXB80" s="456"/>
      <c r="LXC80" s="456"/>
      <c r="LXD80" s="456"/>
      <c r="LXE80" s="456"/>
      <c r="LXF80" s="456"/>
      <c r="LXG80" s="456"/>
      <c r="LXH80" s="456"/>
      <c r="LXI80" s="456"/>
      <c r="LXJ80" s="456"/>
      <c r="LXK80" s="456"/>
      <c r="LXL80" s="456"/>
      <c r="LXM80" s="456"/>
      <c r="LXN80" s="456"/>
      <c r="LXO80" s="456"/>
      <c r="LXP80" s="456"/>
      <c r="LXQ80" s="456"/>
      <c r="LXR80" s="456"/>
      <c r="LXS80" s="456"/>
      <c r="LXT80" s="456"/>
      <c r="LXU80" s="456"/>
      <c r="LXV80" s="456"/>
      <c r="LXW80" s="456"/>
      <c r="LXX80" s="456"/>
      <c r="LXY80" s="456"/>
      <c r="LXZ80" s="456"/>
      <c r="LYA80" s="456"/>
      <c r="LYB80" s="456"/>
      <c r="LYC80" s="456"/>
      <c r="LYD80" s="456"/>
      <c r="LYE80" s="456"/>
      <c r="LYF80" s="456"/>
      <c r="LYG80" s="456"/>
      <c r="LYH80" s="456"/>
      <c r="LYI80" s="456"/>
      <c r="LYJ80" s="456"/>
      <c r="LYK80" s="456"/>
      <c r="LYL80" s="456"/>
      <c r="LYM80" s="456"/>
      <c r="LYN80" s="456"/>
      <c r="LYO80" s="456"/>
      <c r="LYP80" s="456"/>
      <c r="LYQ80" s="456"/>
      <c r="LYR80" s="456"/>
      <c r="LYS80" s="456"/>
      <c r="LYT80" s="456"/>
      <c r="LYU80" s="456"/>
      <c r="LYV80" s="456"/>
      <c r="LYW80" s="456"/>
      <c r="LYX80" s="456"/>
      <c r="LYY80" s="456"/>
      <c r="LYZ80" s="456"/>
      <c r="LZA80" s="456"/>
      <c r="LZB80" s="456"/>
      <c r="LZC80" s="456"/>
      <c r="LZD80" s="456"/>
      <c r="LZE80" s="456"/>
      <c r="LZF80" s="456"/>
      <c r="LZG80" s="456"/>
      <c r="LZH80" s="456"/>
      <c r="LZI80" s="456"/>
      <c r="LZJ80" s="456"/>
      <c r="LZK80" s="456"/>
      <c r="LZL80" s="456"/>
      <c r="LZM80" s="456"/>
      <c r="LZN80" s="456"/>
      <c r="LZO80" s="456"/>
      <c r="LZP80" s="456"/>
      <c r="LZQ80" s="456"/>
      <c r="LZR80" s="456"/>
      <c r="LZS80" s="456"/>
      <c r="LZT80" s="456"/>
      <c r="LZU80" s="456"/>
      <c r="LZV80" s="456"/>
      <c r="LZW80" s="456"/>
      <c r="LZX80" s="456"/>
      <c r="LZY80" s="456"/>
      <c r="LZZ80" s="456"/>
      <c r="MAA80" s="456"/>
      <c r="MAB80" s="456"/>
      <c r="MAC80" s="456"/>
      <c r="MAD80" s="456"/>
      <c r="MAE80" s="456"/>
      <c r="MAF80" s="456"/>
      <c r="MAG80" s="456"/>
      <c r="MAH80" s="456"/>
      <c r="MAI80" s="456"/>
      <c r="MAJ80" s="456"/>
      <c r="MAK80" s="456"/>
      <c r="MAL80" s="456"/>
      <c r="MAM80" s="456"/>
      <c r="MAN80" s="456"/>
      <c r="MAO80" s="456"/>
      <c r="MAP80" s="456"/>
      <c r="MAQ80" s="456"/>
      <c r="MAR80" s="456"/>
      <c r="MAS80" s="456"/>
      <c r="MAT80" s="456"/>
      <c r="MAU80" s="456"/>
      <c r="MAV80" s="456"/>
      <c r="MAW80" s="456"/>
      <c r="MAX80" s="456"/>
      <c r="MAY80" s="456"/>
      <c r="MAZ80" s="456"/>
      <c r="MBA80" s="456"/>
      <c r="MBB80" s="456"/>
      <c r="MBC80" s="456"/>
      <c r="MBD80" s="456"/>
      <c r="MBE80" s="456"/>
      <c r="MBF80" s="456"/>
      <c r="MBG80" s="456"/>
      <c r="MBH80" s="456"/>
      <c r="MBI80" s="456"/>
      <c r="MBJ80" s="456"/>
      <c r="MBK80" s="456"/>
      <c r="MBL80" s="456"/>
      <c r="MBM80" s="456"/>
      <c r="MBN80" s="456"/>
      <c r="MBO80" s="456"/>
      <c r="MBP80" s="456"/>
      <c r="MBQ80" s="456"/>
      <c r="MBR80" s="456"/>
      <c r="MBS80" s="456"/>
      <c r="MBT80" s="456"/>
      <c r="MBU80" s="456"/>
      <c r="MBV80" s="456"/>
      <c r="MBW80" s="456"/>
      <c r="MBX80" s="456"/>
      <c r="MBY80" s="456"/>
      <c r="MBZ80" s="456"/>
      <c r="MCA80" s="456"/>
      <c r="MCB80" s="456"/>
      <c r="MCC80" s="456"/>
      <c r="MCD80" s="456"/>
      <c r="MCE80" s="456"/>
      <c r="MCF80" s="456"/>
      <c r="MCG80" s="456"/>
      <c r="MCH80" s="456"/>
      <c r="MCI80" s="456"/>
      <c r="MCJ80" s="456"/>
      <c r="MCK80" s="456"/>
      <c r="MCL80" s="456"/>
      <c r="MCM80" s="456"/>
      <c r="MCN80" s="456"/>
      <c r="MCO80" s="456"/>
      <c r="MCP80" s="456"/>
      <c r="MCQ80" s="456"/>
      <c r="MCR80" s="456"/>
      <c r="MCS80" s="456"/>
      <c r="MCT80" s="456"/>
      <c r="MCU80" s="456"/>
      <c r="MCV80" s="456"/>
      <c r="MCW80" s="456"/>
      <c r="MCX80" s="456"/>
      <c r="MCY80" s="456"/>
      <c r="MCZ80" s="456"/>
      <c r="MDA80" s="456"/>
      <c r="MDB80" s="456"/>
      <c r="MDC80" s="456"/>
      <c r="MDD80" s="456"/>
      <c r="MDE80" s="456"/>
      <c r="MDF80" s="456"/>
      <c r="MDG80" s="456"/>
      <c r="MDH80" s="456"/>
      <c r="MDI80" s="456"/>
      <c r="MDJ80" s="456"/>
      <c r="MDK80" s="456"/>
      <c r="MDL80" s="456"/>
      <c r="MDM80" s="456"/>
      <c r="MDN80" s="456"/>
      <c r="MDO80" s="456"/>
      <c r="MDP80" s="456"/>
      <c r="MDQ80" s="456"/>
      <c r="MDR80" s="456"/>
      <c r="MDS80" s="456"/>
      <c r="MDT80" s="456"/>
      <c r="MDU80" s="456"/>
      <c r="MDV80" s="456"/>
      <c r="MDW80" s="456"/>
      <c r="MDX80" s="456"/>
      <c r="MDY80" s="456"/>
      <c r="MDZ80" s="456"/>
      <c r="MEA80" s="456"/>
      <c r="MEB80" s="456"/>
      <c r="MEC80" s="456"/>
      <c r="MED80" s="456"/>
      <c r="MEE80" s="456"/>
      <c r="MEF80" s="456"/>
      <c r="MEG80" s="456"/>
      <c r="MEH80" s="456"/>
      <c r="MEI80" s="456"/>
      <c r="MEJ80" s="456"/>
      <c r="MEK80" s="456"/>
      <c r="MEL80" s="456"/>
      <c r="MEM80" s="456"/>
      <c r="MEN80" s="456"/>
      <c r="MEO80" s="456"/>
      <c r="MEP80" s="456"/>
      <c r="MEQ80" s="456"/>
      <c r="MER80" s="456"/>
      <c r="MES80" s="456"/>
      <c r="MET80" s="456"/>
      <c r="MEU80" s="456"/>
      <c r="MEV80" s="456"/>
      <c r="MEW80" s="456"/>
      <c r="MEX80" s="456"/>
      <c r="MEY80" s="456"/>
      <c r="MEZ80" s="456"/>
      <c r="MFA80" s="456"/>
      <c r="MFB80" s="456"/>
      <c r="MFC80" s="456"/>
      <c r="MFD80" s="456"/>
      <c r="MFE80" s="456"/>
      <c r="MFF80" s="456"/>
      <c r="MFG80" s="456"/>
      <c r="MFH80" s="456"/>
      <c r="MFI80" s="456"/>
      <c r="MFJ80" s="456"/>
      <c r="MFK80" s="456"/>
      <c r="MFL80" s="456"/>
      <c r="MFM80" s="456"/>
      <c r="MFN80" s="456"/>
      <c r="MFO80" s="456"/>
      <c r="MFP80" s="456"/>
      <c r="MFQ80" s="456"/>
      <c r="MFR80" s="456"/>
      <c r="MFS80" s="456"/>
      <c r="MFT80" s="456"/>
      <c r="MFU80" s="456"/>
      <c r="MFV80" s="456"/>
      <c r="MFW80" s="456"/>
      <c r="MFX80" s="456"/>
      <c r="MFY80" s="456"/>
      <c r="MFZ80" s="456"/>
      <c r="MGA80" s="456"/>
      <c r="MGB80" s="456"/>
      <c r="MGC80" s="456"/>
      <c r="MGD80" s="456"/>
      <c r="MGE80" s="456"/>
      <c r="MGF80" s="456"/>
      <c r="MGG80" s="456"/>
      <c r="MGH80" s="456"/>
      <c r="MGI80" s="456"/>
      <c r="MGJ80" s="456"/>
      <c r="MGK80" s="456"/>
      <c r="MGL80" s="456"/>
      <c r="MGM80" s="456"/>
      <c r="MGN80" s="456"/>
      <c r="MGO80" s="456"/>
      <c r="MGP80" s="456"/>
      <c r="MGQ80" s="456"/>
      <c r="MGR80" s="456"/>
      <c r="MGS80" s="456"/>
      <c r="MGT80" s="456"/>
      <c r="MGU80" s="456"/>
      <c r="MGV80" s="456"/>
      <c r="MGW80" s="456"/>
      <c r="MGX80" s="456"/>
      <c r="MGY80" s="456"/>
      <c r="MGZ80" s="456"/>
      <c r="MHA80" s="456"/>
      <c r="MHB80" s="456"/>
      <c r="MHC80" s="456"/>
      <c r="MHD80" s="456"/>
      <c r="MHE80" s="456"/>
      <c r="MHF80" s="456"/>
      <c r="MHG80" s="456"/>
      <c r="MHH80" s="456"/>
      <c r="MHI80" s="456"/>
      <c r="MHJ80" s="456"/>
      <c r="MHK80" s="456"/>
      <c r="MHL80" s="456"/>
      <c r="MHM80" s="456"/>
      <c r="MHN80" s="456"/>
      <c r="MHO80" s="456"/>
      <c r="MHP80" s="456"/>
      <c r="MHQ80" s="456"/>
      <c r="MHR80" s="456"/>
      <c r="MHS80" s="456"/>
      <c r="MHT80" s="456"/>
      <c r="MHU80" s="456"/>
      <c r="MHV80" s="456"/>
      <c r="MHW80" s="456"/>
      <c r="MHX80" s="456"/>
      <c r="MHY80" s="456"/>
      <c r="MHZ80" s="456"/>
      <c r="MIA80" s="456"/>
      <c r="MIB80" s="456"/>
      <c r="MIC80" s="456"/>
      <c r="MID80" s="456"/>
      <c r="MIE80" s="456"/>
      <c r="MIF80" s="456"/>
      <c r="MIG80" s="456"/>
      <c r="MIH80" s="456"/>
      <c r="MII80" s="456"/>
      <c r="MIJ80" s="456"/>
      <c r="MIK80" s="456"/>
      <c r="MIL80" s="456"/>
      <c r="MIM80" s="456"/>
      <c r="MIN80" s="456"/>
      <c r="MIO80" s="456"/>
      <c r="MIP80" s="456"/>
      <c r="MIQ80" s="456"/>
      <c r="MIR80" s="456"/>
      <c r="MIS80" s="456"/>
      <c r="MIT80" s="456"/>
      <c r="MIU80" s="456"/>
      <c r="MIV80" s="456"/>
      <c r="MIW80" s="456"/>
      <c r="MIX80" s="456"/>
      <c r="MIY80" s="456"/>
      <c r="MIZ80" s="456"/>
      <c r="MJA80" s="456"/>
      <c r="MJB80" s="456"/>
      <c r="MJC80" s="456"/>
      <c r="MJD80" s="456"/>
      <c r="MJE80" s="456"/>
      <c r="MJF80" s="456"/>
      <c r="MJG80" s="456"/>
      <c r="MJH80" s="456"/>
      <c r="MJI80" s="456"/>
      <c r="MJJ80" s="456"/>
      <c r="MJK80" s="456"/>
      <c r="MJL80" s="456"/>
      <c r="MJM80" s="456"/>
      <c r="MJN80" s="456"/>
      <c r="MJO80" s="456"/>
      <c r="MJP80" s="456"/>
      <c r="MJQ80" s="456"/>
      <c r="MJR80" s="456"/>
      <c r="MJS80" s="456"/>
      <c r="MJT80" s="456"/>
      <c r="MJU80" s="456"/>
      <c r="MJV80" s="456"/>
      <c r="MJW80" s="456"/>
      <c r="MJX80" s="456"/>
      <c r="MJY80" s="456"/>
      <c r="MJZ80" s="456"/>
      <c r="MKA80" s="456"/>
      <c r="MKB80" s="456"/>
      <c r="MKC80" s="456"/>
      <c r="MKD80" s="456"/>
      <c r="MKE80" s="456"/>
      <c r="MKF80" s="456"/>
      <c r="MKG80" s="456"/>
      <c r="MKH80" s="456"/>
      <c r="MKI80" s="456"/>
      <c r="MKJ80" s="456"/>
      <c r="MKK80" s="456"/>
      <c r="MKL80" s="456"/>
      <c r="MKM80" s="456"/>
      <c r="MKN80" s="456"/>
      <c r="MKO80" s="456"/>
      <c r="MKP80" s="456"/>
      <c r="MKQ80" s="456"/>
      <c r="MKR80" s="456"/>
      <c r="MKS80" s="456"/>
      <c r="MKT80" s="456"/>
      <c r="MKU80" s="456"/>
      <c r="MKV80" s="456"/>
      <c r="MKW80" s="456"/>
      <c r="MKX80" s="456"/>
      <c r="MKY80" s="456"/>
      <c r="MKZ80" s="456"/>
      <c r="MLA80" s="456"/>
      <c r="MLB80" s="456"/>
      <c r="MLC80" s="456"/>
      <c r="MLD80" s="456"/>
      <c r="MLE80" s="456"/>
      <c r="MLF80" s="456"/>
      <c r="MLG80" s="456"/>
      <c r="MLH80" s="456"/>
      <c r="MLI80" s="456"/>
      <c r="MLJ80" s="456"/>
      <c r="MLK80" s="456"/>
      <c r="MLL80" s="456"/>
      <c r="MLM80" s="456"/>
      <c r="MLN80" s="456"/>
      <c r="MLO80" s="456"/>
      <c r="MLP80" s="456"/>
      <c r="MLQ80" s="456"/>
      <c r="MLR80" s="456"/>
      <c r="MLS80" s="456"/>
      <c r="MLT80" s="456"/>
      <c r="MLU80" s="456"/>
      <c r="MLV80" s="456"/>
      <c r="MLW80" s="456"/>
      <c r="MLX80" s="456"/>
      <c r="MLY80" s="456"/>
      <c r="MLZ80" s="456"/>
      <c r="MMA80" s="456"/>
      <c r="MMB80" s="456"/>
      <c r="MMC80" s="456"/>
      <c r="MMD80" s="456"/>
      <c r="MME80" s="456"/>
      <c r="MMF80" s="456"/>
      <c r="MMG80" s="456"/>
      <c r="MMH80" s="456"/>
      <c r="MMI80" s="456"/>
      <c r="MMJ80" s="456"/>
      <c r="MMK80" s="456"/>
      <c r="MML80" s="456"/>
      <c r="MMM80" s="456"/>
      <c r="MMN80" s="456"/>
      <c r="MMO80" s="456"/>
      <c r="MMP80" s="456"/>
      <c r="MMQ80" s="456"/>
      <c r="MMR80" s="456"/>
      <c r="MMS80" s="456"/>
      <c r="MMT80" s="456"/>
      <c r="MMU80" s="456"/>
      <c r="MMV80" s="456"/>
      <c r="MMW80" s="456"/>
      <c r="MMX80" s="456"/>
      <c r="MMY80" s="456"/>
      <c r="MMZ80" s="456"/>
      <c r="MNA80" s="456"/>
      <c r="MNB80" s="456"/>
      <c r="MNC80" s="456"/>
      <c r="MND80" s="456"/>
      <c r="MNE80" s="456"/>
      <c r="MNF80" s="456"/>
      <c r="MNG80" s="456"/>
      <c r="MNH80" s="456"/>
      <c r="MNI80" s="456"/>
      <c r="MNJ80" s="456"/>
      <c r="MNK80" s="456"/>
      <c r="MNL80" s="456"/>
      <c r="MNM80" s="456"/>
      <c r="MNN80" s="456"/>
      <c r="MNO80" s="456"/>
      <c r="MNP80" s="456"/>
      <c r="MNQ80" s="456"/>
      <c r="MNR80" s="456"/>
      <c r="MNS80" s="456"/>
      <c r="MNT80" s="456"/>
      <c r="MNU80" s="456"/>
      <c r="MNV80" s="456"/>
      <c r="MNW80" s="456"/>
      <c r="MNX80" s="456"/>
      <c r="MNY80" s="456"/>
      <c r="MNZ80" s="456"/>
      <c r="MOA80" s="456"/>
      <c r="MOB80" s="456"/>
      <c r="MOC80" s="456"/>
      <c r="MOD80" s="456"/>
      <c r="MOE80" s="456"/>
      <c r="MOF80" s="456"/>
      <c r="MOG80" s="456"/>
      <c r="MOH80" s="456"/>
      <c r="MOI80" s="456"/>
      <c r="MOJ80" s="456"/>
      <c r="MOK80" s="456"/>
      <c r="MOL80" s="456"/>
      <c r="MOM80" s="456"/>
      <c r="MON80" s="456"/>
      <c r="MOO80" s="456"/>
      <c r="MOP80" s="456"/>
      <c r="MOQ80" s="456"/>
      <c r="MOR80" s="456"/>
      <c r="MOS80" s="456"/>
      <c r="MOT80" s="456"/>
      <c r="MOU80" s="456"/>
      <c r="MOV80" s="456"/>
      <c r="MOW80" s="456"/>
      <c r="MOX80" s="456"/>
      <c r="MOY80" s="456"/>
      <c r="MOZ80" s="456"/>
      <c r="MPA80" s="456"/>
      <c r="MPB80" s="456"/>
      <c r="MPC80" s="456"/>
      <c r="MPD80" s="456"/>
      <c r="MPE80" s="456"/>
      <c r="MPF80" s="456"/>
      <c r="MPG80" s="456"/>
      <c r="MPH80" s="456"/>
      <c r="MPI80" s="456"/>
      <c r="MPJ80" s="456"/>
      <c r="MPK80" s="456"/>
      <c r="MPL80" s="456"/>
      <c r="MPM80" s="456"/>
      <c r="MPN80" s="456"/>
      <c r="MPO80" s="456"/>
      <c r="MPP80" s="456"/>
      <c r="MPQ80" s="456"/>
      <c r="MPR80" s="456"/>
      <c r="MPS80" s="456"/>
      <c r="MPT80" s="456"/>
      <c r="MPU80" s="456"/>
      <c r="MPV80" s="456"/>
      <c r="MPW80" s="456"/>
      <c r="MPX80" s="456"/>
      <c r="MPY80" s="456"/>
      <c r="MPZ80" s="456"/>
      <c r="MQA80" s="456"/>
      <c r="MQB80" s="456"/>
      <c r="MQC80" s="456"/>
      <c r="MQD80" s="456"/>
      <c r="MQE80" s="456"/>
      <c r="MQF80" s="456"/>
      <c r="MQG80" s="456"/>
      <c r="MQH80" s="456"/>
      <c r="MQI80" s="456"/>
      <c r="MQJ80" s="456"/>
      <c r="MQK80" s="456"/>
      <c r="MQL80" s="456"/>
      <c r="MQM80" s="456"/>
      <c r="MQN80" s="456"/>
      <c r="MQO80" s="456"/>
      <c r="MQP80" s="456"/>
      <c r="MQQ80" s="456"/>
      <c r="MQR80" s="456"/>
      <c r="MQS80" s="456"/>
      <c r="MQT80" s="456"/>
      <c r="MQU80" s="456"/>
      <c r="MQV80" s="456"/>
      <c r="MQW80" s="456"/>
      <c r="MQX80" s="456"/>
      <c r="MQY80" s="456"/>
      <c r="MQZ80" s="456"/>
      <c r="MRA80" s="456"/>
      <c r="MRB80" s="456"/>
      <c r="MRC80" s="456"/>
      <c r="MRD80" s="456"/>
      <c r="MRE80" s="456"/>
      <c r="MRF80" s="456"/>
      <c r="MRG80" s="456"/>
      <c r="MRH80" s="456"/>
      <c r="MRI80" s="456"/>
      <c r="MRJ80" s="456"/>
      <c r="MRK80" s="456"/>
      <c r="MRL80" s="456"/>
      <c r="MRM80" s="456"/>
      <c r="MRN80" s="456"/>
      <c r="MRO80" s="456"/>
      <c r="MRP80" s="456"/>
      <c r="MRQ80" s="456"/>
      <c r="MRR80" s="456"/>
      <c r="MRS80" s="456"/>
      <c r="MRT80" s="456"/>
      <c r="MRU80" s="456"/>
      <c r="MRV80" s="456"/>
      <c r="MRW80" s="456"/>
      <c r="MRX80" s="456"/>
      <c r="MRY80" s="456"/>
      <c r="MRZ80" s="456"/>
      <c r="MSA80" s="456"/>
      <c r="MSB80" s="456"/>
      <c r="MSC80" s="456"/>
      <c r="MSD80" s="456"/>
      <c r="MSE80" s="456"/>
      <c r="MSF80" s="456"/>
      <c r="MSG80" s="456"/>
      <c r="MSH80" s="456"/>
      <c r="MSI80" s="456"/>
      <c r="MSJ80" s="456"/>
      <c r="MSK80" s="456"/>
      <c r="MSL80" s="456"/>
      <c r="MSM80" s="456"/>
      <c r="MSN80" s="456"/>
      <c r="MSO80" s="456"/>
      <c r="MSP80" s="456"/>
      <c r="MSQ80" s="456"/>
      <c r="MSR80" s="456"/>
      <c r="MSS80" s="456"/>
      <c r="MST80" s="456"/>
      <c r="MSU80" s="456"/>
      <c r="MSV80" s="456"/>
      <c r="MSW80" s="456"/>
      <c r="MSX80" s="456"/>
      <c r="MSY80" s="456"/>
      <c r="MSZ80" s="456"/>
      <c r="MTA80" s="456"/>
      <c r="MTB80" s="456"/>
      <c r="MTC80" s="456"/>
      <c r="MTD80" s="456"/>
      <c r="MTE80" s="456"/>
      <c r="MTF80" s="456"/>
      <c r="MTG80" s="456"/>
      <c r="MTH80" s="456"/>
      <c r="MTI80" s="456"/>
      <c r="MTJ80" s="456"/>
      <c r="MTK80" s="456"/>
      <c r="MTL80" s="456"/>
      <c r="MTM80" s="456"/>
      <c r="MTN80" s="456"/>
      <c r="MTO80" s="456"/>
      <c r="MTP80" s="456"/>
      <c r="MTQ80" s="456"/>
      <c r="MTR80" s="456"/>
      <c r="MTS80" s="456"/>
      <c r="MTT80" s="456"/>
      <c r="MTU80" s="456"/>
      <c r="MTV80" s="456"/>
      <c r="MTW80" s="456"/>
      <c r="MTX80" s="456"/>
      <c r="MTY80" s="456"/>
      <c r="MTZ80" s="456"/>
      <c r="MUA80" s="456"/>
      <c r="MUB80" s="456"/>
      <c r="MUC80" s="456"/>
      <c r="MUD80" s="456"/>
      <c r="MUE80" s="456"/>
      <c r="MUF80" s="456"/>
      <c r="MUG80" s="456"/>
      <c r="MUH80" s="456"/>
      <c r="MUI80" s="456"/>
      <c r="MUJ80" s="456"/>
      <c r="MUK80" s="456"/>
      <c r="MUL80" s="456"/>
      <c r="MUM80" s="456"/>
      <c r="MUN80" s="456"/>
      <c r="MUO80" s="456"/>
      <c r="MUP80" s="456"/>
      <c r="MUQ80" s="456"/>
      <c r="MUR80" s="456"/>
      <c r="MUS80" s="456"/>
      <c r="MUT80" s="456"/>
      <c r="MUU80" s="456"/>
      <c r="MUV80" s="456"/>
      <c r="MUW80" s="456"/>
      <c r="MUX80" s="456"/>
      <c r="MUY80" s="456"/>
      <c r="MUZ80" s="456"/>
      <c r="MVA80" s="456"/>
      <c r="MVB80" s="456"/>
      <c r="MVC80" s="456"/>
      <c r="MVD80" s="456"/>
      <c r="MVE80" s="456"/>
      <c r="MVF80" s="456"/>
      <c r="MVG80" s="456"/>
      <c r="MVH80" s="456"/>
      <c r="MVI80" s="456"/>
      <c r="MVJ80" s="456"/>
      <c r="MVK80" s="456"/>
      <c r="MVL80" s="456"/>
      <c r="MVM80" s="456"/>
      <c r="MVN80" s="456"/>
      <c r="MVO80" s="456"/>
      <c r="MVP80" s="456"/>
      <c r="MVQ80" s="456"/>
      <c r="MVR80" s="456"/>
      <c r="MVS80" s="456"/>
      <c r="MVT80" s="456"/>
      <c r="MVU80" s="456"/>
      <c r="MVV80" s="456"/>
      <c r="MVW80" s="456"/>
      <c r="MVX80" s="456"/>
      <c r="MVY80" s="456"/>
      <c r="MVZ80" s="456"/>
      <c r="MWA80" s="456"/>
      <c r="MWB80" s="456"/>
      <c r="MWC80" s="456"/>
      <c r="MWD80" s="456"/>
      <c r="MWE80" s="456"/>
      <c r="MWF80" s="456"/>
      <c r="MWG80" s="456"/>
      <c r="MWH80" s="456"/>
      <c r="MWI80" s="456"/>
      <c r="MWJ80" s="456"/>
      <c r="MWK80" s="456"/>
      <c r="MWL80" s="456"/>
      <c r="MWM80" s="456"/>
      <c r="MWN80" s="456"/>
      <c r="MWO80" s="456"/>
      <c r="MWP80" s="456"/>
      <c r="MWQ80" s="456"/>
      <c r="MWR80" s="456"/>
      <c r="MWS80" s="456"/>
      <c r="MWT80" s="456"/>
      <c r="MWU80" s="456"/>
      <c r="MWV80" s="456"/>
      <c r="MWW80" s="456"/>
      <c r="MWX80" s="456"/>
      <c r="MWY80" s="456"/>
      <c r="MWZ80" s="456"/>
      <c r="MXA80" s="456"/>
      <c r="MXB80" s="456"/>
      <c r="MXC80" s="456"/>
      <c r="MXD80" s="456"/>
      <c r="MXE80" s="456"/>
      <c r="MXF80" s="456"/>
      <c r="MXG80" s="456"/>
      <c r="MXH80" s="456"/>
      <c r="MXI80" s="456"/>
      <c r="MXJ80" s="456"/>
      <c r="MXK80" s="456"/>
      <c r="MXL80" s="456"/>
      <c r="MXM80" s="456"/>
      <c r="MXN80" s="456"/>
      <c r="MXO80" s="456"/>
      <c r="MXP80" s="456"/>
      <c r="MXQ80" s="456"/>
      <c r="MXR80" s="456"/>
      <c r="MXS80" s="456"/>
      <c r="MXT80" s="456"/>
      <c r="MXU80" s="456"/>
      <c r="MXV80" s="456"/>
      <c r="MXW80" s="456"/>
      <c r="MXX80" s="456"/>
      <c r="MXY80" s="456"/>
      <c r="MXZ80" s="456"/>
      <c r="MYA80" s="456"/>
      <c r="MYB80" s="456"/>
      <c r="MYC80" s="456"/>
      <c r="MYD80" s="456"/>
      <c r="MYE80" s="456"/>
      <c r="MYF80" s="456"/>
      <c r="MYG80" s="456"/>
      <c r="MYH80" s="456"/>
      <c r="MYI80" s="456"/>
      <c r="MYJ80" s="456"/>
      <c r="MYK80" s="456"/>
      <c r="MYL80" s="456"/>
      <c r="MYM80" s="456"/>
      <c r="MYN80" s="456"/>
      <c r="MYO80" s="456"/>
      <c r="MYP80" s="456"/>
      <c r="MYQ80" s="456"/>
      <c r="MYR80" s="456"/>
      <c r="MYS80" s="456"/>
      <c r="MYT80" s="456"/>
      <c r="MYU80" s="456"/>
      <c r="MYV80" s="456"/>
      <c r="MYW80" s="456"/>
      <c r="MYX80" s="456"/>
      <c r="MYY80" s="456"/>
      <c r="MYZ80" s="456"/>
      <c r="MZA80" s="456"/>
      <c r="MZB80" s="456"/>
      <c r="MZC80" s="456"/>
      <c r="MZD80" s="456"/>
      <c r="MZE80" s="456"/>
      <c r="MZF80" s="456"/>
      <c r="MZG80" s="456"/>
      <c r="MZH80" s="456"/>
      <c r="MZI80" s="456"/>
      <c r="MZJ80" s="456"/>
      <c r="MZK80" s="456"/>
      <c r="MZL80" s="456"/>
      <c r="MZM80" s="456"/>
      <c r="MZN80" s="456"/>
      <c r="MZO80" s="456"/>
      <c r="MZP80" s="456"/>
      <c r="MZQ80" s="456"/>
      <c r="MZR80" s="456"/>
      <c r="MZS80" s="456"/>
      <c r="MZT80" s="456"/>
      <c r="MZU80" s="456"/>
      <c r="MZV80" s="456"/>
      <c r="MZW80" s="456"/>
      <c r="MZX80" s="456"/>
      <c r="MZY80" s="456"/>
      <c r="MZZ80" s="456"/>
      <c r="NAA80" s="456"/>
      <c r="NAB80" s="456"/>
      <c r="NAC80" s="456"/>
      <c r="NAD80" s="456"/>
      <c r="NAE80" s="456"/>
      <c r="NAF80" s="456"/>
      <c r="NAG80" s="456"/>
      <c r="NAH80" s="456"/>
      <c r="NAI80" s="456"/>
      <c r="NAJ80" s="456"/>
      <c r="NAK80" s="456"/>
      <c r="NAL80" s="456"/>
      <c r="NAM80" s="456"/>
      <c r="NAN80" s="456"/>
      <c r="NAO80" s="456"/>
      <c r="NAP80" s="456"/>
      <c r="NAQ80" s="456"/>
      <c r="NAR80" s="456"/>
      <c r="NAS80" s="456"/>
      <c r="NAT80" s="456"/>
      <c r="NAU80" s="456"/>
      <c r="NAV80" s="456"/>
      <c r="NAW80" s="456"/>
      <c r="NAX80" s="456"/>
      <c r="NAY80" s="456"/>
      <c r="NAZ80" s="456"/>
      <c r="NBA80" s="456"/>
      <c r="NBB80" s="456"/>
      <c r="NBC80" s="456"/>
      <c r="NBD80" s="456"/>
      <c r="NBE80" s="456"/>
      <c r="NBF80" s="456"/>
      <c r="NBG80" s="456"/>
      <c r="NBH80" s="456"/>
      <c r="NBI80" s="456"/>
      <c r="NBJ80" s="456"/>
      <c r="NBK80" s="456"/>
      <c r="NBL80" s="456"/>
      <c r="NBM80" s="456"/>
      <c r="NBN80" s="456"/>
      <c r="NBO80" s="456"/>
      <c r="NBP80" s="456"/>
      <c r="NBQ80" s="456"/>
      <c r="NBR80" s="456"/>
      <c r="NBS80" s="456"/>
      <c r="NBT80" s="456"/>
      <c r="NBU80" s="456"/>
      <c r="NBV80" s="456"/>
      <c r="NBW80" s="456"/>
      <c r="NBX80" s="456"/>
      <c r="NBY80" s="456"/>
      <c r="NBZ80" s="456"/>
      <c r="NCA80" s="456"/>
      <c r="NCB80" s="456"/>
      <c r="NCC80" s="456"/>
      <c r="NCD80" s="456"/>
      <c r="NCE80" s="456"/>
      <c r="NCF80" s="456"/>
      <c r="NCG80" s="456"/>
      <c r="NCH80" s="456"/>
      <c r="NCI80" s="456"/>
      <c r="NCJ80" s="456"/>
      <c r="NCK80" s="456"/>
      <c r="NCL80" s="456"/>
      <c r="NCM80" s="456"/>
      <c r="NCN80" s="456"/>
      <c r="NCO80" s="456"/>
      <c r="NCP80" s="456"/>
      <c r="NCQ80" s="456"/>
      <c r="NCR80" s="456"/>
      <c r="NCS80" s="456"/>
      <c r="NCT80" s="456"/>
      <c r="NCU80" s="456"/>
      <c r="NCV80" s="456"/>
      <c r="NCW80" s="456"/>
      <c r="NCX80" s="456"/>
      <c r="NCY80" s="456"/>
      <c r="NCZ80" s="456"/>
      <c r="NDA80" s="456"/>
      <c r="NDB80" s="456"/>
      <c r="NDC80" s="456"/>
      <c r="NDD80" s="456"/>
      <c r="NDE80" s="456"/>
      <c r="NDF80" s="456"/>
      <c r="NDG80" s="456"/>
      <c r="NDH80" s="456"/>
      <c r="NDI80" s="456"/>
      <c r="NDJ80" s="456"/>
      <c r="NDK80" s="456"/>
      <c r="NDL80" s="456"/>
      <c r="NDM80" s="456"/>
      <c r="NDN80" s="456"/>
      <c r="NDO80" s="456"/>
      <c r="NDP80" s="456"/>
      <c r="NDQ80" s="456"/>
      <c r="NDR80" s="456"/>
      <c r="NDS80" s="456"/>
      <c r="NDT80" s="456"/>
      <c r="NDU80" s="456"/>
      <c r="NDV80" s="456"/>
      <c r="NDW80" s="456"/>
      <c r="NDX80" s="456"/>
      <c r="NDY80" s="456"/>
      <c r="NDZ80" s="456"/>
      <c r="NEA80" s="456"/>
      <c r="NEB80" s="456"/>
      <c r="NEC80" s="456"/>
      <c r="NED80" s="456"/>
      <c r="NEE80" s="456"/>
      <c r="NEF80" s="456"/>
      <c r="NEG80" s="456"/>
      <c r="NEH80" s="456"/>
      <c r="NEI80" s="456"/>
      <c r="NEJ80" s="456"/>
      <c r="NEK80" s="456"/>
      <c r="NEL80" s="456"/>
      <c r="NEM80" s="456"/>
      <c r="NEN80" s="456"/>
      <c r="NEO80" s="456"/>
      <c r="NEP80" s="456"/>
      <c r="NEQ80" s="456"/>
      <c r="NER80" s="456"/>
      <c r="NES80" s="456"/>
      <c r="NET80" s="456"/>
      <c r="NEU80" s="456"/>
      <c r="NEV80" s="456"/>
      <c r="NEW80" s="456"/>
      <c r="NEX80" s="456"/>
      <c r="NEY80" s="456"/>
      <c r="NEZ80" s="456"/>
      <c r="NFA80" s="456"/>
      <c r="NFB80" s="456"/>
      <c r="NFC80" s="456"/>
      <c r="NFD80" s="456"/>
      <c r="NFE80" s="456"/>
      <c r="NFF80" s="456"/>
      <c r="NFG80" s="456"/>
      <c r="NFH80" s="456"/>
      <c r="NFI80" s="456"/>
      <c r="NFJ80" s="456"/>
      <c r="NFK80" s="456"/>
      <c r="NFL80" s="456"/>
      <c r="NFM80" s="456"/>
      <c r="NFN80" s="456"/>
      <c r="NFO80" s="456"/>
      <c r="NFP80" s="456"/>
      <c r="NFQ80" s="456"/>
      <c r="NFR80" s="456"/>
      <c r="NFS80" s="456"/>
      <c r="NFT80" s="456"/>
      <c r="NFU80" s="456"/>
      <c r="NFV80" s="456"/>
      <c r="NFW80" s="456"/>
      <c r="NFX80" s="456"/>
      <c r="NFY80" s="456"/>
      <c r="NFZ80" s="456"/>
      <c r="NGA80" s="456"/>
      <c r="NGB80" s="456"/>
      <c r="NGC80" s="456"/>
      <c r="NGD80" s="456"/>
      <c r="NGE80" s="456"/>
      <c r="NGF80" s="456"/>
      <c r="NGG80" s="456"/>
      <c r="NGH80" s="456"/>
      <c r="NGI80" s="456"/>
      <c r="NGJ80" s="456"/>
      <c r="NGK80" s="456"/>
      <c r="NGL80" s="456"/>
      <c r="NGM80" s="456"/>
      <c r="NGN80" s="456"/>
      <c r="NGO80" s="456"/>
      <c r="NGP80" s="456"/>
      <c r="NGQ80" s="456"/>
      <c r="NGR80" s="456"/>
      <c r="NGS80" s="456"/>
      <c r="NGT80" s="456"/>
      <c r="NGU80" s="456"/>
      <c r="NGV80" s="456"/>
      <c r="NGW80" s="456"/>
      <c r="NGX80" s="456"/>
      <c r="NGY80" s="456"/>
      <c r="NGZ80" s="456"/>
      <c r="NHA80" s="456"/>
      <c r="NHB80" s="456"/>
      <c r="NHC80" s="456"/>
      <c r="NHD80" s="456"/>
      <c r="NHE80" s="456"/>
      <c r="NHF80" s="456"/>
      <c r="NHG80" s="456"/>
      <c r="NHH80" s="456"/>
      <c r="NHI80" s="456"/>
      <c r="NHJ80" s="456"/>
      <c r="NHK80" s="456"/>
      <c r="NHL80" s="456"/>
      <c r="NHM80" s="456"/>
      <c r="NHN80" s="456"/>
      <c r="NHO80" s="456"/>
      <c r="NHP80" s="456"/>
      <c r="NHQ80" s="456"/>
      <c r="NHR80" s="456"/>
      <c r="NHS80" s="456"/>
      <c r="NHT80" s="456"/>
      <c r="NHU80" s="456"/>
      <c r="NHV80" s="456"/>
      <c r="NHW80" s="456"/>
      <c r="NHX80" s="456"/>
      <c r="NHY80" s="456"/>
      <c r="NHZ80" s="456"/>
      <c r="NIA80" s="456"/>
      <c r="NIB80" s="456"/>
      <c r="NIC80" s="456"/>
      <c r="NID80" s="456"/>
      <c r="NIE80" s="456"/>
      <c r="NIF80" s="456"/>
      <c r="NIG80" s="456"/>
      <c r="NIH80" s="456"/>
      <c r="NII80" s="456"/>
      <c r="NIJ80" s="456"/>
      <c r="NIK80" s="456"/>
      <c r="NIL80" s="456"/>
      <c r="NIM80" s="456"/>
      <c r="NIN80" s="456"/>
      <c r="NIO80" s="456"/>
      <c r="NIP80" s="456"/>
      <c r="NIQ80" s="456"/>
      <c r="NIR80" s="456"/>
      <c r="NIS80" s="456"/>
      <c r="NIT80" s="456"/>
      <c r="NIU80" s="456"/>
      <c r="NIV80" s="456"/>
      <c r="NIW80" s="456"/>
      <c r="NIX80" s="456"/>
      <c r="NIY80" s="456"/>
      <c r="NIZ80" s="456"/>
      <c r="NJA80" s="456"/>
      <c r="NJB80" s="456"/>
      <c r="NJC80" s="456"/>
      <c r="NJD80" s="456"/>
      <c r="NJE80" s="456"/>
      <c r="NJF80" s="456"/>
      <c r="NJG80" s="456"/>
      <c r="NJH80" s="456"/>
      <c r="NJI80" s="456"/>
      <c r="NJJ80" s="456"/>
      <c r="NJK80" s="456"/>
      <c r="NJL80" s="456"/>
      <c r="NJM80" s="456"/>
      <c r="NJN80" s="456"/>
      <c r="NJO80" s="456"/>
      <c r="NJP80" s="456"/>
      <c r="NJQ80" s="456"/>
      <c r="NJR80" s="456"/>
      <c r="NJS80" s="456"/>
      <c r="NJT80" s="456"/>
      <c r="NJU80" s="456"/>
      <c r="NJV80" s="456"/>
      <c r="NJW80" s="456"/>
      <c r="NJX80" s="456"/>
      <c r="NJY80" s="456"/>
      <c r="NJZ80" s="456"/>
      <c r="NKA80" s="456"/>
      <c r="NKB80" s="456"/>
      <c r="NKC80" s="456"/>
      <c r="NKD80" s="456"/>
      <c r="NKE80" s="456"/>
      <c r="NKF80" s="456"/>
      <c r="NKG80" s="456"/>
      <c r="NKH80" s="456"/>
      <c r="NKI80" s="456"/>
      <c r="NKJ80" s="456"/>
      <c r="NKK80" s="456"/>
      <c r="NKL80" s="456"/>
      <c r="NKM80" s="456"/>
      <c r="NKN80" s="456"/>
      <c r="NKO80" s="456"/>
      <c r="NKP80" s="456"/>
      <c r="NKQ80" s="456"/>
      <c r="NKR80" s="456"/>
      <c r="NKS80" s="456"/>
      <c r="NKT80" s="456"/>
      <c r="NKU80" s="456"/>
      <c r="NKV80" s="456"/>
      <c r="NKW80" s="456"/>
      <c r="NKX80" s="456"/>
      <c r="NKY80" s="456"/>
      <c r="NKZ80" s="456"/>
      <c r="NLA80" s="456"/>
      <c r="NLB80" s="456"/>
      <c r="NLC80" s="456"/>
      <c r="NLD80" s="456"/>
      <c r="NLE80" s="456"/>
      <c r="NLF80" s="456"/>
      <c r="NLG80" s="456"/>
      <c r="NLH80" s="456"/>
      <c r="NLI80" s="456"/>
      <c r="NLJ80" s="456"/>
      <c r="NLK80" s="456"/>
      <c r="NLL80" s="456"/>
      <c r="NLM80" s="456"/>
      <c r="NLN80" s="456"/>
      <c r="NLO80" s="456"/>
      <c r="NLP80" s="456"/>
      <c r="NLQ80" s="456"/>
      <c r="NLR80" s="456"/>
      <c r="NLS80" s="456"/>
      <c r="NLT80" s="456"/>
      <c r="NLU80" s="456"/>
      <c r="NLV80" s="456"/>
      <c r="NLW80" s="456"/>
      <c r="NLX80" s="456"/>
      <c r="NLY80" s="456"/>
      <c r="NLZ80" s="456"/>
      <c r="NMA80" s="456"/>
      <c r="NMB80" s="456"/>
      <c r="NMC80" s="456"/>
      <c r="NMD80" s="456"/>
      <c r="NME80" s="456"/>
      <c r="NMF80" s="456"/>
      <c r="NMG80" s="456"/>
      <c r="NMH80" s="456"/>
      <c r="NMI80" s="456"/>
      <c r="NMJ80" s="456"/>
      <c r="NMK80" s="456"/>
      <c r="NML80" s="456"/>
      <c r="NMM80" s="456"/>
      <c r="NMN80" s="456"/>
      <c r="NMO80" s="456"/>
      <c r="NMP80" s="456"/>
      <c r="NMQ80" s="456"/>
      <c r="NMR80" s="456"/>
      <c r="NMS80" s="456"/>
      <c r="NMT80" s="456"/>
      <c r="NMU80" s="456"/>
      <c r="NMV80" s="456"/>
      <c r="NMW80" s="456"/>
      <c r="NMX80" s="456"/>
      <c r="NMY80" s="456"/>
      <c r="NMZ80" s="456"/>
      <c r="NNA80" s="456"/>
      <c r="NNB80" s="456"/>
      <c r="NNC80" s="456"/>
      <c r="NND80" s="456"/>
      <c r="NNE80" s="456"/>
      <c r="NNF80" s="456"/>
      <c r="NNG80" s="456"/>
      <c r="NNH80" s="456"/>
      <c r="NNI80" s="456"/>
      <c r="NNJ80" s="456"/>
      <c r="NNK80" s="456"/>
      <c r="NNL80" s="456"/>
      <c r="NNM80" s="456"/>
      <c r="NNN80" s="456"/>
      <c r="NNO80" s="456"/>
      <c r="NNP80" s="456"/>
      <c r="NNQ80" s="456"/>
      <c r="NNR80" s="456"/>
      <c r="NNS80" s="456"/>
      <c r="NNT80" s="456"/>
      <c r="NNU80" s="456"/>
      <c r="NNV80" s="456"/>
      <c r="NNW80" s="456"/>
      <c r="NNX80" s="456"/>
      <c r="NNY80" s="456"/>
      <c r="NNZ80" s="456"/>
      <c r="NOA80" s="456"/>
      <c r="NOB80" s="456"/>
      <c r="NOC80" s="456"/>
      <c r="NOD80" s="456"/>
      <c r="NOE80" s="456"/>
      <c r="NOF80" s="456"/>
      <c r="NOG80" s="456"/>
      <c r="NOH80" s="456"/>
      <c r="NOI80" s="456"/>
      <c r="NOJ80" s="456"/>
      <c r="NOK80" s="456"/>
      <c r="NOL80" s="456"/>
      <c r="NOM80" s="456"/>
      <c r="NON80" s="456"/>
      <c r="NOO80" s="456"/>
      <c r="NOP80" s="456"/>
      <c r="NOQ80" s="456"/>
      <c r="NOR80" s="456"/>
      <c r="NOS80" s="456"/>
      <c r="NOT80" s="456"/>
      <c r="NOU80" s="456"/>
      <c r="NOV80" s="456"/>
      <c r="NOW80" s="456"/>
      <c r="NOX80" s="456"/>
      <c r="NOY80" s="456"/>
      <c r="NOZ80" s="456"/>
      <c r="NPA80" s="456"/>
      <c r="NPB80" s="456"/>
      <c r="NPC80" s="456"/>
      <c r="NPD80" s="456"/>
      <c r="NPE80" s="456"/>
      <c r="NPF80" s="456"/>
      <c r="NPG80" s="456"/>
      <c r="NPH80" s="456"/>
      <c r="NPI80" s="456"/>
      <c r="NPJ80" s="456"/>
      <c r="NPK80" s="456"/>
      <c r="NPL80" s="456"/>
      <c r="NPM80" s="456"/>
      <c r="NPN80" s="456"/>
      <c r="NPO80" s="456"/>
      <c r="NPP80" s="456"/>
      <c r="NPQ80" s="456"/>
      <c r="NPR80" s="456"/>
      <c r="NPS80" s="456"/>
      <c r="NPT80" s="456"/>
      <c r="NPU80" s="456"/>
      <c r="NPV80" s="456"/>
      <c r="NPW80" s="456"/>
      <c r="NPX80" s="456"/>
      <c r="NPY80" s="456"/>
      <c r="NPZ80" s="456"/>
      <c r="NQA80" s="456"/>
      <c r="NQB80" s="456"/>
      <c r="NQC80" s="456"/>
      <c r="NQD80" s="456"/>
      <c r="NQE80" s="456"/>
      <c r="NQF80" s="456"/>
      <c r="NQG80" s="456"/>
      <c r="NQH80" s="456"/>
      <c r="NQI80" s="456"/>
      <c r="NQJ80" s="456"/>
      <c r="NQK80" s="456"/>
      <c r="NQL80" s="456"/>
      <c r="NQM80" s="456"/>
      <c r="NQN80" s="456"/>
      <c r="NQO80" s="456"/>
      <c r="NQP80" s="456"/>
      <c r="NQQ80" s="456"/>
      <c r="NQR80" s="456"/>
      <c r="NQS80" s="456"/>
      <c r="NQT80" s="456"/>
      <c r="NQU80" s="456"/>
      <c r="NQV80" s="456"/>
      <c r="NQW80" s="456"/>
      <c r="NQX80" s="456"/>
      <c r="NQY80" s="456"/>
      <c r="NQZ80" s="456"/>
      <c r="NRA80" s="456"/>
      <c r="NRB80" s="456"/>
      <c r="NRC80" s="456"/>
      <c r="NRD80" s="456"/>
      <c r="NRE80" s="456"/>
      <c r="NRF80" s="456"/>
      <c r="NRG80" s="456"/>
      <c r="NRH80" s="456"/>
      <c r="NRI80" s="456"/>
      <c r="NRJ80" s="456"/>
      <c r="NRK80" s="456"/>
      <c r="NRL80" s="456"/>
      <c r="NRM80" s="456"/>
      <c r="NRN80" s="456"/>
      <c r="NRO80" s="456"/>
      <c r="NRP80" s="456"/>
      <c r="NRQ80" s="456"/>
      <c r="NRR80" s="456"/>
      <c r="NRS80" s="456"/>
      <c r="NRT80" s="456"/>
      <c r="NRU80" s="456"/>
      <c r="NRV80" s="456"/>
      <c r="NRW80" s="456"/>
      <c r="NRX80" s="456"/>
      <c r="NRY80" s="456"/>
      <c r="NRZ80" s="456"/>
      <c r="NSA80" s="456"/>
      <c r="NSB80" s="456"/>
      <c r="NSC80" s="456"/>
      <c r="NSD80" s="456"/>
      <c r="NSE80" s="456"/>
      <c r="NSF80" s="456"/>
      <c r="NSG80" s="456"/>
      <c r="NSH80" s="456"/>
      <c r="NSI80" s="456"/>
      <c r="NSJ80" s="456"/>
      <c r="NSK80" s="456"/>
      <c r="NSL80" s="456"/>
      <c r="NSM80" s="456"/>
      <c r="NSN80" s="456"/>
      <c r="NSO80" s="456"/>
      <c r="NSP80" s="456"/>
      <c r="NSQ80" s="456"/>
      <c r="NSR80" s="456"/>
      <c r="NSS80" s="456"/>
      <c r="NST80" s="456"/>
      <c r="NSU80" s="456"/>
      <c r="NSV80" s="456"/>
      <c r="NSW80" s="456"/>
      <c r="NSX80" s="456"/>
      <c r="NSY80" s="456"/>
      <c r="NSZ80" s="456"/>
      <c r="NTA80" s="456"/>
      <c r="NTB80" s="456"/>
      <c r="NTC80" s="456"/>
      <c r="NTD80" s="456"/>
      <c r="NTE80" s="456"/>
      <c r="NTF80" s="456"/>
      <c r="NTG80" s="456"/>
      <c r="NTH80" s="456"/>
      <c r="NTI80" s="456"/>
      <c r="NTJ80" s="456"/>
      <c r="NTK80" s="456"/>
      <c r="NTL80" s="456"/>
      <c r="NTM80" s="456"/>
      <c r="NTN80" s="456"/>
      <c r="NTO80" s="456"/>
      <c r="NTP80" s="456"/>
      <c r="NTQ80" s="456"/>
      <c r="NTR80" s="456"/>
      <c r="NTS80" s="456"/>
      <c r="NTT80" s="456"/>
      <c r="NTU80" s="456"/>
      <c r="NTV80" s="456"/>
      <c r="NTW80" s="456"/>
      <c r="NTX80" s="456"/>
      <c r="NTY80" s="456"/>
      <c r="NTZ80" s="456"/>
      <c r="NUA80" s="456"/>
      <c r="NUB80" s="456"/>
      <c r="NUC80" s="456"/>
      <c r="NUD80" s="456"/>
      <c r="NUE80" s="456"/>
      <c r="NUF80" s="456"/>
      <c r="NUG80" s="456"/>
      <c r="NUH80" s="456"/>
      <c r="NUI80" s="456"/>
      <c r="NUJ80" s="456"/>
      <c r="NUK80" s="456"/>
      <c r="NUL80" s="456"/>
      <c r="NUM80" s="456"/>
      <c r="NUN80" s="456"/>
      <c r="NUO80" s="456"/>
      <c r="NUP80" s="456"/>
      <c r="NUQ80" s="456"/>
      <c r="NUR80" s="456"/>
      <c r="NUS80" s="456"/>
      <c r="NUT80" s="456"/>
      <c r="NUU80" s="456"/>
      <c r="NUV80" s="456"/>
      <c r="NUW80" s="456"/>
      <c r="NUX80" s="456"/>
      <c r="NUY80" s="456"/>
      <c r="NUZ80" s="456"/>
      <c r="NVA80" s="456"/>
      <c r="NVB80" s="456"/>
      <c r="NVC80" s="456"/>
      <c r="NVD80" s="456"/>
      <c r="NVE80" s="456"/>
      <c r="NVF80" s="456"/>
      <c r="NVG80" s="456"/>
      <c r="NVH80" s="456"/>
      <c r="NVI80" s="456"/>
      <c r="NVJ80" s="456"/>
      <c r="NVK80" s="456"/>
      <c r="NVL80" s="456"/>
      <c r="NVM80" s="456"/>
      <c r="NVN80" s="456"/>
      <c r="NVO80" s="456"/>
      <c r="NVP80" s="456"/>
      <c r="NVQ80" s="456"/>
      <c r="NVR80" s="456"/>
      <c r="NVS80" s="456"/>
      <c r="NVT80" s="456"/>
      <c r="NVU80" s="456"/>
      <c r="NVV80" s="456"/>
      <c r="NVW80" s="456"/>
      <c r="NVX80" s="456"/>
      <c r="NVY80" s="456"/>
      <c r="NVZ80" s="456"/>
      <c r="NWA80" s="456"/>
      <c r="NWB80" s="456"/>
      <c r="NWC80" s="456"/>
      <c r="NWD80" s="456"/>
      <c r="NWE80" s="456"/>
      <c r="NWF80" s="456"/>
      <c r="NWG80" s="456"/>
      <c r="NWH80" s="456"/>
      <c r="NWI80" s="456"/>
      <c r="NWJ80" s="456"/>
      <c r="NWK80" s="456"/>
      <c r="NWL80" s="456"/>
      <c r="NWM80" s="456"/>
      <c r="NWN80" s="456"/>
      <c r="NWO80" s="456"/>
      <c r="NWP80" s="456"/>
      <c r="NWQ80" s="456"/>
      <c r="NWR80" s="456"/>
      <c r="NWS80" s="456"/>
      <c r="NWT80" s="456"/>
      <c r="NWU80" s="456"/>
      <c r="NWV80" s="456"/>
      <c r="NWW80" s="456"/>
      <c r="NWX80" s="456"/>
      <c r="NWY80" s="456"/>
      <c r="NWZ80" s="456"/>
      <c r="NXA80" s="456"/>
      <c r="NXB80" s="456"/>
      <c r="NXC80" s="456"/>
      <c r="NXD80" s="456"/>
      <c r="NXE80" s="456"/>
      <c r="NXF80" s="456"/>
      <c r="NXG80" s="456"/>
      <c r="NXH80" s="456"/>
      <c r="NXI80" s="456"/>
      <c r="NXJ80" s="456"/>
      <c r="NXK80" s="456"/>
      <c r="NXL80" s="456"/>
      <c r="NXM80" s="456"/>
      <c r="NXN80" s="456"/>
      <c r="NXO80" s="456"/>
      <c r="NXP80" s="456"/>
      <c r="NXQ80" s="456"/>
      <c r="NXR80" s="456"/>
      <c r="NXS80" s="456"/>
      <c r="NXT80" s="456"/>
      <c r="NXU80" s="456"/>
      <c r="NXV80" s="456"/>
      <c r="NXW80" s="456"/>
      <c r="NXX80" s="456"/>
      <c r="NXY80" s="456"/>
      <c r="NXZ80" s="456"/>
      <c r="NYA80" s="456"/>
      <c r="NYB80" s="456"/>
      <c r="NYC80" s="456"/>
      <c r="NYD80" s="456"/>
      <c r="NYE80" s="456"/>
      <c r="NYF80" s="456"/>
      <c r="NYG80" s="456"/>
      <c r="NYH80" s="456"/>
      <c r="NYI80" s="456"/>
      <c r="NYJ80" s="456"/>
      <c r="NYK80" s="456"/>
      <c r="NYL80" s="456"/>
      <c r="NYM80" s="456"/>
      <c r="NYN80" s="456"/>
      <c r="NYO80" s="456"/>
      <c r="NYP80" s="456"/>
      <c r="NYQ80" s="456"/>
      <c r="NYR80" s="456"/>
      <c r="NYS80" s="456"/>
      <c r="NYT80" s="456"/>
      <c r="NYU80" s="456"/>
      <c r="NYV80" s="456"/>
      <c r="NYW80" s="456"/>
      <c r="NYX80" s="456"/>
      <c r="NYY80" s="456"/>
      <c r="NYZ80" s="456"/>
      <c r="NZA80" s="456"/>
      <c r="NZB80" s="456"/>
      <c r="NZC80" s="456"/>
      <c r="NZD80" s="456"/>
      <c r="NZE80" s="456"/>
      <c r="NZF80" s="456"/>
      <c r="NZG80" s="456"/>
      <c r="NZH80" s="456"/>
      <c r="NZI80" s="456"/>
      <c r="NZJ80" s="456"/>
      <c r="NZK80" s="456"/>
      <c r="NZL80" s="456"/>
      <c r="NZM80" s="456"/>
      <c r="NZN80" s="456"/>
      <c r="NZO80" s="456"/>
      <c r="NZP80" s="456"/>
      <c r="NZQ80" s="456"/>
      <c r="NZR80" s="456"/>
      <c r="NZS80" s="456"/>
      <c r="NZT80" s="456"/>
      <c r="NZU80" s="456"/>
      <c r="NZV80" s="456"/>
      <c r="NZW80" s="456"/>
      <c r="NZX80" s="456"/>
      <c r="NZY80" s="456"/>
      <c r="NZZ80" s="456"/>
      <c r="OAA80" s="456"/>
      <c r="OAB80" s="456"/>
      <c r="OAC80" s="456"/>
      <c r="OAD80" s="456"/>
      <c r="OAE80" s="456"/>
      <c r="OAF80" s="456"/>
      <c r="OAG80" s="456"/>
      <c r="OAH80" s="456"/>
      <c r="OAI80" s="456"/>
      <c r="OAJ80" s="456"/>
      <c r="OAK80" s="456"/>
      <c r="OAL80" s="456"/>
      <c r="OAM80" s="456"/>
      <c r="OAN80" s="456"/>
      <c r="OAO80" s="456"/>
      <c r="OAP80" s="456"/>
      <c r="OAQ80" s="456"/>
      <c r="OAR80" s="456"/>
      <c r="OAS80" s="456"/>
      <c r="OAT80" s="456"/>
      <c r="OAU80" s="456"/>
      <c r="OAV80" s="456"/>
      <c r="OAW80" s="456"/>
      <c r="OAX80" s="456"/>
      <c r="OAY80" s="456"/>
      <c r="OAZ80" s="456"/>
      <c r="OBA80" s="456"/>
      <c r="OBB80" s="456"/>
      <c r="OBC80" s="456"/>
      <c r="OBD80" s="456"/>
      <c r="OBE80" s="456"/>
      <c r="OBF80" s="456"/>
      <c r="OBG80" s="456"/>
      <c r="OBH80" s="456"/>
      <c r="OBI80" s="456"/>
      <c r="OBJ80" s="456"/>
      <c r="OBK80" s="456"/>
      <c r="OBL80" s="456"/>
      <c r="OBM80" s="456"/>
      <c r="OBN80" s="456"/>
      <c r="OBO80" s="456"/>
      <c r="OBP80" s="456"/>
      <c r="OBQ80" s="456"/>
      <c r="OBR80" s="456"/>
      <c r="OBS80" s="456"/>
      <c r="OBT80" s="456"/>
      <c r="OBU80" s="456"/>
      <c r="OBV80" s="456"/>
      <c r="OBW80" s="456"/>
      <c r="OBX80" s="456"/>
      <c r="OBY80" s="456"/>
      <c r="OBZ80" s="456"/>
      <c r="OCA80" s="456"/>
      <c r="OCB80" s="456"/>
      <c r="OCC80" s="456"/>
      <c r="OCD80" s="456"/>
      <c r="OCE80" s="456"/>
      <c r="OCF80" s="456"/>
      <c r="OCG80" s="456"/>
      <c r="OCH80" s="456"/>
      <c r="OCI80" s="456"/>
      <c r="OCJ80" s="456"/>
      <c r="OCK80" s="456"/>
      <c r="OCL80" s="456"/>
      <c r="OCM80" s="456"/>
      <c r="OCN80" s="456"/>
      <c r="OCO80" s="456"/>
      <c r="OCP80" s="456"/>
      <c r="OCQ80" s="456"/>
      <c r="OCR80" s="456"/>
      <c r="OCS80" s="456"/>
      <c r="OCT80" s="456"/>
      <c r="OCU80" s="456"/>
      <c r="OCV80" s="456"/>
      <c r="OCW80" s="456"/>
      <c r="OCX80" s="456"/>
      <c r="OCY80" s="456"/>
      <c r="OCZ80" s="456"/>
      <c r="ODA80" s="456"/>
      <c r="ODB80" s="456"/>
      <c r="ODC80" s="456"/>
      <c r="ODD80" s="456"/>
      <c r="ODE80" s="456"/>
      <c r="ODF80" s="456"/>
      <c r="ODG80" s="456"/>
      <c r="ODH80" s="456"/>
      <c r="ODI80" s="456"/>
      <c r="ODJ80" s="456"/>
      <c r="ODK80" s="456"/>
      <c r="ODL80" s="456"/>
      <c r="ODM80" s="456"/>
      <c r="ODN80" s="456"/>
      <c r="ODO80" s="456"/>
      <c r="ODP80" s="456"/>
      <c r="ODQ80" s="456"/>
      <c r="ODR80" s="456"/>
      <c r="ODS80" s="456"/>
      <c r="ODT80" s="456"/>
      <c r="ODU80" s="456"/>
      <c r="ODV80" s="456"/>
      <c r="ODW80" s="456"/>
      <c r="ODX80" s="456"/>
      <c r="ODY80" s="456"/>
      <c r="ODZ80" s="456"/>
      <c r="OEA80" s="456"/>
      <c r="OEB80" s="456"/>
      <c r="OEC80" s="456"/>
      <c r="OED80" s="456"/>
      <c r="OEE80" s="456"/>
      <c r="OEF80" s="456"/>
      <c r="OEG80" s="456"/>
      <c r="OEH80" s="456"/>
      <c r="OEI80" s="456"/>
      <c r="OEJ80" s="456"/>
      <c r="OEK80" s="456"/>
      <c r="OEL80" s="456"/>
      <c r="OEM80" s="456"/>
      <c r="OEN80" s="456"/>
      <c r="OEO80" s="456"/>
      <c r="OEP80" s="456"/>
      <c r="OEQ80" s="456"/>
      <c r="OER80" s="456"/>
      <c r="OES80" s="456"/>
      <c r="OET80" s="456"/>
      <c r="OEU80" s="456"/>
      <c r="OEV80" s="456"/>
      <c r="OEW80" s="456"/>
      <c r="OEX80" s="456"/>
      <c r="OEY80" s="456"/>
      <c r="OEZ80" s="456"/>
      <c r="OFA80" s="456"/>
      <c r="OFB80" s="456"/>
      <c r="OFC80" s="456"/>
      <c r="OFD80" s="456"/>
      <c r="OFE80" s="456"/>
      <c r="OFF80" s="456"/>
      <c r="OFG80" s="456"/>
      <c r="OFH80" s="456"/>
      <c r="OFI80" s="456"/>
      <c r="OFJ80" s="456"/>
      <c r="OFK80" s="456"/>
      <c r="OFL80" s="456"/>
      <c r="OFM80" s="456"/>
      <c r="OFN80" s="456"/>
      <c r="OFO80" s="456"/>
      <c r="OFP80" s="456"/>
      <c r="OFQ80" s="456"/>
      <c r="OFR80" s="456"/>
      <c r="OFS80" s="456"/>
      <c r="OFT80" s="456"/>
      <c r="OFU80" s="456"/>
      <c r="OFV80" s="456"/>
      <c r="OFW80" s="456"/>
      <c r="OFX80" s="456"/>
      <c r="OFY80" s="456"/>
      <c r="OFZ80" s="456"/>
      <c r="OGA80" s="456"/>
      <c r="OGB80" s="456"/>
      <c r="OGC80" s="456"/>
      <c r="OGD80" s="456"/>
      <c r="OGE80" s="456"/>
      <c r="OGF80" s="456"/>
      <c r="OGG80" s="456"/>
      <c r="OGH80" s="456"/>
      <c r="OGI80" s="456"/>
      <c r="OGJ80" s="456"/>
      <c r="OGK80" s="456"/>
      <c r="OGL80" s="456"/>
      <c r="OGM80" s="456"/>
      <c r="OGN80" s="456"/>
      <c r="OGO80" s="456"/>
      <c r="OGP80" s="456"/>
      <c r="OGQ80" s="456"/>
      <c r="OGR80" s="456"/>
      <c r="OGS80" s="456"/>
      <c r="OGT80" s="456"/>
      <c r="OGU80" s="456"/>
      <c r="OGV80" s="456"/>
      <c r="OGW80" s="456"/>
      <c r="OGX80" s="456"/>
      <c r="OGY80" s="456"/>
      <c r="OGZ80" s="456"/>
      <c r="OHA80" s="456"/>
      <c r="OHB80" s="456"/>
      <c r="OHC80" s="456"/>
      <c r="OHD80" s="456"/>
      <c r="OHE80" s="456"/>
      <c r="OHF80" s="456"/>
      <c r="OHG80" s="456"/>
      <c r="OHH80" s="456"/>
      <c r="OHI80" s="456"/>
      <c r="OHJ80" s="456"/>
      <c r="OHK80" s="456"/>
      <c r="OHL80" s="456"/>
      <c r="OHM80" s="456"/>
      <c r="OHN80" s="456"/>
      <c r="OHO80" s="456"/>
      <c r="OHP80" s="456"/>
      <c r="OHQ80" s="456"/>
      <c r="OHR80" s="456"/>
      <c r="OHS80" s="456"/>
      <c r="OHT80" s="456"/>
      <c r="OHU80" s="456"/>
      <c r="OHV80" s="456"/>
      <c r="OHW80" s="456"/>
      <c r="OHX80" s="456"/>
      <c r="OHY80" s="456"/>
      <c r="OHZ80" s="456"/>
      <c r="OIA80" s="456"/>
      <c r="OIB80" s="456"/>
      <c r="OIC80" s="456"/>
      <c r="OID80" s="456"/>
      <c r="OIE80" s="456"/>
      <c r="OIF80" s="456"/>
      <c r="OIG80" s="456"/>
      <c r="OIH80" s="456"/>
      <c r="OII80" s="456"/>
      <c r="OIJ80" s="456"/>
      <c r="OIK80" s="456"/>
      <c r="OIL80" s="456"/>
      <c r="OIM80" s="456"/>
      <c r="OIN80" s="456"/>
      <c r="OIO80" s="456"/>
      <c r="OIP80" s="456"/>
      <c r="OIQ80" s="456"/>
      <c r="OIR80" s="456"/>
      <c r="OIS80" s="456"/>
      <c r="OIT80" s="456"/>
      <c r="OIU80" s="456"/>
      <c r="OIV80" s="456"/>
      <c r="OIW80" s="456"/>
      <c r="OIX80" s="456"/>
      <c r="OIY80" s="456"/>
      <c r="OIZ80" s="456"/>
      <c r="OJA80" s="456"/>
      <c r="OJB80" s="456"/>
      <c r="OJC80" s="456"/>
      <c r="OJD80" s="456"/>
      <c r="OJE80" s="456"/>
      <c r="OJF80" s="456"/>
      <c r="OJG80" s="456"/>
      <c r="OJH80" s="456"/>
      <c r="OJI80" s="456"/>
      <c r="OJJ80" s="456"/>
      <c r="OJK80" s="456"/>
      <c r="OJL80" s="456"/>
      <c r="OJM80" s="456"/>
      <c r="OJN80" s="456"/>
      <c r="OJO80" s="456"/>
      <c r="OJP80" s="456"/>
      <c r="OJQ80" s="456"/>
      <c r="OJR80" s="456"/>
      <c r="OJS80" s="456"/>
      <c r="OJT80" s="456"/>
      <c r="OJU80" s="456"/>
      <c r="OJV80" s="456"/>
      <c r="OJW80" s="456"/>
      <c r="OJX80" s="456"/>
      <c r="OJY80" s="456"/>
      <c r="OJZ80" s="456"/>
      <c r="OKA80" s="456"/>
      <c r="OKB80" s="456"/>
      <c r="OKC80" s="456"/>
      <c r="OKD80" s="456"/>
      <c r="OKE80" s="456"/>
      <c r="OKF80" s="456"/>
      <c r="OKG80" s="456"/>
      <c r="OKH80" s="456"/>
      <c r="OKI80" s="456"/>
      <c r="OKJ80" s="456"/>
      <c r="OKK80" s="456"/>
      <c r="OKL80" s="456"/>
      <c r="OKM80" s="456"/>
      <c r="OKN80" s="456"/>
      <c r="OKO80" s="456"/>
      <c r="OKP80" s="456"/>
      <c r="OKQ80" s="456"/>
      <c r="OKR80" s="456"/>
      <c r="OKS80" s="456"/>
      <c r="OKT80" s="456"/>
      <c r="OKU80" s="456"/>
      <c r="OKV80" s="456"/>
      <c r="OKW80" s="456"/>
      <c r="OKX80" s="456"/>
      <c r="OKY80" s="456"/>
      <c r="OKZ80" s="456"/>
      <c r="OLA80" s="456"/>
      <c r="OLB80" s="456"/>
      <c r="OLC80" s="456"/>
      <c r="OLD80" s="456"/>
      <c r="OLE80" s="456"/>
      <c r="OLF80" s="456"/>
      <c r="OLG80" s="456"/>
      <c r="OLH80" s="456"/>
      <c r="OLI80" s="456"/>
      <c r="OLJ80" s="456"/>
      <c r="OLK80" s="456"/>
      <c r="OLL80" s="456"/>
      <c r="OLM80" s="456"/>
      <c r="OLN80" s="456"/>
      <c r="OLO80" s="456"/>
      <c r="OLP80" s="456"/>
      <c r="OLQ80" s="456"/>
      <c r="OLR80" s="456"/>
      <c r="OLS80" s="456"/>
      <c r="OLT80" s="456"/>
      <c r="OLU80" s="456"/>
      <c r="OLV80" s="456"/>
      <c r="OLW80" s="456"/>
      <c r="OLX80" s="456"/>
      <c r="OLY80" s="456"/>
      <c r="OLZ80" s="456"/>
      <c r="OMA80" s="456"/>
      <c r="OMB80" s="456"/>
      <c r="OMC80" s="456"/>
      <c r="OMD80" s="456"/>
      <c r="OME80" s="456"/>
      <c r="OMF80" s="456"/>
      <c r="OMG80" s="456"/>
      <c r="OMH80" s="456"/>
      <c r="OMI80" s="456"/>
      <c r="OMJ80" s="456"/>
      <c r="OMK80" s="456"/>
      <c r="OML80" s="456"/>
      <c r="OMM80" s="456"/>
      <c r="OMN80" s="456"/>
      <c r="OMO80" s="456"/>
      <c r="OMP80" s="456"/>
      <c r="OMQ80" s="456"/>
      <c r="OMR80" s="456"/>
      <c r="OMS80" s="456"/>
      <c r="OMT80" s="456"/>
      <c r="OMU80" s="456"/>
      <c r="OMV80" s="456"/>
      <c r="OMW80" s="456"/>
      <c r="OMX80" s="456"/>
      <c r="OMY80" s="456"/>
      <c r="OMZ80" s="456"/>
      <c r="ONA80" s="456"/>
      <c r="ONB80" s="456"/>
      <c r="ONC80" s="456"/>
      <c r="OND80" s="456"/>
      <c r="ONE80" s="456"/>
      <c r="ONF80" s="456"/>
      <c r="ONG80" s="456"/>
      <c r="ONH80" s="456"/>
      <c r="ONI80" s="456"/>
      <c r="ONJ80" s="456"/>
      <c r="ONK80" s="456"/>
      <c r="ONL80" s="456"/>
      <c r="ONM80" s="456"/>
      <c r="ONN80" s="456"/>
      <c r="ONO80" s="456"/>
      <c r="ONP80" s="456"/>
      <c r="ONQ80" s="456"/>
      <c r="ONR80" s="456"/>
      <c r="ONS80" s="456"/>
      <c r="ONT80" s="456"/>
      <c r="ONU80" s="456"/>
      <c r="ONV80" s="456"/>
      <c r="ONW80" s="456"/>
      <c r="ONX80" s="456"/>
      <c r="ONY80" s="456"/>
      <c r="ONZ80" s="456"/>
      <c r="OOA80" s="456"/>
      <c r="OOB80" s="456"/>
      <c r="OOC80" s="456"/>
      <c r="OOD80" s="456"/>
      <c r="OOE80" s="456"/>
      <c r="OOF80" s="456"/>
      <c r="OOG80" s="456"/>
      <c r="OOH80" s="456"/>
      <c r="OOI80" s="456"/>
      <c r="OOJ80" s="456"/>
      <c r="OOK80" s="456"/>
      <c r="OOL80" s="456"/>
      <c r="OOM80" s="456"/>
      <c r="OON80" s="456"/>
      <c r="OOO80" s="456"/>
      <c r="OOP80" s="456"/>
      <c r="OOQ80" s="456"/>
      <c r="OOR80" s="456"/>
      <c r="OOS80" s="456"/>
      <c r="OOT80" s="456"/>
      <c r="OOU80" s="456"/>
      <c r="OOV80" s="456"/>
      <c r="OOW80" s="456"/>
      <c r="OOX80" s="456"/>
      <c r="OOY80" s="456"/>
      <c r="OOZ80" s="456"/>
      <c r="OPA80" s="456"/>
      <c r="OPB80" s="456"/>
      <c r="OPC80" s="456"/>
      <c r="OPD80" s="456"/>
      <c r="OPE80" s="456"/>
      <c r="OPF80" s="456"/>
      <c r="OPG80" s="456"/>
      <c r="OPH80" s="456"/>
      <c r="OPI80" s="456"/>
      <c r="OPJ80" s="456"/>
      <c r="OPK80" s="456"/>
      <c r="OPL80" s="456"/>
      <c r="OPM80" s="456"/>
      <c r="OPN80" s="456"/>
      <c r="OPO80" s="456"/>
      <c r="OPP80" s="456"/>
      <c r="OPQ80" s="456"/>
      <c r="OPR80" s="456"/>
      <c r="OPS80" s="456"/>
      <c r="OPT80" s="456"/>
      <c r="OPU80" s="456"/>
      <c r="OPV80" s="456"/>
      <c r="OPW80" s="456"/>
      <c r="OPX80" s="456"/>
      <c r="OPY80" s="456"/>
      <c r="OPZ80" s="456"/>
      <c r="OQA80" s="456"/>
      <c r="OQB80" s="456"/>
      <c r="OQC80" s="456"/>
      <c r="OQD80" s="456"/>
      <c r="OQE80" s="456"/>
      <c r="OQF80" s="456"/>
      <c r="OQG80" s="456"/>
      <c r="OQH80" s="456"/>
      <c r="OQI80" s="456"/>
      <c r="OQJ80" s="456"/>
      <c r="OQK80" s="456"/>
      <c r="OQL80" s="456"/>
      <c r="OQM80" s="456"/>
      <c r="OQN80" s="456"/>
      <c r="OQO80" s="456"/>
      <c r="OQP80" s="456"/>
      <c r="OQQ80" s="456"/>
      <c r="OQR80" s="456"/>
      <c r="OQS80" s="456"/>
      <c r="OQT80" s="456"/>
      <c r="OQU80" s="456"/>
      <c r="OQV80" s="456"/>
      <c r="OQW80" s="456"/>
      <c r="OQX80" s="456"/>
      <c r="OQY80" s="456"/>
      <c r="OQZ80" s="456"/>
      <c r="ORA80" s="456"/>
      <c r="ORB80" s="456"/>
      <c r="ORC80" s="456"/>
      <c r="ORD80" s="456"/>
      <c r="ORE80" s="456"/>
      <c r="ORF80" s="456"/>
      <c r="ORG80" s="456"/>
      <c r="ORH80" s="456"/>
      <c r="ORI80" s="456"/>
      <c r="ORJ80" s="456"/>
      <c r="ORK80" s="456"/>
      <c r="ORL80" s="456"/>
      <c r="ORM80" s="456"/>
      <c r="ORN80" s="456"/>
      <c r="ORO80" s="456"/>
      <c r="ORP80" s="456"/>
      <c r="ORQ80" s="456"/>
      <c r="ORR80" s="456"/>
      <c r="ORS80" s="456"/>
      <c r="ORT80" s="456"/>
      <c r="ORU80" s="456"/>
      <c r="ORV80" s="456"/>
      <c r="ORW80" s="456"/>
      <c r="ORX80" s="456"/>
      <c r="ORY80" s="456"/>
      <c r="ORZ80" s="456"/>
      <c r="OSA80" s="456"/>
      <c r="OSB80" s="456"/>
      <c r="OSC80" s="456"/>
      <c r="OSD80" s="456"/>
      <c r="OSE80" s="456"/>
      <c r="OSF80" s="456"/>
      <c r="OSG80" s="456"/>
      <c r="OSH80" s="456"/>
      <c r="OSI80" s="456"/>
      <c r="OSJ80" s="456"/>
      <c r="OSK80" s="456"/>
      <c r="OSL80" s="456"/>
      <c r="OSM80" s="456"/>
      <c r="OSN80" s="456"/>
      <c r="OSO80" s="456"/>
      <c r="OSP80" s="456"/>
      <c r="OSQ80" s="456"/>
      <c r="OSR80" s="456"/>
      <c r="OSS80" s="456"/>
      <c r="OST80" s="456"/>
      <c r="OSU80" s="456"/>
      <c r="OSV80" s="456"/>
      <c r="OSW80" s="456"/>
      <c r="OSX80" s="456"/>
      <c r="OSY80" s="456"/>
      <c r="OSZ80" s="456"/>
      <c r="OTA80" s="456"/>
      <c r="OTB80" s="456"/>
      <c r="OTC80" s="456"/>
      <c r="OTD80" s="456"/>
      <c r="OTE80" s="456"/>
      <c r="OTF80" s="456"/>
      <c r="OTG80" s="456"/>
      <c r="OTH80" s="456"/>
      <c r="OTI80" s="456"/>
      <c r="OTJ80" s="456"/>
      <c r="OTK80" s="456"/>
      <c r="OTL80" s="456"/>
      <c r="OTM80" s="456"/>
      <c r="OTN80" s="456"/>
      <c r="OTO80" s="456"/>
      <c r="OTP80" s="456"/>
      <c r="OTQ80" s="456"/>
      <c r="OTR80" s="456"/>
      <c r="OTS80" s="456"/>
      <c r="OTT80" s="456"/>
      <c r="OTU80" s="456"/>
      <c r="OTV80" s="456"/>
      <c r="OTW80" s="456"/>
      <c r="OTX80" s="456"/>
      <c r="OTY80" s="456"/>
      <c r="OTZ80" s="456"/>
      <c r="OUA80" s="456"/>
      <c r="OUB80" s="456"/>
      <c r="OUC80" s="456"/>
      <c r="OUD80" s="456"/>
      <c r="OUE80" s="456"/>
      <c r="OUF80" s="456"/>
      <c r="OUG80" s="456"/>
      <c r="OUH80" s="456"/>
      <c r="OUI80" s="456"/>
      <c r="OUJ80" s="456"/>
      <c r="OUK80" s="456"/>
      <c r="OUL80" s="456"/>
      <c r="OUM80" s="456"/>
      <c r="OUN80" s="456"/>
      <c r="OUO80" s="456"/>
      <c r="OUP80" s="456"/>
      <c r="OUQ80" s="456"/>
      <c r="OUR80" s="456"/>
      <c r="OUS80" s="456"/>
      <c r="OUT80" s="456"/>
      <c r="OUU80" s="456"/>
      <c r="OUV80" s="456"/>
      <c r="OUW80" s="456"/>
      <c r="OUX80" s="456"/>
      <c r="OUY80" s="456"/>
      <c r="OUZ80" s="456"/>
      <c r="OVA80" s="456"/>
      <c r="OVB80" s="456"/>
      <c r="OVC80" s="456"/>
      <c r="OVD80" s="456"/>
      <c r="OVE80" s="456"/>
      <c r="OVF80" s="456"/>
      <c r="OVG80" s="456"/>
      <c r="OVH80" s="456"/>
      <c r="OVI80" s="456"/>
      <c r="OVJ80" s="456"/>
      <c r="OVK80" s="456"/>
      <c r="OVL80" s="456"/>
      <c r="OVM80" s="456"/>
      <c r="OVN80" s="456"/>
      <c r="OVO80" s="456"/>
      <c r="OVP80" s="456"/>
      <c r="OVQ80" s="456"/>
      <c r="OVR80" s="456"/>
      <c r="OVS80" s="456"/>
      <c r="OVT80" s="456"/>
      <c r="OVU80" s="456"/>
      <c r="OVV80" s="456"/>
      <c r="OVW80" s="456"/>
      <c r="OVX80" s="456"/>
      <c r="OVY80" s="456"/>
      <c r="OVZ80" s="456"/>
      <c r="OWA80" s="456"/>
      <c r="OWB80" s="456"/>
      <c r="OWC80" s="456"/>
      <c r="OWD80" s="456"/>
      <c r="OWE80" s="456"/>
      <c r="OWF80" s="456"/>
      <c r="OWG80" s="456"/>
      <c r="OWH80" s="456"/>
      <c r="OWI80" s="456"/>
      <c r="OWJ80" s="456"/>
      <c r="OWK80" s="456"/>
      <c r="OWL80" s="456"/>
      <c r="OWM80" s="456"/>
      <c r="OWN80" s="456"/>
      <c r="OWO80" s="456"/>
      <c r="OWP80" s="456"/>
      <c r="OWQ80" s="456"/>
      <c r="OWR80" s="456"/>
      <c r="OWS80" s="456"/>
      <c r="OWT80" s="456"/>
      <c r="OWU80" s="456"/>
      <c r="OWV80" s="456"/>
      <c r="OWW80" s="456"/>
      <c r="OWX80" s="456"/>
      <c r="OWY80" s="456"/>
      <c r="OWZ80" s="456"/>
      <c r="OXA80" s="456"/>
      <c r="OXB80" s="456"/>
      <c r="OXC80" s="456"/>
      <c r="OXD80" s="456"/>
      <c r="OXE80" s="456"/>
      <c r="OXF80" s="456"/>
      <c r="OXG80" s="456"/>
      <c r="OXH80" s="456"/>
      <c r="OXI80" s="456"/>
      <c r="OXJ80" s="456"/>
      <c r="OXK80" s="456"/>
      <c r="OXL80" s="456"/>
      <c r="OXM80" s="456"/>
      <c r="OXN80" s="456"/>
      <c r="OXO80" s="456"/>
      <c r="OXP80" s="456"/>
      <c r="OXQ80" s="456"/>
      <c r="OXR80" s="456"/>
      <c r="OXS80" s="456"/>
      <c r="OXT80" s="456"/>
      <c r="OXU80" s="456"/>
      <c r="OXV80" s="456"/>
      <c r="OXW80" s="456"/>
      <c r="OXX80" s="456"/>
      <c r="OXY80" s="456"/>
      <c r="OXZ80" s="456"/>
      <c r="OYA80" s="456"/>
      <c r="OYB80" s="456"/>
      <c r="OYC80" s="456"/>
      <c r="OYD80" s="456"/>
      <c r="OYE80" s="456"/>
      <c r="OYF80" s="456"/>
      <c r="OYG80" s="456"/>
      <c r="OYH80" s="456"/>
      <c r="OYI80" s="456"/>
      <c r="OYJ80" s="456"/>
      <c r="OYK80" s="456"/>
      <c r="OYL80" s="456"/>
      <c r="OYM80" s="456"/>
      <c r="OYN80" s="456"/>
      <c r="OYO80" s="456"/>
      <c r="OYP80" s="456"/>
      <c r="OYQ80" s="456"/>
      <c r="OYR80" s="456"/>
      <c r="OYS80" s="456"/>
      <c r="OYT80" s="456"/>
      <c r="OYU80" s="456"/>
      <c r="OYV80" s="456"/>
      <c r="OYW80" s="456"/>
      <c r="OYX80" s="456"/>
      <c r="OYY80" s="456"/>
      <c r="OYZ80" s="456"/>
      <c r="OZA80" s="456"/>
      <c r="OZB80" s="456"/>
      <c r="OZC80" s="456"/>
      <c r="OZD80" s="456"/>
      <c r="OZE80" s="456"/>
      <c r="OZF80" s="456"/>
      <c r="OZG80" s="456"/>
      <c r="OZH80" s="456"/>
      <c r="OZI80" s="456"/>
      <c r="OZJ80" s="456"/>
      <c r="OZK80" s="456"/>
      <c r="OZL80" s="456"/>
      <c r="OZM80" s="456"/>
      <c r="OZN80" s="456"/>
      <c r="OZO80" s="456"/>
      <c r="OZP80" s="456"/>
      <c r="OZQ80" s="456"/>
      <c r="OZR80" s="456"/>
      <c r="OZS80" s="456"/>
      <c r="OZT80" s="456"/>
      <c r="OZU80" s="456"/>
      <c r="OZV80" s="456"/>
      <c r="OZW80" s="456"/>
      <c r="OZX80" s="456"/>
      <c r="OZY80" s="456"/>
      <c r="OZZ80" s="456"/>
      <c r="PAA80" s="456"/>
      <c r="PAB80" s="456"/>
      <c r="PAC80" s="456"/>
      <c r="PAD80" s="456"/>
      <c r="PAE80" s="456"/>
      <c r="PAF80" s="456"/>
      <c r="PAG80" s="456"/>
      <c r="PAH80" s="456"/>
      <c r="PAI80" s="456"/>
      <c r="PAJ80" s="456"/>
      <c r="PAK80" s="456"/>
      <c r="PAL80" s="456"/>
      <c r="PAM80" s="456"/>
      <c r="PAN80" s="456"/>
      <c r="PAO80" s="456"/>
      <c r="PAP80" s="456"/>
      <c r="PAQ80" s="456"/>
      <c r="PAR80" s="456"/>
      <c r="PAS80" s="456"/>
      <c r="PAT80" s="456"/>
      <c r="PAU80" s="456"/>
      <c r="PAV80" s="456"/>
      <c r="PAW80" s="456"/>
      <c r="PAX80" s="456"/>
      <c r="PAY80" s="456"/>
      <c r="PAZ80" s="456"/>
      <c r="PBA80" s="456"/>
      <c r="PBB80" s="456"/>
      <c r="PBC80" s="456"/>
      <c r="PBD80" s="456"/>
      <c r="PBE80" s="456"/>
      <c r="PBF80" s="456"/>
      <c r="PBG80" s="456"/>
      <c r="PBH80" s="456"/>
      <c r="PBI80" s="456"/>
      <c r="PBJ80" s="456"/>
      <c r="PBK80" s="456"/>
      <c r="PBL80" s="456"/>
      <c r="PBM80" s="456"/>
      <c r="PBN80" s="456"/>
      <c r="PBO80" s="456"/>
      <c r="PBP80" s="456"/>
      <c r="PBQ80" s="456"/>
      <c r="PBR80" s="456"/>
      <c r="PBS80" s="456"/>
      <c r="PBT80" s="456"/>
      <c r="PBU80" s="456"/>
      <c r="PBV80" s="456"/>
      <c r="PBW80" s="456"/>
      <c r="PBX80" s="456"/>
      <c r="PBY80" s="456"/>
      <c r="PBZ80" s="456"/>
      <c r="PCA80" s="456"/>
      <c r="PCB80" s="456"/>
      <c r="PCC80" s="456"/>
      <c r="PCD80" s="456"/>
      <c r="PCE80" s="456"/>
      <c r="PCF80" s="456"/>
      <c r="PCG80" s="456"/>
      <c r="PCH80" s="456"/>
      <c r="PCI80" s="456"/>
      <c r="PCJ80" s="456"/>
      <c r="PCK80" s="456"/>
      <c r="PCL80" s="456"/>
      <c r="PCM80" s="456"/>
      <c r="PCN80" s="456"/>
      <c r="PCO80" s="456"/>
      <c r="PCP80" s="456"/>
      <c r="PCQ80" s="456"/>
      <c r="PCR80" s="456"/>
      <c r="PCS80" s="456"/>
      <c r="PCT80" s="456"/>
      <c r="PCU80" s="456"/>
      <c r="PCV80" s="456"/>
      <c r="PCW80" s="456"/>
      <c r="PCX80" s="456"/>
      <c r="PCY80" s="456"/>
      <c r="PCZ80" s="456"/>
      <c r="PDA80" s="456"/>
      <c r="PDB80" s="456"/>
      <c r="PDC80" s="456"/>
      <c r="PDD80" s="456"/>
      <c r="PDE80" s="456"/>
      <c r="PDF80" s="456"/>
      <c r="PDG80" s="456"/>
      <c r="PDH80" s="456"/>
      <c r="PDI80" s="456"/>
      <c r="PDJ80" s="456"/>
      <c r="PDK80" s="456"/>
      <c r="PDL80" s="456"/>
      <c r="PDM80" s="456"/>
      <c r="PDN80" s="456"/>
      <c r="PDO80" s="456"/>
      <c r="PDP80" s="456"/>
      <c r="PDQ80" s="456"/>
      <c r="PDR80" s="456"/>
      <c r="PDS80" s="456"/>
      <c r="PDT80" s="456"/>
      <c r="PDU80" s="456"/>
      <c r="PDV80" s="456"/>
      <c r="PDW80" s="456"/>
      <c r="PDX80" s="456"/>
      <c r="PDY80" s="456"/>
      <c r="PDZ80" s="456"/>
      <c r="PEA80" s="456"/>
      <c r="PEB80" s="456"/>
      <c r="PEC80" s="456"/>
      <c r="PED80" s="456"/>
      <c r="PEE80" s="456"/>
      <c r="PEF80" s="456"/>
      <c r="PEG80" s="456"/>
      <c r="PEH80" s="456"/>
      <c r="PEI80" s="456"/>
      <c r="PEJ80" s="456"/>
      <c r="PEK80" s="456"/>
      <c r="PEL80" s="456"/>
      <c r="PEM80" s="456"/>
      <c r="PEN80" s="456"/>
      <c r="PEO80" s="456"/>
      <c r="PEP80" s="456"/>
      <c r="PEQ80" s="456"/>
      <c r="PER80" s="456"/>
      <c r="PES80" s="456"/>
      <c r="PET80" s="456"/>
      <c r="PEU80" s="456"/>
      <c r="PEV80" s="456"/>
      <c r="PEW80" s="456"/>
      <c r="PEX80" s="456"/>
      <c r="PEY80" s="456"/>
      <c r="PEZ80" s="456"/>
      <c r="PFA80" s="456"/>
      <c r="PFB80" s="456"/>
      <c r="PFC80" s="456"/>
      <c r="PFD80" s="456"/>
      <c r="PFE80" s="456"/>
      <c r="PFF80" s="456"/>
      <c r="PFG80" s="456"/>
      <c r="PFH80" s="456"/>
      <c r="PFI80" s="456"/>
      <c r="PFJ80" s="456"/>
      <c r="PFK80" s="456"/>
      <c r="PFL80" s="456"/>
      <c r="PFM80" s="456"/>
      <c r="PFN80" s="456"/>
      <c r="PFO80" s="456"/>
      <c r="PFP80" s="456"/>
      <c r="PFQ80" s="456"/>
      <c r="PFR80" s="456"/>
      <c r="PFS80" s="456"/>
      <c r="PFT80" s="456"/>
      <c r="PFU80" s="456"/>
      <c r="PFV80" s="456"/>
      <c r="PFW80" s="456"/>
      <c r="PFX80" s="456"/>
      <c r="PFY80" s="456"/>
      <c r="PFZ80" s="456"/>
      <c r="PGA80" s="456"/>
      <c r="PGB80" s="456"/>
      <c r="PGC80" s="456"/>
      <c r="PGD80" s="456"/>
      <c r="PGE80" s="456"/>
      <c r="PGF80" s="456"/>
      <c r="PGG80" s="456"/>
      <c r="PGH80" s="456"/>
      <c r="PGI80" s="456"/>
      <c r="PGJ80" s="456"/>
      <c r="PGK80" s="456"/>
      <c r="PGL80" s="456"/>
      <c r="PGM80" s="456"/>
      <c r="PGN80" s="456"/>
      <c r="PGO80" s="456"/>
      <c r="PGP80" s="456"/>
      <c r="PGQ80" s="456"/>
      <c r="PGR80" s="456"/>
      <c r="PGS80" s="456"/>
      <c r="PGT80" s="456"/>
      <c r="PGU80" s="456"/>
      <c r="PGV80" s="456"/>
      <c r="PGW80" s="456"/>
      <c r="PGX80" s="456"/>
      <c r="PGY80" s="456"/>
      <c r="PGZ80" s="456"/>
      <c r="PHA80" s="456"/>
      <c r="PHB80" s="456"/>
      <c r="PHC80" s="456"/>
      <c r="PHD80" s="456"/>
      <c r="PHE80" s="456"/>
      <c r="PHF80" s="456"/>
      <c r="PHG80" s="456"/>
      <c r="PHH80" s="456"/>
      <c r="PHI80" s="456"/>
      <c r="PHJ80" s="456"/>
      <c r="PHK80" s="456"/>
      <c r="PHL80" s="456"/>
      <c r="PHM80" s="456"/>
      <c r="PHN80" s="456"/>
      <c r="PHO80" s="456"/>
      <c r="PHP80" s="456"/>
      <c r="PHQ80" s="456"/>
      <c r="PHR80" s="456"/>
      <c r="PHS80" s="456"/>
      <c r="PHT80" s="456"/>
      <c r="PHU80" s="456"/>
      <c r="PHV80" s="456"/>
      <c r="PHW80" s="456"/>
      <c r="PHX80" s="456"/>
      <c r="PHY80" s="456"/>
      <c r="PHZ80" s="456"/>
      <c r="PIA80" s="456"/>
      <c r="PIB80" s="456"/>
      <c r="PIC80" s="456"/>
      <c r="PID80" s="456"/>
      <c r="PIE80" s="456"/>
      <c r="PIF80" s="456"/>
      <c r="PIG80" s="456"/>
      <c r="PIH80" s="456"/>
      <c r="PII80" s="456"/>
      <c r="PIJ80" s="456"/>
      <c r="PIK80" s="456"/>
      <c r="PIL80" s="456"/>
      <c r="PIM80" s="456"/>
      <c r="PIN80" s="456"/>
      <c r="PIO80" s="456"/>
      <c r="PIP80" s="456"/>
      <c r="PIQ80" s="456"/>
      <c r="PIR80" s="456"/>
      <c r="PIS80" s="456"/>
      <c r="PIT80" s="456"/>
      <c r="PIU80" s="456"/>
      <c r="PIV80" s="456"/>
      <c r="PIW80" s="456"/>
      <c r="PIX80" s="456"/>
      <c r="PIY80" s="456"/>
      <c r="PIZ80" s="456"/>
      <c r="PJA80" s="456"/>
      <c r="PJB80" s="456"/>
      <c r="PJC80" s="456"/>
      <c r="PJD80" s="456"/>
      <c r="PJE80" s="456"/>
      <c r="PJF80" s="456"/>
      <c r="PJG80" s="456"/>
      <c r="PJH80" s="456"/>
      <c r="PJI80" s="456"/>
      <c r="PJJ80" s="456"/>
      <c r="PJK80" s="456"/>
      <c r="PJL80" s="456"/>
      <c r="PJM80" s="456"/>
      <c r="PJN80" s="456"/>
      <c r="PJO80" s="456"/>
      <c r="PJP80" s="456"/>
      <c r="PJQ80" s="456"/>
      <c r="PJR80" s="456"/>
      <c r="PJS80" s="456"/>
      <c r="PJT80" s="456"/>
      <c r="PJU80" s="456"/>
      <c r="PJV80" s="456"/>
      <c r="PJW80" s="456"/>
      <c r="PJX80" s="456"/>
      <c r="PJY80" s="456"/>
      <c r="PJZ80" s="456"/>
      <c r="PKA80" s="456"/>
      <c r="PKB80" s="456"/>
      <c r="PKC80" s="456"/>
      <c r="PKD80" s="456"/>
      <c r="PKE80" s="456"/>
      <c r="PKF80" s="456"/>
      <c r="PKG80" s="456"/>
      <c r="PKH80" s="456"/>
      <c r="PKI80" s="456"/>
      <c r="PKJ80" s="456"/>
      <c r="PKK80" s="456"/>
      <c r="PKL80" s="456"/>
      <c r="PKM80" s="456"/>
      <c r="PKN80" s="456"/>
      <c r="PKO80" s="456"/>
      <c r="PKP80" s="456"/>
      <c r="PKQ80" s="456"/>
      <c r="PKR80" s="456"/>
      <c r="PKS80" s="456"/>
      <c r="PKT80" s="456"/>
      <c r="PKU80" s="456"/>
      <c r="PKV80" s="456"/>
      <c r="PKW80" s="456"/>
      <c r="PKX80" s="456"/>
      <c r="PKY80" s="456"/>
      <c r="PKZ80" s="456"/>
      <c r="PLA80" s="456"/>
      <c r="PLB80" s="456"/>
      <c r="PLC80" s="456"/>
      <c r="PLD80" s="456"/>
      <c r="PLE80" s="456"/>
      <c r="PLF80" s="456"/>
      <c r="PLG80" s="456"/>
      <c r="PLH80" s="456"/>
      <c r="PLI80" s="456"/>
      <c r="PLJ80" s="456"/>
      <c r="PLK80" s="456"/>
      <c r="PLL80" s="456"/>
      <c r="PLM80" s="456"/>
      <c r="PLN80" s="456"/>
      <c r="PLO80" s="456"/>
      <c r="PLP80" s="456"/>
      <c r="PLQ80" s="456"/>
      <c r="PLR80" s="456"/>
      <c r="PLS80" s="456"/>
      <c r="PLT80" s="456"/>
      <c r="PLU80" s="456"/>
      <c r="PLV80" s="456"/>
      <c r="PLW80" s="456"/>
      <c r="PLX80" s="456"/>
      <c r="PLY80" s="456"/>
      <c r="PLZ80" s="456"/>
      <c r="PMA80" s="456"/>
      <c r="PMB80" s="456"/>
      <c r="PMC80" s="456"/>
      <c r="PMD80" s="456"/>
      <c r="PME80" s="456"/>
      <c r="PMF80" s="456"/>
      <c r="PMG80" s="456"/>
      <c r="PMH80" s="456"/>
      <c r="PMI80" s="456"/>
      <c r="PMJ80" s="456"/>
      <c r="PMK80" s="456"/>
      <c r="PML80" s="456"/>
      <c r="PMM80" s="456"/>
      <c r="PMN80" s="456"/>
      <c r="PMO80" s="456"/>
      <c r="PMP80" s="456"/>
      <c r="PMQ80" s="456"/>
      <c r="PMR80" s="456"/>
      <c r="PMS80" s="456"/>
      <c r="PMT80" s="456"/>
      <c r="PMU80" s="456"/>
      <c r="PMV80" s="456"/>
      <c r="PMW80" s="456"/>
      <c r="PMX80" s="456"/>
      <c r="PMY80" s="456"/>
      <c r="PMZ80" s="456"/>
      <c r="PNA80" s="456"/>
      <c r="PNB80" s="456"/>
      <c r="PNC80" s="456"/>
      <c r="PND80" s="456"/>
      <c r="PNE80" s="456"/>
      <c r="PNF80" s="456"/>
      <c r="PNG80" s="456"/>
      <c r="PNH80" s="456"/>
      <c r="PNI80" s="456"/>
      <c r="PNJ80" s="456"/>
      <c r="PNK80" s="456"/>
      <c r="PNL80" s="456"/>
      <c r="PNM80" s="456"/>
      <c r="PNN80" s="456"/>
      <c r="PNO80" s="456"/>
      <c r="PNP80" s="456"/>
      <c r="PNQ80" s="456"/>
      <c r="PNR80" s="456"/>
      <c r="PNS80" s="456"/>
      <c r="PNT80" s="456"/>
      <c r="PNU80" s="456"/>
      <c r="PNV80" s="456"/>
      <c r="PNW80" s="456"/>
      <c r="PNX80" s="456"/>
      <c r="PNY80" s="456"/>
      <c r="PNZ80" s="456"/>
      <c r="POA80" s="456"/>
      <c r="POB80" s="456"/>
      <c r="POC80" s="456"/>
      <c r="POD80" s="456"/>
      <c r="POE80" s="456"/>
      <c r="POF80" s="456"/>
      <c r="POG80" s="456"/>
      <c r="POH80" s="456"/>
      <c r="POI80" s="456"/>
      <c r="POJ80" s="456"/>
      <c r="POK80" s="456"/>
      <c r="POL80" s="456"/>
      <c r="POM80" s="456"/>
      <c r="PON80" s="456"/>
      <c r="POO80" s="456"/>
      <c r="POP80" s="456"/>
      <c r="POQ80" s="456"/>
      <c r="POR80" s="456"/>
      <c r="POS80" s="456"/>
      <c r="POT80" s="456"/>
      <c r="POU80" s="456"/>
      <c r="POV80" s="456"/>
      <c r="POW80" s="456"/>
      <c r="POX80" s="456"/>
      <c r="POY80" s="456"/>
      <c r="POZ80" s="456"/>
      <c r="PPA80" s="456"/>
      <c r="PPB80" s="456"/>
      <c r="PPC80" s="456"/>
      <c r="PPD80" s="456"/>
      <c r="PPE80" s="456"/>
      <c r="PPF80" s="456"/>
      <c r="PPG80" s="456"/>
      <c r="PPH80" s="456"/>
      <c r="PPI80" s="456"/>
      <c r="PPJ80" s="456"/>
      <c r="PPK80" s="456"/>
      <c r="PPL80" s="456"/>
      <c r="PPM80" s="456"/>
      <c r="PPN80" s="456"/>
      <c r="PPO80" s="456"/>
      <c r="PPP80" s="456"/>
      <c r="PPQ80" s="456"/>
      <c r="PPR80" s="456"/>
      <c r="PPS80" s="456"/>
      <c r="PPT80" s="456"/>
      <c r="PPU80" s="456"/>
      <c r="PPV80" s="456"/>
      <c r="PPW80" s="456"/>
      <c r="PPX80" s="456"/>
      <c r="PPY80" s="456"/>
      <c r="PPZ80" s="456"/>
      <c r="PQA80" s="456"/>
      <c r="PQB80" s="456"/>
      <c r="PQC80" s="456"/>
      <c r="PQD80" s="456"/>
      <c r="PQE80" s="456"/>
      <c r="PQF80" s="456"/>
      <c r="PQG80" s="456"/>
      <c r="PQH80" s="456"/>
      <c r="PQI80" s="456"/>
      <c r="PQJ80" s="456"/>
      <c r="PQK80" s="456"/>
      <c r="PQL80" s="456"/>
      <c r="PQM80" s="456"/>
      <c r="PQN80" s="456"/>
      <c r="PQO80" s="456"/>
      <c r="PQP80" s="456"/>
      <c r="PQQ80" s="456"/>
      <c r="PQR80" s="456"/>
      <c r="PQS80" s="456"/>
      <c r="PQT80" s="456"/>
      <c r="PQU80" s="456"/>
      <c r="PQV80" s="456"/>
      <c r="PQW80" s="456"/>
      <c r="PQX80" s="456"/>
      <c r="PQY80" s="456"/>
      <c r="PQZ80" s="456"/>
      <c r="PRA80" s="456"/>
      <c r="PRB80" s="456"/>
      <c r="PRC80" s="456"/>
      <c r="PRD80" s="456"/>
      <c r="PRE80" s="456"/>
      <c r="PRF80" s="456"/>
      <c r="PRG80" s="456"/>
      <c r="PRH80" s="456"/>
      <c r="PRI80" s="456"/>
      <c r="PRJ80" s="456"/>
      <c r="PRK80" s="456"/>
      <c r="PRL80" s="456"/>
      <c r="PRM80" s="456"/>
      <c r="PRN80" s="456"/>
      <c r="PRO80" s="456"/>
      <c r="PRP80" s="456"/>
      <c r="PRQ80" s="456"/>
      <c r="PRR80" s="456"/>
      <c r="PRS80" s="456"/>
      <c r="PRT80" s="456"/>
      <c r="PRU80" s="456"/>
      <c r="PRV80" s="456"/>
      <c r="PRW80" s="456"/>
      <c r="PRX80" s="456"/>
      <c r="PRY80" s="456"/>
      <c r="PRZ80" s="456"/>
      <c r="PSA80" s="456"/>
      <c r="PSB80" s="456"/>
      <c r="PSC80" s="456"/>
      <c r="PSD80" s="456"/>
      <c r="PSE80" s="456"/>
      <c r="PSF80" s="456"/>
      <c r="PSG80" s="456"/>
      <c r="PSH80" s="456"/>
      <c r="PSI80" s="456"/>
      <c r="PSJ80" s="456"/>
      <c r="PSK80" s="456"/>
      <c r="PSL80" s="456"/>
      <c r="PSM80" s="456"/>
      <c r="PSN80" s="456"/>
      <c r="PSO80" s="456"/>
      <c r="PSP80" s="456"/>
      <c r="PSQ80" s="456"/>
      <c r="PSR80" s="456"/>
      <c r="PSS80" s="456"/>
      <c r="PST80" s="456"/>
      <c r="PSU80" s="456"/>
      <c r="PSV80" s="456"/>
      <c r="PSW80" s="456"/>
      <c r="PSX80" s="456"/>
      <c r="PSY80" s="456"/>
      <c r="PSZ80" s="456"/>
      <c r="PTA80" s="456"/>
      <c r="PTB80" s="456"/>
      <c r="PTC80" s="456"/>
      <c r="PTD80" s="456"/>
      <c r="PTE80" s="456"/>
      <c r="PTF80" s="456"/>
      <c r="PTG80" s="456"/>
      <c r="PTH80" s="456"/>
      <c r="PTI80" s="456"/>
      <c r="PTJ80" s="456"/>
      <c r="PTK80" s="456"/>
      <c r="PTL80" s="456"/>
      <c r="PTM80" s="456"/>
      <c r="PTN80" s="456"/>
      <c r="PTO80" s="456"/>
      <c r="PTP80" s="456"/>
      <c r="PTQ80" s="456"/>
      <c r="PTR80" s="456"/>
      <c r="PTS80" s="456"/>
      <c r="PTT80" s="456"/>
      <c r="PTU80" s="456"/>
      <c r="PTV80" s="456"/>
      <c r="PTW80" s="456"/>
      <c r="PTX80" s="456"/>
      <c r="PTY80" s="456"/>
      <c r="PTZ80" s="456"/>
      <c r="PUA80" s="456"/>
      <c r="PUB80" s="456"/>
      <c r="PUC80" s="456"/>
      <c r="PUD80" s="456"/>
      <c r="PUE80" s="456"/>
      <c r="PUF80" s="456"/>
      <c r="PUG80" s="456"/>
      <c r="PUH80" s="456"/>
      <c r="PUI80" s="456"/>
      <c r="PUJ80" s="456"/>
      <c r="PUK80" s="456"/>
      <c r="PUL80" s="456"/>
      <c r="PUM80" s="456"/>
      <c r="PUN80" s="456"/>
      <c r="PUO80" s="456"/>
      <c r="PUP80" s="456"/>
      <c r="PUQ80" s="456"/>
      <c r="PUR80" s="456"/>
      <c r="PUS80" s="456"/>
      <c r="PUT80" s="456"/>
      <c r="PUU80" s="456"/>
      <c r="PUV80" s="456"/>
      <c r="PUW80" s="456"/>
      <c r="PUX80" s="456"/>
      <c r="PUY80" s="456"/>
      <c r="PUZ80" s="456"/>
      <c r="PVA80" s="456"/>
      <c r="PVB80" s="456"/>
      <c r="PVC80" s="456"/>
      <c r="PVD80" s="456"/>
      <c r="PVE80" s="456"/>
      <c r="PVF80" s="456"/>
      <c r="PVG80" s="456"/>
      <c r="PVH80" s="456"/>
      <c r="PVI80" s="456"/>
      <c r="PVJ80" s="456"/>
      <c r="PVK80" s="456"/>
      <c r="PVL80" s="456"/>
      <c r="PVM80" s="456"/>
      <c r="PVN80" s="456"/>
      <c r="PVO80" s="456"/>
      <c r="PVP80" s="456"/>
      <c r="PVQ80" s="456"/>
      <c r="PVR80" s="456"/>
      <c r="PVS80" s="456"/>
      <c r="PVT80" s="456"/>
      <c r="PVU80" s="456"/>
      <c r="PVV80" s="456"/>
      <c r="PVW80" s="456"/>
      <c r="PVX80" s="456"/>
      <c r="PVY80" s="456"/>
      <c r="PVZ80" s="456"/>
      <c r="PWA80" s="456"/>
      <c r="PWB80" s="456"/>
      <c r="PWC80" s="456"/>
      <c r="PWD80" s="456"/>
      <c r="PWE80" s="456"/>
      <c r="PWF80" s="456"/>
      <c r="PWG80" s="456"/>
      <c r="PWH80" s="456"/>
      <c r="PWI80" s="456"/>
      <c r="PWJ80" s="456"/>
      <c r="PWK80" s="456"/>
      <c r="PWL80" s="456"/>
      <c r="PWM80" s="456"/>
      <c r="PWN80" s="456"/>
      <c r="PWO80" s="456"/>
      <c r="PWP80" s="456"/>
      <c r="PWQ80" s="456"/>
      <c r="PWR80" s="456"/>
      <c r="PWS80" s="456"/>
      <c r="PWT80" s="456"/>
      <c r="PWU80" s="456"/>
      <c r="PWV80" s="456"/>
      <c r="PWW80" s="456"/>
      <c r="PWX80" s="456"/>
      <c r="PWY80" s="456"/>
      <c r="PWZ80" s="456"/>
      <c r="PXA80" s="456"/>
      <c r="PXB80" s="456"/>
      <c r="PXC80" s="456"/>
      <c r="PXD80" s="456"/>
      <c r="PXE80" s="456"/>
      <c r="PXF80" s="456"/>
      <c r="PXG80" s="456"/>
      <c r="PXH80" s="456"/>
      <c r="PXI80" s="456"/>
      <c r="PXJ80" s="456"/>
      <c r="PXK80" s="456"/>
      <c r="PXL80" s="456"/>
      <c r="PXM80" s="456"/>
      <c r="PXN80" s="456"/>
      <c r="PXO80" s="456"/>
      <c r="PXP80" s="456"/>
      <c r="PXQ80" s="456"/>
      <c r="PXR80" s="456"/>
      <c r="PXS80" s="456"/>
      <c r="PXT80" s="456"/>
      <c r="PXU80" s="456"/>
      <c r="PXV80" s="456"/>
      <c r="PXW80" s="456"/>
      <c r="PXX80" s="456"/>
      <c r="PXY80" s="456"/>
      <c r="PXZ80" s="456"/>
      <c r="PYA80" s="456"/>
      <c r="PYB80" s="456"/>
      <c r="PYC80" s="456"/>
      <c r="PYD80" s="456"/>
      <c r="PYE80" s="456"/>
      <c r="PYF80" s="456"/>
      <c r="PYG80" s="456"/>
      <c r="PYH80" s="456"/>
      <c r="PYI80" s="456"/>
      <c r="PYJ80" s="456"/>
      <c r="PYK80" s="456"/>
      <c r="PYL80" s="456"/>
      <c r="PYM80" s="456"/>
      <c r="PYN80" s="456"/>
      <c r="PYO80" s="456"/>
      <c r="PYP80" s="456"/>
      <c r="PYQ80" s="456"/>
      <c r="PYR80" s="456"/>
      <c r="PYS80" s="456"/>
      <c r="PYT80" s="456"/>
      <c r="PYU80" s="456"/>
      <c r="PYV80" s="456"/>
      <c r="PYW80" s="456"/>
      <c r="PYX80" s="456"/>
      <c r="PYY80" s="456"/>
      <c r="PYZ80" s="456"/>
      <c r="PZA80" s="456"/>
      <c r="PZB80" s="456"/>
      <c r="PZC80" s="456"/>
      <c r="PZD80" s="456"/>
      <c r="PZE80" s="456"/>
      <c r="PZF80" s="456"/>
      <c r="PZG80" s="456"/>
      <c r="PZH80" s="456"/>
      <c r="PZI80" s="456"/>
      <c r="PZJ80" s="456"/>
      <c r="PZK80" s="456"/>
      <c r="PZL80" s="456"/>
      <c r="PZM80" s="456"/>
      <c r="PZN80" s="456"/>
      <c r="PZO80" s="456"/>
      <c r="PZP80" s="456"/>
      <c r="PZQ80" s="456"/>
      <c r="PZR80" s="456"/>
      <c r="PZS80" s="456"/>
      <c r="PZT80" s="456"/>
      <c r="PZU80" s="456"/>
      <c r="PZV80" s="456"/>
      <c r="PZW80" s="456"/>
      <c r="PZX80" s="456"/>
      <c r="PZY80" s="456"/>
      <c r="PZZ80" s="456"/>
      <c r="QAA80" s="456"/>
      <c r="QAB80" s="456"/>
      <c r="QAC80" s="456"/>
      <c r="QAD80" s="456"/>
      <c r="QAE80" s="456"/>
      <c r="QAF80" s="456"/>
      <c r="QAG80" s="456"/>
      <c r="QAH80" s="456"/>
      <c r="QAI80" s="456"/>
      <c r="QAJ80" s="456"/>
      <c r="QAK80" s="456"/>
      <c r="QAL80" s="456"/>
      <c r="QAM80" s="456"/>
      <c r="QAN80" s="456"/>
      <c r="QAO80" s="456"/>
      <c r="QAP80" s="456"/>
      <c r="QAQ80" s="456"/>
      <c r="QAR80" s="456"/>
      <c r="QAS80" s="456"/>
      <c r="QAT80" s="456"/>
      <c r="QAU80" s="456"/>
      <c r="QAV80" s="456"/>
      <c r="QAW80" s="456"/>
      <c r="QAX80" s="456"/>
      <c r="QAY80" s="456"/>
      <c r="QAZ80" s="456"/>
      <c r="QBA80" s="456"/>
      <c r="QBB80" s="456"/>
      <c r="QBC80" s="456"/>
      <c r="QBD80" s="456"/>
      <c r="QBE80" s="456"/>
      <c r="QBF80" s="456"/>
      <c r="QBG80" s="456"/>
      <c r="QBH80" s="456"/>
      <c r="QBI80" s="456"/>
      <c r="QBJ80" s="456"/>
      <c r="QBK80" s="456"/>
      <c r="QBL80" s="456"/>
      <c r="QBM80" s="456"/>
      <c r="QBN80" s="456"/>
      <c r="QBO80" s="456"/>
      <c r="QBP80" s="456"/>
      <c r="QBQ80" s="456"/>
      <c r="QBR80" s="456"/>
      <c r="QBS80" s="456"/>
      <c r="QBT80" s="456"/>
      <c r="QBU80" s="456"/>
      <c r="QBV80" s="456"/>
      <c r="QBW80" s="456"/>
      <c r="QBX80" s="456"/>
      <c r="QBY80" s="456"/>
      <c r="QBZ80" s="456"/>
      <c r="QCA80" s="456"/>
      <c r="QCB80" s="456"/>
      <c r="QCC80" s="456"/>
      <c r="QCD80" s="456"/>
      <c r="QCE80" s="456"/>
      <c r="QCF80" s="456"/>
      <c r="QCG80" s="456"/>
      <c r="QCH80" s="456"/>
      <c r="QCI80" s="456"/>
      <c r="QCJ80" s="456"/>
      <c r="QCK80" s="456"/>
      <c r="QCL80" s="456"/>
      <c r="QCM80" s="456"/>
      <c r="QCN80" s="456"/>
      <c r="QCO80" s="456"/>
      <c r="QCP80" s="456"/>
      <c r="QCQ80" s="456"/>
      <c r="QCR80" s="456"/>
      <c r="QCS80" s="456"/>
      <c r="QCT80" s="456"/>
      <c r="QCU80" s="456"/>
      <c r="QCV80" s="456"/>
      <c r="QCW80" s="456"/>
      <c r="QCX80" s="456"/>
      <c r="QCY80" s="456"/>
      <c r="QCZ80" s="456"/>
      <c r="QDA80" s="456"/>
      <c r="QDB80" s="456"/>
      <c r="QDC80" s="456"/>
      <c r="QDD80" s="456"/>
      <c r="QDE80" s="456"/>
      <c r="QDF80" s="456"/>
      <c r="QDG80" s="456"/>
      <c r="QDH80" s="456"/>
      <c r="QDI80" s="456"/>
      <c r="QDJ80" s="456"/>
      <c r="QDK80" s="456"/>
      <c r="QDL80" s="456"/>
      <c r="QDM80" s="456"/>
      <c r="QDN80" s="456"/>
      <c r="QDO80" s="456"/>
      <c r="QDP80" s="456"/>
      <c r="QDQ80" s="456"/>
      <c r="QDR80" s="456"/>
      <c r="QDS80" s="456"/>
      <c r="QDT80" s="456"/>
      <c r="QDU80" s="456"/>
      <c r="QDV80" s="456"/>
      <c r="QDW80" s="456"/>
      <c r="QDX80" s="456"/>
      <c r="QDY80" s="456"/>
      <c r="QDZ80" s="456"/>
      <c r="QEA80" s="456"/>
      <c r="QEB80" s="456"/>
      <c r="QEC80" s="456"/>
      <c r="QED80" s="456"/>
      <c r="QEE80" s="456"/>
      <c r="QEF80" s="456"/>
      <c r="QEG80" s="456"/>
      <c r="QEH80" s="456"/>
      <c r="QEI80" s="456"/>
      <c r="QEJ80" s="456"/>
      <c r="QEK80" s="456"/>
      <c r="QEL80" s="456"/>
      <c r="QEM80" s="456"/>
      <c r="QEN80" s="456"/>
      <c r="QEO80" s="456"/>
      <c r="QEP80" s="456"/>
      <c r="QEQ80" s="456"/>
      <c r="QER80" s="456"/>
      <c r="QES80" s="456"/>
      <c r="QET80" s="456"/>
      <c r="QEU80" s="456"/>
      <c r="QEV80" s="456"/>
      <c r="QEW80" s="456"/>
      <c r="QEX80" s="456"/>
      <c r="QEY80" s="456"/>
      <c r="QEZ80" s="456"/>
      <c r="QFA80" s="456"/>
      <c r="QFB80" s="456"/>
      <c r="QFC80" s="456"/>
      <c r="QFD80" s="456"/>
      <c r="QFE80" s="456"/>
      <c r="QFF80" s="456"/>
      <c r="QFG80" s="456"/>
      <c r="QFH80" s="456"/>
      <c r="QFI80" s="456"/>
      <c r="QFJ80" s="456"/>
      <c r="QFK80" s="456"/>
      <c r="QFL80" s="456"/>
      <c r="QFM80" s="456"/>
      <c r="QFN80" s="456"/>
      <c r="QFO80" s="456"/>
      <c r="QFP80" s="456"/>
      <c r="QFQ80" s="456"/>
      <c r="QFR80" s="456"/>
      <c r="QFS80" s="456"/>
      <c r="QFT80" s="456"/>
      <c r="QFU80" s="456"/>
      <c r="QFV80" s="456"/>
      <c r="QFW80" s="456"/>
      <c r="QFX80" s="456"/>
      <c r="QFY80" s="456"/>
      <c r="QFZ80" s="456"/>
      <c r="QGA80" s="456"/>
      <c r="QGB80" s="456"/>
      <c r="QGC80" s="456"/>
      <c r="QGD80" s="456"/>
      <c r="QGE80" s="456"/>
      <c r="QGF80" s="456"/>
      <c r="QGG80" s="456"/>
      <c r="QGH80" s="456"/>
      <c r="QGI80" s="456"/>
      <c r="QGJ80" s="456"/>
      <c r="QGK80" s="456"/>
      <c r="QGL80" s="456"/>
      <c r="QGM80" s="456"/>
      <c r="QGN80" s="456"/>
      <c r="QGO80" s="456"/>
      <c r="QGP80" s="456"/>
      <c r="QGQ80" s="456"/>
      <c r="QGR80" s="456"/>
      <c r="QGS80" s="456"/>
      <c r="QGT80" s="456"/>
      <c r="QGU80" s="456"/>
      <c r="QGV80" s="456"/>
      <c r="QGW80" s="456"/>
      <c r="QGX80" s="456"/>
      <c r="QGY80" s="456"/>
      <c r="QGZ80" s="456"/>
      <c r="QHA80" s="456"/>
      <c r="QHB80" s="456"/>
      <c r="QHC80" s="456"/>
      <c r="QHD80" s="456"/>
      <c r="QHE80" s="456"/>
      <c r="QHF80" s="456"/>
      <c r="QHG80" s="456"/>
      <c r="QHH80" s="456"/>
      <c r="QHI80" s="456"/>
      <c r="QHJ80" s="456"/>
      <c r="QHK80" s="456"/>
      <c r="QHL80" s="456"/>
      <c r="QHM80" s="456"/>
      <c r="QHN80" s="456"/>
      <c r="QHO80" s="456"/>
      <c r="QHP80" s="456"/>
      <c r="QHQ80" s="456"/>
      <c r="QHR80" s="456"/>
      <c r="QHS80" s="456"/>
      <c r="QHT80" s="456"/>
      <c r="QHU80" s="456"/>
      <c r="QHV80" s="456"/>
      <c r="QHW80" s="456"/>
      <c r="QHX80" s="456"/>
      <c r="QHY80" s="456"/>
      <c r="QHZ80" s="456"/>
      <c r="QIA80" s="456"/>
      <c r="QIB80" s="456"/>
      <c r="QIC80" s="456"/>
      <c r="QID80" s="456"/>
      <c r="QIE80" s="456"/>
      <c r="QIF80" s="456"/>
      <c r="QIG80" s="456"/>
      <c r="QIH80" s="456"/>
      <c r="QII80" s="456"/>
      <c r="QIJ80" s="456"/>
      <c r="QIK80" s="456"/>
      <c r="QIL80" s="456"/>
      <c r="QIM80" s="456"/>
      <c r="QIN80" s="456"/>
      <c r="QIO80" s="456"/>
      <c r="QIP80" s="456"/>
      <c r="QIQ80" s="456"/>
      <c r="QIR80" s="456"/>
      <c r="QIS80" s="456"/>
      <c r="QIT80" s="456"/>
      <c r="QIU80" s="456"/>
      <c r="QIV80" s="456"/>
      <c r="QIW80" s="456"/>
      <c r="QIX80" s="456"/>
      <c r="QIY80" s="456"/>
      <c r="QIZ80" s="456"/>
      <c r="QJA80" s="456"/>
      <c r="QJB80" s="456"/>
      <c r="QJC80" s="456"/>
      <c r="QJD80" s="456"/>
      <c r="QJE80" s="456"/>
      <c r="QJF80" s="456"/>
      <c r="QJG80" s="456"/>
      <c r="QJH80" s="456"/>
      <c r="QJI80" s="456"/>
      <c r="QJJ80" s="456"/>
      <c r="QJK80" s="456"/>
      <c r="QJL80" s="456"/>
      <c r="QJM80" s="456"/>
      <c r="QJN80" s="456"/>
      <c r="QJO80" s="456"/>
      <c r="QJP80" s="456"/>
      <c r="QJQ80" s="456"/>
      <c r="QJR80" s="456"/>
      <c r="QJS80" s="456"/>
      <c r="QJT80" s="456"/>
      <c r="QJU80" s="456"/>
      <c r="QJV80" s="456"/>
      <c r="QJW80" s="456"/>
      <c r="QJX80" s="456"/>
      <c r="QJY80" s="456"/>
      <c r="QJZ80" s="456"/>
      <c r="QKA80" s="456"/>
      <c r="QKB80" s="456"/>
      <c r="QKC80" s="456"/>
      <c r="QKD80" s="456"/>
      <c r="QKE80" s="456"/>
      <c r="QKF80" s="456"/>
      <c r="QKG80" s="456"/>
      <c r="QKH80" s="456"/>
      <c r="QKI80" s="456"/>
      <c r="QKJ80" s="456"/>
      <c r="QKK80" s="456"/>
      <c r="QKL80" s="456"/>
      <c r="QKM80" s="456"/>
      <c r="QKN80" s="456"/>
      <c r="QKO80" s="456"/>
      <c r="QKP80" s="456"/>
      <c r="QKQ80" s="456"/>
      <c r="QKR80" s="456"/>
      <c r="QKS80" s="456"/>
      <c r="QKT80" s="456"/>
      <c r="QKU80" s="456"/>
      <c r="QKV80" s="456"/>
      <c r="QKW80" s="456"/>
      <c r="QKX80" s="456"/>
      <c r="QKY80" s="456"/>
      <c r="QKZ80" s="456"/>
      <c r="QLA80" s="456"/>
      <c r="QLB80" s="456"/>
      <c r="QLC80" s="456"/>
      <c r="QLD80" s="456"/>
      <c r="QLE80" s="456"/>
      <c r="QLF80" s="456"/>
      <c r="QLG80" s="456"/>
      <c r="QLH80" s="456"/>
      <c r="QLI80" s="456"/>
      <c r="QLJ80" s="456"/>
      <c r="QLK80" s="456"/>
      <c r="QLL80" s="456"/>
      <c r="QLM80" s="456"/>
      <c r="QLN80" s="456"/>
      <c r="QLO80" s="456"/>
      <c r="QLP80" s="456"/>
      <c r="QLQ80" s="456"/>
      <c r="QLR80" s="456"/>
      <c r="QLS80" s="456"/>
      <c r="QLT80" s="456"/>
      <c r="QLU80" s="456"/>
      <c r="QLV80" s="456"/>
      <c r="QLW80" s="456"/>
      <c r="QLX80" s="456"/>
      <c r="QLY80" s="456"/>
      <c r="QLZ80" s="456"/>
      <c r="QMA80" s="456"/>
      <c r="QMB80" s="456"/>
      <c r="QMC80" s="456"/>
      <c r="QMD80" s="456"/>
      <c r="QME80" s="456"/>
      <c r="QMF80" s="456"/>
      <c r="QMG80" s="456"/>
      <c r="QMH80" s="456"/>
      <c r="QMI80" s="456"/>
      <c r="QMJ80" s="456"/>
      <c r="QMK80" s="456"/>
      <c r="QML80" s="456"/>
      <c r="QMM80" s="456"/>
      <c r="QMN80" s="456"/>
      <c r="QMO80" s="456"/>
      <c r="QMP80" s="456"/>
      <c r="QMQ80" s="456"/>
      <c r="QMR80" s="456"/>
      <c r="QMS80" s="456"/>
      <c r="QMT80" s="456"/>
      <c r="QMU80" s="456"/>
      <c r="QMV80" s="456"/>
      <c r="QMW80" s="456"/>
      <c r="QMX80" s="456"/>
      <c r="QMY80" s="456"/>
      <c r="QMZ80" s="456"/>
      <c r="QNA80" s="456"/>
      <c r="QNB80" s="456"/>
      <c r="QNC80" s="456"/>
      <c r="QND80" s="456"/>
      <c r="QNE80" s="456"/>
      <c r="QNF80" s="456"/>
      <c r="QNG80" s="456"/>
      <c r="QNH80" s="456"/>
      <c r="QNI80" s="456"/>
      <c r="QNJ80" s="456"/>
      <c r="QNK80" s="456"/>
      <c r="QNL80" s="456"/>
      <c r="QNM80" s="456"/>
      <c r="QNN80" s="456"/>
      <c r="QNO80" s="456"/>
      <c r="QNP80" s="456"/>
      <c r="QNQ80" s="456"/>
      <c r="QNR80" s="456"/>
      <c r="QNS80" s="456"/>
      <c r="QNT80" s="456"/>
      <c r="QNU80" s="456"/>
      <c r="QNV80" s="456"/>
      <c r="QNW80" s="456"/>
      <c r="QNX80" s="456"/>
      <c r="QNY80" s="456"/>
      <c r="QNZ80" s="456"/>
      <c r="QOA80" s="456"/>
      <c r="QOB80" s="456"/>
      <c r="QOC80" s="456"/>
      <c r="QOD80" s="456"/>
      <c r="QOE80" s="456"/>
      <c r="QOF80" s="456"/>
      <c r="QOG80" s="456"/>
      <c r="QOH80" s="456"/>
      <c r="QOI80" s="456"/>
      <c r="QOJ80" s="456"/>
      <c r="QOK80" s="456"/>
      <c r="QOL80" s="456"/>
      <c r="QOM80" s="456"/>
      <c r="QON80" s="456"/>
      <c r="QOO80" s="456"/>
      <c r="QOP80" s="456"/>
      <c r="QOQ80" s="456"/>
      <c r="QOR80" s="456"/>
      <c r="QOS80" s="456"/>
      <c r="QOT80" s="456"/>
      <c r="QOU80" s="456"/>
      <c r="QOV80" s="456"/>
      <c r="QOW80" s="456"/>
      <c r="QOX80" s="456"/>
      <c r="QOY80" s="456"/>
      <c r="QOZ80" s="456"/>
      <c r="QPA80" s="456"/>
      <c r="QPB80" s="456"/>
      <c r="QPC80" s="456"/>
      <c r="QPD80" s="456"/>
      <c r="QPE80" s="456"/>
      <c r="QPF80" s="456"/>
      <c r="QPG80" s="456"/>
      <c r="QPH80" s="456"/>
      <c r="QPI80" s="456"/>
      <c r="QPJ80" s="456"/>
      <c r="QPK80" s="456"/>
      <c r="QPL80" s="456"/>
      <c r="QPM80" s="456"/>
      <c r="QPN80" s="456"/>
      <c r="QPO80" s="456"/>
      <c r="QPP80" s="456"/>
      <c r="QPQ80" s="456"/>
      <c r="QPR80" s="456"/>
      <c r="QPS80" s="456"/>
      <c r="QPT80" s="456"/>
      <c r="QPU80" s="456"/>
      <c r="QPV80" s="456"/>
      <c r="QPW80" s="456"/>
      <c r="QPX80" s="456"/>
      <c r="QPY80" s="456"/>
      <c r="QPZ80" s="456"/>
      <c r="QQA80" s="456"/>
      <c r="QQB80" s="456"/>
      <c r="QQC80" s="456"/>
      <c r="QQD80" s="456"/>
      <c r="QQE80" s="456"/>
      <c r="QQF80" s="456"/>
      <c r="QQG80" s="456"/>
      <c r="QQH80" s="456"/>
      <c r="QQI80" s="456"/>
      <c r="QQJ80" s="456"/>
      <c r="QQK80" s="456"/>
      <c r="QQL80" s="456"/>
      <c r="QQM80" s="456"/>
      <c r="QQN80" s="456"/>
      <c r="QQO80" s="456"/>
      <c r="QQP80" s="456"/>
      <c r="QQQ80" s="456"/>
      <c r="QQR80" s="456"/>
      <c r="QQS80" s="456"/>
      <c r="QQT80" s="456"/>
      <c r="QQU80" s="456"/>
      <c r="QQV80" s="456"/>
      <c r="QQW80" s="456"/>
      <c r="QQX80" s="456"/>
      <c r="QQY80" s="456"/>
      <c r="QQZ80" s="456"/>
      <c r="QRA80" s="456"/>
      <c r="QRB80" s="456"/>
      <c r="QRC80" s="456"/>
      <c r="QRD80" s="456"/>
      <c r="QRE80" s="456"/>
      <c r="QRF80" s="456"/>
      <c r="QRG80" s="456"/>
      <c r="QRH80" s="456"/>
      <c r="QRI80" s="456"/>
      <c r="QRJ80" s="456"/>
      <c r="QRK80" s="456"/>
      <c r="QRL80" s="456"/>
      <c r="QRM80" s="456"/>
      <c r="QRN80" s="456"/>
      <c r="QRO80" s="456"/>
      <c r="QRP80" s="456"/>
      <c r="QRQ80" s="456"/>
      <c r="QRR80" s="456"/>
      <c r="QRS80" s="456"/>
      <c r="QRT80" s="456"/>
      <c r="QRU80" s="456"/>
      <c r="QRV80" s="456"/>
      <c r="QRW80" s="456"/>
      <c r="QRX80" s="456"/>
      <c r="QRY80" s="456"/>
      <c r="QRZ80" s="456"/>
      <c r="QSA80" s="456"/>
      <c r="QSB80" s="456"/>
      <c r="QSC80" s="456"/>
      <c r="QSD80" s="456"/>
      <c r="QSE80" s="456"/>
      <c r="QSF80" s="456"/>
      <c r="QSG80" s="456"/>
      <c r="QSH80" s="456"/>
      <c r="QSI80" s="456"/>
      <c r="QSJ80" s="456"/>
      <c r="QSK80" s="456"/>
      <c r="QSL80" s="456"/>
      <c r="QSM80" s="456"/>
      <c r="QSN80" s="456"/>
      <c r="QSO80" s="456"/>
      <c r="QSP80" s="456"/>
      <c r="QSQ80" s="456"/>
      <c r="QSR80" s="456"/>
      <c r="QSS80" s="456"/>
      <c r="QST80" s="456"/>
      <c r="QSU80" s="456"/>
      <c r="QSV80" s="456"/>
      <c r="QSW80" s="456"/>
      <c r="QSX80" s="456"/>
      <c r="QSY80" s="456"/>
      <c r="QSZ80" s="456"/>
      <c r="QTA80" s="456"/>
      <c r="QTB80" s="456"/>
      <c r="QTC80" s="456"/>
      <c r="QTD80" s="456"/>
      <c r="QTE80" s="456"/>
      <c r="QTF80" s="456"/>
      <c r="QTG80" s="456"/>
      <c r="QTH80" s="456"/>
      <c r="QTI80" s="456"/>
      <c r="QTJ80" s="456"/>
      <c r="QTK80" s="456"/>
      <c r="QTL80" s="456"/>
      <c r="QTM80" s="456"/>
      <c r="QTN80" s="456"/>
      <c r="QTO80" s="456"/>
      <c r="QTP80" s="456"/>
      <c r="QTQ80" s="456"/>
      <c r="QTR80" s="456"/>
      <c r="QTS80" s="456"/>
      <c r="QTT80" s="456"/>
      <c r="QTU80" s="456"/>
      <c r="QTV80" s="456"/>
      <c r="QTW80" s="456"/>
      <c r="QTX80" s="456"/>
      <c r="QTY80" s="456"/>
      <c r="QTZ80" s="456"/>
      <c r="QUA80" s="456"/>
      <c r="QUB80" s="456"/>
      <c r="QUC80" s="456"/>
      <c r="QUD80" s="456"/>
      <c r="QUE80" s="456"/>
      <c r="QUF80" s="456"/>
      <c r="QUG80" s="456"/>
      <c r="QUH80" s="456"/>
      <c r="QUI80" s="456"/>
      <c r="QUJ80" s="456"/>
      <c r="QUK80" s="456"/>
      <c r="QUL80" s="456"/>
      <c r="QUM80" s="456"/>
      <c r="QUN80" s="456"/>
      <c r="QUO80" s="456"/>
      <c r="QUP80" s="456"/>
      <c r="QUQ80" s="456"/>
      <c r="QUR80" s="456"/>
      <c r="QUS80" s="456"/>
      <c r="QUT80" s="456"/>
      <c r="QUU80" s="456"/>
      <c r="QUV80" s="456"/>
      <c r="QUW80" s="456"/>
      <c r="QUX80" s="456"/>
      <c r="QUY80" s="456"/>
      <c r="QUZ80" s="456"/>
      <c r="QVA80" s="456"/>
      <c r="QVB80" s="456"/>
      <c r="QVC80" s="456"/>
      <c r="QVD80" s="456"/>
      <c r="QVE80" s="456"/>
      <c r="QVF80" s="456"/>
      <c r="QVG80" s="456"/>
      <c r="QVH80" s="456"/>
      <c r="QVI80" s="456"/>
      <c r="QVJ80" s="456"/>
      <c r="QVK80" s="456"/>
      <c r="QVL80" s="456"/>
      <c r="QVM80" s="456"/>
      <c r="QVN80" s="456"/>
      <c r="QVO80" s="456"/>
      <c r="QVP80" s="456"/>
      <c r="QVQ80" s="456"/>
      <c r="QVR80" s="456"/>
      <c r="QVS80" s="456"/>
      <c r="QVT80" s="456"/>
      <c r="QVU80" s="456"/>
      <c r="QVV80" s="456"/>
      <c r="QVW80" s="456"/>
      <c r="QVX80" s="456"/>
      <c r="QVY80" s="456"/>
      <c r="QVZ80" s="456"/>
      <c r="QWA80" s="456"/>
      <c r="QWB80" s="456"/>
      <c r="QWC80" s="456"/>
      <c r="QWD80" s="456"/>
      <c r="QWE80" s="456"/>
      <c r="QWF80" s="456"/>
      <c r="QWG80" s="456"/>
      <c r="QWH80" s="456"/>
      <c r="QWI80" s="456"/>
      <c r="QWJ80" s="456"/>
      <c r="QWK80" s="456"/>
      <c r="QWL80" s="456"/>
      <c r="QWM80" s="456"/>
      <c r="QWN80" s="456"/>
      <c r="QWO80" s="456"/>
      <c r="QWP80" s="456"/>
      <c r="QWQ80" s="456"/>
      <c r="QWR80" s="456"/>
      <c r="QWS80" s="456"/>
      <c r="QWT80" s="456"/>
      <c r="QWU80" s="456"/>
      <c r="QWV80" s="456"/>
      <c r="QWW80" s="456"/>
      <c r="QWX80" s="456"/>
      <c r="QWY80" s="456"/>
      <c r="QWZ80" s="456"/>
      <c r="QXA80" s="456"/>
      <c r="QXB80" s="456"/>
      <c r="QXC80" s="456"/>
      <c r="QXD80" s="456"/>
      <c r="QXE80" s="456"/>
      <c r="QXF80" s="456"/>
      <c r="QXG80" s="456"/>
      <c r="QXH80" s="456"/>
      <c r="QXI80" s="456"/>
      <c r="QXJ80" s="456"/>
      <c r="QXK80" s="456"/>
      <c r="QXL80" s="456"/>
      <c r="QXM80" s="456"/>
      <c r="QXN80" s="456"/>
      <c r="QXO80" s="456"/>
      <c r="QXP80" s="456"/>
      <c r="QXQ80" s="456"/>
      <c r="QXR80" s="456"/>
      <c r="QXS80" s="456"/>
      <c r="QXT80" s="456"/>
      <c r="QXU80" s="456"/>
      <c r="QXV80" s="456"/>
      <c r="QXW80" s="456"/>
      <c r="QXX80" s="456"/>
      <c r="QXY80" s="456"/>
      <c r="QXZ80" s="456"/>
      <c r="QYA80" s="456"/>
      <c r="QYB80" s="456"/>
      <c r="QYC80" s="456"/>
      <c r="QYD80" s="456"/>
      <c r="QYE80" s="456"/>
      <c r="QYF80" s="456"/>
      <c r="QYG80" s="456"/>
      <c r="QYH80" s="456"/>
      <c r="QYI80" s="456"/>
      <c r="QYJ80" s="456"/>
      <c r="QYK80" s="456"/>
      <c r="QYL80" s="456"/>
      <c r="QYM80" s="456"/>
      <c r="QYN80" s="456"/>
      <c r="QYO80" s="456"/>
      <c r="QYP80" s="456"/>
      <c r="QYQ80" s="456"/>
      <c r="QYR80" s="456"/>
      <c r="QYS80" s="456"/>
      <c r="QYT80" s="456"/>
      <c r="QYU80" s="456"/>
      <c r="QYV80" s="456"/>
      <c r="QYW80" s="456"/>
      <c r="QYX80" s="456"/>
      <c r="QYY80" s="456"/>
      <c r="QYZ80" s="456"/>
      <c r="QZA80" s="456"/>
      <c r="QZB80" s="456"/>
      <c r="QZC80" s="456"/>
      <c r="QZD80" s="456"/>
      <c r="QZE80" s="456"/>
      <c r="QZF80" s="456"/>
      <c r="QZG80" s="456"/>
      <c r="QZH80" s="456"/>
      <c r="QZI80" s="456"/>
      <c r="QZJ80" s="456"/>
      <c r="QZK80" s="456"/>
      <c r="QZL80" s="456"/>
      <c r="QZM80" s="456"/>
      <c r="QZN80" s="456"/>
      <c r="QZO80" s="456"/>
      <c r="QZP80" s="456"/>
      <c r="QZQ80" s="456"/>
      <c r="QZR80" s="456"/>
      <c r="QZS80" s="456"/>
      <c r="QZT80" s="456"/>
      <c r="QZU80" s="456"/>
      <c r="QZV80" s="456"/>
      <c r="QZW80" s="456"/>
      <c r="QZX80" s="456"/>
      <c r="QZY80" s="456"/>
      <c r="QZZ80" s="456"/>
      <c r="RAA80" s="456"/>
      <c r="RAB80" s="456"/>
      <c r="RAC80" s="456"/>
      <c r="RAD80" s="456"/>
      <c r="RAE80" s="456"/>
      <c r="RAF80" s="456"/>
      <c r="RAG80" s="456"/>
      <c r="RAH80" s="456"/>
      <c r="RAI80" s="456"/>
      <c r="RAJ80" s="456"/>
      <c r="RAK80" s="456"/>
      <c r="RAL80" s="456"/>
      <c r="RAM80" s="456"/>
      <c r="RAN80" s="456"/>
      <c r="RAO80" s="456"/>
      <c r="RAP80" s="456"/>
      <c r="RAQ80" s="456"/>
      <c r="RAR80" s="456"/>
      <c r="RAS80" s="456"/>
      <c r="RAT80" s="456"/>
      <c r="RAU80" s="456"/>
      <c r="RAV80" s="456"/>
      <c r="RAW80" s="456"/>
      <c r="RAX80" s="456"/>
      <c r="RAY80" s="456"/>
      <c r="RAZ80" s="456"/>
      <c r="RBA80" s="456"/>
      <c r="RBB80" s="456"/>
      <c r="RBC80" s="456"/>
      <c r="RBD80" s="456"/>
      <c r="RBE80" s="456"/>
      <c r="RBF80" s="456"/>
      <c r="RBG80" s="456"/>
      <c r="RBH80" s="456"/>
      <c r="RBI80" s="456"/>
      <c r="RBJ80" s="456"/>
      <c r="RBK80" s="456"/>
      <c r="RBL80" s="456"/>
      <c r="RBM80" s="456"/>
      <c r="RBN80" s="456"/>
      <c r="RBO80" s="456"/>
      <c r="RBP80" s="456"/>
      <c r="RBQ80" s="456"/>
      <c r="RBR80" s="456"/>
      <c r="RBS80" s="456"/>
      <c r="RBT80" s="456"/>
      <c r="RBU80" s="456"/>
      <c r="RBV80" s="456"/>
      <c r="RBW80" s="456"/>
      <c r="RBX80" s="456"/>
      <c r="RBY80" s="456"/>
      <c r="RBZ80" s="456"/>
      <c r="RCA80" s="456"/>
      <c r="RCB80" s="456"/>
      <c r="RCC80" s="456"/>
      <c r="RCD80" s="456"/>
      <c r="RCE80" s="456"/>
      <c r="RCF80" s="456"/>
      <c r="RCG80" s="456"/>
      <c r="RCH80" s="456"/>
      <c r="RCI80" s="456"/>
      <c r="RCJ80" s="456"/>
      <c r="RCK80" s="456"/>
      <c r="RCL80" s="456"/>
      <c r="RCM80" s="456"/>
      <c r="RCN80" s="456"/>
      <c r="RCO80" s="456"/>
      <c r="RCP80" s="456"/>
      <c r="RCQ80" s="456"/>
      <c r="RCR80" s="456"/>
      <c r="RCS80" s="456"/>
      <c r="RCT80" s="456"/>
      <c r="RCU80" s="456"/>
      <c r="RCV80" s="456"/>
      <c r="RCW80" s="456"/>
      <c r="RCX80" s="456"/>
      <c r="RCY80" s="456"/>
      <c r="RCZ80" s="456"/>
      <c r="RDA80" s="456"/>
      <c r="RDB80" s="456"/>
      <c r="RDC80" s="456"/>
      <c r="RDD80" s="456"/>
      <c r="RDE80" s="456"/>
      <c r="RDF80" s="456"/>
      <c r="RDG80" s="456"/>
      <c r="RDH80" s="456"/>
      <c r="RDI80" s="456"/>
      <c r="RDJ80" s="456"/>
      <c r="RDK80" s="456"/>
      <c r="RDL80" s="456"/>
      <c r="RDM80" s="456"/>
      <c r="RDN80" s="456"/>
      <c r="RDO80" s="456"/>
      <c r="RDP80" s="456"/>
      <c r="RDQ80" s="456"/>
      <c r="RDR80" s="456"/>
      <c r="RDS80" s="456"/>
      <c r="RDT80" s="456"/>
      <c r="RDU80" s="456"/>
      <c r="RDV80" s="456"/>
      <c r="RDW80" s="456"/>
      <c r="RDX80" s="456"/>
      <c r="RDY80" s="456"/>
      <c r="RDZ80" s="456"/>
      <c r="REA80" s="456"/>
      <c r="REB80" s="456"/>
      <c r="REC80" s="456"/>
      <c r="RED80" s="456"/>
      <c r="REE80" s="456"/>
      <c r="REF80" s="456"/>
      <c r="REG80" s="456"/>
      <c r="REH80" s="456"/>
      <c r="REI80" s="456"/>
      <c r="REJ80" s="456"/>
      <c r="REK80" s="456"/>
      <c r="REL80" s="456"/>
      <c r="REM80" s="456"/>
      <c r="REN80" s="456"/>
      <c r="REO80" s="456"/>
      <c r="REP80" s="456"/>
      <c r="REQ80" s="456"/>
      <c r="RER80" s="456"/>
      <c r="RES80" s="456"/>
      <c r="RET80" s="456"/>
      <c r="REU80" s="456"/>
      <c r="REV80" s="456"/>
      <c r="REW80" s="456"/>
      <c r="REX80" s="456"/>
      <c r="REY80" s="456"/>
      <c r="REZ80" s="456"/>
      <c r="RFA80" s="456"/>
      <c r="RFB80" s="456"/>
      <c r="RFC80" s="456"/>
      <c r="RFD80" s="456"/>
      <c r="RFE80" s="456"/>
      <c r="RFF80" s="456"/>
      <c r="RFG80" s="456"/>
      <c r="RFH80" s="456"/>
      <c r="RFI80" s="456"/>
      <c r="RFJ80" s="456"/>
      <c r="RFK80" s="456"/>
      <c r="RFL80" s="456"/>
      <c r="RFM80" s="456"/>
      <c r="RFN80" s="456"/>
      <c r="RFO80" s="456"/>
      <c r="RFP80" s="456"/>
      <c r="RFQ80" s="456"/>
      <c r="RFR80" s="456"/>
      <c r="RFS80" s="456"/>
      <c r="RFT80" s="456"/>
      <c r="RFU80" s="456"/>
      <c r="RFV80" s="456"/>
      <c r="RFW80" s="456"/>
      <c r="RFX80" s="456"/>
      <c r="RFY80" s="456"/>
      <c r="RFZ80" s="456"/>
      <c r="RGA80" s="456"/>
      <c r="RGB80" s="456"/>
      <c r="RGC80" s="456"/>
      <c r="RGD80" s="456"/>
      <c r="RGE80" s="456"/>
      <c r="RGF80" s="456"/>
      <c r="RGG80" s="456"/>
      <c r="RGH80" s="456"/>
      <c r="RGI80" s="456"/>
      <c r="RGJ80" s="456"/>
      <c r="RGK80" s="456"/>
      <c r="RGL80" s="456"/>
      <c r="RGM80" s="456"/>
      <c r="RGN80" s="456"/>
      <c r="RGO80" s="456"/>
      <c r="RGP80" s="456"/>
      <c r="RGQ80" s="456"/>
      <c r="RGR80" s="456"/>
      <c r="RGS80" s="456"/>
      <c r="RGT80" s="456"/>
      <c r="RGU80" s="456"/>
      <c r="RGV80" s="456"/>
      <c r="RGW80" s="456"/>
      <c r="RGX80" s="456"/>
      <c r="RGY80" s="456"/>
      <c r="RGZ80" s="456"/>
      <c r="RHA80" s="456"/>
      <c r="RHB80" s="456"/>
      <c r="RHC80" s="456"/>
      <c r="RHD80" s="456"/>
      <c r="RHE80" s="456"/>
      <c r="RHF80" s="456"/>
      <c r="RHG80" s="456"/>
      <c r="RHH80" s="456"/>
      <c r="RHI80" s="456"/>
      <c r="RHJ80" s="456"/>
      <c r="RHK80" s="456"/>
      <c r="RHL80" s="456"/>
      <c r="RHM80" s="456"/>
      <c r="RHN80" s="456"/>
      <c r="RHO80" s="456"/>
      <c r="RHP80" s="456"/>
      <c r="RHQ80" s="456"/>
      <c r="RHR80" s="456"/>
      <c r="RHS80" s="456"/>
      <c r="RHT80" s="456"/>
      <c r="RHU80" s="456"/>
      <c r="RHV80" s="456"/>
      <c r="RHW80" s="456"/>
      <c r="RHX80" s="456"/>
      <c r="RHY80" s="456"/>
      <c r="RHZ80" s="456"/>
      <c r="RIA80" s="456"/>
      <c r="RIB80" s="456"/>
      <c r="RIC80" s="456"/>
      <c r="RID80" s="456"/>
      <c r="RIE80" s="456"/>
      <c r="RIF80" s="456"/>
      <c r="RIG80" s="456"/>
      <c r="RIH80" s="456"/>
      <c r="RII80" s="456"/>
      <c r="RIJ80" s="456"/>
      <c r="RIK80" s="456"/>
      <c r="RIL80" s="456"/>
      <c r="RIM80" s="456"/>
      <c r="RIN80" s="456"/>
      <c r="RIO80" s="456"/>
      <c r="RIP80" s="456"/>
      <c r="RIQ80" s="456"/>
      <c r="RIR80" s="456"/>
      <c r="RIS80" s="456"/>
      <c r="RIT80" s="456"/>
      <c r="RIU80" s="456"/>
      <c r="RIV80" s="456"/>
      <c r="RIW80" s="456"/>
      <c r="RIX80" s="456"/>
      <c r="RIY80" s="456"/>
      <c r="RIZ80" s="456"/>
      <c r="RJA80" s="456"/>
      <c r="RJB80" s="456"/>
      <c r="RJC80" s="456"/>
      <c r="RJD80" s="456"/>
      <c r="RJE80" s="456"/>
      <c r="RJF80" s="456"/>
      <c r="RJG80" s="456"/>
      <c r="RJH80" s="456"/>
      <c r="RJI80" s="456"/>
      <c r="RJJ80" s="456"/>
      <c r="RJK80" s="456"/>
      <c r="RJL80" s="456"/>
      <c r="RJM80" s="456"/>
      <c r="RJN80" s="456"/>
      <c r="RJO80" s="456"/>
      <c r="RJP80" s="456"/>
      <c r="RJQ80" s="456"/>
      <c r="RJR80" s="456"/>
      <c r="RJS80" s="456"/>
      <c r="RJT80" s="456"/>
      <c r="RJU80" s="456"/>
      <c r="RJV80" s="456"/>
      <c r="RJW80" s="456"/>
      <c r="RJX80" s="456"/>
      <c r="RJY80" s="456"/>
      <c r="RJZ80" s="456"/>
      <c r="RKA80" s="456"/>
      <c r="RKB80" s="456"/>
      <c r="RKC80" s="456"/>
      <c r="RKD80" s="456"/>
      <c r="RKE80" s="456"/>
      <c r="RKF80" s="456"/>
      <c r="RKG80" s="456"/>
      <c r="RKH80" s="456"/>
      <c r="RKI80" s="456"/>
      <c r="RKJ80" s="456"/>
      <c r="RKK80" s="456"/>
      <c r="RKL80" s="456"/>
      <c r="RKM80" s="456"/>
      <c r="RKN80" s="456"/>
      <c r="RKO80" s="456"/>
      <c r="RKP80" s="456"/>
      <c r="RKQ80" s="456"/>
      <c r="RKR80" s="456"/>
      <c r="RKS80" s="456"/>
      <c r="RKT80" s="456"/>
      <c r="RKU80" s="456"/>
      <c r="RKV80" s="456"/>
      <c r="RKW80" s="456"/>
      <c r="RKX80" s="456"/>
      <c r="RKY80" s="456"/>
      <c r="RKZ80" s="456"/>
      <c r="RLA80" s="456"/>
      <c r="RLB80" s="456"/>
      <c r="RLC80" s="456"/>
      <c r="RLD80" s="456"/>
      <c r="RLE80" s="456"/>
      <c r="RLF80" s="456"/>
      <c r="RLG80" s="456"/>
      <c r="RLH80" s="456"/>
      <c r="RLI80" s="456"/>
      <c r="RLJ80" s="456"/>
      <c r="RLK80" s="456"/>
      <c r="RLL80" s="456"/>
      <c r="RLM80" s="456"/>
      <c r="RLN80" s="456"/>
      <c r="RLO80" s="456"/>
      <c r="RLP80" s="456"/>
      <c r="RLQ80" s="456"/>
      <c r="RLR80" s="456"/>
      <c r="RLS80" s="456"/>
      <c r="RLT80" s="456"/>
      <c r="RLU80" s="456"/>
      <c r="RLV80" s="456"/>
      <c r="RLW80" s="456"/>
      <c r="RLX80" s="456"/>
      <c r="RLY80" s="456"/>
      <c r="RLZ80" s="456"/>
      <c r="RMA80" s="456"/>
      <c r="RMB80" s="456"/>
      <c r="RMC80" s="456"/>
      <c r="RMD80" s="456"/>
      <c r="RME80" s="456"/>
      <c r="RMF80" s="456"/>
      <c r="RMG80" s="456"/>
      <c r="RMH80" s="456"/>
      <c r="RMI80" s="456"/>
      <c r="RMJ80" s="456"/>
      <c r="RMK80" s="456"/>
      <c r="RML80" s="456"/>
      <c r="RMM80" s="456"/>
      <c r="RMN80" s="456"/>
      <c r="RMO80" s="456"/>
      <c r="RMP80" s="456"/>
      <c r="RMQ80" s="456"/>
      <c r="RMR80" s="456"/>
      <c r="RMS80" s="456"/>
      <c r="RMT80" s="456"/>
      <c r="RMU80" s="456"/>
      <c r="RMV80" s="456"/>
      <c r="RMW80" s="456"/>
      <c r="RMX80" s="456"/>
      <c r="RMY80" s="456"/>
      <c r="RMZ80" s="456"/>
      <c r="RNA80" s="456"/>
      <c r="RNB80" s="456"/>
      <c r="RNC80" s="456"/>
      <c r="RND80" s="456"/>
      <c r="RNE80" s="456"/>
      <c r="RNF80" s="456"/>
      <c r="RNG80" s="456"/>
      <c r="RNH80" s="456"/>
      <c r="RNI80" s="456"/>
      <c r="RNJ80" s="456"/>
      <c r="RNK80" s="456"/>
      <c r="RNL80" s="456"/>
      <c r="RNM80" s="456"/>
      <c r="RNN80" s="456"/>
      <c r="RNO80" s="456"/>
      <c r="RNP80" s="456"/>
      <c r="RNQ80" s="456"/>
      <c r="RNR80" s="456"/>
      <c r="RNS80" s="456"/>
      <c r="RNT80" s="456"/>
      <c r="RNU80" s="456"/>
      <c r="RNV80" s="456"/>
      <c r="RNW80" s="456"/>
      <c r="RNX80" s="456"/>
      <c r="RNY80" s="456"/>
      <c r="RNZ80" s="456"/>
      <c r="ROA80" s="456"/>
      <c r="ROB80" s="456"/>
      <c r="ROC80" s="456"/>
      <c r="ROD80" s="456"/>
      <c r="ROE80" s="456"/>
      <c r="ROF80" s="456"/>
      <c r="ROG80" s="456"/>
      <c r="ROH80" s="456"/>
      <c r="ROI80" s="456"/>
      <c r="ROJ80" s="456"/>
      <c r="ROK80" s="456"/>
      <c r="ROL80" s="456"/>
      <c r="ROM80" s="456"/>
      <c r="RON80" s="456"/>
      <c r="ROO80" s="456"/>
      <c r="ROP80" s="456"/>
      <c r="ROQ80" s="456"/>
      <c r="ROR80" s="456"/>
      <c r="ROS80" s="456"/>
      <c r="ROT80" s="456"/>
      <c r="ROU80" s="456"/>
      <c r="ROV80" s="456"/>
      <c r="ROW80" s="456"/>
      <c r="ROX80" s="456"/>
      <c r="ROY80" s="456"/>
      <c r="ROZ80" s="456"/>
      <c r="RPA80" s="456"/>
      <c r="RPB80" s="456"/>
      <c r="RPC80" s="456"/>
      <c r="RPD80" s="456"/>
      <c r="RPE80" s="456"/>
      <c r="RPF80" s="456"/>
      <c r="RPG80" s="456"/>
      <c r="RPH80" s="456"/>
      <c r="RPI80" s="456"/>
      <c r="RPJ80" s="456"/>
      <c r="RPK80" s="456"/>
      <c r="RPL80" s="456"/>
      <c r="RPM80" s="456"/>
      <c r="RPN80" s="456"/>
      <c r="RPO80" s="456"/>
      <c r="RPP80" s="456"/>
      <c r="RPQ80" s="456"/>
      <c r="RPR80" s="456"/>
      <c r="RPS80" s="456"/>
      <c r="RPT80" s="456"/>
      <c r="RPU80" s="456"/>
      <c r="RPV80" s="456"/>
      <c r="RPW80" s="456"/>
      <c r="RPX80" s="456"/>
      <c r="RPY80" s="456"/>
      <c r="RPZ80" s="456"/>
      <c r="RQA80" s="456"/>
      <c r="RQB80" s="456"/>
      <c r="RQC80" s="456"/>
      <c r="RQD80" s="456"/>
      <c r="RQE80" s="456"/>
      <c r="RQF80" s="456"/>
      <c r="RQG80" s="456"/>
      <c r="RQH80" s="456"/>
      <c r="RQI80" s="456"/>
      <c r="RQJ80" s="456"/>
      <c r="RQK80" s="456"/>
      <c r="RQL80" s="456"/>
      <c r="RQM80" s="456"/>
      <c r="RQN80" s="456"/>
      <c r="RQO80" s="456"/>
      <c r="RQP80" s="456"/>
      <c r="RQQ80" s="456"/>
      <c r="RQR80" s="456"/>
      <c r="RQS80" s="456"/>
      <c r="RQT80" s="456"/>
      <c r="RQU80" s="456"/>
      <c r="RQV80" s="456"/>
      <c r="RQW80" s="456"/>
      <c r="RQX80" s="456"/>
      <c r="RQY80" s="456"/>
      <c r="RQZ80" s="456"/>
      <c r="RRA80" s="456"/>
      <c r="RRB80" s="456"/>
      <c r="RRC80" s="456"/>
      <c r="RRD80" s="456"/>
      <c r="RRE80" s="456"/>
      <c r="RRF80" s="456"/>
      <c r="RRG80" s="456"/>
      <c r="RRH80" s="456"/>
      <c r="RRI80" s="456"/>
      <c r="RRJ80" s="456"/>
      <c r="RRK80" s="456"/>
      <c r="RRL80" s="456"/>
      <c r="RRM80" s="456"/>
      <c r="RRN80" s="456"/>
      <c r="RRO80" s="456"/>
      <c r="RRP80" s="456"/>
      <c r="RRQ80" s="456"/>
      <c r="RRR80" s="456"/>
      <c r="RRS80" s="456"/>
      <c r="RRT80" s="456"/>
      <c r="RRU80" s="456"/>
      <c r="RRV80" s="456"/>
      <c r="RRW80" s="456"/>
      <c r="RRX80" s="456"/>
      <c r="RRY80" s="456"/>
      <c r="RRZ80" s="456"/>
      <c r="RSA80" s="456"/>
      <c r="RSB80" s="456"/>
      <c r="RSC80" s="456"/>
      <c r="RSD80" s="456"/>
      <c r="RSE80" s="456"/>
      <c r="RSF80" s="456"/>
      <c r="RSG80" s="456"/>
      <c r="RSH80" s="456"/>
      <c r="RSI80" s="456"/>
      <c r="RSJ80" s="456"/>
      <c r="RSK80" s="456"/>
      <c r="RSL80" s="456"/>
      <c r="RSM80" s="456"/>
      <c r="RSN80" s="456"/>
      <c r="RSO80" s="456"/>
      <c r="RSP80" s="456"/>
      <c r="RSQ80" s="456"/>
      <c r="RSR80" s="456"/>
      <c r="RSS80" s="456"/>
      <c r="RST80" s="456"/>
      <c r="RSU80" s="456"/>
      <c r="RSV80" s="456"/>
      <c r="RSW80" s="456"/>
      <c r="RSX80" s="456"/>
      <c r="RSY80" s="456"/>
      <c r="RSZ80" s="456"/>
      <c r="RTA80" s="456"/>
      <c r="RTB80" s="456"/>
      <c r="RTC80" s="456"/>
      <c r="RTD80" s="456"/>
      <c r="RTE80" s="456"/>
      <c r="RTF80" s="456"/>
      <c r="RTG80" s="456"/>
      <c r="RTH80" s="456"/>
      <c r="RTI80" s="456"/>
      <c r="RTJ80" s="456"/>
      <c r="RTK80" s="456"/>
      <c r="RTL80" s="456"/>
      <c r="RTM80" s="456"/>
      <c r="RTN80" s="456"/>
      <c r="RTO80" s="456"/>
      <c r="RTP80" s="456"/>
      <c r="RTQ80" s="456"/>
      <c r="RTR80" s="456"/>
      <c r="RTS80" s="456"/>
      <c r="RTT80" s="456"/>
      <c r="RTU80" s="456"/>
      <c r="RTV80" s="456"/>
      <c r="RTW80" s="456"/>
      <c r="RTX80" s="456"/>
      <c r="RTY80" s="456"/>
      <c r="RTZ80" s="456"/>
      <c r="RUA80" s="456"/>
      <c r="RUB80" s="456"/>
      <c r="RUC80" s="456"/>
      <c r="RUD80" s="456"/>
      <c r="RUE80" s="456"/>
      <c r="RUF80" s="456"/>
      <c r="RUG80" s="456"/>
      <c r="RUH80" s="456"/>
      <c r="RUI80" s="456"/>
      <c r="RUJ80" s="456"/>
      <c r="RUK80" s="456"/>
      <c r="RUL80" s="456"/>
      <c r="RUM80" s="456"/>
      <c r="RUN80" s="456"/>
      <c r="RUO80" s="456"/>
      <c r="RUP80" s="456"/>
      <c r="RUQ80" s="456"/>
      <c r="RUR80" s="456"/>
      <c r="RUS80" s="456"/>
      <c r="RUT80" s="456"/>
      <c r="RUU80" s="456"/>
      <c r="RUV80" s="456"/>
      <c r="RUW80" s="456"/>
      <c r="RUX80" s="456"/>
      <c r="RUY80" s="456"/>
      <c r="RUZ80" s="456"/>
      <c r="RVA80" s="456"/>
      <c r="RVB80" s="456"/>
      <c r="RVC80" s="456"/>
      <c r="RVD80" s="456"/>
      <c r="RVE80" s="456"/>
      <c r="RVF80" s="456"/>
      <c r="RVG80" s="456"/>
      <c r="RVH80" s="456"/>
      <c r="RVI80" s="456"/>
      <c r="RVJ80" s="456"/>
      <c r="RVK80" s="456"/>
      <c r="RVL80" s="456"/>
      <c r="RVM80" s="456"/>
      <c r="RVN80" s="456"/>
      <c r="RVO80" s="456"/>
      <c r="RVP80" s="456"/>
      <c r="RVQ80" s="456"/>
      <c r="RVR80" s="456"/>
      <c r="RVS80" s="456"/>
      <c r="RVT80" s="456"/>
      <c r="RVU80" s="456"/>
      <c r="RVV80" s="456"/>
      <c r="RVW80" s="456"/>
      <c r="RVX80" s="456"/>
      <c r="RVY80" s="456"/>
      <c r="RVZ80" s="456"/>
      <c r="RWA80" s="456"/>
      <c r="RWB80" s="456"/>
      <c r="RWC80" s="456"/>
      <c r="RWD80" s="456"/>
      <c r="RWE80" s="456"/>
      <c r="RWF80" s="456"/>
      <c r="RWG80" s="456"/>
      <c r="RWH80" s="456"/>
      <c r="RWI80" s="456"/>
      <c r="RWJ80" s="456"/>
      <c r="RWK80" s="456"/>
      <c r="RWL80" s="456"/>
      <c r="RWM80" s="456"/>
      <c r="RWN80" s="456"/>
      <c r="RWO80" s="456"/>
      <c r="RWP80" s="456"/>
      <c r="RWQ80" s="456"/>
      <c r="RWR80" s="456"/>
      <c r="RWS80" s="456"/>
      <c r="RWT80" s="456"/>
      <c r="RWU80" s="456"/>
      <c r="RWV80" s="456"/>
      <c r="RWW80" s="456"/>
      <c r="RWX80" s="456"/>
      <c r="RWY80" s="456"/>
      <c r="RWZ80" s="456"/>
      <c r="RXA80" s="456"/>
      <c r="RXB80" s="456"/>
      <c r="RXC80" s="456"/>
      <c r="RXD80" s="456"/>
      <c r="RXE80" s="456"/>
      <c r="RXF80" s="456"/>
      <c r="RXG80" s="456"/>
      <c r="RXH80" s="456"/>
      <c r="RXI80" s="456"/>
      <c r="RXJ80" s="456"/>
      <c r="RXK80" s="456"/>
      <c r="RXL80" s="456"/>
      <c r="RXM80" s="456"/>
      <c r="RXN80" s="456"/>
      <c r="RXO80" s="456"/>
      <c r="RXP80" s="456"/>
      <c r="RXQ80" s="456"/>
      <c r="RXR80" s="456"/>
      <c r="RXS80" s="456"/>
      <c r="RXT80" s="456"/>
      <c r="RXU80" s="456"/>
      <c r="RXV80" s="456"/>
      <c r="RXW80" s="456"/>
      <c r="RXX80" s="456"/>
      <c r="RXY80" s="456"/>
      <c r="RXZ80" s="456"/>
      <c r="RYA80" s="456"/>
      <c r="RYB80" s="456"/>
      <c r="RYC80" s="456"/>
      <c r="RYD80" s="456"/>
      <c r="RYE80" s="456"/>
      <c r="RYF80" s="456"/>
      <c r="RYG80" s="456"/>
      <c r="RYH80" s="456"/>
      <c r="RYI80" s="456"/>
      <c r="RYJ80" s="456"/>
      <c r="RYK80" s="456"/>
      <c r="RYL80" s="456"/>
      <c r="RYM80" s="456"/>
      <c r="RYN80" s="456"/>
      <c r="RYO80" s="456"/>
      <c r="RYP80" s="456"/>
      <c r="RYQ80" s="456"/>
      <c r="RYR80" s="456"/>
      <c r="RYS80" s="456"/>
      <c r="RYT80" s="456"/>
      <c r="RYU80" s="456"/>
      <c r="RYV80" s="456"/>
      <c r="RYW80" s="456"/>
      <c r="RYX80" s="456"/>
      <c r="RYY80" s="456"/>
      <c r="RYZ80" s="456"/>
      <c r="RZA80" s="456"/>
      <c r="RZB80" s="456"/>
      <c r="RZC80" s="456"/>
      <c r="RZD80" s="456"/>
      <c r="RZE80" s="456"/>
      <c r="RZF80" s="456"/>
      <c r="RZG80" s="456"/>
      <c r="RZH80" s="456"/>
      <c r="RZI80" s="456"/>
      <c r="RZJ80" s="456"/>
      <c r="RZK80" s="456"/>
      <c r="RZL80" s="456"/>
      <c r="RZM80" s="456"/>
      <c r="RZN80" s="456"/>
      <c r="RZO80" s="456"/>
      <c r="RZP80" s="456"/>
      <c r="RZQ80" s="456"/>
      <c r="RZR80" s="456"/>
      <c r="RZS80" s="456"/>
      <c r="RZT80" s="456"/>
      <c r="RZU80" s="456"/>
      <c r="RZV80" s="456"/>
      <c r="RZW80" s="456"/>
      <c r="RZX80" s="456"/>
      <c r="RZY80" s="456"/>
      <c r="RZZ80" s="456"/>
      <c r="SAA80" s="456"/>
      <c r="SAB80" s="456"/>
      <c r="SAC80" s="456"/>
      <c r="SAD80" s="456"/>
      <c r="SAE80" s="456"/>
      <c r="SAF80" s="456"/>
      <c r="SAG80" s="456"/>
      <c r="SAH80" s="456"/>
      <c r="SAI80" s="456"/>
      <c r="SAJ80" s="456"/>
      <c r="SAK80" s="456"/>
      <c r="SAL80" s="456"/>
      <c r="SAM80" s="456"/>
      <c r="SAN80" s="456"/>
      <c r="SAO80" s="456"/>
      <c r="SAP80" s="456"/>
      <c r="SAQ80" s="456"/>
      <c r="SAR80" s="456"/>
      <c r="SAS80" s="456"/>
      <c r="SAT80" s="456"/>
      <c r="SAU80" s="456"/>
      <c r="SAV80" s="456"/>
      <c r="SAW80" s="456"/>
      <c r="SAX80" s="456"/>
      <c r="SAY80" s="456"/>
      <c r="SAZ80" s="456"/>
      <c r="SBA80" s="456"/>
      <c r="SBB80" s="456"/>
      <c r="SBC80" s="456"/>
      <c r="SBD80" s="456"/>
      <c r="SBE80" s="456"/>
      <c r="SBF80" s="456"/>
      <c r="SBG80" s="456"/>
      <c r="SBH80" s="456"/>
      <c r="SBI80" s="456"/>
      <c r="SBJ80" s="456"/>
      <c r="SBK80" s="456"/>
      <c r="SBL80" s="456"/>
      <c r="SBM80" s="456"/>
      <c r="SBN80" s="456"/>
      <c r="SBO80" s="456"/>
      <c r="SBP80" s="456"/>
      <c r="SBQ80" s="456"/>
      <c r="SBR80" s="456"/>
      <c r="SBS80" s="456"/>
      <c r="SBT80" s="456"/>
      <c r="SBU80" s="456"/>
      <c r="SBV80" s="456"/>
      <c r="SBW80" s="456"/>
      <c r="SBX80" s="456"/>
      <c r="SBY80" s="456"/>
      <c r="SBZ80" s="456"/>
      <c r="SCA80" s="456"/>
      <c r="SCB80" s="456"/>
      <c r="SCC80" s="456"/>
      <c r="SCD80" s="456"/>
      <c r="SCE80" s="456"/>
      <c r="SCF80" s="456"/>
      <c r="SCG80" s="456"/>
      <c r="SCH80" s="456"/>
      <c r="SCI80" s="456"/>
      <c r="SCJ80" s="456"/>
      <c r="SCK80" s="456"/>
      <c r="SCL80" s="456"/>
      <c r="SCM80" s="456"/>
      <c r="SCN80" s="456"/>
      <c r="SCO80" s="456"/>
      <c r="SCP80" s="456"/>
      <c r="SCQ80" s="456"/>
      <c r="SCR80" s="456"/>
      <c r="SCS80" s="456"/>
      <c r="SCT80" s="456"/>
      <c r="SCU80" s="456"/>
      <c r="SCV80" s="456"/>
      <c r="SCW80" s="456"/>
      <c r="SCX80" s="456"/>
      <c r="SCY80" s="456"/>
      <c r="SCZ80" s="456"/>
      <c r="SDA80" s="456"/>
      <c r="SDB80" s="456"/>
      <c r="SDC80" s="456"/>
      <c r="SDD80" s="456"/>
      <c r="SDE80" s="456"/>
      <c r="SDF80" s="456"/>
      <c r="SDG80" s="456"/>
      <c r="SDH80" s="456"/>
      <c r="SDI80" s="456"/>
      <c r="SDJ80" s="456"/>
      <c r="SDK80" s="456"/>
      <c r="SDL80" s="456"/>
      <c r="SDM80" s="456"/>
      <c r="SDN80" s="456"/>
      <c r="SDO80" s="456"/>
      <c r="SDP80" s="456"/>
      <c r="SDQ80" s="456"/>
      <c r="SDR80" s="456"/>
      <c r="SDS80" s="456"/>
      <c r="SDT80" s="456"/>
      <c r="SDU80" s="456"/>
      <c r="SDV80" s="456"/>
      <c r="SDW80" s="456"/>
      <c r="SDX80" s="456"/>
      <c r="SDY80" s="456"/>
      <c r="SDZ80" s="456"/>
      <c r="SEA80" s="456"/>
      <c r="SEB80" s="456"/>
      <c r="SEC80" s="456"/>
      <c r="SED80" s="456"/>
      <c r="SEE80" s="456"/>
      <c r="SEF80" s="456"/>
      <c r="SEG80" s="456"/>
      <c r="SEH80" s="456"/>
      <c r="SEI80" s="456"/>
      <c r="SEJ80" s="456"/>
      <c r="SEK80" s="456"/>
      <c r="SEL80" s="456"/>
      <c r="SEM80" s="456"/>
      <c r="SEN80" s="456"/>
      <c r="SEO80" s="456"/>
      <c r="SEP80" s="456"/>
      <c r="SEQ80" s="456"/>
      <c r="SER80" s="456"/>
      <c r="SES80" s="456"/>
      <c r="SET80" s="456"/>
      <c r="SEU80" s="456"/>
      <c r="SEV80" s="456"/>
      <c r="SEW80" s="456"/>
      <c r="SEX80" s="456"/>
      <c r="SEY80" s="456"/>
      <c r="SEZ80" s="456"/>
      <c r="SFA80" s="456"/>
      <c r="SFB80" s="456"/>
      <c r="SFC80" s="456"/>
      <c r="SFD80" s="456"/>
      <c r="SFE80" s="456"/>
      <c r="SFF80" s="456"/>
      <c r="SFG80" s="456"/>
      <c r="SFH80" s="456"/>
      <c r="SFI80" s="456"/>
      <c r="SFJ80" s="456"/>
      <c r="SFK80" s="456"/>
      <c r="SFL80" s="456"/>
      <c r="SFM80" s="456"/>
      <c r="SFN80" s="456"/>
      <c r="SFO80" s="456"/>
      <c r="SFP80" s="456"/>
      <c r="SFQ80" s="456"/>
      <c r="SFR80" s="456"/>
      <c r="SFS80" s="456"/>
      <c r="SFT80" s="456"/>
      <c r="SFU80" s="456"/>
      <c r="SFV80" s="456"/>
      <c r="SFW80" s="456"/>
      <c r="SFX80" s="456"/>
      <c r="SFY80" s="456"/>
      <c r="SFZ80" s="456"/>
      <c r="SGA80" s="456"/>
      <c r="SGB80" s="456"/>
      <c r="SGC80" s="456"/>
      <c r="SGD80" s="456"/>
      <c r="SGE80" s="456"/>
      <c r="SGF80" s="456"/>
      <c r="SGG80" s="456"/>
      <c r="SGH80" s="456"/>
      <c r="SGI80" s="456"/>
      <c r="SGJ80" s="456"/>
      <c r="SGK80" s="456"/>
      <c r="SGL80" s="456"/>
      <c r="SGM80" s="456"/>
      <c r="SGN80" s="456"/>
      <c r="SGO80" s="456"/>
      <c r="SGP80" s="456"/>
      <c r="SGQ80" s="456"/>
      <c r="SGR80" s="456"/>
      <c r="SGS80" s="456"/>
      <c r="SGT80" s="456"/>
      <c r="SGU80" s="456"/>
      <c r="SGV80" s="456"/>
      <c r="SGW80" s="456"/>
      <c r="SGX80" s="456"/>
      <c r="SGY80" s="456"/>
      <c r="SGZ80" s="456"/>
      <c r="SHA80" s="456"/>
      <c r="SHB80" s="456"/>
      <c r="SHC80" s="456"/>
      <c r="SHD80" s="456"/>
      <c r="SHE80" s="456"/>
      <c r="SHF80" s="456"/>
      <c r="SHG80" s="456"/>
      <c r="SHH80" s="456"/>
      <c r="SHI80" s="456"/>
      <c r="SHJ80" s="456"/>
      <c r="SHK80" s="456"/>
      <c r="SHL80" s="456"/>
      <c r="SHM80" s="456"/>
      <c r="SHN80" s="456"/>
      <c r="SHO80" s="456"/>
      <c r="SHP80" s="456"/>
      <c r="SHQ80" s="456"/>
      <c r="SHR80" s="456"/>
      <c r="SHS80" s="456"/>
      <c r="SHT80" s="456"/>
      <c r="SHU80" s="456"/>
      <c r="SHV80" s="456"/>
      <c r="SHW80" s="456"/>
      <c r="SHX80" s="456"/>
      <c r="SHY80" s="456"/>
      <c r="SHZ80" s="456"/>
      <c r="SIA80" s="456"/>
      <c r="SIB80" s="456"/>
      <c r="SIC80" s="456"/>
      <c r="SID80" s="456"/>
      <c r="SIE80" s="456"/>
      <c r="SIF80" s="456"/>
      <c r="SIG80" s="456"/>
      <c r="SIH80" s="456"/>
      <c r="SII80" s="456"/>
      <c r="SIJ80" s="456"/>
      <c r="SIK80" s="456"/>
      <c r="SIL80" s="456"/>
      <c r="SIM80" s="456"/>
      <c r="SIN80" s="456"/>
      <c r="SIO80" s="456"/>
      <c r="SIP80" s="456"/>
      <c r="SIQ80" s="456"/>
      <c r="SIR80" s="456"/>
      <c r="SIS80" s="456"/>
      <c r="SIT80" s="456"/>
      <c r="SIU80" s="456"/>
      <c r="SIV80" s="456"/>
      <c r="SIW80" s="456"/>
      <c r="SIX80" s="456"/>
      <c r="SIY80" s="456"/>
      <c r="SIZ80" s="456"/>
      <c r="SJA80" s="456"/>
      <c r="SJB80" s="456"/>
      <c r="SJC80" s="456"/>
      <c r="SJD80" s="456"/>
      <c r="SJE80" s="456"/>
      <c r="SJF80" s="456"/>
      <c r="SJG80" s="456"/>
      <c r="SJH80" s="456"/>
      <c r="SJI80" s="456"/>
      <c r="SJJ80" s="456"/>
      <c r="SJK80" s="456"/>
      <c r="SJL80" s="456"/>
      <c r="SJM80" s="456"/>
      <c r="SJN80" s="456"/>
      <c r="SJO80" s="456"/>
      <c r="SJP80" s="456"/>
      <c r="SJQ80" s="456"/>
      <c r="SJR80" s="456"/>
      <c r="SJS80" s="456"/>
      <c r="SJT80" s="456"/>
      <c r="SJU80" s="456"/>
      <c r="SJV80" s="456"/>
      <c r="SJW80" s="456"/>
      <c r="SJX80" s="456"/>
      <c r="SJY80" s="456"/>
      <c r="SJZ80" s="456"/>
      <c r="SKA80" s="456"/>
      <c r="SKB80" s="456"/>
      <c r="SKC80" s="456"/>
      <c r="SKD80" s="456"/>
      <c r="SKE80" s="456"/>
      <c r="SKF80" s="456"/>
      <c r="SKG80" s="456"/>
      <c r="SKH80" s="456"/>
      <c r="SKI80" s="456"/>
      <c r="SKJ80" s="456"/>
      <c r="SKK80" s="456"/>
      <c r="SKL80" s="456"/>
      <c r="SKM80" s="456"/>
      <c r="SKN80" s="456"/>
      <c r="SKO80" s="456"/>
      <c r="SKP80" s="456"/>
      <c r="SKQ80" s="456"/>
      <c r="SKR80" s="456"/>
      <c r="SKS80" s="456"/>
      <c r="SKT80" s="456"/>
      <c r="SKU80" s="456"/>
      <c r="SKV80" s="456"/>
      <c r="SKW80" s="456"/>
      <c r="SKX80" s="456"/>
      <c r="SKY80" s="456"/>
      <c r="SKZ80" s="456"/>
      <c r="SLA80" s="456"/>
      <c r="SLB80" s="456"/>
      <c r="SLC80" s="456"/>
      <c r="SLD80" s="456"/>
      <c r="SLE80" s="456"/>
      <c r="SLF80" s="456"/>
      <c r="SLG80" s="456"/>
      <c r="SLH80" s="456"/>
      <c r="SLI80" s="456"/>
      <c r="SLJ80" s="456"/>
      <c r="SLK80" s="456"/>
      <c r="SLL80" s="456"/>
      <c r="SLM80" s="456"/>
      <c r="SLN80" s="456"/>
      <c r="SLO80" s="456"/>
      <c r="SLP80" s="456"/>
      <c r="SLQ80" s="456"/>
      <c r="SLR80" s="456"/>
      <c r="SLS80" s="456"/>
      <c r="SLT80" s="456"/>
      <c r="SLU80" s="456"/>
      <c r="SLV80" s="456"/>
      <c r="SLW80" s="456"/>
      <c r="SLX80" s="456"/>
      <c r="SLY80" s="456"/>
      <c r="SLZ80" s="456"/>
      <c r="SMA80" s="456"/>
      <c r="SMB80" s="456"/>
      <c r="SMC80" s="456"/>
      <c r="SMD80" s="456"/>
      <c r="SME80" s="456"/>
      <c r="SMF80" s="456"/>
      <c r="SMG80" s="456"/>
      <c r="SMH80" s="456"/>
      <c r="SMI80" s="456"/>
      <c r="SMJ80" s="456"/>
      <c r="SMK80" s="456"/>
      <c r="SML80" s="456"/>
      <c r="SMM80" s="456"/>
      <c r="SMN80" s="456"/>
      <c r="SMO80" s="456"/>
      <c r="SMP80" s="456"/>
      <c r="SMQ80" s="456"/>
      <c r="SMR80" s="456"/>
      <c r="SMS80" s="456"/>
      <c r="SMT80" s="456"/>
      <c r="SMU80" s="456"/>
      <c r="SMV80" s="456"/>
      <c r="SMW80" s="456"/>
      <c r="SMX80" s="456"/>
      <c r="SMY80" s="456"/>
      <c r="SMZ80" s="456"/>
      <c r="SNA80" s="456"/>
      <c r="SNB80" s="456"/>
      <c r="SNC80" s="456"/>
      <c r="SND80" s="456"/>
      <c r="SNE80" s="456"/>
      <c r="SNF80" s="456"/>
      <c r="SNG80" s="456"/>
      <c r="SNH80" s="456"/>
      <c r="SNI80" s="456"/>
      <c r="SNJ80" s="456"/>
      <c r="SNK80" s="456"/>
      <c r="SNL80" s="456"/>
      <c r="SNM80" s="456"/>
      <c r="SNN80" s="456"/>
      <c r="SNO80" s="456"/>
      <c r="SNP80" s="456"/>
      <c r="SNQ80" s="456"/>
      <c r="SNR80" s="456"/>
      <c r="SNS80" s="456"/>
      <c r="SNT80" s="456"/>
      <c r="SNU80" s="456"/>
      <c r="SNV80" s="456"/>
      <c r="SNW80" s="456"/>
      <c r="SNX80" s="456"/>
      <c r="SNY80" s="456"/>
      <c r="SNZ80" s="456"/>
      <c r="SOA80" s="456"/>
      <c r="SOB80" s="456"/>
      <c r="SOC80" s="456"/>
      <c r="SOD80" s="456"/>
      <c r="SOE80" s="456"/>
      <c r="SOF80" s="456"/>
      <c r="SOG80" s="456"/>
      <c r="SOH80" s="456"/>
      <c r="SOI80" s="456"/>
      <c r="SOJ80" s="456"/>
      <c r="SOK80" s="456"/>
      <c r="SOL80" s="456"/>
      <c r="SOM80" s="456"/>
      <c r="SON80" s="456"/>
      <c r="SOO80" s="456"/>
      <c r="SOP80" s="456"/>
      <c r="SOQ80" s="456"/>
      <c r="SOR80" s="456"/>
      <c r="SOS80" s="456"/>
      <c r="SOT80" s="456"/>
      <c r="SOU80" s="456"/>
      <c r="SOV80" s="456"/>
      <c r="SOW80" s="456"/>
      <c r="SOX80" s="456"/>
      <c r="SOY80" s="456"/>
      <c r="SOZ80" s="456"/>
      <c r="SPA80" s="456"/>
      <c r="SPB80" s="456"/>
      <c r="SPC80" s="456"/>
      <c r="SPD80" s="456"/>
      <c r="SPE80" s="456"/>
      <c r="SPF80" s="456"/>
      <c r="SPG80" s="456"/>
      <c r="SPH80" s="456"/>
      <c r="SPI80" s="456"/>
      <c r="SPJ80" s="456"/>
      <c r="SPK80" s="456"/>
      <c r="SPL80" s="456"/>
      <c r="SPM80" s="456"/>
      <c r="SPN80" s="456"/>
      <c r="SPO80" s="456"/>
      <c r="SPP80" s="456"/>
      <c r="SPQ80" s="456"/>
      <c r="SPR80" s="456"/>
      <c r="SPS80" s="456"/>
      <c r="SPT80" s="456"/>
      <c r="SPU80" s="456"/>
      <c r="SPV80" s="456"/>
      <c r="SPW80" s="456"/>
      <c r="SPX80" s="456"/>
      <c r="SPY80" s="456"/>
      <c r="SPZ80" s="456"/>
      <c r="SQA80" s="456"/>
      <c r="SQB80" s="456"/>
      <c r="SQC80" s="456"/>
      <c r="SQD80" s="456"/>
      <c r="SQE80" s="456"/>
      <c r="SQF80" s="456"/>
      <c r="SQG80" s="456"/>
      <c r="SQH80" s="456"/>
      <c r="SQI80" s="456"/>
      <c r="SQJ80" s="456"/>
      <c r="SQK80" s="456"/>
      <c r="SQL80" s="456"/>
      <c r="SQM80" s="456"/>
      <c r="SQN80" s="456"/>
      <c r="SQO80" s="456"/>
      <c r="SQP80" s="456"/>
      <c r="SQQ80" s="456"/>
      <c r="SQR80" s="456"/>
      <c r="SQS80" s="456"/>
      <c r="SQT80" s="456"/>
      <c r="SQU80" s="456"/>
      <c r="SQV80" s="456"/>
      <c r="SQW80" s="456"/>
      <c r="SQX80" s="456"/>
      <c r="SQY80" s="456"/>
      <c r="SQZ80" s="456"/>
      <c r="SRA80" s="456"/>
      <c r="SRB80" s="456"/>
      <c r="SRC80" s="456"/>
      <c r="SRD80" s="456"/>
      <c r="SRE80" s="456"/>
      <c r="SRF80" s="456"/>
      <c r="SRG80" s="456"/>
      <c r="SRH80" s="456"/>
      <c r="SRI80" s="456"/>
      <c r="SRJ80" s="456"/>
      <c r="SRK80" s="456"/>
      <c r="SRL80" s="456"/>
      <c r="SRM80" s="456"/>
      <c r="SRN80" s="456"/>
      <c r="SRO80" s="456"/>
      <c r="SRP80" s="456"/>
      <c r="SRQ80" s="456"/>
      <c r="SRR80" s="456"/>
      <c r="SRS80" s="456"/>
      <c r="SRT80" s="456"/>
      <c r="SRU80" s="456"/>
      <c r="SRV80" s="456"/>
      <c r="SRW80" s="456"/>
      <c r="SRX80" s="456"/>
      <c r="SRY80" s="456"/>
      <c r="SRZ80" s="456"/>
      <c r="SSA80" s="456"/>
      <c r="SSB80" s="456"/>
      <c r="SSC80" s="456"/>
      <c r="SSD80" s="456"/>
      <c r="SSE80" s="456"/>
      <c r="SSF80" s="456"/>
      <c r="SSG80" s="456"/>
      <c r="SSH80" s="456"/>
      <c r="SSI80" s="456"/>
      <c r="SSJ80" s="456"/>
      <c r="SSK80" s="456"/>
      <c r="SSL80" s="456"/>
      <c r="SSM80" s="456"/>
      <c r="SSN80" s="456"/>
      <c r="SSO80" s="456"/>
      <c r="SSP80" s="456"/>
      <c r="SSQ80" s="456"/>
      <c r="SSR80" s="456"/>
      <c r="SSS80" s="456"/>
      <c r="SST80" s="456"/>
      <c r="SSU80" s="456"/>
      <c r="SSV80" s="456"/>
      <c r="SSW80" s="456"/>
      <c r="SSX80" s="456"/>
      <c r="SSY80" s="456"/>
      <c r="SSZ80" s="456"/>
      <c r="STA80" s="456"/>
      <c r="STB80" s="456"/>
      <c r="STC80" s="456"/>
      <c r="STD80" s="456"/>
      <c r="STE80" s="456"/>
      <c r="STF80" s="456"/>
      <c r="STG80" s="456"/>
      <c r="STH80" s="456"/>
      <c r="STI80" s="456"/>
      <c r="STJ80" s="456"/>
      <c r="STK80" s="456"/>
      <c r="STL80" s="456"/>
      <c r="STM80" s="456"/>
      <c r="STN80" s="456"/>
      <c r="STO80" s="456"/>
      <c r="STP80" s="456"/>
      <c r="STQ80" s="456"/>
      <c r="STR80" s="456"/>
      <c r="STS80" s="456"/>
      <c r="STT80" s="456"/>
      <c r="STU80" s="456"/>
      <c r="STV80" s="456"/>
      <c r="STW80" s="456"/>
      <c r="STX80" s="456"/>
      <c r="STY80" s="456"/>
      <c r="STZ80" s="456"/>
      <c r="SUA80" s="456"/>
      <c r="SUB80" s="456"/>
      <c r="SUC80" s="456"/>
      <c r="SUD80" s="456"/>
      <c r="SUE80" s="456"/>
      <c r="SUF80" s="456"/>
      <c r="SUG80" s="456"/>
      <c r="SUH80" s="456"/>
      <c r="SUI80" s="456"/>
      <c r="SUJ80" s="456"/>
      <c r="SUK80" s="456"/>
      <c r="SUL80" s="456"/>
      <c r="SUM80" s="456"/>
      <c r="SUN80" s="456"/>
      <c r="SUO80" s="456"/>
      <c r="SUP80" s="456"/>
      <c r="SUQ80" s="456"/>
      <c r="SUR80" s="456"/>
      <c r="SUS80" s="456"/>
      <c r="SUT80" s="456"/>
      <c r="SUU80" s="456"/>
      <c r="SUV80" s="456"/>
      <c r="SUW80" s="456"/>
      <c r="SUX80" s="456"/>
      <c r="SUY80" s="456"/>
      <c r="SUZ80" s="456"/>
      <c r="SVA80" s="456"/>
      <c r="SVB80" s="456"/>
      <c r="SVC80" s="456"/>
      <c r="SVD80" s="456"/>
      <c r="SVE80" s="456"/>
      <c r="SVF80" s="456"/>
      <c r="SVG80" s="456"/>
      <c r="SVH80" s="456"/>
      <c r="SVI80" s="456"/>
      <c r="SVJ80" s="456"/>
      <c r="SVK80" s="456"/>
      <c r="SVL80" s="456"/>
      <c r="SVM80" s="456"/>
      <c r="SVN80" s="456"/>
      <c r="SVO80" s="456"/>
      <c r="SVP80" s="456"/>
      <c r="SVQ80" s="456"/>
      <c r="SVR80" s="456"/>
      <c r="SVS80" s="456"/>
      <c r="SVT80" s="456"/>
      <c r="SVU80" s="456"/>
      <c r="SVV80" s="456"/>
      <c r="SVW80" s="456"/>
      <c r="SVX80" s="456"/>
      <c r="SVY80" s="456"/>
      <c r="SVZ80" s="456"/>
      <c r="SWA80" s="456"/>
      <c r="SWB80" s="456"/>
      <c r="SWC80" s="456"/>
      <c r="SWD80" s="456"/>
      <c r="SWE80" s="456"/>
      <c r="SWF80" s="456"/>
      <c r="SWG80" s="456"/>
      <c r="SWH80" s="456"/>
      <c r="SWI80" s="456"/>
      <c r="SWJ80" s="456"/>
      <c r="SWK80" s="456"/>
      <c r="SWL80" s="456"/>
      <c r="SWM80" s="456"/>
      <c r="SWN80" s="456"/>
      <c r="SWO80" s="456"/>
      <c r="SWP80" s="456"/>
      <c r="SWQ80" s="456"/>
      <c r="SWR80" s="456"/>
      <c r="SWS80" s="456"/>
      <c r="SWT80" s="456"/>
      <c r="SWU80" s="456"/>
      <c r="SWV80" s="456"/>
      <c r="SWW80" s="456"/>
      <c r="SWX80" s="456"/>
      <c r="SWY80" s="456"/>
      <c r="SWZ80" s="456"/>
      <c r="SXA80" s="456"/>
      <c r="SXB80" s="456"/>
      <c r="SXC80" s="456"/>
      <c r="SXD80" s="456"/>
      <c r="SXE80" s="456"/>
      <c r="SXF80" s="456"/>
      <c r="SXG80" s="456"/>
      <c r="SXH80" s="456"/>
      <c r="SXI80" s="456"/>
      <c r="SXJ80" s="456"/>
      <c r="SXK80" s="456"/>
      <c r="SXL80" s="456"/>
      <c r="SXM80" s="456"/>
      <c r="SXN80" s="456"/>
      <c r="SXO80" s="456"/>
      <c r="SXP80" s="456"/>
      <c r="SXQ80" s="456"/>
      <c r="SXR80" s="456"/>
      <c r="SXS80" s="456"/>
      <c r="SXT80" s="456"/>
      <c r="SXU80" s="456"/>
      <c r="SXV80" s="456"/>
      <c r="SXW80" s="456"/>
      <c r="SXX80" s="456"/>
      <c r="SXY80" s="456"/>
      <c r="SXZ80" s="456"/>
      <c r="SYA80" s="456"/>
      <c r="SYB80" s="456"/>
      <c r="SYC80" s="456"/>
      <c r="SYD80" s="456"/>
      <c r="SYE80" s="456"/>
      <c r="SYF80" s="456"/>
      <c r="SYG80" s="456"/>
      <c r="SYH80" s="456"/>
      <c r="SYI80" s="456"/>
      <c r="SYJ80" s="456"/>
      <c r="SYK80" s="456"/>
      <c r="SYL80" s="456"/>
      <c r="SYM80" s="456"/>
      <c r="SYN80" s="456"/>
      <c r="SYO80" s="456"/>
      <c r="SYP80" s="456"/>
      <c r="SYQ80" s="456"/>
      <c r="SYR80" s="456"/>
      <c r="SYS80" s="456"/>
      <c r="SYT80" s="456"/>
      <c r="SYU80" s="456"/>
      <c r="SYV80" s="456"/>
      <c r="SYW80" s="456"/>
      <c r="SYX80" s="456"/>
      <c r="SYY80" s="456"/>
      <c r="SYZ80" s="456"/>
      <c r="SZA80" s="456"/>
      <c r="SZB80" s="456"/>
      <c r="SZC80" s="456"/>
      <c r="SZD80" s="456"/>
      <c r="SZE80" s="456"/>
      <c r="SZF80" s="456"/>
      <c r="SZG80" s="456"/>
      <c r="SZH80" s="456"/>
      <c r="SZI80" s="456"/>
      <c r="SZJ80" s="456"/>
      <c r="SZK80" s="456"/>
      <c r="SZL80" s="456"/>
      <c r="SZM80" s="456"/>
      <c r="SZN80" s="456"/>
      <c r="SZO80" s="456"/>
      <c r="SZP80" s="456"/>
      <c r="SZQ80" s="456"/>
      <c r="SZR80" s="456"/>
      <c r="SZS80" s="456"/>
      <c r="SZT80" s="456"/>
      <c r="SZU80" s="456"/>
      <c r="SZV80" s="456"/>
      <c r="SZW80" s="456"/>
      <c r="SZX80" s="456"/>
      <c r="SZY80" s="456"/>
      <c r="SZZ80" s="456"/>
      <c r="TAA80" s="456"/>
      <c r="TAB80" s="456"/>
      <c r="TAC80" s="456"/>
      <c r="TAD80" s="456"/>
      <c r="TAE80" s="456"/>
      <c r="TAF80" s="456"/>
      <c r="TAG80" s="456"/>
      <c r="TAH80" s="456"/>
      <c r="TAI80" s="456"/>
      <c r="TAJ80" s="456"/>
      <c r="TAK80" s="456"/>
      <c r="TAL80" s="456"/>
      <c r="TAM80" s="456"/>
      <c r="TAN80" s="456"/>
      <c r="TAO80" s="456"/>
      <c r="TAP80" s="456"/>
      <c r="TAQ80" s="456"/>
      <c r="TAR80" s="456"/>
      <c r="TAS80" s="456"/>
      <c r="TAT80" s="456"/>
      <c r="TAU80" s="456"/>
      <c r="TAV80" s="456"/>
      <c r="TAW80" s="456"/>
      <c r="TAX80" s="456"/>
      <c r="TAY80" s="456"/>
      <c r="TAZ80" s="456"/>
      <c r="TBA80" s="456"/>
      <c r="TBB80" s="456"/>
      <c r="TBC80" s="456"/>
      <c r="TBD80" s="456"/>
      <c r="TBE80" s="456"/>
      <c r="TBF80" s="456"/>
      <c r="TBG80" s="456"/>
      <c r="TBH80" s="456"/>
      <c r="TBI80" s="456"/>
      <c r="TBJ80" s="456"/>
      <c r="TBK80" s="456"/>
      <c r="TBL80" s="456"/>
      <c r="TBM80" s="456"/>
      <c r="TBN80" s="456"/>
      <c r="TBO80" s="456"/>
      <c r="TBP80" s="456"/>
      <c r="TBQ80" s="456"/>
      <c r="TBR80" s="456"/>
      <c r="TBS80" s="456"/>
      <c r="TBT80" s="456"/>
      <c r="TBU80" s="456"/>
      <c r="TBV80" s="456"/>
      <c r="TBW80" s="456"/>
      <c r="TBX80" s="456"/>
      <c r="TBY80" s="456"/>
      <c r="TBZ80" s="456"/>
      <c r="TCA80" s="456"/>
      <c r="TCB80" s="456"/>
      <c r="TCC80" s="456"/>
      <c r="TCD80" s="456"/>
      <c r="TCE80" s="456"/>
      <c r="TCF80" s="456"/>
      <c r="TCG80" s="456"/>
      <c r="TCH80" s="456"/>
      <c r="TCI80" s="456"/>
      <c r="TCJ80" s="456"/>
      <c r="TCK80" s="456"/>
      <c r="TCL80" s="456"/>
      <c r="TCM80" s="456"/>
      <c r="TCN80" s="456"/>
      <c r="TCO80" s="456"/>
      <c r="TCP80" s="456"/>
      <c r="TCQ80" s="456"/>
      <c r="TCR80" s="456"/>
      <c r="TCS80" s="456"/>
      <c r="TCT80" s="456"/>
      <c r="TCU80" s="456"/>
      <c r="TCV80" s="456"/>
      <c r="TCW80" s="456"/>
      <c r="TCX80" s="456"/>
      <c r="TCY80" s="456"/>
      <c r="TCZ80" s="456"/>
      <c r="TDA80" s="456"/>
      <c r="TDB80" s="456"/>
      <c r="TDC80" s="456"/>
      <c r="TDD80" s="456"/>
      <c r="TDE80" s="456"/>
      <c r="TDF80" s="456"/>
      <c r="TDG80" s="456"/>
      <c r="TDH80" s="456"/>
      <c r="TDI80" s="456"/>
      <c r="TDJ80" s="456"/>
      <c r="TDK80" s="456"/>
      <c r="TDL80" s="456"/>
      <c r="TDM80" s="456"/>
      <c r="TDN80" s="456"/>
      <c r="TDO80" s="456"/>
      <c r="TDP80" s="456"/>
      <c r="TDQ80" s="456"/>
      <c r="TDR80" s="456"/>
      <c r="TDS80" s="456"/>
      <c r="TDT80" s="456"/>
      <c r="TDU80" s="456"/>
      <c r="TDV80" s="456"/>
      <c r="TDW80" s="456"/>
      <c r="TDX80" s="456"/>
      <c r="TDY80" s="456"/>
      <c r="TDZ80" s="456"/>
      <c r="TEA80" s="456"/>
      <c r="TEB80" s="456"/>
      <c r="TEC80" s="456"/>
      <c r="TED80" s="456"/>
      <c r="TEE80" s="456"/>
      <c r="TEF80" s="456"/>
      <c r="TEG80" s="456"/>
      <c r="TEH80" s="456"/>
      <c r="TEI80" s="456"/>
      <c r="TEJ80" s="456"/>
      <c r="TEK80" s="456"/>
      <c r="TEL80" s="456"/>
      <c r="TEM80" s="456"/>
      <c r="TEN80" s="456"/>
      <c r="TEO80" s="456"/>
      <c r="TEP80" s="456"/>
      <c r="TEQ80" s="456"/>
      <c r="TER80" s="456"/>
      <c r="TES80" s="456"/>
      <c r="TET80" s="456"/>
      <c r="TEU80" s="456"/>
      <c r="TEV80" s="456"/>
      <c r="TEW80" s="456"/>
      <c r="TEX80" s="456"/>
      <c r="TEY80" s="456"/>
      <c r="TEZ80" s="456"/>
      <c r="TFA80" s="456"/>
      <c r="TFB80" s="456"/>
      <c r="TFC80" s="456"/>
      <c r="TFD80" s="456"/>
      <c r="TFE80" s="456"/>
      <c r="TFF80" s="456"/>
      <c r="TFG80" s="456"/>
      <c r="TFH80" s="456"/>
      <c r="TFI80" s="456"/>
      <c r="TFJ80" s="456"/>
      <c r="TFK80" s="456"/>
      <c r="TFL80" s="456"/>
      <c r="TFM80" s="456"/>
      <c r="TFN80" s="456"/>
      <c r="TFO80" s="456"/>
      <c r="TFP80" s="456"/>
      <c r="TFQ80" s="456"/>
      <c r="TFR80" s="456"/>
      <c r="TFS80" s="456"/>
      <c r="TFT80" s="456"/>
      <c r="TFU80" s="456"/>
      <c r="TFV80" s="456"/>
      <c r="TFW80" s="456"/>
      <c r="TFX80" s="456"/>
      <c r="TFY80" s="456"/>
      <c r="TFZ80" s="456"/>
      <c r="TGA80" s="456"/>
      <c r="TGB80" s="456"/>
      <c r="TGC80" s="456"/>
      <c r="TGD80" s="456"/>
      <c r="TGE80" s="456"/>
      <c r="TGF80" s="456"/>
      <c r="TGG80" s="456"/>
      <c r="TGH80" s="456"/>
      <c r="TGI80" s="456"/>
      <c r="TGJ80" s="456"/>
      <c r="TGK80" s="456"/>
      <c r="TGL80" s="456"/>
      <c r="TGM80" s="456"/>
      <c r="TGN80" s="456"/>
      <c r="TGO80" s="456"/>
      <c r="TGP80" s="456"/>
      <c r="TGQ80" s="456"/>
      <c r="TGR80" s="456"/>
      <c r="TGS80" s="456"/>
      <c r="TGT80" s="456"/>
      <c r="TGU80" s="456"/>
      <c r="TGV80" s="456"/>
      <c r="TGW80" s="456"/>
      <c r="TGX80" s="456"/>
      <c r="TGY80" s="456"/>
      <c r="TGZ80" s="456"/>
      <c r="THA80" s="456"/>
      <c r="THB80" s="456"/>
      <c r="THC80" s="456"/>
      <c r="THD80" s="456"/>
      <c r="THE80" s="456"/>
      <c r="THF80" s="456"/>
      <c r="THG80" s="456"/>
      <c r="THH80" s="456"/>
      <c r="THI80" s="456"/>
      <c r="THJ80" s="456"/>
      <c r="THK80" s="456"/>
      <c r="THL80" s="456"/>
      <c r="THM80" s="456"/>
      <c r="THN80" s="456"/>
      <c r="THO80" s="456"/>
      <c r="THP80" s="456"/>
      <c r="THQ80" s="456"/>
      <c r="THR80" s="456"/>
      <c r="THS80" s="456"/>
      <c r="THT80" s="456"/>
      <c r="THU80" s="456"/>
      <c r="THV80" s="456"/>
      <c r="THW80" s="456"/>
      <c r="THX80" s="456"/>
      <c r="THY80" s="456"/>
      <c r="THZ80" s="456"/>
      <c r="TIA80" s="456"/>
      <c r="TIB80" s="456"/>
      <c r="TIC80" s="456"/>
      <c r="TID80" s="456"/>
      <c r="TIE80" s="456"/>
      <c r="TIF80" s="456"/>
      <c r="TIG80" s="456"/>
      <c r="TIH80" s="456"/>
      <c r="TII80" s="456"/>
      <c r="TIJ80" s="456"/>
      <c r="TIK80" s="456"/>
      <c r="TIL80" s="456"/>
      <c r="TIM80" s="456"/>
      <c r="TIN80" s="456"/>
      <c r="TIO80" s="456"/>
      <c r="TIP80" s="456"/>
      <c r="TIQ80" s="456"/>
      <c r="TIR80" s="456"/>
      <c r="TIS80" s="456"/>
      <c r="TIT80" s="456"/>
      <c r="TIU80" s="456"/>
      <c r="TIV80" s="456"/>
      <c r="TIW80" s="456"/>
      <c r="TIX80" s="456"/>
      <c r="TIY80" s="456"/>
      <c r="TIZ80" s="456"/>
      <c r="TJA80" s="456"/>
      <c r="TJB80" s="456"/>
      <c r="TJC80" s="456"/>
      <c r="TJD80" s="456"/>
      <c r="TJE80" s="456"/>
      <c r="TJF80" s="456"/>
      <c r="TJG80" s="456"/>
      <c r="TJH80" s="456"/>
      <c r="TJI80" s="456"/>
      <c r="TJJ80" s="456"/>
      <c r="TJK80" s="456"/>
      <c r="TJL80" s="456"/>
      <c r="TJM80" s="456"/>
      <c r="TJN80" s="456"/>
      <c r="TJO80" s="456"/>
      <c r="TJP80" s="456"/>
      <c r="TJQ80" s="456"/>
      <c r="TJR80" s="456"/>
      <c r="TJS80" s="456"/>
      <c r="TJT80" s="456"/>
      <c r="TJU80" s="456"/>
      <c r="TJV80" s="456"/>
      <c r="TJW80" s="456"/>
      <c r="TJX80" s="456"/>
      <c r="TJY80" s="456"/>
      <c r="TJZ80" s="456"/>
      <c r="TKA80" s="456"/>
      <c r="TKB80" s="456"/>
      <c r="TKC80" s="456"/>
      <c r="TKD80" s="456"/>
      <c r="TKE80" s="456"/>
      <c r="TKF80" s="456"/>
      <c r="TKG80" s="456"/>
      <c r="TKH80" s="456"/>
      <c r="TKI80" s="456"/>
      <c r="TKJ80" s="456"/>
      <c r="TKK80" s="456"/>
      <c r="TKL80" s="456"/>
      <c r="TKM80" s="456"/>
      <c r="TKN80" s="456"/>
      <c r="TKO80" s="456"/>
      <c r="TKP80" s="456"/>
      <c r="TKQ80" s="456"/>
      <c r="TKR80" s="456"/>
      <c r="TKS80" s="456"/>
      <c r="TKT80" s="456"/>
      <c r="TKU80" s="456"/>
      <c r="TKV80" s="456"/>
      <c r="TKW80" s="456"/>
      <c r="TKX80" s="456"/>
      <c r="TKY80" s="456"/>
      <c r="TKZ80" s="456"/>
      <c r="TLA80" s="456"/>
      <c r="TLB80" s="456"/>
      <c r="TLC80" s="456"/>
      <c r="TLD80" s="456"/>
      <c r="TLE80" s="456"/>
      <c r="TLF80" s="456"/>
      <c r="TLG80" s="456"/>
      <c r="TLH80" s="456"/>
      <c r="TLI80" s="456"/>
      <c r="TLJ80" s="456"/>
      <c r="TLK80" s="456"/>
      <c r="TLL80" s="456"/>
      <c r="TLM80" s="456"/>
      <c r="TLN80" s="456"/>
      <c r="TLO80" s="456"/>
      <c r="TLP80" s="456"/>
      <c r="TLQ80" s="456"/>
      <c r="TLR80" s="456"/>
      <c r="TLS80" s="456"/>
      <c r="TLT80" s="456"/>
      <c r="TLU80" s="456"/>
      <c r="TLV80" s="456"/>
      <c r="TLW80" s="456"/>
      <c r="TLX80" s="456"/>
      <c r="TLY80" s="456"/>
      <c r="TLZ80" s="456"/>
      <c r="TMA80" s="456"/>
      <c r="TMB80" s="456"/>
      <c r="TMC80" s="456"/>
      <c r="TMD80" s="456"/>
      <c r="TME80" s="456"/>
      <c r="TMF80" s="456"/>
      <c r="TMG80" s="456"/>
      <c r="TMH80" s="456"/>
      <c r="TMI80" s="456"/>
      <c r="TMJ80" s="456"/>
      <c r="TMK80" s="456"/>
      <c r="TML80" s="456"/>
      <c r="TMM80" s="456"/>
      <c r="TMN80" s="456"/>
      <c r="TMO80" s="456"/>
      <c r="TMP80" s="456"/>
      <c r="TMQ80" s="456"/>
      <c r="TMR80" s="456"/>
      <c r="TMS80" s="456"/>
      <c r="TMT80" s="456"/>
      <c r="TMU80" s="456"/>
      <c r="TMV80" s="456"/>
      <c r="TMW80" s="456"/>
      <c r="TMX80" s="456"/>
      <c r="TMY80" s="456"/>
      <c r="TMZ80" s="456"/>
      <c r="TNA80" s="456"/>
      <c r="TNB80" s="456"/>
      <c r="TNC80" s="456"/>
      <c r="TND80" s="456"/>
      <c r="TNE80" s="456"/>
      <c r="TNF80" s="456"/>
      <c r="TNG80" s="456"/>
      <c r="TNH80" s="456"/>
      <c r="TNI80" s="456"/>
      <c r="TNJ80" s="456"/>
      <c r="TNK80" s="456"/>
      <c r="TNL80" s="456"/>
      <c r="TNM80" s="456"/>
      <c r="TNN80" s="456"/>
      <c r="TNO80" s="456"/>
      <c r="TNP80" s="456"/>
      <c r="TNQ80" s="456"/>
      <c r="TNR80" s="456"/>
      <c r="TNS80" s="456"/>
      <c r="TNT80" s="456"/>
      <c r="TNU80" s="456"/>
      <c r="TNV80" s="456"/>
      <c r="TNW80" s="456"/>
      <c r="TNX80" s="456"/>
      <c r="TNY80" s="456"/>
      <c r="TNZ80" s="456"/>
      <c r="TOA80" s="456"/>
      <c r="TOB80" s="456"/>
      <c r="TOC80" s="456"/>
      <c r="TOD80" s="456"/>
      <c r="TOE80" s="456"/>
      <c r="TOF80" s="456"/>
      <c r="TOG80" s="456"/>
      <c r="TOH80" s="456"/>
      <c r="TOI80" s="456"/>
      <c r="TOJ80" s="456"/>
      <c r="TOK80" s="456"/>
      <c r="TOL80" s="456"/>
      <c r="TOM80" s="456"/>
      <c r="TON80" s="456"/>
      <c r="TOO80" s="456"/>
      <c r="TOP80" s="456"/>
      <c r="TOQ80" s="456"/>
      <c r="TOR80" s="456"/>
      <c r="TOS80" s="456"/>
      <c r="TOT80" s="456"/>
      <c r="TOU80" s="456"/>
      <c r="TOV80" s="456"/>
      <c r="TOW80" s="456"/>
      <c r="TOX80" s="456"/>
      <c r="TOY80" s="456"/>
      <c r="TOZ80" s="456"/>
      <c r="TPA80" s="456"/>
      <c r="TPB80" s="456"/>
      <c r="TPC80" s="456"/>
      <c r="TPD80" s="456"/>
      <c r="TPE80" s="456"/>
      <c r="TPF80" s="456"/>
      <c r="TPG80" s="456"/>
      <c r="TPH80" s="456"/>
      <c r="TPI80" s="456"/>
      <c r="TPJ80" s="456"/>
      <c r="TPK80" s="456"/>
      <c r="TPL80" s="456"/>
      <c r="TPM80" s="456"/>
      <c r="TPN80" s="456"/>
      <c r="TPO80" s="456"/>
      <c r="TPP80" s="456"/>
      <c r="TPQ80" s="456"/>
      <c r="TPR80" s="456"/>
      <c r="TPS80" s="456"/>
      <c r="TPT80" s="456"/>
      <c r="TPU80" s="456"/>
      <c r="TPV80" s="456"/>
      <c r="TPW80" s="456"/>
      <c r="TPX80" s="456"/>
      <c r="TPY80" s="456"/>
      <c r="TPZ80" s="456"/>
      <c r="TQA80" s="456"/>
      <c r="TQB80" s="456"/>
      <c r="TQC80" s="456"/>
      <c r="TQD80" s="456"/>
      <c r="TQE80" s="456"/>
      <c r="TQF80" s="456"/>
      <c r="TQG80" s="456"/>
      <c r="TQH80" s="456"/>
      <c r="TQI80" s="456"/>
      <c r="TQJ80" s="456"/>
      <c r="TQK80" s="456"/>
      <c r="TQL80" s="456"/>
      <c r="TQM80" s="456"/>
      <c r="TQN80" s="456"/>
      <c r="TQO80" s="456"/>
      <c r="TQP80" s="456"/>
      <c r="TQQ80" s="456"/>
      <c r="TQR80" s="456"/>
      <c r="TQS80" s="456"/>
      <c r="TQT80" s="456"/>
      <c r="TQU80" s="456"/>
      <c r="TQV80" s="456"/>
      <c r="TQW80" s="456"/>
      <c r="TQX80" s="456"/>
      <c r="TQY80" s="456"/>
      <c r="TQZ80" s="456"/>
      <c r="TRA80" s="456"/>
      <c r="TRB80" s="456"/>
      <c r="TRC80" s="456"/>
      <c r="TRD80" s="456"/>
      <c r="TRE80" s="456"/>
      <c r="TRF80" s="456"/>
      <c r="TRG80" s="456"/>
      <c r="TRH80" s="456"/>
      <c r="TRI80" s="456"/>
      <c r="TRJ80" s="456"/>
      <c r="TRK80" s="456"/>
      <c r="TRL80" s="456"/>
      <c r="TRM80" s="456"/>
      <c r="TRN80" s="456"/>
      <c r="TRO80" s="456"/>
      <c r="TRP80" s="456"/>
      <c r="TRQ80" s="456"/>
      <c r="TRR80" s="456"/>
      <c r="TRS80" s="456"/>
      <c r="TRT80" s="456"/>
      <c r="TRU80" s="456"/>
      <c r="TRV80" s="456"/>
      <c r="TRW80" s="456"/>
      <c r="TRX80" s="456"/>
      <c r="TRY80" s="456"/>
      <c r="TRZ80" s="456"/>
      <c r="TSA80" s="456"/>
      <c r="TSB80" s="456"/>
      <c r="TSC80" s="456"/>
      <c r="TSD80" s="456"/>
      <c r="TSE80" s="456"/>
      <c r="TSF80" s="456"/>
      <c r="TSG80" s="456"/>
      <c r="TSH80" s="456"/>
      <c r="TSI80" s="456"/>
      <c r="TSJ80" s="456"/>
      <c r="TSK80" s="456"/>
      <c r="TSL80" s="456"/>
      <c r="TSM80" s="456"/>
      <c r="TSN80" s="456"/>
      <c r="TSO80" s="456"/>
      <c r="TSP80" s="456"/>
      <c r="TSQ80" s="456"/>
      <c r="TSR80" s="456"/>
      <c r="TSS80" s="456"/>
      <c r="TST80" s="456"/>
      <c r="TSU80" s="456"/>
      <c r="TSV80" s="456"/>
      <c r="TSW80" s="456"/>
      <c r="TSX80" s="456"/>
      <c r="TSY80" s="456"/>
      <c r="TSZ80" s="456"/>
      <c r="TTA80" s="456"/>
      <c r="TTB80" s="456"/>
      <c r="TTC80" s="456"/>
      <c r="TTD80" s="456"/>
      <c r="TTE80" s="456"/>
      <c r="TTF80" s="456"/>
      <c r="TTG80" s="456"/>
      <c r="TTH80" s="456"/>
      <c r="TTI80" s="456"/>
      <c r="TTJ80" s="456"/>
      <c r="TTK80" s="456"/>
      <c r="TTL80" s="456"/>
      <c r="TTM80" s="456"/>
      <c r="TTN80" s="456"/>
      <c r="TTO80" s="456"/>
      <c r="TTP80" s="456"/>
      <c r="TTQ80" s="456"/>
      <c r="TTR80" s="456"/>
      <c r="TTS80" s="456"/>
      <c r="TTT80" s="456"/>
      <c r="TTU80" s="456"/>
      <c r="TTV80" s="456"/>
      <c r="TTW80" s="456"/>
      <c r="TTX80" s="456"/>
      <c r="TTY80" s="456"/>
      <c r="TTZ80" s="456"/>
      <c r="TUA80" s="456"/>
      <c r="TUB80" s="456"/>
      <c r="TUC80" s="456"/>
      <c r="TUD80" s="456"/>
      <c r="TUE80" s="456"/>
      <c r="TUF80" s="456"/>
      <c r="TUG80" s="456"/>
      <c r="TUH80" s="456"/>
      <c r="TUI80" s="456"/>
      <c r="TUJ80" s="456"/>
      <c r="TUK80" s="456"/>
      <c r="TUL80" s="456"/>
      <c r="TUM80" s="456"/>
      <c r="TUN80" s="456"/>
      <c r="TUO80" s="456"/>
      <c r="TUP80" s="456"/>
      <c r="TUQ80" s="456"/>
      <c r="TUR80" s="456"/>
      <c r="TUS80" s="456"/>
      <c r="TUT80" s="456"/>
      <c r="TUU80" s="456"/>
      <c r="TUV80" s="456"/>
      <c r="TUW80" s="456"/>
      <c r="TUX80" s="456"/>
      <c r="TUY80" s="456"/>
      <c r="TUZ80" s="456"/>
      <c r="TVA80" s="456"/>
      <c r="TVB80" s="456"/>
      <c r="TVC80" s="456"/>
      <c r="TVD80" s="456"/>
      <c r="TVE80" s="456"/>
      <c r="TVF80" s="456"/>
      <c r="TVG80" s="456"/>
      <c r="TVH80" s="456"/>
      <c r="TVI80" s="456"/>
      <c r="TVJ80" s="456"/>
      <c r="TVK80" s="456"/>
      <c r="TVL80" s="456"/>
      <c r="TVM80" s="456"/>
      <c r="TVN80" s="456"/>
      <c r="TVO80" s="456"/>
      <c r="TVP80" s="456"/>
      <c r="TVQ80" s="456"/>
      <c r="TVR80" s="456"/>
      <c r="TVS80" s="456"/>
      <c r="TVT80" s="456"/>
      <c r="TVU80" s="456"/>
      <c r="TVV80" s="456"/>
      <c r="TVW80" s="456"/>
      <c r="TVX80" s="456"/>
      <c r="TVY80" s="456"/>
      <c r="TVZ80" s="456"/>
      <c r="TWA80" s="456"/>
      <c r="TWB80" s="456"/>
      <c r="TWC80" s="456"/>
      <c r="TWD80" s="456"/>
      <c r="TWE80" s="456"/>
      <c r="TWF80" s="456"/>
      <c r="TWG80" s="456"/>
      <c r="TWH80" s="456"/>
      <c r="TWI80" s="456"/>
      <c r="TWJ80" s="456"/>
      <c r="TWK80" s="456"/>
      <c r="TWL80" s="456"/>
      <c r="TWM80" s="456"/>
      <c r="TWN80" s="456"/>
      <c r="TWO80" s="456"/>
      <c r="TWP80" s="456"/>
      <c r="TWQ80" s="456"/>
      <c r="TWR80" s="456"/>
      <c r="TWS80" s="456"/>
      <c r="TWT80" s="456"/>
      <c r="TWU80" s="456"/>
      <c r="TWV80" s="456"/>
      <c r="TWW80" s="456"/>
      <c r="TWX80" s="456"/>
      <c r="TWY80" s="456"/>
      <c r="TWZ80" s="456"/>
      <c r="TXA80" s="456"/>
      <c r="TXB80" s="456"/>
      <c r="TXC80" s="456"/>
      <c r="TXD80" s="456"/>
      <c r="TXE80" s="456"/>
      <c r="TXF80" s="456"/>
      <c r="TXG80" s="456"/>
      <c r="TXH80" s="456"/>
      <c r="TXI80" s="456"/>
      <c r="TXJ80" s="456"/>
      <c r="TXK80" s="456"/>
      <c r="TXL80" s="456"/>
      <c r="TXM80" s="456"/>
      <c r="TXN80" s="456"/>
      <c r="TXO80" s="456"/>
      <c r="TXP80" s="456"/>
      <c r="TXQ80" s="456"/>
      <c r="TXR80" s="456"/>
      <c r="TXS80" s="456"/>
      <c r="TXT80" s="456"/>
      <c r="TXU80" s="456"/>
      <c r="TXV80" s="456"/>
      <c r="TXW80" s="456"/>
      <c r="TXX80" s="456"/>
      <c r="TXY80" s="456"/>
      <c r="TXZ80" s="456"/>
      <c r="TYA80" s="456"/>
      <c r="TYB80" s="456"/>
      <c r="TYC80" s="456"/>
      <c r="TYD80" s="456"/>
      <c r="TYE80" s="456"/>
      <c r="TYF80" s="456"/>
      <c r="TYG80" s="456"/>
      <c r="TYH80" s="456"/>
      <c r="TYI80" s="456"/>
      <c r="TYJ80" s="456"/>
      <c r="TYK80" s="456"/>
      <c r="TYL80" s="456"/>
      <c r="TYM80" s="456"/>
      <c r="TYN80" s="456"/>
      <c r="TYO80" s="456"/>
      <c r="TYP80" s="456"/>
      <c r="TYQ80" s="456"/>
      <c r="TYR80" s="456"/>
      <c r="TYS80" s="456"/>
      <c r="TYT80" s="456"/>
      <c r="TYU80" s="456"/>
      <c r="TYV80" s="456"/>
      <c r="TYW80" s="456"/>
      <c r="TYX80" s="456"/>
      <c r="TYY80" s="456"/>
      <c r="TYZ80" s="456"/>
      <c r="TZA80" s="456"/>
      <c r="TZB80" s="456"/>
      <c r="TZC80" s="456"/>
      <c r="TZD80" s="456"/>
      <c r="TZE80" s="456"/>
      <c r="TZF80" s="456"/>
      <c r="TZG80" s="456"/>
      <c r="TZH80" s="456"/>
      <c r="TZI80" s="456"/>
      <c r="TZJ80" s="456"/>
      <c r="TZK80" s="456"/>
      <c r="TZL80" s="456"/>
      <c r="TZM80" s="456"/>
      <c r="TZN80" s="456"/>
      <c r="TZO80" s="456"/>
      <c r="TZP80" s="456"/>
      <c r="TZQ80" s="456"/>
      <c r="TZR80" s="456"/>
      <c r="TZS80" s="456"/>
      <c r="TZT80" s="456"/>
      <c r="TZU80" s="456"/>
      <c r="TZV80" s="456"/>
      <c r="TZW80" s="456"/>
      <c r="TZX80" s="456"/>
      <c r="TZY80" s="456"/>
      <c r="TZZ80" s="456"/>
      <c r="UAA80" s="456"/>
      <c r="UAB80" s="456"/>
      <c r="UAC80" s="456"/>
      <c r="UAD80" s="456"/>
      <c r="UAE80" s="456"/>
      <c r="UAF80" s="456"/>
      <c r="UAG80" s="456"/>
      <c r="UAH80" s="456"/>
      <c r="UAI80" s="456"/>
      <c r="UAJ80" s="456"/>
      <c r="UAK80" s="456"/>
      <c r="UAL80" s="456"/>
      <c r="UAM80" s="456"/>
      <c r="UAN80" s="456"/>
      <c r="UAO80" s="456"/>
      <c r="UAP80" s="456"/>
      <c r="UAQ80" s="456"/>
      <c r="UAR80" s="456"/>
      <c r="UAS80" s="456"/>
      <c r="UAT80" s="456"/>
      <c r="UAU80" s="456"/>
      <c r="UAV80" s="456"/>
      <c r="UAW80" s="456"/>
      <c r="UAX80" s="456"/>
      <c r="UAY80" s="456"/>
      <c r="UAZ80" s="456"/>
      <c r="UBA80" s="456"/>
      <c r="UBB80" s="456"/>
      <c r="UBC80" s="456"/>
      <c r="UBD80" s="456"/>
      <c r="UBE80" s="456"/>
      <c r="UBF80" s="456"/>
      <c r="UBG80" s="456"/>
      <c r="UBH80" s="456"/>
      <c r="UBI80" s="456"/>
      <c r="UBJ80" s="456"/>
      <c r="UBK80" s="456"/>
      <c r="UBL80" s="456"/>
      <c r="UBM80" s="456"/>
      <c r="UBN80" s="456"/>
      <c r="UBO80" s="456"/>
      <c r="UBP80" s="456"/>
      <c r="UBQ80" s="456"/>
      <c r="UBR80" s="456"/>
      <c r="UBS80" s="456"/>
      <c r="UBT80" s="456"/>
      <c r="UBU80" s="456"/>
      <c r="UBV80" s="456"/>
      <c r="UBW80" s="456"/>
      <c r="UBX80" s="456"/>
      <c r="UBY80" s="456"/>
      <c r="UBZ80" s="456"/>
      <c r="UCA80" s="456"/>
      <c r="UCB80" s="456"/>
      <c r="UCC80" s="456"/>
      <c r="UCD80" s="456"/>
      <c r="UCE80" s="456"/>
      <c r="UCF80" s="456"/>
      <c r="UCG80" s="456"/>
      <c r="UCH80" s="456"/>
      <c r="UCI80" s="456"/>
      <c r="UCJ80" s="456"/>
      <c r="UCK80" s="456"/>
      <c r="UCL80" s="456"/>
      <c r="UCM80" s="456"/>
      <c r="UCN80" s="456"/>
      <c r="UCO80" s="456"/>
      <c r="UCP80" s="456"/>
      <c r="UCQ80" s="456"/>
      <c r="UCR80" s="456"/>
      <c r="UCS80" s="456"/>
      <c r="UCT80" s="456"/>
      <c r="UCU80" s="456"/>
      <c r="UCV80" s="456"/>
      <c r="UCW80" s="456"/>
      <c r="UCX80" s="456"/>
      <c r="UCY80" s="456"/>
      <c r="UCZ80" s="456"/>
      <c r="UDA80" s="456"/>
      <c r="UDB80" s="456"/>
      <c r="UDC80" s="456"/>
      <c r="UDD80" s="456"/>
      <c r="UDE80" s="456"/>
      <c r="UDF80" s="456"/>
      <c r="UDG80" s="456"/>
      <c r="UDH80" s="456"/>
      <c r="UDI80" s="456"/>
      <c r="UDJ80" s="456"/>
      <c r="UDK80" s="456"/>
      <c r="UDL80" s="456"/>
      <c r="UDM80" s="456"/>
      <c r="UDN80" s="456"/>
      <c r="UDO80" s="456"/>
      <c r="UDP80" s="456"/>
      <c r="UDQ80" s="456"/>
      <c r="UDR80" s="456"/>
      <c r="UDS80" s="456"/>
      <c r="UDT80" s="456"/>
      <c r="UDU80" s="456"/>
      <c r="UDV80" s="456"/>
      <c r="UDW80" s="456"/>
      <c r="UDX80" s="456"/>
      <c r="UDY80" s="456"/>
      <c r="UDZ80" s="456"/>
      <c r="UEA80" s="456"/>
      <c r="UEB80" s="456"/>
      <c r="UEC80" s="456"/>
      <c r="UED80" s="456"/>
      <c r="UEE80" s="456"/>
      <c r="UEF80" s="456"/>
      <c r="UEG80" s="456"/>
      <c r="UEH80" s="456"/>
      <c r="UEI80" s="456"/>
      <c r="UEJ80" s="456"/>
      <c r="UEK80" s="456"/>
      <c r="UEL80" s="456"/>
      <c r="UEM80" s="456"/>
      <c r="UEN80" s="456"/>
      <c r="UEO80" s="456"/>
      <c r="UEP80" s="456"/>
      <c r="UEQ80" s="456"/>
      <c r="UER80" s="456"/>
      <c r="UES80" s="456"/>
      <c r="UET80" s="456"/>
      <c r="UEU80" s="456"/>
      <c r="UEV80" s="456"/>
      <c r="UEW80" s="456"/>
      <c r="UEX80" s="456"/>
      <c r="UEY80" s="456"/>
      <c r="UEZ80" s="456"/>
      <c r="UFA80" s="456"/>
      <c r="UFB80" s="456"/>
      <c r="UFC80" s="456"/>
      <c r="UFD80" s="456"/>
      <c r="UFE80" s="456"/>
      <c r="UFF80" s="456"/>
      <c r="UFG80" s="456"/>
      <c r="UFH80" s="456"/>
      <c r="UFI80" s="456"/>
      <c r="UFJ80" s="456"/>
      <c r="UFK80" s="456"/>
      <c r="UFL80" s="456"/>
      <c r="UFM80" s="456"/>
      <c r="UFN80" s="456"/>
      <c r="UFO80" s="456"/>
      <c r="UFP80" s="456"/>
      <c r="UFQ80" s="456"/>
      <c r="UFR80" s="456"/>
      <c r="UFS80" s="456"/>
      <c r="UFT80" s="456"/>
      <c r="UFU80" s="456"/>
      <c r="UFV80" s="456"/>
      <c r="UFW80" s="456"/>
      <c r="UFX80" s="456"/>
      <c r="UFY80" s="456"/>
      <c r="UFZ80" s="456"/>
      <c r="UGA80" s="456"/>
      <c r="UGB80" s="456"/>
      <c r="UGC80" s="456"/>
      <c r="UGD80" s="456"/>
      <c r="UGE80" s="456"/>
      <c r="UGF80" s="456"/>
      <c r="UGG80" s="456"/>
      <c r="UGH80" s="456"/>
      <c r="UGI80" s="456"/>
      <c r="UGJ80" s="456"/>
      <c r="UGK80" s="456"/>
      <c r="UGL80" s="456"/>
      <c r="UGM80" s="456"/>
      <c r="UGN80" s="456"/>
      <c r="UGO80" s="456"/>
      <c r="UGP80" s="456"/>
      <c r="UGQ80" s="456"/>
      <c r="UGR80" s="456"/>
      <c r="UGS80" s="456"/>
      <c r="UGT80" s="456"/>
      <c r="UGU80" s="456"/>
      <c r="UGV80" s="456"/>
      <c r="UGW80" s="456"/>
      <c r="UGX80" s="456"/>
      <c r="UGY80" s="456"/>
      <c r="UGZ80" s="456"/>
      <c r="UHA80" s="456"/>
      <c r="UHB80" s="456"/>
      <c r="UHC80" s="456"/>
      <c r="UHD80" s="456"/>
      <c r="UHE80" s="456"/>
      <c r="UHF80" s="456"/>
      <c r="UHG80" s="456"/>
      <c r="UHH80" s="456"/>
      <c r="UHI80" s="456"/>
      <c r="UHJ80" s="456"/>
      <c r="UHK80" s="456"/>
      <c r="UHL80" s="456"/>
      <c r="UHM80" s="456"/>
      <c r="UHN80" s="456"/>
      <c r="UHO80" s="456"/>
      <c r="UHP80" s="456"/>
      <c r="UHQ80" s="456"/>
      <c r="UHR80" s="456"/>
      <c r="UHS80" s="456"/>
      <c r="UHT80" s="456"/>
      <c r="UHU80" s="456"/>
      <c r="UHV80" s="456"/>
      <c r="UHW80" s="456"/>
      <c r="UHX80" s="456"/>
      <c r="UHY80" s="456"/>
      <c r="UHZ80" s="456"/>
      <c r="UIA80" s="456"/>
      <c r="UIB80" s="456"/>
      <c r="UIC80" s="456"/>
      <c r="UID80" s="456"/>
      <c r="UIE80" s="456"/>
      <c r="UIF80" s="456"/>
      <c r="UIG80" s="456"/>
      <c r="UIH80" s="456"/>
      <c r="UII80" s="456"/>
      <c r="UIJ80" s="456"/>
      <c r="UIK80" s="456"/>
      <c r="UIL80" s="456"/>
      <c r="UIM80" s="456"/>
      <c r="UIN80" s="456"/>
      <c r="UIO80" s="456"/>
      <c r="UIP80" s="456"/>
      <c r="UIQ80" s="456"/>
      <c r="UIR80" s="456"/>
      <c r="UIS80" s="456"/>
      <c r="UIT80" s="456"/>
      <c r="UIU80" s="456"/>
      <c r="UIV80" s="456"/>
      <c r="UIW80" s="456"/>
      <c r="UIX80" s="456"/>
      <c r="UIY80" s="456"/>
      <c r="UIZ80" s="456"/>
      <c r="UJA80" s="456"/>
      <c r="UJB80" s="456"/>
      <c r="UJC80" s="456"/>
      <c r="UJD80" s="456"/>
      <c r="UJE80" s="456"/>
      <c r="UJF80" s="456"/>
      <c r="UJG80" s="456"/>
      <c r="UJH80" s="456"/>
      <c r="UJI80" s="456"/>
      <c r="UJJ80" s="456"/>
      <c r="UJK80" s="456"/>
      <c r="UJL80" s="456"/>
      <c r="UJM80" s="456"/>
      <c r="UJN80" s="456"/>
      <c r="UJO80" s="456"/>
      <c r="UJP80" s="456"/>
      <c r="UJQ80" s="456"/>
      <c r="UJR80" s="456"/>
      <c r="UJS80" s="456"/>
      <c r="UJT80" s="456"/>
      <c r="UJU80" s="456"/>
      <c r="UJV80" s="456"/>
      <c r="UJW80" s="456"/>
      <c r="UJX80" s="456"/>
      <c r="UJY80" s="456"/>
      <c r="UJZ80" s="456"/>
      <c r="UKA80" s="456"/>
      <c r="UKB80" s="456"/>
      <c r="UKC80" s="456"/>
      <c r="UKD80" s="456"/>
      <c r="UKE80" s="456"/>
      <c r="UKF80" s="456"/>
      <c r="UKG80" s="456"/>
      <c r="UKH80" s="456"/>
      <c r="UKI80" s="456"/>
      <c r="UKJ80" s="456"/>
      <c r="UKK80" s="456"/>
      <c r="UKL80" s="456"/>
      <c r="UKM80" s="456"/>
      <c r="UKN80" s="456"/>
      <c r="UKO80" s="456"/>
      <c r="UKP80" s="456"/>
      <c r="UKQ80" s="456"/>
      <c r="UKR80" s="456"/>
      <c r="UKS80" s="456"/>
      <c r="UKT80" s="456"/>
      <c r="UKU80" s="456"/>
      <c r="UKV80" s="456"/>
      <c r="UKW80" s="456"/>
      <c r="UKX80" s="456"/>
      <c r="UKY80" s="456"/>
      <c r="UKZ80" s="456"/>
      <c r="ULA80" s="456"/>
      <c r="ULB80" s="456"/>
      <c r="ULC80" s="456"/>
      <c r="ULD80" s="456"/>
      <c r="ULE80" s="456"/>
      <c r="ULF80" s="456"/>
      <c r="ULG80" s="456"/>
      <c r="ULH80" s="456"/>
      <c r="ULI80" s="456"/>
      <c r="ULJ80" s="456"/>
      <c r="ULK80" s="456"/>
      <c r="ULL80" s="456"/>
      <c r="ULM80" s="456"/>
      <c r="ULN80" s="456"/>
      <c r="ULO80" s="456"/>
      <c r="ULP80" s="456"/>
      <c r="ULQ80" s="456"/>
      <c r="ULR80" s="456"/>
      <c r="ULS80" s="456"/>
      <c r="ULT80" s="456"/>
      <c r="ULU80" s="456"/>
      <c r="ULV80" s="456"/>
      <c r="ULW80" s="456"/>
      <c r="ULX80" s="456"/>
      <c r="ULY80" s="456"/>
      <c r="ULZ80" s="456"/>
      <c r="UMA80" s="456"/>
      <c r="UMB80" s="456"/>
      <c r="UMC80" s="456"/>
      <c r="UMD80" s="456"/>
      <c r="UME80" s="456"/>
      <c r="UMF80" s="456"/>
      <c r="UMG80" s="456"/>
      <c r="UMH80" s="456"/>
      <c r="UMI80" s="456"/>
      <c r="UMJ80" s="456"/>
      <c r="UMK80" s="456"/>
      <c r="UML80" s="456"/>
      <c r="UMM80" s="456"/>
      <c r="UMN80" s="456"/>
      <c r="UMO80" s="456"/>
      <c r="UMP80" s="456"/>
      <c r="UMQ80" s="456"/>
      <c r="UMR80" s="456"/>
      <c r="UMS80" s="456"/>
      <c r="UMT80" s="456"/>
      <c r="UMU80" s="456"/>
      <c r="UMV80" s="456"/>
      <c r="UMW80" s="456"/>
      <c r="UMX80" s="456"/>
      <c r="UMY80" s="456"/>
      <c r="UMZ80" s="456"/>
      <c r="UNA80" s="456"/>
      <c r="UNB80" s="456"/>
      <c r="UNC80" s="456"/>
      <c r="UND80" s="456"/>
      <c r="UNE80" s="456"/>
      <c r="UNF80" s="456"/>
      <c r="UNG80" s="456"/>
      <c r="UNH80" s="456"/>
      <c r="UNI80" s="456"/>
      <c r="UNJ80" s="456"/>
      <c r="UNK80" s="456"/>
      <c r="UNL80" s="456"/>
      <c r="UNM80" s="456"/>
      <c r="UNN80" s="456"/>
      <c r="UNO80" s="456"/>
      <c r="UNP80" s="456"/>
      <c r="UNQ80" s="456"/>
      <c r="UNR80" s="456"/>
      <c r="UNS80" s="456"/>
      <c r="UNT80" s="456"/>
      <c r="UNU80" s="456"/>
      <c r="UNV80" s="456"/>
      <c r="UNW80" s="456"/>
      <c r="UNX80" s="456"/>
      <c r="UNY80" s="456"/>
      <c r="UNZ80" s="456"/>
      <c r="UOA80" s="456"/>
      <c r="UOB80" s="456"/>
      <c r="UOC80" s="456"/>
      <c r="UOD80" s="456"/>
      <c r="UOE80" s="456"/>
      <c r="UOF80" s="456"/>
      <c r="UOG80" s="456"/>
      <c r="UOH80" s="456"/>
      <c r="UOI80" s="456"/>
      <c r="UOJ80" s="456"/>
      <c r="UOK80" s="456"/>
      <c r="UOL80" s="456"/>
      <c r="UOM80" s="456"/>
      <c r="UON80" s="456"/>
      <c r="UOO80" s="456"/>
      <c r="UOP80" s="456"/>
      <c r="UOQ80" s="456"/>
      <c r="UOR80" s="456"/>
      <c r="UOS80" s="456"/>
      <c r="UOT80" s="456"/>
      <c r="UOU80" s="456"/>
      <c r="UOV80" s="456"/>
      <c r="UOW80" s="456"/>
      <c r="UOX80" s="456"/>
      <c r="UOY80" s="456"/>
      <c r="UOZ80" s="456"/>
      <c r="UPA80" s="456"/>
      <c r="UPB80" s="456"/>
      <c r="UPC80" s="456"/>
      <c r="UPD80" s="456"/>
      <c r="UPE80" s="456"/>
      <c r="UPF80" s="456"/>
      <c r="UPG80" s="456"/>
      <c r="UPH80" s="456"/>
      <c r="UPI80" s="456"/>
      <c r="UPJ80" s="456"/>
      <c r="UPK80" s="456"/>
      <c r="UPL80" s="456"/>
      <c r="UPM80" s="456"/>
      <c r="UPN80" s="456"/>
      <c r="UPO80" s="456"/>
      <c r="UPP80" s="456"/>
      <c r="UPQ80" s="456"/>
      <c r="UPR80" s="456"/>
      <c r="UPS80" s="456"/>
      <c r="UPT80" s="456"/>
      <c r="UPU80" s="456"/>
      <c r="UPV80" s="456"/>
      <c r="UPW80" s="456"/>
      <c r="UPX80" s="456"/>
      <c r="UPY80" s="456"/>
      <c r="UPZ80" s="456"/>
      <c r="UQA80" s="456"/>
      <c r="UQB80" s="456"/>
      <c r="UQC80" s="456"/>
      <c r="UQD80" s="456"/>
      <c r="UQE80" s="456"/>
      <c r="UQF80" s="456"/>
      <c r="UQG80" s="456"/>
      <c r="UQH80" s="456"/>
      <c r="UQI80" s="456"/>
      <c r="UQJ80" s="456"/>
      <c r="UQK80" s="456"/>
      <c r="UQL80" s="456"/>
      <c r="UQM80" s="456"/>
      <c r="UQN80" s="456"/>
      <c r="UQO80" s="456"/>
      <c r="UQP80" s="456"/>
      <c r="UQQ80" s="456"/>
      <c r="UQR80" s="456"/>
      <c r="UQS80" s="456"/>
      <c r="UQT80" s="456"/>
      <c r="UQU80" s="456"/>
      <c r="UQV80" s="456"/>
      <c r="UQW80" s="456"/>
      <c r="UQX80" s="456"/>
      <c r="UQY80" s="456"/>
      <c r="UQZ80" s="456"/>
      <c r="URA80" s="456"/>
      <c r="URB80" s="456"/>
      <c r="URC80" s="456"/>
      <c r="URD80" s="456"/>
      <c r="URE80" s="456"/>
      <c r="URF80" s="456"/>
      <c r="URG80" s="456"/>
      <c r="URH80" s="456"/>
      <c r="URI80" s="456"/>
      <c r="URJ80" s="456"/>
      <c r="URK80" s="456"/>
      <c r="URL80" s="456"/>
      <c r="URM80" s="456"/>
      <c r="URN80" s="456"/>
      <c r="URO80" s="456"/>
      <c r="URP80" s="456"/>
      <c r="URQ80" s="456"/>
      <c r="URR80" s="456"/>
      <c r="URS80" s="456"/>
      <c r="URT80" s="456"/>
      <c r="URU80" s="456"/>
      <c r="URV80" s="456"/>
      <c r="URW80" s="456"/>
      <c r="URX80" s="456"/>
      <c r="URY80" s="456"/>
      <c r="URZ80" s="456"/>
      <c r="USA80" s="456"/>
      <c r="USB80" s="456"/>
      <c r="USC80" s="456"/>
      <c r="USD80" s="456"/>
      <c r="USE80" s="456"/>
      <c r="USF80" s="456"/>
      <c r="USG80" s="456"/>
      <c r="USH80" s="456"/>
      <c r="USI80" s="456"/>
      <c r="USJ80" s="456"/>
      <c r="USK80" s="456"/>
      <c r="USL80" s="456"/>
      <c r="USM80" s="456"/>
      <c r="USN80" s="456"/>
      <c r="USO80" s="456"/>
      <c r="USP80" s="456"/>
      <c r="USQ80" s="456"/>
      <c r="USR80" s="456"/>
      <c r="USS80" s="456"/>
      <c r="UST80" s="456"/>
      <c r="USU80" s="456"/>
      <c r="USV80" s="456"/>
      <c r="USW80" s="456"/>
      <c r="USX80" s="456"/>
      <c r="USY80" s="456"/>
      <c r="USZ80" s="456"/>
      <c r="UTA80" s="456"/>
      <c r="UTB80" s="456"/>
      <c r="UTC80" s="456"/>
      <c r="UTD80" s="456"/>
      <c r="UTE80" s="456"/>
      <c r="UTF80" s="456"/>
      <c r="UTG80" s="456"/>
      <c r="UTH80" s="456"/>
      <c r="UTI80" s="456"/>
      <c r="UTJ80" s="456"/>
      <c r="UTK80" s="456"/>
      <c r="UTL80" s="456"/>
      <c r="UTM80" s="456"/>
      <c r="UTN80" s="456"/>
      <c r="UTO80" s="456"/>
      <c r="UTP80" s="456"/>
      <c r="UTQ80" s="456"/>
      <c r="UTR80" s="456"/>
      <c r="UTS80" s="456"/>
      <c r="UTT80" s="456"/>
      <c r="UTU80" s="456"/>
      <c r="UTV80" s="456"/>
      <c r="UTW80" s="456"/>
      <c r="UTX80" s="456"/>
      <c r="UTY80" s="456"/>
      <c r="UTZ80" s="456"/>
      <c r="UUA80" s="456"/>
      <c r="UUB80" s="456"/>
      <c r="UUC80" s="456"/>
      <c r="UUD80" s="456"/>
      <c r="UUE80" s="456"/>
      <c r="UUF80" s="456"/>
      <c r="UUG80" s="456"/>
      <c r="UUH80" s="456"/>
      <c r="UUI80" s="456"/>
      <c r="UUJ80" s="456"/>
      <c r="UUK80" s="456"/>
      <c r="UUL80" s="456"/>
      <c r="UUM80" s="456"/>
      <c r="UUN80" s="456"/>
      <c r="UUO80" s="456"/>
      <c r="UUP80" s="456"/>
      <c r="UUQ80" s="456"/>
      <c r="UUR80" s="456"/>
      <c r="UUS80" s="456"/>
      <c r="UUT80" s="456"/>
      <c r="UUU80" s="456"/>
      <c r="UUV80" s="456"/>
      <c r="UUW80" s="456"/>
      <c r="UUX80" s="456"/>
      <c r="UUY80" s="456"/>
      <c r="UUZ80" s="456"/>
      <c r="UVA80" s="456"/>
      <c r="UVB80" s="456"/>
      <c r="UVC80" s="456"/>
      <c r="UVD80" s="456"/>
      <c r="UVE80" s="456"/>
      <c r="UVF80" s="456"/>
      <c r="UVG80" s="456"/>
      <c r="UVH80" s="456"/>
      <c r="UVI80" s="456"/>
      <c r="UVJ80" s="456"/>
      <c r="UVK80" s="456"/>
      <c r="UVL80" s="456"/>
      <c r="UVM80" s="456"/>
      <c r="UVN80" s="456"/>
      <c r="UVO80" s="456"/>
      <c r="UVP80" s="456"/>
      <c r="UVQ80" s="456"/>
      <c r="UVR80" s="456"/>
      <c r="UVS80" s="456"/>
      <c r="UVT80" s="456"/>
      <c r="UVU80" s="456"/>
      <c r="UVV80" s="456"/>
      <c r="UVW80" s="456"/>
      <c r="UVX80" s="456"/>
      <c r="UVY80" s="456"/>
      <c r="UVZ80" s="456"/>
      <c r="UWA80" s="456"/>
      <c r="UWB80" s="456"/>
      <c r="UWC80" s="456"/>
      <c r="UWD80" s="456"/>
      <c r="UWE80" s="456"/>
      <c r="UWF80" s="456"/>
      <c r="UWG80" s="456"/>
      <c r="UWH80" s="456"/>
      <c r="UWI80" s="456"/>
      <c r="UWJ80" s="456"/>
      <c r="UWK80" s="456"/>
      <c r="UWL80" s="456"/>
      <c r="UWM80" s="456"/>
      <c r="UWN80" s="456"/>
      <c r="UWO80" s="456"/>
      <c r="UWP80" s="456"/>
      <c r="UWQ80" s="456"/>
      <c r="UWR80" s="456"/>
      <c r="UWS80" s="456"/>
      <c r="UWT80" s="456"/>
      <c r="UWU80" s="456"/>
      <c r="UWV80" s="456"/>
      <c r="UWW80" s="456"/>
      <c r="UWX80" s="456"/>
      <c r="UWY80" s="456"/>
      <c r="UWZ80" s="456"/>
      <c r="UXA80" s="456"/>
      <c r="UXB80" s="456"/>
      <c r="UXC80" s="456"/>
      <c r="UXD80" s="456"/>
      <c r="UXE80" s="456"/>
      <c r="UXF80" s="456"/>
      <c r="UXG80" s="456"/>
      <c r="UXH80" s="456"/>
      <c r="UXI80" s="456"/>
      <c r="UXJ80" s="456"/>
      <c r="UXK80" s="456"/>
      <c r="UXL80" s="456"/>
      <c r="UXM80" s="456"/>
      <c r="UXN80" s="456"/>
      <c r="UXO80" s="456"/>
      <c r="UXP80" s="456"/>
      <c r="UXQ80" s="456"/>
      <c r="UXR80" s="456"/>
      <c r="UXS80" s="456"/>
      <c r="UXT80" s="456"/>
      <c r="UXU80" s="456"/>
      <c r="UXV80" s="456"/>
      <c r="UXW80" s="456"/>
      <c r="UXX80" s="456"/>
      <c r="UXY80" s="456"/>
      <c r="UXZ80" s="456"/>
      <c r="UYA80" s="456"/>
      <c r="UYB80" s="456"/>
      <c r="UYC80" s="456"/>
      <c r="UYD80" s="456"/>
      <c r="UYE80" s="456"/>
      <c r="UYF80" s="456"/>
      <c r="UYG80" s="456"/>
      <c r="UYH80" s="456"/>
      <c r="UYI80" s="456"/>
      <c r="UYJ80" s="456"/>
      <c r="UYK80" s="456"/>
      <c r="UYL80" s="456"/>
      <c r="UYM80" s="456"/>
      <c r="UYN80" s="456"/>
      <c r="UYO80" s="456"/>
      <c r="UYP80" s="456"/>
      <c r="UYQ80" s="456"/>
      <c r="UYR80" s="456"/>
      <c r="UYS80" s="456"/>
      <c r="UYT80" s="456"/>
      <c r="UYU80" s="456"/>
      <c r="UYV80" s="456"/>
      <c r="UYW80" s="456"/>
      <c r="UYX80" s="456"/>
      <c r="UYY80" s="456"/>
      <c r="UYZ80" s="456"/>
      <c r="UZA80" s="456"/>
      <c r="UZB80" s="456"/>
      <c r="UZC80" s="456"/>
      <c r="UZD80" s="456"/>
      <c r="UZE80" s="456"/>
      <c r="UZF80" s="456"/>
      <c r="UZG80" s="456"/>
      <c r="UZH80" s="456"/>
      <c r="UZI80" s="456"/>
      <c r="UZJ80" s="456"/>
      <c r="UZK80" s="456"/>
      <c r="UZL80" s="456"/>
      <c r="UZM80" s="456"/>
      <c r="UZN80" s="456"/>
      <c r="UZO80" s="456"/>
      <c r="UZP80" s="456"/>
      <c r="UZQ80" s="456"/>
      <c r="UZR80" s="456"/>
      <c r="UZS80" s="456"/>
      <c r="UZT80" s="456"/>
      <c r="UZU80" s="456"/>
      <c r="UZV80" s="456"/>
      <c r="UZW80" s="456"/>
      <c r="UZX80" s="456"/>
      <c r="UZY80" s="456"/>
      <c r="UZZ80" s="456"/>
      <c r="VAA80" s="456"/>
      <c r="VAB80" s="456"/>
      <c r="VAC80" s="456"/>
      <c r="VAD80" s="456"/>
      <c r="VAE80" s="456"/>
      <c r="VAF80" s="456"/>
      <c r="VAG80" s="456"/>
      <c r="VAH80" s="456"/>
      <c r="VAI80" s="456"/>
      <c r="VAJ80" s="456"/>
      <c r="VAK80" s="456"/>
      <c r="VAL80" s="456"/>
      <c r="VAM80" s="456"/>
      <c r="VAN80" s="456"/>
      <c r="VAO80" s="456"/>
      <c r="VAP80" s="456"/>
      <c r="VAQ80" s="456"/>
      <c r="VAR80" s="456"/>
      <c r="VAS80" s="456"/>
      <c r="VAT80" s="456"/>
      <c r="VAU80" s="456"/>
      <c r="VAV80" s="456"/>
      <c r="VAW80" s="456"/>
      <c r="VAX80" s="456"/>
      <c r="VAY80" s="456"/>
      <c r="VAZ80" s="456"/>
      <c r="VBA80" s="456"/>
      <c r="VBB80" s="456"/>
      <c r="VBC80" s="456"/>
      <c r="VBD80" s="456"/>
      <c r="VBE80" s="456"/>
      <c r="VBF80" s="456"/>
      <c r="VBG80" s="456"/>
      <c r="VBH80" s="456"/>
      <c r="VBI80" s="456"/>
      <c r="VBJ80" s="456"/>
      <c r="VBK80" s="456"/>
      <c r="VBL80" s="456"/>
      <c r="VBM80" s="456"/>
      <c r="VBN80" s="456"/>
      <c r="VBO80" s="456"/>
      <c r="VBP80" s="456"/>
      <c r="VBQ80" s="456"/>
      <c r="VBR80" s="456"/>
      <c r="VBS80" s="456"/>
      <c r="VBT80" s="456"/>
      <c r="VBU80" s="456"/>
      <c r="VBV80" s="456"/>
      <c r="VBW80" s="456"/>
      <c r="VBX80" s="456"/>
      <c r="VBY80" s="456"/>
      <c r="VBZ80" s="456"/>
      <c r="VCA80" s="456"/>
      <c r="VCB80" s="456"/>
      <c r="VCC80" s="456"/>
      <c r="VCD80" s="456"/>
      <c r="VCE80" s="456"/>
      <c r="VCF80" s="456"/>
      <c r="VCG80" s="456"/>
      <c r="VCH80" s="456"/>
      <c r="VCI80" s="456"/>
      <c r="VCJ80" s="456"/>
      <c r="VCK80" s="456"/>
      <c r="VCL80" s="456"/>
      <c r="VCM80" s="456"/>
      <c r="VCN80" s="456"/>
      <c r="VCO80" s="456"/>
      <c r="VCP80" s="456"/>
      <c r="VCQ80" s="456"/>
      <c r="VCR80" s="456"/>
      <c r="VCS80" s="456"/>
      <c r="VCT80" s="456"/>
      <c r="VCU80" s="456"/>
      <c r="VCV80" s="456"/>
      <c r="VCW80" s="456"/>
      <c r="VCX80" s="456"/>
      <c r="VCY80" s="456"/>
      <c r="VCZ80" s="456"/>
      <c r="VDA80" s="456"/>
      <c r="VDB80" s="456"/>
      <c r="VDC80" s="456"/>
      <c r="VDD80" s="456"/>
      <c r="VDE80" s="456"/>
      <c r="VDF80" s="456"/>
      <c r="VDG80" s="456"/>
      <c r="VDH80" s="456"/>
      <c r="VDI80" s="456"/>
      <c r="VDJ80" s="456"/>
      <c r="VDK80" s="456"/>
      <c r="VDL80" s="456"/>
      <c r="VDM80" s="456"/>
      <c r="VDN80" s="456"/>
      <c r="VDO80" s="456"/>
      <c r="VDP80" s="456"/>
      <c r="VDQ80" s="456"/>
      <c r="VDR80" s="456"/>
      <c r="VDS80" s="456"/>
      <c r="VDT80" s="456"/>
      <c r="VDU80" s="456"/>
      <c r="VDV80" s="456"/>
      <c r="VDW80" s="456"/>
      <c r="VDX80" s="456"/>
      <c r="VDY80" s="456"/>
      <c r="VDZ80" s="456"/>
      <c r="VEA80" s="456"/>
      <c r="VEB80" s="456"/>
      <c r="VEC80" s="456"/>
      <c r="VED80" s="456"/>
      <c r="VEE80" s="456"/>
      <c r="VEF80" s="456"/>
      <c r="VEG80" s="456"/>
      <c r="VEH80" s="456"/>
      <c r="VEI80" s="456"/>
      <c r="VEJ80" s="456"/>
      <c r="VEK80" s="456"/>
      <c r="VEL80" s="456"/>
      <c r="VEM80" s="456"/>
      <c r="VEN80" s="456"/>
      <c r="VEO80" s="456"/>
      <c r="VEP80" s="456"/>
      <c r="VEQ80" s="456"/>
      <c r="VER80" s="456"/>
      <c r="VES80" s="456"/>
      <c r="VET80" s="456"/>
      <c r="VEU80" s="456"/>
      <c r="VEV80" s="456"/>
      <c r="VEW80" s="456"/>
      <c r="VEX80" s="456"/>
      <c r="VEY80" s="456"/>
      <c r="VEZ80" s="456"/>
      <c r="VFA80" s="456"/>
      <c r="VFB80" s="456"/>
      <c r="VFC80" s="456"/>
      <c r="VFD80" s="456"/>
      <c r="VFE80" s="456"/>
      <c r="VFF80" s="456"/>
      <c r="VFG80" s="456"/>
      <c r="VFH80" s="456"/>
      <c r="VFI80" s="456"/>
      <c r="VFJ80" s="456"/>
      <c r="VFK80" s="456"/>
      <c r="VFL80" s="456"/>
      <c r="VFM80" s="456"/>
      <c r="VFN80" s="456"/>
      <c r="VFO80" s="456"/>
      <c r="VFP80" s="456"/>
      <c r="VFQ80" s="456"/>
      <c r="VFR80" s="456"/>
      <c r="VFS80" s="456"/>
      <c r="VFT80" s="456"/>
      <c r="VFU80" s="456"/>
      <c r="VFV80" s="456"/>
      <c r="VFW80" s="456"/>
      <c r="VFX80" s="456"/>
      <c r="VFY80" s="456"/>
      <c r="VFZ80" s="456"/>
      <c r="VGA80" s="456"/>
      <c r="VGB80" s="456"/>
      <c r="VGC80" s="456"/>
      <c r="VGD80" s="456"/>
      <c r="VGE80" s="456"/>
      <c r="VGF80" s="456"/>
      <c r="VGG80" s="456"/>
      <c r="VGH80" s="456"/>
      <c r="VGI80" s="456"/>
      <c r="VGJ80" s="456"/>
      <c r="VGK80" s="456"/>
      <c r="VGL80" s="456"/>
      <c r="VGM80" s="456"/>
      <c r="VGN80" s="456"/>
      <c r="VGO80" s="456"/>
      <c r="VGP80" s="456"/>
      <c r="VGQ80" s="456"/>
      <c r="VGR80" s="456"/>
      <c r="VGS80" s="456"/>
      <c r="VGT80" s="456"/>
      <c r="VGU80" s="456"/>
      <c r="VGV80" s="456"/>
      <c r="VGW80" s="456"/>
      <c r="VGX80" s="456"/>
      <c r="VGY80" s="456"/>
      <c r="VGZ80" s="456"/>
      <c r="VHA80" s="456"/>
      <c r="VHB80" s="456"/>
      <c r="VHC80" s="456"/>
      <c r="VHD80" s="456"/>
      <c r="VHE80" s="456"/>
      <c r="VHF80" s="456"/>
      <c r="VHG80" s="456"/>
      <c r="VHH80" s="456"/>
      <c r="VHI80" s="456"/>
      <c r="VHJ80" s="456"/>
      <c r="VHK80" s="456"/>
      <c r="VHL80" s="456"/>
      <c r="VHM80" s="456"/>
      <c r="VHN80" s="456"/>
      <c r="VHO80" s="456"/>
      <c r="VHP80" s="456"/>
      <c r="VHQ80" s="456"/>
      <c r="VHR80" s="456"/>
      <c r="VHS80" s="456"/>
      <c r="VHT80" s="456"/>
      <c r="VHU80" s="456"/>
      <c r="VHV80" s="456"/>
      <c r="VHW80" s="456"/>
      <c r="VHX80" s="456"/>
      <c r="VHY80" s="456"/>
      <c r="VHZ80" s="456"/>
      <c r="VIA80" s="456"/>
      <c r="VIB80" s="456"/>
      <c r="VIC80" s="456"/>
      <c r="VID80" s="456"/>
      <c r="VIE80" s="456"/>
      <c r="VIF80" s="456"/>
      <c r="VIG80" s="456"/>
      <c r="VIH80" s="456"/>
      <c r="VII80" s="456"/>
      <c r="VIJ80" s="456"/>
      <c r="VIK80" s="456"/>
      <c r="VIL80" s="456"/>
      <c r="VIM80" s="456"/>
      <c r="VIN80" s="456"/>
      <c r="VIO80" s="456"/>
      <c r="VIP80" s="456"/>
      <c r="VIQ80" s="456"/>
      <c r="VIR80" s="456"/>
      <c r="VIS80" s="456"/>
      <c r="VIT80" s="456"/>
      <c r="VIU80" s="456"/>
      <c r="VIV80" s="456"/>
      <c r="VIW80" s="456"/>
      <c r="VIX80" s="456"/>
      <c r="VIY80" s="456"/>
      <c r="VIZ80" s="456"/>
      <c r="VJA80" s="456"/>
      <c r="VJB80" s="456"/>
      <c r="VJC80" s="456"/>
      <c r="VJD80" s="456"/>
      <c r="VJE80" s="456"/>
      <c r="VJF80" s="456"/>
      <c r="VJG80" s="456"/>
      <c r="VJH80" s="456"/>
      <c r="VJI80" s="456"/>
      <c r="VJJ80" s="456"/>
      <c r="VJK80" s="456"/>
      <c r="VJL80" s="456"/>
      <c r="VJM80" s="456"/>
      <c r="VJN80" s="456"/>
      <c r="VJO80" s="456"/>
      <c r="VJP80" s="456"/>
      <c r="VJQ80" s="456"/>
      <c r="VJR80" s="456"/>
      <c r="VJS80" s="456"/>
      <c r="VJT80" s="456"/>
      <c r="VJU80" s="456"/>
      <c r="VJV80" s="456"/>
      <c r="VJW80" s="456"/>
      <c r="VJX80" s="456"/>
      <c r="VJY80" s="456"/>
      <c r="VJZ80" s="456"/>
      <c r="VKA80" s="456"/>
      <c r="VKB80" s="456"/>
      <c r="VKC80" s="456"/>
      <c r="VKD80" s="456"/>
      <c r="VKE80" s="456"/>
      <c r="VKF80" s="456"/>
      <c r="VKG80" s="456"/>
      <c r="VKH80" s="456"/>
      <c r="VKI80" s="456"/>
      <c r="VKJ80" s="456"/>
      <c r="VKK80" s="456"/>
      <c r="VKL80" s="456"/>
      <c r="VKM80" s="456"/>
      <c r="VKN80" s="456"/>
      <c r="VKO80" s="456"/>
      <c r="VKP80" s="456"/>
      <c r="VKQ80" s="456"/>
      <c r="VKR80" s="456"/>
      <c r="VKS80" s="456"/>
      <c r="VKT80" s="456"/>
      <c r="VKU80" s="456"/>
      <c r="VKV80" s="456"/>
      <c r="VKW80" s="456"/>
      <c r="VKX80" s="456"/>
      <c r="VKY80" s="456"/>
      <c r="VKZ80" s="456"/>
      <c r="VLA80" s="456"/>
      <c r="VLB80" s="456"/>
      <c r="VLC80" s="456"/>
      <c r="VLD80" s="456"/>
      <c r="VLE80" s="456"/>
      <c r="VLF80" s="456"/>
      <c r="VLG80" s="456"/>
      <c r="VLH80" s="456"/>
      <c r="VLI80" s="456"/>
      <c r="VLJ80" s="456"/>
      <c r="VLK80" s="456"/>
      <c r="VLL80" s="456"/>
      <c r="VLM80" s="456"/>
      <c r="VLN80" s="456"/>
      <c r="VLO80" s="456"/>
      <c r="VLP80" s="456"/>
      <c r="VLQ80" s="456"/>
      <c r="VLR80" s="456"/>
      <c r="VLS80" s="456"/>
      <c r="VLT80" s="456"/>
      <c r="VLU80" s="456"/>
      <c r="VLV80" s="456"/>
      <c r="VLW80" s="456"/>
      <c r="VLX80" s="456"/>
      <c r="VLY80" s="456"/>
      <c r="VLZ80" s="456"/>
      <c r="VMA80" s="456"/>
      <c r="VMB80" s="456"/>
      <c r="VMC80" s="456"/>
      <c r="VMD80" s="456"/>
      <c r="VME80" s="456"/>
      <c r="VMF80" s="456"/>
      <c r="VMG80" s="456"/>
      <c r="VMH80" s="456"/>
      <c r="VMI80" s="456"/>
      <c r="VMJ80" s="456"/>
      <c r="VMK80" s="456"/>
      <c r="VML80" s="456"/>
      <c r="VMM80" s="456"/>
      <c r="VMN80" s="456"/>
      <c r="VMO80" s="456"/>
      <c r="VMP80" s="456"/>
      <c r="VMQ80" s="456"/>
      <c r="VMR80" s="456"/>
      <c r="VMS80" s="456"/>
      <c r="VMT80" s="456"/>
      <c r="VMU80" s="456"/>
      <c r="VMV80" s="456"/>
      <c r="VMW80" s="456"/>
      <c r="VMX80" s="456"/>
      <c r="VMY80" s="456"/>
      <c r="VMZ80" s="456"/>
      <c r="VNA80" s="456"/>
      <c r="VNB80" s="456"/>
      <c r="VNC80" s="456"/>
      <c r="VND80" s="456"/>
      <c r="VNE80" s="456"/>
      <c r="VNF80" s="456"/>
      <c r="VNG80" s="456"/>
      <c r="VNH80" s="456"/>
      <c r="VNI80" s="456"/>
      <c r="VNJ80" s="456"/>
      <c r="VNK80" s="456"/>
      <c r="VNL80" s="456"/>
      <c r="VNM80" s="456"/>
      <c r="VNN80" s="456"/>
      <c r="VNO80" s="456"/>
      <c r="VNP80" s="456"/>
      <c r="VNQ80" s="456"/>
      <c r="VNR80" s="456"/>
      <c r="VNS80" s="456"/>
      <c r="VNT80" s="456"/>
      <c r="VNU80" s="456"/>
      <c r="VNV80" s="456"/>
      <c r="VNW80" s="456"/>
      <c r="VNX80" s="456"/>
      <c r="VNY80" s="456"/>
      <c r="VNZ80" s="456"/>
      <c r="VOA80" s="456"/>
      <c r="VOB80" s="456"/>
      <c r="VOC80" s="456"/>
      <c r="VOD80" s="456"/>
      <c r="VOE80" s="456"/>
      <c r="VOF80" s="456"/>
      <c r="VOG80" s="456"/>
      <c r="VOH80" s="456"/>
      <c r="VOI80" s="456"/>
      <c r="VOJ80" s="456"/>
      <c r="VOK80" s="456"/>
      <c r="VOL80" s="456"/>
      <c r="VOM80" s="456"/>
      <c r="VON80" s="456"/>
      <c r="VOO80" s="456"/>
      <c r="VOP80" s="456"/>
      <c r="VOQ80" s="456"/>
      <c r="VOR80" s="456"/>
      <c r="VOS80" s="456"/>
      <c r="VOT80" s="456"/>
      <c r="VOU80" s="456"/>
      <c r="VOV80" s="456"/>
      <c r="VOW80" s="456"/>
      <c r="VOX80" s="456"/>
      <c r="VOY80" s="456"/>
      <c r="VOZ80" s="456"/>
      <c r="VPA80" s="456"/>
      <c r="VPB80" s="456"/>
      <c r="VPC80" s="456"/>
      <c r="VPD80" s="456"/>
      <c r="VPE80" s="456"/>
      <c r="VPF80" s="456"/>
      <c r="VPG80" s="456"/>
      <c r="VPH80" s="456"/>
      <c r="VPI80" s="456"/>
      <c r="VPJ80" s="456"/>
      <c r="VPK80" s="456"/>
      <c r="VPL80" s="456"/>
      <c r="VPM80" s="456"/>
      <c r="VPN80" s="456"/>
      <c r="VPO80" s="456"/>
      <c r="VPP80" s="456"/>
      <c r="VPQ80" s="456"/>
      <c r="VPR80" s="456"/>
      <c r="VPS80" s="456"/>
      <c r="VPT80" s="456"/>
      <c r="VPU80" s="456"/>
      <c r="VPV80" s="456"/>
      <c r="VPW80" s="456"/>
      <c r="VPX80" s="456"/>
      <c r="VPY80" s="456"/>
      <c r="VPZ80" s="456"/>
      <c r="VQA80" s="456"/>
      <c r="VQB80" s="456"/>
      <c r="VQC80" s="456"/>
      <c r="VQD80" s="456"/>
      <c r="VQE80" s="456"/>
      <c r="VQF80" s="456"/>
      <c r="VQG80" s="456"/>
      <c r="VQH80" s="456"/>
      <c r="VQI80" s="456"/>
      <c r="VQJ80" s="456"/>
      <c r="VQK80" s="456"/>
      <c r="VQL80" s="456"/>
      <c r="VQM80" s="456"/>
      <c r="VQN80" s="456"/>
      <c r="VQO80" s="456"/>
      <c r="VQP80" s="456"/>
      <c r="VQQ80" s="456"/>
      <c r="VQR80" s="456"/>
      <c r="VQS80" s="456"/>
      <c r="VQT80" s="456"/>
      <c r="VQU80" s="456"/>
      <c r="VQV80" s="456"/>
      <c r="VQW80" s="456"/>
      <c r="VQX80" s="456"/>
      <c r="VQY80" s="456"/>
      <c r="VQZ80" s="456"/>
      <c r="VRA80" s="456"/>
      <c r="VRB80" s="456"/>
      <c r="VRC80" s="456"/>
      <c r="VRD80" s="456"/>
      <c r="VRE80" s="456"/>
      <c r="VRF80" s="456"/>
      <c r="VRG80" s="456"/>
      <c r="VRH80" s="456"/>
      <c r="VRI80" s="456"/>
      <c r="VRJ80" s="456"/>
      <c r="VRK80" s="456"/>
      <c r="VRL80" s="456"/>
      <c r="VRM80" s="456"/>
      <c r="VRN80" s="456"/>
      <c r="VRO80" s="456"/>
      <c r="VRP80" s="456"/>
      <c r="VRQ80" s="456"/>
      <c r="VRR80" s="456"/>
      <c r="VRS80" s="456"/>
      <c r="VRT80" s="456"/>
      <c r="VRU80" s="456"/>
      <c r="VRV80" s="456"/>
      <c r="VRW80" s="456"/>
      <c r="VRX80" s="456"/>
      <c r="VRY80" s="456"/>
      <c r="VRZ80" s="456"/>
      <c r="VSA80" s="456"/>
      <c r="VSB80" s="456"/>
      <c r="VSC80" s="456"/>
      <c r="VSD80" s="456"/>
      <c r="VSE80" s="456"/>
      <c r="VSF80" s="456"/>
      <c r="VSG80" s="456"/>
      <c r="VSH80" s="456"/>
      <c r="VSI80" s="456"/>
      <c r="VSJ80" s="456"/>
      <c r="VSK80" s="456"/>
      <c r="VSL80" s="456"/>
      <c r="VSM80" s="456"/>
      <c r="VSN80" s="456"/>
      <c r="VSO80" s="456"/>
      <c r="VSP80" s="456"/>
      <c r="VSQ80" s="456"/>
      <c r="VSR80" s="456"/>
      <c r="VSS80" s="456"/>
      <c r="VST80" s="456"/>
      <c r="VSU80" s="456"/>
      <c r="VSV80" s="456"/>
      <c r="VSW80" s="456"/>
      <c r="VSX80" s="456"/>
      <c r="VSY80" s="456"/>
      <c r="VSZ80" s="456"/>
      <c r="VTA80" s="456"/>
      <c r="VTB80" s="456"/>
      <c r="VTC80" s="456"/>
      <c r="VTD80" s="456"/>
      <c r="VTE80" s="456"/>
      <c r="VTF80" s="456"/>
      <c r="VTG80" s="456"/>
      <c r="VTH80" s="456"/>
      <c r="VTI80" s="456"/>
      <c r="VTJ80" s="456"/>
      <c r="VTK80" s="456"/>
      <c r="VTL80" s="456"/>
      <c r="VTM80" s="456"/>
      <c r="VTN80" s="456"/>
      <c r="VTO80" s="456"/>
      <c r="VTP80" s="456"/>
      <c r="VTQ80" s="456"/>
      <c r="VTR80" s="456"/>
      <c r="VTS80" s="456"/>
      <c r="VTT80" s="456"/>
      <c r="VTU80" s="456"/>
      <c r="VTV80" s="456"/>
      <c r="VTW80" s="456"/>
      <c r="VTX80" s="456"/>
      <c r="VTY80" s="456"/>
      <c r="VTZ80" s="456"/>
      <c r="VUA80" s="456"/>
      <c r="VUB80" s="456"/>
      <c r="VUC80" s="456"/>
      <c r="VUD80" s="456"/>
      <c r="VUE80" s="456"/>
      <c r="VUF80" s="456"/>
      <c r="VUG80" s="456"/>
      <c r="VUH80" s="456"/>
      <c r="VUI80" s="456"/>
      <c r="VUJ80" s="456"/>
      <c r="VUK80" s="456"/>
      <c r="VUL80" s="456"/>
      <c r="VUM80" s="456"/>
      <c r="VUN80" s="456"/>
      <c r="VUO80" s="456"/>
      <c r="VUP80" s="456"/>
      <c r="VUQ80" s="456"/>
      <c r="VUR80" s="456"/>
      <c r="VUS80" s="456"/>
      <c r="VUT80" s="456"/>
      <c r="VUU80" s="456"/>
      <c r="VUV80" s="456"/>
      <c r="VUW80" s="456"/>
      <c r="VUX80" s="456"/>
      <c r="VUY80" s="456"/>
      <c r="VUZ80" s="456"/>
      <c r="VVA80" s="456"/>
      <c r="VVB80" s="456"/>
      <c r="VVC80" s="456"/>
      <c r="VVD80" s="456"/>
      <c r="VVE80" s="456"/>
      <c r="VVF80" s="456"/>
      <c r="VVG80" s="456"/>
      <c r="VVH80" s="456"/>
      <c r="VVI80" s="456"/>
      <c r="VVJ80" s="456"/>
      <c r="VVK80" s="456"/>
      <c r="VVL80" s="456"/>
      <c r="VVM80" s="456"/>
      <c r="VVN80" s="456"/>
      <c r="VVO80" s="456"/>
      <c r="VVP80" s="456"/>
      <c r="VVQ80" s="456"/>
      <c r="VVR80" s="456"/>
      <c r="VVS80" s="456"/>
      <c r="VVT80" s="456"/>
      <c r="VVU80" s="456"/>
      <c r="VVV80" s="456"/>
      <c r="VVW80" s="456"/>
      <c r="VVX80" s="456"/>
      <c r="VVY80" s="456"/>
      <c r="VVZ80" s="456"/>
      <c r="VWA80" s="456"/>
      <c r="VWB80" s="456"/>
      <c r="VWC80" s="456"/>
      <c r="VWD80" s="456"/>
      <c r="VWE80" s="456"/>
      <c r="VWF80" s="456"/>
      <c r="VWG80" s="456"/>
      <c r="VWH80" s="456"/>
      <c r="VWI80" s="456"/>
      <c r="VWJ80" s="456"/>
      <c r="VWK80" s="456"/>
      <c r="VWL80" s="456"/>
      <c r="VWM80" s="456"/>
      <c r="VWN80" s="456"/>
      <c r="VWO80" s="456"/>
      <c r="VWP80" s="456"/>
      <c r="VWQ80" s="456"/>
      <c r="VWR80" s="456"/>
      <c r="VWS80" s="456"/>
      <c r="VWT80" s="456"/>
      <c r="VWU80" s="456"/>
      <c r="VWV80" s="456"/>
      <c r="VWW80" s="456"/>
      <c r="VWX80" s="456"/>
      <c r="VWY80" s="456"/>
      <c r="VWZ80" s="456"/>
      <c r="VXA80" s="456"/>
      <c r="VXB80" s="456"/>
      <c r="VXC80" s="456"/>
      <c r="VXD80" s="456"/>
      <c r="VXE80" s="456"/>
      <c r="VXF80" s="456"/>
      <c r="VXG80" s="456"/>
      <c r="VXH80" s="456"/>
      <c r="VXI80" s="456"/>
      <c r="VXJ80" s="456"/>
      <c r="VXK80" s="456"/>
      <c r="VXL80" s="456"/>
      <c r="VXM80" s="456"/>
      <c r="VXN80" s="456"/>
      <c r="VXO80" s="456"/>
      <c r="VXP80" s="456"/>
      <c r="VXQ80" s="456"/>
      <c r="VXR80" s="456"/>
      <c r="VXS80" s="456"/>
      <c r="VXT80" s="456"/>
      <c r="VXU80" s="456"/>
      <c r="VXV80" s="456"/>
      <c r="VXW80" s="456"/>
      <c r="VXX80" s="456"/>
      <c r="VXY80" s="456"/>
      <c r="VXZ80" s="456"/>
      <c r="VYA80" s="456"/>
      <c r="VYB80" s="456"/>
      <c r="VYC80" s="456"/>
      <c r="VYD80" s="456"/>
      <c r="VYE80" s="456"/>
      <c r="VYF80" s="456"/>
      <c r="VYG80" s="456"/>
      <c r="VYH80" s="456"/>
      <c r="VYI80" s="456"/>
      <c r="VYJ80" s="456"/>
      <c r="VYK80" s="456"/>
      <c r="VYL80" s="456"/>
      <c r="VYM80" s="456"/>
      <c r="VYN80" s="456"/>
      <c r="VYO80" s="456"/>
      <c r="VYP80" s="456"/>
      <c r="VYQ80" s="456"/>
      <c r="VYR80" s="456"/>
      <c r="VYS80" s="456"/>
      <c r="VYT80" s="456"/>
      <c r="VYU80" s="456"/>
      <c r="VYV80" s="456"/>
      <c r="VYW80" s="456"/>
      <c r="VYX80" s="456"/>
      <c r="VYY80" s="456"/>
      <c r="VYZ80" s="456"/>
      <c r="VZA80" s="456"/>
      <c r="VZB80" s="456"/>
      <c r="VZC80" s="456"/>
      <c r="VZD80" s="456"/>
      <c r="VZE80" s="456"/>
      <c r="VZF80" s="456"/>
      <c r="VZG80" s="456"/>
      <c r="VZH80" s="456"/>
      <c r="VZI80" s="456"/>
      <c r="VZJ80" s="456"/>
      <c r="VZK80" s="456"/>
      <c r="VZL80" s="456"/>
      <c r="VZM80" s="456"/>
      <c r="VZN80" s="456"/>
      <c r="VZO80" s="456"/>
      <c r="VZP80" s="456"/>
      <c r="VZQ80" s="456"/>
      <c r="VZR80" s="456"/>
      <c r="VZS80" s="456"/>
      <c r="VZT80" s="456"/>
      <c r="VZU80" s="456"/>
      <c r="VZV80" s="456"/>
      <c r="VZW80" s="456"/>
      <c r="VZX80" s="456"/>
      <c r="VZY80" s="456"/>
      <c r="VZZ80" s="456"/>
      <c r="WAA80" s="456"/>
      <c r="WAB80" s="456"/>
      <c r="WAC80" s="456"/>
      <c r="WAD80" s="456"/>
      <c r="WAE80" s="456"/>
      <c r="WAF80" s="456"/>
      <c r="WAG80" s="456"/>
      <c r="WAH80" s="456"/>
      <c r="WAI80" s="456"/>
      <c r="WAJ80" s="456"/>
      <c r="WAK80" s="456"/>
      <c r="WAL80" s="456"/>
      <c r="WAM80" s="456"/>
      <c r="WAN80" s="456"/>
      <c r="WAO80" s="456"/>
      <c r="WAP80" s="456"/>
      <c r="WAQ80" s="456"/>
      <c r="WAR80" s="456"/>
      <c r="WAS80" s="456"/>
      <c r="WAT80" s="456"/>
      <c r="WAU80" s="456"/>
      <c r="WAV80" s="456"/>
      <c r="WAW80" s="456"/>
      <c r="WAX80" s="456"/>
      <c r="WAY80" s="456"/>
      <c r="WAZ80" s="456"/>
      <c r="WBA80" s="456"/>
      <c r="WBB80" s="456"/>
      <c r="WBC80" s="456"/>
      <c r="WBD80" s="456"/>
      <c r="WBE80" s="456"/>
      <c r="WBF80" s="456"/>
      <c r="WBG80" s="456"/>
      <c r="WBH80" s="456"/>
      <c r="WBI80" s="456"/>
      <c r="WBJ80" s="456"/>
      <c r="WBK80" s="456"/>
      <c r="WBL80" s="456"/>
      <c r="WBM80" s="456"/>
      <c r="WBN80" s="456"/>
      <c r="WBO80" s="456"/>
      <c r="WBP80" s="456"/>
      <c r="WBQ80" s="456"/>
      <c r="WBR80" s="456"/>
      <c r="WBS80" s="456"/>
      <c r="WBT80" s="456"/>
      <c r="WBU80" s="456"/>
      <c r="WBV80" s="456"/>
      <c r="WBW80" s="456"/>
      <c r="WBX80" s="456"/>
      <c r="WBY80" s="456"/>
      <c r="WBZ80" s="456"/>
      <c r="WCA80" s="456"/>
      <c r="WCB80" s="456"/>
      <c r="WCC80" s="456"/>
      <c r="WCD80" s="456"/>
      <c r="WCE80" s="456"/>
      <c r="WCF80" s="456"/>
      <c r="WCG80" s="456"/>
      <c r="WCH80" s="456"/>
      <c r="WCI80" s="456"/>
      <c r="WCJ80" s="456"/>
      <c r="WCK80" s="456"/>
      <c r="WCL80" s="456"/>
      <c r="WCM80" s="456"/>
      <c r="WCN80" s="456"/>
      <c r="WCO80" s="456"/>
      <c r="WCP80" s="456"/>
      <c r="WCQ80" s="456"/>
      <c r="WCR80" s="456"/>
      <c r="WCS80" s="456"/>
      <c r="WCT80" s="456"/>
      <c r="WCU80" s="456"/>
      <c r="WCV80" s="456"/>
      <c r="WCW80" s="456"/>
      <c r="WCX80" s="456"/>
      <c r="WCY80" s="456"/>
      <c r="WCZ80" s="456"/>
      <c r="WDA80" s="456"/>
      <c r="WDB80" s="456"/>
      <c r="WDC80" s="456"/>
      <c r="WDD80" s="456"/>
      <c r="WDE80" s="456"/>
      <c r="WDF80" s="456"/>
      <c r="WDG80" s="456"/>
      <c r="WDH80" s="456"/>
      <c r="WDI80" s="456"/>
      <c r="WDJ80" s="456"/>
      <c r="WDK80" s="456"/>
      <c r="WDL80" s="456"/>
      <c r="WDM80" s="456"/>
      <c r="WDN80" s="456"/>
      <c r="WDO80" s="456"/>
      <c r="WDP80" s="456"/>
      <c r="WDQ80" s="456"/>
      <c r="WDR80" s="456"/>
      <c r="WDS80" s="456"/>
      <c r="WDT80" s="456"/>
      <c r="WDU80" s="456"/>
      <c r="WDV80" s="456"/>
      <c r="WDW80" s="456"/>
      <c r="WDX80" s="456"/>
      <c r="WDY80" s="456"/>
      <c r="WDZ80" s="456"/>
      <c r="WEA80" s="456"/>
      <c r="WEB80" s="456"/>
      <c r="WEC80" s="456"/>
      <c r="WED80" s="456"/>
      <c r="WEE80" s="456"/>
      <c r="WEF80" s="456"/>
      <c r="WEG80" s="456"/>
      <c r="WEH80" s="456"/>
      <c r="WEI80" s="456"/>
      <c r="WEJ80" s="456"/>
      <c r="WEK80" s="456"/>
      <c r="WEL80" s="456"/>
      <c r="WEM80" s="456"/>
      <c r="WEN80" s="456"/>
      <c r="WEO80" s="456"/>
      <c r="WEP80" s="456"/>
      <c r="WEQ80" s="456"/>
      <c r="WER80" s="456"/>
      <c r="WES80" s="456"/>
      <c r="WET80" s="456"/>
      <c r="WEU80" s="456"/>
      <c r="WEV80" s="456"/>
      <c r="WEW80" s="456"/>
      <c r="WEX80" s="456"/>
      <c r="WEY80" s="456"/>
      <c r="WEZ80" s="456"/>
      <c r="WFA80" s="456"/>
      <c r="WFB80" s="456"/>
      <c r="WFC80" s="456"/>
      <c r="WFD80" s="456"/>
      <c r="WFE80" s="456"/>
      <c r="WFF80" s="456"/>
      <c r="WFG80" s="456"/>
      <c r="WFH80" s="456"/>
      <c r="WFI80" s="456"/>
      <c r="WFJ80" s="456"/>
      <c r="WFK80" s="456"/>
      <c r="WFL80" s="456"/>
      <c r="WFM80" s="456"/>
      <c r="WFN80" s="456"/>
      <c r="WFO80" s="456"/>
      <c r="WFP80" s="456"/>
      <c r="WFQ80" s="456"/>
      <c r="WFR80" s="456"/>
      <c r="WFS80" s="456"/>
      <c r="WFT80" s="456"/>
      <c r="WFU80" s="456"/>
      <c r="WFV80" s="456"/>
      <c r="WFW80" s="456"/>
      <c r="WFX80" s="456"/>
      <c r="WFY80" s="456"/>
      <c r="WFZ80" s="456"/>
      <c r="WGA80" s="456"/>
      <c r="WGB80" s="456"/>
      <c r="WGC80" s="456"/>
      <c r="WGD80" s="456"/>
      <c r="WGE80" s="456"/>
      <c r="WGF80" s="456"/>
      <c r="WGG80" s="456"/>
      <c r="WGH80" s="456"/>
      <c r="WGI80" s="456"/>
      <c r="WGJ80" s="456"/>
      <c r="WGK80" s="456"/>
      <c r="WGL80" s="456"/>
      <c r="WGM80" s="456"/>
      <c r="WGN80" s="456"/>
      <c r="WGO80" s="456"/>
      <c r="WGP80" s="456"/>
      <c r="WGQ80" s="456"/>
      <c r="WGR80" s="456"/>
      <c r="WGS80" s="456"/>
      <c r="WGT80" s="456"/>
      <c r="WGU80" s="456"/>
      <c r="WGV80" s="456"/>
      <c r="WGW80" s="456"/>
      <c r="WGX80" s="456"/>
      <c r="WGY80" s="456"/>
      <c r="WGZ80" s="456"/>
      <c r="WHA80" s="456"/>
      <c r="WHB80" s="456"/>
      <c r="WHC80" s="456"/>
      <c r="WHD80" s="456"/>
      <c r="WHE80" s="456"/>
      <c r="WHF80" s="456"/>
      <c r="WHG80" s="456"/>
      <c r="WHH80" s="456"/>
      <c r="WHI80" s="456"/>
      <c r="WHJ80" s="456"/>
      <c r="WHK80" s="456"/>
      <c r="WHL80" s="456"/>
      <c r="WHM80" s="456"/>
      <c r="WHN80" s="456"/>
      <c r="WHO80" s="456"/>
      <c r="WHP80" s="456"/>
      <c r="WHQ80" s="456"/>
      <c r="WHR80" s="456"/>
      <c r="WHS80" s="456"/>
      <c r="WHT80" s="456"/>
      <c r="WHU80" s="456"/>
      <c r="WHV80" s="456"/>
      <c r="WHW80" s="456"/>
      <c r="WHX80" s="456"/>
      <c r="WHY80" s="456"/>
      <c r="WHZ80" s="456"/>
      <c r="WIA80" s="456"/>
      <c r="WIB80" s="456"/>
      <c r="WIC80" s="456"/>
      <c r="WID80" s="456"/>
      <c r="WIE80" s="456"/>
      <c r="WIF80" s="456"/>
      <c r="WIG80" s="456"/>
      <c r="WIH80" s="456"/>
      <c r="WII80" s="456"/>
      <c r="WIJ80" s="456"/>
      <c r="WIK80" s="456"/>
      <c r="WIL80" s="456"/>
      <c r="WIM80" s="456"/>
      <c r="WIN80" s="456"/>
      <c r="WIO80" s="456"/>
      <c r="WIP80" s="456"/>
      <c r="WIQ80" s="456"/>
      <c r="WIR80" s="456"/>
      <c r="WIS80" s="456"/>
      <c r="WIT80" s="456"/>
      <c r="WIU80" s="456"/>
      <c r="WIV80" s="456"/>
      <c r="WIW80" s="456"/>
      <c r="WIX80" s="456"/>
      <c r="WIY80" s="456"/>
      <c r="WIZ80" s="456"/>
      <c r="WJA80" s="456"/>
      <c r="WJB80" s="456"/>
      <c r="WJC80" s="456"/>
      <c r="WJD80" s="456"/>
      <c r="WJE80" s="456"/>
      <c r="WJF80" s="456"/>
      <c r="WJG80" s="456"/>
      <c r="WJH80" s="456"/>
      <c r="WJI80" s="456"/>
      <c r="WJJ80" s="456"/>
      <c r="WJK80" s="456"/>
      <c r="WJL80" s="456"/>
      <c r="WJM80" s="456"/>
      <c r="WJN80" s="456"/>
      <c r="WJO80" s="456"/>
      <c r="WJP80" s="456"/>
      <c r="WJQ80" s="456"/>
      <c r="WJR80" s="456"/>
      <c r="WJS80" s="456"/>
      <c r="WJT80" s="456"/>
      <c r="WJU80" s="456"/>
      <c r="WJV80" s="456"/>
      <c r="WJW80" s="456"/>
      <c r="WJX80" s="456"/>
      <c r="WJY80" s="456"/>
      <c r="WJZ80" s="456"/>
      <c r="WKA80" s="456"/>
      <c r="WKB80" s="456"/>
      <c r="WKC80" s="456"/>
      <c r="WKD80" s="456"/>
      <c r="WKE80" s="456"/>
      <c r="WKF80" s="456"/>
      <c r="WKG80" s="456"/>
      <c r="WKH80" s="456"/>
      <c r="WKI80" s="456"/>
      <c r="WKJ80" s="456"/>
      <c r="WKK80" s="456"/>
      <c r="WKL80" s="456"/>
      <c r="WKM80" s="456"/>
      <c r="WKN80" s="456"/>
      <c r="WKO80" s="456"/>
      <c r="WKP80" s="456"/>
      <c r="WKQ80" s="456"/>
      <c r="WKR80" s="456"/>
      <c r="WKS80" s="456"/>
      <c r="WKT80" s="456"/>
      <c r="WKU80" s="456"/>
      <c r="WKV80" s="456"/>
      <c r="WKW80" s="456"/>
      <c r="WKX80" s="456"/>
      <c r="WKY80" s="456"/>
      <c r="WKZ80" s="456"/>
      <c r="WLA80" s="456"/>
      <c r="WLB80" s="456"/>
      <c r="WLC80" s="456"/>
      <c r="WLD80" s="456"/>
      <c r="WLE80" s="456"/>
      <c r="WLF80" s="456"/>
      <c r="WLG80" s="456"/>
      <c r="WLH80" s="456"/>
      <c r="WLI80" s="456"/>
      <c r="WLJ80" s="456"/>
      <c r="WLK80" s="456"/>
      <c r="WLL80" s="456"/>
      <c r="WLM80" s="456"/>
      <c r="WLN80" s="456"/>
      <c r="WLO80" s="456"/>
      <c r="WLP80" s="456"/>
      <c r="WLQ80" s="456"/>
      <c r="WLR80" s="456"/>
      <c r="WLS80" s="456"/>
      <c r="WLT80" s="456"/>
      <c r="WLU80" s="456"/>
      <c r="WLV80" s="456"/>
      <c r="WLW80" s="456"/>
      <c r="WLX80" s="456"/>
      <c r="WLY80" s="456"/>
      <c r="WLZ80" s="456"/>
      <c r="WMA80" s="456"/>
      <c r="WMB80" s="456"/>
      <c r="WMC80" s="456"/>
      <c r="WMD80" s="456"/>
      <c r="WME80" s="456"/>
      <c r="WMF80" s="456"/>
      <c r="WMG80" s="456"/>
      <c r="WMH80" s="456"/>
      <c r="WMI80" s="456"/>
      <c r="WMJ80" s="456"/>
      <c r="WMK80" s="456"/>
      <c r="WML80" s="456"/>
      <c r="WMM80" s="456"/>
      <c r="WMN80" s="456"/>
      <c r="WMO80" s="456"/>
      <c r="WMP80" s="456"/>
      <c r="WMQ80" s="456"/>
      <c r="WMR80" s="456"/>
      <c r="WMS80" s="456"/>
      <c r="WMT80" s="456"/>
      <c r="WMU80" s="456"/>
      <c r="WMV80" s="456"/>
      <c r="WMW80" s="456"/>
      <c r="WMX80" s="456"/>
      <c r="WMY80" s="456"/>
      <c r="WMZ80" s="456"/>
      <c r="WNA80" s="456"/>
      <c r="WNB80" s="456"/>
      <c r="WNC80" s="456"/>
      <c r="WND80" s="456"/>
      <c r="WNE80" s="456"/>
      <c r="WNF80" s="456"/>
      <c r="WNG80" s="456"/>
      <c r="WNH80" s="456"/>
      <c r="WNI80" s="456"/>
      <c r="WNJ80" s="456"/>
      <c r="WNK80" s="456"/>
      <c r="WNL80" s="456"/>
      <c r="WNM80" s="456"/>
      <c r="WNN80" s="456"/>
      <c r="WNO80" s="456"/>
      <c r="WNP80" s="456"/>
      <c r="WNQ80" s="456"/>
      <c r="WNR80" s="456"/>
      <c r="WNS80" s="456"/>
      <c r="WNT80" s="456"/>
      <c r="WNU80" s="456"/>
      <c r="WNV80" s="456"/>
      <c r="WNW80" s="456"/>
      <c r="WNX80" s="456"/>
      <c r="WNY80" s="456"/>
      <c r="WNZ80" s="456"/>
      <c r="WOA80" s="456"/>
      <c r="WOB80" s="456"/>
      <c r="WOC80" s="456"/>
      <c r="WOD80" s="456"/>
      <c r="WOE80" s="456"/>
      <c r="WOF80" s="456"/>
      <c r="WOG80" s="456"/>
      <c r="WOH80" s="456"/>
      <c r="WOI80" s="456"/>
      <c r="WOJ80" s="456"/>
      <c r="WOK80" s="456"/>
      <c r="WOL80" s="456"/>
      <c r="WOM80" s="456"/>
      <c r="WON80" s="456"/>
      <c r="WOO80" s="456"/>
      <c r="WOP80" s="456"/>
      <c r="WOQ80" s="456"/>
      <c r="WOR80" s="456"/>
      <c r="WOS80" s="456"/>
      <c r="WOT80" s="456"/>
      <c r="WOU80" s="456"/>
      <c r="WOV80" s="456"/>
      <c r="WOW80" s="456"/>
      <c r="WOX80" s="456"/>
      <c r="WOY80" s="456"/>
      <c r="WOZ80" s="456"/>
      <c r="WPA80" s="456"/>
      <c r="WPB80" s="456"/>
      <c r="WPC80" s="456"/>
      <c r="WPD80" s="456"/>
      <c r="WPE80" s="456"/>
      <c r="WPF80" s="456"/>
      <c r="WPG80" s="456"/>
      <c r="WPH80" s="456"/>
      <c r="WPI80" s="456"/>
      <c r="WPJ80" s="456"/>
      <c r="WPK80" s="456"/>
      <c r="WPL80" s="456"/>
      <c r="WPM80" s="456"/>
      <c r="WPN80" s="456"/>
      <c r="WPO80" s="456"/>
      <c r="WPP80" s="456"/>
      <c r="WPQ80" s="456"/>
      <c r="WPR80" s="456"/>
      <c r="WPS80" s="456"/>
      <c r="WPT80" s="456"/>
      <c r="WPU80" s="456"/>
      <c r="WPV80" s="456"/>
      <c r="WPW80" s="456"/>
      <c r="WPX80" s="456"/>
      <c r="WPY80" s="456"/>
      <c r="WPZ80" s="456"/>
      <c r="WQA80" s="456"/>
      <c r="WQB80" s="456"/>
      <c r="WQC80" s="456"/>
      <c r="WQD80" s="456"/>
      <c r="WQE80" s="456"/>
      <c r="WQF80" s="456"/>
      <c r="WQG80" s="456"/>
      <c r="WQH80" s="456"/>
      <c r="WQI80" s="456"/>
      <c r="WQJ80" s="456"/>
      <c r="WQK80" s="456"/>
      <c r="WQL80" s="456"/>
      <c r="WQM80" s="456"/>
      <c r="WQN80" s="456"/>
      <c r="WQO80" s="456"/>
      <c r="WQP80" s="456"/>
      <c r="WQQ80" s="456"/>
      <c r="WQR80" s="456"/>
      <c r="WQS80" s="456"/>
      <c r="WQT80" s="456"/>
      <c r="WQU80" s="456"/>
      <c r="WQV80" s="456"/>
      <c r="WQW80" s="456"/>
      <c r="WQX80" s="456"/>
      <c r="WQY80" s="456"/>
      <c r="WQZ80" s="456"/>
      <c r="WRA80" s="456"/>
      <c r="WRB80" s="456"/>
      <c r="WRC80" s="456"/>
      <c r="WRD80" s="456"/>
      <c r="WRE80" s="456"/>
      <c r="WRF80" s="456"/>
      <c r="WRG80" s="456"/>
      <c r="WRH80" s="456"/>
      <c r="WRI80" s="456"/>
      <c r="WRJ80" s="456"/>
      <c r="WRK80" s="456"/>
      <c r="WRL80" s="456"/>
      <c r="WRM80" s="456"/>
      <c r="WRN80" s="456"/>
      <c r="WRO80" s="456"/>
      <c r="WRP80" s="456"/>
      <c r="WRQ80" s="456"/>
      <c r="WRR80" s="456"/>
      <c r="WRS80" s="456"/>
      <c r="WRT80" s="456"/>
      <c r="WRU80" s="456"/>
      <c r="WRV80" s="456"/>
      <c r="WRW80" s="456"/>
      <c r="WRX80" s="456"/>
      <c r="WRY80" s="456"/>
      <c r="WRZ80" s="456"/>
      <c r="WSA80" s="456"/>
      <c r="WSB80" s="456"/>
      <c r="WSC80" s="456"/>
      <c r="WSD80" s="456"/>
      <c r="WSE80" s="456"/>
      <c r="WSF80" s="456"/>
      <c r="WSG80" s="456"/>
      <c r="WSH80" s="456"/>
      <c r="WSI80" s="456"/>
      <c r="WSJ80" s="456"/>
      <c r="WSK80" s="456"/>
      <c r="WSL80" s="456"/>
      <c r="WSM80" s="456"/>
      <c r="WSN80" s="456"/>
      <c r="WSO80" s="456"/>
      <c r="WSP80" s="456"/>
      <c r="WSQ80" s="456"/>
      <c r="WSR80" s="456"/>
      <c r="WSS80" s="456"/>
      <c r="WST80" s="456"/>
      <c r="WSU80" s="456"/>
      <c r="WSV80" s="456"/>
      <c r="WSW80" s="456"/>
      <c r="WSX80" s="456"/>
      <c r="WSY80" s="456"/>
      <c r="WSZ80" s="456"/>
      <c r="WTA80" s="456"/>
      <c r="WTB80" s="456"/>
      <c r="WTC80" s="456"/>
      <c r="WTD80" s="456"/>
      <c r="WTE80" s="456"/>
      <c r="WTF80" s="456"/>
      <c r="WTG80" s="456"/>
      <c r="WTH80" s="456"/>
      <c r="WTI80" s="456"/>
      <c r="WTJ80" s="456"/>
      <c r="WTK80" s="456"/>
      <c r="WTL80" s="456"/>
      <c r="WTM80" s="456"/>
      <c r="WTN80" s="456"/>
      <c r="WTO80" s="456"/>
      <c r="WTP80" s="456"/>
      <c r="WTQ80" s="456"/>
      <c r="WTR80" s="456"/>
      <c r="WTS80" s="456"/>
      <c r="WTT80" s="456"/>
      <c r="WTU80" s="456"/>
      <c r="WTV80" s="456"/>
      <c r="WTW80" s="456"/>
      <c r="WTX80" s="456"/>
      <c r="WTY80" s="456"/>
      <c r="WTZ80" s="456"/>
      <c r="WUA80" s="456"/>
      <c r="WUB80" s="456"/>
      <c r="WUC80" s="456"/>
      <c r="WUD80" s="456"/>
      <c r="WUE80" s="456"/>
      <c r="WUF80" s="456"/>
      <c r="WUG80" s="456"/>
      <c r="WUH80" s="456"/>
      <c r="WUI80" s="456"/>
      <c r="WUJ80" s="456"/>
      <c r="WUK80" s="456"/>
      <c r="WUL80" s="456"/>
      <c r="WUM80" s="456"/>
      <c r="WUN80" s="456"/>
      <c r="WUO80" s="456"/>
      <c r="WUP80" s="456"/>
      <c r="WUQ80" s="456"/>
      <c r="WUR80" s="456"/>
      <c r="WUS80" s="456"/>
      <c r="WUT80" s="456"/>
      <c r="WUU80" s="456"/>
      <c r="WUV80" s="456"/>
      <c r="WUW80" s="456"/>
      <c r="WUX80" s="456"/>
      <c r="WUY80" s="456"/>
      <c r="WUZ80" s="456"/>
      <c r="WVA80" s="456"/>
      <c r="WVB80" s="456"/>
      <c r="WVC80" s="456"/>
      <c r="WVD80" s="456"/>
      <c r="WVE80" s="456"/>
      <c r="WVF80" s="456"/>
      <c r="WVG80" s="456"/>
      <c r="WVH80" s="456"/>
      <c r="WVI80" s="456"/>
      <c r="WVJ80" s="456"/>
      <c r="WVK80" s="456"/>
      <c r="WVL80" s="456"/>
      <c r="WVM80" s="456"/>
      <c r="WVN80" s="456"/>
      <c r="WVO80" s="456"/>
      <c r="WVP80" s="456"/>
      <c r="WVQ80" s="456"/>
      <c r="WVR80" s="456"/>
      <c r="WVS80" s="456"/>
      <c r="WVT80" s="456"/>
      <c r="WVU80" s="456"/>
      <c r="WVV80" s="456"/>
      <c r="WVW80" s="456"/>
      <c r="WVX80" s="456"/>
      <c r="WVY80" s="456"/>
      <c r="WVZ80" s="456"/>
      <c r="WWA80" s="456"/>
      <c r="WWB80" s="456"/>
      <c r="WWC80" s="456"/>
      <c r="WWD80" s="456"/>
      <c r="WWE80" s="456"/>
      <c r="WWF80" s="456"/>
      <c r="WWG80" s="456"/>
      <c r="WWH80" s="456"/>
      <c r="WWI80" s="456"/>
      <c r="WWJ80" s="456"/>
      <c r="WWK80" s="456"/>
      <c r="WWL80" s="456"/>
      <c r="WWM80" s="456"/>
      <c r="WWN80" s="456"/>
      <c r="WWO80" s="456"/>
      <c r="WWP80" s="456"/>
      <c r="WWQ80" s="456"/>
      <c r="WWR80" s="456"/>
      <c r="WWS80" s="456"/>
      <c r="WWT80" s="456"/>
      <c r="WWU80" s="456"/>
      <c r="WWV80" s="456"/>
      <c r="WWW80" s="456"/>
      <c r="WWX80" s="456"/>
      <c r="WWY80" s="456"/>
      <c r="WWZ80" s="456"/>
      <c r="WXA80" s="456"/>
      <c r="WXB80" s="456"/>
      <c r="WXC80" s="456"/>
      <c r="WXD80" s="456"/>
      <c r="WXE80" s="456"/>
      <c r="WXF80" s="456"/>
      <c r="WXG80" s="456"/>
      <c r="WXH80" s="456"/>
      <c r="WXI80" s="456"/>
      <c r="WXJ80" s="456"/>
      <c r="WXK80" s="456"/>
      <c r="WXL80" s="456"/>
      <c r="WXM80" s="456"/>
      <c r="WXN80" s="456"/>
      <c r="WXO80" s="456"/>
      <c r="WXP80" s="456"/>
      <c r="WXQ80" s="456"/>
      <c r="WXR80" s="456"/>
      <c r="WXS80" s="456"/>
      <c r="WXT80" s="456"/>
      <c r="WXU80" s="456"/>
      <c r="WXV80" s="456"/>
      <c r="WXW80" s="456"/>
      <c r="WXX80" s="456"/>
      <c r="WXY80" s="456"/>
      <c r="WXZ80" s="456"/>
      <c r="WYA80" s="456"/>
      <c r="WYB80" s="456"/>
      <c r="WYC80" s="456"/>
      <c r="WYD80" s="456"/>
      <c r="WYE80" s="456"/>
      <c r="WYF80" s="456"/>
      <c r="WYG80" s="456"/>
      <c r="WYH80" s="456"/>
      <c r="WYI80" s="456"/>
      <c r="WYJ80" s="456"/>
      <c r="WYK80" s="456"/>
      <c r="WYL80" s="456"/>
      <c r="WYM80" s="456"/>
      <c r="WYN80" s="456"/>
      <c r="WYO80" s="456"/>
      <c r="WYP80" s="456"/>
      <c r="WYQ80" s="456"/>
      <c r="WYR80" s="456"/>
      <c r="WYS80" s="456"/>
      <c r="WYT80" s="456"/>
      <c r="WYU80" s="456"/>
      <c r="WYV80" s="456"/>
      <c r="WYW80" s="456"/>
      <c r="WYX80" s="456"/>
      <c r="WYY80" s="456"/>
      <c r="WYZ80" s="456"/>
      <c r="WZA80" s="456"/>
      <c r="WZB80" s="456"/>
      <c r="WZC80" s="456"/>
      <c r="WZD80" s="456"/>
      <c r="WZE80" s="456"/>
      <c r="WZF80" s="456"/>
      <c r="WZG80" s="456"/>
      <c r="WZH80" s="456"/>
      <c r="WZI80" s="456"/>
      <c r="WZJ80" s="456"/>
      <c r="WZK80" s="456"/>
      <c r="WZL80" s="456"/>
      <c r="WZM80" s="456"/>
      <c r="WZN80" s="456"/>
      <c r="WZO80" s="456"/>
      <c r="WZP80" s="456"/>
      <c r="WZQ80" s="456"/>
      <c r="WZR80" s="456"/>
      <c r="WZS80" s="456"/>
      <c r="WZT80" s="456"/>
      <c r="WZU80" s="456"/>
      <c r="WZV80" s="456"/>
      <c r="WZW80" s="456"/>
      <c r="WZX80" s="456"/>
      <c r="WZY80" s="456"/>
      <c r="WZZ80" s="456"/>
      <c r="XAA80" s="456"/>
      <c r="XAB80" s="456"/>
      <c r="XAC80" s="456"/>
      <c r="XAD80" s="456"/>
      <c r="XAE80" s="456"/>
      <c r="XAF80" s="456"/>
      <c r="XAG80" s="456"/>
      <c r="XAH80" s="456"/>
      <c r="XAI80" s="456"/>
      <c r="XAJ80" s="456"/>
      <c r="XAK80" s="456"/>
      <c r="XAL80" s="456"/>
      <c r="XAM80" s="456"/>
      <c r="XAN80" s="456"/>
      <c r="XAO80" s="456"/>
      <c r="XAP80" s="456"/>
      <c r="XAQ80" s="456"/>
      <c r="XAR80" s="456"/>
      <c r="XAS80" s="456"/>
      <c r="XAT80" s="456"/>
      <c r="XAU80" s="456"/>
      <c r="XAV80" s="456"/>
      <c r="XAW80" s="456"/>
      <c r="XAX80" s="456"/>
      <c r="XAY80" s="456"/>
      <c r="XAZ80" s="456"/>
      <c r="XBA80" s="456"/>
      <c r="XBB80" s="456"/>
      <c r="XBC80" s="456"/>
      <c r="XBD80" s="456"/>
      <c r="XBE80" s="456"/>
      <c r="XBF80" s="456"/>
      <c r="XBG80" s="456"/>
      <c r="XBH80" s="456"/>
      <c r="XBI80" s="456"/>
      <c r="XBJ80" s="456"/>
      <c r="XBK80" s="456"/>
      <c r="XBL80" s="456"/>
      <c r="XBM80" s="456"/>
      <c r="XBN80" s="456"/>
      <c r="XBO80" s="456"/>
      <c r="XBP80" s="456"/>
      <c r="XBQ80" s="456"/>
      <c r="XBR80" s="456"/>
      <c r="XBS80" s="456"/>
      <c r="XBT80" s="456"/>
      <c r="XBU80" s="456"/>
      <c r="XBV80" s="456"/>
      <c r="XBW80" s="456"/>
      <c r="XBX80" s="456"/>
      <c r="XBY80" s="456"/>
      <c r="XBZ80" s="456"/>
      <c r="XCA80" s="456"/>
      <c r="XCB80" s="456"/>
      <c r="XCC80" s="456"/>
      <c r="XCD80" s="456"/>
      <c r="XCE80" s="456"/>
      <c r="XCF80" s="456"/>
      <c r="XCG80" s="456"/>
      <c r="XCH80" s="456"/>
      <c r="XCI80" s="456"/>
      <c r="XCJ80" s="456"/>
      <c r="XCK80" s="456"/>
      <c r="XCL80" s="456"/>
      <c r="XCM80" s="456"/>
      <c r="XCN80" s="456"/>
      <c r="XCO80" s="456"/>
      <c r="XCP80" s="456"/>
      <c r="XCQ80" s="456"/>
      <c r="XCR80" s="456"/>
      <c r="XCS80" s="456"/>
      <c r="XCT80" s="456"/>
      <c r="XCU80" s="456"/>
      <c r="XCV80" s="456"/>
      <c r="XCW80" s="456"/>
      <c r="XCX80" s="456"/>
      <c r="XCY80" s="456"/>
      <c r="XCZ80" s="456"/>
      <c r="XDA80" s="456"/>
      <c r="XDB80" s="456"/>
      <c r="XDC80" s="456"/>
      <c r="XDD80" s="456"/>
      <c r="XDE80" s="456"/>
      <c r="XDF80" s="456"/>
      <c r="XDG80" s="456"/>
      <c r="XDH80" s="456"/>
      <c r="XDI80" s="456"/>
      <c r="XDJ80" s="456"/>
      <c r="XDK80" s="456"/>
      <c r="XDL80" s="456"/>
      <c r="XDM80" s="456"/>
      <c r="XDN80" s="456"/>
      <c r="XDO80" s="456"/>
      <c r="XDP80" s="456"/>
      <c r="XDQ80" s="456"/>
      <c r="XDR80" s="456"/>
      <c r="XDS80" s="456"/>
      <c r="XDT80" s="456"/>
      <c r="XDU80" s="456"/>
      <c r="XDV80" s="456"/>
      <c r="XDW80" s="456"/>
      <c r="XDX80" s="456"/>
      <c r="XDY80" s="456"/>
      <c r="XDZ80" s="456"/>
      <c r="XEA80" s="456"/>
      <c r="XEB80" s="456"/>
      <c r="XEC80" s="456"/>
      <c r="XED80" s="456"/>
      <c r="XEE80" s="456"/>
      <c r="XEF80" s="456"/>
      <c r="XEG80" s="456"/>
      <c r="XEH80" s="456"/>
      <c r="XEI80" s="456"/>
      <c r="XEJ80" s="456"/>
      <c r="XEK80" s="456"/>
      <c r="XEL80" s="456"/>
      <c r="XEM80" s="456"/>
      <c r="XEN80" s="456"/>
    </row>
    <row r="81" spans="1:24" s="144" customFormat="1" x14ac:dyDescent="0.2">
      <c r="A81" s="19"/>
      <c r="B81" s="178"/>
      <c r="C81" s="257"/>
      <c r="D81" s="43"/>
      <c r="E81" s="21"/>
      <c r="F81" s="72"/>
      <c r="G81" s="69"/>
      <c r="H81" s="69"/>
      <c r="I81" s="69"/>
      <c r="J81" s="50"/>
      <c r="K81" s="27"/>
      <c r="L81" s="50"/>
      <c r="M81" s="50"/>
      <c r="N81" s="346"/>
      <c r="O81" s="266">
        <f>1</f>
        <v>1</v>
      </c>
      <c r="P81" s="138"/>
      <c r="R81" s="146"/>
      <c r="S81" s="145"/>
      <c r="V81" s="265"/>
      <c r="W81" s="265" t="str">
        <f t="shared" si="9"/>
        <v/>
      </c>
      <c r="X81" s="138" t="str">
        <f t="shared" si="10"/>
        <v/>
      </c>
    </row>
    <row r="82" spans="1:24" s="144" customFormat="1" ht="186" customHeight="1" x14ac:dyDescent="0.2">
      <c r="A82" s="19" t="e">
        <f>#REF!+1</f>
        <v>#REF!</v>
      </c>
      <c r="B82" s="180" t="s">
        <v>278</v>
      </c>
      <c r="C82" s="143" t="s">
        <v>278</v>
      </c>
      <c r="D82" s="160" t="s">
        <v>279</v>
      </c>
      <c r="E82" s="149">
        <f>LEN(D82)</f>
        <v>294</v>
      </c>
      <c r="F82" s="155" t="s">
        <v>34</v>
      </c>
      <c r="G82" s="149" t="s">
        <v>23</v>
      </c>
      <c r="H82" s="149" t="s">
        <v>23</v>
      </c>
      <c r="I82" s="149" t="s">
        <v>35</v>
      </c>
      <c r="J82" s="170" t="s">
        <v>280</v>
      </c>
      <c r="K82" s="215" t="s">
        <v>23</v>
      </c>
      <c r="L82" s="170" t="s">
        <v>281</v>
      </c>
      <c r="M82" s="27"/>
      <c r="N82" s="10"/>
      <c r="O82" s="261">
        <f>1</f>
        <v>1</v>
      </c>
      <c r="P82" s="138"/>
      <c r="R82" s="406" t="s">
        <v>31</v>
      </c>
      <c r="S82" s="145"/>
      <c r="V82" s="264">
        <v>17.26140213012695</v>
      </c>
      <c r="W82" s="264">
        <f t="shared" si="9"/>
        <v>17.26140213012695</v>
      </c>
      <c r="X82" s="138">
        <f t="shared" si="10"/>
        <v>17.26140213012695</v>
      </c>
    </row>
    <row r="83" spans="1:24" s="144" customFormat="1" x14ac:dyDescent="0.2">
      <c r="A83" s="19"/>
      <c r="B83" s="178"/>
      <c r="C83" s="63"/>
      <c r="D83" s="176"/>
      <c r="E83" s="21"/>
      <c r="F83" s="64"/>
      <c r="G83" s="21"/>
      <c r="H83" s="21"/>
      <c r="I83" s="21"/>
      <c r="J83" s="54"/>
      <c r="K83" s="27"/>
      <c r="L83" s="54"/>
      <c r="M83" s="54"/>
      <c r="N83" s="10"/>
      <c r="O83" s="266">
        <f>1</f>
        <v>1</v>
      </c>
      <c r="P83" s="138"/>
      <c r="R83" s="146"/>
      <c r="S83" s="145"/>
      <c r="V83" s="265"/>
      <c r="W83" s="265" t="str">
        <f t="shared" si="9"/>
        <v/>
      </c>
      <c r="X83" s="138" t="str">
        <f t="shared" si="10"/>
        <v/>
      </c>
    </row>
    <row r="84" spans="1:24" s="144" customFormat="1" ht="409.5" customHeight="1" x14ac:dyDescent="0.2">
      <c r="A84" s="19" t="e">
        <f>A82+1</f>
        <v>#REF!</v>
      </c>
      <c r="B84" s="180" t="s">
        <v>282</v>
      </c>
      <c r="C84" s="143" t="s">
        <v>282</v>
      </c>
      <c r="D84" s="160" t="s">
        <v>283</v>
      </c>
      <c r="E84" s="149">
        <f>LEN(D84)</f>
        <v>1225</v>
      </c>
      <c r="F84" s="155" t="s">
        <v>34</v>
      </c>
      <c r="G84" s="149" t="s">
        <v>23</v>
      </c>
      <c r="H84" s="149" t="s">
        <v>23</v>
      </c>
      <c r="I84" s="149" t="s">
        <v>284</v>
      </c>
      <c r="J84" s="140" t="s">
        <v>285</v>
      </c>
      <c r="K84" s="215" t="s">
        <v>23</v>
      </c>
      <c r="L84" s="147" t="s">
        <v>286</v>
      </c>
      <c r="M84" s="26"/>
      <c r="N84" s="10"/>
      <c r="O84" s="261">
        <f>1</f>
        <v>1</v>
      </c>
      <c r="P84" s="138"/>
      <c r="R84" s="406" t="s">
        <v>31</v>
      </c>
      <c r="S84" s="145"/>
      <c r="V84" s="264">
        <v>14.47539234161377</v>
      </c>
      <c r="W84" s="264">
        <f t="shared" si="9"/>
        <v>14.47539234161377</v>
      </c>
      <c r="X84" s="138">
        <f t="shared" si="10"/>
        <v>14.47539234161377</v>
      </c>
    </row>
    <row r="85" spans="1:24" s="228" customFormat="1" ht="182.25" customHeight="1" x14ac:dyDescent="0.2">
      <c r="A85" s="338"/>
      <c r="B85" s="230" t="s">
        <v>287</v>
      </c>
      <c r="C85" s="235" t="s">
        <v>287</v>
      </c>
      <c r="D85" s="148" t="s">
        <v>223</v>
      </c>
      <c r="E85" s="141">
        <f>LEN(D85)</f>
        <v>143</v>
      </c>
      <c r="F85" s="143" t="s">
        <v>34</v>
      </c>
      <c r="G85" s="141" t="s">
        <v>23</v>
      </c>
      <c r="H85" s="141" t="s">
        <v>23</v>
      </c>
      <c r="I85" s="141" t="s">
        <v>35</v>
      </c>
      <c r="J85" s="140" t="s">
        <v>288</v>
      </c>
      <c r="K85" s="215" t="s">
        <v>23</v>
      </c>
      <c r="L85" s="147" t="s">
        <v>289</v>
      </c>
      <c r="M85" s="26"/>
      <c r="N85" s="25"/>
      <c r="O85" s="368">
        <f>1</f>
        <v>1</v>
      </c>
      <c r="P85" s="139"/>
      <c r="R85" s="410" t="s">
        <v>31</v>
      </c>
      <c r="S85" s="222"/>
      <c r="V85" s="268">
        <v>8</v>
      </c>
      <c r="W85" s="268">
        <f t="shared" si="9"/>
        <v>8</v>
      </c>
      <c r="X85" s="139">
        <f t="shared" si="10"/>
        <v>8</v>
      </c>
    </row>
    <row r="86" spans="1:24" s="228" customFormat="1" ht="182.25" customHeight="1" x14ac:dyDescent="0.2">
      <c r="A86" s="338"/>
      <c r="B86" s="230" t="s">
        <v>290</v>
      </c>
      <c r="C86" s="235" t="s">
        <v>290</v>
      </c>
      <c r="D86" s="148" t="s">
        <v>227</v>
      </c>
      <c r="E86" s="141">
        <f>LEN(D86)</f>
        <v>170</v>
      </c>
      <c r="F86" s="143" t="s">
        <v>34</v>
      </c>
      <c r="G86" s="141" t="s">
        <v>23</v>
      </c>
      <c r="H86" s="141" t="s">
        <v>23</v>
      </c>
      <c r="I86" s="141" t="s">
        <v>35</v>
      </c>
      <c r="J86" s="140" t="s">
        <v>288</v>
      </c>
      <c r="K86" s="215" t="s">
        <v>23</v>
      </c>
      <c r="L86" s="147" t="s">
        <v>291</v>
      </c>
      <c r="M86" s="26"/>
      <c r="N86" s="25"/>
      <c r="O86" s="368">
        <f>1</f>
        <v>1</v>
      </c>
      <c r="P86" s="139"/>
      <c r="R86" s="410" t="s">
        <v>31</v>
      </c>
      <c r="S86" s="222"/>
      <c r="V86" s="268">
        <v>8</v>
      </c>
      <c r="W86" s="268">
        <f t="shared" si="9"/>
        <v>8</v>
      </c>
      <c r="X86" s="139">
        <f t="shared" si="10"/>
        <v>8</v>
      </c>
    </row>
    <row r="87" spans="1:24" s="144" customFormat="1" ht="182.25" customHeight="1" x14ac:dyDescent="0.2">
      <c r="A87" s="338"/>
      <c r="B87" s="230" t="s">
        <v>292</v>
      </c>
      <c r="C87" s="235" t="s">
        <v>292</v>
      </c>
      <c r="D87" s="148" t="s">
        <v>230</v>
      </c>
      <c r="E87" s="141">
        <f>LEN(D87)</f>
        <v>176</v>
      </c>
      <c r="F87" s="143" t="s">
        <v>34</v>
      </c>
      <c r="G87" s="141" t="s">
        <v>23</v>
      </c>
      <c r="H87" s="141" t="s">
        <v>23</v>
      </c>
      <c r="I87" s="141" t="s">
        <v>35</v>
      </c>
      <c r="J87" s="140" t="s">
        <v>288</v>
      </c>
      <c r="K87" s="215" t="s">
        <v>23</v>
      </c>
      <c r="L87" s="147" t="s">
        <v>293</v>
      </c>
      <c r="M87" s="26"/>
      <c r="N87" s="25"/>
      <c r="O87" s="261">
        <f>1</f>
        <v>1</v>
      </c>
      <c r="P87" s="138"/>
      <c r="R87" s="406" t="s">
        <v>31</v>
      </c>
      <c r="S87" s="145"/>
      <c r="V87" s="264">
        <v>8</v>
      </c>
      <c r="W87" s="264">
        <f t="shared" si="9"/>
        <v>8</v>
      </c>
      <c r="X87" s="138">
        <f t="shared" si="10"/>
        <v>8</v>
      </c>
    </row>
    <row r="88" spans="1:24" s="144" customFormat="1" x14ac:dyDescent="0.2">
      <c r="A88" s="62"/>
      <c r="B88" s="252"/>
      <c r="C88" s="257"/>
      <c r="D88" s="258"/>
      <c r="E88" s="69"/>
      <c r="F88" s="63"/>
      <c r="G88" s="69"/>
      <c r="H88" s="69"/>
      <c r="I88" s="69"/>
      <c r="J88" s="50"/>
      <c r="K88" s="27"/>
      <c r="L88" s="169"/>
      <c r="M88" s="169"/>
      <c r="N88" s="25"/>
      <c r="O88" s="266">
        <f>1</f>
        <v>1</v>
      </c>
      <c r="P88" s="138"/>
      <c r="R88" s="146"/>
      <c r="S88" s="145"/>
      <c r="V88" s="265"/>
      <c r="W88" s="265" t="str">
        <f t="shared" si="9"/>
        <v/>
      </c>
      <c r="X88" s="138" t="str">
        <f t="shared" si="10"/>
        <v/>
      </c>
    </row>
    <row r="89" spans="1:24" s="144" customFormat="1" x14ac:dyDescent="0.2">
      <c r="A89" s="19"/>
      <c r="B89" s="178"/>
      <c r="C89" s="257"/>
      <c r="D89" s="43"/>
      <c r="E89" s="21"/>
      <c r="F89" s="72"/>
      <c r="G89" s="69"/>
      <c r="H89" s="69"/>
      <c r="I89" s="69"/>
      <c r="J89" s="50"/>
      <c r="K89" s="27"/>
      <c r="L89" s="50"/>
      <c r="M89" s="50"/>
      <c r="N89" s="346"/>
      <c r="O89" s="266">
        <f>1</f>
        <v>1</v>
      </c>
      <c r="P89" s="138"/>
      <c r="R89" s="146"/>
      <c r="S89" s="145"/>
      <c r="V89" s="265"/>
      <c r="W89" s="265" t="str">
        <f t="shared" si="9"/>
        <v/>
      </c>
      <c r="X89" s="138" t="str">
        <f t="shared" si="10"/>
        <v/>
      </c>
    </row>
    <row r="90" spans="1:24" s="144" customFormat="1" ht="186" customHeight="1" x14ac:dyDescent="0.2">
      <c r="A90" s="19" t="e">
        <f>#REF!+1</f>
        <v>#REF!</v>
      </c>
      <c r="B90" s="180" t="s">
        <v>294</v>
      </c>
      <c r="C90" s="143" t="s">
        <v>294</v>
      </c>
      <c r="D90" s="189" t="s">
        <v>295</v>
      </c>
      <c r="E90" s="149">
        <f>LEN(D90)</f>
        <v>295</v>
      </c>
      <c r="F90" s="155" t="s">
        <v>34</v>
      </c>
      <c r="G90" s="149" t="s">
        <v>23</v>
      </c>
      <c r="H90" s="149" t="s">
        <v>23</v>
      </c>
      <c r="I90" s="149" t="s">
        <v>35</v>
      </c>
      <c r="J90" s="170" t="s">
        <v>296</v>
      </c>
      <c r="K90" s="215" t="s">
        <v>23</v>
      </c>
      <c r="L90" s="170" t="s">
        <v>297</v>
      </c>
      <c r="M90" s="27"/>
      <c r="N90" s="10"/>
      <c r="O90" s="261">
        <f>1</f>
        <v>1</v>
      </c>
      <c r="P90" s="138"/>
      <c r="R90" s="406" t="s">
        <v>31</v>
      </c>
      <c r="S90" s="145"/>
      <c r="V90" s="264">
        <v>15.87650299072266</v>
      </c>
      <c r="W90" s="264">
        <f t="shared" si="9"/>
        <v>15.87650299072266</v>
      </c>
      <c r="X90" s="138">
        <f t="shared" si="10"/>
        <v>15.87650299072266</v>
      </c>
    </row>
    <row r="91" spans="1:24" s="144" customFormat="1" x14ac:dyDescent="0.2">
      <c r="A91" s="19"/>
      <c r="B91" s="178"/>
      <c r="C91" s="63"/>
      <c r="D91" s="256"/>
      <c r="E91" s="21"/>
      <c r="F91" s="64"/>
      <c r="G91" s="21"/>
      <c r="H91" s="21"/>
      <c r="I91" s="21"/>
      <c r="J91" s="27"/>
      <c r="K91" s="27"/>
      <c r="L91" s="27"/>
      <c r="M91" s="27"/>
      <c r="N91" s="10"/>
      <c r="O91" s="266">
        <f>1</f>
        <v>1</v>
      </c>
      <c r="P91" s="138"/>
      <c r="R91" s="146"/>
      <c r="S91" s="145"/>
      <c r="V91" s="265"/>
      <c r="W91" s="265" t="str">
        <f t="shared" si="9"/>
        <v/>
      </c>
      <c r="X91" s="138" t="str">
        <f t="shared" si="10"/>
        <v/>
      </c>
    </row>
    <row r="92" spans="1:24" s="144" customFormat="1" ht="409" customHeight="1" x14ac:dyDescent="0.2">
      <c r="A92" s="19" t="e">
        <f>#REF!+1</f>
        <v>#REF!</v>
      </c>
      <c r="B92" s="180" t="s">
        <v>298</v>
      </c>
      <c r="C92" s="362" t="s">
        <v>299</v>
      </c>
      <c r="D92" s="363" t="s">
        <v>300</v>
      </c>
      <c r="E92" s="149">
        <f>LEN(D92)</f>
        <v>1440</v>
      </c>
      <c r="F92" s="155" t="s">
        <v>199</v>
      </c>
      <c r="G92" s="149" t="s">
        <v>23</v>
      </c>
      <c r="H92" s="149" t="s">
        <v>23</v>
      </c>
      <c r="I92" s="351" t="s">
        <v>301</v>
      </c>
      <c r="J92" s="170" t="s">
        <v>302</v>
      </c>
      <c r="K92" s="215" t="s">
        <v>303</v>
      </c>
      <c r="L92" s="170" t="s">
        <v>304</v>
      </c>
      <c r="M92" s="53"/>
      <c r="N92" s="10"/>
      <c r="O92" s="261">
        <f>1</f>
        <v>1</v>
      </c>
      <c r="P92" s="138"/>
      <c r="R92" s="406" t="s">
        <v>31</v>
      </c>
      <c r="S92" s="145"/>
      <c r="V92" s="264">
        <v>37.853630065917969</v>
      </c>
      <c r="W92" s="264">
        <f t="shared" si="9"/>
        <v>37.853630065917969</v>
      </c>
      <c r="X92" s="138">
        <f t="shared" si="10"/>
        <v>37.853630065917969</v>
      </c>
    </row>
    <row r="93" spans="1:24" s="144" customFormat="1" ht="93" customHeight="1" x14ac:dyDescent="0.2">
      <c r="A93" s="339">
        <v>28</v>
      </c>
      <c r="B93" s="446" t="s">
        <v>305</v>
      </c>
      <c r="C93" s="177" t="s">
        <v>305</v>
      </c>
      <c r="D93" s="454" t="s">
        <v>306</v>
      </c>
      <c r="E93" s="448">
        <f>LEN(D93)</f>
        <v>331</v>
      </c>
      <c r="F93" s="64" t="s">
        <v>25</v>
      </c>
      <c r="G93" s="21" t="s">
        <v>23</v>
      </c>
      <c r="H93" s="21" t="s">
        <v>23</v>
      </c>
      <c r="I93" s="21" t="s">
        <v>26</v>
      </c>
      <c r="J93" s="51" t="s">
        <v>307</v>
      </c>
      <c r="K93" s="44" t="s">
        <v>23</v>
      </c>
      <c r="L93" s="51" t="s">
        <v>308</v>
      </c>
      <c r="M93" s="43"/>
      <c r="N93" s="10"/>
      <c r="O93" s="266">
        <f>1</f>
        <v>1</v>
      </c>
      <c r="P93" s="138"/>
      <c r="R93" s="146" t="s">
        <v>22</v>
      </c>
      <c r="S93" s="145"/>
      <c r="V93" s="265"/>
      <c r="W93" s="265" t="str">
        <f t="shared" si="9"/>
        <v/>
      </c>
      <c r="X93" s="138" t="str">
        <f t="shared" si="10"/>
        <v/>
      </c>
    </row>
    <row r="94" spans="1:24" s="144" customFormat="1" ht="16" customHeight="1" thickBot="1" x14ac:dyDescent="0.25">
      <c r="A94" s="19"/>
      <c r="B94" s="178"/>
      <c r="C94" s="63"/>
      <c r="D94" s="43"/>
      <c r="E94" s="21"/>
      <c r="F94" s="64"/>
      <c r="G94" s="21"/>
      <c r="H94" s="21"/>
      <c r="I94" s="21"/>
      <c r="J94" s="27"/>
      <c r="K94" s="27"/>
      <c r="L94" s="27"/>
      <c r="M94" s="54"/>
      <c r="N94" s="25"/>
      <c r="O94" s="266">
        <f>1</f>
        <v>1</v>
      </c>
      <c r="P94" s="138"/>
      <c r="R94" s="146"/>
      <c r="S94" s="145"/>
      <c r="V94" s="265"/>
      <c r="W94" s="265" t="str">
        <f t="shared" si="9"/>
        <v/>
      </c>
      <c r="X94" s="138" t="str">
        <f t="shared" si="10"/>
        <v/>
      </c>
    </row>
    <row r="95" spans="1:24" s="399" customFormat="1" ht="16" customHeight="1" thickBot="1" x14ac:dyDescent="0.25">
      <c r="A95" s="502" t="s">
        <v>309</v>
      </c>
      <c r="B95" s="503"/>
      <c r="C95" s="503"/>
      <c r="D95" s="503"/>
      <c r="E95" s="503"/>
      <c r="F95" s="503"/>
      <c r="G95" s="503"/>
      <c r="H95" s="503"/>
      <c r="I95" s="503"/>
      <c r="J95" s="503"/>
      <c r="K95" s="503"/>
      <c r="L95" s="503"/>
      <c r="M95" s="503"/>
      <c r="N95" s="504"/>
      <c r="O95" s="261"/>
      <c r="P95" s="408"/>
      <c r="R95" s="406"/>
      <c r="S95" s="409"/>
      <c r="V95" s="264"/>
      <c r="W95" s="264" t="str">
        <f t="shared" si="9"/>
        <v/>
      </c>
      <c r="X95" s="408" t="str">
        <f t="shared" si="10"/>
        <v/>
      </c>
    </row>
    <row r="96" spans="1:24" s="144" customFormat="1" ht="139.5" customHeight="1" x14ac:dyDescent="0.2">
      <c r="A96" s="62">
        <f>A93+1</f>
        <v>29</v>
      </c>
      <c r="B96" s="188" t="s">
        <v>310</v>
      </c>
      <c r="C96" s="143" t="s">
        <v>310</v>
      </c>
      <c r="D96" s="164" t="s">
        <v>311</v>
      </c>
      <c r="E96" s="141">
        <f>LEN(D96)</f>
        <v>221</v>
      </c>
      <c r="F96" s="151" t="s">
        <v>34</v>
      </c>
      <c r="G96" s="141" t="s">
        <v>23</v>
      </c>
      <c r="H96" s="141" t="s">
        <v>312</v>
      </c>
      <c r="I96" s="149" t="s">
        <v>35</v>
      </c>
      <c r="J96" s="163" t="s">
        <v>313</v>
      </c>
      <c r="K96" s="215" t="s">
        <v>23</v>
      </c>
      <c r="L96" s="147" t="s">
        <v>314</v>
      </c>
      <c r="M96" s="169"/>
      <c r="N96" s="187"/>
      <c r="O96" s="266">
        <f>'Additional information'!$D$17</f>
        <v>0.91</v>
      </c>
      <c r="P96" s="138"/>
      <c r="R96" s="406" t="s">
        <v>31</v>
      </c>
      <c r="S96" s="145"/>
      <c r="V96" s="264">
        <v>7.3040728569030762</v>
      </c>
      <c r="W96" s="264">
        <f t="shared" si="9"/>
        <v>6.6467062997817994</v>
      </c>
      <c r="X96" s="138">
        <f t="shared" si="10"/>
        <v>6.6467062997817994</v>
      </c>
    </row>
    <row r="97" spans="1:24" s="144" customFormat="1" x14ac:dyDescent="0.2">
      <c r="A97" s="62"/>
      <c r="B97" s="70"/>
      <c r="C97" s="63"/>
      <c r="D97" s="71"/>
      <c r="E97" s="69"/>
      <c r="F97" s="72"/>
      <c r="G97" s="69"/>
      <c r="H97" s="69"/>
      <c r="I97" s="21"/>
      <c r="J97" s="54"/>
      <c r="K97" s="43"/>
      <c r="L97" s="169"/>
      <c r="M97" s="169"/>
      <c r="N97" s="187"/>
      <c r="O97" s="266">
        <f>'Additional information'!$D$17</f>
        <v>0.91</v>
      </c>
      <c r="P97" s="138"/>
      <c r="R97" s="146"/>
      <c r="S97" s="145"/>
      <c r="V97" s="265"/>
      <c r="W97" s="265" t="str">
        <f t="shared" si="9"/>
        <v/>
      </c>
      <c r="X97" s="138" t="str">
        <f t="shared" si="10"/>
        <v/>
      </c>
    </row>
    <row r="98" spans="1:24" s="233" customFormat="1" ht="77.5" customHeight="1" x14ac:dyDescent="0.2">
      <c r="A98" s="324"/>
      <c r="B98" s="162" t="s">
        <v>315</v>
      </c>
      <c r="C98" s="149" t="s">
        <v>315</v>
      </c>
      <c r="D98" s="160" t="s">
        <v>316</v>
      </c>
      <c r="E98" s="149">
        <f>LEN(D98)</f>
        <v>237</v>
      </c>
      <c r="F98" s="150" t="s">
        <v>108</v>
      </c>
      <c r="G98" s="149" t="s">
        <v>23</v>
      </c>
      <c r="H98" s="149" t="s">
        <v>23</v>
      </c>
      <c r="I98" s="149" t="s">
        <v>26</v>
      </c>
      <c r="J98" s="170" t="s">
        <v>317</v>
      </c>
      <c r="K98" s="215" t="s">
        <v>23</v>
      </c>
      <c r="L98" s="147" t="s">
        <v>318</v>
      </c>
      <c r="M98" s="186"/>
      <c r="N98" s="185"/>
      <c r="O98" s="266">
        <f>'Additional information'!$D$17</f>
        <v>0.91</v>
      </c>
      <c r="P98" s="138"/>
      <c r="R98" s="406" t="s">
        <v>31</v>
      </c>
      <c r="S98" s="145"/>
      <c r="V98" s="264">
        <v>23.93990516662598</v>
      </c>
      <c r="W98" s="264">
        <f t="shared" si="9"/>
        <v>21.785313701629644</v>
      </c>
      <c r="X98" s="138">
        <f t="shared" si="10"/>
        <v>21.785313701629644</v>
      </c>
    </row>
    <row r="99" spans="1:24" s="233" customFormat="1" ht="170.5" customHeight="1" x14ac:dyDescent="0.2">
      <c r="A99" s="324"/>
      <c r="B99" s="162" t="s">
        <v>319</v>
      </c>
      <c r="C99" s="149" t="s">
        <v>319</v>
      </c>
      <c r="D99" s="160" t="s">
        <v>320</v>
      </c>
      <c r="E99" s="149">
        <f>LEN(D99)</f>
        <v>138</v>
      </c>
      <c r="F99" s="150" t="s">
        <v>34</v>
      </c>
      <c r="G99" s="149" t="s">
        <v>23</v>
      </c>
      <c r="H99" s="149" t="s">
        <v>23</v>
      </c>
      <c r="I99" s="149" t="s">
        <v>35</v>
      </c>
      <c r="J99" s="170" t="s">
        <v>321</v>
      </c>
      <c r="K99" s="215" t="s">
        <v>23</v>
      </c>
      <c r="L99" s="147" t="s">
        <v>322</v>
      </c>
      <c r="M99" s="169"/>
      <c r="N99" s="183"/>
      <c r="O99" s="266">
        <f>'Additional information'!$D$17</f>
        <v>0.91</v>
      </c>
      <c r="P99" s="138"/>
      <c r="R99" s="406" t="s">
        <v>31</v>
      </c>
      <c r="S99" s="145"/>
      <c r="V99" s="264">
        <v>2.2494626045227051</v>
      </c>
      <c r="W99" s="264">
        <f t="shared" si="9"/>
        <v>2.0470109701156618</v>
      </c>
      <c r="X99" s="138">
        <f t="shared" si="10"/>
        <v>2.0470109701156618</v>
      </c>
    </row>
    <row r="100" spans="1:24" s="233" customFormat="1" x14ac:dyDescent="0.2">
      <c r="A100" s="124"/>
      <c r="B100" s="255"/>
      <c r="C100" s="69"/>
      <c r="D100" s="71"/>
      <c r="E100" s="69"/>
      <c r="F100" s="63"/>
      <c r="G100" s="69"/>
      <c r="H100" s="69"/>
      <c r="I100" s="69"/>
      <c r="J100" s="54"/>
      <c r="K100" s="43"/>
      <c r="L100" s="234"/>
      <c r="M100" s="184"/>
      <c r="N100" s="183"/>
      <c r="O100" s="266">
        <f>'Additional information'!$D$17</f>
        <v>0.91</v>
      </c>
      <c r="P100" s="138"/>
      <c r="R100" s="146"/>
      <c r="S100" s="145"/>
      <c r="V100" s="265"/>
      <c r="W100" s="265" t="str">
        <f t="shared" si="9"/>
        <v/>
      </c>
      <c r="X100" s="138" t="str">
        <f t="shared" si="10"/>
        <v/>
      </c>
    </row>
    <row r="101" spans="1:24" s="144" customFormat="1" ht="108.5" customHeight="1" x14ac:dyDescent="0.2">
      <c r="A101" s="62">
        <f>A96+1</f>
        <v>30</v>
      </c>
      <c r="B101" s="230" t="s">
        <v>323</v>
      </c>
      <c r="C101" s="143" t="s">
        <v>323</v>
      </c>
      <c r="D101" s="164" t="s">
        <v>324</v>
      </c>
      <c r="E101" s="141">
        <f>LEN(D101)</f>
        <v>1476</v>
      </c>
      <c r="F101" s="151" t="s">
        <v>34</v>
      </c>
      <c r="G101" s="141" t="s">
        <v>23</v>
      </c>
      <c r="H101" s="141" t="s">
        <v>23</v>
      </c>
      <c r="I101" s="143" t="s">
        <v>325</v>
      </c>
      <c r="J101" s="163" t="s">
        <v>326</v>
      </c>
      <c r="K101" s="369" t="s">
        <v>327</v>
      </c>
      <c r="L101" s="366" t="s">
        <v>328</v>
      </c>
      <c r="M101" s="181"/>
      <c r="N101" s="25"/>
      <c r="O101" s="266">
        <f>'Additional information'!$D$17</f>
        <v>0.91</v>
      </c>
      <c r="P101" s="138"/>
      <c r="R101" s="406" t="s">
        <v>31</v>
      </c>
      <c r="S101" s="145"/>
      <c r="V101" s="264">
        <v>23.440116882324219</v>
      </c>
      <c r="W101" s="264">
        <f t="shared" si="9"/>
        <v>21.330506362915038</v>
      </c>
      <c r="X101" s="138">
        <f t="shared" si="10"/>
        <v>21.330506362915038</v>
      </c>
    </row>
    <row r="102" spans="1:24" s="144" customFormat="1" ht="93" customHeight="1" x14ac:dyDescent="0.2">
      <c r="A102" s="62"/>
      <c r="B102" s="230" t="s">
        <v>329</v>
      </c>
      <c r="C102" s="143" t="s">
        <v>329</v>
      </c>
      <c r="D102" s="164" t="s">
        <v>330</v>
      </c>
      <c r="E102" s="141">
        <f>LEN(D102)</f>
        <v>176</v>
      </c>
      <c r="F102" s="151" t="s">
        <v>34</v>
      </c>
      <c r="G102" s="141" t="s">
        <v>23</v>
      </c>
      <c r="H102" s="141" t="s">
        <v>23</v>
      </c>
      <c r="I102" s="143" t="s">
        <v>35</v>
      </c>
      <c r="J102" s="163" t="s">
        <v>331</v>
      </c>
      <c r="K102" s="215" t="s">
        <v>23</v>
      </c>
      <c r="L102" s="182" t="s">
        <v>332</v>
      </c>
      <c r="M102" s="181"/>
      <c r="N102" s="25"/>
      <c r="O102" s="266">
        <f>'Additional information'!$D$17</f>
        <v>0.91</v>
      </c>
      <c r="P102" s="138"/>
      <c r="R102" s="406" t="s">
        <v>31</v>
      </c>
      <c r="S102" s="145"/>
      <c r="V102" s="264">
        <v>7.7659573554992676</v>
      </c>
      <c r="W102" s="264">
        <f t="shared" si="9"/>
        <v>7.0670211935043339</v>
      </c>
      <c r="X102" s="138">
        <f t="shared" si="10"/>
        <v>7.0670211935043339</v>
      </c>
    </row>
    <row r="103" spans="1:24" s="144" customFormat="1" x14ac:dyDescent="0.2">
      <c r="A103" s="62"/>
      <c r="B103" s="252"/>
      <c r="C103" s="63"/>
      <c r="D103" s="71"/>
      <c r="E103" s="69"/>
      <c r="F103" s="72"/>
      <c r="G103" s="69"/>
      <c r="H103" s="69"/>
      <c r="I103" s="63"/>
      <c r="J103" s="54"/>
      <c r="K103" s="43"/>
      <c r="L103" s="312"/>
      <c r="M103" s="181"/>
      <c r="N103" s="25"/>
      <c r="O103" s="266">
        <f>'Additional information'!$D$17</f>
        <v>0.91</v>
      </c>
      <c r="P103" s="138"/>
      <c r="R103" s="146"/>
      <c r="S103" s="145"/>
      <c r="V103" s="265"/>
      <c r="W103" s="265" t="str">
        <f t="shared" ref="W103:W134" si="11">IF(V103="","",V103*O103)</f>
        <v/>
      </c>
      <c r="X103" s="138" t="str">
        <f t="shared" ref="X103:X134" si="12">IF(R103="yes",W103,"")</f>
        <v/>
      </c>
    </row>
    <row r="104" spans="1:24" s="144" customFormat="1" ht="201.5" customHeight="1" x14ac:dyDescent="0.2">
      <c r="A104" s="19">
        <f>A101+1</f>
        <v>31</v>
      </c>
      <c r="B104" s="162" t="s">
        <v>333</v>
      </c>
      <c r="C104" s="149" t="s">
        <v>333</v>
      </c>
      <c r="D104" s="160" t="s">
        <v>334</v>
      </c>
      <c r="E104" s="149">
        <f>LEN(D104)</f>
        <v>331</v>
      </c>
      <c r="F104" s="150" t="s">
        <v>76</v>
      </c>
      <c r="G104" s="149" t="s">
        <v>23</v>
      </c>
      <c r="H104" s="149" t="s">
        <v>23</v>
      </c>
      <c r="I104" s="149" t="s">
        <v>77</v>
      </c>
      <c r="J104" s="170" t="s">
        <v>335</v>
      </c>
      <c r="K104" s="215" t="s">
        <v>23</v>
      </c>
      <c r="L104" s="182" t="s">
        <v>336</v>
      </c>
      <c r="M104" s="33"/>
      <c r="N104" s="10"/>
      <c r="O104" s="266">
        <f>'Additional information'!$D$17</f>
        <v>0.91</v>
      </c>
      <c r="P104" s="138"/>
      <c r="R104" s="406" t="s">
        <v>31</v>
      </c>
      <c r="S104" s="145"/>
      <c r="V104" s="264">
        <v>16.481756210327148</v>
      </c>
      <c r="W104" s="264">
        <f t="shared" si="11"/>
        <v>14.998398151397705</v>
      </c>
      <c r="X104" s="138">
        <f t="shared" si="12"/>
        <v>14.998398151397705</v>
      </c>
    </row>
    <row r="105" spans="1:24" s="144" customFormat="1" ht="14.25" customHeight="1" x14ac:dyDescent="0.2">
      <c r="A105" s="19"/>
      <c r="B105" s="178"/>
      <c r="C105" s="177"/>
      <c r="D105" s="176"/>
      <c r="E105" s="21"/>
      <c r="F105" s="64"/>
      <c r="G105" s="21"/>
      <c r="H105" s="21"/>
      <c r="I105" s="21"/>
      <c r="J105" s="174"/>
      <c r="K105" s="43"/>
      <c r="L105" s="254"/>
      <c r="M105" s="174"/>
      <c r="N105" s="10"/>
      <c r="O105" s="266">
        <f>'Additional information'!$D$17</f>
        <v>0.91</v>
      </c>
      <c r="P105" s="138"/>
      <c r="R105" s="146"/>
      <c r="S105" s="145"/>
      <c r="V105" s="265"/>
      <c r="W105" s="265" t="str">
        <f t="shared" si="11"/>
        <v/>
      </c>
      <c r="X105" s="138" t="str">
        <f t="shared" si="12"/>
        <v/>
      </c>
    </row>
    <row r="106" spans="1:24" s="144" customFormat="1" ht="217" customHeight="1" x14ac:dyDescent="0.2">
      <c r="A106" s="19">
        <f>A104+1</f>
        <v>32</v>
      </c>
      <c r="B106" s="232" t="s">
        <v>337</v>
      </c>
      <c r="C106" s="21" t="s">
        <v>338</v>
      </c>
      <c r="D106" s="176" t="s">
        <v>339</v>
      </c>
      <c r="E106" s="21">
        <f>LEN(D106)</f>
        <v>326</v>
      </c>
      <c r="F106" s="63" t="s">
        <v>340</v>
      </c>
      <c r="G106" s="69" t="s">
        <v>23</v>
      </c>
      <c r="H106" s="69" t="s">
        <v>23</v>
      </c>
      <c r="I106" s="69" t="s">
        <v>341</v>
      </c>
      <c r="J106" s="54" t="s">
        <v>342</v>
      </c>
      <c r="K106" s="44" t="s">
        <v>343</v>
      </c>
      <c r="L106" s="460" t="s">
        <v>344</v>
      </c>
      <c r="M106" s="186"/>
      <c r="N106" s="10"/>
      <c r="O106" s="266">
        <f>'Additional information'!$D$17</f>
        <v>0.91</v>
      </c>
      <c r="P106" s="138"/>
      <c r="R106" s="146" t="s">
        <v>22</v>
      </c>
      <c r="S106" s="145"/>
      <c r="V106" s="265">
        <v>18.511110305786129</v>
      </c>
      <c r="W106" s="265">
        <f t="shared" si="11"/>
        <v>16.845110378265378</v>
      </c>
      <c r="X106" s="138" t="str">
        <f t="shared" si="12"/>
        <v/>
      </c>
    </row>
    <row r="107" spans="1:24" s="144" customFormat="1" x14ac:dyDescent="0.2">
      <c r="A107" s="19"/>
      <c r="B107" s="178"/>
      <c r="C107" s="177"/>
      <c r="D107" s="176"/>
      <c r="E107" s="21"/>
      <c r="F107" s="64"/>
      <c r="G107" s="21"/>
      <c r="H107" s="21"/>
      <c r="I107" s="21"/>
      <c r="J107" s="174"/>
      <c r="K107" s="43"/>
      <c r="L107" s="175"/>
      <c r="M107" s="174"/>
      <c r="N107" s="10"/>
      <c r="O107" s="266">
        <f>'Additional information'!$D$17</f>
        <v>0.91</v>
      </c>
      <c r="P107" s="138"/>
      <c r="R107" s="146"/>
      <c r="S107" s="145"/>
      <c r="V107" s="265"/>
      <c r="W107" s="265" t="str">
        <f t="shared" si="11"/>
        <v/>
      </c>
      <c r="X107" s="138" t="str">
        <f t="shared" si="12"/>
        <v/>
      </c>
    </row>
    <row r="108" spans="1:24" s="144" customFormat="1" ht="186" customHeight="1" x14ac:dyDescent="0.2">
      <c r="A108" s="19">
        <f>A106+1</f>
        <v>33</v>
      </c>
      <c r="B108" s="180" t="s">
        <v>345</v>
      </c>
      <c r="C108" s="179" t="s">
        <v>345</v>
      </c>
      <c r="D108" s="160" t="s">
        <v>346</v>
      </c>
      <c r="E108" s="149">
        <f>LEN(D108)</f>
        <v>255</v>
      </c>
      <c r="F108" s="155" t="s">
        <v>34</v>
      </c>
      <c r="G108" s="149" t="s">
        <v>23</v>
      </c>
      <c r="H108" s="149" t="s">
        <v>23</v>
      </c>
      <c r="I108" s="149" t="s">
        <v>35</v>
      </c>
      <c r="J108" s="170" t="s">
        <v>347</v>
      </c>
      <c r="K108" s="215" t="s">
        <v>23</v>
      </c>
      <c r="L108" s="170" t="s">
        <v>348</v>
      </c>
      <c r="M108" s="27"/>
      <c r="N108" s="10"/>
      <c r="O108" s="266">
        <f>'Additional information'!$D$17</f>
        <v>0.91</v>
      </c>
      <c r="P108" s="138"/>
      <c r="R108" s="406" t="s">
        <v>31</v>
      </c>
      <c r="S108" s="145"/>
      <c r="V108" s="264">
        <v>20.308681488037109</v>
      </c>
      <c r="W108" s="264">
        <f t="shared" si="11"/>
        <v>18.480900154113769</v>
      </c>
      <c r="X108" s="138">
        <f t="shared" si="12"/>
        <v>18.480900154113769</v>
      </c>
    </row>
    <row r="109" spans="1:24" s="144" customFormat="1" x14ac:dyDescent="0.2">
      <c r="A109" s="19"/>
      <c r="B109" s="178"/>
      <c r="C109" s="177"/>
      <c r="D109" s="176"/>
      <c r="E109" s="21"/>
      <c r="F109" s="64"/>
      <c r="G109" s="21"/>
      <c r="H109" s="21"/>
      <c r="I109" s="21"/>
      <c r="J109" s="174"/>
      <c r="K109" s="43"/>
      <c r="L109" s="175"/>
      <c r="M109" s="174"/>
      <c r="N109" s="10"/>
      <c r="O109" s="266">
        <f>'Additional information'!$D$17</f>
        <v>0.91</v>
      </c>
      <c r="P109" s="138"/>
      <c r="R109" s="146"/>
      <c r="S109" s="145"/>
      <c r="V109" s="265"/>
      <c r="W109" s="265" t="str">
        <f t="shared" si="11"/>
        <v/>
      </c>
      <c r="X109" s="138" t="str">
        <f t="shared" si="12"/>
        <v/>
      </c>
    </row>
    <row r="110" spans="1:24" s="144" customFormat="1" ht="186" customHeight="1" x14ac:dyDescent="0.2">
      <c r="A110" s="19">
        <f>A108+1</f>
        <v>34</v>
      </c>
      <c r="B110" s="162" t="s">
        <v>349</v>
      </c>
      <c r="C110" s="149" t="s">
        <v>349</v>
      </c>
      <c r="D110" s="160" t="s">
        <v>350</v>
      </c>
      <c r="E110" s="149">
        <f>LEN(D110)</f>
        <v>262</v>
      </c>
      <c r="F110" s="155" t="s">
        <v>34</v>
      </c>
      <c r="G110" s="149" t="s">
        <v>23</v>
      </c>
      <c r="H110" s="149" t="s">
        <v>23</v>
      </c>
      <c r="I110" s="149" t="s">
        <v>35</v>
      </c>
      <c r="J110" s="148" t="s">
        <v>351</v>
      </c>
      <c r="K110" s="215" t="s">
        <v>23</v>
      </c>
      <c r="L110" s="173" t="s">
        <v>352</v>
      </c>
      <c r="M110" s="172"/>
      <c r="N110" s="125"/>
      <c r="O110" s="266">
        <f>'Additional information'!$D$17</f>
        <v>0.91</v>
      </c>
      <c r="P110" s="138"/>
      <c r="R110" s="406" t="s">
        <v>31</v>
      </c>
      <c r="S110" s="145"/>
      <c r="V110" s="264">
        <v>15.448612213134769</v>
      </c>
      <c r="W110" s="264">
        <f t="shared" si="11"/>
        <v>14.058237113952641</v>
      </c>
      <c r="X110" s="138">
        <f t="shared" si="12"/>
        <v>14.058237113952641</v>
      </c>
    </row>
    <row r="111" spans="1:24" s="144" customFormat="1" ht="77.5" customHeight="1" x14ac:dyDescent="0.2">
      <c r="A111" s="19">
        <f>A110+1</f>
        <v>35</v>
      </c>
      <c r="B111" s="461" t="s">
        <v>353</v>
      </c>
      <c r="C111" s="462" t="s">
        <v>353</v>
      </c>
      <c r="D111" s="20" t="s">
        <v>354</v>
      </c>
      <c r="E111" s="21">
        <f>LEN(D111)</f>
        <v>237</v>
      </c>
      <c r="F111" s="463" t="s">
        <v>108</v>
      </c>
      <c r="G111" s="21" t="s">
        <v>23</v>
      </c>
      <c r="H111" s="21" t="s">
        <v>23</v>
      </c>
      <c r="I111" s="21" t="s">
        <v>26</v>
      </c>
      <c r="J111" s="43" t="s">
        <v>355</v>
      </c>
      <c r="K111" s="44" t="s">
        <v>23</v>
      </c>
      <c r="L111" s="464" t="s">
        <v>356</v>
      </c>
      <c r="M111" s="465"/>
      <c r="N111" s="511" t="s">
        <v>357</v>
      </c>
      <c r="O111" s="266">
        <f>'Additional information'!$D$17</f>
        <v>0.91</v>
      </c>
      <c r="P111" s="138"/>
      <c r="R111" s="146" t="s">
        <v>22</v>
      </c>
      <c r="S111" s="145"/>
      <c r="V111" s="265">
        <v>30.343915939331051</v>
      </c>
      <c r="W111" s="265">
        <f t="shared" si="11"/>
        <v>27.612963504791256</v>
      </c>
      <c r="X111" s="138" t="str">
        <f t="shared" si="12"/>
        <v/>
      </c>
    </row>
    <row r="112" spans="1:24" s="144" customFormat="1" ht="201.5" customHeight="1" x14ac:dyDescent="0.2">
      <c r="A112" s="19">
        <f>A111+1</f>
        <v>36</v>
      </c>
      <c r="B112" s="461" t="s">
        <v>358</v>
      </c>
      <c r="C112" s="462" t="s">
        <v>358</v>
      </c>
      <c r="D112" s="68" t="s">
        <v>359</v>
      </c>
      <c r="E112" s="21">
        <f>LEN(D112)</f>
        <v>175</v>
      </c>
      <c r="F112" s="463" t="s">
        <v>76</v>
      </c>
      <c r="G112" s="21" t="s">
        <v>23</v>
      </c>
      <c r="H112" s="21" t="s">
        <v>23</v>
      </c>
      <c r="I112" s="21" t="s">
        <v>360</v>
      </c>
      <c r="J112" s="43" t="s">
        <v>361</v>
      </c>
      <c r="K112" s="44" t="s">
        <v>23</v>
      </c>
      <c r="L112" s="464" t="s">
        <v>362</v>
      </c>
      <c r="M112" s="465"/>
      <c r="N112" s="510"/>
      <c r="O112" s="266">
        <f>'Additional information'!$D$17</f>
        <v>0.91</v>
      </c>
      <c r="P112" s="138"/>
      <c r="R112" s="146" t="s">
        <v>22</v>
      </c>
      <c r="S112" s="145"/>
      <c r="V112" s="265">
        <v>5.4708995819091797</v>
      </c>
      <c r="W112" s="265">
        <f t="shared" si="11"/>
        <v>4.9785186195373541</v>
      </c>
      <c r="X112" s="138" t="str">
        <f t="shared" si="12"/>
        <v/>
      </c>
    </row>
    <row r="113" spans="1:24" s="144" customFormat="1" ht="62" customHeight="1" x14ac:dyDescent="0.2">
      <c r="A113" s="19">
        <f>A112+1</f>
        <v>37</v>
      </c>
      <c r="B113" s="461" t="s">
        <v>363</v>
      </c>
      <c r="C113" s="462" t="s">
        <v>363</v>
      </c>
      <c r="D113" s="68" t="s">
        <v>364</v>
      </c>
      <c r="E113" s="21">
        <f>LEN(D113)</f>
        <v>123</v>
      </c>
      <c r="F113" s="463" t="s">
        <v>108</v>
      </c>
      <c r="G113" s="21" t="s">
        <v>23</v>
      </c>
      <c r="H113" s="21" t="s">
        <v>23</v>
      </c>
      <c r="I113" s="21" t="s">
        <v>26</v>
      </c>
      <c r="J113" s="43" t="s">
        <v>365</v>
      </c>
      <c r="K113" s="44" t="s">
        <v>23</v>
      </c>
      <c r="L113" s="464" t="s">
        <v>366</v>
      </c>
      <c r="M113" s="465"/>
      <c r="N113" s="510"/>
      <c r="O113" s="266">
        <f>'Additional information'!$D$17</f>
        <v>0.91</v>
      </c>
      <c r="P113" s="138"/>
      <c r="R113" s="146" t="s">
        <v>22</v>
      </c>
      <c r="S113" s="145"/>
      <c r="V113" s="265">
        <v>7.9054727554321289</v>
      </c>
      <c r="W113" s="265">
        <f t="shared" si="11"/>
        <v>7.1939802074432375</v>
      </c>
      <c r="X113" s="138" t="str">
        <f t="shared" si="12"/>
        <v/>
      </c>
    </row>
    <row r="114" spans="1:24" s="144" customFormat="1" x14ac:dyDescent="0.2">
      <c r="A114" s="19"/>
      <c r="B114" s="232"/>
      <c r="C114" s="63"/>
      <c r="D114" s="43"/>
      <c r="E114" s="21"/>
      <c r="F114" s="64"/>
      <c r="G114" s="21"/>
      <c r="H114" s="21"/>
      <c r="I114" s="21"/>
      <c r="J114" s="48"/>
      <c r="K114" s="48"/>
      <c r="L114" s="48"/>
      <c r="M114" s="48"/>
      <c r="N114" s="10"/>
      <c r="O114" s="266">
        <f>'Additional information'!$D$17</f>
        <v>0.91</v>
      </c>
      <c r="P114" s="138"/>
      <c r="R114" s="146"/>
      <c r="S114" s="145"/>
      <c r="V114" s="265"/>
      <c r="W114" s="265" t="str">
        <f t="shared" si="11"/>
        <v/>
      </c>
      <c r="X114" s="138" t="str">
        <f t="shared" si="12"/>
        <v/>
      </c>
    </row>
    <row r="115" spans="1:24" s="144" customFormat="1" ht="139.5" customHeight="1" x14ac:dyDescent="0.2">
      <c r="A115" s="19" t="e">
        <f>#REF!+1</f>
        <v>#REF!</v>
      </c>
      <c r="B115" s="162" t="s">
        <v>367</v>
      </c>
      <c r="C115" s="143" t="s">
        <v>367</v>
      </c>
      <c r="D115" s="161" t="s">
        <v>368</v>
      </c>
      <c r="E115" s="149">
        <f>LEN(D115)</f>
        <v>160</v>
      </c>
      <c r="F115" s="155" t="s">
        <v>34</v>
      </c>
      <c r="G115" s="149" t="s">
        <v>23</v>
      </c>
      <c r="H115" s="149" t="s">
        <v>23</v>
      </c>
      <c r="I115" s="149" t="s">
        <v>35</v>
      </c>
      <c r="J115" s="148" t="s">
        <v>369</v>
      </c>
      <c r="K115" s="215" t="s">
        <v>23</v>
      </c>
      <c r="L115" s="148" t="s">
        <v>370</v>
      </c>
      <c r="M115" s="28"/>
      <c r="N115" s="10"/>
      <c r="O115" s="266">
        <f>'Additional information'!$D$17</f>
        <v>0.91</v>
      </c>
      <c r="P115" s="138"/>
      <c r="R115" s="406" t="s">
        <v>31</v>
      </c>
      <c r="S115" s="145"/>
      <c r="V115" s="264">
        <v>11.37532997131348</v>
      </c>
      <c r="W115" s="264">
        <f t="shared" si="11"/>
        <v>10.351550273895267</v>
      </c>
      <c r="X115" s="138">
        <f t="shared" si="12"/>
        <v>10.351550273895267</v>
      </c>
    </row>
    <row r="116" spans="1:24" s="144" customFormat="1" ht="372" customHeight="1" x14ac:dyDescent="0.2">
      <c r="A116" s="75" t="e">
        <f>A115+1</f>
        <v>#REF!</v>
      </c>
      <c r="B116" s="231" t="s">
        <v>371</v>
      </c>
      <c r="C116" s="150" t="s">
        <v>372</v>
      </c>
      <c r="D116" s="380" t="s">
        <v>373</v>
      </c>
      <c r="E116" s="132">
        <f>LEN(D116)</f>
        <v>776</v>
      </c>
      <c r="F116" s="143" t="s">
        <v>340</v>
      </c>
      <c r="G116" s="132" t="s">
        <v>23</v>
      </c>
      <c r="H116" s="132" t="s">
        <v>23</v>
      </c>
      <c r="I116" s="132" t="s">
        <v>374</v>
      </c>
      <c r="J116" s="379" t="s">
        <v>375</v>
      </c>
      <c r="K116" s="215" t="s">
        <v>376</v>
      </c>
      <c r="L116" s="161" t="s">
        <v>377</v>
      </c>
      <c r="M116" s="28"/>
      <c r="N116" s="10"/>
      <c r="O116" s="266">
        <f>'Additional information'!$D$17</f>
        <v>0.91</v>
      </c>
      <c r="P116" s="138"/>
      <c r="R116" s="406" t="s">
        <v>31</v>
      </c>
      <c r="S116" s="145"/>
      <c r="V116" s="264">
        <v>25.844999313354489</v>
      </c>
      <c r="W116" s="264">
        <f t="shared" si="11"/>
        <v>23.518949375152584</v>
      </c>
      <c r="X116" s="138">
        <f t="shared" si="12"/>
        <v>23.518949375152584</v>
      </c>
    </row>
    <row r="117" spans="1:24" s="144" customFormat="1" x14ac:dyDescent="0.2">
      <c r="A117" s="19"/>
      <c r="B117" s="232"/>
      <c r="C117" s="63"/>
      <c r="D117" s="43"/>
      <c r="E117" s="21"/>
      <c r="F117" s="64"/>
      <c r="G117" s="21"/>
      <c r="H117" s="21"/>
      <c r="I117" s="21"/>
      <c r="J117" s="48"/>
      <c r="K117" s="48"/>
      <c r="L117" s="48"/>
      <c r="M117" s="48"/>
      <c r="N117" s="10"/>
      <c r="O117" s="266">
        <f>'Additional information'!$D$17</f>
        <v>0.91</v>
      </c>
      <c r="P117" s="138"/>
      <c r="R117" s="146"/>
      <c r="S117" s="145"/>
      <c r="V117" s="265"/>
      <c r="W117" s="265" t="str">
        <f t="shared" si="11"/>
        <v/>
      </c>
      <c r="X117" s="138" t="str">
        <f t="shared" si="12"/>
        <v/>
      </c>
    </row>
    <row r="118" spans="1:24" s="144" customFormat="1" ht="201.5" customHeight="1" x14ac:dyDescent="0.2">
      <c r="A118" s="476" t="e">
        <f>A116+1</f>
        <v>#REF!</v>
      </c>
      <c r="B118" s="178" t="s">
        <v>378</v>
      </c>
      <c r="C118" s="177" t="s">
        <v>378</v>
      </c>
      <c r="D118" s="43" t="s">
        <v>379</v>
      </c>
      <c r="E118" s="21">
        <f>LEN(D118)</f>
        <v>296</v>
      </c>
      <c r="F118" s="22" t="s">
        <v>34</v>
      </c>
      <c r="G118" s="21" t="s">
        <v>23</v>
      </c>
      <c r="H118" s="477" t="s">
        <v>380</v>
      </c>
      <c r="I118" s="21" t="s">
        <v>35</v>
      </c>
      <c r="J118" s="43" t="s">
        <v>381</v>
      </c>
      <c r="K118" s="44" t="s">
        <v>23</v>
      </c>
      <c r="L118" s="43" t="s">
        <v>382</v>
      </c>
      <c r="M118" s="48"/>
      <c r="N118" s="10"/>
      <c r="O118" s="266">
        <f>'Additional information'!$D$17</f>
        <v>0.91</v>
      </c>
      <c r="P118" s="138"/>
      <c r="R118" s="146" t="s">
        <v>22</v>
      </c>
      <c r="S118" s="145"/>
      <c r="V118" s="265">
        <v>12.186037063598629</v>
      </c>
      <c r="W118" s="265">
        <f t="shared" si="11"/>
        <v>11.089293727874754</v>
      </c>
      <c r="X118" s="138" t="str">
        <f t="shared" si="12"/>
        <v/>
      </c>
    </row>
    <row r="119" spans="1:24" s="144" customFormat="1" ht="124" customHeight="1" x14ac:dyDescent="0.2">
      <c r="A119" s="62"/>
      <c r="B119" s="446" t="s">
        <v>383</v>
      </c>
      <c r="C119" s="447" t="s">
        <v>384</v>
      </c>
      <c r="D119" s="445" t="s">
        <v>385</v>
      </c>
      <c r="E119" s="448">
        <f>LEN(D119)</f>
        <v>233</v>
      </c>
      <c r="F119" s="77" t="s">
        <v>199</v>
      </c>
      <c r="G119" s="448" t="s">
        <v>23</v>
      </c>
      <c r="H119" s="478" t="s">
        <v>23</v>
      </c>
      <c r="I119" s="448" t="s">
        <v>386</v>
      </c>
      <c r="J119" s="51" t="s">
        <v>387</v>
      </c>
      <c r="K119" s="44" t="s">
        <v>23</v>
      </c>
      <c r="L119" s="479" t="s">
        <v>388</v>
      </c>
      <c r="M119" s="479"/>
      <c r="N119" s="125"/>
      <c r="O119" s="266">
        <f>'Additional information'!$D$17</f>
        <v>0.91</v>
      </c>
      <c r="P119" s="138"/>
      <c r="R119" s="146" t="s">
        <v>22</v>
      </c>
      <c r="S119" s="145"/>
      <c r="V119" s="265">
        <v>18.744722366333011</v>
      </c>
      <c r="W119" s="265">
        <f t="shared" si="11"/>
        <v>17.057697353363039</v>
      </c>
      <c r="X119" s="138" t="str">
        <f t="shared" si="12"/>
        <v/>
      </c>
    </row>
    <row r="120" spans="1:24" s="144" customFormat="1" ht="16" customHeight="1" thickBot="1" x14ac:dyDescent="0.25">
      <c r="A120" s="75"/>
      <c r="B120" s="253"/>
      <c r="C120" s="76"/>
      <c r="D120" s="52"/>
      <c r="E120" s="66"/>
      <c r="F120" s="76"/>
      <c r="G120" s="66"/>
      <c r="H120" s="66"/>
      <c r="I120" s="66"/>
      <c r="J120" s="58"/>
      <c r="K120" s="48"/>
      <c r="L120" s="52"/>
      <c r="M120" s="58"/>
      <c r="N120" s="35"/>
      <c r="O120" s="266">
        <f>'Additional information'!$D$17</f>
        <v>0.91</v>
      </c>
      <c r="P120" s="138"/>
      <c r="R120" s="146"/>
      <c r="S120" s="145"/>
      <c r="V120" s="265"/>
      <c r="W120" s="265" t="str">
        <f t="shared" si="11"/>
        <v/>
      </c>
      <c r="X120" s="138" t="str">
        <f t="shared" si="12"/>
        <v/>
      </c>
    </row>
    <row r="121" spans="1:24" s="399" customFormat="1" ht="16" customHeight="1" thickBot="1" x14ac:dyDescent="0.25">
      <c r="A121" s="502" t="s">
        <v>389</v>
      </c>
      <c r="B121" s="503"/>
      <c r="C121" s="503"/>
      <c r="D121" s="503"/>
      <c r="E121" s="503"/>
      <c r="F121" s="503"/>
      <c r="G121" s="503"/>
      <c r="H121" s="503"/>
      <c r="I121" s="503"/>
      <c r="J121" s="503"/>
      <c r="K121" s="503"/>
      <c r="L121" s="503"/>
      <c r="M121" s="503"/>
      <c r="N121" s="504"/>
      <c r="O121" s="261"/>
      <c r="P121" s="408"/>
      <c r="R121" s="406"/>
      <c r="S121" s="409"/>
      <c r="V121" s="264"/>
      <c r="W121" s="264" t="str">
        <f t="shared" si="11"/>
        <v/>
      </c>
      <c r="X121" s="408" t="str">
        <f t="shared" si="12"/>
        <v/>
      </c>
    </row>
    <row r="122" spans="1:24" s="144" customFormat="1" ht="263.5" customHeight="1" x14ac:dyDescent="0.2">
      <c r="A122" s="19"/>
      <c r="B122" s="180" t="s">
        <v>390</v>
      </c>
      <c r="C122" s="179" t="s">
        <v>390</v>
      </c>
      <c r="D122" s="424" t="s">
        <v>391</v>
      </c>
      <c r="E122" s="141">
        <f>LEN(D122)</f>
        <v>1461</v>
      </c>
      <c r="F122" s="151" t="s">
        <v>34</v>
      </c>
      <c r="G122" s="149" t="s">
        <v>23</v>
      </c>
      <c r="H122" s="143" t="s">
        <v>392</v>
      </c>
      <c r="I122" s="141" t="s">
        <v>35</v>
      </c>
      <c r="J122" s="148" t="s">
        <v>393</v>
      </c>
      <c r="K122" s="369" t="s">
        <v>394</v>
      </c>
      <c r="L122" s="148" t="s">
        <v>395</v>
      </c>
      <c r="M122" s="48"/>
      <c r="N122" s="10"/>
      <c r="O122" s="266">
        <f>'Additional information'!$D$17</f>
        <v>0.91</v>
      </c>
      <c r="P122" s="138"/>
      <c r="R122" s="406" t="s">
        <v>31</v>
      </c>
      <c r="S122" s="145"/>
      <c r="V122" s="264">
        <v>17.612014770507809</v>
      </c>
      <c r="W122" s="264">
        <f t="shared" si="11"/>
        <v>16.026933441162107</v>
      </c>
      <c r="X122" s="138">
        <f t="shared" si="12"/>
        <v>16.026933441162107</v>
      </c>
    </row>
    <row r="123" spans="1:24" s="144" customFormat="1" x14ac:dyDescent="0.2">
      <c r="A123" s="19"/>
      <c r="B123" s="178"/>
      <c r="C123" s="63"/>
      <c r="D123" s="425"/>
      <c r="E123" s="69"/>
      <c r="F123" s="22"/>
      <c r="G123" s="21"/>
      <c r="H123" s="74"/>
      <c r="I123" s="21"/>
      <c r="J123" s="48"/>
      <c r="K123" s="48"/>
      <c r="L123" s="50"/>
      <c r="M123" s="50"/>
      <c r="N123" s="10"/>
      <c r="O123" s="266">
        <f>'Additional information'!$D$17</f>
        <v>0.91</v>
      </c>
      <c r="P123" s="146"/>
      <c r="Q123" s="145"/>
      <c r="T123" s="152"/>
      <c r="U123" s="194"/>
      <c r="V123" s="265"/>
      <c r="W123" s="265" t="str">
        <f t="shared" si="11"/>
        <v/>
      </c>
      <c r="X123" s="138" t="str">
        <f t="shared" si="12"/>
        <v/>
      </c>
    </row>
    <row r="124" spans="1:24" s="144" customFormat="1" ht="222" customHeight="1" x14ac:dyDescent="0.2">
      <c r="A124" s="62" t="e">
        <f>A116+1</f>
        <v>#REF!</v>
      </c>
      <c r="B124" s="381" t="s">
        <v>396</v>
      </c>
      <c r="C124" s="143" t="s">
        <v>396</v>
      </c>
      <c r="D124" s="142" t="s">
        <v>397</v>
      </c>
      <c r="E124" s="141">
        <f>LEN(D124)</f>
        <v>167</v>
      </c>
      <c r="F124" s="151" t="s">
        <v>34</v>
      </c>
      <c r="G124" s="141" t="s">
        <v>23</v>
      </c>
      <c r="H124" s="143" t="s">
        <v>23</v>
      </c>
      <c r="I124" s="141" t="s">
        <v>35</v>
      </c>
      <c r="J124" s="140" t="s">
        <v>398</v>
      </c>
      <c r="K124" s="215" t="s">
        <v>23</v>
      </c>
      <c r="L124" s="140" t="s">
        <v>399</v>
      </c>
      <c r="M124" s="50"/>
      <c r="N124" s="25"/>
      <c r="O124" s="266">
        <f>'Additional information'!$D$17</f>
        <v>0.91</v>
      </c>
      <c r="P124" s="138"/>
      <c r="R124" s="406" t="s">
        <v>31</v>
      </c>
      <c r="S124" s="145"/>
      <c r="V124" s="264">
        <v>10.457156181335449</v>
      </c>
      <c r="W124" s="264">
        <f t="shared" si="11"/>
        <v>9.5160121250152585</v>
      </c>
      <c r="X124" s="138">
        <f t="shared" si="12"/>
        <v>9.5160121250152585</v>
      </c>
    </row>
    <row r="125" spans="1:24" s="144" customFormat="1" ht="263.5" customHeight="1" x14ac:dyDescent="0.2">
      <c r="A125" s="19" t="e">
        <f>A124+1</f>
        <v>#REF!</v>
      </c>
      <c r="B125" s="180" t="s">
        <v>400</v>
      </c>
      <c r="C125" s="143" t="s">
        <v>401</v>
      </c>
      <c r="D125" s="380" t="s">
        <v>402</v>
      </c>
      <c r="E125" s="141">
        <f>LEN(D125)</f>
        <v>684</v>
      </c>
      <c r="F125" s="143" t="s">
        <v>340</v>
      </c>
      <c r="G125" s="149" t="s">
        <v>23</v>
      </c>
      <c r="H125" s="171" t="s">
        <v>23</v>
      </c>
      <c r="I125" s="149" t="s">
        <v>341</v>
      </c>
      <c r="J125" s="148" t="s">
        <v>403</v>
      </c>
      <c r="K125" s="215" t="s">
        <v>404</v>
      </c>
      <c r="L125" s="148" t="s">
        <v>405</v>
      </c>
      <c r="M125" s="48"/>
      <c r="N125" s="10"/>
      <c r="O125" s="266">
        <f>'Additional information'!$D$17</f>
        <v>0.91</v>
      </c>
      <c r="P125" s="138"/>
      <c r="R125" s="406" t="s">
        <v>31</v>
      </c>
      <c r="S125" s="145"/>
      <c r="V125" s="264">
        <v>20.769962310791019</v>
      </c>
      <c r="W125" s="264">
        <f t="shared" si="11"/>
        <v>18.900665702819829</v>
      </c>
      <c r="X125" s="138">
        <f t="shared" si="12"/>
        <v>18.900665702819829</v>
      </c>
    </row>
    <row r="126" spans="1:24" s="144" customFormat="1" x14ac:dyDescent="0.2">
      <c r="A126" s="19"/>
      <c r="B126" s="178"/>
      <c r="C126" s="63"/>
      <c r="D126" s="425"/>
      <c r="E126" s="69"/>
      <c r="F126" s="22"/>
      <c r="G126" s="21"/>
      <c r="H126" s="73"/>
      <c r="I126" s="21"/>
      <c r="J126" s="48"/>
      <c r="K126" s="48"/>
      <c r="L126" s="50"/>
      <c r="M126" s="50"/>
      <c r="N126" s="10"/>
      <c r="O126" s="266">
        <f>'Additional information'!$D$17</f>
        <v>0.91</v>
      </c>
      <c r="P126" s="138"/>
      <c r="R126" s="146"/>
      <c r="S126" s="145"/>
      <c r="V126" s="265"/>
      <c r="W126" s="265" t="str">
        <f t="shared" si="11"/>
        <v/>
      </c>
      <c r="X126" s="138" t="str">
        <f t="shared" si="12"/>
        <v/>
      </c>
    </row>
    <row r="127" spans="1:24" s="144" customFormat="1" ht="261" customHeight="1" x14ac:dyDescent="0.2">
      <c r="A127" s="19" t="e">
        <f>A125+1</f>
        <v>#REF!</v>
      </c>
      <c r="B127" s="180" t="s">
        <v>406</v>
      </c>
      <c r="C127" s="143" t="s">
        <v>406</v>
      </c>
      <c r="D127" s="161" t="s">
        <v>407</v>
      </c>
      <c r="E127" s="149">
        <f>LEN(D127)</f>
        <v>340</v>
      </c>
      <c r="F127" s="155" t="s">
        <v>34</v>
      </c>
      <c r="G127" s="149" t="s">
        <v>23</v>
      </c>
      <c r="H127" s="149" t="s">
        <v>23</v>
      </c>
      <c r="I127" s="149" t="s">
        <v>35</v>
      </c>
      <c r="J127" s="170" t="s">
        <v>408</v>
      </c>
      <c r="K127" s="215" t="s">
        <v>23</v>
      </c>
      <c r="L127" s="147" t="s">
        <v>409</v>
      </c>
      <c r="M127" s="169"/>
      <c r="N127" s="10"/>
      <c r="O127" s="266">
        <f>'Additional information'!$D$17</f>
        <v>0.91</v>
      </c>
      <c r="P127" s="138"/>
      <c r="R127" s="406" t="s">
        <v>31</v>
      </c>
      <c r="S127" s="145"/>
      <c r="V127" s="264">
        <v>23.569721221923832</v>
      </c>
      <c r="W127" s="264">
        <f t="shared" si="11"/>
        <v>21.448446311950686</v>
      </c>
      <c r="X127" s="138">
        <f t="shared" si="12"/>
        <v>21.448446311950686</v>
      </c>
    </row>
    <row r="128" spans="1:24" s="144" customFormat="1" ht="16" customHeight="1" thickBot="1" x14ac:dyDescent="0.25">
      <c r="A128" s="19"/>
      <c r="B128" s="178"/>
      <c r="C128" s="63"/>
      <c r="D128" s="425"/>
      <c r="E128" s="69"/>
      <c r="F128" s="22"/>
      <c r="G128" s="21"/>
      <c r="H128" s="73"/>
      <c r="I128" s="21"/>
      <c r="J128" s="48"/>
      <c r="K128" s="48"/>
      <c r="L128" s="50"/>
      <c r="M128" s="50"/>
      <c r="N128" s="10"/>
      <c r="O128" s="266">
        <f>'Additional information'!$D$17</f>
        <v>0.91</v>
      </c>
      <c r="P128" s="138"/>
      <c r="R128" s="146"/>
      <c r="S128" s="145"/>
      <c r="V128" s="265"/>
      <c r="W128" s="265" t="str">
        <f t="shared" si="11"/>
        <v/>
      </c>
      <c r="X128" s="138" t="str">
        <f t="shared" si="12"/>
        <v/>
      </c>
    </row>
    <row r="129" spans="1:24" s="399" customFormat="1" ht="16" customHeight="1" thickBot="1" x14ac:dyDescent="0.25">
      <c r="A129" s="502" t="s">
        <v>410</v>
      </c>
      <c r="B129" s="503"/>
      <c r="C129" s="503"/>
      <c r="D129" s="503"/>
      <c r="E129" s="503"/>
      <c r="F129" s="503"/>
      <c r="G129" s="503"/>
      <c r="H129" s="503"/>
      <c r="I129" s="503"/>
      <c r="J129" s="503"/>
      <c r="K129" s="503"/>
      <c r="L129" s="503"/>
      <c r="M129" s="503"/>
      <c r="N129" s="504"/>
      <c r="O129" s="261"/>
      <c r="P129" s="408"/>
      <c r="R129" s="406"/>
      <c r="S129" s="409"/>
      <c r="V129" s="264"/>
      <c r="W129" s="264" t="str">
        <f t="shared" si="11"/>
        <v/>
      </c>
      <c r="X129" s="408" t="str">
        <f t="shared" si="12"/>
        <v/>
      </c>
    </row>
    <row r="130" spans="1:24" s="144" customFormat="1" ht="124" customHeight="1" x14ac:dyDescent="0.2">
      <c r="A130" s="62" t="e">
        <f>A127+1</f>
        <v>#REF!</v>
      </c>
      <c r="B130" s="383" t="s">
        <v>411</v>
      </c>
      <c r="C130" s="426" t="s">
        <v>411</v>
      </c>
      <c r="D130" s="427" t="s">
        <v>412</v>
      </c>
      <c r="E130" s="141">
        <f>LEN(D130)</f>
        <v>173</v>
      </c>
      <c r="F130" s="141" t="s">
        <v>34</v>
      </c>
      <c r="G130" s="141" t="s">
        <v>23</v>
      </c>
      <c r="H130" s="141" t="s">
        <v>413</v>
      </c>
      <c r="I130" s="141" t="s">
        <v>35</v>
      </c>
      <c r="J130" s="140" t="s">
        <v>414</v>
      </c>
      <c r="K130" s="215" t="s">
        <v>23</v>
      </c>
      <c r="L130" s="147" t="s">
        <v>415</v>
      </c>
      <c r="M130" s="169"/>
      <c r="N130" s="9"/>
      <c r="O130" s="261">
        <f>'Additional information'!$D$18</f>
        <v>0.91</v>
      </c>
      <c r="P130" s="138"/>
      <c r="R130" s="406" t="s">
        <v>31</v>
      </c>
      <c r="S130" s="145"/>
      <c r="V130" s="264">
        <v>4.5019583702087402</v>
      </c>
      <c r="W130" s="264">
        <f t="shared" si="11"/>
        <v>4.0967821168899539</v>
      </c>
      <c r="X130" s="138">
        <f t="shared" si="12"/>
        <v>4.0967821168899539</v>
      </c>
    </row>
    <row r="131" spans="1:24" s="144" customFormat="1" x14ac:dyDescent="0.2">
      <c r="A131" s="19"/>
      <c r="B131" s="178"/>
      <c r="C131" s="63"/>
      <c r="D131" s="425"/>
      <c r="E131" s="69"/>
      <c r="F131" s="22"/>
      <c r="G131" s="21"/>
      <c r="H131" s="74"/>
      <c r="I131" s="21"/>
      <c r="J131" s="48"/>
      <c r="K131" s="48"/>
      <c r="L131" s="50"/>
      <c r="M131" s="50"/>
      <c r="N131" s="10"/>
      <c r="O131" s="266">
        <f>'Additional information'!$D$18</f>
        <v>0.91</v>
      </c>
      <c r="P131" s="138"/>
      <c r="R131" s="146"/>
      <c r="S131" s="145"/>
      <c r="V131" s="265"/>
      <c r="W131" s="265" t="str">
        <f t="shared" si="11"/>
        <v/>
      </c>
      <c r="X131" s="138" t="str">
        <f t="shared" si="12"/>
        <v/>
      </c>
    </row>
    <row r="132" spans="1:24" s="144" customFormat="1" ht="279" customHeight="1" x14ac:dyDescent="0.2">
      <c r="A132" s="62" t="e">
        <f>A130+1</f>
        <v>#REF!</v>
      </c>
      <c r="B132" s="230" t="s">
        <v>416</v>
      </c>
      <c r="C132" s="143" t="s">
        <v>416</v>
      </c>
      <c r="D132" s="142" t="s">
        <v>417</v>
      </c>
      <c r="E132" s="141">
        <f>LEN(D132)</f>
        <v>579</v>
      </c>
      <c r="F132" s="141" t="s">
        <v>34</v>
      </c>
      <c r="G132" s="141" t="s">
        <v>23</v>
      </c>
      <c r="H132" s="141" t="s">
        <v>23</v>
      </c>
      <c r="I132" s="143" t="s">
        <v>418</v>
      </c>
      <c r="J132" s="140" t="s">
        <v>419</v>
      </c>
      <c r="K132" s="215" t="s">
        <v>23</v>
      </c>
      <c r="L132" s="147" t="s">
        <v>420</v>
      </c>
      <c r="M132" s="169"/>
      <c r="N132" s="25"/>
      <c r="O132" s="261">
        <f>'Additional information'!$D$18</f>
        <v>0.91</v>
      </c>
      <c r="P132" s="138"/>
      <c r="R132" s="406" t="s">
        <v>31</v>
      </c>
      <c r="S132" s="145"/>
      <c r="V132" s="264">
        <v>17.402484893798832</v>
      </c>
      <c r="W132" s="264">
        <f t="shared" si="11"/>
        <v>15.836261253356938</v>
      </c>
      <c r="X132" s="138">
        <f t="shared" si="12"/>
        <v>15.836261253356938</v>
      </c>
    </row>
    <row r="133" spans="1:24" s="144" customFormat="1" x14ac:dyDescent="0.2">
      <c r="A133" s="62"/>
      <c r="B133" s="252"/>
      <c r="C133" s="63"/>
      <c r="D133" s="167"/>
      <c r="E133" s="69"/>
      <c r="F133" s="69"/>
      <c r="G133" s="69"/>
      <c r="H133" s="69"/>
      <c r="I133" s="63"/>
      <c r="J133" s="50"/>
      <c r="K133" s="48"/>
      <c r="L133" s="169"/>
      <c r="M133" s="169"/>
      <c r="N133" s="25"/>
      <c r="O133" s="266">
        <f>'Additional information'!$D$18</f>
        <v>0.91</v>
      </c>
      <c r="P133" s="138"/>
      <c r="R133" s="146"/>
      <c r="S133" s="145"/>
      <c r="V133" s="265"/>
      <c r="W133" s="265" t="str">
        <f t="shared" si="11"/>
        <v/>
      </c>
      <c r="X133" s="138" t="str">
        <f t="shared" si="12"/>
        <v/>
      </c>
    </row>
    <row r="134" spans="1:24" s="144" customFormat="1" ht="62" customHeight="1" x14ac:dyDescent="0.2">
      <c r="A134" s="19" t="e">
        <f>A132+1</f>
        <v>#REF!</v>
      </c>
      <c r="B134" s="180" t="s">
        <v>421</v>
      </c>
      <c r="C134" s="143" t="s">
        <v>421</v>
      </c>
      <c r="D134" s="161" t="s">
        <v>422</v>
      </c>
      <c r="E134" s="149">
        <f>LEN(D134)</f>
        <v>152</v>
      </c>
      <c r="F134" s="155" t="s">
        <v>108</v>
      </c>
      <c r="G134" s="149" t="s">
        <v>23</v>
      </c>
      <c r="H134" s="149" t="s">
        <v>23</v>
      </c>
      <c r="I134" s="149" t="s">
        <v>26</v>
      </c>
      <c r="J134" s="148" t="s">
        <v>423</v>
      </c>
      <c r="K134" s="215" t="s">
        <v>23</v>
      </c>
      <c r="L134" s="148" t="s">
        <v>424</v>
      </c>
      <c r="M134" s="50"/>
      <c r="N134" s="10"/>
      <c r="O134" s="261">
        <f>'Additional information'!$D$18</f>
        <v>0.91</v>
      </c>
      <c r="P134" s="138"/>
      <c r="R134" s="406" t="s">
        <v>31</v>
      </c>
      <c r="S134" s="145"/>
      <c r="V134" s="264">
        <v>16.332881927490231</v>
      </c>
      <c r="W134" s="264">
        <f t="shared" si="11"/>
        <v>14.862922554016111</v>
      </c>
      <c r="X134" s="138">
        <f t="shared" si="12"/>
        <v>14.862922554016111</v>
      </c>
    </row>
    <row r="135" spans="1:24" s="144" customFormat="1" ht="62" customHeight="1" x14ac:dyDescent="0.2">
      <c r="A135" s="19" t="e">
        <f>A134+1</f>
        <v>#REF!</v>
      </c>
      <c r="B135" s="180" t="s">
        <v>425</v>
      </c>
      <c r="C135" s="143" t="s">
        <v>425</v>
      </c>
      <c r="D135" s="160" t="s">
        <v>426</v>
      </c>
      <c r="E135" s="149">
        <f>LEN(D135)</f>
        <v>128</v>
      </c>
      <c r="F135" s="155" t="s">
        <v>108</v>
      </c>
      <c r="G135" s="149" t="s">
        <v>23</v>
      </c>
      <c r="H135" s="149" t="s">
        <v>23</v>
      </c>
      <c r="I135" s="149" t="s">
        <v>26</v>
      </c>
      <c r="J135" s="148" t="s">
        <v>427</v>
      </c>
      <c r="K135" s="215" t="s">
        <v>23</v>
      </c>
      <c r="L135" s="148" t="s">
        <v>428</v>
      </c>
      <c r="M135" s="50"/>
      <c r="N135" s="10"/>
      <c r="O135" s="261">
        <f>'Additional information'!$D$18</f>
        <v>0.91</v>
      </c>
      <c r="P135" s="138"/>
      <c r="R135" s="406" t="s">
        <v>31</v>
      </c>
      <c r="S135" s="145"/>
      <c r="V135" s="264">
        <v>7.4144525527954102</v>
      </c>
      <c r="W135" s="264">
        <f t="shared" ref="W135:W166" si="13">IF(V135="","",V135*O135)</f>
        <v>6.7471518230438239</v>
      </c>
      <c r="X135" s="138">
        <f t="shared" ref="X135:X166" si="14">IF(R135="yes",W135,"")</f>
        <v>6.7471518230438239</v>
      </c>
    </row>
    <row r="136" spans="1:24" s="144" customFormat="1" ht="400" customHeight="1" x14ac:dyDescent="0.2">
      <c r="A136" s="19">
        <v>44</v>
      </c>
      <c r="B136" s="180" t="s">
        <v>429</v>
      </c>
      <c r="C136" s="143" t="s">
        <v>430</v>
      </c>
      <c r="D136" s="380" t="s">
        <v>431</v>
      </c>
      <c r="E136" s="149">
        <f>LEN(D136)</f>
        <v>787</v>
      </c>
      <c r="F136" s="143" t="s">
        <v>340</v>
      </c>
      <c r="G136" s="149" t="s">
        <v>23</v>
      </c>
      <c r="H136" s="149" t="s">
        <v>23</v>
      </c>
      <c r="I136" s="149" t="s">
        <v>432</v>
      </c>
      <c r="J136" s="148" t="s">
        <v>433</v>
      </c>
      <c r="K136" s="215" t="s">
        <v>434</v>
      </c>
      <c r="L136" s="147" t="s">
        <v>435</v>
      </c>
      <c r="M136" s="15"/>
      <c r="N136" s="10"/>
      <c r="O136" s="261">
        <f>'Additional information'!$D$18</f>
        <v>0.91</v>
      </c>
      <c r="P136" s="138"/>
      <c r="R136" s="406" t="s">
        <v>31</v>
      </c>
      <c r="S136" s="145"/>
      <c r="V136" s="264">
        <v>17.791135787963871</v>
      </c>
      <c r="W136" s="264">
        <f t="shared" si="13"/>
        <v>16.189933567047124</v>
      </c>
      <c r="X136" s="138">
        <f t="shared" si="14"/>
        <v>16.189933567047124</v>
      </c>
    </row>
    <row r="137" spans="1:24" s="144" customFormat="1" ht="238" customHeight="1" x14ac:dyDescent="0.2">
      <c r="A137" s="19">
        <v>45</v>
      </c>
      <c r="B137" s="178" t="s">
        <v>436</v>
      </c>
      <c r="C137" s="63" t="s">
        <v>437</v>
      </c>
      <c r="D137" s="43" t="s">
        <v>438</v>
      </c>
      <c r="E137" s="21">
        <f>LEN(D137)</f>
        <v>285</v>
      </c>
      <c r="F137" s="63" t="s">
        <v>340</v>
      </c>
      <c r="G137" s="21" t="s">
        <v>23</v>
      </c>
      <c r="H137" s="21" t="s">
        <v>23</v>
      </c>
      <c r="I137" s="21" t="s">
        <v>439</v>
      </c>
      <c r="J137" s="48" t="s">
        <v>440</v>
      </c>
      <c r="K137" s="44" t="s">
        <v>441</v>
      </c>
      <c r="L137" s="460" t="s">
        <v>442</v>
      </c>
      <c r="M137" s="186"/>
      <c r="N137" s="10"/>
      <c r="O137" s="266">
        <f>'Additional information'!$D$18</f>
        <v>0.91</v>
      </c>
      <c r="P137" s="138"/>
      <c r="R137" s="146" t="s">
        <v>22</v>
      </c>
      <c r="S137" s="145"/>
      <c r="V137" s="265">
        <v>18.08681678771973</v>
      </c>
      <c r="W137" s="265">
        <f t="shared" si="13"/>
        <v>16.459003276824955</v>
      </c>
      <c r="X137" s="138" t="str">
        <f t="shared" si="14"/>
        <v/>
      </c>
    </row>
    <row r="138" spans="1:24" s="144" customFormat="1" x14ac:dyDescent="0.2">
      <c r="A138" s="19"/>
      <c r="B138" s="178"/>
      <c r="C138" s="63"/>
      <c r="D138" s="43"/>
      <c r="E138" s="21"/>
      <c r="F138" s="64"/>
      <c r="G138" s="21"/>
      <c r="H138" s="21"/>
      <c r="I138" s="21"/>
      <c r="J138" s="48"/>
      <c r="K138" s="48"/>
      <c r="L138" s="48"/>
      <c r="M138" s="50"/>
      <c r="N138" s="10"/>
      <c r="O138" s="266">
        <f>'Additional information'!$D$18</f>
        <v>0.91</v>
      </c>
      <c r="P138" s="138"/>
      <c r="R138" s="146"/>
      <c r="S138" s="145"/>
      <c r="V138" s="265"/>
      <c r="W138" s="265" t="str">
        <f t="shared" si="13"/>
        <v/>
      </c>
      <c r="X138" s="138" t="str">
        <f t="shared" si="14"/>
        <v/>
      </c>
    </row>
    <row r="139" spans="1:24" s="144" customFormat="1" ht="139.5" customHeight="1" x14ac:dyDescent="0.2">
      <c r="A139" s="19">
        <f>A137+1</f>
        <v>46</v>
      </c>
      <c r="B139" s="180" t="s">
        <v>443</v>
      </c>
      <c r="C139" s="143" t="s">
        <v>443</v>
      </c>
      <c r="D139" s="161" t="s">
        <v>444</v>
      </c>
      <c r="E139" s="149">
        <f>LEN(D139)</f>
        <v>167</v>
      </c>
      <c r="F139" s="155" t="s">
        <v>34</v>
      </c>
      <c r="G139" s="149" t="s">
        <v>23</v>
      </c>
      <c r="H139" s="149" t="s">
        <v>23</v>
      </c>
      <c r="I139" s="149" t="s">
        <v>35</v>
      </c>
      <c r="J139" s="148" t="s">
        <v>445</v>
      </c>
      <c r="K139" s="215" t="s">
        <v>23</v>
      </c>
      <c r="L139" s="148" t="s">
        <v>446</v>
      </c>
      <c r="M139" s="18"/>
      <c r="N139" s="10"/>
      <c r="O139" s="261">
        <f>'Additional information'!$D$18</f>
        <v>0.91</v>
      </c>
      <c r="P139" s="138"/>
      <c r="R139" s="406" t="s">
        <v>31</v>
      </c>
      <c r="S139" s="145"/>
      <c r="V139" s="264">
        <v>10.37455940246582</v>
      </c>
      <c r="W139" s="264">
        <f t="shared" si="13"/>
        <v>9.4408490562438967</v>
      </c>
      <c r="X139" s="138">
        <f t="shared" si="14"/>
        <v>9.4408490562438967</v>
      </c>
    </row>
    <row r="140" spans="1:24" s="144" customFormat="1" ht="325.5" customHeight="1" x14ac:dyDescent="0.2">
      <c r="A140" s="75">
        <f>A139+1</f>
        <v>47</v>
      </c>
      <c r="B140" s="231" t="s">
        <v>447</v>
      </c>
      <c r="C140" s="134" t="s">
        <v>448</v>
      </c>
      <c r="D140" s="161" t="s">
        <v>449</v>
      </c>
      <c r="E140" s="149">
        <f>LEN(D140)</f>
        <v>662</v>
      </c>
      <c r="F140" s="143" t="s">
        <v>340</v>
      </c>
      <c r="G140" s="149" t="s">
        <v>23</v>
      </c>
      <c r="H140" s="149" t="s">
        <v>23</v>
      </c>
      <c r="I140" s="149" t="s">
        <v>450</v>
      </c>
      <c r="J140" s="382" t="s">
        <v>451</v>
      </c>
      <c r="K140" s="215" t="s">
        <v>452</v>
      </c>
      <c r="L140" s="161" t="s">
        <v>453</v>
      </c>
      <c r="M140" s="28"/>
      <c r="N140" s="10"/>
      <c r="O140" s="261">
        <f>'Additional information'!$D$18</f>
        <v>0.91</v>
      </c>
      <c r="P140" s="138"/>
      <c r="R140" s="406" t="s">
        <v>31</v>
      </c>
      <c r="S140" s="145"/>
      <c r="V140" s="264">
        <v>19.616762161254879</v>
      </c>
      <c r="W140" s="264">
        <f t="shared" si="13"/>
        <v>17.851253566741942</v>
      </c>
      <c r="X140" s="138">
        <f t="shared" si="14"/>
        <v>17.851253566741942</v>
      </c>
    </row>
    <row r="141" spans="1:24" s="144" customFormat="1" ht="217" customHeight="1" x14ac:dyDescent="0.2">
      <c r="A141" s="19"/>
      <c r="B141" s="253" t="s">
        <v>454</v>
      </c>
      <c r="C141" s="177" t="s">
        <v>455</v>
      </c>
      <c r="D141" s="445" t="s">
        <v>456</v>
      </c>
      <c r="E141" s="448">
        <f>LEN(D141)</f>
        <v>241</v>
      </c>
      <c r="F141" s="77" t="s">
        <v>199</v>
      </c>
      <c r="G141" s="448" t="s">
        <v>23</v>
      </c>
      <c r="H141" s="448" t="s">
        <v>457</v>
      </c>
      <c r="I141" s="448" t="s">
        <v>458</v>
      </c>
      <c r="J141" s="51" t="s">
        <v>459</v>
      </c>
      <c r="K141" s="44" t="s">
        <v>460</v>
      </c>
      <c r="L141" s="479" t="s">
        <v>461</v>
      </c>
      <c r="M141" s="479"/>
      <c r="N141" s="125"/>
      <c r="O141" s="266">
        <f>'Additional information'!$D$18</f>
        <v>0.91</v>
      </c>
      <c r="P141" s="138"/>
      <c r="R141" s="146" t="s">
        <v>22</v>
      </c>
      <c r="S141" s="145"/>
      <c r="V141" s="265">
        <v>7.2497549057006836</v>
      </c>
      <c r="W141" s="265">
        <f t="shared" si="13"/>
        <v>6.5972769641876221</v>
      </c>
      <c r="X141" s="138" t="str">
        <f t="shared" si="14"/>
        <v/>
      </c>
    </row>
    <row r="142" spans="1:24" s="144" customFormat="1" ht="16" customHeight="1" thickBot="1" x14ac:dyDescent="0.25">
      <c r="A142" s="19"/>
      <c r="B142" s="178"/>
      <c r="C142" s="63"/>
      <c r="D142" s="43"/>
      <c r="E142" s="21"/>
      <c r="F142" s="64"/>
      <c r="G142" s="21"/>
      <c r="H142" s="21"/>
      <c r="I142" s="21"/>
      <c r="J142" s="48"/>
      <c r="K142" s="48"/>
      <c r="L142" s="48"/>
      <c r="M142" s="50"/>
      <c r="N142" s="25"/>
      <c r="O142" s="266">
        <f>'Additional information'!$D$18</f>
        <v>0.91</v>
      </c>
      <c r="P142" s="138"/>
      <c r="R142" s="146"/>
      <c r="S142" s="145"/>
      <c r="V142" s="265"/>
      <c r="W142" s="265" t="str">
        <f t="shared" si="13"/>
        <v/>
      </c>
      <c r="X142" s="138" t="str">
        <f t="shared" si="14"/>
        <v/>
      </c>
    </row>
    <row r="143" spans="1:24" s="399" customFormat="1" ht="16" customHeight="1" thickBot="1" x14ac:dyDescent="0.25">
      <c r="A143" s="502" t="s">
        <v>462</v>
      </c>
      <c r="B143" s="503"/>
      <c r="C143" s="503"/>
      <c r="D143" s="503"/>
      <c r="E143" s="503"/>
      <c r="F143" s="503"/>
      <c r="G143" s="503"/>
      <c r="H143" s="503"/>
      <c r="I143" s="503"/>
      <c r="J143" s="503"/>
      <c r="K143" s="503"/>
      <c r="L143" s="503"/>
      <c r="M143" s="503"/>
      <c r="N143" s="504"/>
      <c r="O143" s="261"/>
      <c r="P143" s="408"/>
      <c r="R143" s="406"/>
      <c r="S143" s="409"/>
      <c r="V143" s="264"/>
      <c r="W143" s="264" t="str">
        <f t="shared" si="13"/>
        <v/>
      </c>
      <c r="X143" s="408" t="str">
        <f t="shared" si="14"/>
        <v/>
      </c>
    </row>
    <row r="144" spans="1:24" s="144" customFormat="1" ht="279" customHeight="1" x14ac:dyDescent="0.2">
      <c r="A144" s="62">
        <f>A140+1</f>
        <v>48</v>
      </c>
      <c r="B144" s="230" t="s">
        <v>463</v>
      </c>
      <c r="C144" s="143" t="s">
        <v>463</v>
      </c>
      <c r="D144" s="164" t="s">
        <v>464</v>
      </c>
      <c r="E144" s="141">
        <f>LEN(D144)</f>
        <v>503</v>
      </c>
      <c r="F144" s="151" t="s">
        <v>34</v>
      </c>
      <c r="G144" s="141" t="s">
        <v>23</v>
      </c>
      <c r="H144" s="141" t="s">
        <v>465</v>
      </c>
      <c r="I144" s="143" t="s">
        <v>466</v>
      </c>
      <c r="J144" s="140" t="s">
        <v>467</v>
      </c>
      <c r="K144" s="215" t="s">
        <v>23</v>
      </c>
      <c r="L144" s="140" t="s">
        <v>468</v>
      </c>
      <c r="M144" s="50"/>
      <c r="N144" s="9"/>
      <c r="O144" s="261">
        <f>'Additional information'!$D$18</f>
        <v>0.91</v>
      </c>
      <c r="P144" s="138"/>
      <c r="R144" s="406" t="s">
        <v>31</v>
      </c>
      <c r="S144" s="145"/>
      <c r="V144" s="264">
        <v>12.992362976074221</v>
      </c>
      <c r="W144" s="264">
        <f t="shared" si="13"/>
        <v>11.823050308227542</v>
      </c>
      <c r="X144" s="138">
        <f t="shared" si="14"/>
        <v>11.823050308227542</v>
      </c>
    </row>
    <row r="145" spans="1:24" s="144" customFormat="1" x14ac:dyDescent="0.2">
      <c r="A145" s="62"/>
      <c r="B145" s="252"/>
      <c r="C145" s="63"/>
      <c r="D145" s="71"/>
      <c r="E145" s="69"/>
      <c r="F145" s="72"/>
      <c r="G145" s="69"/>
      <c r="H145" s="69"/>
      <c r="I145" s="63"/>
      <c r="J145" s="50"/>
      <c r="K145" s="48"/>
      <c r="L145" s="50"/>
      <c r="M145" s="50"/>
      <c r="N145" s="25"/>
      <c r="O145" s="266">
        <f>'Additional information'!$D$18</f>
        <v>0.91</v>
      </c>
      <c r="P145" s="138"/>
      <c r="R145" s="146"/>
      <c r="S145" s="145"/>
      <c r="V145" s="265"/>
      <c r="W145" s="265" t="str">
        <f t="shared" si="13"/>
        <v/>
      </c>
      <c r="X145" s="138" t="str">
        <f t="shared" si="14"/>
        <v/>
      </c>
    </row>
    <row r="146" spans="1:24" s="144" customFormat="1" ht="139.5" customHeight="1" x14ac:dyDescent="0.2">
      <c r="A146" s="19">
        <f>A144+1</f>
        <v>49</v>
      </c>
      <c r="B146" s="162" t="s">
        <v>469</v>
      </c>
      <c r="C146" s="143" t="s">
        <v>469</v>
      </c>
      <c r="D146" s="161" t="s">
        <v>470</v>
      </c>
      <c r="E146" s="149">
        <f>LEN(D146)</f>
        <v>166</v>
      </c>
      <c r="F146" s="155" t="s">
        <v>34</v>
      </c>
      <c r="G146" s="149" t="s">
        <v>23</v>
      </c>
      <c r="H146" s="149" t="s">
        <v>23</v>
      </c>
      <c r="I146" s="149" t="s">
        <v>35</v>
      </c>
      <c r="J146" s="148" t="s">
        <v>471</v>
      </c>
      <c r="K146" s="215" t="s">
        <v>23</v>
      </c>
      <c r="L146" s="148" t="s">
        <v>472</v>
      </c>
      <c r="M146" s="48"/>
      <c r="N146" s="10"/>
      <c r="O146" s="261">
        <f>'Additional information'!$D$18</f>
        <v>0.91</v>
      </c>
      <c r="P146" s="138"/>
      <c r="R146" s="406" t="s">
        <v>31</v>
      </c>
      <c r="S146" s="145"/>
      <c r="V146" s="264">
        <v>8.6295709609985352</v>
      </c>
      <c r="W146" s="264">
        <f t="shared" si="13"/>
        <v>7.8529095745086677</v>
      </c>
      <c r="X146" s="138">
        <f t="shared" si="14"/>
        <v>7.8529095745086677</v>
      </c>
    </row>
    <row r="147" spans="1:24" s="144" customFormat="1" ht="294.5" customHeight="1" x14ac:dyDescent="0.2">
      <c r="A147" s="19">
        <f>A146+1</f>
        <v>50</v>
      </c>
      <c r="B147" s="180" t="s">
        <v>473</v>
      </c>
      <c r="C147" s="143" t="s">
        <v>474</v>
      </c>
      <c r="D147" s="380" t="s">
        <v>475</v>
      </c>
      <c r="E147" s="149">
        <f>LEN(D147)</f>
        <v>751</v>
      </c>
      <c r="F147" s="143" t="s">
        <v>340</v>
      </c>
      <c r="G147" s="149" t="s">
        <v>23</v>
      </c>
      <c r="H147" s="149" t="s">
        <v>23</v>
      </c>
      <c r="I147" s="149" t="s">
        <v>476</v>
      </c>
      <c r="J147" s="148" t="s">
        <v>477</v>
      </c>
      <c r="K147" s="215" t="s">
        <v>478</v>
      </c>
      <c r="L147" s="148" t="s">
        <v>479</v>
      </c>
      <c r="M147" s="48"/>
      <c r="N147" s="10"/>
      <c r="O147" s="261">
        <f>'Additional information'!$D$18</f>
        <v>0.91</v>
      </c>
      <c r="P147" s="138"/>
      <c r="R147" s="406" t="s">
        <v>31</v>
      </c>
      <c r="S147" s="145"/>
      <c r="V147" s="264">
        <v>18.256172180175781</v>
      </c>
      <c r="W147" s="264">
        <f t="shared" si="13"/>
        <v>16.613116683959962</v>
      </c>
      <c r="X147" s="138">
        <f t="shared" si="14"/>
        <v>16.613116683959962</v>
      </c>
    </row>
    <row r="148" spans="1:24" s="144" customFormat="1" x14ac:dyDescent="0.2">
      <c r="A148" s="19"/>
      <c r="B148" s="178"/>
      <c r="C148" s="63"/>
      <c r="D148" s="126"/>
      <c r="E148" s="21"/>
      <c r="F148" s="22"/>
      <c r="G148" s="21"/>
      <c r="H148" s="21"/>
      <c r="I148" s="21"/>
      <c r="J148" s="48"/>
      <c r="K148" s="48"/>
      <c r="L148" s="48"/>
      <c r="M148" s="48"/>
      <c r="N148" s="10"/>
      <c r="O148" s="266">
        <f>'Additional information'!$D$18</f>
        <v>0.91</v>
      </c>
      <c r="P148" s="138"/>
      <c r="R148" s="146"/>
      <c r="S148" s="145"/>
      <c r="V148" s="265"/>
      <c r="W148" s="265" t="str">
        <f t="shared" si="13"/>
        <v/>
      </c>
      <c r="X148" s="138" t="str">
        <f t="shared" si="14"/>
        <v/>
      </c>
    </row>
    <row r="149" spans="1:24" s="144" customFormat="1" ht="186" customHeight="1" x14ac:dyDescent="0.2">
      <c r="A149" s="19">
        <f>A147+1</f>
        <v>51</v>
      </c>
      <c r="B149" s="180" t="s">
        <v>480</v>
      </c>
      <c r="C149" s="143" t="s">
        <v>480</v>
      </c>
      <c r="D149" s="161" t="s">
        <v>481</v>
      </c>
      <c r="E149" s="149">
        <f>LEN(D149)</f>
        <v>338</v>
      </c>
      <c r="F149" s="155" t="s">
        <v>34</v>
      </c>
      <c r="G149" s="149" t="s">
        <v>23</v>
      </c>
      <c r="H149" s="149" t="s">
        <v>23</v>
      </c>
      <c r="I149" s="149" t="s">
        <v>35</v>
      </c>
      <c r="J149" s="170" t="s">
        <v>482</v>
      </c>
      <c r="K149" s="215" t="s">
        <v>23</v>
      </c>
      <c r="L149" s="170" t="s">
        <v>483</v>
      </c>
      <c r="M149" s="27"/>
      <c r="N149" s="10"/>
      <c r="O149" s="261">
        <f>'Additional information'!$D$18</f>
        <v>0.91</v>
      </c>
      <c r="P149" s="138"/>
      <c r="R149" s="406" t="s">
        <v>31</v>
      </c>
      <c r="S149" s="145"/>
      <c r="V149" s="264">
        <v>15.45627975463867</v>
      </c>
      <c r="W149" s="264">
        <f t="shared" si="13"/>
        <v>14.065214576721191</v>
      </c>
      <c r="X149" s="138">
        <f t="shared" si="14"/>
        <v>14.065214576721191</v>
      </c>
    </row>
    <row r="150" spans="1:24" s="144" customFormat="1" ht="16" customHeight="1" thickBot="1" x14ac:dyDescent="0.25">
      <c r="A150" s="19"/>
      <c r="B150" s="178"/>
      <c r="C150" s="63"/>
      <c r="D150" s="43"/>
      <c r="E150" s="21"/>
      <c r="F150" s="64"/>
      <c r="G150" s="21"/>
      <c r="H150" s="21"/>
      <c r="I150" s="21"/>
      <c r="J150" s="27"/>
      <c r="K150" s="48"/>
      <c r="L150" s="27"/>
      <c r="M150" s="27"/>
      <c r="N150" s="10"/>
      <c r="O150" s="266">
        <f>'Additional information'!$D$18</f>
        <v>0.91</v>
      </c>
      <c r="P150" s="138"/>
      <c r="R150" s="146"/>
      <c r="S150" s="145"/>
      <c r="V150" s="265"/>
      <c r="W150" s="265" t="str">
        <f t="shared" si="13"/>
        <v/>
      </c>
      <c r="X150" s="138" t="str">
        <f t="shared" si="14"/>
        <v/>
      </c>
    </row>
    <row r="151" spans="1:24" s="399" customFormat="1" ht="16" customHeight="1" thickBot="1" x14ac:dyDescent="0.25">
      <c r="A151" s="502" t="s">
        <v>484</v>
      </c>
      <c r="B151" s="503"/>
      <c r="C151" s="503"/>
      <c r="D151" s="503"/>
      <c r="E151" s="503"/>
      <c r="F151" s="503"/>
      <c r="G151" s="503"/>
      <c r="H151" s="503"/>
      <c r="I151" s="503"/>
      <c r="J151" s="503"/>
      <c r="K151" s="503"/>
      <c r="L151" s="503"/>
      <c r="M151" s="503"/>
      <c r="N151" s="504"/>
      <c r="O151" s="261"/>
      <c r="P151" s="408"/>
      <c r="R151" s="406"/>
      <c r="S151" s="409"/>
      <c r="V151" s="264"/>
      <c r="W151" s="264" t="str">
        <f t="shared" si="13"/>
        <v/>
      </c>
      <c r="X151" s="408" t="str">
        <f t="shared" si="14"/>
        <v/>
      </c>
    </row>
    <row r="152" spans="1:24" s="144" customFormat="1" ht="120" customHeight="1" x14ac:dyDescent="0.2">
      <c r="A152" s="62">
        <f>A149+1</f>
        <v>52</v>
      </c>
      <c r="B152" s="230" t="s">
        <v>485</v>
      </c>
      <c r="C152" s="143" t="s">
        <v>485</v>
      </c>
      <c r="D152" s="384" t="s">
        <v>486</v>
      </c>
      <c r="E152" s="141">
        <f>LEN(D152)</f>
        <v>206</v>
      </c>
      <c r="F152" s="141" t="s">
        <v>34</v>
      </c>
      <c r="G152" s="141" t="s">
        <v>23</v>
      </c>
      <c r="H152" s="141" t="s">
        <v>487</v>
      </c>
      <c r="I152" s="149" t="s">
        <v>35</v>
      </c>
      <c r="J152" s="140" t="s">
        <v>488</v>
      </c>
      <c r="K152" s="215" t="s">
        <v>23</v>
      </c>
      <c r="L152" s="147" t="s">
        <v>489</v>
      </c>
      <c r="M152" s="169"/>
      <c r="N152" s="9"/>
      <c r="O152" s="261">
        <f>'Additional information'!$D$19</f>
        <v>0.05</v>
      </c>
      <c r="P152" s="138"/>
      <c r="R152" s="406" t="s">
        <v>31</v>
      </c>
      <c r="S152" s="145"/>
      <c r="V152" s="264">
        <v>2.4801323413848881</v>
      </c>
      <c r="W152" s="264">
        <f t="shared" si="13"/>
        <v>0.12400661706924442</v>
      </c>
      <c r="X152" s="138">
        <f t="shared" si="14"/>
        <v>0.12400661706924442</v>
      </c>
    </row>
    <row r="153" spans="1:24" s="144" customFormat="1" x14ac:dyDescent="0.2">
      <c r="A153" s="19"/>
      <c r="B153" s="178"/>
      <c r="C153" s="63"/>
      <c r="D153" s="43"/>
      <c r="E153" s="21"/>
      <c r="F153" s="64"/>
      <c r="G153" s="21"/>
      <c r="H153" s="21"/>
      <c r="I153" s="21"/>
      <c r="J153" s="27"/>
      <c r="K153" s="55"/>
      <c r="L153" s="27"/>
      <c r="M153" s="27"/>
      <c r="N153" s="10"/>
      <c r="O153" s="266">
        <f>'Additional information'!$D$19</f>
        <v>0.05</v>
      </c>
      <c r="P153" s="138"/>
      <c r="R153" s="146"/>
      <c r="S153" s="145"/>
      <c r="V153" s="265"/>
      <c r="W153" s="265" t="str">
        <f t="shared" si="13"/>
        <v/>
      </c>
      <c r="X153" s="138" t="str">
        <f t="shared" si="14"/>
        <v/>
      </c>
    </row>
    <row r="154" spans="1:24" s="144" customFormat="1" ht="155" customHeight="1" x14ac:dyDescent="0.2">
      <c r="A154" s="62">
        <f>A152+1</f>
        <v>53</v>
      </c>
      <c r="B154" s="230" t="s">
        <v>490</v>
      </c>
      <c r="C154" s="385" t="s">
        <v>491</v>
      </c>
      <c r="D154" s="380" t="s">
        <v>492</v>
      </c>
      <c r="E154" s="141">
        <f>LEN(D154)</f>
        <v>282</v>
      </c>
      <c r="F154" s="143" t="s">
        <v>199</v>
      </c>
      <c r="G154" s="141" t="s">
        <v>23</v>
      </c>
      <c r="H154" s="141" t="s">
        <v>23</v>
      </c>
      <c r="I154" s="141" t="s">
        <v>493</v>
      </c>
      <c r="J154" s="140" t="s">
        <v>494</v>
      </c>
      <c r="K154" s="215" t="s">
        <v>495</v>
      </c>
      <c r="L154" s="140" t="s">
        <v>496</v>
      </c>
      <c r="M154" s="50"/>
      <c r="N154" s="25"/>
      <c r="O154" s="261">
        <f>'Additional information'!$D$19</f>
        <v>0.05</v>
      </c>
      <c r="P154" s="138"/>
      <c r="R154" s="406" t="s">
        <v>31</v>
      </c>
      <c r="S154" s="145"/>
      <c r="V154" s="264">
        <v>12.71689510345459</v>
      </c>
      <c r="W154" s="264">
        <f t="shared" si="13"/>
        <v>0.63584475517272954</v>
      </c>
      <c r="X154" s="138">
        <f t="shared" si="14"/>
        <v>0.63584475517272954</v>
      </c>
    </row>
    <row r="155" spans="1:24" s="144" customFormat="1" x14ac:dyDescent="0.2">
      <c r="A155" s="62"/>
      <c r="B155" s="252"/>
      <c r="C155" s="63"/>
      <c r="D155" s="428"/>
      <c r="E155" s="69"/>
      <c r="F155" s="63"/>
      <c r="G155" s="69"/>
      <c r="H155" s="69"/>
      <c r="I155" s="69"/>
      <c r="J155" s="50"/>
      <c r="K155" s="55"/>
      <c r="L155" s="50"/>
      <c r="M155" s="50"/>
      <c r="N155" s="25"/>
      <c r="O155" s="266">
        <f>'Additional information'!$D$19</f>
        <v>0.05</v>
      </c>
      <c r="P155" s="138"/>
      <c r="R155" s="146"/>
      <c r="S155" s="145"/>
      <c r="V155" s="265"/>
      <c r="W155" s="265" t="str">
        <f t="shared" si="13"/>
        <v/>
      </c>
      <c r="X155" s="138" t="str">
        <f t="shared" si="14"/>
        <v/>
      </c>
    </row>
    <row r="156" spans="1:24" ht="186" customHeight="1" x14ac:dyDescent="0.2">
      <c r="A156" s="62">
        <f>A154+1</f>
        <v>54</v>
      </c>
      <c r="B156" s="386" t="s">
        <v>497</v>
      </c>
      <c r="C156" s="387" t="s">
        <v>497</v>
      </c>
      <c r="D156" s="380" t="s">
        <v>498</v>
      </c>
      <c r="E156" s="141">
        <f>LEN(D156)</f>
        <v>302</v>
      </c>
      <c r="F156" s="387" t="s">
        <v>34</v>
      </c>
      <c r="G156" s="387" t="s">
        <v>23</v>
      </c>
      <c r="H156" s="387" t="s">
        <v>23</v>
      </c>
      <c r="I156" s="387" t="s">
        <v>35</v>
      </c>
      <c r="J156" s="388" t="s">
        <v>499</v>
      </c>
      <c r="K156" s="215" t="s">
        <v>23</v>
      </c>
      <c r="L156" s="388" t="s">
        <v>500</v>
      </c>
      <c r="M156" s="55"/>
      <c r="N156" s="10"/>
      <c r="O156" s="261">
        <f>'Additional information'!$D$19</f>
        <v>0.05</v>
      </c>
      <c r="P156" s="138"/>
      <c r="R156" s="406" t="s">
        <v>31</v>
      </c>
      <c r="V156" s="264">
        <v>10.51750373840332</v>
      </c>
      <c r="W156" s="264">
        <f t="shared" si="13"/>
        <v>0.52587518692016599</v>
      </c>
      <c r="X156" s="138">
        <f t="shared" si="14"/>
        <v>0.52587518692016599</v>
      </c>
    </row>
    <row r="157" spans="1:24" x14ac:dyDescent="0.2">
      <c r="A157" s="62"/>
      <c r="B157" s="168"/>
      <c r="C157" s="166"/>
      <c r="D157" s="167"/>
      <c r="E157" s="69"/>
      <c r="F157" s="166"/>
      <c r="G157" s="166"/>
      <c r="H157" s="166"/>
      <c r="I157" s="166"/>
      <c r="J157" s="55"/>
      <c r="K157" s="55"/>
      <c r="L157" s="165"/>
      <c r="M157" s="55"/>
      <c r="N157" s="10"/>
      <c r="O157" s="266">
        <f>'Additional information'!$D$19</f>
        <v>0.05</v>
      </c>
      <c r="P157" s="138"/>
      <c r="R157" s="146"/>
      <c r="V157" s="265"/>
      <c r="W157" s="265" t="str">
        <f t="shared" si="13"/>
        <v/>
      </c>
      <c r="X157" s="138" t="str">
        <f t="shared" si="14"/>
        <v/>
      </c>
    </row>
    <row r="158" spans="1:24" s="144" customFormat="1" ht="139.5" customHeight="1" x14ac:dyDescent="0.2">
      <c r="A158" s="62">
        <f>A156+1</f>
        <v>55</v>
      </c>
      <c r="B158" s="230" t="s">
        <v>501</v>
      </c>
      <c r="C158" s="143" t="s">
        <v>501</v>
      </c>
      <c r="D158" s="380" t="s">
        <v>502</v>
      </c>
      <c r="E158" s="141">
        <f>LEN(D158)</f>
        <v>169</v>
      </c>
      <c r="F158" s="151" t="s">
        <v>34</v>
      </c>
      <c r="G158" s="141" t="s">
        <v>23</v>
      </c>
      <c r="H158" s="141" t="s">
        <v>23</v>
      </c>
      <c r="I158" s="141" t="s">
        <v>35</v>
      </c>
      <c r="J158" s="140" t="s">
        <v>503</v>
      </c>
      <c r="K158" s="215" t="s">
        <v>23</v>
      </c>
      <c r="L158" s="148" t="s">
        <v>504</v>
      </c>
      <c r="M158" s="18"/>
      <c r="N158" s="10"/>
      <c r="O158" s="261">
        <f>'Additional information'!$D$19</f>
        <v>0.05</v>
      </c>
      <c r="P158" s="138"/>
      <c r="R158" s="406" t="s">
        <v>31</v>
      </c>
      <c r="S158" s="145"/>
      <c r="V158" s="264">
        <v>6.4824962615966797</v>
      </c>
      <c r="W158" s="264">
        <f t="shared" si="13"/>
        <v>0.32412481307983398</v>
      </c>
      <c r="X158" s="138">
        <f t="shared" si="14"/>
        <v>0.32412481307983398</v>
      </c>
    </row>
    <row r="159" spans="1:24" s="144" customFormat="1" ht="294.5" customHeight="1" x14ac:dyDescent="0.2">
      <c r="A159" s="19">
        <f>A158+1</f>
        <v>56</v>
      </c>
      <c r="B159" s="230" t="s">
        <v>505</v>
      </c>
      <c r="C159" s="143" t="s">
        <v>506</v>
      </c>
      <c r="D159" s="380" t="s">
        <v>507</v>
      </c>
      <c r="E159" s="149">
        <f>LEN(D159)</f>
        <v>762</v>
      </c>
      <c r="F159" s="143" t="s">
        <v>340</v>
      </c>
      <c r="G159" s="149" t="s">
        <v>23</v>
      </c>
      <c r="H159" s="149" t="s">
        <v>23</v>
      </c>
      <c r="I159" s="149" t="s">
        <v>476</v>
      </c>
      <c r="J159" s="389" t="s">
        <v>508</v>
      </c>
      <c r="K159" s="215" t="s">
        <v>509</v>
      </c>
      <c r="L159" s="148" t="s">
        <v>510</v>
      </c>
      <c r="M159" s="28"/>
      <c r="N159" s="10"/>
      <c r="O159" s="261">
        <f>'Additional information'!$D$19</f>
        <v>0.05</v>
      </c>
      <c r="P159" s="138"/>
      <c r="R159" s="406" t="s">
        <v>31</v>
      </c>
      <c r="S159" s="145"/>
      <c r="V159" s="264">
        <v>23.642156600952148</v>
      </c>
      <c r="W159" s="264">
        <f t="shared" si="13"/>
        <v>1.1821078300476076</v>
      </c>
      <c r="X159" s="138">
        <f t="shared" si="14"/>
        <v>1.1821078300476076</v>
      </c>
    </row>
    <row r="160" spans="1:24" s="144" customFormat="1" ht="232.5" customHeight="1" x14ac:dyDescent="0.2">
      <c r="A160" s="19">
        <f>A159+1</f>
        <v>57</v>
      </c>
      <c r="B160" s="178" t="s">
        <v>511</v>
      </c>
      <c r="C160" s="22" t="s">
        <v>512</v>
      </c>
      <c r="D160" s="480" t="s">
        <v>513</v>
      </c>
      <c r="E160" s="21">
        <f>LEN(D160)</f>
        <v>334</v>
      </c>
      <c r="F160" s="22" t="s">
        <v>514</v>
      </c>
      <c r="G160" s="21" t="s">
        <v>23</v>
      </c>
      <c r="H160" s="21" t="s">
        <v>515</v>
      </c>
      <c r="I160" s="21" t="s">
        <v>516</v>
      </c>
      <c r="J160" s="48" t="s">
        <v>517</v>
      </c>
      <c r="K160" s="44" t="s">
        <v>518</v>
      </c>
      <c r="L160" s="48" t="s">
        <v>519</v>
      </c>
      <c r="M160" s="48"/>
      <c r="N160" s="481"/>
      <c r="O160" s="266">
        <f>'Additional information'!$D$19</f>
        <v>0.05</v>
      </c>
      <c r="P160" s="138"/>
      <c r="R160" s="146" t="s">
        <v>22</v>
      </c>
      <c r="S160" s="145"/>
      <c r="V160" s="265">
        <v>19.20000076293945</v>
      </c>
      <c r="W160" s="265">
        <f t="shared" si="13"/>
        <v>0.96000003814697255</v>
      </c>
      <c r="X160" s="138" t="str">
        <f t="shared" si="14"/>
        <v/>
      </c>
    </row>
    <row r="161" spans="1:24" s="144" customFormat="1" ht="16" customHeight="1" thickBot="1" x14ac:dyDescent="0.25">
      <c r="A161" s="62"/>
      <c r="B161" s="252"/>
      <c r="C161" s="63"/>
      <c r="D161" s="167"/>
      <c r="E161" s="69"/>
      <c r="F161" s="72"/>
      <c r="G161" s="69"/>
      <c r="H161" s="69"/>
      <c r="I161" s="69"/>
      <c r="J161" s="50"/>
      <c r="K161" s="55"/>
      <c r="L161" s="50"/>
      <c r="M161" s="50"/>
      <c r="N161" s="25"/>
      <c r="O161" s="266">
        <f>'Additional information'!$D$19</f>
        <v>0.05</v>
      </c>
      <c r="P161" s="138"/>
      <c r="R161" s="146"/>
      <c r="S161" s="145"/>
      <c r="V161" s="265"/>
      <c r="W161" s="265" t="str">
        <f t="shared" si="13"/>
        <v/>
      </c>
      <c r="X161" s="138" t="str">
        <f t="shared" si="14"/>
        <v/>
      </c>
    </row>
    <row r="162" spans="1:24" s="399" customFormat="1" ht="16" customHeight="1" thickBot="1" x14ac:dyDescent="0.25">
      <c r="A162" s="502" t="s">
        <v>520</v>
      </c>
      <c r="B162" s="503"/>
      <c r="C162" s="503"/>
      <c r="D162" s="503"/>
      <c r="E162" s="503"/>
      <c r="F162" s="503"/>
      <c r="G162" s="503"/>
      <c r="H162" s="503"/>
      <c r="I162" s="503"/>
      <c r="J162" s="503"/>
      <c r="K162" s="503"/>
      <c r="L162" s="503"/>
      <c r="M162" s="503"/>
      <c r="N162" s="504"/>
      <c r="O162" s="261"/>
      <c r="P162" s="408"/>
      <c r="R162" s="406"/>
      <c r="S162" s="409"/>
      <c r="V162" s="264"/>
      <c r="W162" s="264" t="str">
        <f t="shared" si="13"/>
        <v/>
      </c>
      <c r="X162" s="408" t="str">
        <f t="shared" si="14"/>
        <v/>
      </c>
    </row>
    <row r="163" spans="1:24" s="144" customFormat="1" ht="201.5" customHeight="1" x14ac:dyDescent="0.2">
      <c r="A163" s="62">
        <f>A160+1</f>
        <v>58</v>
      </c>
      <c r="B163" s="230" t="s">
        <v>521</v>
      </c>
      <c r="C163" s="143" t="s">
        <v>521</v>
      </c>
      <c r="D163" s="390" t="s">
        <v>522</v>
      </c>
      <c r="E163" s="141">
        <f>LEN(D163)</f>
        <v>302</v>
      </c>
      <c r="F163" s="151" t="s">
        <v>76</v>
      </c>
      <c r="G163" s="141" t="s">
        <v>23</v>
      </c>
      <c r="H163" s="141" t="s">
        <v>23</v>
      </c>
      <c r="I163" s="141" t="s">
        <v>360</v>
      </c>
      <c r="J163" s="163" t="s">
        <v>523</v>
      </c>
      <c r="K163" s="215" t="s">
        <v>23</v>
      </c>
      <c r="L163" s="391" t="s">
        <v>524</v>
      </c>
      <c r="M163" s="56"/>
      <c r="N163" s="9"/>
      <c r="O163" s="261">
        <f>'Additional information'!$D$19</f>
        <v>0.05</v>
      </c>
      <c r="P163" s="138"/>
      <c r="R163" s="406" t="s">
        <v>31</v>
      </c>
      <c r="S163" s="145"/>
      <c r="V163" s="264">
        <v>9.2754945755004883</v>
      </c>
      <c r="W163" s="264">
        <f t="shared" si="13"/>
        <v>0.46377472877502446</v>
      </c>
      <c r="X163" s="138">
        <f t="shared" si="14"/>
        <v>0.46377472877502446</v>
      </c>
    </row>
    <row r="164" spans="1:24" s="144" customFormat="1" x14ac:dyDescent="0.2">
      <c r="A164" s="62"/>
      <c r="B164" s="252"/>
      <c r="C164" s="63"/>
      <c r="D164" s="71"/>
      <c r="E164" s="69"/>
      <c r="F164" s="72"/>
      <c r="G164" s="69"/>
      <c r="H164" s="69"/>
      <c r="I164" s="69"/>
      <c r="J164" s="54"/>
      <c r="K164" s="43"/>
      <c r="L164" s="51"/>
      <c r="M164" s="51"/>
      <c r="N164" s="25"/>
      <c r="O164" s="266">
        <f>'Additional information'!$D$19</f>
        <v>0.05</v>
      </c>
      <c r="P164" s="138"/>
      <c r="R164" s="146"/>
      <c r="S164" s="145"/>
      <c r="V164" s="265"/>
      <c r="W164" s="265" t="str">
        <f t="shared" si="13"/>
        <v/>
      </c>
      <c r="X164" s="138" t="str">
        <f t="shared" si="14"/>
        <v/>
      </c>
    </row>
    <row r="165" spans="1:24" s="144" customFormat="1" ht="139.5" customHeight="1" x14ac:dyDescent="0.2">
      <c r="A165" s="19">
        <f>A163+1</f>
        <v>59</v>
      </c>
      <c r="B165" s="162" t="s">
        <v>525</v>
      </c>
      <c r="C165" s="149" t="s">
        <v>525</v>
      </c>
      <c r="D165" s="380" t="s">
        <v>526</v>
      </c>
      <c r="E165" s="149">
        <f>LEN(D165)</f>
        <v>179</v>
      </c>
      <c r="F165" s="155" t="s">
        <v>34</v>
      </c>
      <c r="G165" s="149" t="s">
        <v>23</v>
      </c>
      <c r="H165" s="149" t="s">
        <v>23</v>
      </c>
      <c r="I165" s="149" t="s">
        <v>35</v>
      </c>
      <c r="J165" s="148" t="s">
        <v>527</v>
      </c>
      <c r="K165" s="215" t="s">
        <v>23</v>
      </c>
      <c r="L165" s="392" t="s">
        <v>528</v>
      </c>
      <c r="M165" s="57"/>
      <c r="N165" s="10"/>
      <c r="O165" s="261">
        <f>'Additional information'!$D$19</f>
        <v>0.05</v>
      </c>
      <c r="P165" s="138"/>
      <c r="R165" s="406" t="s">
        <v>31</v>
      </c>
      <c r="S165" s="145"/>
      <c r="V165" s="264">
        <v>6.4158415794372559</v>
      </c>
      <c r="W165" s="264">
        <f t="shared" si="13"/>
        <v>0.32079207897186279</v>
      </c>
      <c r="X165" s="138">
        <f t="shared" si="14"/>
        <v>0.32079207897186279</v>
      </c>
    </row>
    <row r="166" spans="1:24" s="144" customFormat="1" ht="279" customHeight="1" x14ac:dyDescent="0.2">
      <c r="A166" s="19">
        <f>A165+1</f>
        <v>60</v>
      </c>
      <c r="B166" s="180" t="s">
        <v>529</v>
      </c>
      <c r="C166" s="143" t="s">
        <v>530</v>
      </c>
      <c r="D166" s="380" t="s">
        <v>531</v>
      </c>
      <c r="E166" s="149">
        <f>LEN(D166)</f>
        <v>666</v>
      </c>
      <c r="F166" s="143" t="s">
        <v>340</v>
      </c>
      <c r="G166" s="149" t="s">
        <v>23</v>
      </c>
      <c r="H166" s="149" t="s">
        <v>23</v>
      </c>
      <c r="I166" s="149" t="s">
        <v>341</v>
      </c>
      <c r="J166" s="148" t="s">
        <v>532</v>
      </c>
      <c r="K166" s="215" t="s">
        <v>533</v>
      </c>
      <c r="L166" s="379" t="s">
        <v>534</v>
      </c>
      <c r="M166" s="58"/>
      <c r="N166" s="10"/>
      <c r="O166" s="261">
        <f>'Additional information'!$D$19</f>
        <v>0.05</v>
      </c>
      <c r="P166" s="138"/>
      <c r="R166" s="406" t="s">
        <v>31</v>
      </c>
      <c r="S166" s="145"/>
      <c r="V166" s="264">
        <v>20.53435134887695</v>
      </c>
      <c r="W166" s="264">
        <f t="shared" si="13"/>
        <v>1.0267175674438476</v>
      </c>
      <c r="X166" s="138">
        <f t="shared" si="14"/>
        <v>1.0267175674438476</v>
      </c>
    </row>
    <row r="167" spans="1:24" s="144" customFormat="1" x14ac:dyDescent="0.2">
      <c r="A167" s="75"/>
      <c r="B167" s="253"/>
      <c r="C167" s="22"/>
      <c r="D167" s="429"/>
      <c r="E167" s="66"/>
      <c r="F167" s="76"/>
      <c r="G167" s="66"/>
      <c r="H167" s="66"/>
      <c r="I167" s="66"/>
      <c r="J167" s="58"/>
      <c r="K167" s="43"/>
      <c r="L167" s="58"/>
      <c r="M167" s="58"/>
      <c r="N167" s="14"/>
      <c r="O167" s="266">
        <f>'Additional information'!$D$19</f>
        <v>0.05</v>
      </c>
      <c r="P167" s="138"/>
      <c r="R167" s="146"/>
      <c r="S167" s="145"/>
      <c r="V167" s="265"/>
      <c r="W167" s="265" t="str">
        <f t="shared" ref="W167:W198" si="15">IF(V167="","",V167*O167)</f>
        <v/>
      </c>
      <c r="X167" s="138" t="str">
        <f t="shared" ref="X167:X198" si="16">IF(R167="yes",W167,"")</f>
        <v/>
      </c>
    </row>
    <row r="168" spans="1:24" s="144" customFormat="1" ht="217" customHeight="1" x14ac:dyDescent="0.2">
      <c r="A168" s="75">
        <f>A166+1</f>
        <v>61</v>
      </c>
      <c r="B168" s="231" t="s">
        <v>535</v>
      </c>
      <c r="C168" s="150" t="s">
        <v>535</v>
      </c>
      <c r="D168" s="393" t="s">
        <v>536</v>
      </c>
      <c r="E168" s="132">
        <f>LEN(D168)</f>
        <v>354</v>
      </c>
      <c r="F168" s="378" t="s">
        <v>34</v>
      </c>
      <c r="G168" s="132" t="s">
        <v>23</v>
      </c>
      <c r="H168" s="132" t="s">
        <v>23</v>
      </c>
      <c r="I168" s="132" t="s">
        <v>35</v>
      </c>
      <c r="J168" s="379" t="s">
        <v>537</v>
      </c>
      <c r="K168" s="215" t="s">
        <v>23</v>
      </c>
      <c r="L168" s="379" t="s">
        <v>538</v>
      </c>
      <c r="M168" s="58"/>
      <c r="N168" s="10"/>
      <c r="O168" s="261">
        <f>'Additional information'!$D$19</f>
        <v>0.05</v>
      </c>
      <c r="P168" s="138"/>
      <c r="R168" s="406" t="s">
        <v>31</v>
      </c>
      <c r="S168" s="145"/>
      <c r="V168" s="264">
        <v>8.3069305419921875</v>
      </c>
      <c r="W168" s="264">
        <f t="shared" si="15"/>
        <v>0.4153465270996094</v>
      </c>
      <c r="X168" s="138">
        <f t="shared" si="16"/>
        <v>0.4153465270996094</v>
      </c>
    </row>
    <row r="169" spans="1:24" s="144" customFormat="1" ht="16" customHeight="1" thickBot="1" x14ac:dyDescent="0.25">
      <c r="A169" s="75"/>
      <c r="B169" s="253"/>
      <c r="C169" s="77"/>
      <c r="D169" s="429"/>
      <c r="E169" s="66"/>
      <c r="F169" s="76"/>
      <c r="G169" s="66"/>
      <c r="H169" s="66"/>
      <c r="I169" s="66"/>
      <c r="J169" s="58"/>
      <c r="K169" s="58"/>
      <c r="L169" s="58"/>
      <c r="M169" s="58"/>
      <c r="N169" s="35"/>
      <c r="O169" s="266">
        <f>'Additional information'!$D$19</f>
        <v>0.05</v>
      </c>
      <c r="P169" s="138"/>
      <c r="R169" s="146"/>
      <c r="S169" s="145"/>
      <c r="V169" s="265"/>
      <c r="W169" s="265" t="str">
        <f t="shared" si="15"/>
        <v/>
      </c>
      <c r="X169" s="138" t="str">
        <f t="shared" si="16"/>
        <v/>
      </c>
    </row>
    <row r="170" spans="1:24" s="399" customFormat="1" ht="16" customHeight="1" thickBot="1" x14ac:dyDescent="0.25">
      <c r="A170" s="502" t="s">
        <v>539</v>
      </c>
      <c r="B170" s="503"/>
      <c r="C170" s="503"/>
      <c r="D170" s="503"/>
      <c r="E170" s="503"/>
      <c r="F170" s="503"/>
      <c r="G170" s="503"/>
      <c r="H170" s="503"/>
      <c r="I170" s="503"/>
      <c r="J170" s="503"/>
      <c r="K170" s="503"/>
      <c r="L170" s="503"/>
      <c r="M170" s="503"/>
      <c r="N170" s="504"/>
      <c r="O170" s="261"/>
      <c r="P170" s="408"/>
      <c r="R170" s="406"/>
      <c r="S170" s="409"/>
      <c r="V170" s="264"/>
      <c r="W170" s="264" t="str">
        <f t="shared" si="15"/>
        <v/>
      </c>
      <c r="X170" s="408" t="str">
        <f t="shared" si="16"/>
        <v/>
      </c>
    </row>
    <row r="171" spans="1:24" s="144" customFormat="1" ht="124" customHeight="1" x14ac:dyDescent="0.2">
      <c r="A171" s="62">
        <f>A168+1</f>
        <v>62</v>
      </c>
      <c r="B171" s="230" t="s">
        <v>540</v>
      </c>
      <c r="C171" s="235" t="s">
        <v>540</v>
      </c>
      <c r="D171" s="142" t="s">
        <v>541</v>
      </c>
      <c r="E171" s="141">
        <f t="shared" ref="E171:E211" si="17">LEN(D171)</f>
        <v>335</v>
      </c>
      <c r="F171" s="151" t="s">
        <v>34</v>
      </c>
      <c r="G171" s="141" t="s">
        <v>23</v>
      </c>
      <c r="H171" s="141" t="s">
        <v>23</v>
      </c>
      <c r="I171" s="141" t="s">
        <v>35</v>
      </c>
      <c r="J171" s="140" t="s">
        <v>542</v>
      </c>
      <c r="K171" s="215" t="s">
        <v>23</v>
      </c>
      <c r="L171" s="140" t="s">
        <v>543</v>
      </c>
      <c r="M171" s="50"/>
      <c r="N171" s="364" t="s">
        <v>544</v>
      </c>
      <c r="O171" s="261">
        <v>1</v>
      </c>
      <c r="P171" s="138"/>
      <c r="R171" s="406" t="s">
        <v>31</v>
      </c>
      <c r="S171" s="145"/>
      <c r="V171" s="264">
        <v>8.0881662368774414</v>
      </c>
      <c r="W171" s="264">
        <f t="shared" si="15"/>
        <v>8.0881662368774414</v>
      </c>
      <c r="X171" s="138">
        <f t="shared" si="16"/>
        <v>8.0881662368774414</v>
      </c>
    </row>
    <row r="172" spans="1:24" s="144" customFormat="1" ht="155" customHeight="1" x14ac:dyDescent="0.2">
      <c r="A172" s="19">
        <f t="shared" ref="A172:A183" si="18">A171+1</f>
        <v>63</v>
      </c>
      <c r="B172" s="180" t="s">
        <v>545</v>
      </c>
      <c r="C172" s="143" t="s">
        <v>545</v>
      </c>
      <c r="D172" s="160" t="s">
        <v>546</v>
      </c>
      <c r="E172" s="149">
        <f t="shared" si="17"/>
        <v>236</v>
      </c>
      <c r="F172" s="155" t="s">
        <v>34</v>
      </c>
      <c r="G172" s="149" t="s">
        <v>23</v>
      </c>
      <c r="H172" s="149" t="s">
        <v>23</v>
      </c>
      <c r="I172" s="149" t="s">
        <v>35</v>
      </c>
      <c r="J172" s="148" t="s">
        <v>547</v>
      </c>
      <c r="K172" s="215" t="s">
        <v>23</v>
      </c>
      <c r="L172" s="157" t="s">
        <v>548</v>
      </c>
      <c r="M172" s="59"/>
      <c r="N172" s="10"/>
      <c r="O172" s="261">
        <v>1</v>
      </c>
      <c r="P172" s="138"/>
      <c r="R172" s="406" t="s">
        <v>31</v>
      </c>
      <c r="S172" s="145"/>
      <c r="V172" s="264">
        <v>20.224567413330082</v>
      </c>
      <c r="W172" s="264">
        <f t="shared" si="15"/>
        <v>20.224567413330082</v>
      </c>
      <c r="X172" s="138">
        <f t="shared" si="16"/>
        <v>20.224567413330082</v>
      </c>
    </row>
    <row r="173" spans="1:24" s="144" customFormat="1" ht="155" customHeight="1" x14ac:dyDescent="0.2">
      <c r="A173" s="19">
        <f t="shared" si="18"/>
        <v>64</v>
      </c>
      <c r="B173" s="180" t="s">
        <v>549</v>
      </c>
      <c r="C173" s="143" t="s">
        <v>549</v>
      </c>
      <c r="D173" s="160" t="s">
        <v>550</v>
      </c>
      <c r="E173" s="149">
        <f t="shared" si="17"/>
        <v>234</v>
      </c>
      <c r="F173" s="155" t="s">
        <v>34</v>
      </c>
      <c r="G173" s="149" t="s">
        <v>23</v>
      </c>
      <c r="H173" s="149" t="s">
        <v>23</v>
      </c>
      <c r="I173" s="149" t="s">
        <v>35</v>
      </c>
      <c r="J173" s="148" t="s">
        <v>551</v>
      </c>
      <c r="K173" s="215" t="s">
        <v>23</v>
      </c>
      <c r="L173" s="157" t="s">
        <v>552</v>
      </c>
      <c r="M173" s="59"/>
      <c r="N173" s="10"/>
      <c r="O173" s="261">
        <v>1</v>
      </c>
      <c r="P173" s="138"/>
      <c r="R173" s="406" t="s">
        <v>31</v>
      </c>
      <c r="S173" s="145"/>
      <c r="V173" s="264">
        <v>14.02606105804443</v>
      </c>
      <c r="W173" s="264">
        <f t="shared" si="15"/>
        <v>14.02606105804443</v>
      </c>
      <c r="X173" s="138">
        <f t="shared" si="16"/>
        <v>14.02606105804443</v>
      </c>
    </row>
    <row r="174" spans="1:24" s="144" customFormat="1" ht="155" customHeight="1" x14ac:dyDescent="0.2">
      <c r="A174" s="19">
        <f t="shared" si="18"/>
        <v>65</v>
      </c>
      <c r="B174" s="180" t="s">
        <v>553</v>
      </c>
      <c r="C174" s="143" t="s">
        <v>553</v>
      </c>
      <c r="D174" s="160" t="s">
        <v>554</v>
      </c>
      <c r="E174" s="149">
        <f t="shared" si="17"/>
        <v>217</v>
      </c>
      <c r="F174" s="155" t="s">
        <v>34</v>
      </c>
      <c r="G174" s="149" t="s">
        <v>23</v>
      </c>
      <c r="H174" s="149" t="s">
        <v>23</v>
      </c>
      <c r="I174" s="149" t="s">
        <v>35</v>
      </c>
      <c r="J174" s="148" t="s">
        <v>555</v>
      </c>
      <c r="K174" s="215" t="s">
        <v>23</v>
      </c>
      <c r="L174" s="157" t="s">
        <v>556</v>
      </c>
      <c r="M174" s="59"/>
      <c r="N174" s="10"/>
      <c r="O174" s="261">
        <v>1</v>
      </c>
      <c r="P174" s="138"/>
      <c r="R174" s="406" t="s">
        <v>31</v>
      </c>
      <c r="S174" s="145"/>
      <c r="V174" s="264">
        <v>11.558505058288571</v>
      </c>
      <c r="W174" s="264">
        <f t="shared" si="15"/>
        <v>11.558505058288571</v>
      </c>
      <c r="X174" s="138">
        <f t="shared" si="16"/>
        <v>11.558505058288571</v>
      </c>
    </row>
    <row r="175" spans="1:24" s="144" customFormat="1" ht="155" customHeight="1" x14ac:dyDescent="0.2">
      <c r="A175" s="19">
        <f t="shared" si="18"/>
        <v>66</v>
      </c>
      <c r="B175" s="180" t="s">
        <v>557</v>
      </c>
      <c r="C175" s="143" t="s">
        <v>557</v>
      </c>
      <c r="D175" s="160" t="s">
        <v>558</v>
      </c>
      <c r="E175" s="149">
        <f t="shared" si="17"/>
        <v>218</v>
      </c>
      <c r="F175" s="155" t="s">
        <v>34</v>
      </c>
      <c r="G175" s="149" t="s">
        <v>23</v>
      </c>
      <c r="H175" s="149" t="s">
        <v>23</v>
      </c>
      <c r="I175" s="149" t="s">
        <v>35</v>
      </c>
      <c r="J175" s="148" t="s">
        <v>559</v>
      </c>
      <c r="K175" s="215" t="s">
        <v>23</v>
      </c>
      <c r="L175" s="148" t="s">
        <v>560</v>
      </c>
      <c r="M175" s="48"/>
      <c r="N175" s="10"/>
      <c r="O175" s="261">
        <v>1</v>
      </c>
      <c r="P175" s="138"/>
      <c r="R175" s="406" t="s">
        <v>31</v>
      </c>
      <c r="S175" s="145"/>
      <c r="V175" s="264">
        <v>11.379257202148439</v>
      </c>
      <c r="W175" s="264">
        <f t="shared" si="15"/>
        <v>11.379257202148439</v>
      </c>
      <c r="X175" s="138">
        <f t="shared" si="16"/>
        <v>11.379257202148439</v>
      </c>
    </row>
    <row r="176" spans="1:24" s="144" customFormat="1" ht="155" customHeight="1" x14ac:dyDescent="0.2">
      <c r="A176" s="19">
        <f t="shared" si="18"/>
        <v>67</v>
      </c>
      <c r="B176" s="180" t="s">
        <v>561</v>
      </c>
      <c r="C176" s="143" t="s">
        <v>561</v>
      </c>
      <c r="D176" s="160" t="s">
        <v>562</v>
      </c>
      <c r="E176" s="149">
        <f t="shared" si="17"/>
        <v>224</v>
      </c>
      <c r="F176" s="155" t="s">
        <v>34</v>
      </c>
      <c r="G176" s="149" t="s">
        <v>23</v>
      </c>
      <c r="H176" s="149" t="s">
        <v>23</v>
      </c>
      <c r="I176" s="149" t="s">
        <v>35</v>
      </c>
      <c r="J176" s="148" t="s">
        <v>563</v>
      </c>
      <c r="K176" s="215" t="s">
        <v>23</v>
      </c>
      <c r="L176" s="148" t="s">
        <v>564</v>
      </c>
      <c r="M176" s="48"/>
      <c r="N176" s="10"/>
      <c r="O176" s="261">
        <v>1</v>
      </c>
      <c r="P176" s="138"/>
      <c r="R176" s="406" t="s">
        <v>31</v>
      </c>
      <c r="S176" s="145"/>
      <c r="V176" s="264">
        <v>10.443217277526861</v>
      </c>
      <c r="W176" s="264">
        <f t="shared" si="15"/>
        <v>10.443217277526861</v>
      </c>
      <c r="X176" s="138">
        <f t="shared" si="16"/>
        <v>10.443217277526861</v>
      </c>
    </row>
    <row r="177" spans="1:24" s="144" customFormat="1" ht="132.5" customHeight="1" x14ac:dyDescent="0.2">
      <c r="A177" s="19">
        <f t="shared" si="18"/>
        <v>68</v>
      </c>
      <c r="B177" s="180" t="s">
        <v>565</v>
      </c>
      <c r="C177" s="179" t="s">
        <v>565</v>
      </c>
      <c r="D177" s="159" t="s">
        <v>566</v>
      </c>
      <c r="E177" s="149">
        <f t="shared" si="17"/>
        <v>182</v>
      </c>
      <c r="F177" s="155" t="s">
        <v>34</v>
      </c>
      <c r="G177" s="149" t="s">
        <v>23</v>
      </c>
      <c r="H177" s="149" t="s">
        <v>23</v>
      </c>
      <c r="I177" s="149" t="s">
        <v>35</v>
      </c>
      <c r="J177" s="148" t="s">
        <v>567</v>
      </c>
      <c r="K177" s="215" t="s">
        <v>23</v>
      </c>
      <c r="L177" s="157" t="s">
        <v>568</v>
      </c>
      <c r="M177" s="59"/>
      <c r="N177" s="10"/>
      <c r="O177" s="261">
        <v>1</v>
      </c>
      <c r="P177" s="138"/>
      <c r="R177" s="406" t="s">
        <v>31</v>
      </c>
      <c r="S177" s="145"/>
      <c r="V177" s="264">
        <v>10.732010841369631</v>
      </c>
      <c r="W177" s="264">
        <f t="shared" si="15"/>
        <v>10.732010841369631</v>
      </c>
      <c r="X177" s="138">
        <f t="shared" si="16"/>
        <v>10.732010841369631</v>
      </c>
    </row>
    <row r="178" spans="1:24" s="340" customFormat="1" ht="133.5" customHeight="1" x14ac:dyDescent="0.2">
      <c r="A178" s="19">
        <f t="shared" si="18"/>
        <v>69</v>
      </c>
      <c r="B178" s="180" t="s">
        <v>569</v>
      </c>
      <c r="C178" s="179" t="s">
        <v>569</v>
      </c>
      <c r="D178" s="158" t="s">
        <v>570</v>
      </c>
      <c r="E178" s="149">
        <f t="shared" si="17"/>
        <v>214</v>
      </c>
      <c r="F178" s="155" t="s">
        <v>34</v>
      </c>
      <c r="G178" s="149" t="s">
        <v>23</v>
      </c>
      <c r="H178" s="149" t="s">
        <v>23</v>
      </c>
      <c r="I178" s="149" t="s">
        <v>35</v>
      </c>
      <c r="J178" s="148" t="s">
        <v>571</v>
      </c>
      <c r="K178" s="215" t="s">
        <v>23</v>
      </c>
      <c r="L178" s="148" t="s">
        <v>572</v>
      </c>
      <c r="M178" s="48"/>
      <c r="N178" s="10"/>
      <c r="O178" s="261">
        <v>1</v>
      </c>
      <c r="P178" s="138"/>
      <c r="R178" s="406" t="s">
        <v>31</v>
      </c>
      <c r="S178" s="145"/>
      <c r="V178" s="264">
        <v>11.58613967895508</v>
      </c>
      <c r="W178" s="264">
        <f t="shared" si="15"/>
        <v>11.58613967895508</v>
      </c>
      <c r="X178" s="138">
        <f t="shared" si="16"/>
        <v>11.58613967895508</v>
      </c>
    </row>
    <row r="179" spans="1:24" s="144" customFormat="1" ht="132.5" customHeight="1" x14ac:dyDescent="0.2">
      <c r="A179" s="19">
        <f t="shared" si="18"/>
        <v>70</v>
      </c>
      <c r="B179" s="180" t="s">
        <v>573</v>
      </c>
      <c r="C179" s="143" t="s">
        <v>573</v>
      </c>
      <c r="D179" s="159" t="s">
        <v>574</v>
      </c>
      <c r="E179" s="149">
        <f t="shared" si="17"/>
        <v>184</v>
      </c>
      <c r="F179" s="155" t="s">
        <v>34</v>
      </c>
      <c r="G179" s="149" t="s">
        <v>23</v>
      </c>
      <c r="H179" s="149" t="s">
        <v>23</v>
      </c>
      <c r="I179" s="149" t="s">
        <v>35</v>
      </c>
      <c r="J179" s="148" t="s">
        <v>575</v>
      </c>
      <c r="K179" s="215" t="s">
        <v>23</v>
      </c>
      <c r="L179" s="157" t="s">
        <v>576</v>
      </c>
      <c r="M179" s="59"/>
      <c r="N179" s="10"/>
      <c r="O179" s="261">
        <v>1</v>
      </c>
      <c r="P179" s="138"/>
      <c r="R179" s="406" t="s">
        <v>31</v>
      </c>
      <c r="S179" s="145"/>
      <c r="V179" s="264">
        <v>9.7552013397216797</v>
      </c>
      <c r="W179" s="264">
        <f t="shared" si="15"/>
        <v>9.7552013397216797</v>
      </c>
      <c r="X179" s="138">
        <f t="shared" si="16"/>
        <v>9.7552013397216797</v>
      </c>
    </row>
    <row r="180" spans="1:24" s="144" customFormat="1" ht="133.5" customHeight="1" x14ac:dyDescent="0.2">
      <c r="A180" s="19">
        <f t="shared" si="18"/>
        <v>71</v>
      </c>
      <c r="B180" s="180" t="s">
        <v>577</v>
      </c>
      <c r="C180" s="179" t="s">
        <v>577</v>
      </c>
      <c r="D180" s="158" t="s">
        <v>570</v>
      </c>
      <c r="E180" s="149">
        <f t="shared" si="17"/>
        <v>214</v>
      </c>
      <c r="F180" s="155" t="s">
        <v>34</v>
      </c>
      <c r="G180" s="149" t="s">
        <v>23</v>
      </c>
      <c r="H180" s="149" t="s">
        <v>23</v>
      </c>
      <c r="I180" s="149" t="s">
        <v>35</v>
      </c>
      <c r="J180" s="148" t="s">
        <v>578</v>
      </c>
      <c r="K180" s="215" t="s">
        <v>23</v>
      </c>
      <c r="L180" s="148" t="s">
        <v>579</v>
      </c>
      <c r="M180" s="48"/>
      <c r="N180" s="10"/>
      <c r="O180" s="261">
        <v>1</v>
      </c>
      <c r="P180" s="138"/>
      <c r="R180" s="406" t="s">
        <v>31</v>
      </c>
      <c r="S180" s="145"/>
      <c r="V180" s="264">
        <v>7.9447951316833496</v>
      </c>
      <c r="W180" s="264">
        <f t="shared" si="15"/>
        <v>7.9447951316833496</v>
      </c>
      <c r="X180" s="138">
        <f t="shared" si="16"/>
        <v>7.9447951316833496</v>
      </c>
    </row>
    <row r="181" spans="1:24" s="144" customFormat="1" ht="132.5" customHeight="1" x14ac:dyDescent="0.2">
      <c r="A181" s="19">
        <f t="shared" si="18"/>
        <v>72</v>
      </c>
      <c r="B181" s="180" t="s">
        <v>580</v>
      </c>
      <c r="C181" s="143" t="s">
        <v>580</v>
      </c>
      <c r="D181" s="159" t="s">
        <v>581</v>
      </c>
      <c r="E181" s="149">
        <f t="shared" si="17"/>
        <v>212</v>
      </c>
      <c r="F181" s="155" t="s">
        <v>34</v>
      </c>
      <c r="G181" s="149" t="s">
        <v>23</v>
      </c>
      <c r="H181" s="149" t="s">
        <v>23</v>
      </c>
      <c r="I181" s="149" t="s">
        <v>35</v>
      </c>
      <c r="J181" s="148" t="s">
        <v>582</v>
      </c>
      <c r="K181" s="215" t="s">
        <v>23</v>
      </c>
      <c r="L181" s="157" t="s">
        <v>583</v>
      </c>
      <c r="M181" s="17"/>
      <c r="N181" s="10"/>
      <c r="O181" s="261">
        <v>1</v>
      </c>
      <c r="P181" s="138"/>
      <c r="R181" s="406" t="s">
        <v>31</v>
      </c>
      <c r="S181" s="145"/>
      <c r="V181" s="264">
        <v>7.9312248229980469</v>
      </c>
      <c r="W181" s="264">
        <f t="shared" si="15"/>
        <v>7.9312248229980469</v>
      </c>
      <c r="X181" s="138">
        <f t="shared" si="16"/>
        <v>7.9312248229980469</v>
      </c>
    </row>
    <row r="182" spans="1:24" s="144" customFormat="1" ht="133.5" customHeight="1" x14ac:dyDescent="0.2">
      <c r="A182" s="19">
        <f t="shared" si="18"/>
        <v>73</v>
      </c>
      <c r="B182" s="180" t="s">
        <v>584</v>
      </c>
      <c r="C182" s="179" t="s">
        <v>584</v>
      </c>
      <c r="D182" s="158" t="s">
        <v>570</v>
      </c>
      <c r="E182" s="149">
        <f t="shared" si="17"/>
        <v>214</v>
      </c>
      <c r="F182" s="155" t="s">
        <v>34</v>
      </c>
      <c r="G182" s="149" t="s">
        <v>23</v>
      </c>
      <c r="H182" s="149" t="s">
        <v>23</v>
      </c>
      <c r="I182" s="149" t="s">
        <v>35</v>
      </c>
      <c r="J182" s="148" t="s">
        <v>585</v>
      </c>
      <c r="K182" s="215" t="s">
        <v>23</v>
      </c>
      <c r="L182" s="157" t="s">
        <v>586</v>
      </c>
      <c r="M182" s="17"/>
      <c r="N182" s="10"/>
      <c r="O182" s="261">
        <v>1</v>
      </c>
      <c r="P182" s="138"/>
      <c r="R182" s="406" t="s">
        <v>31</v>
      </c>
      <c r="S182" s="145"/>
      <c r="V182" s="264">
        <v>5.3390059471130371</v>
      </c>
      <c r="W182" s="264">
        <f t="shared" si="15"/>
        <v>5.3390059471130371</v>
      </c>
      <c r="X182" s="138">
        <f t="shared" si="16"/>
        <v>5.3390059471130371</v>
      </c>
    </row>
    <row r="183" spans="1:24" s="144" customFormat="1" ht="139.5" customHeight="1" x14ac:dyDescent="0.2">
      <c r="A183" s="19">
        <f t="shared" si="18"/>
        <v>74</v>
      </c>
      <c r="B183" s="178" t="s">
        <v>587</v>
      </c>
      <c r="C183" s="63" t="s">
        <v>587</v>
      </c>
      <c r="D183" s="176" t="s">
        <v>588</v>
      </c>
      <c r="E183" s="21">
        <f t="shared" si="17"/>
        <v>142</v>
      </c>
      <c r="F183" s="64" t="s">
        <v>34</v>
      </c>
      <c r="G183" s="21" t="s">
        <v>23</v>
      </c>
      <c r="H183" s="21" t="s">
        <v>23</v>
      </c>
      <c r="I183" s="21" t="s">
        <v>35</v>
      </c>
      <c r="J183" s="48" t="s">
        <v>589</v>
      </c>
      <c r="K183" s="44" t="s">
        <v>23</v>
      </c>
      <c r="L183" s="482"/>
      <c r="M183" s="483"/>
      <c r="N183" s="481" t="s">
        <v>590</v>
      </c>
      <c r="O183" s="266">
        <v>1</v>
      </c>
      <c r="P183" s="138"/>
      <c r="R183" s="146" t="s">
        <v>22</v>
      </c>
      <c r="S183" s="145"/>
      <c r="V183" s="265">
        <v>3.816555500030518</v>
      </c>
      <c r="W183" s="265">
        <f t="shared" si="15"/>
        <v>3.816555500030518</v>
      </c>
      <c r="X183" s="138" t="str">
        <f t="shared" si="16"/>
        <v/>
      </c>
    </row>
    <row r="184" spans="1:24" s="144" customFormat="1" ht="186" customHeight="1" x14ac:dyDescent="0.2">
      <c r="A184" s="19" t="e">
        <f>#REF!+1</f>
        <v>#REF!</v>
      </c>
      <c r="B184" s="70" t="s">
        <v>591</v>
      </c>
      <c r="C184" s="63" t="s">
        <v>592</v>
      </c>
      <c r="D184" s="43" t="s">
        <v>593</v>
      </c>
      <c r="E184" s="21">
        <f t="shared" si="17"/>
        <v>344</v>
      </c>
      <c r="F184" s="64" t="s">
        <v>34</v>
      </c>
      <c r="G184" s="21" t="s">
        <v>23</v>
      </c>
      <c r="H184" s="21" t="s">
        <v>23</v>
      </c>
      <c r="I184" s="21" t="s">
        <v>35</v>
      </c>
      <c r="J184" s="48" t="s">
        <v>594</v>
      </c>
      <c r="K184" s="44" t="s">
        <v>23</v>
      </c>
      <c r="L184" s="58"/>
      <c r="M184" s="58"/>
      <c r="N184" s="10"/>
      <c r="O184" s="266">
        <v>1</v>
      </c>
      <c r="P184" s="138"/>
      <c r="R184" s="146" t="s">
        <v>22</v>
      </c>
      <c r="S184" s="145"/>
      <c r="V184" s="265">
        <v>12.211404800415041</v>
      </c>
      <c r="W184" s="265">
        <f t="shared" si="15"/>
        <v>12.211404800415041</v>
      </c>
      <c r="X184" s="138" t="str">
        <f t="shared" si="16"/>
        <v/>
      </c>
    </row>
    <row r="185" spans="1:24" s="144" customFormat="1" ht="186" customHeight="1" x14ac:dyDescent="0.2">
      <c r="A185" s="19" t="e">
        <f>A184+1</f>
        <v>#REF!</v>
      </c>
      <c r="B185" s="70" t="s">
        <v>595</v>
      </c>
      <c r="C185" s="63" t="s">
        <v>595</v>
      </c>
      <c r="D185" s="43" t="s">
        <v>596</v>
      </c>
      <c r="E185" s="21">
        <f t="shared" si="17"/>
        <v>378</v>
      </c>
      <c r="F185" s="64" t="s">
        <v>34</v>
      </c>
      <c r="G185" s="21" t="s">
        <v>23</v>
      </c>
      <c r="H185" s="21" t="s">
        <v>23</v>
      </c>
      <c r="I185" s="21" t="s">
        <v>35</v>
      </c>
      <c r="J185" s="48" t="s">
        <v>594</v>
      </c>
      <c r="K185" s="44" t="s">
        <v>23</v>
      </c>
      <c r="L185" s="58"/>
      <c r="M185" s="58"/>
      <c r="N185" s="10"/>
      <c r="O185" s="266">
        <v>1</v>
      </c>
      <c r="P185" s="138"/>
      <c r="R185" s="146" t="s">
        <v>22</v>
      </c>
      <c r="S185" s="145"/>
      <c r="V185" s="265">
        <v>10.39294910430908</v>
      </c>
      <c r="W185" s="265">
        <f t="shared" si="15"/>
        <v>10.39294910430908</v>
      </c>
      <c r="X185" s="138" t="str">
        <f t="shared" si="16"/>
        <v/>
      </c>
    </row>
    <row r="186" spans="1:24" s="144" customFormat="1" ht="186" customHeight="1" x14ac:dyDescent="0.2">
      <c r="A186" s="19" t="e">
        <f>#REF!+1</f>
        <v>#REF!</v>
      </c>
      <c r="B186" s="70" t="s">
        <v>597</v>
      </c>
      <c r="C186" s="63" t="s">
        <v>597</v>
      </c>
      <c r="D186" s="43" t="s">
        <v>598</v>
      </c>
      <c r="E186" s="21">
        <f t="shared" si="17"/>
        <v>371</v>
      </c>
      <c r="F186" s="64" t="s">
        <v>34</v>
      </c>
      <c r="G186" s="21" t="s">
        <v>23</v>
      </c>
      <c r="H186" s="21" t="s">
        <v>23</v>
      </c>
      <c r="I186" s="21" t="s">
        <v>35</v>
      </c>
      <c r="J186" s="48" t="s">
        <v>594</v>
      </c>
      <c r="K186" s="44" t="s">
        <v>23</v>
      </c>
      <c r="L186" s="58"/>
      <c r="M186" s="58"/>
      <c r="N186" s="10"/>
      <c r="O186" s="266">
        <v>1</v>
      </c>
      <c r="P186" s="138"/>
      <c r="R186" s="146" t="s">
        <v>22</v>
      </c>
      <c r="S186" s="145"/>
      <c r="V186" s="265">
        <v>10.84387874603271</v>
      </c>
      <c r="W186" s="265">
        <f t="shared" si="15"/>
        <v>10.84387874603271</v>
      </c>
      <c r="X186" s="138" t="str">
        <f t="shared" si="16"/>
        <v/>
      </c>
    </row>
    <row r="187" spans="1:24" s="144" customFormat="1" ht="186" customHeight="1" x14ac:dyDescent="0.2">
      <c r="A187" s="19" t="e">
        <f>A186+1</f>
        <v>#REF!</v>
      </c>
      <c r="B187" s="70" t="s">
        <v>599</v>
      </c>
      <c r="C187" s="63" t="s">
        <v>599</v>
      </c>
      <c r="D187" s="43" t="s">
        <v>600</v>
      </c>
      <c r="E187" s="21">
        <f t="shared" si="17"/>
        <v>345</v>
      </c>
      <c r="F187" s="64" t="s">
        <v>34</v>
      </c>
      <c r="G187" s="21" t="s">
        <v>23</v>
      </c>
      <c r="H187" s="21" t="s">
        <v>23</v>
      </c>
      <c r="I187" s="21" t="s">
        <v>35</v>
      </c>
      <c r="J187" s="48" t="s">
        <v>594</v>
      </c>
      <c r="K187" s="44" t="s">
        <v>23</v>
      </c>
      <c r="L187" s="58"/>
      <c r="M187" s="58"/>
      <c r="N187" s="10"/>
      <c r="O187" s="266">
        <v>1</v>
      </c>
      <c r="P187" s="138"/>
      <c r="R187" s="146" t="s">
        <v>22</v>
      </c>
      <c r="S187" s="145"/>
      <c r="V187" s="265">
        <v>8.2318143844604492</v>
      </c>
      <c r="W187" s="265">
        <f t="shared" si="15"/>
        <v>8.2318143844604492</v>
      </c>
      <c r="X187" s="138" t="str">
        <f t="shared" si="16"/>
        <v/>
      </c>
    </row>
    <row r="188" spans="1:24" s="144" customFormat="1" ht="186" customHeight="1" x14ac:dyDescent="0.2">
      <c r="A188" s="19" t="e">
        <f>#REF!+1</f>
        <v>#REF!</v>
      </c>
      <c r="B188" s="70" t="s">
        <v>601</v>
      </c>
      <c r="C188" s="63" t="s">
        <v>601</v>
      </c>
      <c r="D188" s="43" t="s">
        <v>602</v>
      </c>
      <c r="E188" s="21">
        <f t="shared" si="17"/>
        <v>379</v>
      </c>
      <c r="F188" s="64" t="s">
        <v>34</v>
      </c>
      <c r="G188" s="21" t="s">
        <v>23</v>
      </c>
      <c r="H188" s="21" t="s">
        <v>23</v>
      </c>
      <c r="I188" s="21" t="s">
        <v>35</v>
      </c>
      <c r="J188" s="48" t="s">
        <v>594</v>
      </c>
      <c r="K188" s="44" t="s">
        <v>23</v>
      </c>
      <c r="L188" s="484"/>
      <c r="M188" s="485"/>
      <c r="N188" s="10"/>
      <c r="O188" s="266">
        <v>1</v>
      </c>
      <c r="P188" s="138"/>
      <c r="R188" s="146" t="s">
        <v>22</v>
      </c>
      <c r="S188" s="145"/>
      <c r="V188" s="265">
        <v>7.8922214508056641</v>
      </c>
      <c r="W188" s="265">
        <f t="shared" si="15"/>
        <v>7.8922214508056641</v>
      </c>
      <c r="X188" s="138" t="str">
        <f t="shared" si="16"/>
        <v/>
      </c>
    </row>
    <row r="189" spans="1:24" s="144" customFormat="1" ht="201.5" customHeight="1" x14ac:dyDescent="0.2">
      <c r="A189" s="19" t="e">
        <f>A188+1</f>
        <v>#REF!</v>
      </c>
      <c r="B189" s="70" t="s">
        <v>603</v>
      </c>
      <c r="C189" s="63" t="s">
        <v>603</v>
      </c>
      <c r="D189" s="43" t="s">
        <v>604</v>
      </c>
      <c r="E189" s="21">
        <f t="shared" si="17"/>
        <v>398</v>
      </c>
      <c r="F189" s="64" t="s">
        <v>34</v>
      </c>
      <c r="G189" s="21" t="s">
        <v>23</v>
      </c>
      <c r="H189" s="21" t="s">
        <v>23</v>
      </c>
      <c r="I189" s="21" t="s">
        <v>35</v>
      </c>
      <c r="J189" s="48" t="s">
        <v>594</v>
      </c>
      <c r="K189" s="44" t="s">
        <v>23</v>
      </c>
      <c r="L189" s="484"/>
      <c r="M189" s="485"/>
      <c r="N189" s="10"/>
      <c r="O189" s="266">
        <v>1</v>
      </c>
      <c r="P189" s="138"/>
      <c r="R189" s="146" t="s">
        <v>22</v>
      </c>
      <c r="S189" s="145"/>
      <c r="V189" s="265">
        <v>9.5187292098999023</v>
      </c>
      <c r="W189" s="265">
        <f t="shared" si="15"/>
        <v>9.5187292098999023</v>
      </c>
      <c r="X189" s="138" t="str">
        <f t="shared" si="16"/>
        <v/>
      </c>
    </row>
    <row r="190" spans="1:24" s="144" customFormat="1" ht="201.5" customHeight="1" x14ac:dyDescent="0.2">
      <c r="A190" s="19" t="e">
        <f>A189+1</f>
        <v>#REF!</v>
      </c>
      <c r="B190" s="70" t="s">
        <v>605</v>
      </c>
      <c r="C190" s="63" t="s">
        <v>605</v>
      </c>
      <c r="D190" s="43" t="s">
        <v>606</v>
      </c>
      <c r="E190" s="21">
        <f t="shared" si="17"/>
        <v>421</v>
      </c>
      <c r="F190" s="64" t="s">
        <v>34</v>
      </c>
      <c r="G190" s="21" t="s">
        <v>23</v>
      </c>
      <c r="H190" s="21" t="s">
        <v>23</v>
      </c>
      <c r="I190" s="21" t="s">
        <v>35</v>
      </c>
      <c r="J190" s="48" t="s">
        <v>594</v>
      </c>
      <c r="K190" s="44" t="s">
        <v>23</v>
      </c>
      <c r="L190" s="484"/>
      <c r="M190" s="485"/>
      <c r="N190" s="10"/>
      <c r="O190" s="266">
        <v>1</v>
      </c>
      <c r="P190" s="138"/>
      <c r="R190" s="146" t="s">
        <v>22</v>
      </c>
      <c r="S190" s="145"/>
      <c r="V190" s="265">
        <v>9.0232686996459961</v>
      </c>
      <c r="W190" s="265">
        <f t="shared" si="15"/>
        <v>9.0232686996459961</v>
      </c>
      <c r="X190" s="138" t="str">
        <f t="shared" si="16"/>
        <v/>
      </c>
    </row>
    <row r="191" spans="1:24" s="144" customFormat="1" ht="186" customHeight="1" x14ac:dyDescent="0.2">
      <c r="A191" s="19" t="e">
        <f>#REF!+1</f>
        <v>#REF!</v>
      </c>
      <c r="B191" s="70" t="s">
        <v>607</v>
      </c>
      <c r="C191" s="63" t="s">
        <v>607</v>
      </c>
      <c r="D191" s="43" t="s">
        <v>608</v>
      </c>
      <c r="E191" s="21">
        <f t="shared" si="17"/>
        <v>334</v>
      </c>
      <c r="F191" s="64" t="s">
        <v>34</v>
      </c>
      <c r="G191" s="21" t="s">
        <v>23</v>
      </c>
      <c r="H191" s="21" t="s">
        <v>23</v>
      </c>
      <c r="I191" s="21" t="s">
        <v>35</v>
      </c>
      <c r="J191" s="48" t="s">
        <v>594</v>
      </c>
      <c r="K191" s="44" t="s">
        <v>23</v>
      </c>
      <c r="L191" s="484"/>
      <c r="M191" s="485"/>
      <c r="N191" s="10"/>
      <c r="O191" s="266">
        <v>1</v>
      </c>
      <c r="P191" s="138"/>
      <c r="R191" s="146" t="s">
        <v>22</v>
      </c>
      <c r="S191" s="145"/>
      <c r="V191" s="265">
        <v>9.1058073043823242</v>
      </c>
      <c r="W191" s="265">
        <f t="shared" si="15"/>
        <v>9.1058073043823242</v>
      </c>
      <c r="X191" s="138" t="str">
        <f t="shared" si="16"/>
        <v/>
      </c>
    </row>
    <row r="192" spans="1:24" s="144" customFormat="1" ht="201.5" customHeight="1" x14ac:dyDescent="0.2">
      <c r="A192" s="19" t="e">
        <f>A191+1</f>
        <v>#REF!</v>
      </c>
      <c r="B192" s="70" t="s">
        <v>609</v>
      </c>
      <c r="C192" s="63" t="s">
        <v>609</v>
      </c>
      <c r="D192" s="43" t="s">
        <v>610</v>
      </c>
      <c r="E192" s="21">
        <f t="shared" si="17"/>
        <v>401</v>
      </c>
      <c r="F192" s="64" t="s">
        <v>34</v>
      </c>
      <c r="G192" s="21" t="s">
        <v>23</v>
      </c>
      <c r="H192" s="21" t="s">
        <v>23</v>
      </c>
      <c r="I192" s="21" t="s">
        <v>35</v>
      </c>
      <c r="J192" s="48" t="s">
        <v>594</v>
      </c>
      <c r="K192" s="44" t="s">
        <v>23</v>
      </c>
      <c r="L192" s="484"/>
      <c r="M192" s="485"/>
      <c r="N192" s="10"/>
      <c r="O192" s="266">
        <v>1</v>
      </c>
      <c r="P192" s="138"/>
      <c r="R192" s="146" t="s">
        <v>22</v>
      </c>
      <c r="S192" s="145"/>
      <c r="V192" s="265">
        <v>11.21794319152832</v>
      </c>
      <c r="W192" s="265">
        <f t="shared" si="15"/>
        <v>11.21794319152832</v>
      </c>
      <c r="X192" s="138" t="str">
        <f t="shared" si="16"/>
        <v/>
      </c>
    </row>
    <row r="193" spans="1:24" s="144" customFormat="1" ht="220" customHeight="1" x14ac:dyDescent="0.2">
      <c r="A193" s="19" t="e">
        <f>A192+1</f>
        <v>#REF!</v>
      </c>
      <c r="B193" s="70" t="s">
        <v>611</v>
      </c>
      <c r="C193" s="63" t="s">
        <v>611</v>
      </c>
      <c r="D193" s="43" t="s">
        <v>612</v>
      </c>
      <c r="E193" s="21">
        <f t="shared" si="17"/>
        <v>360</v>
      </c>
      <c r="F193" s="64" t="s">
        <v>34</v>
      </c>
      <c r="G193" s="21" t="s">
        <v>23</v>
      </c>
      <c r="H193" s="21" t="s">
        <v>23</v>
      </c>
      <c r="I193" s="21" t="s">
        <v>35</v>
      </c>
      <c r="J193" s="48" t="s">
        <v>594</v>
      </c>
      <c r="K193" s="44" t="s">
        <v>23</v>
      </c>
      <c r="L193" s="484"/>
      <c r="M193" s="485"/>
      <c r="N193" s="10"/>
      <c r="O193" s="266">
        <v>1</v>
      </c>
      <c r="P193" s="138"/>
      <c r="R193" s="146" t="s">
        <v>22</v>
      </c>
      <c r="S193" s="145"/>
      <c r="U193" s="156"/>
      <c r="V193" s="265">
        <v>6.2936897277832031</v>
      </c>
      <c r="W193" s="265">
        <f t="shared" si="15"/>
        <v>6.2936897277832031</v>
      </c>
      <c r="X193" s="138" t="str">
        <f t="shared" si="16"/>
        <v/>
      </c>
    </row>
    <row r="194" spans="1:24" s="144" customFormat="1" ht="409.5" customHeight="1" x14ac:dyDescent="0.2">
      <c r="A194" s="19" t="e">
        <f>#REF!+1</f>
        <v>#REF!</v>
      </c>
      <c r="B194" s="180" t="s">
        <v>613</v>
      </c>
      <c r="C194" s="143" t="s">
        <v>614</v>
      </c>
      <c r="D194" s="486" t="s">
        <v>615</v>
      </c>
      <c r="E194" s="149">
        <f t="shared" si="17"/>
        <v>1361</v>
      </c>
      <c r="F194" s="155" t="s">
        <v>199</v>
      </c>
      <c r="G194" s="149" t="s">
        <v>23</v>
      </c>
      <c r="H194" s="149" t="s">
        <v>23</v>
      </c>
      <c r="I194" s="149" t="s">
        <v>616</v>
      </c>
      <c r="J194" s="148" t="s">
        <v>617</v>
      </c>
      <c r="K194" s="215" t="s">
        <v>618</v>
      </c>
      <c r="L194" s="148" t="s">
        <v>619</v>
      </c>
      <c r="M194" s="48"/>
      <c r="N194" s="487"/>
      <c r="O194" s="261">
        <v>1</v>
      </c>
      <c r="P194" s="138"/>
      <c r="R194" s="406" t="s">
        <v>31</v>
      </c>
      <c r="S194" s="145"/>
      <c r="V194" s="264">
        <v>52.174358367919922</v>
      </c>
      <c r="W194" s="264">
        <f t="shared" si="15"/>
        <v>52.174358367919922</v>
      </c>
      <c r="X194" s="138">
        <f t="shared" si="16"/>
        <v>52.174358367919922</v>
      </c>
    </row>
    <row r="195" spans="1:24" s="144" customFormat="1" ht="139.5" customHeight="1" x14ac:dyDescent="0.2">
      <c r="A195" s="339" t="e">
        <f t="shared" ref="A195:A204" si="19">A194+1</f>
        <v>#REF!</v>
      </c>
      <c r="B195" s="231" t="s">
        <v>620</v>
      </c>
      <c r="C195" s="179" t="s">
        <v>620</v>
      </c>
      <c r="D195" s="154" t="s">
        <v>621</v>
      </c>
      <c r="E195" s="132">
        <f t="shared" si="17"/>
        <v>327</v>
      </c>
      <c r="F195" s="488" t="s">
        <v>34</v>
      </c>
      <c r="G195" s="133" t="s">
        <v>23</v>
      </c>
      <c r="H195" s="133" t="s">
        <v>23</v>
      </c>
      <c r="I195" s="133" t="s">
        <v>35</v>
      </c>
      <c r="J195" s="153" t="s">
        <v>622</v>
      </c>
      <c r="K195" s="215" t="s">
        <v>23</v>
      </c>
      <c r="L195" s="153" t="s">
        <v>623</v>
      </c>
      <c r="M195" s="51"/>
      <c r="N195" s="489"/>
      <c r="O195" s="261">
        <v>1</v>
      </c>
      <c r="P195" s="138"/>
      <c r="R195" s="406" t="s">
        <v>31</v>
      </c>
      <c r="S195" s="145"/>
      <c r="V195" s="264">
        <v>1.2871023416519169</v>
      </c>
      <c r="W195" s="264">
        <f t="shared" si="15"/>
        <v>1.2871023416519169</v>
      </c>
      <c r="X195" s="138">
        <f t="shared" si="16"/>
        <v>1.2871023416519169</v>
      </c>
    </row>
    <row r="196" spans="1:24" s="144" customFormat="1" ht="93" customHeight="1" x14ac:dyDescent="0.2">
      <c r="A196" s="19" t="e">
        <f t="shared" si="19"/>
        <v>#REF!</v>
      </c>
      <c r="B196" s="178" t="s">
        <v>624</v>
      </c>
      <c r="C196" s="177" t="s">
        <v>624</v>
      </c>
      <c r="D196" s="490" t="s">
        <v>625</v>
      </c>
      <c r="E196" s="21">
        <f t="shared" si="17"/>
        <v>179</v>
      </c>
      <c r="F196" s="64" t="s">
        <v>34</v>
      </c>
      <c r="G196" s="21" t="s">
        <v>23</v>
      </c>
      <c r="H196" s="21" t="s">
        <v>23</v>
      </c>
      <c r="I196" s="21" t="s">
        <v>35</v>
      </c>
      <c r="J196" s="48" t="s">
        <v>626</v>
      </c>
      <c r="K196" s="44" t="s">
        <v>23</v>
      </c>
      <c r="L196" s="48" t="s">
        <v>627</v>
      </c>
      <c r="M196" s="48"/>
      <c r="N196" s="491"/>
      <c r="O196" s="266">
        <v>1</v>
      </c>
      <c r="P196" s="138"/>
      <c r="R196" s="146" t="s">
        <v>22</v>
      </c>
      <c r="S196" s="145"/>
      <c r="V196" s="265">
        <v>5.6449732780456543</v>
      </c>
      <c r="W196" s="265">
        <f t="shared" si="15"/>
        <v>5.6449732780456543</v>
      </c>
      <c r="X196" s="138" t="str">
        <f t="shared" si="16"/>
        <v/>
      </c>
    </row>
    <row r="197" spans="1:24" s="144" customFormat="1" ht="93" customHeight="1" x14ac:dyDescent="0.2">
      <c r="A197" s="19" t="e">
        <f t="shared" si="19"/>
        <v>#REF!</v>
      </c>
      <c r="B197" s="178" t="s">
        <v>628</v>
      </c>
      <c r="C197" s="177" t="s">
        <v>628</v>
      </c>
      <c r="D197" s="490" t="s">
        <v>629</v>
      </c>
      <c r="E197" s="21">
        <f t="shared" si="17"/>
        <v>292</v>
      </c>
      <c r="F197" s="64" t="s">
        <v>108</v>
      </c>
      <c r="G197" s="21" t="s">
        <v>23</v>
      </c>
      <c r="H197" s="21" t="s">
        <v>23</v>
      </c>
      <c r="I197" s="21" t="s">
        <v>26</v>
      </c>
      <c r="J197" s="48" t="s">
        <v>630</v>
      </c>
      <c r="K197" s="44" t="s">
        <v>23</v>
      </c>
      <c r="L197" s="48" t="s">
        <v>631</v>
      </c>
      <c r="M197" s="48"/>
      <c r="N197" s="125"/>
      <c r="O197" s="266">
        <v>1</v>
      </c>
      <c r="P197" s="138"/>
      <c r="R197" s="146" t="s">
        <v>22</v>
      </c>
      <c r="S197" s="145"/>
      <c r="V197" s="265">
        <v>26.998960494995121</v>
      </c>
      <c r="W197" s="265">
        <f t="shared" si="15"/>
        <v>26.998960494995121</v>
      </c>
      <c r="X197" s="138" t="str">
        <f t="shared" si="16"/>
        <v/>
      </c>
    </row>
    <row r="198" spans="1:24" s="144" customFormat="1" ht="93" customHeight="1" x14ac:dyDescent="0.2">
      <c r="A198" s="19" t="e">
        <f t="shared" si="19"/>
        <v>#REF!</v>
      </c>
      <c r="B198" s="178" t="s">
        <v>632</v>
      </c>
      <c r="C198" s="177" t="s">
        <v>632</v>
      </c>
      <c r="D198" s="490" t="s">
        <v>633</v>
      </c>
      <c r="E198" s="21">
        <f t="shared" si="17"/>
        <v>267</v>
      </c>
      <c r="F198" s="64" t="s">
        <v>108</v>
      </c>
      <c r="G198" s="21" t="s">
        <v>23</v>
      </c>
      <c r="H198" s="21" t="s">
        <v>23</v>
      </c>
      <c r="I198" s="21" t="s">
        <v>26</v>
      </c>
      <c r="J198" s="48" t="s">
        <v>634</v>
      </c>
      <c r="K198" s="44" t="s">
        <v>23</v>
      </c>
      <c r="L198" s="48" t="s">
        <v>635</v>
      </c>
      <c r="M198" s="48"/>
      <c r="N198" s="125"/>
      <c r="O198" s="266">
        <v>1</v>
      </c>
      <c r="P198" s="138"/>
      <c r="R198" s="146" t="s">
        <v>22</v>
      </c>
      <c r="S198" s="145"/>
      <c r="V198" s="265">
        <v>18.273832321166989</v>
      </c>
      <c r="W198" s="265">
        <f t="shared" si="15"/>
        <v>18.273832321166989</v>
      </c>
      <c r="X198" s="138" t="str">
        <f t="shared" si="16"/>
        <v/>
      </c>
    </row>
    <row r="199" spans="1:24" s="144" customFormat="1" ht="93" customHeight="1" x14ac:dyDescent="0.2">
      <c r="A199" s="19" t="e">
        <f t="shared" si="19"/>
        <v>#REF!</v>
      </c>
      <c r="B199" s="178" t="s">
        <v>636</v>
      </c>
      <c r="C199" s="177" t="s">
        <v>636</v>
      </c>
      <c r="D199" s="490" t="s">
        <v>637</v>
      </c>
      <c r="E199" s="21">
        <f t="shared" si="17"/>
        <v>337</v>
      </c>
      <c r="F199" s="64" t="s">
        <v>108</v>
      </c>
      <c r="G199" s="21" t="s">
        <v>23</v>
      </c>
      <c r="H199" s="21" t="s">
        <v>23</v>
      </c>
      <c r="I199" s="21" t="s">
        <v>26</v>
      </c>
      <c r="J199" s="48" t="s">
        <v>638</v>
      </c>
      <c r="K199" s="44" t="s">
        <v>23</v>
      </c>
      <c r="L199" s="48" t="s">
        <v>639</v>
      </c>
      <c r="M199" s="48"/>
      <c r="N199" s="125"/>
      <c r="O199" s="266">
        <v>1</v>
      </c>
      <c r="P199" s="138"/>
      <c r="R199" s="146" t="s">
        <v>22</v>
      </c>
      <c r="S199" s="145"/>
      <c r="V199" s="265">
        <v>16.352115631103519</v>
      </c>
      <c r="W199" s="265">
        <f t="shared" ref="W199:W230" si="20">IF(V199="","",V199*O199)</f>
        <v>16.352115631103519</v>
      </c>
      <c r="X199" s="138" t="str">
        <f t="shared" ref="X199:X230" si="21">IF(R199="yes",W199,"")</f>
        <v/>
      </c>
    </row>
    <row r="200" spans="1:24" s="144" customFormat="1" ht="77.5" customHeight="1" x14ac:dyDescent="0.2">
      <c r="A200" s="19" t="e">
        <f t="shared" si="19"/>
        <v>#REF!</v>
      </c>
      <c r="B200" s="178" t="s">
        <v>640</v>
      </c>
      <c r="C200" s="177" t="s">
        <v>640</v>
      </c>
      <c r="D200" s="490" t="s">
        <v>641</v>
      </c>
      <c r="E200" s="21">
        <f t="shared" si="17"/>
        <v>280</v>
      </c>
      <c r="F200" s="64" t="s">
        <v>108</v>
      </c>
      <c r="G200" s="21" t="s">
        <v>23</v>
      </c>
      <c r="H200" s="21" t="s">
        <v>23</v>
      </c>
      <c r="I200" s="21" t="s">
        <v>26</v>
      </c>
      <c r="J200" s="48" t="s">
        <v>642</v>
      </c>
      <c r="K200" s="44" t="s">
        <v>23</v>
      </c>
      <c r="L200" s="48" t="s">
        <v>643</v>
      </c>
      <c r="M200" s="48"/>
      <c r="N200" s="125"/>
      <c r="O200" s="266">
        <v>1</v>
      </c>
      <c r="P200" s="138"/>
      <c r="R200" s="146" t="s">
        <v>22</v>
      </c>
      <c r="S200" s="145"/>
      <c r="V200" s="265">
        <v>14.01507568359375</v>
      </c>
      <c r="W200" s="265">
        <f t="shared" si="20"/>
        <v>14.01507568359375</v>
      </c>
      <c r="X200" s="138" t="str">
        <f t="shared" si="21"/>
        <v/>
      </c>
    </row>
    <row r="201" spans="1:24" s="144" customFormat="1" ht="93" customHeight="1" x14ac:dyDescent="0.2">
      <c r="A201" s="19" t="e">
        <f t="shared" si="19"/>
        <v>#REF!</v>
      </c>
      <c r="B201" s="178" t="s">
        <v>644</v>
      </c>
      <c r="C201" s="177" t="s">
        <v>644</v>
      </c>
      <c r="D201" s="490" t="s">
        <v>645</v>
      </c>
      <c r="E201" s="21">
        <f t="shared" si="17"/>
        <v>273</v>
      </c>
      <c r="F201" s="64" t="s">
        <v>108</v>
      </c>
      <c r="G201" s="21" t="s">
        <v>23</v>
      </c>
      <c r="H201" s="21" t="s">
        <v>23</v>
      </c>
      <c r="I201" s="21" t="s">
        <v>26</v>
      </c>
      <c r="J201" s="48" t="s">
        <v>646</v>
      </c>
      <c r="K201" s="44" t="s">
        <v>23</v>
      </c>
      <c r="L201" s="48" t="s">
        <v>647</v>
      </c>
      <c r="M201" s="48"/>
      <c r="N201" s="125"/>
      <c r="O201" s="266">
        <v>1</v>
      </c>
      <c r="P201" s="138"/>
      <c r="R201" s="146" t="s">
        <v>22</v>
      </c>
      <c r="S201" s="145"/>
      <c r="V201" s="265">
        <v>17.22746658325195</v>
      </c>
      <c r="W201" s="265">
        <f t="shared" si="20"/>
        <v>17.22746658325195</v>
      </c>
      <c r="X201" s="138" t="str">
        <f t="shared" si="21"/>
        <v/>
      </c>
    </row>
    <row r="202" spans="1:24" s="144" customFormat="1" ht="93" customHeight="1" x14ac:dyDescent="0.2">
      <c r="A202" s="19" t="e">
        <f t="shared" si="19"/>
        <v>#REF!</v>
      </c>
      <c r="B202" s="178" t="s">
        <v>648</v>
      </c>
      <c r="C202" s="177" t="s">
        <v>648</v>
      </c>
      <c r="D202" s="490" t="s">
        <v>649</v>
      </c>
      <c r="E202" s="21">
        <f t="shared" si="17"/>
        <v>307</v>
      </c>
      <c r="F202" s="64" t="s">
        <v>108</v>
      </c>
      <c r="G202" s="21" t="s">
        <v>23</v>
      </c>
      <c r="H202" s="21" t="s">
        <v>23</v>
      </c>
      <c r="I202" s="21" t="s">
        <v>26</v>
      </c>
      <c r="J202" s="48" t="s">
        <v>650</v>
      </c>
      <c r="K202" s="44" t="s">
        <v>23</v>
      </c>
      <c r="L202" s="48" t="s">
        <v>651</v>
      </c>
      <c r="M202" s="48"/>
      <c r="N202" s="125"/>
      <c r="O202" s="266">
        <v>1</v>
      </c>
      <c r="P202" s="138"/>
      <c r="R202" s="146" t="s">
        <v>22</v>
      </c>
      <c r="S202" s="145"/>
      <c r="V202" s="265">
        <v>19.492774716706521</v>
      </c>
      <c r="W202" s="265">
        <f t="shared" si="20"/>
        <v>19.492774716706521</v>
      </c>
      <c r="X202" s="138" t="str">
        <f t="shared" si="21"/>
        <v/>
      </c>
    </row>
    <row r="203" spans="1:24" s="144" customFormat="1" ht="93" customHeight="1" x14ac:dyDescent="0.2">
      <c r="A203" s="19" t="e">
        <f t="shared" si="19"/>
        <v>#REF!</v>
      </c>
      <c r="B203" s="178" t="s">
        <v>652</v>
      </c>
      <c r="C203" s="177" t="s">
        <v>652</v>
      </c>
      <c r="D203" s="490" t="s">
        <v>653</v>
      </c>
      <c r="E203" s="21">
        <f t="shared" si="17"/>
        <v>292</v>
      </c>
      <c r="F203" s="64" t="s">
        <v>108</v>
      </c>
      <c r="G203" s="21" t="s">
        <v>23</v>
      </c>
      <c r="H203" s="21" t="s">
        <v>23</v>
      </c>
      <c r="I203" s="21" t="s">
        <v>26</v>
      </c>
      <c r="J203" s="48" t="s">
        <v>654</v>
      </c>
      <c r="K203" s="44" t="s">
        <v>23</v>
      </c>
      <c r="L203" s="48" t="s">
        <v>655</v>
      </c>
      <c r="M203" s="48"/>
      <c r="N203" s="125"/>
      <c r="O203" s="266">
        <v>1</v>
      </c>
      <c r="P203" s="138"/>
      <c r="R203" s="146" t="s">
        <v>22</v>
      </c>
      <c r="S203" s="145"/>
      <c r="V203" s="265">
        <v>14.17413425445557</v>
      </c>
      <c r="W203" s="265">
        <f t="shared" si="20"/>
        <v>14.17413425445557</v>
      </c>
      <c r="X203" s="138" t="str">
        <f t="shared" si="21"/>
        <v/>
      </c>
    </row>
    <row r="204" spans="1:24" s="144" customFormat="1" ht="93" customHeight="1" x14ac:dyDescent="0.2">
      <c r="A204" s="19" t="e">
        <f t="shared" si="19"/>
        <v>#REF!</v>
      </c>
      <c r="B204" s="178" t="s">
        <v>656</v>
      </c>
      <c r="C204" s="177" t="s">
        <v>656</v>
      </c>
      <c r="D204" s="490" t="s">
        <v>657</v>
      </c>
      <c r="E204" s="21">
        <f t="shared" si="17"/>
        <v>262</v>
      </c>
      <c r="F204" s="64" t="s">
        <v>108</v>
      </c>
      <c r="G204" s="21" t="s">
        <v>23</v>
      </c>
      <c r="H204" s="21" t="s">
        <v>23</v>
      </c>
      <c r="I204" s="21" t="s">
        <v>26</v>
      </c>
      <c r="J204" s="48" t="s">
        <v>658</v>
      </c>
      <c r="K204" s="44" t="s">
        <v>23</v>
      </c>
      <c r="L204" s="48" t="s">
        <v>659</v>
      </c>
      <c r="M204" s="48"/>
      <c r="N204" s="125"/>
      <c r="O204" s="266">
        <v>1</v>
      </c>
      <c r="P204" s="138"/>
      <c r="R204" s="146" t="s">
        <v>22</v>
      </c>
      <c r="S204" s="145"/>
      <c r="V204" s="265">
        <v>13.37862586975098</v>
      </c>
      <c r="W204" s="265">
        <f t="shared" si="20"/>
        <v>13.37862586975098</v>
      </c>
      <c r="X204" s="138" t="str">
        <f t="shared" si="21"/>
        <v/>
      </c>
    </row>
    <row r="205" spans="1:24" s="144" customFormat="1" ht="77.5" customHeight="1" x14ac:dyDescent="0.2">
      <c r="A205" s="19"/>
      <c r="B205" s="178" t="s">
        <v>660</v>
      </c>
      <c r="C205" s="177" t="s">
        <v>660</v>
      </c>
      <c r="D205" s="490" t="s">
        <v>661</v>
      </c>
      <c r="E205" s="21">
        <f t="shared" si="17"/>
        <v>257</v>
      </c>
      <c r="F205" s="64" t="s">
        <v>108</v>
      </c>
      <c r="G205" s="21" t="s">
        <v>23</v>
      </c>
      <c r="H205" s="21" t="s">
        <v>23</v>
      </c>
      <c r="I205" s="21" t="s">
        <v>26</v>
      </c>
      <c r="J205" s="48" t="s">
        <v>662</v>
      </c>
      <c r="K205" s="44" t="s">
        <v>23</v>
      </c>
      <c r="L205" s="48" t="s">
        <v>663</v>
      </c>
      <c r="M205" s="48"/>
      <c r="N205" s="125"/>
      <c r="O205" s="266">
        <v>1</v>
      </c>
      <c r="P205" s="138"/>
      <c r="R205" s="146" t="s">
        <v>22</v>
      </c>
      <c r="S205" s="145"/>
      <c r="V205" s="265">
        <v>12.756523132324221</v>
      </c>
      <c r="W205" s="265">
        <f t="shared" si="20"/>
        <v>12.756523132324221</v>
      </c>
      <c r="X205" s="138" t="str">
        <f t="shared" si="21"/>
        <v/>
      </c>
    </row>
    <row r="206" spans="1:24" s="144" customFormat="1" ht="77.5" customHeight="1" x14ac:dyDescent="0.2">
      <c r="A206" s="19" t="e">
        <f>A204+1</f>
        <v>#REF!</v>
      </c>
      <c r="B206" s="178" t="s">
        <v>664</v>
      </c>
      <c r="C206" s="177" t="s">
        <v>664</v>
      </c>
      <c r="D206" s="490" t="s">
        <v>665</v>
      </c>
      <c r="E206" s="21">
        <f t="shared" si="17"/>
        <v>204</v>
      </c>
      <c r="F206" s="64" t="s">
        <v>34</v>
      </c>
      <c r="G206" s="21" t="s">
        <v>23</v>
      </c>
      <c r="H206" s="21" t="s">
        <v>23</v>
      </c>
      <c r="I206" s="21" t="s">
        <v>35</v>
      </c>
      <c r="J206" s="48" t="s">
        <v>666</v>
      </c>
      <c r="K206" s="44" t="s">
        <v>23</v>
      </c>
      <c r="L206" s="48" t="s">
        <v>667</v>
      </c>
      <c r="M206" s="48"/>
      <c r="N206" s="125"/>
      <c r="O206" s="266">
        <v>1</v>
      </c>
      <c r="P206" s="138"/>
      <c r="R206" s="146" t="s">
        <v>22</v>
      </c>
      <c r="S206" s="145"/>
      <c r="V206" s="265">
        <v>5.8349170684814453</v>
      </c>
      <c r="W206" s="265">
        <f t="shared" si="20"/>
        <v>5.8349170684814453</v>
      </c>
      <c r="X206" s="138" t="str">
        <f t="shared" si="21"/>
        <v/>
      </c>
    </row>
    <row r="207" spans="1:24" s="144" customFormat="1" ht="62" customHeight="1" x14ac:dyDescent="0.2">
      <c r="A207" s="19" t="e">
        <f>A206+1</f>
        <v>#REF!</v>
      </c>
      <c r="B207" s="178" t="s">
        <v>668</v>
      </c>
      <c r="C207" s="177" t="s">
        <v>668</v>
      </c>
      <c r="D207" s="490" t="s">
        <v>669</v>
      </c>
      <c r="E207" s="21">
        <f t="shared" si="17"/>
        <v>169</v>
      </c>
      <c r="F207" s="22" t="s">
        <v>108</v>
      </c>
      <c r="G207" s="21" t="s">
        <v>23</v>
      </c>
      <c r="H207" s="21" t="s">
        <v>23</v>
      </c>
      <c r="I207" s="21" t="s">
        <v>26</v>
      </c>
      <c r="J207" s="48" t="s">
        <v>670</v>
      </c>
      <c r="K207" s="44" t="s">
        <v>23</v>
      </c>
      <c r="L207" s="48" t="s">
        <v>671</v>
      </c>
      <c r="M207" s="48"/>
      <c r="N207" s="125"/>
      <c r="O207" s="266">
        <v>1</v>
      </c>
      <c r="P207" s="138"/>
      <c r="R207" s="146" t="s">
        <v>22</v>
      </c>
      <c r="S207" s="145"/>
      <c r="V207" s="265">
        <v>28.608445494708722</v>
      </c>
      <c r="W207" s="265">
        <f t="shared" si="20"/>
        <v>28.608445494708722</v>
      </c>
      <c r="X207" s="138" t="str">
        <f t="shared" si="21"/>
        <v/>
      </c>
    </row>
    <row r="208" spans="1:24" s="144" customFormat="1" ht="62" customHeight="1" x14ac:dyDescent="0.2">
      <c r="A208" s="19" t="e">
        <f>A207+1</f>
        <v>#REF!</v>
      </c>
      <c r="B208" s="178" t="s">
        <v>672</v>
      </c>
      <c r="C208" s="177" t="s">
        <v>672</v>
      </c>
      <c r="D208" s="490" t="s">
        <v>673</v>
      </c>
      <c r="E208" s="21">
        <f t="shared" si="17"/>
        <v>192</v>
      </c>
      <c r="F208" s="22" t="s">
        <v>108</v>
      </c>
      <c r="G208" s="21" t="s">
        <v>23</v>
      </c>
      <c r="H208" s="21" t="s">
        <v>23</v>
      </c>
      <c r="I208" s="21" t="s">
        <v>26</v>
      </c>
      <c r="J208" s="48" t="s">
        <v>674</v>
      </c>
      <c r="K208" s="44" t="s">
        <v>23</v>
      </c>
      <c r="L208" s="48" t="s">
        <v>675</v>
      </c>
      <c r="M208" s="48"/>
      <c r="N208" s="125"/>
      <c r="O208" s="266">
        <v>1</v>
      </c>
      <c r="P208" s="138"/>
      <c r="R208" s="146" t="s">
        <v>22</v>
      </c>
      <c r="S208" s="145"/>
      <c r="V208" s="265">
        <v>14.61820602416992</v>
      </c>
      <c r="W208" s="265">
        <f t="shared" si="20"/>
        <v>14.61820602416992</v>
      </c>
      <c r="X208" s="138" t="str">
        <f t="shared" si="21"/>
        <v/>
      </c>
    </row>
    <row r="209" spans="1:24" s="144" customFormat="1" ht="62" customHeight="1" x14ac:dyDescent="0.2">
      <c r="A209" s="19" t="e">
        <f>A208+1</f>
        <v>#REF!</v>
      </c>
      <c r="B209" s="253" t="s">
        <v>676</v>
      </c>
      <c r="C209" s="260" t="s">
        <v>676</v>
      </c>
      <c r="D209" s="490" t="s">
        <v>677</v>
      </c>
      <c r="E209" s="21">
        <f t="shared" si="17"/>
        <v>178</v>
      </c>
      <c r="F209" s="22" t="s">
        <v>108</v>
      </c>
      <c r="G209" s="21" t="s">
        <v>23</v>
      </c>
      <c r="H209" s="21" t="s">
        <v>23</v>
      </c>
      <c r="I209" s="21" t="s">
        <v>26</v>
      </c>
      <c r="J209" s="48" t="s">
        <v>678</v>
      </c>
      <c r="K209" s="44" t="s">
        <v>23</v>
      </c>
      <c r="L209" s="48" t="s">
        <v>679</v>
      </c>
      <c r="M209" s="48"/>
      <c r="N209" s="125"/>
      <c r="O209" s="266">
        <v>1</v>
      </c>
      <c r="P209" s="138"/>
      <c r="R209" s="146" t="s">
        <v>22</v>
      </c>
      <c r="S209" s="145"/>
      <c r="V209" s="265">
        <v>13.777663230896</v>
      </c>
      <c r="W209" s="265">
        <f t="shared" si="20"/>
        <v>13.777663230896</v>
      </c>
      <c r="X209" s="138" t="str">
        <f t="shared" si="21"/>
        <v/>
      </c>
    </row>
    <row r="210" spans="1:24" s="144" customFormat="1" ht="62" customHeight="1" x14ac:dyDescent="0.2">
      <c r="A210" s="19" t="e">
        <f>A209+1</f>
        <v>#REF!</v>
      </c>
      <c r="B210" s="178" t="s">
        <v>680</v>
      </c>
      <c r="C210" s="177" t="s">
        <v>680</v>
      </c>
      <c r="D210" s="490" t="s">
        <v>681</v>
      </c>
      <c r="E210" s="21">
        <f t="shared" si="17"/>
        <v>169</v>
      </c>
      <c r="F210" s="22" t="s">
        <v>108</v>
      </c>
      <c r="G210" s="21" t="s">
        <v>23</v>
      </c>
      <c r="H210" s="21" t="s">
        <v>23</v>
      </c>
      <c r="I210" s="21" t="s">
        <v>26</v>
      </c>
      <c r="J210" s="48" t="s">
        <v>682</v>
      </c>
      <c r="K210" s="44" t="s">
        <v>23</v>
      </c>
      <c r="L210" s="48" t="s">
        <v>683</v>
      </c>
      <c r="M210" s="48"/>
      <c r="N210" s="491"/>
      <c r="O210" s="266">
        <v>1</v>
      </c>
      <c r="P210" s="138"/>
      <c r="R210" s="146" t="s">
        <v>22</v>
      </c>
      <c r="S210" s="145"/>
      <c r="V210" s="265">
        <v>12.39977359771729</v>
      </c>
      <c r="W210" s="265">
        <f t="shared" si="20"/>
        <v>12.39977359771729</v>
      </c>
      <c r="X210" s="138" t="str">
        <f t="shared" si="21"/>
        <v/>
      </c>
    </row>
    <row r="211" spans="1:24" s="144" customFormat="1" ht="62.5" customHeight="1" thickBot="1" x14ac:dyDescent="0.25">
      <c r="A211" s="19" t="e">
        <f>A210+1</f>
        <v>#REF!</v>
      </c>
      <c r="B211" s="178" t="s">
        <v>684</v>
      </c>
      <c r="C211" s="177" t="s">
        <v>684</v>
      </c>
      <c r="D211" s="52" t="s">
        <v>685</v>
      </c>
      <c r="E211" s="21">
        <f t="shared" si="17"/>
        <v>190</v>
      </c>
      <c r="F211" s="22" t="s">
        <v>108</v>
      </c>
      <c r="G211" s="448" t="s">
        <v>23</v>
      </c>
      <c r="H211" s="448" t="s">
        <v>23</v>
      </c>
      <c r="I211" s="21" t="s">
        <v>26</v>
      </c>
      <c r="J211" s="51" t="s">
        <v>686</v>
      </c>
      <c r="K211" s="44" t="s">
        <v>23</v>
      </c>
      <c r="L211" s="51" t="s">
        <v>687</v>
      </c>
      <c r="M211" s="51"/>
      <c r="N211" s="491"/>
      <c r="O211" s="266">
        <v>1</v>
      </c>
      <c r="P211" s="138"/>
      <c r="R211" s="146" t="s">
        <v>22</v>
      </c>
      <c r="S211" s="145"/>
      <c r="V211" s="265">
        <v>13.343881607055661</v>
      </c>
      <c r="W211" s="265">
        <f t="shared" si="20"/>
        <v>13.343881607055661</v>
      </c>
      <c r="X211" s="138" t="str">
        <f t="shared" si="21"/>
        <v/>
      </c>
    </row>
    <row r="212" spans="1:24" s="399" customFormat="1" ht="16" customHeight="1" thickBot="1" x14ac:dyDescent="0.25">
      <c r="A212" s="502" t="s">
        <v>688</v>
      </c>
      <c r="B212" s="503"/>
      <c r="C212" s="503"/>
      <c r="D212" s="503"/>
      <c r="E212" s="503"/>
      <c r="F212" s="503"/>
      <c r="G212" s="503"/>
      <c r="H212" s="503"/>
      <c r="I212" s="503"/>
      <c r="J212" s="503"/>
      <c r="K212" s="503"/>
      <c r="L212" s="503"/>
      <c r="M212" s="503"/>
      <c r="N212" s="504"/>
      <c r="O212" s="261"/>
      <c r="P212" s="408"/>
      <c r="R212" s="406"/>
      <c r="S212" s="409"/>
      <c r="V212" s="264"/>
      <c r="W212" s="264" t="str">
        <f t="shared" si="20"/>
        <v/>
      </c>
      <c r="X212" s="408" t="str">
        <f t="shared" si="21"/>
        <v/>
      </c>
    </row>
    <row r="213" spans="1:24" s="228" customFormat="1" ht="248" customHeight="1" x14ac:dyDescent="0.2">
      <c r="A213" s="338" t="e">
        <f>A211+1</f>
        <v>#REF!</v>
      </c>
      <c r="B213" s="230" t="s">
        <v>689</v>
      </c>
      <c r="C213" s="143" t="s">
        <v>689</v>
      </c>
      <c r="D213" s="142" t="s">
        <v>690</v>
      </c>
      <c r="E213" s="141">
        <f>LEN(D213)</f>
        <v>222</v>
      </c>
      <c r="F213" s="151" t="s">
        <v>34</v>
      </c>
      <c r="G213" s="141" t="s">
        <v>23</v>
      </c>
      <c r="H213" s="149" t="s">
        <v>691</v>
      </c>
      <c r="I213" s="149" t="s">
        <v>35</v>
      </c>
      <c r="J213" s="140" t="s">
        <v>692</v>
      </c>
      <c r="K213" s="215" t="s">
        <v>23</v>
      </c>
      <c r="L213" s="140" t="s">
        <v>693</v>
      </c>
      <c r="M213" s="50"/>
      <c r="N213" s="9"/>
      <c r="O213" s="261">
        <v>1</v>
      </c>
      <c r="P213" s="139"/>
      <c r="R213" s="410" t="s">
        <v>31</v>
      </c>
      <c r="S213" s="222"/>
      <c r="V213" s="268">
        <v>14.47277355194092</v>
      </c>
      <c r="W213" s="264">
        <f t="shared" si="20"/>
        <v>14.47277355194092</v>
      </c>
      <c r="X213" s="138">
        <f t="shared" si="21"/>
        <v>14.47277355194092</v>
      </c>
    </row>
    <row r="214" spans="1:24" s="144" customFormat="1" ht="409.5" customHeight="1" x14ac:dyDescent="0.2">
      <c r="A214" s="19" t="e">
        <f>A213+1</f>
        <v>#REF!</v>
      </c>
      <c r="B214" s="230" t="s">
        <v>694</v>
      </c>
      <c r="C214" s="394" t="s">
        <v>695</v>
      </c>
      <c r="D214" s="380" t="s">
        <v>696</v>
      </c>
      <c r="E214" s="149">
        <f>LEN(D214)</f>
        <v>1207</v>
      </c>
      <c r="F214" s="150" t="s">
        <v>514</v>
      </c>
      <c r="G214" s="149" t="s">
        <v>23</v>
      </c>
      <c r="H214" s="149" t="s">
        <v>23</v>
      </c>
      <c r="I214" s="149" t="s">
        <v>697</v>
      </c>
      <c r="J214" s="148" t="s">
        <v>698</v>
      </c>
      <c r="K214" s="215" t="s">
        <v>699</v>
      </c>
      <c r="L214" s="147" t="s">
        <v>700</v>
      </c>
      <c r="M214" s="169"/>
      <c r="N214" s="10"/>
      <c r="O214" s="261">
        <v>1</v>
      </c>
      <c r="P214" s="138"/>
      <c r="R214" s="406" t="s">
        <v>31</v>
      </c>
      <c r="S214" s="145"/>
      <c r="V214" s="264">
        <v>33.740764617919922</v>
      </c>
      <c r="W214" s="264">
        <f t="shared" si="20"/>
        <v>33.740764617919922</v>
      </c>
      <c r="X214" s="138">
        <f t="shared" si="21"/>
        <v>33.740764617919922</v>
      </c>
    </row>
    <row r="215" spans="1:24" s="144" customFormat="1" x14ac:dyDescent="0.2">
      <c r="A215" s="75"/>
      <c r="B215" s="252"/>
      <c r="C215" s="63"/>
      <c r="D215" s="122"/>
      <c r="E215" s="66"/>
      <c r="F215" s="76"/>
      <c r="G215" s="66"/>
      <c r="H215" s="66"/>
      <c r="I215" s="66"/>
      <c r="J215" s="58"/>
      <c r="K215" s="43"/>
      <c r="L215" s="251"/>
      <c r="M215" s="251"/>
      <c r="N215" s="10"/>
      <c r="O215" s="266">
        <v>1</v>
      </c>
      <c r="P215" s="138"/>
      <c r="R215" s="146"/>
      <c r="S215" s="145"/>
      <c r="V215" s="265"/>
      <c r="W215" s="265" t="str">
        <f t="shared" si="20"/>
        <v/>
      </c>
      <c r="X215" s="138" t="str">
        <f t="shared" si="21"/>
        <v/>
      </c>
    </row>
    <row r="216" spans="1:24" s="144" customFormat="1" ht="263.5" customHeight="1" x14ac:dyDescent="0.2">
      <c r="A216" s="350" t="e">
        <f>A214+1</f>
        <v>#REF!</v>
      </c>
      <c r="B216" s="180" t="s">
        <v>701</v>
      </c>
      <c r="C216" s="150" t="s">
        <v>702</v>
      </c>
      <c r="D216" s="380" t="s">
        <v>703</v>
      </c>
      <c r="E216" s="132">
        <f>LEN(D216)</f>
        <v>497</v>
      </c>
      <c r="F216" s="395" t="s">
        <v>514</v>
      </c>
      <c r="G216" s="132" t="s">
        <v>23</v>
      </c>
      <c r="H216" s="132" t="s">
        <v>23</v>
      </c>
      <c r="I216" s="132" t="s">
        <v>704</v>
      </c>
      <c r="J216" s="379" t="s">
        <v>705</v>
      </c>
      <c r="K216" s="215" t="s">
        <v>706</v>
      </c>
      <c r="L216" s="379" t="s">
        <v>707</v>
      </c>
      <c r="M216" s="58"/>
      <c r="N216" s="10"/>
      <c r="O216" s="266">
        <v>1</v>
      </c>
      <c r="P216" s="138"/>
      <c r="R216" s="406" t="s">
        <v>31</v>
      </c>
      <c r="S216" s="145"/>
      <c r="V216" s="264">
        <v>14.55059909820557</v>
      </c>
      <c r="W216" s="264">
        <f t="shared" si="20"/>
        <v>14.55059909820557</v>
      </c>
      <c r="X216" s="138">
        <f t="shared" si="21"/>
        <v>14.55059909820557</v>
      </c>
    </row>
    <row r="217" spans="1:24" s="144" customFormat="1" ht="232.5" customHeight="1" x14ac:dyDescent="0.2">
      <c r="A217" s="350" t="e">
        <f>A216+1</f>
        <v>#REF!</v>
      </c>
      <c r="B217" s="396" t="s">
        <v>708</v>
      </c>
      <c r="C217" s="397" t="s">
        <v>708</v>
      </c>
      <c r="D217" s="380" t="s">
        <v>709</v>
      </c>
      <c r="E217" s="132">
        <f>LEN(D217)</f>
        <v>460</v>
      </c>
      <c r="F217" s="395" t="s">
        <v>34</v>
      </c>
      <c r="G217" s="132" t="s">
        <v>23</v>
      </c>
      <c r="H217" s="398" t="s">
        <v>23</v>
      </c>
      <c r="I217" s="132" t="s">
        <v>35</v>
      </c>
      <c r="J217" s="392" t="s">
        <v>710</v>
      </c>
      <c r="K217" s="419" t="s">
        <v>23</v>
      </c>
      <c r="L217" s="157" t="s">
        <v>711</v>
      </c>
      <c r="M217" s="43"/>
      <c r="N217" s="10"/>
      <c r="O217" s="266">
        <v>1</v>
      </c>
      <c r="P217" s="138"/>
      <c r="R217" s="406" t="s">
        <v>31</v>
      </c>
      <c r="S217" s="145"/>
      <c r="V217" s="264">
        <v>10.812456130981451</v>
      </c>
      <c r="W217" s="264">
        <f t="shared" si="20"/>
        <v>10.812456130981451</v>
      </c>
      <c r="X217" s="138">
        <f t="shared" si="21"/>
        <v>10.812456130981451</v>
      </c>
    </row>
    <row r="218" spans="1:24" s="144" customFormat="1" x14ac:dyDescent="0.2">
      <c r="A218" s="75"/>
      <c r="B218" s="252"/>
      <c r="C218" s="63"/>
      <c r="D218" s="122"/>
      <c r="E218" s="66"/>
      <c r="F218" s="76"/>
      <c r="G218" s="66"/>
      <c r="H218" s="66"/>
      <c r="I218" s="66"/>
      <c r="J218" s="58"/>
      <c r="K218" s="43"/>
      <c r="L218" s="251"/>
      <c r="M218" s="352"/>
      <c r="N218" s="25"/>
      <c r="O218" s="266">
        <v>1</v>
      </c>
      <c r="P218" s="138"/>
      <c r="R218" s="146"/>
      <c r="S218" s="145"/>
      <c r="V218" s="265"/>
      <c r="W218" s="265" t="str">
        <f t="shared" si="20"/>
        <v/>
      </c>
      <c r="X218" s="138" t="str">
        <f t="shared" si="21"/>
        <v/>
      </c>
    </row>
    <row r="219" spans="1:24" s="144" customFormat="1" ht="170.5" customHeight="1" x14ac:dyDescent="0.2">
      <c r="A219" s="16"/>
      <c r="B219" s="470" t="s">
        <v>712</v>
      </c>
      <c r="C219" s="471" t="s">
        <v>713</v>
      </c>
      <c r="D219" s="468" t="s">
        <v>714</v>
      </c>
      <c r="E219" s="472">
        <f>LEN(D219)</f>
        <v>188</v>
      </c>
      <c r="F219" s="473" t="s">
        <v>199</v>
      </c>
      <c r="G219" s="472" t="s">
        <v>23</v>
      </c>
      <c r="H219" s="474" t="s">
        <v>23</v>
      </c>
      <c r="I219" s="472" t="s">
        <v>715</v>
      </c>
      <c r="J219" s="469" t="s">
        <v>716</v>
      </c>
      <c r="K219" s="466" t="s">
        <v>717</v>
      </c>
      <c r="L219" s="467" t="s">
        <v>718</v>
      </c>
      <c r="M219" s="475"/>
      <c r="N219" s="35"/>
      <c r="O219" s="266">
        <v>1</v>
      </c>
      <c r="P219" s="138"/>
      <c r="R219" s="146" t="s">
        <v>22</v>
      </c>
      <c r="S219" s="145"/>
      <c r="V219" s="265">
        <v>10.812456130981451</v>
      </c>
      <c r="W219" s="265">
        <f t="shared" si="20"/>
        <v>10.812456130981451</v>
      </c>
      <c r="X219" s="138" t="str">
        <f t="shared" si="21"/>
        <v/>
      </c>
    </row>
    <row r="220" spans="1:24" s="144" customFormat="1" ht="16" customHeight="1" thickBot="1" x14ac:dyDescent="0.25">
      <c r="A220" s="75"/>
      <c r="B220" s="252"/>
      <c r="C220" s="63"/>
      <c r="D220" s="122"/>
      <c r="E220" s="66"/>
      <c r="F220" s="76"/>
      <c r="G220" s="66"/>
      <c r="H220" s="66"/>
      <c r="I220" s="66"/>
      <c r="J220" s="58"/>
      <c r="K220" s="43"/>
      <c r="L220" s="251"/>
      <c r="M220" s="251"/>
      <c r="N220" s="10"/>
      <c r="O220" s="266">
        <v>1</v>
      </c>
      <c r="P220" s="138"/>
      <c r="R220" s="146"/>
      <c r="S220" s="145"/>
      <c r="V220" s="265"/>
      <c r="W220" s="265" t="str">
        <f t="shared" si="20"/>
        <v/>
      </c>
      <c r="X220" s="138" t="str">
        <f t="shared" si="21"/>
        <v/>
      </c>
    </row>
    <row r="221" spans="1:24" s="399" customFormat="1" ht="16" customHeight="1" thickBot="1" x14ac:dyDescent="0.25">
      <c r="A221" s="502" t="s">
        <v>719</v>
      </c>
      <c r="B221" s="503"/>
      <c r="C221" s="503"/>
      <c r="D221" s="503"/>
      <c r="E221" s="503"/>
      <c r="F221" s="503"/>
      <c r="G221" s="503"/>
      <c r="H221" s="503"/>
      <c r="I221" s="503"/>
      <c r="J221" s="503"/>
      <c r="K221" s="503"/>
      <c r="L221" s="503"/>
      <c r="M221" s="503"/>
      <c r="N221" s="504"/>
      <c r="O221" s="261"/>
      <c r="P221" s="408"/>
      <c r="R221" s="406"/>
      <c r="S221" s="409"/>
      <c r="V221" s="264"/>
      <c r="W221" s="264" t="str">
        <f t="shared" si="20"/>
        <v/>
      </c>
      <c r="X221" s="408" t="str">
        <f t="shared" si="21"/>
        <v/>
      </c>
    </row>
    <row r="222" spans="1:24" s="144" customFormat="1" ht="108.5" customHeight="1" x14ac:dyDescent="0.2">
      <c r="A222" s="62" t="s">
        <v>23</v>
      </c>
      <c r="B222" s="230" t="s">
        <v>720</v>
      </c>
      <c r="C222" s="143" t="s">
        <v>720</v>
      </c>
      <c r="D222" s="142" t="s">
        <v>721</v>
      </c>
      <c r="E222" s="141">
        <f t="shared" ref="E222:E228" si="22">LEN(D222)</f>
        <v>162</v>
      </c>
      <c r="F222" s="141" t="s">
        <v>34</v>
      </c>
      <c r="G222" s="141" t="s">
        <v>23</v>
      </c>
      <c r="H222" s="141" t="s">
        <v>23</v>
      </c>
      <c r="I222" s="141" t="s">
        <v>35</v>
      </c>
      <c r="J222" s="140" t="s">
        <v>722</v>
      </c>
      <c r="K222" s="215" t="s">
        <v>23</v>
      </c>
      <c r="L222" s="140" t="s">
        <v>723</v>
      </c>
      <c r="M222" s="50"/>
      <c r="N222" s="9"/>
      <c r="O222" s="261">
        <v>1</v>
      </c>
      <c r="P222" s="138"/>
      <c r="R222" s="406" t="s">
        <v>31</v>
      </c>
      <c r="S222" s="145"/>
      <c r="V222" s="264">
        <v>14.946464538574221</v>
      </c>
      <c r="W222" s="264">
        <f t="shared" si="20"/>
        <v>14.946464538574221</v>
      </c>
      <c r="X222" s="138">
        <f t="shared" si="21"/>
        <v>14.946464538574221</v>
      </c>
    </row>
    <row r="223" spans="1:24" s="279" customFormat="1" ht="137.25" customHeight="1" x14ac:dyDescent="0.2">
      <c r="A223" s="272"/>
      <c r="B223" s="400" t="s">
        <v>724</v>
      </c>
      <c r="C223" s="401" t="s">
        <v>724</v>
      </c>
      <c r="D223" s="402" t="s">
        <v>725</v>
      </c>
      <c r="E223" s="403">
        <f t="shared" si="22"/>
        <v>144</v>
      </c>
      <c r="F223" s="403" t="s">
        <v>34</v>
      </c>
      <c r="G223" s="403" t="s">
        <v>23</v>
      </c>
      <c r="H223" s="403" t="s">
        <v>23</v>
      </c>
      <c r="I223" s="403" t="s">
        <v>35</v>
      </c>
      <c r="J223" s="273" t="s">
        <v>726</v>
      </c>
      <c r="K223" s="44" t="s">
        <v>23</v>
      </c>
      <c r="L223" s="273" t="s">
        <v>727</v>
      </c>
      <c r="M223" s="273"/>
      <c r="N223" s="274"/>
      <c r="O223" s="337">
        <v>1</v>
      </c>
      <c r="P223" s="278"/>
      <c r="R223" s="280" t="s">
        <v>728</v>
      </c>
      <c r="S223" s="281"/>
      <c r="V223" s="275">
        <v>16.684934616088871</v>
      </c>
      <c r="W223" s="265">
        <f t="shared" si="20"/>
        <v>16.684934616088871</v>
      </c>
      <c r="X223" s="138" t="str">
        <f t="shared" si="21"/>
        <v/>
      </c>
    </row>
    <row r="224" spans="1:24" s="284" customFormat="1" ht="170.5" customHeight="1" x14ac:dyDescent="0.2">
      <c r="A224" s="282"/>
      <c r="B224" s="400" t="s">
        <v>729</v>
      </c>
      <c r="C224" s="401" t="s">
        <v>729</v>
      </c>
      <c r="D224" s="402" t="s">
        <v>730</v>
      </c>
      <c r="E224" s="403">
        <f t="shared" si="22"/>
        <v>235</v>
      </c>
      <c r="F224" s="403" t="s">
        <v>76</v>
      </c>
      <c r="G224" s="403" t="s">
        <v>23</v>
      </c>
      <c r="H224" s="403" t="s">
        <v>23</v>
      </c>
      <c r="I224" s="403" t="s">
        <v>77</v>
      </c>
      <c r="J224" s="273" t="s">
        <v>731</v>
      </c>
      <c r="K224" s="44" t="s">
        <v>23</v>
      </c>
      <c r="L224" s="273" t="s">
        <v>732</v>
      </c>
      <c r="M224" s="273"/>
      <c r="N224" s="274"/>
      <c r="O224" s="337">
        <v>1</v>
      </c>
      <c r="P224" s="283"/>
      <c r="R224" s="280" t="s">
        <v>728</v>
      </c>
      <c r="S224" s="285"/>
      <c r="V224" s="275">
        <v>15.116804122924799</v>
      </c>
      <c r="W224" s="265">
        <f t="shared" si="20"/>
        <v>15.116804122924799</v>
      </c>
      <c r="X224" s="138" t="str">
        <f t="shared" si="21"/>
        <v/>
      </c>
    </row>
    <row r="225" spans="1:24" s="284" customFormat="1" ht="46.5" customHeight="1" x14ac:dyDescent="0.2">
      <c r="A225" s="282"/>
      <c r="B225" s="400" t="s">
        <v>733</v>
      </c>
      <c r="C225" s="401" t="s">
        <v>733</v>
      </c>
      <c r="D225" s="404" t="s">
        <v>734</v>
      </c>
      <c r="E225" s="403">
        <f t="shared" si="22"/>
        <v>71</v>
      </c>
      <c r="F225" s="403" t="s">
        <v>25</v>
      </c>
      <c r="G225" s="405" t="s">
        <v>23</v>
      </c>
      <c r="H225" s="405" t="s">
        <v>23</v>
      </c>
      <c r="I225" s="405" t="s">
        <v>77</v>
      </c>
      <c r="J225" s="273" t="s">
        <v>735</v>
      </c>
      <c r="K225" s="44" t="s">
        <v>23</v>
      </c>
      <c r="L225" s="273" t="s">
        <v>736</v>
      </c>
      <c r="M225" s="273"/>
      <c r="N225" s="274"/>
      <c r="O225" s="337">
        <v>1</v>
      </c>
      <c r="P225" s="283"/>
      <c r="R225" s="280" t="s">
        <v>728</v>
      </c>
      <c r="S225" s="285"/>
      <c r="V225" s="275">
        <v>25.539003372192379</v>
      </c>
      <c r="W225" s="265">
        <f t="shared" si="20"/>
        <v>25.539003372192379</v>
      </c>
      <c r="X225" s="138" t="str">
        <f t="shared" si="21"/>
        <v/>
      </c>
    </row>
    <row r="226" spans="1:24" s="284" customFormat="1" ht="46.5" customHeight="1" x14ac:dyDescent="0.2">
      <c r="A226" s="282"/>
      <c r="B226" s="400" t="s">
        <v>737</v>
      </c>
      <c r="C226" s="401" t="s">
        <v>737</v>
      </c>
      <c r="D226" s="404" t="s">
        <v>738</v>
      </c>
      <c r="E226" s="403">
        <f t="shared" si="22"/>
        <v>92</v>
      </c>
      <c r="F226" s="403" t="s">
        <v>25</v>
      </c>
      <c r="G226" s="403" t="s">
        <v>23</v>
      </c>
      <c r="H226" s="403" t="s">
        <v>23</v>
      </c>
      <c r="I226" s="405" t="s">
        <v>26</v>
      </c>
      <c r="J226" s="273" t="s">
        <v>739</v>
      </c>
      <c r="K226" s="44" t="s">
        <v>23</v>
      </c>
      <c r="L226" s="273" t="s">
        <v>740</v>
      </c>
      <c r="M226" s="273"/>
      <c r="N226" s="274"/>
      <c r="O226" s="337">
        <v>1</v>
      </c>
      <c r="P226" s="283"/>
      <c r="R226" s="280" t="s">
        <v>728</v>
      </c>
      <c r="S226" s="285"/>
      <c r="V226" s="275">
        <v>13.714834213256839</v>
      </c>
      <c r="W226" s="265">
        <f t="shared" si="20"/>
        <v>13.714834213256839</v>
      </c>
      <c r="X226" s="138" t="str">
        <f t="shared" si="21"/>
        <v/>
      </c>
    </row>
    <row r="227" spans="1:24" s="285" customFormat="1" ht="170.5" customHeight="1" x14ac:dyDescent="0.2">
      <c r="A227" s="336"/>
      <c r="B227" s="286" t="s">
        <v>741</v>
      </c>
      <c r="C227" s="287" t="s">
        <v>742</v>
      </c>
      <c r="D227" s="365" t="s">
        <v>743</v>
      </c>
      <c r="E227" s="289">
        <f t="shared" si="22"/>
        <v>166</v>
      </c>
      <c r="F227" s="289" t="s">
        <v>199</v>
      </c>
      <c r="G227" s="289" t="s">
        <v>23</v>
      </c>
      <c r="H227" s="289" t="s">
        <v>23</v>
      </c>
      <c r="I227" s="289" t="s">
        <v>616</v>
      </c>
      <c r="J227" s="290" t="s">
        <v>744</v>
      </c>
      <c r="K227" s="215" t="s">
        <v>23</v>
      </c>
      <c r="L227" s="291" t="s">
        <v>745</v>
      </c>
      <c r="M227" s="273"/>
      <c r="N227" s="292"/>
      <c r="O227" s="276">
        <v>1</v>
      </c>
      <c r="P227" s="283"/>
      <c r="R227" s="407" t="s">
        <v>119</v>
      </c>
      <c r="V227" s="417">
        <v>19.354913711547852</v>
      </c>
      <c r="W227" s="264">
        <f t="shared" si="20"/>
        <v>19.354913711547852</v>
      </c>
      <c r="X227" s="138" t="str">
        <f t="shared" si="21"/>
        <v/>
      </c>
    </row>
    <row r="228" spans="1:24" s="285" customFormat="1" ht="120" customHeight="1" x14ac:dyDescent="0.2">
      <c r="A228" s="336"/>
      <c r="B228" s="286" t="s">
        <v>746</v>
      </c>
      <c r="C228" s="287" t="s">
        <v>747</v>
      </c>
      <c r="D228" s="288" t="s">
        <v>748</v>
      </c>
      <c r="E228" s="289">
        <f t="shared" si="22"/>
        <v>130</v>
      </c>
      <c r="F228" s="289" t="s">
        <v>199</v>
      </c>
      <c r="G228" s="289" t="s">
        <v>23</v>
      </c>
      <c r="H228" s="289" t="s">
        <v>23</v>
      </c>
      <c r="I228" s="289" t="s">
        <v>616</v>
      </c>
      <c r="J228" s="290" t="s">
        <v>749</v>
      </c>
      <c r="K228" s="215" t="s">
        <v>23</v>
      </c>
      <c r="L228" s="291" t="s">
        <v>750</v>
      </c>
      <c r="M228" s="273"/>
      <c r="N228" s="292"/>
      <c r="O228" s="276">
        <v>1</v>
      </c>
      <c r="P228" s="283"/>
      <c r="R228" s="407" t="s">
        <v>119</v>
      </c>
      <c r="V228" s="417">
        <v>15.88939952850342</v>
      </c>
      <c r="W228" s="264">
        <f t="shared" si="20"/>
        <v>15.88939952850342</v>
      </c>
      <c r="X228" s="138" t="str">
        <f t="shared" si="21"/>
        <v/>
      </c>
    </row>
    <row r="229" spans="1:24" s="136" customFormat="1" x14ac:dyDescent="0.2">
      <c r="A229" s="250"/>
      <c r="B229" s="249"/>
      <c r="C229" s="248"/>
      <c r="D229" s="247"/>
      <c r="E229" s="246"/>
      <c r="F229" s="246"/>
      <c r="G229" s="245"/>
      <c r="H229" s="245"/>
      <c r="I229" s="245"/>
      <c r="J229" s="244"/>
      <c r="K229" s="48"/>
      <c r="L229" s="244"/>
      <c r="M229" s="243"/>
      <c r="N229" s="242"/>
      <c r="O229" s="266">
        <v>1</v>
      </c>
      <c r="P229" s="138"/>
      <c r="R229" s="137"/>
      <c r="V229" s="269"/>
      <c r="W229" s="265" t="str">
        <f t="shared" si="20"/>
        <v/>
      </c>
      <c r="X229" s="138" t="str">
        <f t="shared" si="21"/>
        <v/>
      </c>
    </row>
    <row r="230" spans="1:24" s="228" customFormat="1" ht="93.5" customHeight="1" thickBot="1" x14ac:dyDescent="0.25">
      <c r="A230" s="335" t="s">
        <v>23</v>
      </c>
      <c r="B230" s="229" t="s">
        <v>751</v>
      </c>
      <c r="C230" s="134" t="s">
        <v>751</v>
      </c>
      <c r="D230" s="430" t="s">
        <v>752</v>
      </c>
      <c r="E230" s="133">
        <f>LEN(D230)</f>
        <v>158</v>
      </c>
      <c r="F230" s="133" t="s">
        <v>34</v>
      </c>
      <c r="G230" s="133" t="s">
        <v>23</v>
      </c>
      <c r="H230" s="133" t="s">
        <v>23</v>
      </c>
      <c r="I230" s="133" t="s">
        <v>35</v>
      </c>
      <c r="J230" s="153" t="s">
        <v>753</v>
      </c>
      <c r="K230" s="215" t="s">
        <v>23</v>
      </c>
      <c r="L230" s="241" t="s">
        <v>23</v>
      </c>
      <c r="M230" s="123"/>
      <c r="N230" s="240"/>
      <c r="O230" s="261">
        <v>1</v>
      </c>
      <c r="P230" s="138"/>
      <c r="R230" s="406" t="s">
        <v>31</v>
      </c>
      <c r="S230" s="145"/>
      <c r="V230" s="264">
        <v>17.309154088391789</v>
      </c>
      <c r="W230" s="264">
        <f t="shared" si="20"/>
        <v>17.309154088391789</v>
      </c>
      <c r="X230" s="138">
        <f t="shared" si="21"/>
        <v>17.309154088391789</v>
      </c>
    </row>
    <row r="231" spans="1:24" s="144" customFormat="1" ht="31.5" customHeight="1" thickBot="1" x14ac:dyDescent="0.25">
      <c r="A231" s="334" t="s">
        <v>23</v>
      </c>
      <c r="B231" s="227" t="s">
        <v>754</v>
      </c>
      <c r="C231" s="131" t="s">
        <v>754</v>
      </c>
      <c r="D231" s="130" t="s">
        <v>755</v>
      </c>
      <c r="E231" s="129">
        <f>LEN(D231)</f>
        <v>141</v>
      </c>
      <c r="F231" s="129" t="s">
        <v>23</v>
      </c>
      <c r="G231" s="129" t="s">
        <v>23</v>
      </c>
      <c r="H231" s="129" t="s">
        <v>23</v>
      </c>
      <c r="I231" s="129" t="s">
        <v>23</v>
      </c>
      <c r="J231" s="128" t="s">
        <v>23</v>
      </c>
      <c r="K231" s="128"/>
      <c r="L231" s="127" t="s">
        <v>23</v>
      </c>
      <c r="M231" s="60"/>
      <c r="N231" s="61"/>
      <c r="O231" s="261">
        <v>1</v>
      </c>
      <c r="P231" s="145"/>
      <c r="R231" s="146" t="s">
        <v>22</v>
      </c>
      <c r="S231" s="145"/>
      <c r="V231" s="270"/>
      <c r="W231" s="264" t="str">
        <f t="shared" ref="W231" si="23">IF(V231="","",V231*O231)</f>
        <v/>
      </c>
      <c r="X231" s="138" t="str">
        <f t="shared" ref="X231" si="24">IF(R231="yes",W231,"")</f>
        <v/>
      </c>
    </row>
    <row r="232" spans="1:24" x14ac:dyDescent="0.2">
      <c r="V232" s="333"/>
    </row>
    <row r="233" spans="1:24" ht="16" customHeight="1" thickBot="1" x14ac:dyDescent="0.25"/>
    <row r="234" spans="1:24" ht="18" customHeight="1" thickBot="1" x14ac:dyDescent="0.25">
      <c r="D234" s="226" t="s">
        <v>756</v>
      </c>
      <c r="E234" s="225"/>
      <c r="F234" s="225"/>
      <c r="G234" s="225"/>
      <c r="H234" s="225"/>
      <c r="I234" s="225"/>
      <c r="J234" s="225"/>
      <c r="K234" s="225"/>
      <c r="L234" s="225"/>
      <c r="M234" s="225"/>
      <c r="N234" s="225"/>
      <c r="O234" s="327"/>
      <c r="V234" s="328"/>
      <c r="W234" s="414">
        <f>(SUM(W5:W232))/60</f>
        <v>31.611678300899808</v>
      </c>
      <c r="X234" s="413">
        <f>SUM(X2:X231)/60</f>
        <v>17.196160773249527</v>
      </c>
    </row>
    <row r="235" spans="1:24" ht="16" hidden="1" customHeight="1" thickBot="1" x14ac:dyDescent="0.25">
      <c r="D235" s="332" t="s">
        <v>757</v>
      </c>
      <c r="E235" s="331"/>
      <c r="F235" s="331"/>
      <c r="G235" s="331"/>
      <c r="H235" s="331"/>
      <c r="I235" s="331"/>
      <c r="J235" s="331"/>
      <c r="K235" s="331"/>
      <c r="L235" s="331"/>
      <c r="M235" s="331"/>
      <c r="N235" s="331"/>
      <c r="O235" s="329"/>
      <c r="V235" s="330"/>
      <c r="W235" s="415">
        <f>(SUM(W6:W150)+SUM(W171:W232))/60</f>
        <v>31.512035131854358</v>
      </c>
    </row>
    <row r="236" spans="1:24" ht="16" customHeight="1" thickBot="1" x14ac:dyDescent="0.25">
      <c r="D236" s="226" t="s">
        <v>758</v>
      </c>
      <c r="E236" s="225"/>
      <c r="F236" s="225"/>
      <c r="G236" s="225"/>
      <c r="H236" s="225"/>
      <c r="I236" s="225"/>
      <c r="J236" s="225"/>
      <c r="K236" s="225"/>
      <c r="L236" s="225"/>
      <c r="M236" s="225"/>
      <c r="N236" s="225"/>
      <c r="O236" s="327"/>
      <c r="V236" s="328"/>
      <c r="W236" s="416">
        <f>(SUM(W6:W26)+SUM(W35:W150)+SUM(W170:W222)+SUM(W229:W232))/60</f>
        <v>28.007820491395936</v>
      </c>
    </row>
  </sheetData>
  <sheetProtection algorithmName="SHA-512" hashValue="98KfjpjjhvHmmUdrmODBDYHGgQoY3nyfA5T78mt8/sVkx1DVJrTEd8k9c5HYU36Gzn9eRzN/71plNNPNGwg16Q==" saltValue="BnBB6keCi8PEykNzOY6Y+g==" spinCount="100000" sheet="1" formatCells="0" formatRows="0" insertRows="0" deleteRows="0"/>
  <autoFilter ref="A3:XEN3" xr:uid="{00000000-0009-0000-0000-000000000000}"/>
  <mergeCells count="21">
    <mergeCell ref="A212:N212"/>
    <mergeCell ref="A221:N221"/>
    <mergeCell ref="A95:N95"/>
    <mergeCell ref="A121:N121"/>
    <mergeCell ref="A129:N129"/>
    <mergeCell ref="A143:N143"/>
    <mergeCell ref="A151:N151"/>
    <mergeCell ref="A170:N170"/>
    <mergeCell ref="N111:N113"/>
    <mergeCell ref="A58:N58"/>
    <mergeCell ref="N65:N66"/>
    <mergeCell ref="N77:N78"/>
    <mergeCell ref="A162:N162"/>
    <mergeCell ref="L36:L37"/>
    <mergeCell ref="A41:N41"/>
    <mergeCell ref="N48:N50"/>
    <mergeCell ref="A1:N1"/>
    <mergeCell ref="A2:M2"/>
    <mergeCell ref="N2:N3"/>
    <mergeCell ref="A4:N4"/>
    <mergeCell ref="A21:N21"/>
  </mergeCells>
  <conditionalFormatting sqref="B14 B16:B19">
    <cfRule type="duplicateValues" dxfId="179" priority="485"/>
  </conditionalFormatting>
  <conditionalFormatting sqref="B15">
    <cfRule type="duplicateValues" dxfId="178" priority="88"/>
    <cfRule type="duplicateValues" dxfId="177" priority="89"/>
  </conditionalFormatting>
  <conditionalFormatting sqref="B20">
    <cfRule type="duplicateValues" dxfId="176" priority="484"/>
  </conditionalFormatting>
  <conditionalFormatting sqref="B28">
    <cfRule type="duplicateValues" dxfId="175" priority="342"/>
  </conditionalFormatting>
  <conditionalFormatting sqref="B34:B35">
    <cfRule type="duplicateValues" dxfId="174" priority="335"/>
  </conditionalFormatting>
  <conditionalFormatting sqref="B36:B37">
    <cfRule type="duplicateValues" dxfId="173" priority="105"/>
  </conditionalFormatting>
  <conditionalFormatting sqref="B38">
    <cfRule type="duplicateValues" dxfId="172" priority="94"/>
  </conditionalFormatting>
  <conditionalFormatting sqref="B48">
    <cfRule type="duplicateValues" dxfId="171" priority="496"/>
  </conditionalFormatting>
  <conditionalFormatting sqref="B49">
    <cfRule type="duplicateValues" dxfId="170" priority="498"/>
  </conditionalFormatting>
  <conditionalFormatting sqref="B50:B51">
    <cfRule type="duplicateValues" dxfId="169" priority="456"/>
  </conditionalFormatting>
  <conditionalFormatting sqref="B54:B55">
    <cfRule type="duplicateValues" dxfId="168" priority="454"/>
  </conditionalFormatting>
  <conditionalFormatting sqref="B61:B63">
    <cfRule type="duplicateValues" dxfId="167" priority="104"/>
  </conditionalFormatting>
  <conditionalFormatting sqref="B66 B69">
    <cfRule type="duplicateValues" dxfId="166" priority="482"/>
  </conditionalFormatting>
  <conditionalFormatting sqref="B67">
    <cfRule type="duplicateValues" dxfId="165" priority="120"/>
  </conditionalFormatting>
  <conditionalFormatting sqref="B68">
    <cfRule type="duplicateValues" dxfId="164" priority="122"/>
  </conditionalFormatting>
  <conditionalFormatting sqref="B73:B75">
    <cfRule type="duplicateValues" dxfId="163" priority="100"/>
  </conditionalFormatting>
  <conditionalFormatting sqref="B76">
    <cfRule type="duplicateValues" dxfId="162" priority="617"/>
  </conditionalFormatting>
  <conditionalFormatting sqref="B77">
    <cfRule type="duplicateValues" dxfId="161" priority="449"/>
  </conditionalFormatting>
  <conditionalFormatting sqref="B78 B81">
    <cfRule type="duplicateValues" dxfId="160" priority="480"/>
  </conditionalFormatting>
  <conditionalFormatting sqref="B79">
    <cfRule type="duplicateValues" dxfId="159" priority="113"/>
  </conditionalFormatting>
  <conditionalFormatting sqref="B80">
    <cfRule type="duplicateValues" dxfId="158" priority="114"/>
  </conditionalFormatting>
  <conditionalFormatting sqref="B85:B87">
    <cfRule type="duplicateValues" dxfId="157" priority="96"/>
  </conditionalFormatting>
  <conditionalFormatting sqref="B88">
    <cfRule type="duplicateValues" dxfId="156" priority="655"/>
  </conditionalFormatting>
  <conditionalFormatting sqref="B89">
    <cfRule type="duplicateValues" dxfId="155" priority="109"/>
  </conditionalFormatting>
  <conditionalFormatting sqref="B90">
    <cfRule type="duplicateValues" dxfId="154" priority="110"/>
  </conditionalFormatting>
  <conditionalFormatting sqref="B91">
    <cfRule type="duplicateValues" dxfId="153" priority="302"/>
  </conditionalFormatting>
  <conditionalFormatting sqref="B94">
    <cfRule type="duplicateValues" dxfId="152" priority="442"/>
  </conditionalFormatting>
  <conditionalFormatting sqref="B105">
    <cfRule type="duplicateValues" dxfId="151" priority="106"/>
  </conditionalFormatting>
  <conditionalFormatting sqref="B107">
    <cfRule type="duplicateValues" dxfId="150" priority="295"/>
  </conditionalFormatting>
  <conditionalFormatting sqref="B108:B110">
    <cfRule type="duplicateValues" dxfId="149" priority="475"/>
  </conditionalFormatting>
  <conditionalFormatting sqref="B114">
    <cfRule type="duplicateValues" dxfId="148" priority="301"/>
  </conditionalFormatting>
  <conditionalFormatting sqref="B116">
    <cfRule type="duplicateValues" dxfId="147" priority="488"/>
  </conditionalFormatting>
  <conditionalFormatting sqref="B117">
    <cfRule type="duplicateValues" dxfId="146" priority="291"/>
  </conditionalFormatting>
  <conditionalFormatting sqref="B118">
    <cfRule type="duplicateValues" dxfId="145" priority="446"/>
  </conditionalFormatting>
  <conditionalFormatting sqref="B119">
    <cfRule type="duplicateValues" dxfId="144" priority="493"/>
  </conditionalFormatting>
  <conditionalFormatting sqref="B120">
    <cfRule type="duplicateValues" dxfId="143" priority="300"/>
  </conditionalFormatting>
  <conditionalFormatting sqref="B122:B123">
    <cfRule type="duplicateValues" dxfId="142" priority="535"/>
  </conditionalFormatting>
  <conditionalFormatting sqref="B126">
    <cfRule type="duplicateValues" dxfId="141" priority="339"/>
  </conditionalFormatting>
  <conditionalFormatting sqref="B128">
    <cfRule type="duplicateValues" dxfId="140" priority="93"/>
  </conditionalFormatting>
  <conditionalFormatting sqref="B131">
    <cfRule type="duplicateValues" dxfId="139" priority="338"/>
  </conditionalFormatting>
  <conditionalFormatting sqref="B137">
    <cfRule type="duplicateValues" dxfId="138" priority="489"/>
  </conditionalFormatting>
  <conditionalFormatting sqref="B138">
    <cfRule type="duplicateValues" dxfId="137" priority="299"/>
  </conditionalFormatting>
  <conditionalFormatting sqref="B140">
    <cfRule type="duplicateValues" dxfId="136" priority="486"/>
    <cfRule type="duplicateValues" dxfId="135" priority="487"/>
  </conditionalFormatting>
  <conditionalFormatting sqref="B141">
    <cfRule type="duplicateValues" dxfId="134" priority="492"/>
  </conditionalFormatting>
  <conditionalFormatting sqref="B142">
    <cfRule type="duplicateValues" dxfId="133" priority="298"/>
  </conditionalFormatting>
  <conditionalFormatting sqref="B147:B148">
    <cfRule type="duplicateValues" dxfId="132" priority="473"/>
  </conditionalFormatting>
  <conditionalFormatting sqref="B150">
    <cfRule type="duplicateValues" dxfId="131" priority="443"/>
  </conditionalFormatting>
  <conditionalFormatting sqref="B152">
    <cfRule type="duplicateValues" dxfId="130" priority="444"/>
  </conditionalFormatting>
  <conditionalFormatting sqref="B153">
    <cfRule type="duplicateValues" dxfId="129" priority="337"/>
  </conditionalFormatting>
  <conditionalFormatting sqref="B154:B155">
    <cfRule type="duplicateValues" dxfId="128" priority="472"/>
  </conditionalFormatting>
  <conditionalFormatting sqref="B161">
    <cfRule type="duplicateValues" dxfId="127" priority="297"/>
  </conditionalFormatting>
  <conditionalFormatting sqref="B165:B168">
    <cfRule type="duplicateValues" dxfId="126" priority="471"/>
  </conditionalFormatting>
  <conditionalFormatting sqref="B169">
    <cfRule type="duplicateValues" dxfId="125" priority="336"/>
  </conditionalFormatting>
  <conditionalFormatting sqref="B171">
    <cfRule type="duplicateValues" dxfId="124" priority="92"/>
  </conditionalFormatting>
  <conditionalFormatting sqref="B177">
    <cfRule type="duplicateValues" dxfId="123" priority="469"/>
  </conditionalFormatting>
  <conditionalFormatting sqref="B178">
    <cfRule type="duplicateValues" dxfId="122" priority="467"/>
  </conditionalFormatting>
  <conditionalFormatting sqref="B180">
    <cfRule type="duplicateValues" dxfId="121" priority="465"/>
  </conditionalFormatting>
  <conditionalFormatting sqref="B182">
    <cfRule type="duplicateValues" dxfId="120" priority="463"/>
  </conditionalFormatting>
  <conditionalFormatting sqref="B183">
    <cfRule type="duplicateValues" dxfId="119" priority="90"/>
  </conditionalFormatting>
  <conditionalFormatting sqref="B195">
    <cfRule type="duplicateValues" dxfId="118" priority="461"/>
  </conditionalFormatting>
  <conditionalFormatting sqref="B196:B204 B206:B208">
    <cfRule type="duplicateValues" dxfId="117" priority="494"/>
  </conditionalFormatting>
  <conditionalFormatting sqref="B205">
    <cfRule type="duplicateValues" dxfId="116" priority="349"/>
  </conditionalFormatting>
  <conditionalFormatting sqref="B209">
    <cfRule type="duplicateValues" dxfId="115" priority="347"/>
  </conditionalFormatting>
  <conditionalFormatting sqref="B210 C196:C204 C206:C208">
    <cfRule type="duplicateValues" dxfId="114" priority="780"/>
  </conditionalFormatting>
  <conditionalFormatting sqref="B211">
    <cfRule type="duplicateValues" dxfId="113" priority="348"/>
  </conditionalFormatting>
  <conditionalFormatting sqref="B218">
    <cfRule type="duplicateValues" dxfId="112" priority="258"/>
  </conditionalFormatting>
  <conditionalFormatting sqref="B220">
    <cfRule type="duplicateValues" dxfId="111" priority="296"/>
  </conditionalFormatting>
  <conditionalFormatting sqref="B230:B235 B222 B213:B216 B179 B163:B164 B124:B125 B127 B2:B3 B144:B146 B70:B72 B82:B84 B115 B132:B136 B139:B140 B149 B156:B160 B172:B176 B181 B44 B52:B53 B5 B24:B27 B194 B56:B57 B92:B93 B101:B103 B7:B14 B29:B33 B46:B47 B39:B40 B237:B1048576 B60 B64:B65 B16:B20">
    <cfRule type="duplicateValues" dxfId="110" priority="491"/>
  </conditionalFormatting>
  <conditionalFormatting sqref="B236">
    <cfRule type="duplicateValues" dxfId="109" priority="259"/>
  </conditionalFormatting>
  <conditionalFormatting sqref="C27">
    <cfRule type="duplicateValues" dxfId="108" priority="789"/>
  </conditionalFormatting>
  <conditionalFormatting sqref="C28">
    <cfRule type="duplicateValues" dxfId="107" priority="790"/>
  </conditionalFormatting>
  <conditionalFormatting sqref="C29:C30 C32:C33">
    <cfRule type="duplicateValues" dxfId="106" priority="791"/>
  </conditionalFormatting>
  <conditionalFormatting sqref="C31">
    <cfRule type="duplicateValues" dxfId="105" priority="796"/>
  </conditionalFormatting>
  <conditionalFormatting sqref="C34:C35">
    <cfRule type="duplicateValues" dxfId="104" priority="795"/>
  </conditionalFormatting>
  <conditionalFormatting sqref="C39:C40">
    <cfRule type="duplicateValues" dxfId="103" priority="761"/>
  </conditionalFormatting>
  <conditionalFormatting sqref="C48">
    <cfRule type="duplicateValues" dxfId="102" priority="793"/>
  </conditionalFormatting>
  <conditionalFormatting sqref="C49">
    <cfRule type="duplicateValues" dxfId="101" priority="794"/>
  </conditionalFormatting>
  <conditionalFormatting sqref="C50:C51">
    <cfRule type="duplicateValues" dxfId="100" priority="777"/>
  </conditionalFormatting>
  <conditionalFormatting sqref="C54:C55">
    <cfRule type="duplicateValues" dxfId="99" priority="778"/>
  </conditionalFormatting>
  <conditionalFormatting sqref="C56">
    <cfRule type="duplicateValues" dxfId="98" priority="775"/>
  </conditionalFormatting>
  <conditionalFormatting sqref="C57">
    <cfRule type="duplicateValues" dxfId="97" priority="776"/>
  </conditionalFormatting>
  <conditionalFormatting sqref="C61">
    <cfRule type="duplicateValues" dxfId="96" priority="102"/>
  </conditionalFormatting>
  <conditionalFormatting sqref="C62">
    <cfRule type="duplicateValues" dxfId="95" priority="101"/>
  </conditionalFormatting>
  <conditionalFormatting sqref="C63">
    <cfRule type="duplicateValues" dxfId="94" priority="103"/>
  </conditionalFormatting>
  <conditionalFormatting sqref="C64">
    <cfRule type="duplicateValues" dxfId="93" priority="801"/>
  </conditionalFormatting>
  <conditionalFormatting sqref="C66 C69">
    <cfRule type="duplicateValues" dxfId="92" priority="762"/>
  </conditionalFormatting>
  <conditionalFormatting sqref="C67">
    <cfRule type="duplicateValues" dxfId="91" priority="809"/>
  </conditionalFormatting>
  <conditionalFormatting sqref="C68">
    <cfRule type="duplicateValues" dxfId="90" priority="808"/>
  </conditionalFormatting>
  <conditionalFormatting sqref="C73">
    <cfRule type="duplicateValues" dxfId="89" priority="98"/>
  </conditionalFormatting>
  <conditionalFormatting sqref="C74">
    <cfRule type="duplicateValues" dxfId="88" priority="97"/>
  </conditionalFormatting>
  <conditionalFormatting sqref="C75">
    <cfRule type="duplicateValues" dxfId="87" priority="99"/>
  </conditionalFormatting>
  <conditionalFormatting sqref="C76">
    <cfRule type="duplicateValues" dxfId="86" priority="803"/>
  </conditionalFormatting>
  <conditionalFormatting sqref="C78 C81">
    <cfRule type="duplicateValues" dxfId="85" priority="764"/>
  </conditionalFormatting>
  <conditionalFormatting sqref="C79">
    <cfRule type="duplicateValues" dxfId="84" priority="811"/>
  </conditionalFormatting>
  <conditionalFormatting sqref="C80">
    <cfRule type="duplicateValues" dxfId="83" priority="810"/>
  </conditionalFormatting>
  <conditionalFormatting sqref="C85:C87">
    <cfRule type="duplicateValues" dxfId="82" priority="95"/>
  </conditionalFormatting>
  <conditionalFormatting sqref="C88">
    <cfRule type="duplicateValues" dxfId="81" priority="805"/>
  </conditionalFormatting>
  <conditionalFormatting sqref="C89">
    <cfRule type="duplicateValues" dxfId="80" priority="812"/>
  </conditionalFormatting>
  <conditionalFormatting sqref="C93">
    <cfRule type="duplicateValues" dxfId="79" priority="767"/>
  </conditionalFormatting>
  <conditionalFormatting sqref="C105">
    <cfRule type="duplicateValues" dxfId="78" priority="798"/>
  </conditionalFormatting>
  <conditionalFormatting sqref="C107">
    <cfRule type="duplicateValues" dxfId="77" priority="797"/>
  </conditionalFormatting>
  <conditionalFormatting sqref="C108:C110">
    <cfRule type="duplicateValues" dxfId="76" priority="768"/>
  </conditionalFormatting>
  <conditionalFormatting sqref="C118">
    <cfRule type="duplicateValues" dxfId="75" priority="779"/>
  </conditionalFormatting>
  <conditionalFormatting sqref="C119">
    <cfRule type="duplicateValues" dxfId="74" priority="784"/>
  </conditionalFormatting>
  <conditionalFormatting sqref="C122">
    <cfRule type="duplicateValues" dxfId="73" priority="799"/>
  </conditionalFormatting>
  <conditionalFormatting sqref="C141">
    <cfRule type="duplicateValues" dxfId="72" priority="783"/>
  </conditionalFormatting>
  <conditionalFormatting sqref="C165">
    <cfRule type="duplicateValues" dxfId="71" priority="769"/>
  </conditionalFormatting>
  <conditionalFormatting sqref="C171">
    <cfRule type="duplicateValues" dxfId="70" priority="91"/>
  </conditionalFormatting>
  <conditionalFormatting sqref="C177">
    <cfRule type="duplicateValues" dxfId="69" priority="770"/>
  </conditionalFormatting>
  <conditionalFormatting sqref="C178">
    <cfRule type="duplicateValues" dxfId="68" priority="771"/>
  </conditionalFormatting>
  <conditionalFormatting sqref="C180">
    <cfRule type="duplicateValues" dxfId="67" priority="772"/>
  </conditionalFormatting>
  <conditionalFormatting sqref="C182">
    <cfRule type="duplicateValues" dxfId="66" priority="773"/>
  </conditionalFormatting>
  <conditionalFormatting sqref="C195">
    <cfRule type="duplicateValues" dxfId="65" priority="774"/>
  </conditionalFormatting>
  <conditionalFormatting sqref="C205">
    <cfRule type="duplicateValues" dxfId="64" priority="785"/>
  </conditionalFormatting>
  <conditionalFormatting sqref="C209">
    <cfRule type="duplicateValues" dxfId="63" priority="788"/>
  </conditionalFormatting>
  <conditionalFormatting sqref="C210">
    <cfRule type="duplicateValues" dxfId="62" priority="786"/>
  </conditionalFormatting>
  <conditionalFormatting sqref="C211">
    <cfRule type="duplicateValues" dxfId="61" priority="787"/>
  </conditionalFormatting>
  <conditionalFormatting sqref="D27:D35">
    <cfRule type="expression" dxfId="60" priority="1" stopIfTrue="1">
      <formula>OR($A27="audio", $A27="video")</formula>
    </cfRule>
    <cfRule type="expression" dxfId="59" priority="29" stopIfTrue="1">
      <formula>$A27="begin group"</formula>
    </cfRule>
    <cfRule type="expression" dxfId="58" priority="2" stopIfTrue="1">
      <formula>OR($A27="audio", $A27="video")</formula>
    </cfRule>
    <cfRule type="expression" dxfId="57" priority="3" stopIfTrue="1">
      <formula>$A27="image"</formula>
    </cfRule>
    <cfRule type="expression" dxfId="56" priority="4" stopIfTrue="1">
      <formula>$A27="image"</formula>
    </cfRule>
    <cfRule type="expression" dxfId="55" priority="5" stopIfTrue="1">
      <formula>OR($A27="date", $A27="datetime")</formula>
    </cfRule>
    <cfRule type="expression" dxfId="54" priority="6" stopIfTrue="1">
      <formula>OR($A27="date", $A27="datetime")</formula>
    </cfRule>
    <cfRule type="expression" dxfId="53" priority="7" stopIfTrue="1">
      <formula>OR($A27="calculate", $A27="calculate_here")</formula>
    </cfRule>
    <cfRule type="expression" dxfId="52" priority="8" stopIfTrue="1">
      <formula>$A27="note"</formula>
    </cfRule>
    <cfRule type="expression" dxfId="51" priority="9" stopIfTrue="1">
      <formula>$A27="note"</formula>
    </cfRule>
    <cfRule type="expression" dxfId="50" priority="10" stopIfTrue="1">
      <formula>$A27="barcode"</formula>
    </cfRule>
    <cfRule type="expression" dxfId="49" priority="11" stopIfTrue="1">
      <formula>$A27="barcode"</formula>
    </cfRule>
    <cfRule type="expression" dxfId="48" priority="12" stopIfTrue="1">
      <formula>$A27="geopoint"</formula>
    </cfRule>
    <cfRule type="expression" dxfId="47" priority="13" stopIfTrue="1">
      <formula>$A27="geopoint"</formula>
    </cfRule>
    <cfRule type="expression" dxfId="46" priority="28" stopIfTrue="1">
      <formula>$A27="begin group"</formula>
    </cfRule>
    <cfRule type="expression" dxfId="45" priority="14" stopIfTrue="1">
      <formula>OR($A27="audio audit", $A27="text audit")</formula>
    </cfRule>
    <cfRule type="expression" dxfId="44" priority="15" stopIfTrue="1">
      <formula>OR($A27="username", $A27="phonenumber", $A27="start", $A27="end", $A27="deviceid", $A27="subscriberid", $A27="simserial")</formula>
    </cfRule>
    <cfRule type="expression" dxfId="43" priority="16" stopIfTrue="1">
      <formula>OR(AND(LEFT($A27, 16)="select_multiple ", LEN($A27)&gt;16, NOT(ISNUMBER(SEARCH(" ", $A27, 17)))), AND(LEFT($A27, 11)="select_one ", LEN($A27)&gt;11, NOT(ISNUMBER(SEARCH(" ", $A27, 12)))))</formula>
    </cfRule>
    <cfRule type="expression" dxfId="42" priority="17" stopIfTrue="1">
      <formula>OR(AND(LEFT($A27, 16)="select_multiple ", LEN($A27)&gt;16, NOT(ISNUMBER(SEARCH(" ", $A27, 17)))), AND(LEFT($A27, 11)="select_one ", LEN($A27)&gt;11, NOT(ISNUMBER(SEARCH(" ", $A27, 12)))))</formula>
    </cfRule>
    <cfRule type="expression" dxfId="41" priority="18" stopIfTrue="1">
      <formula>$A27="decimal"</formula>
    </cfRule>
    <cfRule type="expression" dxfId="40" priority="19" stopIfTrue="1">
      <formula>$A27="decimal"</formula>
    </cfRule>
    <cfRule type="expression" dxfId="39" priority="20" stopIfTrue="1">
      <formula>$A27="integer"</formula>
    </cfRule>
    <cfRule type="expression" dxfId="38" priority="21" stopIfTrue="1">
      <formula>$A27="integer"</formula>
    </cfRule>
    <cfRule type="expression" dxfId="37" priority="22" stopIfTrue="1">
      <formula>$A27="text"</formula>
    </cfRule>
    <cfRule type="expression" dxfId="36" priority="23" stopIfTrue="1">
      <formula>$A27="text"</formula>
    </cfRule>
    <cfRule type="expression" dxfId="35" priority="24" stopIfTrue="1">
      <formula>$A27="end repeat"</formula>
    </cfRule>
    <cfRule type="expression" dxfId="34" priority="25" stopIfTrue="1">
      <formula>$A27="begin repeat"</formula>
    </cfRule>
    <cfRule type="expression" dxfId="33" priority="26" stopIfTrue="1">
      <formula>$A27="begin repeat"</formula>
    </cfRule>
    <cfRule type="expression" dxfId="32" priority="27" stopIfTrue="1">
      <formula>$A27="end group"</formula>
    </cfRule>
  </conditionalFormatting>
  <conditionalFormatting sqref="D44">
    <cfRule type="cellIs" dxfId="31" priority="455" operator="notEqual">
      <formula>$D$44</formula>
    </cfRule>
  </conditionalFormatting>
  <conditionalFormatting sqref="D223:D229">
    <cfRule type="expression" dxfId="30" priority="439" stopIfTrue="1">
      <formula>$A223="begin group"</formula>
    </cfRule>
    <cfRule type="expression" dxfId="29" priority="411" stopIfTrue="1">
      <formula>OR($A223="audio", $A223="video")</formula>
    </cfRule>
    <cfRule type="expression" dxfId="28" priority="412" stopIfTrue="1">
      <formula>OR($A223="audio", $A223="video")</formula>
    </cfRule>
    <cfRule type="expression" dxfId="27" priority="413" stopIfTrue="1">
      <formula>$A223="image"</formula>
    </cfRule>
    <cfRule type="expression" dxfId="26" priority="414" stopIfTrue="1">
      <formula>$A223="image"</formula>
    </cfRule>
    <cfRule type="expression" dxfId="25" priority="415" stopIfTrue="1">
      <formula>OR($A223="date", $A223="datetime")</formula>
    </cfRule>
    <cfRule type="expression" dxfId="24" priority="416" stopIfTrue="1">
      <formula>OR($A223="date", $A223="datetime")</formula>
    </cfRule>
    <cfRule type="expression" dxfId="23" priority="417" stopIfTrue="1">
      <formula>OR($A223="calculate", $A223="calculate_here")</formula>
    </cfRule>
    <cfRule type="expression" dxfId="22" priority="418" stopIfTrue="1">
      <formula>$A223="note"</formula>
    </cfRule>
    <cfRule type="expression" dxfId="21" priority="419" stopIfTrue="1">
      <formula>$A223="note"</formula>
    </cfRule>
    <cfRule type="expression" dxfId="20" priority="420" stopIfTrue="1">
      <formula>$A223="barcode"</formula>
    </cfRule>
    <cfRule type="expression" dxfId="19" priority="421" stopIfTrue="1">
      <formula>$A223="barcode"</formula>
    </cfRule>
    <cfRule type="expression" dxfId="18" priority="422" stopIfTrue="1">
      <formula>$A223="geopoint"</formula>
    </cfRule>
    <cfRule type="expression" dxfId="17" priority="423" stopIfTrue="1">
      <formula>$A223="geopoint"</formula>
    </cfRule>
    <cfRule type="expression" dxfId="16" priority="424" stopIfTrue="1">
      <formula>OR($A223="audio audit", $A223="text audit")</formula>
    </cfRule>
    <cfRule type="expression" dxfId="15" priority="425" stopIfTrue="1">
      <formula>OR($A223="username", $A223="phonenumber", $A223="start", $A223="end", $A223="deviceid", $A223="subscriberid", $A223="simserial")</formula>
    </cfRule>
    <cfRule type="expression" dxfId="14" priority="427" stopIfTrue="1">
      <formula>OR(AND(LEFT($A223, 16)="select_multiple ", LEN($A223)&gt;16, NOT(ISNUMBER(SEARCH(" ", $A223, 17)))), AND(LEFT($A223, 11)="select_one ", LEN($A223)&gt;11, NOT(ISNUMBER(SEARCH(" ", $A223, 12)))))</formula>
    </cfRule>
    <cfRule type="expression" dxfId="13" priority="428" stopIfTrue="1">
      <formula>$A223="decimal"</formula>
    </cfRule>
    <cfRule type="expression" dxfId="12" priority="429" stopIfTrue="1">
      <formula>$A223="decimal"</formula>
    </cfRule>
    <cfRule type="expression" dxfId="11" priority="430" stopIfTrue="1">
      <formula>$A223="integer"</formula>
    </cfRule>
    <cfRule type="expression" dxfId="10" priority="431" stopIfTrue="1">
      <formula>$A223="integer"</formula>
    </cfRule>
    <cfRule type="expression" dxfId="9" priority="432" stopIfTrue="1">
      <formula>$A223="text"</formula>
    </cfRule>
    <cfRule type="expression" dxfId="8" priority="433" stopIfTrue="1">
      <formula>$A223="text"</formula>
    </cfRule>
    <cfRule type="expression" dxfId="7" priority="434" stopIfTrue="1">
      <formula>$A223="end repeat"</formula>
    </cfRule>
    <cfRule type="expression" dxfId="6" priority="435" stopIfTrue="1">
      <formula>$A223="begin repeat"</formula>
    </cfRule>
    <cfRule type="expression" dxfId="5" priority="436" stopIfTrue="1">
      <formula>$A223="begin repeat"</formula>
    </cfRule>
    <cfRule type="expression" dxfId="4" priority="437" stopIfTrue="1">
      <formula>$A223="end group"</formula>
    </cfRule>
    <cfRule type="expression" dxfId="3" priority="438" stopIfTrue="1">
      <formula>$A223="begin group"</formula>
    </cfRule>
    <cfRule type="expression" dxfId="2" priority="426" stopIfTrue="1">
      <formula>OR(AND(LEFT($A223, 16)="select_multiple ", LEN($A223)&gt;16, NOT(ISNUMBER(SEARCH(" ", $A223, 17)))), AND(LEFT($A223, 11)="select_one ", LEN($A223)&gt;11, NOT(ISNUMBER(SEARCH(" ", $A223, 12)))))</formula>
    </cfRule>
  </conditionalFormatting>
  <pageMargins left="0.7" right="0.7" top="0.75" bottom="0.75" header="0.3" footer="0.3"/>
  <pageSetup paperSize="9"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93"/>
  <sheetViews>
    <sheetView topLeftCell="A113" workbookViewId="0">
      <selection activeCell="A124" sqref="A124"/>
    </sheetView>
  </sheetViews>
  <sheetFormatPr baseColWidth="10" defaultColWidth="11.5" defaultRowHeight="15" x14ac:dyDescent="0.2"/>
  <sheetData>
    <row r="1" spans="1:4" x14ac:dyDescent="0.2">
      <c r="A1" t="s">
        <v>759</v>
      </c>
      <c r="B1" t="s">
        <v>760</v>
      </c>
      <c r="C1" t="s">
        <v>761</v>
      </c>
      <c r="D1" t="s">
        <v>762</v>
      </c>
    </row>
    <row r="2" spans="1:4" x14ac:dyDescent="0.2">
      <c r="A2" t="s">
        <v>58</v>
      </c>
      <c r="B2" s="29">
        <v>50.822540283203118</v>
      </c>
      <c r="C2" s="30">
        <v>1</v>
      </c>
      <c r="D2" s="29">
        <v>50.822540283203118</v>
      </c>
    </row>
    <row r="3" spans="1:4" x14ac:dyDescent="0.2">
      <c r="A3" t="s">
        <v>763</v>
      </c>
      <c r="B3" s="29">
        <v>3.4964737892150879</v>
      </c>
      <c r="C3" s="30">
        <v>0.7969874100719424</v>
      </c>
      <c r="D3" s="29">
        <v>2.7866455896509641</v>
      </c>
    </row>
    <row r="4" spans="1:4" x14ac:dyDescent="0.2">
      <c r="A4" t="s">
        <v>106</v>
      </c>
      <c r="B4" s="29">
        <v>13.753072738647459</v>
      </c>
      <c r="C4" s="30">
        <v>1</v>
      </c>
      <c r="D4" s="29">
        <v>13.753072738647459</v>
      </c>
    </row>
    <row r="5" spans="1:4" x14ac:dyDescent="0.2">
      <c r="A5" t="s">
        <v>111</v>
      </c>
      <c r="B5" s="29">
        <v>2.1173560619354248</v>
      </c>
      <c r="C5" s="30">
        <v>1</v>
      </c>
      <c r="D5" s="29">
        <v>2.1173560619354248</v>
      </c>
    </row>
    <row r="6" spans="1:4" x14ac:dyDescent="0.2">
      <c r="A6" t="s">
        <v>158</v>
      </c>
      <c r="B6" s="29">
        <v>2.284250020980835</v>
      </c>
      <c r="C6" s="30">
        <v>0.7969874100719424</v>
      </c>
      <c r="D6" s="29">
        <v>1.820518508178296</v>
      </c>
    </row>
    <row r="7" spans="1:4" x14ac:dyDescent="0.2">
      <c r="A7" t="s">
        <v>161</v>
      </c>
      <c r="B7" s="29">
        <v>31.372377395629879</v>
      </c>
      <c r="C7" s="30">
        <v>1</v>
      </c>
      <c r="D7" s="29">
        <v>31.372377395629879</v>
      </c>
    </row>
    <row r="8" spans="1:4" x14ac:dyDescent="0.2">
      <c r="A8" t="s">
        <v>764</v>
      </c>
      <c r="B8" s="29">
        <v>7.9225454330444336</v>
      </c>
      <c r="C8" s="30">
        <v>0.15190347721822539</v>
      </c>
      <c r="D8" s="29">
        <v>1.2034621996988211</v>
      </c>
    </row>
    <row r="9" spans="1:4" x14ac:dyDescent="0.2">
      <c r="A9" t="s">
        <v>170</v>
      </c>
      <c r="B9" s="29">
        <v>10.08573150634766</v>
      </c>
      <c r="C9" s="30">
        <v>1</v>
      </c>
      <c r="D9" s="29">
        <v>10.08573150634766</v>
      </c>
    </row>
    <row r="10" spans="1:4" x14ac:dyDescent="0.2">
      <c r="A10" t="s">
        <v>174</v>
      </c>
      <c r="B10" s="29">
        <v>12.894034385681151</v>
      </c>
      <c r="C10" s="30">
        <v>1</v>
      </c>
      <c r="D10" s="29">
        <v>12.894034385681151</v>
      </c>
    </row>
    <row r="11" spans="1:4" x14ac:dyDescent="0.2">
      <c r="A11" t="s">
        <v>178</v>
      </c>
      <c r="B11" s="29">
        <v>15.265829086303709</v>
      </c>
      <c r="C11" s="30">
        <v>0.63796462829736211</v>
      </c>
      <c r="D11" s="29">
        <v>9.7390589786948052</v>
      </c>
    </row>
    <row r="12" spans="1:4" x14ac:dyDescent="0.2">
      <c r="A12" t="s">
        <v>183</v>
      </c>
      <c r="B12" s="29">
        <v>15.12371826171875</v>
      </c>
      <c r="C12" s="30">
        <v>0.59180155875299756</v>
      </c>
      <c r="D12" s="29">
        <v>8.9502400414263317</v>
      </c>
    </row>
    <row r="13" spans="1:4" x14ac:dyDescent="0.2">
      <c r="A13" t="s">
        <v>765</v>
      </c>
      <c r="B13" s="29">
        <v>12.8214111328125</v>
      </c>
      <c r="C13" s="30">
        <v>0.15190347721822539</v>
      </c>
      <c r="D13" s="29">
        <v>1.9476169339186851</v>
      </c>
    </row>
    <row r="14" spans="1:4" x14ac:dyDescent="0.2">
      <c r="A14" t="s">
        <v>193</v>
      </c>
      <c r="B14" s="29">
        <v>15.21184825897217</v>
      </c>
      <c r="C14" s="30">
        <v>0.51611211031175064</v>
      </c>
      <c r="D14" s="29">
        <v>7.8510191066802557</v>
      </c>
    </row>
    <row r="15" spans="1:4" x14ac:dyDescent="0.2">
      <c r="A15" t="s">
        <v>766</v>
      </c>
      <c r="B15" s="29">
        <v>19.310310363769531</v>
      </c>
      <c r="C15" s="30">
        <v>0.15190347721822539</v>
      </c>
      <c r="D15" s="29">
        <v>2.9333032904197269</v>
      </c>
    </row>
    <row r="16" spans="1:4" x14ac:dyDescent="0.2">
      <c r="A16" t="s">
        <v>217</v>
      </c>
      <c r="B16" s="29">
        <v>36.928733825683587</v>
      </c>
      <c r="C16" s="30">
        <v>1</v>
      </c>
      <c r="D16" s="29">
        <v>36.928733825683587</v>
      </c>
    </row>
    <row r="17" spans="1:4" x14ac:dyDescent="0.2">
      <c r="A17" t="s">
        <v>232</v>
      </c>
      <c r="B17" s="29">
        <v>40.047317504882812</v>
      </c>
      <c r="C17" s="30">
        <v>0.75547062350119909</v>
      </c>
      <c r="D17" s="29">
        <v>30.254571924964299</v>
      </c>
    </row>
    <row r="18" spans="1:4" x14ac:dyDescent="0.2">
      <c r="A18" t="s">
        <v>237</v>
      </c>
      <c r="B18" s="29">
        <v>3.6870110034942631</v>
      </c>
      <c r="C18" s="30">
        <v>4.7886690647482022E-2</v>
      </c>
      <c r="D18" s="29">
        <v>0.17655875533819201</v>
      </c>
    </row>
    <row r="19" spans="1:4" x14ac:dyDescent="0.2">
      <c r="A19" t="s">
        <v>249</v>
      </c>
      <c r="B19" s="29">
        <v>27.242166519165039</v>
      </c>
      <c r="C19" s="30">
        <v>0.94476918465227822</v>
      </c>
      <c r="D19" s="29">
        <v>25.73755945047315</v>
      </c>
    </row>
    <row r="20" spans="1:4" x14ac:dyDescent="0.2">
      <c r="A20" t="s">
        <v>253</v>
      </c>
      <c r="B20" s="29">
        <v>25.308004379272461</v>
      </c>
      <c r="C20" s="30">
        <v>0.94476918465227822</v>
      </c>
      <c r="D20" s="29">
        <v>23.910222662581528</v>
      </c>
    </row>
    <row r="21" spans="1:4" x14ac:dyDescent="0.2">
      <c r="A21" t="s">
        <v>265</v>
      </c>
      <c r="B21" s="29">
        <v>30.828470230102539</v>
      </c>
      <c r="C21" s="30">
        <v>0.33902877697841732</v>
      </c>
      <c r="D21" s="29">
        <v>10.451738558227211</v>
      </c>
    </row>
    <row r="22" spans="1:4" x14ac:dyDescent="0.2">
      <c r="A22" t="s">
        <v>269</v>
      </c>
      <c r="B22" s="29">
        <v>2.29411768913269</v>
      </c>
      <c r="C22" s="30">
        <v>1.14658273381295E-2</v>
      </c>
      <c r="D22" s="29">
        <v>2.6303957316944071E-2</v>
      </c>
    </row>
    <row r="23" spans="1:4" x14ac:dyDescent="0.2">
      <c r="A23" t="s">
        <v>278</v>
      </c>
      <c r="B23" s="29">
        <v>21.193256378173832</v>
      </c>
      <c r="C23" s="30">
        <v>0.43120503597122301</v>
      </c>
      <c r="D23" s="29">
        <v>9.1386388788977975</v>
      </c>
    </row>
    <row r="24" spans="1:4" x14ac:dyDescent="0.2">
      <c r="A24" t="s">
        <v>282</v>
      </c>
      <c r="B24" s="29">
        <v>20.229927062988281</v>
      </c>
      <c r="C24" s="30">
        <v>0.43120503597122301</v>
      </c>
      <c r="D24" s="29">
        <v>8.7232464268910803</v>
      </c>
    </row>
    <row r="25" spans="1:4" x14ac:dyDescent="0.2">
      <c r="A25" t="s">
        <v>767</v>
      </c>
      <c r="B25" s="29">
        <v>29.42983245849609</v>
      </c>
      <c r="C25" s="30">
        <v>7.6363908872901676E-2</v>
      </c>
      <c r="D25" s="29">
        <v>2.24737704400536</v>
      </c>
    </row>
    <row r="26" spans="1:4" x14ac:dyDescent="0.2">
      <c r="A26" t="s">
        <v>768</v>
      </c>
      <c r="B26" s="29">
        <v>1.555555582046509</v>
      </c>
      <c r="C26" s="30">
        <v>2.0233812949640292E-3</v>
      </c>
      <c r="D26" s="29">
        <v>3.1474820679897879E-3</v>
      </c>
    </row>
    <row r="27" spans="1:4" x14ac:dyDescent="0.2">
      <c r="A27" t="s">
        <v>294</v>
      </c>
      <c r="B27" s="29">
        <v>16.348396301269531</v>
      </c>
      <c r="C27" s="30">
        <v>0.1144334532374101</v>
      </c>
      <c r="D27" s="29">
        <v>1.870803443647975</v>
      </c>
    </row>
    <row r="28" spans="1:4" x14ac:dyDescent="0.2">
      <c r="A28" t="s">
        <v>769</v>
      </c>
      <c r="B28" s="29">
        <v>39.025390625</v>
      </c>
      <c r="C28" s="30">
        <v>0.7969124700239808</v>
      </c>
      <c r="D28" s="29">
        <v>31.099820436619449</v>
      </c>
    </row>
    <row r="29" spans="1:4" x14ac:dyDescent="0.2">
      <c r="A29" t="s">
        <v>770</v>
      </c>
      <c r="B29" s="29">
        <v>10.040084838867189</v>
      </c>
      <c r="C29" s="30">
        <v>3.5521582733812951E-2</v>
      </c>
      <c r="D29" s="29">
        <v>0.35663970425832192</v>
      </c>
    </row>
    <row r="30" spans="1:4" x14ac:dyDescent="0.2">
      <c r="A30" t="s">
        <v>305</v>
      </c>
      <c r="B30" s="29">
        <v>26.118782043457031</v>
      </c>
      <c r="C30" s="30">
        <v>0.35708932853717018</v>
      </c>
      <c r="D30" s="29">
        <v>9.3267383421067702</v>
      </c>
    </row>
    <row r="31" spans="1:4" x14ac:dyDescent="0.2">
      <c r="A31" t="s">
        <v>323</v>
      </c>
      <c r="B31" s="29">
        <v>27.057552337646481</v>
      </c>
      <c r="C31" s="30">
        <v>0.50651978417266186</v>
      </c>
      <c r="D31" s="29">
        <v>13.705185570305201</v>
      </c>
    </row>
    <row r="32" spans="1:4" x14ac:dyDescent="0.2">
      <c r="A32" t="s">
        <v>771</v>
      </c>
      <c r="B32" s="29">
        <v>15.983505249023439</v>
      </c>
      <c r="C32" s="30">
        <v>0.37709832134292559</v>
      </c>
      <c r="D32" s="29">
        <v>6.0273529985825789</v>
      </c>
    </row>
    <row r="33" spans="1:4" x14ac:dyDescent="0.2">
      <c r="A33" t="s">
        <v>772</v>
      </c>
      <c r="B33" s="29">
        <v>3.4111571311950679</v>
      </c>
      <c r="C33" s="30">
        <v>3.6270983213429253E-2</v>
      </c>
      <c r="D33" s="29">
        <v>0.1237260230439458</v>
      </c>
    </row>
    <row r="34" spans="1:4" x14ac:dyDescent="0.2">
      <c r="A34" t="s">
        <v>773</v>
      </c>
      <c r="B34" s="29">
        <v>5.6326532363891602</v>
      </c>
      <c r="C34" s="30">
        <v>3.6720623501199038E-3</v>
      </c>
      <c r="D34" s="29">
        <v>2.068345388062566E-2</v>
      </c>
    </row>
    <row r="35" spans="1:4" x14ac:dyDescent="0.2">
      <c r="A35" t="s">
        <v>774</v>
      </c>
      <c r="B35" s="29">
        <v>15.95429515838623</v>
      </c>
      <c r="C35" s="30">
        <v>0.25906774580335729</v>
      </c>
      <c r="D35" s="29">
        <v>4.1332432825645391</v>
      </c>
    </row>
    <row r="36" spans="1:4" x14ac:dyDescent="0.2">
      <c r="A36" t="s">
        <v>337</v>
      </c>
      <c r="B36" s="29">
        <v>17.928909301757809</v>
      </c>
      <c r="C36" s="30">
        <v>0.14231115107913669</v>
      </c>
      <c r="D36" s="29">
        <v>2.551483720326595</v>
      </c>
    </row>
    <row r="37" spans="1:4" x14ac:dyDescent="0.2">
      <c r="A37" t="s">
        <v>345</v>
      </c>
      <c r="B37" s="29">
        <v>25.436874389648441</v>
      </c>
      <c r="C37" s="30">
        <v>0.49385491606714632</v>
      </c>
      <c r="D37" s="29">
        <v>12.56212546671037</v>
      </c>
    </row>
    <row r="38" spans="1:4" x14ac:dyDescent="0.2">
      <c r="A38" t="s">
        <v>349</v>
      </c>
      <c r="B38" s="29">
        <v>19.364946365356449</v>
      </c>
      <c r="C38" s="30">
        <v>0.49385491606714632</v>
      </c>
      <c r="D38" s="29">
        <v>9.5634739619078957</v>
      </c>
    </row>
    <row r="39" spans="1:4" x14ac:dyDescent="0.2">
      <c r="A39" t="s">
        <v>775</v>
      </c>
      <c r="B39" s="29">
        <v>13.458864212036129</v>
      </c>
      <c r="C39" s="30">
        <v>0.38803956834532372</v>
      </c>
      <c r="D39" s="29">
        <v>5.222571859256826</v>
      </c>
    </row>
    <row r="40" spans="1:4" x14ac:dyDescent="0.2">
      <c r="A40" t="s">
        <v>371</v>
      </c>
      <c r="B40" s="29">
        <v>37.523288726806641</v>
      </c>
      <c r="C40" s="30">
        <v>0.30732913669064749</v>
      </c>
      <c r="D40" s="29">
        <v>11.531999930203391</v>
      </c>
    </row>
    <row r="41" spans="1:4" x14ac:dyDescent="0.2">
      <c r="A41" t="s">
        <v>776</v>
      </c>
      <c r="B41" s="29">
        <v>12.68148708343506</v>
      </c>
      <c r="C41" s="30">
        <v>0.2983363309352518</v>
      </c>
      <c r="D41" s="29">
        <v>3.783348327274803</v>
      </c>
    </row>
    <row r="42" spans="1:4" x14ac:dyDescent="0.2">
      <c r="A42" t="s">
        <v>400</v>
      </c>
      <c r="B42" s="29">
        <v>22.61360931396484</v>
      </c>
      <c r="C42" s="30">
        <v>0.12335131894484409</v>
      </c>
      <c r="D42" s="29">
        <v>2.789418534980975</v>
      </c>
    </row>
    <row r="43" spans="1:4" x14ac:dyDescent="0.2">
      <c r="A43" t="s">
        <v>406</v>
      </c>
      <c r="B43" s="29">
        <v>21.701908111572269</v>
      </c>
      <c r="C43" s="30">
        <v>0.38489208633093519</v>
      </c>
      <c r="D43" s="29">
        <v>8.3528926904252963</v>
      </c>
    </row>
    <row r="44" spans="1:4" x14ac:dyDescent="0.2">
      <c r="A44" t="s">
        <v>777</v>
      </c>
      <c r="B44" s="29">
        <v>12.12575531005859</v>
      </c>
      <c r="C44" s="30">
        <v>6.1975419664268588E-2</v>
      </c>
      <c r="D44" s="29">
        <v>0.75149877408711463</v>
      </c>
    </row>
    <row r="45" spans="1:4" x14ac:dyDescent="0.2">
      <c r="A45" t="s">
        <v>778</v>
      </c>
      <c r="B45" s="29">
        <v>13.560262680053709</v>
      </c>
      <c r="C45" s="30">
        <v>0.14860611510791369</v>
      </c>
      <c r="D45" s="29">
        <v>2.0151379567256069</v>
      </c>
    </row>
    <row r="46" spans="1:4" x14ac:dyDescent="0.2">
      <c r="A46" t="s">
        <v>779</v>
      </c>
      <c r="B46" s="29">
        <v>14.065656661987299</v>
      </c>
      <c r="C46" s="30">
        <v>1.4838129496402881E-2</v>
      </c>
      <c r="D46" s="29">
        <v>0.20870803500250951</v>
      </c>
    </row>
    <row r="47" spans="1:4" x14ac:dyDescent="0.2">
      <c r="A47" t="s">
        <v>780</v>
      </c>
      <c r="B47" s="29">
        <v>11.010929107666019</v>
      </c>
      <c r="C47" s="30">
        <v>1.371402877697842E-2</v>
      </c>
      <c r="D47" s="29">
        <v>0.15100419864380099</v>
      </c>
    </row>
    <row r="48" spans="1:4" x14ac:dyDescent="0.2">
      <c r="A48" t="s">
        <v>781</v>
      </c>
      <c r="B48" s="29">
        <v>4.8961749076843262</v>
      </c>
      <c r="C48" s="30">
        <v>1.371402877697842E-2</v>
      </c>
      <c r="D48" s="29">
        <v>6.7146283581102487E-2</v>
      </c>
    </row>
    <row r="49" spans="1:4" x14ac:dyDescent="0.2">
      <c r="A49" t="s">
        <v>416</v>
      </c>
      <c r="B49" s="29">
        <v>20.2944221496582</v>
      </c>
      <c r="C49" s="30">
        <v>0.40572541966426862</v>
      </c>
      <c r="D49" s="29">
        <v>8.2339629435139017</v>
      </c>
    </row>
    <row r="50" spans="1:4" x14ac:dyDescent="0.2">
      <c r="A50" t="s">
        <v>421</v>
      </c>
      <c r="B50" s="29">
        <v>18.539077758789059</v>
      </c>
      <c r="C50" s="30">
        <v>0.40272781774580341</v>
      </c>
      <c r="D50" s="29">
        <v>7.4662023288168777</v>
      </c>
    </row>
    <row r="51" spans="1:4" x14ac:dyDescent="0.2">
      <c r="A51" t="s">
        <v>425</v>
      </c>
      <c r="B51" s="29">
        <v>8.9158916473388672</v>
      </c>
      <c r="C51" s="30">
        <v>0.40272781774580341</v>
      </c>
      <c r="D51" s="29">
        <v>3.590677586390818</v>
      </c>
    </row>
    <row r="52" spans="1:4" x14ac:dyDescent="0.2">
      <c r="A52" t="s">
        <v>429</v>
      </c>
      <c r="B52" s="29">
        <v>25.81001091003418</v>
      </c>
      <c r="C52" s="30">
        <v>0.40272781774580341</v>
      </c>
      <c r="D52" s="29">
        <v>10.39440936979344</v>
      </c>
    </row>
    <row r="53" spans="1:4" x14ac:dyDescent="0.2">
      <c r="A53" t="s">
        <v>782</v>
      </c>
      <c r="B53" s="29">
        <v>19.55319786071777</v>
      </c>
      <c r="C53" s="30">
        <v>0.29301558752997597</v>
      </c>
      <c r="D53" s="29">
        <v>5.729391759248089</v>
      </c>
    </row>
    <row r="54" spans="1:4" x14ac:dyDescent="0.2">
      <c r="A54" t="s">
        <v>783</v>
      </c>
      <c r="B54" s="29">
        <v>13.613316535949711</v>
      </c>
      <c r="C54" s="30">
        <v>0.3038818944844125</v>
      </c>
      <c r="D54" s="29">
        <v>4.1368404191603769</v>
      </c>
    </row>
    <row r="55" spans="1:4" x14ac:dyDescent="0.2">
      <c r="A55" t="s">
        <v>447</v>
      </c>
      <c r="B55" s="29">
        <v>27.754648208618161</v>
      </c>
      <c r="C55" s="30">
        <v>0.205560551558753</v>
      </c>
      <c r="D55" s="29">
        <v>5.7052607940827054</v>
      </c>
    </row>
    <row r="56" spans="1:4" x14ac:dyDescent="0.2">
      <c r="A56" t="s">
        <v>463</v>
      </c>
      <c r="B56" s="29">
        <v>13.99939060211182</v>
      </c>
      <c r="C56" s="30">
        <v>0.2460281774580336</v>
      </c>
      <c r="D56" s="29">
        <v>3.4442445553606928</v>
      </c>
    </row>
    <row r="57" spans="1:4" x14ac:dyDescent="0.2">
      <c r="A57" t="s">
        <v>784</v>
      </c>
      <c r="B57" s="29">
        <v>10.25279426574707</v>
      </c>
      <c r="C57" s="30">
        <v>0.174310551558753</v>
      </c>
      <c r="D57" s="29">
        <v>1.787170223480792</v>
      </c>
    </row>
    <row r="58" spans="1:4" x14ac:dyDescent="0.2">
      <c r="A58" t="s">
        <v>473</v>
      </c>
      <c r="B58" s="29">
        <v>24.194343566894531</v>
      </c>
      <c r="C58" s="30">
        <v>0.1033423261390887</v>
      </c>
      <c r="D58" s="29">
        <v>2.500299743611178</v>
      </c>
    </row>
    <row r="59" spans="1:4" x14ac:dyDescent="0.2">
      <c r="A59" t="s">
        <v>480</v>
      </c>
      <c r="B59" s="29">
        <v>19.321737289428711</v>
      </c>
      <c r="C59" s="30">
        <v>0.23478717026378901</v>
      </c>
      <c r="D59" s="29">
        <v>4.5364960227653004</v>
      </c>
    </row>
    <row r="60" spans="1:4" x14ac:dyDescent="0.2">
      <c r="A60" t="s">
        <v>785</v>
      </c>
      <c r="B60" s="29">
        <v>6.0948905944824219</v>
      </c>
      <c r="C60" s="30">
        <v>1.0266786570743411E-2</v>
      </c>
      <c r="D60" s="29">
        <v>6.2574940905582424E-2</v>
      </c>
    </row>
    <row r="61" spans="1:4" x14ac:dyDescent="0.2">
      <c r="A61" t="s">
        <v>786</v>
      </c>
      <c r="B61" s="29">
        <v>17.534246444702148</v>
      </c>
      <c r="C61" s="30">
        <v>1.6411870503597121E-2</v>
      </c>
      <c r="D61" s="29">
        <v>0.28776978202860992</v>
      </c>
    </row>
    <row r="62" spans="1:4" x14ac:dyDescent="0.2">
      <c r="A62" t="s">
        <v>787</v>
      </c>
      <c r="B62" s="29">
        <v>31.458333969116211</v>
      </c>
      <c r="C62" s="30">
        <v>1.798561151079137E-3</v>
      </c>
      <c r="D62" s="29">
        <v>5.657973735452556E-2</v>
      </c>
    </row>
    <row r="63" spans="1:4" x14ac:dyDescent="0.2">
      <c r="A63" t="s">
        <v>788</v>
      </c>
      <c r="B63" s="29">
        <v>2.5</v>
      </c>
      <c r="C63" s="30">
        <v>1.4988009592326141E-4</v>
      </c>
      <c r="D63" s="29">
        <v>3.7470023980815342E-4</v>
      </c>
    </row>
    <row r="64" spans="1:4" x14ac:dyDescent="0.2">
      <c r="A64" t="s">
        <v>789</v>
      </c>
      <c r="B64" s="29">
        <v>5.75</v>
      </c>
      <c r="C64" s="30">
        <v>2.9976019184652282E-4</v>
      </c>
      <c r="D64" s="29">
        <v>1.7236211031175059E-3</v>
      </c>
    </row>
    <row r="65" spans="1:4" x14ac:dyDescent="0.2">
      <c r="A65" t="s">
        <v>790</v>
      </c>
      <c r="B65" s="29">
        <v>4.5</v>
      </c>
      <c r="C65" s="30">
        <v>1.4988009592326141E-4</v>
      </c>
      <c r="D65" s="29">
        <v>6.7446043165467619E-4</v>
      </c>
    </row>
    <row r="66" spans="1:4" x14ac:dyDescent="0.2">
      <c r="A66" t="s">
        <v>791</v>
      </c>
      <c r="B66" s="29">
        <v>3</v>
      </c>
      <c r="C66" s="30">
        <v>7.494004796163069E-5</v>
      </c>
      <c r="D66" s="29">
        <v>2.248201438848921E-4</v>
      </c>
    </row>
    <row r="67" spans="1:4" x14ac:dyDescent="0.2">
      <c r="A67" t="s">
        <v>792</v>
      </c>
      <c r="B67" s="29">
        <v>2</v>
      </c>
      <c r="C67" s="30">
        <v>7.494004796163069E-5</v>
      </c>
      <c r="D67" s="29">
        <v>1.4988009592326141E-4</v>
      </c>
    </row>
    <row r="68" spans="1:4" x14ac:dyDescent="0.2">
      <c r="A68" t="s">
        <v>490</v>
      </c>
      <c r="B68" s="29">
        <v>19.090116500854489</v>
      </c>
      <c r="C68" s="30">
        <v>2.5779376498800959E-2</v>
      </c>
      <c r="D68" s="29">
        <v>0.49213130068150068</v>
      </c>
    </row>
    <row r="69" spans="1:4" x14ac:dyDescent="0.2">
      <c r="A69" t="s">
        <v>497</v>
      </c>
      <c r="B69" s="29">
        <v>17.656976699829102</v>
      </c>
      <c r="C69" s="30">
        <v>2.5779376498800959E-2</v>
      </c>
      <c r="D69" s="29">
        <v>0.45518585017545038</v>
      </c>
    </row>
    <row r="70" spans="1:4" x14ac:dyDescent="0.2">
      <c r="A70" t="s">
        <v>793</v>
      </c>
      <c r="B70" s="29">
        <v>8.7647056579589844</v>
      </c>
      <c r="C70" s="30">
        <v>2.420563549160671E-2</v>
      </c>
      <c r="D70" s="29">
        <v>0.2121552703477782</v>
      </c>
    </row>
    <row r="71" spans="1:4" x14ac:dyDescent="0.2">
      <c r="A71" t="s">
        <v>505</v>
      </c>
      <c r="B71" s="29">
        <v>27.9538459777832</v>
      </c>
      <c r="C71" s="30">
        <v>9.7422062350119906E-3</v>
      </c>
      <c r="D71" s="29">
        <v>0.27233213257732442</v>
      </c>
    </row>
    <row r="72" spans="1:4" x14ac:dyDescent="0.2">
      <c r="A72" t="s">
        <v>511</v>
      </c>
      <c r="B72" s="29">
        <v>21.25</v>
      </c>
      <c r="C72" s="30">
        <v>1.798561151079137E-3</v>
      </c>
      <c r="D72" s="29">
        <v>3.821942446043166E-2</v>
      </c>
    </row>
    <row r="73" spans="1:4" x14ac:dyDescent="0.2">
      <c r="A73" t="s">
        <v>521</v>
      </c>
      <c r="B73" s="29">
        <v>14.38495540618896</v>
      </c>
      <c r="C73" s="30">
        <v>3.3872901678657072E-2</v>
      </c>
      <c r="D73" s="29">
        <v>0.48726018012570532</v>
      </c>
    </row>
    <row r="74" spans="1:4" x14ac:dyDescent="0.2">
      <c r="A74" t="s">
        <v>794</v>
      </c>
      <c r="B74" s="29">
        <v>9.4380531311035156</v>
      </c>
      <c r="C74" s="30">
        <v>3.3872901678657072E-2</v>
      </c>
      <c r="D74" s="29">
        <v>0.31969424574781091</v>
      </c>
    </row>
    <row r="75" spans="1:4" x14ac:dyDescent="0.2">
      <c r="A75" t="s">
        <v>525</v>
      </c>
      <c r="B75" s="29">
        <v>27.76699066162109</v>
      </c>
      <c r="C75" s="30">
        <v>7.7188249400479613E-3</v>
      </c>
      <c r="D75" s="29">
        <v>0.2143285400289997</v>
      </c>
    </row>
    <row r="76" spans="1:4" x14ac:dyDescent="0.2">
      <c r="A76" t="s">
        <v>535</v>
      </c>
      <c r="B76" s="29">
        <v>13.705752372741699</v>
      </c>
      <c r="C76" s="30">
        <v>3.3872901678657072E-2</v>
      </c>
      <c r="D76" s="29">
        <v>0.46425360255390052</v>
      </c>
    </row>
    <row r="77" spans="1:4" x14ac:dyDescent="0.2">
      <c r="A77" t="s">
        <v>795</v>
      </c>
      <c r="B77" s="29">
        <v>12.77690315246582</v>
      </c>
      <c r="C77" s="30">
        <v>1</v>
      </c>
      <c r="D77" s="29">
        <v>12.77690315246582</v>
      </c>
    </row>
    <row r="78" spans="1:4" x14ac:dyDescent="0.2">
      <c r="A78" t="s">
        <v>545</v>
      </c>
      <c r="B78" s="29">
        <v>21.398605346679691</v>
      </c>
      <c r="C78" s="30">
        <v>1</v>
      </c>
      <c r="D78" s="29">
        <v>21.398605346679691</v>
      </c>
    </row>
    <row r="79" spans="1:4" x14ac:dyDescent="0.2">
      <c r="A79" t="s">
        <v>549</v>
      </c>
      <c r="B79" s="29">
        <v>14.980740547180179</v>
      </c>
      <c r="C79" s="30">
        <v>1</v>
      </c>
      <c r="D79" s="29">
        <v>14.980740547180179</v>
      </c>
    </row>
    <row r="80" spans="1:4" x14ac:dyDescent="0.2">
      <c r="A80" t="s">
        <v>553</v>
      </c>
      <c r="B80" s="29">
        <v>13.72302150726318</v>
      </c>
      <c r="C80" s="30">
        <v>1</v>
      </c>
      <c r="D80" s="29">
        <v>13.72302150726318</v>
      </c>
    </row>
    <row r="81" spans="1:4" x14ac:dyDescent="0.2">
      <c r="A81" t="s">
        <v>557</v>
      </c>
      <c r="B81" s="29">
        <v>13.06220054626465</v>
      </c>
      <c r="C81" s="30">
        <v>1</v>
      </c>
      <c r="D81" s="29">
        <v>13.06220054626465</v>
      </c>
    </row>
    <row r="82" spans="1:4" x14ac:dyDescent="0.2">
      <c r="A82" t="s">
        <v>561</v>
      </c>
      <c r="B82" s="29">
        <v>13.09532356262207</v>
      </c>
      <c r="C82" s="30">
        <v>1</v>
      </c>
      <c r="D82" s="29">
        <v>13.09532356262207</v>
      </c>
    </row>
    <row r="83" spans="1:4" x14ac:dyDescent="0.2">
      <c r="A83" t="s">
        <v>565</v>
      </c>
      <c r="B83" s="29">
        <v>16.10101918465228</v>
      </c>
      <c r="C83" s="30">
        <v>1</v>
      </c>
      <c r="D83" s="29">
        <v>16.10101918465228</v>
      </c>
    </row>
    <row r="84" spans="1:4" x14ac:dyDescent="0.2">
      <c r="A84" t="s">
        <v>569</v>
      </c>
      <c r="B84" s="29">
        <v>11.76504325866699</v>
      </c>
      <c r="C84" s="30">
        <v>0.32628896882494007</v>
      </c>
      <c r="D84" s="29">
        <v>3.8388038330512662</v>
      </c>
    </row>
    <row r="85" spans="1:4" x14ac:dyDescent="0.2">
      <c r="A85" t="s">
        <v>573</v>
      </c>
      <c r="B85" s="29">
        <v>12.432478904724119</v>
      </c>
      <c r="C85" s="30">
        <v>1</v>
      </c>
      <c r="D85" s="29">
        <v>12.432478904724119</v>
      </c>
    </row>
    <row r="86" spans="1:4" x14ac:dyDescent="0.2">
      <c r="A86" t="s">
        <v>577</v>
      </c>
      <c r="B86" s="29">
        <v>8.9801836013793945</v>
      </c>
      <c r="C86" s="30">
        <v>0.25337230215827339</v>
      </c>
      <c r="D86" s="29">
        <v>2.2753297928854721</v>
      </c>
    </row>
    <row r="87" spans="1:4" x14ac:dyDescent="0.2">
      <c r="A87" t="s">
        <v>580</v>
      </c>
      <c r="B87" s="29">
        <v>11.089328765869141</v>
      </c>
      <c r="C87" s="30">
        <v>1</v>
      </c>
      <c r="D87" s="29">
        <v>11.089328765869141</v>
      </c>
    </row>
    <row r="88" spans="1:4" x14ac:dyDescent="0.2">
      <c r="A88" t="s">
        <v>584</v>
      </c>
      <c r="B88" s="29">
        <v>8.0683355331420898</v>
      </c>
      <c r="C88" s="30">
        <v>0.14366007194244601</v>
      </c>
      <c r="D88" s="29">
        <v>1.159097663146986</v>
      </c>
    </row>
    <row r="89" spans="1:4" x14ac:dyDescent="0.2">
      <c r="A89" t="s">
        <v>796</v>
      </c>
      <c r="B89" s="29">
        <v>5.7112536430358887</v>
      </c>
      <c r="C89" s="30">
        <v>0.80508093525179858</v>
      </c>
      <c r="D89" s="29">
        <v>4.5980214243955748</v>
      </c>
    </row>
    <row r="90" spans="1:4" x14ac:dyDescent="0.2">
      <c r="A90" t="s">
        <v>797</v>
      </c>
      <c r="B90" s="29">
        <v>19.851530075073239</v>
      </c>
      <c r="C90" s="30">
        <v>0.31092625899280568</v>
      </c>
      <c r="D90" s="29">
        <v>6.1723619815256949</v>
      </c>
    </row>
    <row r="91" spans="1:4" x14ac:dyDescent="0.2">
      <c r="A91" t="s">
        <v>591</v>
      </c>
      <c r="B91" s="29">
        <v>15.436671257019039</v>
      </c>
      <c r="C91" s="30">
        <v>0.7969874100719424</v>
      </c>
      <c r="D91" s="29">
        <v>12.302832645263599</v>
      </c>
    </row>
    <row r="92" spans="1:4" x14ac:dyDescent="0.2">
      <c r="A92" t="s">
        <v>597</v>
      </c>
      <c r="B92" s="29">
        <v>12.4080867767334</v>
      </c>
      <c r="C92" s="30">
        <v>0.7969874100719424</v>
      </c>
      <c r="D92" s="29">
        <v>9.8890889441366667</v>
      </c>
    </row>
    <row r="93" spans="1:4" x14ac:dyDescent="0.2">
      <c r="A93" t="s">
        <v>599</v>
      </c>
      <c r="B93" s="29">
        <v>9.2894678115844727</v>
      </c>
      <c r="C93" s="30">
        <v>0.31092625899280568</v>
      </c>
      <c r="D93" s="29">
        <v>2.8883394746900461</v>
      </c>
    </row>
    <row r="94" spans="1:4" x14ac:dyDescent="0.2">
      <c r="A94" t="s">
        <v>798</v>
      </c>
      <c r="B94" s="29">
        <v>15.05952072143555</v>
      </c>
      <c r="C94" s="30">
        <v>0.7969874100719424</v>
      </c>
      <c r="D94" s="29">
        <v>12.00224841670167</v>
      </c>
    </row>
    <row r="95" spans="1:4" x14ac:dyDescent="0.2">
      <c r="A95" t="s">
        <v>799</v>
      </c>
      <c r="B95" s="29">
        <v>15.543986320495611</v>
      </c>
      <c r="C95" s="30">
        <v>0.31092625899280568</v>
      </c>
      <c r="D95" s="29">
        <v>4.8330335164670464</v>
      </c>
    </row>
    <row r="96" spans="1:4" x14ac:dyDescent="0.2">
      <c r="A96" t="s">
        <v>800</v>
      </c>
      <c r="B96" s="29">
        <v>12.996181488037109</v>
      </c>
      <c r="C96" s="30">
        <v>0.78507194244604317</v>
      </c>
      <c r="D96" s="29">
        <v>10.2029374451946</v>
      </c>
    </row>
    <row r="97" spans="1:4" x14ac:dyDescent="0.2">
      <c r="A97" t="s">
        <v>801</v>
      </c>
      <c r="B97" s="29">
        <v>10.668112754821779</v>
      </c>
      <c r="C97" s="30">
        <v>0.31092625899280568</v>
      </c>
      <c r="D97" s="29">
        <v>3.3169963893701699</v>
      </c>
    </row>
    <row r="98" spans="1:4" x14ac:dyDescent="0.2">
      <c r="A98" t="s">
        <v>607</v>
      </c>
      <c r="B98" s="29">
        <v>9.716710090637207</v>
      </c>
      <c r="C98" s="30">
        <v>0.43277877697841732</v>
      </c>
      <c r="D98" s="29">
        <v>4.2051859092798161</v>
      </c>
    </row>
    <row r="99" spans="1:4" x14ac:dyDescent="0.2">
      <c r="A99" t="s">
        <v>609</v>
      </c>
      <c r="B99" s="29">
        <v>10.953365325927731</v>
      </c>
      <c r="C99" s="30">
        <v>0.63796462829736211</v>
      </c>
      <c r="D99" s="29">
        <v>6.9878596387607006</v>
      </c>
    </row>
    <row r="100" spans="1:4" x14ac:dyDescent="0.2">
      <c r="A100" t="s">
        <v>611</v>
      </c>
      <c r="B100" s="29">
        <v>10.114131927490231</v>
      </c>
      <c r="C100" s="30">
        <v>0.23703537170263789</v>
      </c>
      <c r="D100" s="29">
        <v>2.3974070208821652</v>
      </c>
    </row>
    <row r="101" spans="1:4" x14ac:dyDescent="0.2">
      <c r="A101" t="s">
        <v>802</v>
      </c>
      <c r="B101" s="29">
        <v>3.6575121879577641</v>
      </c>
      <c r="C101" s="30">
        <v>4.6387889688249397E-2</v>
      </c>
      <c r="D101" s="29">
        <v>0.16966427190841249</v>
      </c>
    </row>
    <row r="102" spans="1:4" x14ac:dyDescent="0.2">
      <c r="A102" t="s">
        <v>803</v>
      </c>
      <c r="B102" s="29">
        <v>10.86770534515381</v>
      </c>
      <c r="C102" s="30">
        <v>0.79361510791366907</v>
      </c>
      <c r="D102" s="29">
        <v>8.6247751502681975</v>
      </c>
    </row>
    <row r="103" spans="1:4" x14ac:dyDescent="0.2">
      <c r="A103" t="s">
        <v>804</v>
      </c>
      <c r="B103" s="29">
        <v>21.53330039978027</v>
      </c>
      <c r="C103" s="30">
        <v>0.15190347721822539</v>
      </c>
      <c r="D103" s="29">
        <v>3.270983206711227</v>
      </c>
    </row>
    <row r="104" spans="1:4" x14ac:dyDescent="0.2">
      <c r="A104" t="s">
        <v>613</v>
      </c>
      <c r="B104" s="29">
        <v>72.295135498046875</v>
      </c>
      <c r="C104" s="30">
        <v>0.84097721822541971</v>
      </c>
      <c r="D104" s="29">
        <v>60.798561942377248</v>
      </c>
    </row>
    <row r="105" spans="1:4" x14ac:dyDescent="0.2">
      <c r="A105" t="s">
        <v>620</v>
      </c>
      <c r="B105" s="29">
        <v>3.7052218914031978</v>
      </c>
      <c r="C105" s="30">
        <v>0.84097721822541971</v>
      </c>
      <c r="D105" s="29">
        <v>3.1160071991401899</v>
      </c>
    </row>
    <row r="106" spans="1:4" x14ac:dyDescent="0.2">
      <c r="A106" t="s">
        <v>805</v>
      </c>
      <c r="B106" s="29">
        <v>2.7029058933258061</v>
      </c>
      <c r="C106" s="30">
        <v>0.14958033573141491</v>
      </c>
      <c r="D106" s="29">
        <v>0.40430157097409392</v>
      </c>
    </row>
    <row r="107" spans="1:4" x14ac:dyDescent="0.2">
      <c r="A107" t="s">
        <v>806</v>
      </c>
      <c r="B107" s="29">
        <v>18.146602630615231</v>
      </c>
      <c r="C107" s="30">
        <v>6.2874700239808151E-2</v>
      </c>
      <c r="D107" s="29">
        <v>1.1409622007708471</v>
      </c>
    </row>
    <row r="108" spans="1:4" x14ac:dyDescent="0.2">
      <c r="A108" t="s">
        <v>807</v>
      </c>
      <c r="B108" s="29">
        <v>14.324113845825201</v>
      </c>
      <c r="C108" s="30">
        <v>8.6705635491606717E-2</v>
      </c>
      <c r="D108" s="29">
        <v>1.2419813938563959</v>
      </c>
    </row>
    <row r="109" spans="1:4" x14ac:dyDescent="0.2">
      <c r="A109" t="s">
        <v>808</v>
      </c>
      <c r="B109" s="29">
        <v>7.9697494506835938</v>
      </c>
      <c r="C109" s="30">
        <v>8.6705635491606717E-2</v>
      </c>
      <c r="D109" s="29">
        <v>0.6910221908304045</v>
      </c>
    </row>
    <row r="110" spans="1:4" x14ac:dyDescent="0.2">
      <c r="A110" t="s">
        <v>809</v>
      </c>
      <c r="B110" s="29">
        <v>7.6092715263366699</v>
      </c>
      <c r="C110" s="30">
        <v>3.3947841726618702E-2</v>
      </c>
      <c r="D110" s="29">
        <v>0.25831834543094362</v>
      </c>
    </row>
    <row r="111" spans="1:4" x14ac:dyDescent="0.2">
      <c r="A111" t="s">
        <v>810</v>
      </c>
      <c r="B111" s="29">
        <v>7.3416147232055664</v>
      </c>
      <c r="C111" s="30">
        <v>1.206534772182254E-2</v>
      </c>
      <c r="D111" s="29">
        <v>8.8579134475127108E-2</v>
      </c>
    </row>
    <row r="112" spans="1:4" x14ac:dyDescent="0.2">
      <c r="A112" t="s">
        <v>811</v>
      </c>
      <c r="B112" s="29">
        <v>7.5166668891906738</v>
      </c>
      <c r="C112" s="30">
        <v>4.4964028776978424E-3</v>
      </c>
      <c r="D112" s="29">
        <v>3.379796263125303E-2</v>
      </c>
    </row>
    <row r="113" spans="1:4" x14ac:dyDescent="0.2">
      <c r="A113" t="s">
        <v>812</v>
      </c>
      <c r="B113" s="29">
        <v>8.3076925277709961</v>
      </c>
      <c r="C113" s="30">
        <v>1.9484412470023979E-3</v>
      </c>
      <c r="D113" s="29">
        <v>1.618705078852262E-2</v>
      </c>
    </row>
    <row r="114" spans="1:4" x14ac:dyDescent="0.2">
      <c r="A114" t="s">
        <v>813</v>
      </c>
      <c r="B114" s="29">
        <v>7.769230842590332</v>
      </c>
      <c r="C114" s="30">
        <v>9.7422062350119906E-4</v>
      </c>
      <c r="D114" s="29">
        <v>7.5689449155930998E-3</v>
      </c>
    </row>
    <row r="115" spans="1:4" x14ac:dyDescent="0.2">
      <c r="A115" t="s">
        <v>814</v>
      </c>
      <c r="B115" s="29">
        <v>9.3333330154418945</v>
      </c>
      <c r="C115" s="30">
        <v>4.496402877697842E-4</v>
      </c>
      <c r="D115" s="29">
        <v>4.1966425429145211E-3</v>
      </c>
    </row>
    <row r="116" spans="1:4" x14ac:dyDescent="0.2">
      <c r="A116" t="s">
        <v>815</v>
      </c>
      <c r="B116" s="29">
        <v>6.1999998092651367</v>
      </c>
      <c r="C116" s="30">
        <v>3.7470023980815348E-4</v>
      </c>
      <c r="D116" s="29">
        <v>2.323141415342153E-3</v>
      </c>
    </row>
    <row r="117" spans="1:4" x14ac:dyDescent="0.2">
      <c r="A117" t="s">
        <v>816</v>
      </c>
      <c r="B117" s="29">
        <v>15.666666984558111</v>
      </c>
      <c r="C117" s="30">
        <v>2.248201438848921E-4</v>
      </c>
      <c r="D117" s="29">
        <v>3.5221823256650418E-3</v>
      </c>
    </row>
    <row r="118" spans="1:4" x14ac:dyDescent="0.2">
      <c r="A118" t="s">
        <v>817</v>
      </c>
      <c r="B118" s="29">
        <v>19.828245162963871</v>
      </c>
      <c r="C118" s="30">
        <v>0.63092026378896882</v>
      </c>
      <c r="D118" s="29">
        <v>12.51004166868951</v>
      </c>
    </row>
    <row r="119" spans="1:4" x14ac:dyDescent="0.2">
      <c r="A119" t="s">
        <v>694</v>
      </c>
      <c r="B119" s="29">
        <v>49.529693603515618</v>
      </c>
      <c r="C119" s="30">
        <v>0.67386091127098324</v>
      </c>
      <c r="D119" s="29">
        <v>33.376124466637627</v>
      </c>
    </row>
    <row r="120" spans="1:4" x14ac:dyDescent="0.2">
      <c r="A120" t="s">
        <v>818</v>
      </c>
      <c r="B120" s="29">
        <v>10.34935474395752</v>
      </c>
      <c r="C120" s="30">
        <v>6.3923860911270988E-2</v>
      </c>
      <c r="D120" s="29">
        <v>0.66157071317414307</v>
      </c>
    </row>
    <row r="121" spans="1:4" x14ac:dyDescent="0.2">
      <c r="A121" t="s">
        <v>819</v>
      </c>
      <c r="B121" s="29">
        <v>9.9121618270874023</v>
      </c>
      <c r="C121" s="30">
        <v>2.218225419664269E-2</v>
      </c>
      <c r="D121" s="29">
        <v>0.21987409328671101</v>
      </c>
    </row>
    <row r="122" spans="1:4" x14ac:dyDescent="0.2">
      <c r="A122" t="s">
        <v>820</v>
      </c>
      <c r="B122" s="29">
        <v>12.817567825317379</v>
      </c>
      <c r="C122" s="30">
        <v>2.218225419664269E-2</v>
      </c>
      <c r="D122" s="29">
        <v>0.28432254768389881</v>
      </c>
    </row>
    <row r="123" spans="1:4" x14ac:dyDescent="0.2">
      <c r="A123" t="s">
        <v>701</v>
      </c>
      <c r="B123" s="29">
        <v>22.029750823974609</v>
      </c>
      <c r="C123" s="30">
        <v>1</v>
      </c>
      <c r="D123" s="29">
        <v>22.029750823974609</v>
      </c>
    </row>
    <row r="124" spans="1:4" x14ac:dyDescent="0.2">
      <c r="A124" t="s">
        <v>720</v>
      </c>
      <c r="B124" s="29">
        <v>36.783046722412109</v>
      </c>
      <c r="C124" s="30">
        <v>1</v>
      </c>
      <c r="D124" s="29">
        <v>36.783046722412109</v>
      </c>
    </row>
    <row r="125" spans="1:4" x14ac:dyDescent="0.2">
      <c r="A125" t="s">
        <v>186</v>
      </c>
      <c r="B125" s="29">
        <v>13.76013851165771</v>
      </c>
      <c r="C125" s="30">
        <v>0.28087529976019182</v>
      </c>
      <c r="D125" s="29">
        <v>3.8648830292036198</v>
      </c>
    </row>
    <row r="126" spans="1:4" x14ac:dyDescent="0.2">
      <c r="A126" t="s">
        <v>595</v>
      </c>
      <c r="B126" s="29">
        <v>13.39993858337402</v>
      </c>
      <c r="C126" s="30">
        <v>0.48606115107913672</v>
      </c>
      <c r="D126" s="29">
        <v>6.5131895722245137</v>
      </c>
    </row>
    <row r="127" spans="1:4" x14ac:dyDescent="0.2">
      <c r="A127" t="s">
        <v>821</v>
      </c>
      <c r="B127" s="29">
        <v>14.62593364715576</v>
      </c>
      <c r="C127" s="30">
        <v>0.28087529976019182</v>
      </c>
      <c r="D127" s="29">
        <v>4.1080634974175503</v>
      </c>
    </row>
    <row r="128" spans="1:4" x14ac:dyDescent="0.2">
      <c r="A128" t="s">
        <v>822</v>
      </c>
      <c r="B128" s="29">
        <v>14.752389907836911</v>
      </c>
      <c r="C128" s="30">
        <v>0.48606115107913672</v>
      </c>
      <c r="D128" s="29">
        <v>7.1705636197714497</v>
      </c>
    </row>
    <row r="129" spans="1:4" x14ac:dyDescent="0.2">
      <c r="A129" t="s">
        <v>823</v>
      </c>
      <c r="B129" s="29">
        <v>14.082502365112299</v>
      </c>
      <c r="C129" s="30">
        <v>0.16531774580335731</v>
      </c>
      <c r="D129" s="29">
        <v>2.3280875462708139</v>
      </c>
    </row>
    <row r="130" spans="1:4" x14ac:dyDescent="0.2">
      <c r="A130" t="s">
        <v>824</v>
      </c>
      <c r="B130" s="29">
        <v>15.481228828430179</v>
      </c>
      <c r="C130" s="30">
        <v>2.1957434052757789E-2</v>
      </c>
      <c r="D130" s="29">
        <v>0.33992806105590839</v>
      </c>
    </row>
    <row r="131" spans="1:4" x14ac:dyDescent="0.2">
      <c r="A131" t="s">
        <v>53</v>
      </c>
      <c r="B131" s="29">
        <v>3.062232494354248</v>
      </c>
      <c r="C131" s="30">
        <v>0.68277877697841727</v>
      </c>
      <c r="D131" s="29">
        <v>2.0908273573187621</v>
      </c>
    </row>
    <row r="132" spans="1:4" x14ac:dyDescent="0.2">
      <c r="A132" t="s">
        <v>825</v>
      </c>
      <c r="B132" s="29">
        <v>10.030631065368651</v>
      </c>
      <c r="C132" s="30">
        <v>0.15902278177458029</v>
      </c>
      <c r="D132" s="29">
        <v>1.595098854969446</v>
      </c>
    </row>
    <row r="133" spans="1:4" x14ac:dyDescent="0.2">
      <c r="A133" t="s">
        <v>826</v>
      </c>
      <c r="B133" s="29">
        <v>11.38066482543945</v>
      </c>
      <c r="C133" s="30">
        <v>2.4805155875299759E-2</v>
      </c>
      <c r="D133" s="29">
        <v>0.28229916495956681</v>
      </c>
    </row>
    <row r="134" spans="1:4" x14ac:dyDescent="0.2">
      <c r="A134" t="s">
        <v>189</v>
      </c>
      <c r="B134" s="29">
        <v>30.646188735961911</v>
      </c>
      <c r="C134" s="30">
        <v>0.56722122302158273</v>
      </c>
      <c r="D134" s="29">
        <v>17.383168655762571</v>
      </c>
    </row>
    <row r="135" spans="1:4" x14ac:dyDescent="0.2">
      <c r="A135" t="s">
        <v>827</v>
      </c>
      <c r="B135" s="29">
        <v>10.112629890441889</v>
      </c>
      <c r="C135" s="30">
        <v>0.15902278177458029</v>
      </c>
      <c r="D135" s="29">
        <v>1.6081385362348399</v>
      </c>
    </row>
    <row r="136" spans="1:4" x14ac:dyDescent="0.2">
      <c r="A136" t="s">
        <v>828</v>
      </c>
      <c r="B136" s="29">
        <v>13.900094032287599</v>
      </c>
      <c r="C136" s="30">
        <v>0.15902278177458029</v>
      </c>
      <c r="D136" s="29">
        <v>2.2104316199426171</v>
      </c>
    </row>
    <row r="137" spans="1:4" x14ac:dyDescent="0.2">
      <c r="A137" t="s">
        <v>213</v>
      </c>
      <c r="B137" s="29">
        <v>8.2288064956665039</v>
      </c>
      <c r="C137" s="30">
        <v>0.36420863309352519</v>
      </c>
      <c r="D137" s="29">
        <v>2.997002365777818</v>
      </c>
    </row>
    <row r="138" spans="1:4" x14ac:dyDescent="0.2">
      <c r="A138" t="s">
        <v>829</v>
      </c>
      <c r="B138" s="29">
        <v>32.266731262207031</v>
      </c>
      <c r="C138" s="30">
        <v>0.15902278177458029</v>
      </c>
      <c r="D138" s="29">
        <v>5.1311453640889786</v>
      </c>
    </row>
    <row r="139" spans="1:4" x14ac:dyDescent="0.2">
      <c r="A139" t="s">
        <v>830</v>
      </c>
      <c r="B139" s="29">
        <v>11.01242256164551</v>
      </c>
      <c r="C139" s="30">
        <v>8.4457434052757796E-2</v>
      </c>
      <c r="D139" s="29">
        <v>0.93008095226127752</v>
      </c>
    </row>
    <row r="140" spans="1:4" x14ac:dyDescent="0.2">
      <c r="A140" t="s">
        <v>831</v>
      </c>
      <c r="B140" s="29">
        <v>59.445335388183587</v>
      </c>
      <c r="C140" s="30">
        <v>0.15902278177458029</v>
      </c>
      <c r="D140" s="29">
        <v>9.4531625969518576</v>
      </c>
    </row>
    <row r="141" spans="1:4" x14ac:dyDescent="0.2">
      <c r="A141" t="s">
        <v>832</v>
      </c>
      <c r="B141" s="29">
        <v>31.696512222290039</v>
      </c>
      <c r="C141" s="30">
        <v>0.15902278177458029</v>
      </c>
      <c r="D141" s="29">
        <v>5.0404675461405466</v>
      </c>
    </row>
    <row r="142" spans="1:4" x14ac:dyDescent="0.2">
      <c r="A142" t="s">
        <v>833</v>
      </c>
      <c r="B142" s="29">
        <v>18.788320541381839</v>
      </c>
      <c r="C142" s="30">
        <v>3.0800359712230219E-2</v>
      </c>
      <c r="D142" s="29">
        <v>0.57868703106324448</v>
      </c>
    </row>
    <row r="143" spans="1:4" x14ac:dyDescent="0.2">
      <c r="A143" t="s">
        <v>834</v>
      </c>
      <c r="B143" s="29">
        <v>14.180000305175779</v>
      </c>
      <c r="C143" s="30">
        <v>1.12410071942446E-2</v>
      </c>
      <c r="D143" s="29">
        <v>0.15939748544487159</v>
      </c>
    </row>
    <row r="144" spans="1:4" x14ac:dyDescent="0.2">
      <c r="A144" t="s">
        <v>835</v>
      </c>
      <c r="B144" s="29">
        <v>14.373562812805179</v>
      </c>
      <c r="C144" s="30">
        <v>1.303956834532374E-2</v>
      </c>
      <c r="D144" s="29">
        <v>0.18742505466337689</v>
      </c>
    </row>
    <row r="145" spans="1:4" x14ac:dyDescent="0.2">
      <c r="A145" t="s">
        <v>836</v>
      </c>
      <c r="B145" s="29">
        <v>13.638889312744141</v>
      </c>
      <c r="C145" s="30">
        <v>2.6978417266187052E-3</v>
      </c>
      <c r="D145" s="29">
        <v>3.6795564692655047E-2</v>
      </c>
    </row>
    <row r="146" spans="1:4" x14ac:dyDescent="0.2">
      <c r="A146" t="s">
        <v>837</v>
      </c>
      <c r="B146" s="29">
        <v>15.40838527679443</v>
      </c>
      <c r="C146" s="30">
        <v>0.14478417266187049</v>
      </c>
      <c r="D146" s="29">
        <v>2.2308903143560279</v>
      </c>
    </row>
    <row r="147" spans="1:4" x14ac:dyDescent="0.2">
      <c r="A147" t="s">
        <v>838</v>
      </c>
      <c r="B147" s="29">
        <v>13.428935050964361</v>
      </c>
      <c r="C147" s="30">
        <v>0.14710731414868111</v>
      </c>
      <c r="D147" s="29">
        <v>1.9754945672244479</v>
      </c>
    </row>
    <row r="148" spans="1:4" x14ac:dyDescent="0.2">
      <c r="A148" t="s">
        <v>839</v>
      </c>
      <c r="B148" s="29">
        <v>16.118755340576168</v>
      </c>
      <c r="C148" s="30">
        <v>0.15902278177458029</v>
      </c>
      <c r="D148" s="29">
        <v>2.563249313002296</v>
      </c>
    </row>
    <row r="149" spans="1:4" x14ac:dyDescent="0.2">
      <c r="A149" t="s">
        <v>840</v>
      </c>
      <c r="B149" s="29">
        <v>24.20000076293945</v>
      </c>
      <c r="C149" s="30">
        <v>3.3723021582733811E-3</v>
      </c>
      <c r="D149" s="29">
        <v>8.1609714803078187E-2</v>
      </c>
    </row>
    <row r="150" spans="1:4" x14ac:dyDescent="0.2">
      <c r="A150" t="s">
        <v>841</v>
      </c>
      <c r="B150" s="29">
        <v>15.139491081237789</v>
      </c>
      <c r="C150" s="30">
        <v>0.15902278177458029</v>
      </c>
      <c r="D150" s="29">
        <v>2.407523986389883</v>
      </c>
    </row>
    <row r="151" spans="1:4" x14ac:dyDescent="0.2">
      <c r="A151" t="s">
        <v>842</v>
      </c>
      <c r="B151" s="29">
        <v>17.901508331298832</v>
      </c>
      <c r="C151" s="30">
        <v>0.15902278177458029</v>
      </c>
      <c r="D151" s="29">
        <v>2.8467476528039661</v>
      </c>
    </row>
    <row r="152" spans="1:4" x14ac:dyDescent="0.2">
      <c r="A152" t="s">
        <v>843</v>
      </c>
      <c r="B152" s="29">
        <v>27.199811935424801</v>
      </c>
      <c r="C152" s="30">
        <v>0.15902278177458029</v>
      </c>
      <c r="D152" s="29">
        <v>4.3253897577166844</v>
      </c>
    </row>
    <row r="153" spans="1:4" x14ac:dyDescent="0.2">
      <c r="A153" t="s">
        <v>844</v>
      </c>
      <c r="B153" s="29">
        <v>20.648445129394531</v>
      </c>
      <c r="C153" s="30">
        <v>0.15902278177458029</v>
      </c>
      <c r="D153" s="29">
        <v>3.2835731837961029</v>
      </c>
    </row>
    <row r="154" spans="1:4" x14ac:dyDescent="0.2">
      <c r="A154" t="s">
        <v>845</v>
      </c>
      <c r="B154" s="29">
        <v>55.302074432373047</v>
      </c>
      <c r="C154" s="30">
        <v>0.15902278177458029</v>
      </c>
      <c r="D154" s="29">
        <v>8.7942897141408576</v>
      </c>
    </row>
    <row r="155" spans="1:4" x14ac:dyDescent="0.2">
      <c r="A155" t="s">
        <v>846</v>
      </c>
      <c r="B155" s="29">
        <v>24.500471115112301</v>
      </c>
      <c r="C155" s="30">
        <v>0.15902278177458029</v>
      </c>
      <c r="D155" s="29">
        <v>3.8961330715129132</v>
      </c>
    </row>
    <row r="156" spans="1:4" x14ac:dyDescent="0.2">
      <c r="A156" t="s">
        <v>847</v>
      </c>
      <c r="B156" s="29">
        <v>24.92459869384766</v>
      </c>
      <c r="C156" s="30">
        <v>0.15902278177458029</v>
      </c>
      <c r="D156" s="29">
        <v>3.9635790189107261</v>
      </c>
    </row>
    <row r="157" spans="1:4" x14ac:dyDescent="0.2">
      <c r="A157" t="s">
        <v>848</v>
      </c>
      <c r="B157" s="29">
        <v>17.525918960571289</v>
      </c>
      <c r="C157" s="30">
        <v>0.15902278177458029</v>
      </c>
      <c r="D157" s="29">
        <v>2.7870203862659082</v>
      </c>
    </row>
    <row r="158" spans="1:4" x14ac:dyDescent="0.2">
      <c r="A158" t="s">
        <v>849</v>
      </c>
      <c r="B158" s="29">
        <v>28.03440093994141</v>
      </c>
      <c r="C158" s="30">
        <v>0.15902278177458029</v>
      </c>
      <c r="D158" s="29">
        <v>4.4581084228533916</v>
      </c>
    </row>
    <row r="159" spans="1:4" x14ac:dyDescent="0.2">
      <c r="A159" t="s">
        <v>850</v>
      </c>
      <c r="B159" s="29">
        <v>15.688972473144529</v>
      </c>
      <c r="C159" s="30">
        <v>0.15902278177458029</v>
      </c>
      <c r="D159" s="29">
        <v>2.4949040458642608</v>
      </c>
    </row>
    <row r="160" spans="1:4" x14ac:dyDescent="0.2">
      <c r="A160" t="s">
        <v>851</v>
      </c>
      <c r="B160" s="29">
        <v>21.188030242919918</v>
      </c>
      <c r="C160" s="30">
        <v>0.15902278177458029</v>
      </c>
      <c r="D160" s="29">
        <v>3.3693795095530632</v>
      </c>
    </row>
    <row r="161" spans="1:4" x14ac:dyDescent="0.2">
      <c r="A161" t="s">
        <v>852</v>
      </c>
      <c r="B161" s="29">
        <v>10.56944465637207</v>
      </c>
      <c r="C161" s="30">
        <v>5.3956834532374104E-3</v>
      </c>
      <c r="D161" s="29">
        <v>5.7029377642295348E-2</v>
      </c>
    </row>
    <row r="162" spans="1:4" x14ac:dyDescent="0.2">
      <c r="A162" t="s">
        <v>751</v>
      </c>
      <c r="B162" s="29">
        <v>17.507846832275391</v>
      </c>
      <c r="C162" s="30">
        <v>0.68277877697841727</v>
      </c>
      <c r="D162" s="29">
        <v>11.95398624766645</v>
      </c>
    </row>
    <row r="163" spans="1:4" x14ac:dyDescent="0.2">
      <c r="A163" t="s">
        <v>64</v>
      </c>
      <c r="B163" s="29">
        <v>4.6240768432617188</v>
      </c>
      <c r="C163" s="30">
        <v>0.20293764988009591</v>
      </c>
      <c r="D163" s="29">
        <v>0.9383992874365058</v>
      </c>
    </row>
    <row r="164" spans="1:4" x14ac:dyDescent="0.2">
      <c r="A164" t="s">
        <v>853</v>
      </c>
      <c r="B164" s="29">
        <v>10.74381732940674</v>
      </c>
      <c r="C164" s="30">
        <v>0.20301258992805751</v>
      </c>
      <c r="D164" s="29">
        <v>2.1811301817568078</v>
      </c>
    </row>
    <row r="165" spans="1:4" x14ac:dyDescent="0.2">
      <c r="A165" t="s">
        <v>854</v>
      </c>
      <c r="B165" s="29"/>
      <c r="C165" s="30">
        <v>0</v>
      </c>
      <c r="D165" s="29">
        <v>0</v>
      </c>
    </row>
    <row r="166" spans="1:4" x14ac:dyDescent="0.2">
      <c r="A166" t="s">
        <v>855</v>
      </c>
      <c r="B166" s="29">
        <v>56.471023559570312</v>
      </c>
      <c r="C166" s="30">
        <v>0.20301258992805751</v>
      </c>
      <c r="D166" s="29">
        <v>11.464328748716721</v>
      </c>
    </row>
    <row r="167" spans="1:4" x14ac:dyDescent="0.2">
      <c r="A167" t="s">
        <v>856</v>
      </c>
      <c r="B167" s="29">
        <v>31</v>
      </c>
      <c r="C167" s="30">
        <v>4.0467625899280584E-3</v>
      </c>
      <c r="D167" s="29">
        <v>0.12544964028776981</v>
      </c>
    </row>
    <row r="168" spans="1:4" x14ac:dyDescent="0.2">
      <c r="A168" t="s">
        <v>857</v>
      </c>
      <c r="B168" s="29">
        <v>30.833333969116211</v>
      </c>
      <c r="C168" s="30">
        <v>4.0467625899280584E-3</v>
      </c>
      <c r="D168" s="29">
        <v>0.1247751824289775</v>
      </c>
    </row>
    <row r="169" spans="1:4" x14ac:dyDescent="0.2">
      <c r="A169" t="s">
        <v>367</v>
      </c>
      <c r="B169" s="29">
        <v>16.882986068725589</v>
      </c>
      <c r="C169" s="30">
        <v>0.1184802158273381</v>
      </c>
      <c r="D169" s="29">
        <v>2.0002998332325501</v>
      </c>
    </row>
    <row r="170" spans="1:4" x14ac:dyDescent="0.2">
      <c r="A170" t="s">
        <v>396</v>
      </c>
      <c r="B170" s="29">
        <v>16.82699012756348</v>
      </c>
      <c r="C170" s="30">
        <v>8.6630695443645087E-2</v>
      </c>
      <c r="D170" s="29">
        <v>1.457733856974174</v>
      </c>
    </row>
    <row r="171" spans="1:4" x14ac:dyDescent="0.2">
      <c r="A171" t="s">
        <v>858</v>
      </c>
      <c r="B171" s="29">
        <v>39.486873626708977</v>
      </c>
      <c r="C171" s="30">
        <v>3.139988009592326E-2</v>
      </c>
      <c r="D171" s="29">
        <v>1.2398830972415369</v>
      </c>
    </row>
    <row r="172" spans="1:4" x14ac:dyDescent="0.2">
      <c r="A172" t="s">
        <v>443</v>
      </c>
      <c r="B172" s="29">
        <v>15.9380989074707</v>
      </c>
      <c r="C172" s="30">
        <v>0.1016936450839329</v>
      </c>
      <c r="D172" s="29">
        <v>1.620803373608944</v>
      </c>
    </row>
    <row r="173" spans="1:4" x14ac:dyDescent="0.2">
      <c r="A173" t="s">
        <v>469</v>
      </c>
      <c r="B173" s="29">
        <v>13.330855369567869</v>
      </c>
      <c r="C173" s="30">
        <v>6.047661870503597E-2</v>
      </c>
      <c r="D173" s="29">
        <v>0.80620505719733748</v>
      </c>
    </row>
    <row r="174" spans="1:4" x14ac:dyDescent="0.2">
      <c r="A174" t="s">
        <v>859</v>
      </c>
      <c r="B174" s="29">
        <v>16.437650680541989</v>
      </c>
      <c r="C174" s="30">
        <v>6.25E-2</v>
      </c>
      <c r="D174" s="29">
        <v>1.027353167533875</v>
      </c>
    </row>
    <row r="175" spans="1:4" x14ac:dyDescent="0.2">
      <c r="A175" t="s">
        <v>860</v>
      </c>
      <c r="B175" s="29">
        <v>8.6666669845581055</v>
      </c>
      <c r="C175" s="30">
        <v>6.7446043165467629E-4</v>
      </c>
      <c r="D175" s="29">
        <v>5.8453239554123919E-3</v>
      </c>
    </row>
    <row r="176" spans="1:4" x14ac:dyDescent="0.2">
      <c r="A176" t="s">
        <v>501</v>
      </c>
      <c r="B176" s="29">
        <v>12.5238094329834</v>
      </c>
      <c r="C176" s="30">
        <v>1.573741007194245E-3</v>
      </c>
      <c r="D176" s="29">
        <v>1.9709232470972071E-2</v>
      </c>
    </row>
    <row r="177" spans="1:4" x14ac:dyDescent="0.2">
      <c r="A177" t="s">
        <v>861</v>
      </c>
      <c r="B177" s="29">
        <v>22.220184326171879</v>
      </c>
      <c r="C177" s="30">
        <v>8.1684652278177453E-3</v>
      </c>
      <c r="D177" s="29">
        <v>0.18150480302403579</v>
      </c>
    </row>
    <row r="178" spans="1:4" x14ac:dyDescent="0.2">
      <c r="A178" t="s">
        <v>862</v>
      </c>
      <c r="B178" s="29">
        <v>12.889907836914061</v>
      </c>
      <c r="C178" s="30">
        <v>8.1684652278177453E-3</v>
      </c>
      <c r="D178" s="29">
        <v>0.105290763955608</v>
      </c>
    </row>
    <row r="179" spans="1:4" x14ac:dyDescent="0.2">
      <c r="A179" t="s">
        <v>863</v>
      </c>
      <c r="B179" s="29">
        <v>14.84403705596924</v>
      </c>
      <c r="C179" s="30">
        <v>8.1684652278177453E-3</v>
      </c>
      <c r="D179" s="29">
        <v>0.1212530005321228</v>
      </c>
    </row>
    <row r="180" spans="1:4" x14ac:dyDescent="0.2">
      <c r="A180" t="s">
        <v>864</v>
      </c>
      <c r="B180" s="29">
        <v>18.513761520385739</v>
      </c>
      <c r="C180" s="30">
        <v>8.1684652278177453E-3</v>
      </c>
      <c r="D180" s="29">
        <v>0.1512290172153811</v>
      </c>
    </row>
    <row r="181" spans="1:4" x14ac:dyDescent="0.2">
      <c r="A181" t="s">
        <v>865</v>
      </c>
      <c r="B181" s="29">
        <v>16.880733489990231</v>
      </c>
      <c r="C181" s="30">
        <v>8.1684652278177453E-3</v>
      </c>
      <c r="D181" s="29">
        <v>0.1378896845330437</v>
      </c>
    </row>
    <row r="182" spans="1:4" x14ac:dyDescent="0.2">
      <c r="A182" t="s">
        <v>866</v>
      </c>
      <c r="B182" s="29">
        <v>17.431192398071289</v>
      </c>
      <c r="C182" s="30">
        <v>8.1684652278177453E-3</v>
      </c>
      <c r="D182" s="29">
        <v>0.14238608898304631</v>
      </c>
    </row>
    <row r="183" spans="1:4" x14ac:dyDescent="0.2">
      <c r="A183" t="s">
        <v>867</v>
      </c>
      <c r="B183" s="29">
        <v>14.110092163085939</v>
      </c>
      <c r="C183" s="30">
        <v>8.1684652278177453E-3</v>
      </c>
      <c r="D183" s="29">
        <v>0.1152577971954712</v>
      </c>
    </row>
    <row r="184" spans="1:4" x14ac:dyDescent="0.2">
      <c r="A184" t="s">
        <v>868</v>
      </c>
      <c r="B184" s="29">
        <v>15.256880760192869</v>
      </c>
      <c r="C184" s="30">
        <v>8.1684652278177453E-3</v>
      </c>
      <c r="D184" s="29">
        <v>0.124625299974597</v>
      </c>
    </row>
    <row r="185" spans="1:4" x14ac:dyDescent="0.2">
      <c r="A185" t="s">
        <v>869</v>
      </c>
      <c r="B185" s="29">
        <v>12.284403800964361</v>
      </c>
      <c r="C185" s="30">
        <v>8.1684652278177453E-3</v>
      </c>
      <c r="D185" s="29">
        <v>0.1003447252926495</v>
      </c>
    </row>
    <row r="186" spans="1:4" x14ac:dyDescent="0.2">
      <c r="A186" t="s">
        <v>870</v>
      </c>
      <c r="B186" s="29">
        <v>12.577981948852541</v>
      </c>
      <c r="C186" s="30">
        <v>8.1684652278177453E-3</v>
      </c>
      <c r="D186" s="29">
        <v>0.10274280818532119</v>
      </c>
    </row>
    <row r="187" spans="1:4" x14ac:dyDescent="0.2">
      <c r="A187" t="s">
        <v>689</v>
      </c>
      <c r="B187" s="29">
        <v>16.78225135803223</v>
      </c>
      <c r="C187" s="30">
        <v>0.16381894484412471</v>
      </c>
      <c r="D187" s="29">
        <v>2.7492507095817178</v>
      </c>
    </row>
    <row r="188" spans="1:4" x14ac:dyDescent="0.2">
      <c r="A188" t="s">
        <v>871</v>
      </c>
      <c r="B188" s="29">
        <v>11.787801742553709</v>
      </c>
      <c r="C188" s="30">
        <v>0.20518585131894479</v>
      </c>
      <c r="D188" s="29">
        <v>2.4186901357248241</v>
      </c>
    </row>
    <row r="189" spans="1:4" x14ac:dyDescent="0.2">
      <c r="A189" t="s">
        <v>298</v>
      </c>
      <c r="B189" s="29">
        <v>46.247528076171882</v>
      </c>
      <c r="C189" s="30">
        <v>1</v>
      </c>
      <c r="D189" s="29">
        <v>46.247528076171882</v>
      </c>
    </row>
    <row r="190" spans="1:4" x14ac:dyDescent="0.2">
      <c r="A190" t="s">
        <v>872</v>
      </c>
      <c r="B190" s="29">
        <v>0.1537020355463028</v>
      </c>
      <c r="C190" s="30">
        <v>1</v>
      </c>
      <c r="D190" s="29">
        <v>0.1537020355463028</v>
      </c>
    </row>
    <row r="191" spans="1:4" x14ac:dyDescent="0.2">
      <c r="A191" t="s">
        <v>873</v>
      </c>
      <c r="B191" s="29">
        <v>0.67963129281997681</v>
      </c>
      <c r="C191" s="30">
        <v>1</v>
      </c>
      <c r="D191" s="29">
        <v>0.67963129281997681</v>
      </c>
    </row>
    <row r="192" spans="1:4" x14ac:dyDescent="0.2">
      <c r="A192" t="s">
        <v>874</v>
      </c>
      <c r="B192" s="29">
        <v>2.892535924911499</v>
      </c>
      <c r="C192" s="30">
        <v>1</v>
      </c>
      <c r="D192" s="29">
        <v>2.892535924911499</v>
      </c>
    </row>
    <row r="193" spans="1:4" x14ac:dyDescent="0.2">
      <c r="A193" t="s">
        <v>875</v>
      </c>
      <c r="B193" s="29">
        <v>3.3438248634338379</v>
      </c>
      <c r="C193" s="30">
        <v>1</v>
      </c>
      <c r="D193" s="29">
        <v>3.3438248634338379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F94"/>
  <sheetViews>
    <sheetView workbookViewId="0">
      <pane ySplit="3" topLeftCell="A4" activePane="bottomLeft" state="frozen"/>
      <selection activeCell="D69" sqref="D69"/>
      <selection pane="bottomLeft" activeCell="C82" sqref="C82"/>
    </sheetView>
  </sheetViews>
  <sheetFormatPr baseColWidth="10" defaultColWidth="10.83203125" defaultRowHeight="15" x14ac:dyDescent="0.2"/>
  <cols>
    <col min="1" max="2" width="10.83203125" style="1" customWidth="1"/>
    <col min="3" max="3" width="15.1640625" style="2" customWidth="1"/>
    <col min="4" max="4" width="10.83203125" style="318" hidden="1" customWidth="1"/>
    <col min="5" max="5" width="10.83203125" style="318" customWidth="1"/>
    <col min="6" max="6" width="41.5" style="1" customWidth="1"/>
    <col min="7" max="7" width="10.83203125" style="1" customWidth="1"/>
    <col min="8" max="16384" width="10.83203125" style="1"/>
  </cols>
  <sheetData>
    <row r="2" spans="2:6" x14ac:dyDescent="0.2">
      <c r="C2" s="4"/>
      <c r="D2" s="315"/>
      <c r="E2" s="315"/>
      <c r="F2" s="5"/>
    </row>
    <row r="3" spans="2:6" ht="29" customHeight="1" x14ac:dyDescent="0.2">
      <c r="B3" s="3"/>
      <c r="C3" s="316" t="s">
        <v>876</v>
      </c>
      <c r="D3" s="313" t="s">
        <v>877</v>
      </c>
      <c r="E3" s="313" t="s">
        <v>878</v>
      </c>
      <c r="F3" s="313" t="s">
        <v>879</v>
      </c>
    </row>
    <row r="4" spans="2:6" ht="15.5" customHeight="1" x14ac:dyDescent="0.2">
      <c r="B4" s="3"/>
      <c r="C4" s="24" t="s">
        <v>880</v>
      </c>
      <c r="D4" s="8">
        <f t="array" ref="D4:D93">_xlfn.SEQUENCE(90,1,1,1)</f>
        <v>1</v>
      </c>
      <c r="E4" s="314" t="s">
        <v>881</v>
      </c>
      <c r="F4" s="8" t="s">
        <v>882</v>
      </c>
    </row>
    <row r="5" spans="2:6" ht="15.5" customHeight="1" x14ac:dyDescent="0.2">
      <c r="B5" s="3"/>
      <c r="C5" s="24"/>
      <c r="D5" s="8">
        <v>2</v>
      </c>
      <c r="E5" s="314" t="s">
        <v>883</v>
      </c>
      <c r="F5" s="8" t="s">
        <v>884</v>
      </c>
    </row>
    <row r="6" spans="2:6" ht="15.5" customHeight="1" x14ac:dyDescent="0.2">
      <c r="B6" s="3"/>
      <c r="C6" s="24"/>
      <c r="D6" s="8">
        <v>3</v>
      </c>
      <c r="E6" s="314" t="s">
        <v>885</v>
      </c>
      <c r="F6" s="8" t="s">
        <v>886</v>
      </c>
    </row>
    <row r="7" spans="2:6" ht="15.5" customHeight="1" x14ac:dyDescent="0.2">
      <c r="B7" s="3"/>
      <c r="C7" s="24"/>
      <c r="D7" s="8">
        <v>4</v>
      </c>
      <c r="E7" s="314" t="s">
        <v>887</v>
      </c>
      <c r="F7" s="8" t="s">
        <v>888</v>
      </c>
    </row>
    <row r="8" spans="2:6" ht="15.5" customHeight="1" x14ac:dyDescent="0.2">
      <c r="B8" s="3"/>
      <c r="C8" s="24" t="s">
        <v>880</v>
      </c>
      <c r="D8" s="8">
        <v>5</v>
      </c>
      <c r="E8" s="314" t="s">
        <v>889</v>
      </c>
      <c r="F8" s="8" t="s">
        <v>890</v>
      </c>
    </row>
    <row r="9" spans="2:6" ht="15.5" customHeight="1" x14ac:dyDescent="0.2">
      <c r="B9" s="3"/>
      <c r="C9" s="24"/>
      <c r="D9" s="8">
        <v>6</v>
      </c>
      <c r="E9" s="314" t="s">
        <v>891</v>
      </c>
      <c r="F9" s="8" t="s">
        <v>892</v>
      </c>
    </row>
    <row r="10" spans="2:6" ht="15.5" customHeight="1" x14ac:dyDescent="0.2">
      <c r="B10" s="3"/>
      <c r="C10" s="347"/>
      <c r="D10" s="8">
        <v>7</v>
      </c>
      <c r="E10" s="314" t="s">
        <v>893</v>
      </c>
      <c r="F10" s="23" t="s">
        <v>894</v>
      </c>
    </row>
    <row r="11" spans="2:6" ht="15.5" customHeight="1" x14ac:dyDescent="0.2">
      <c r="B11" s="3"/>
      <c r="C11" s="24" t="s">
        <v>880</v>
      </c>
      <c r="D11" s="8">
        <v>8</v>
      </c>
      <c r="E11" s="314" t="s">
        <v>895</v>
      </c>
      <c r="F11" s="8" t="s">
        <v>896</v>
      </c>
    </row>
    <row r="12" spans="2:6" ht="15.5" customHeight="1" x14ac:dyDescent="0.2">
      <c r="B12" s="3"/>
      <c r="C12" s="24"/>
      <c r="D12" s="8">
        <v>9</v>
      </c>
      <c r="E12" s="314" t="s">
        <v>897</v>
      </c>
      <c r="F12" s="8" t="s">
        <v>898</v>
      </c>
    </row>
    <row r="13" spans="2:6" ht="15.5" customHeight="1" x14ac:dyDescent="0.2">
      <c r="B13" s="3"/>
      <c r="C13" s="24" t="s">
        <v>880</v>
      </c>
      <c r="D13" s="8">
        <v>10</v>
      </c>
      <c r="E13" s="314" t="s">
        <v>899</v>
      </c>
      <c r="F13" s="8" t="s">
        <v>900</v>
      </c>
    </row>
    <row r="14" spans="2:6" ht="15.5" customHeight="1" x14ac:dyDescent="0.2">
      <c r="B14" s="3"/>
      <c r="C14" s="24"/>
      <c r="D14" s="8">
        <v>11</v>
      </c>
      <c r="E14" s="314" t="s">
        <v>901</v>
      </c>
      <c r="F14" s="8" t="s">
        <v>902</v>
      </c>
    </row>
    <row r="15" spans="2:6" ht="15.5" customHeight="1" x14ac:dyDescent="0.2">
      <c r="B15" s="3"/>
      <c r="C15" s="24"/>
      <c r="D15" s="8">
        <v>12</v>
      </c>
      <c r="E15" s="314" t="s">
        <v>903</v>
      </c>
      <c r="F15" s="8" t="s">
        <v>904</v>
      </c>
    </row>
    <row r="16" spans="2:6" ht="15.5" customHeight="1" x14ac:dyDescent="0.2">
      <c r="B16" s="3"/>
      <c r="C16" s="24"/>
      <c r="D16" s="8">
        <v>13</v>
      </c>
      <c r="E16" s="314" t="s">
        <v>905</v>
      </c>
      <c r="F16" s="8" t="s">
        <v>906</v>
      </c>
    </row>
    <row r="17" spans="2:6" ht="15.5" customHeight="1" x14ac:dyDescent="0.2">
      <c r="B17" s="3"/>
      <c r="C17" s="347"/>
      <c r="D17" s="8">
        <v>14</v>
      </c>
      <c r="E17" s="314" t="s">
        <v>907</v>
      </c>
      <c r="F17" s="23" t="s">
        <v>908</v>
      </c>
    </row>
    <row r="18" spans="2:6" ht="15.5" customHeight="1" x14ac:dyDescent="0.2">
      <c r="B18" s="3"/>
      <c r="C18" s="24"/>
      <c r="D18" s="8">
        <v>15</v>
      </c>
      <c r="E18" s="314" t="s">
        <v>909</v>
      </c>
      <c r="F18" s="8" t="s">
        <v>910</v>
      </c>
    </row>
    <row r="19" spans="2:6" ht="15.5" customHeight="1" x14ac:dyDescent="0.2">
      <c r="B19" s="3"/>
      <c r="C19" s="24"/>
      <c r="D19" s="8">
        <v>16</v>
      </c>
      <c r="E19" s="314" t="s">
        <v>911</v>
      </c>
      <c r="F19" s="8" t="s">
        <v>912</v>
      </c>
    </row>
    <row r="20" spans="2:6" ht="15.5" customHeight="1" x14ac:dyDescent="0.2">
      <c r="B20" s="3"/>
      <c r="C20" s="24" t="s">
        <v>880</v>
      </c>
      <c r="D20" s="8">
        <v>17</v>
      </c>
      <c r="E20" s="314" t="s">
        <v>913</v>
      </c>
      <c r="F20" s="8" t="s">
        <v>914</v>
      </c>
    </row>
    <row r="21" spans="2:6" ht="15.5" customHeight="1" x14ac:dyDescent="0.2">
      <c r="B21" s="3"/>
      <c r="C21" s="24"/>
      <c r="D21" s="8">
        <v>18</v>
      </c>
      <c r="E21" s="314" t="s">
        <v>915</v>
      </c>
      <c r="F21" s="8" t="s">
        <v>916</v>
      </c>
    </row>
    <row r="22" spans="2:6" ht="15.5" customHeight="1" x14ac:dyDescent="0.2">
      <c r="B22" s="3"/>
      <c r="C22" s="24"/>
      <c r="D22" s="8">
        <v>19</v>
      </c>
      <c r="E22" s="314" t="s">
        <v>917</v>
      </c>
      <c r="F22" s="8" t="s">
        <v>918</v>
      </c>
    </row>
    <row r="23" spans="2:6" ht="15.5" customHeight="1" x14ac:dyDescent="0.2">
      <c r="B23" s="3"/>
      <c r="C23" s="24"/>
      <c r="D23" s="8">
        <v>20</v>
      </c>
      <c r="E23" s="314" t="s">
        <v>919</v>
      </c>
      <c r="F23" s="8" t="s">
        <v>920</v>
      </c>
    </row>
    <row r="24" spans="2:6" ht="15.5" customHeight="1" x14ac:dyDescent="0.2">
      <c r="B24" s="3"/>
      <c r="C24" s="24"/>
      <c r="D24" s="8">
        <v>21</v>
      </c>
      <c r="E24" s="314" t="s">
        <v>921</v>
      </c>
      <c r="F24" s="8" t="s">
        <v>922</v>
      </c>
    </row>
    <row r="25" spans="2:6" ht="15.5" customHeight="1" x14ac:dyDescent="0.2">
      <c r="B25" s="3"/>
      <c r="C25" s="347"/>
      <c r="D25" s="8">
        <v>22</v>
      </c>
      <c r="E25" s="314" t="s">
        <v>923</v>
      </c>
      <c r="F25" s="23" t="s">
        <v>924</v>
      </c>
    </row>
    <row r="26" spans="2:6" ht="15.5" customHeight="1" x14ac:dyDescent="0.2">
      <c r="B26" s="3"/>
      <c r="C26" s="24"/>
      <c r="D26" s="8">
        <v>23</v>
      </c>
      <c r="E26" s="314" t="s">
        <v>925</v>
      </c>
      <c r="F26" s="8" t="s">
        <v>926</v>
      </c>
    </row>
    <row r="27" spans="2:6" ht="15.5" customHeight="1" x14ac:dyDescent="0.2">
      <c r="B27" s="3"/>
      <c r="C27" s="24"/>
      <c r="D27" s="8">
        <v>24</v>
      </c>
      <c r="E27" s="314" t="s">
        <v>927</v>
      </c>
      <c r="F27" s="8" t="s">
        <v>928</v>
      </c>
    </row>
    <row r="28" spans="2:6" ht="15.5" customHeight="1" x14ac:dyDescent="0.2">
      <c r="B28" s="3"/>
      <c r="C28" s="24"/>
      <c r="D28" s="8">
        <v>25</v>
      </c>
      <c r="E28" s="314" t="s">
        <v>929</v>
      </c>
      <c r="F28" s="8" t="s">
        <v>930</v>
      </c>
    </row>
    <row r="29" spans="2:6" ht="15.5" customHeight="1" x14ac:dyDescent="0.2">
      <c r="B29" s="3"/>
      <c r="C29" s="24"/>
      <c r="D29" s="8">
        <v>26</v>
      </c>
      <c r="E29" s="314" t="s">
        <v>931</v>
      </c>
      <c r="F29" s="8" t="s">
        <v>932</v>
      </c>
    </row>
    <row r="30" spans="2:6" ht="15.5" customHeight="1" x14ac:dyDescent="0.2">
      <c r="B30" s="3"/>
      <c r="C30" s="24"/>
      <c r="D30" s="8">
        <v>27</v>
      </c>
      <c r="E30" s="314" t="s">
        <v>933</v>
      </c>
      <c r="F30" s="8" t="s">
        <v>934</v>
      </c>
    </row>
    <row r="31" spans="2:6" ht="15.5" customHeight="1" x14ac:dyDescent="0.2">
      <c r="B31" s="3"/>
      <c r="C31" s="24"/>
      <c r="D31" s="8">
        <v>28</v>
      </c>
      <c r="E31" s="314" t="s">
        <v>935</v>
      </c>
      <c r="F31" s="8" t="s">
        <v>936</v>
      </c>
    </row>
    <row r="32" spans="2:6" ht="15.5" customHeight="1" x14ac:dyDescent="0.2">
      <c r="B32" s="3"/>
      <c r="C32" s="24"/>
      <c r="D32" s="8">
        <v>29</v>
      </c>
      <c r="E32" s="314" t="s">
        <v>937</v>
      </c>
      <c r="F32" s="8" t="s">
        <v>938</v>
      </c>
    </row>
    <row r="33" spans="2:6" ht="15.5" customHeight="1" x14ac:dyDescent="0.2">
      <c r="B33" s="3"/>
      <c r="C33" s="24"/>
      <c r="D33" s="8">
        <v>30</v>
      </c>
      <c r="E33" s="314" t="s">
        <v>939</v>
      </c>
      <c r="F33" s="8" t="s">
        <v>940</v>
      </c>
    </row>
    <row r="34" spans="2:6" ht="15.5" customHeight="1" x14ac:dyDescent="0.2">
      <c r="B34" s="3"/>
      <c r="C34" s="24"/>
      <c r="D34" s="8">
        <v>31</v>
      </c>
      <c r="E34" s="314" t="s">
        <v>941</v>
      </c>
      <c r="F34" s="8" t="s">
        <v>942</v>
      </c>
    </row>
    <row r="35" spans="2:6" ht="15.5" customHeight="1" x14ac:dyDescent="0.2">
      <c r="B35" s="3"/>
      <c r="C35" s="347"/>
      <c r="D35" s="8">
        <v>32</v>
      </c>
      <c r="E35" s="314" t="s">
        <v>943</v>
      </c>
      <c r="F35" s="23" t="s">
        <v>944</v>
      </c>
    </row>
    <row r="36" spans="2:6" ht="15.5" customHeight="1" x14ac:dyDescent="0.2">
      <c r="B36" s="3"/>
      <c r="C36" s="24"/>
      <c r="D36" s="8">
        <v>33</v>
      </c>
      <c r="E36" s="314" t="s">
        <v>945</v>
      </c>
      <c r="F36" s="8" t="s">
        <v>946</v>
      </c>
    </row>
    <row r="37" spans="2:6" ht="15.5" customHeight="1" x14ac:dyDescent="0.2">
      <c r="B37" s="3"/>
      <c r="C37" s="24"/>
      <c r="D37" s="8">
        <v>34</v>
      </c>
      <c r="E37" s="314" t="s">
        <v>947</v>
      </c>
      <c r="F37" s="8" t="s">
        <v>948</v>
      </c>
    </row>
    <row r="38" spans="2:6" ht="15.5" customHeight="1" x14ac:dyDescent="0.2">
      <c r="B38" s="3"/>
      <c r="C38" s="24"/>
      <c r="D38" s="8">
        <v>35</v>
      </c>
      <c r="E38" s="314" t="s">
        <v>949</v>
      </c>
      <c r="F38" s="8" t="s">
        <v>950</v>
      </c>
    </row>
    <row r="39" spans="2:6" ht="15.5" customHeight="1" x14ac:dyDescent="0.2">
      <c r="B39" s="3"/>
      <c r="C39" s="24"/>
      <c r="D39" s="8">
        <v>36</v>
      </c>
      <c r="E39" s="314" t="s">
        <v>951</v>
      </c>
      <c r="F39" s="8" t="s">
        <v>952</v>
      </c>
    </row>
    <row r="40" spans="2:6" ht="15.5" customHeight="1" x14ac:dyDescent="0.2">
      <c r="B40" s="3"/>
      <c r="C40" s="24"/>
      <c r="D40" s="8">
        <v>37</v>
      </c>
      <c r="E40" s="314" t="s">
        <v>953</v>
      </c>
      <c r="F40" s="8" t="s">
        <v>954</v>
      </c>
    </row>
    <row r="41" spans="2:6" ht="15.5" customHeight="1" x14ac:dyDescent="0.2">
      <c r="B41" s="3"/>
      <c r="C41" s="24" t="s">
        <v>880</v>
      </c>
      <c r="D41" s="8">
        <v>38</v>
      </c>
      <c r="E41" s="314" t="s">
        <v>955</v>
      </c>
      <c r="F41" s="8" t="s">
        <v>956</v>
      </c>
    </row>
    <row r="42" spans="2:6" ht="15.5" customHeight="1" x14ac:dyDescent="0.2">
      <c r="B42" s="3"/>
      <c r="C42" s="24"/>
      <c r="D42" s="8">
        <v>39</v>
      </c>
      <c r="E42" s="314" t="s">
        <v>957</v>
      </c>
      <c r="F42" s="8" t="s">
        <v>958</v>
      </c>
    </row>
    <row r="43" spans="2:6" ht="15.5" customHeight="1" x14ac:dyDescent="0.2">
      <c r="B43" s="3"/>
      <c r="C43" s="24"/>
      <c r="D43" s="8">
        <v>40</v>
      </c>
      <c r="E43" s="314" t="s">
        <v>959</v>
      </c>
      <c r="F43" s="8" t="s">
        <v>960</v>
      </c>
    </row>
    <row r="44" spans="2:6" ht="15.5" customHeight="1" x14ac:dyDescent="0.2">
      <c r="B44" s="3"/>
      <c r="C44" s="24"/>
      <c r="D44" s="8">
        <v>41</v>
      </c>
      <c r="E44" s="314" t="s">
        <v>961</v>
      </c>
      <c r="F44" s="8" t="s">
        <v>962</v>
      </c>
    </row>
    <row r="45" spans="2:6" ht="15.5" customHeight="1" x14ac:dyDescent="0.2">
      <c r="B45" s="3"/>
      <c r="C45" s="24"/>
      <c r="D45" s="8">
        <v>42</v>
      </c>
      <c r="E45" s="314" t="s">
        <v>963</v>
      </c>
      <c r="F45" s="8" t="s">
        <v>964</v>
      </c>
    </row>
    <row r="46" spans="2:6" ht="15.5" customHeight="1" x14ac:dyDescent="0.2">
      <c r="B46" s="3"/>
      <c r="C46" s="24"/>
      <c r="D46" s="8">
        <v>43</v>
      </c>
      <c r="E46" s="314" t="s">
        <v>965</v>
      </c>
      <c r="F46" s="8" t="s">
        <v>966</v>
      </c>
    </row>
    <row r="47" spans="2:6" ht="15.5" customHeight="1" x14ac:dyDescent="0.2">
      <c r="B47" s="3"/>
      <c r="C47" s="347"/>
      <c r="D47" s="8">
        <v>44</v>
      </c>
      <c r="E47" s="314" t="s">
        <v>967</v>
      </c>
      <c r="F47" s="23" t="s">
        <v>968</v>
      </c>
    </row>
    <row r="48" spans="2:6" ht="15.5" customHeight="1" x14ac:dyDescent="0.2">
      <c r="B48" s="3"/>
      <c r="C48" s="24"/>
      <c r="D48" s="8">
        <v>45</v>
      </c>
      <c r="E48" s="314" t="s">
        <v>969</v>
      </c>
      <c r="F48" s="8" t="s">
        <v>970</v>
      </c>
    </row>
    <row r="49" spans="2:6" ht="15.5" customHeight="1" x14ac:dyDescent="0.2">
      <c r="B49" s="3"/>
      <c r="C49" s="24"/>
      <c r="D49" s="8">
        <v>46</v>
      </c>
      <c r="E49" s="314" t="s">
        <v>971</v>
      </c>
      <c r="F49" s="8" t="s">
        <v>972</v>
      </c>
    </row>
    <row r="50" spans="2:6" ht="15.5" customHeight="1" x14ac:dyDescent="0.2">
      <c r="B50" s="3"/>
      <c r="C50" s="24"/>
      <c r="D50" s="8">
        <v>47</v>
      </c>
      <c r="E50" s="314" t="s">
        <v>973</v>
      </c>
      <c r="F50" s="8" t="s">
        <v>974</v>
      </c>
    </row>
    <row r="51" spans="2:6" ht="15.5" customHeight="1" x14ac:dyDescent="0.2">
      <c r="B51" s="3"/>
      <c r="C51" s="24"/>
      <c r="D51" s="8">
        <v>48</v>
      </c>
      <c r="E51" s="314" t="s">
        <v>975</v>
      </c>
      <c r="F51" s="8" t="s">
        <v>976</v>
      </c>
    </row>
    <row r="52" spans="2:6" ht="15.5" customHeight="1" x14ac:dyDescent="0.2">
      <c r="B52" s="3"/>
      <c r="C52" s="347"/>
      <c r="D52" s="8">
        <v>49</v>
      </c>
      <c r="E52" s="314" t="s">
        <v>977</v>
      </c>
      <c r="F52" s="23" t="s">
        <v>978</v>
      </c>
    </row>
    <row r="53" spans="2:6" ht="15.5" customHeight="1" x14ac:dyDescent="0.2">
      <c r="B53" s="3"/>
      <c r="C53" s="24"/>
      <c r="D53" s="8">
        <v>50</v>
      </c>
      <c r="E53" s="314" t="s">
        <v>979</v>
      </c>
      <c r="F53" s="8" t="s">
        <v>980</v>
      </c>
    </row>
    <row r="54" spans="2:6" ht="15.5" customHeight="1" x14ac:dyDescent="0.2">
      <c r="B54" s="3"/>
      <c r="C54" s="24"/>
      <c r="D54" s="8">
        <v>51</v>
      </c>
      <c r="E54" s="314" t="s">
        <v>981</v>
      </c>
      <c r="F54" s="8" t="s">
        <v>982</v>
      </c>
    </row>
    <row r="55" spans="2:6" ht="15.5" customHeight="1" x14ac:dyDescent="0.2">
      <c r="B55" s="3"/>
      <c r="C55" s="24"/>
      <c r="D55" s="8">
        <v>52</v>
      </c>
      <c r="E55" s="314" t="s">
        <v>983</v>
      </c>
      <c r="F55" s="8" t="s">
        <v>984</v>
      </c>
    </row>
    <row r="56" spans="2:6" ht="15.5" customHeight="1" x14ac:dyDescent="0.2">
      <c r="B56" s="3"/>
      <c r="C56" s="24"/>
      <c r="D56" s="8">
        <v>53</v>
      </c>
      <c r="E56" s="314" t="s">
        <v>985</v>
      </c>
      <c r="F56" s="8" t="s">
        <v>986</v>
      </c>
    </row>
    <row r="57" spans="2:6" ht="15.5" customHeight="1" x14ac:dyDescent="0.2">
      <c r="B57" s="3"/>
      <c r="C57" s="24"/>
      <c r="D57" s="8">
        <v>54</v>
      </c>
      <c r="E57" s="314" t="s">
        <v>987</v>
      </c>
      <c r="F57" s="8" t="s">
        <v>988</v>
      </c>
    </row>
    <row r="58" spans="2:6" ht="15.5" customHeight="1" x14ac:dyDescent="0.2">
      <c r="B58" s="3"/>
      <c r="C58" s="24"/>
      <c r="D58" s="8">
        <v>55</v>
      </c>
      <c r="E58" s="314" t="s">
        <v>989</v>
      </c>
      <c r="F58" s="8" t="s">
        <v>990</v>
      </c>
    </row>
    <row r="59" spans="2:6" ht="15.5" customHeight="1" x14ac:dyDescent="0.2">
      <c r="B59" s="3"/>
      <c r="C59" s="24"/>
      <c r="D59" s="8">
        <v>56</v>
      </c>
      <c r="E59" s="314" t="s">
        <v>991</v>
      </c>
      <c r="F59" s="8" t="s">
        <v>992</v>
      </c>
    </row>
    <row r="60" spans="2:6" ht="15.5" customHeight="1" x14ac:dyDescent="0.2">
      <c r="B60" s="3"/>
      <c r="C60" s="24"/>
      <c r="D60" s="8">
        <v>57</v>
      </c>
      <c r="E60" s="314" t="s">
        <v>993</v>
      </c>
      <c r="F60" s="8" t="s">
        <v>994</v>
      </c>
    </row>
    <row r="61" spans="2:6" ht="15.5" customHeight="1" x14ac:dyDescent="0.2">
      <c r="B61" s="3"/>
      <c r="C61" s="24"/>
      <c r="D61" s="8">
        <v>58</v>
      </c>
      <c r="E61" s="314" t="s">
        <v>995</v>
      </c>
      <c r="F61" s="8" t="s">
        <v>996</v>
      </c>
    </row>
    <row r="62" spans="2:6" ht="15.5" customHeight="1" x14ac:dyDescent="0.2">
      <c r="B62" s="3"/>
      <c r="C62" s="24"/>
      <c r="D62" s="8">
        <v>59</v>
      </c>
      <c r="E62" s="314" t="s">
        <v>997</v>
      </c>
      <c r="F62" s="8" t="s">
        <v>998</v>
      </c>
    </row>
    <row r="63" spans="2:6" ht="15.5" customHeight="1" x14ac:dyDescent="0.2">
      <c r="B63" s="3"/>
      <c r="C63" s="24"/>
      <c r="D63" s="8">
        <v>60</v>
      </c>
      <c r="E63" s="314" t="s">
        <v>999</v>
      </c>
      <c r="F63" s="8" t="s">
        <v>1000</v>
      </c>
    </row>
    <row r="64" spans="2:6" ht="15.5" customHeight="1" x14ac:dyDescent="0.2">
      <c r="B64" s="3"/>
      <c r="C64" s="24"/>
      <c r="D64" s="8">
        <v>61</v>
      </c>
      <c r="E64" s="314" t="s">
        <v>1001</v>
      </c>
      <c r="F64" s="8" t="s">
        <v>1002</v>
      </c>
    </row>
    <row r="65" spans="2:6" ht="15.5" customHeight="1" x14ac:dyDescent="0.2">
      <c r="B65" s="3"/>
      <c r="C65" s="24"/>
      <c r="D65" s="8">
        <v>62</v>
      </c>
      <c r="E65" s="314" t="s">
        <v>1003</v>
      </c>
      <c r="F65" s="8" t="s">
        <v>1004</v>
      </c>
    </row>
    <row r="66" spans="2:6" ht="15.5" customHeight="1" x14ac:dyDescent="0.2">
      <c r="B66" s="3"/>
      <c r="C66" s="24"/>
      <c r="D66" s="8">
        <v>63</v>
      </c>
      <c r="E66" s="314" t="s">
        <v>1005</v>
      </c>
      <c r="F66" s="8" t="s">
        <v>1006</v>
      </c>
    </row>
    <row r="67" spans="2:6" ht="15.5" customHeight="1" x14ac:dyDescent="0.2">
      <c r="B67" s="3"/>
      <c r="C67" s="24"/>
      <c r="D67" s="8">
        <v>64</v>
      </c>
      <c r="E67" s="314" t="s">
        <v>1007</v>
      </c>
      <c r="F67" s="8" t="s">
        <v>1008</v>
      </c>
    </row>
    <row r="68" spans="2:6" ht="15.5" customHeight="1" x14ac:dyDescent="0.2">
      <c r="B68" s="3"/>
      <c r="C68" s="24"/>
      <c r="D68" s="8">
        <v>65</v>
      </c>
      <c r="E68" s="314" t="s">
        <v>1009</v>
      </c>
      <c r="F68" s="8" t="s">
        <v>1010</v>
      </c>
    </row>
    <row r="69" spans="2:6" ht="15.5" customHeight="1" x14ac:dyDescent="0.2">
      <c r="B69" s="3"/>
      <c r="C69" s="24"/>
      <c r="D69" s="8">
        <v>66</v>
      </c>
      <c r="E69" s="314" t="s">
        <v>1011</v>
      </c>
      <c r="F69" s="8" t="s">
        <v>1012</v>
      </c>
    </row>
    <row r="70" spans="2:6" ht="15.5" customHeight="1" x14ac:dyDescent="0.2">
      <c r="B70" s="3"/>
      <c r="C70" s="24"/>
      <c r="D70" s="8">
        <v>67</v>
      </c>
      <c r="E70" s="314" t="s">
        <v>1013</v>
      </c>
      <c r="F70" s="8" t="s">
        <v>1014</v>
      </c>
    </row>
    <row r="71" spans="2:6" ht="15.5" customHeight="1" x14ac:dyDescent="0.2">
      <c r="B71" s="3"/>
      <c r="C71" s="347"/>
      <c r="D71" s="8">
        <v>68</v>
      </c>
      <c r="E71" s="314" t="s">
        <v>1015</v>
      </c>
      <c r="F71" s="23" t="s">
        <v>1016</v>
      </c>
    </row>
    <row r="72" spans="2:6" ht="15.5" customHeight="1" x14ac:dyDescent="0.2">
      <c r="B72" s="3"/>
      <c r="C72" s="24"/>
      <c r="D72" s="8">
        <v>69</v>
      </c>
      <c r="E72" s="314" t="s">
        <v>1017</v>
      </c>
      <c r="F72" s="8" t="s">
        <v>1018</v>
      </c>
    </row>
    <row r="73" spans="2:6" ht="15.5" customHeight="1" x14ac:dyDescent="0.2">
      <c r="B73" s="3"/>
      <c r="C73" s="24" t="s">
        <v>880</v>
      </c>
      <c r="D73" s="8">
        <v>70</v>
      </c>
      <c r="E73" s="314" t="s">
        <v>1019</v>
      </c>
      <c r="F73" s="8" t="s">
        <v>1020</v>
      </c>
    </row>
    <row r="74" spans="2:6" ht="15.5" customHeight="1" x14ac:dyDescent="0.2">
      <c r="B74" s="3"/>
      <c r="C74" s="24" t="s">
        <v>880</v>
      </c>
      <c r="D74" s="8">
        <v>71</v>
      </c>
      <c r="E74" s="314" t="s">
        <v>1021</v>
      </c>
      <c r="F74" s="8" t="s">
        <v>1022</v>
      </c>
    </row>
    <row r="75" spans="2:6" ht="15.5" customHeight="1" x14ac:dyDescent="0.2">
      <c r="B75" s="3"/>
      <c r="C75" s="24"/>
      <c r="D75" s="8">
        <v>72</v>
      </c>
      <c r="E75" s="314" t="s">
        <v>1023</v>
      </c>
      <c r="F75" s="8" t="s">
        <v>1024</v>
      </c>
    </row>
    <row r="76" spans="2:6" ht="15.5" customHeight="1" x14ac:dyDescent="0.2">
      <c r="B76" s="3"/>
      <c r="C76" s="24"/>
      <c r="D76" s="8">
        <v>73</v>
      </c>
      <c r="E76" s="314" t="s">
        <v>1025</v>
      </c>
      <c r="F76" s="8" t="s">
        <v>1026</v>
      </c>
    </row>
    <row r="77" spans="2:6" ht="15.5" customHeight="1" x14ac:dyDescent="0.2">
      <c r="B77" s="3"/>
      <c r="C77" s="24"/>
      <c r="D77" s="8">
        <v>74</v>
      </c>
      <c r="E77" s="314" t="s">
        <v>1027</v>
      </c>
      <c r="F77" s="8" t="s">
        <v>1028</v>
      </c>
    </row>
    <row r="78" spans="2:6" ht="15.5" customHeight="1" x14ac:dyDescent="0.2">
      <c r="B78" s="3"/>
      <c r="C78" s="24"/>
      <c r="D78" s="8">
        <v>75</v>
      </c>
      <c r="E78" s="314" t="s">
        <v>1029</v>
      </c>
      <c r="F78" s="8" t="s">
        <v>1030</v>
      </c>
    </row>
    <row r="79" spans="2:6" ht="15.5" customHeight="1" x14ac:dyDescent="0.2">
      <c r="B79" s="3"/>
      <c r="C79" s="24"/>
      <c r="D79" s="8">
        <v>76</v>
      </c>
      <c r="E79" s="314" t="s">
        <v>1031</v>
      </c>
      <c r="F79" s="8" t="s">
        <v>1032</v>
      </c>
    </row>
    <row r="80" spans="2:6" ht="15.5" customHeight="1" x14ac:dyDescent="0.2">
      <c r="B80" s="3"/>
      <c r="C80" s="347"/>
      <c r="D80" s="8">
        <v>77</v>
      </c>
      <c r="E80" s="314" t="s">
        <v>1033</v>
      </c>
      <c r="F80" s="23" t="s">
        <v>1034</v>
      </c>
    </row>
    <row r="81" spans="2:6" ht="15.5" customHeight="1" x14ac:dyDescent="0.2">
      <c r="B81" s="3"/>
      <c r="C81" s="24" t="s">
        <v>880</v>
      </c>
      <c r="D81" s="8">
        <v>78</v>
      </c>
      <c r="E81" s="314" t="s">
        <v>1035</v>
      </c>
      <c r="F81" s="8" t="s">
        <v>1036</v>
      </c>
    </row>
    <row r="82" spans="2:6" ht="15.5" customHeight="1" x14ac:dyDescent="0.2">
      <c r="B82" s="3"/>
      <c r="C82" s="24" t="s">
        <v>880</v>
      </c>
      <c r="D82" s="8">
        <v>79</v>
      </c>
      <c r="E82" s="314" t="s">
        <v>1037</v>
      </c>
      <c r="F82" s="8" t="s">
        <v>1038</v>
      </c>
    </row>
    <row r="83" spans="2:6" ht="15.5" customHeight="1" x14ac:dyDescent="0.2">
      <c r="B83" s="3"/>
      <c r="C83" s="24"/>
      <c r="D83" s="8">
        <v>80</v>
      </c>
      <c r="E83" s="314" t="s">
        <v>1039</v>
      </c>
      <c r="F83" s="8" t="s">
        <v>1040</v>
      </c>
    </row>
    <row r="84" spans="2:6" ht="15.5" customHeight="1" x14ac:dyDescent="0.2">
      <c r="B84" s="3"/>
      <c r="C84" s="24"/>
      <c r="D84" s="8">
        <v>81</v>
      </c>
      <c r="E84" s="314" t="s">
        <v>1041</v>
      </c>
      <c r="F84" s="8" t="s">
        <v>1042</v>
      </c>
    </row>
    <row r="85" spans="2:6" ht="15.5" customHeight="1" x14ac:dyDescent="0.2">
      <c r="B85" s="3"/>
      <c r="C85" s="24"/>
      <c r="D85" s="8">
        <v>82</v>
      </c>
      <c r="E85" s="314" t="s">
        <v>1043</v>
      </c>
      <c r="F85" s="8" t="s">
        <v>1044</v>
      </c>
    </row>
    <row r="86" spans="2:6" ht="15.5" customHeight="1" x14ac:dyDescent="0.2">
      <c r="B86" s="3"/>
      <c r="C86" s="347"/>
      <c r="D86" s="8">
        <v>83</v>
      </c>
      <c r="E86" s="314" t="s">
        <v>1045</v>
      </c>
      <c r="F86" s="23" t="s">
        <v>1046</v>
      </c>
    </row>
    <row r="87" spans="2:6" ht="15.5" customHeight="1" x14ac:dyDescent="0.2">
      <c r="B87" s="3"/>
      <c r="C87" s="24"/>
      <c r="D87" s="8">
        <v>84</v>
      </c>
      <c r="E87" s="314" t="s">
        <v>1047</v>
      </c>
      <c r="F87" s="8" t="s">
        <v>1048</v>
      </c>
    </row>
    <row r="88" spans="2:6" ht="15.5" customHeight="1" x14ac:dyDescent="0.2">
      <c r="B88" s="3"/>
      <c r="C88" s="24"/>
      <c r="D88" s="8">
        <v>85</v>
      </c>
      <c r="E88" s="314" t="s">
        <v>1049</v>
      </c>
      <c r="F88" s="8" t="s">
        <v>1050</v>
      </c>
    </row>
    <row r="89" spans="2:6" ht="15.5" customHeight="1" x14ac:dyDescent="0.2">
      <c r="B89" s="3"/>
      <c r="C89" s="24"/>
      <c r="D89" s="8">
        <v>86</v>
      </c>
      <c r="E89" s="314" t="s">
        <v>1051</v>
      </c>
      <c r="F89" s="8" t="s">
        <v>1052</v>
      </c>
    </row>
    <row r="90" spans="2:6" ht="15.5" customHeight="1" x14ac:dyDescent="0.2">
      <c r="B90" s="3"/>
      <c r="C90" s="24"/>
      <c r="D90" s="8">
        <v>87</v>
      </c>
      <c r="E90" s="314" t="s">
        <v>1053</v>
      </c>
      <c r="F90" s="8" t="s">
        <v>1054</v>
      </c>
    </row>
    <row r="91" spans="2:6" ht="15.5" customHeight="1" x14ac:dyDescent="0.2">
      <c r="B91" s="3"/>
      <c r="C91" s="24"/>
      <c r="D91" s="8">
        <v>88</v>
      </c>
      <c r="E91" s="314" t="s">
        <v>1055</v>
      </c>
      <c r="F91" s="8" t="s">
        <v>1056</v>
      </c>
    </row>
    <row r="92" spans="2:6" ht="15.5" customHeight="1" x14ac:dyDescent="0.2">
      <c r="B92" s="3"/>
      <c r="C92" s="24"/>
      <c r="D92" s="8">
        <v>89</v>
      </c>
      <c r="E92" s="314" t="s">
        <v>1057</v>
      </c>
      <c r="F92" s="8" t="s">
        <v>1058</v>
      </c>
    </row>
    <row r="93" spans="2:6" ht="15.5" customHeight="1" x14ac:dyDescent="0.2">
      <c r="B93" s="3"/>
      <c r="C93" s="347"/>
      <c r="D93" s="8">
        <v>90</v>
      </c>
      <c r="E93" s="314" t="s">
        <v>1059</v>
      </c>
      <c r="F93" s="23" t="s">
        <v>1060</v>
      </c>
    </row>
    <row r="94" spans="2:6" x14ac:dyDescent="0.2">
      <c r="C94" s="6"/>
      <c r="D94" s="317"/>
      <c r="E94" s="317"/>
      <c r="F94" s="7"/>
    </row>
  </sheetData>
  <sheetProtection algorithmName="SHA-512" hashValue="8W6xvTwwwCeUOLf1n5pI0ajNkuWE8Dd5ozY0kcc6X3x4W6f8yZ2fkjcIaB7SB2maxNjLqvcLYRUhK6dxTUH8uw==" saltValue="3rytHyRKSHNjHTY05+X/Ug==" spinCount="100000" sheet="1" selectLockedCells="1"/>
  <autoFilter ref="C3:F93" xr:uid="{00000000-0009-0000-0000-000002000000}"/>
  <conditionalFormatting sqref="D85">
    <cfRule type="duplicateValues" dxfId="1" priority="1"/>
  </conditionalFormatting>
  <conditionalFormatting sqref="D86:D1048576 D1:D84">
    <cfRule type="duplicateValues" dxfId="0" priority="2"/>
  </conditionalFormatting>
  <dataValidations count="1">
    <dataValidation type="list" showInputMessage="1" showErrorMessage="1" sqref="C87:C92 C81:C85 C72:C79 C53:C70 C48:C51 C36:C46 C26:C34 C18:C24 C4:C9 C11:C16" xr:uid="{00000000-0002-0000-0200-000000000000}">
      <formula1>"x"</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20"/>
  <sheetViews>
    <sheetView topLeftCell="A5" zoomScale="80" zoomScaleNormal="80" workbookViewId="0">
      <selection activeCell="D6" sqref="D6"/>
    </sheetView>
  </sheetViews>
  <sheetFormatPr baseColWidth="10" defaultColWidth="10.83203125" defaultRowHeight="16" x14ac:dyDescent="0.2"/>
  <cols>
    <col min="1" max="1" width="10.83203125" style="78" customWidth="1"/>
    <col min="2" max="2" width="8.83203125" style="78" customWidth="1"/>
    <col min="3" max="3" width="27.5" style="78" customWidth="1"/>
    <col min="4" max="4" width="28" style="78" customWidth="1"/>
    <col min="5" max="5" width="51.1640625" style="118" customWidth="1"/>
    <col min="6" max="6" width="22.83203125" style="78" customWidth="1"/>
    <col min="7" max="8" width="10.83203125" style="78" customWidth="1"/>
    <col min="9" max="9" width="44" style="78" customWidth="1"/>
    <col min="10" max="10" width="10.83203125" style="78" customWidth="1"/>
    <col min="11" max="16384" width="10.83203125" style="78"/>
  </cols>
  <sheetData>
    <row r="1" spans="1:10" ht="40" customHeight="1" thickBot="1" x14ac:dyDescent="0.25">
      <c r="C1" s="79"/>
      <c r="D1" s="79"/>
      <c r="E1" s="106"/>
      <c r="F1" s="79"/>
    </row>
    <row r="2" spans="1:10" ht="16" customHeight="1" thickBot="1" x14ac:dyDescent="0.25">
      <c r="A2" s="80"/>
      <c r="B2" s="81"/>
      <c r="C2" s="82" t="s">
        <v>1061</v>
      </c>
      <c r="D2" s="83" t="s">
        <v>1062</v>
      </c>
      <c r="E2" s="107" t="s">
        <v>1063</v>
      </c>
      <c r="F2" s="84" t="s">
        <v>1064</v>
      </c>
      <c r="G2" s="85"/>
    </row>
    <row r="3" spans="1:10" ht="32.25" customHeight="1" x14ac:dyDescent="0.2">
      <c r="A3" s="80"/>
      <c r="B3" s="513" t="s">
        <v>1065</v>
      </c>
      <c r="C3" s="86" t="s">
        <v>1066</v>
      </c>
      <c r="D3" s="439" t="s">
        <v>1067</v>
      </c>
      <c r="E3" s="108" t="s">
        <v>1068</v>
      </c>
      <c r="F3" s="87" t="s">
        <v>1069</v>
      </c>
      <c r="G3" s="85"/>
    </row>
    <row r="4" spans="1:10" ht="29" customHeight="1" x14ac:dyDescent="0.2">
      <c r="A4" s="80"/>
      <c r="B4" s="510"/>
      <c r="C4" s="88" t="s">
        <v>1070</v>
      </c>
      <c r="D4" s="438" t="s">
        <v>1071</v>
      </c>
      <c r="E4" s="109" t="s">
        <v>1072</v>
      </c>
      <c r="F4" s="89" t="s">
        <v>1073</v>
      </c>
      <c r="G4" s="85"/>
    </row>
    <row r="5" spans="1:10" ht="72.5" customHeight="1" x14ac:dyDescent="0.2">
      <c r="A5" s="80"/>
      <c r="B5" s="510"/>
      <c r="C5" s="88" t="s">
        <v>1074</v>
      </c>
      <c r="D5" s="431" t="s">
        <v>1075</v>
      </c>
      <c r="E5" s="109" t="s">
        <v>1076</v>
      </c>
      <c r="F5" s="89" t="s">
        <v>1075</v>
      </c>
      <c r="G5" s="85"/>
    </row>
    <row r="6" spans="1:10" ht="76" customHeight="1" x14ac:dyDescent="0.2">
      <c r="A6" s="80"/>
      <c r="B6" s="510"/>
      <c r="C6" s="88" t="s">
        <v>1077</v>
      </c>
      <c r="D6" s="438" t="s">
        <v>1078</v>
      </c>
      <c r="E6" s="110" t="s">
        <v>1079</v>
      </c>
      <c r="F6" s="90" t="s">
        <v>1080</v>
      </c>
      <c r="G6" s="85"/>
      <c r="H6" s="432"/>
    </row>
    <row r="7" spans="1:10" ht="76" customHeight="1" x14ac:dyDescent="0.2">
      <c r="A7" s="80"/>
      <c r="B7" s="510"/>
      <c r="C7" s="88" t="s">
        <v>1081</v>
      </c>
      <c r="D7" s="431" t="s">
        <v>1082</v>
      </c>
      <c r="E7" s="110" t="s">
        <v>1083</v>
      </c>
      <c r="F7" s="90" t="s">
        <v>1084</v>
      </c>
      <c r="G7" s="85"/>
    </row>
    <row r="8" spans="1:10" ht="76" customHeight="1" x14ac:dyDescent="0.2">
      <c r="A8" s="80"/>
      <c r="B8" s="510"/>
      <c r="C8" s="94" t="s">
        <v>1085</v>
      </c>
      <c r="D8" s="438" t="s">
        <v>1086</v>
      </c>
      <c r="E8" s="323" t="s">
        <v>1087</v>
      </c>
      <c r="F8" s="90" t="s">
        <v>1088</v>
      </c>
      <c r="G8" s="85"/>
    </row>
    <row r="9" spans="1:10" ht="50.25" customHeight="1" thickBot="1" x14ac:dyDescent="0.25">
      <c r="A9" s="80"/>
      <c r="B9" s="501"/>
      <c r="C9" s="349" t="s">
        <v>1089</v>
      </c>
      <c r="D9" s="433">
        <v>2.5</v>
      </c>
      <c r="E9" s="319" t="s">
        <v>1090</v>
      </c>
      <c r="F9" s="348">
        <v>0.2</v>
      </c>
      <c r="G9" s="85"/>
    </row>
    <row r="10" spans="1:10" ht="32.25" customHeight="1" x14ac:dyDescent="0.2">
      <c r="A10" s="80"/>
      <c r="B10" s="513" t="s">
        <v>1091</v>
      </c>
      <c r="C10" s="92" t="s">
        <v>1092</v>
      </c>
      <c r="D10" s="440" t="s">
        <v>1093</v>
      </c>
      <c r="E10" s="112" t="s">
        <v>1094</v>
      </c>
      <c r="F10" s="93" t="s">
        <v>1095</v>
      </c>
      <c r="G10" s="85"/>
    </row>
    <row r="11" spans="1:10" ht="94" customHeight="1" x14ac:dyDescent="0.2">
      <c r="A11" s="80"/>
      <c r="B11" s="510"/>
      <c r="C11" s="320" t="s">
        <v>1096</v>
      </c>
      <c r="D11" s="441">
        <v>50</v>
      </c>
      <c r="E11" s="321" t="s">
        <v>1097</v>
      </c>
      <c r="F11" s="322">
        <v>5</v>
      </c>
      <c r="G11" s="85"/>
      <c r="I11" s="79"/>
    </row>
    <row r="12" spans="1:10" ht="158.25" customHeight="1" x14ac:dyDescent="0.2">
      <c r="A12" s="80"/>
      <c r="B12" s="510"/>
      <c r="C12" s="88" t="s">
        <v>1098</v>
      </c>
      <c r="D12" s="442">
        <v>20000</v>
      </c>
      <c r="E12" s="110" t="s">
        <v>1099</v>
      </c>
      <c r="F12" s="119">
        <v>5000000</v>
      </c>
      <c r="G12" s="85"/>
      <c r="H12" s="80"/>
      <c r="I12" s="120"/>
      <c r="J12" s="85"/>
    </row>
    <row r="13" spans="1:10" ht="116.25" customHeight="1" x14ac:dyDescent="0.2">
      <c r="A13" s="80"/>
      <c r="B13" s="510"/>
      <c r="C13" s="320" t="s">
        <v>1100</v>
      </c>
      <c r="D13" s="441">
        <v>5000</v>
      </c>
      <c r="E13" s="323" t="s">
        <v>1101</v>
      </c>
      <c r="F13" s="119">
        <v>1200000</v>
      </c>
      <c r="G13" s="85"/>
      <c r="I13" s="105"/>
    </row>
    <row r="14" spans="1:10" ht="50.25" customHeight="1" x14ac:dyDescent="0.2">
      <c r="A14" s="80"/>
      <c r="B14" s="510"/>
      <c r="C14" s="94" t="s">
        <v>1102</v>
      </c>
      <c r="D14" s="438" t="s">
        <v>1103</v>
      </c>
      <c r="E14" s="110" t="s">
        <v>1104</v>
      </c>
      <c r="F14" s="90" t="s">
        <v>1105</v>
      </c>
      <c r="G14" s="85"/>
    </row>
    <row r="15" spans="1:10" ht="50.25" customHeight="1" thickBot="1" x14ac:dyDescent="0.25">
      <c r="A15" s="80"/>
      <c r="B15" s="501"/>
      <c r="C15" s="95" t="s">
        <v>1106</v>
      </c>
      <c r="D15" s="443" t="s">
        <v>1107</v>
      </c>
      <c r="E15" s="113" t="s">
        <v>1108</v>
      </c>
      <c r="F15" s="91" t="s">
        <v>1109</v>
      </c>
      <c r="G15" s="85"/>
    </row>
    <row r="16" spans="1:10" ht="5.5" customHeight="1" thickBot="1" x14ac:dyDescent="0.25">
      <c r="A16" s="80"/>
      <c r="B16" s="96"/>
      <c r="C16" s="97"/>
      <c r="D16" s="434"/>
      <c r="E16" s="111"/>
      <c r="F16" s="98"/>
      <c r="G16" s="85"/>
    </row>
    <row r="17" spans="1:7" ht="130.5" customHeight="1" x14ac:dyDescent="0.2">
      <c r="A17" s="80"/>
      <c r="B17" s="512" t="s">
        <v>1110</v>
      </c>
      <c r="C17" s="99" t="s">
        <v>1111</v>
      </c>
      <c r="D17" s="435">
        <v>0.91</v>
      </c>
      <c r="E17" s="114" t="s">
        <v>1112</v>
      </c>
      <c r="F17" s="100">
        <v>0.91</v>
      </c>
      <c r="G17" s="85"/>
    </row>
    <row r="18" spans="1:7" ht="130.5" customHeight="1" x14ac:dyDescent="0.2">
      <c r="A18" s="80"/>
      <c r="B18" s="510"/>
      <c r="C18" s="101" t="s">
        <v>1113</v>
      </c>
      <c r="D18" s="436">
        <v>0.91</v>
      </c>
      <c r="E18" s="115" t="s">
        <v>1114</v>
      </c>
      <c r="F18" s="102">
        <v>0.91</v>
      </c>
      <c r="G18" s="85"/>
    </row>
    <row r="19" spans="1:7" ht="131" customHeight="1" thickBot="1" x14ac:dyDescent="0.25">
      <c r="A19" s="80"/>
      <c r="B19" s="501"/>
      <c r="C19" s="103" t="s">
        <v>1115</v>
      </c>
      <c r="D19" s="437">
        <v>0.05</v>
      </c>
      <c r="E19" s="116" t="s">
        <v>1116</v>
      </c>
      <c r="F19" s="104">
        <v>0.05</v>
      </c>
      <c r="G19" s="85"/>
    </row>
    <row r="20" spans="1:7" x14ac:dyDescent="0.2">
      <c r="B20" s="105"/>
      <c r="C20" s="105"/>
      <c r="D20" s="105"/>
      <c r="E20" s="117"/>
      <c r="F20" s="105"/>
    </row>
  </sheetData>
  <sheetProtection algorithmName="SHA-512" hashValue="CdvLnQOY8o+ziHme3dCGOtXl8lyYebn9y2nk/IKyWBrW8M2xeNl2S7BOCnPwqWaAMLyC3CB458Y4riYteIKNBw==" saltValue="ZItfXca2FqD9bLvgyCCOAg==" spinCount="100000" sheet="1" formatCells="0"/>
  <mergeCells count="3">
    <mergeCell ref="B17:B19"/>
    <mergeCell ref="B3:B9"/>
    <mergeCell ref="B10:B15"/>
  </mergeCells>
  <dataValidations count="2">
    <dataValidation type="list" showInputMessage="1" showErrorMessage="1" sqref="D7" xr:uid="{00000000-0002-0000-0300-000000000000}">
      <formula1>"Not yet in season,Land preparation,Planting,Early growing,Growing,Maturing,Harvesting,Recently finished "</formula1>
    </dataValidation>
    <dataValidation type="list" showInputMessage="1" showErrorMessage="1" sqref="D5" xr:uid="{00000000-0002-0000-0300-000001000000}">
      <formula1>"last year, a normal year"</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17"/>
  <sheetViews>
    <sheetView workbookViewId="0">
      <selection activeCell="N13" sqref="N13"/>
    </sheetView>
  </sheetViews>
  <sheetFormatPr baseColWidth="10" defaultColWidth="8.83203125" defaultRowHeight="15" x14ac:dyDescent="0.2"/>
  <sheetData>
    <row r="1" spans="1:7" x14ac:dyDescent="0.2">
      <c r="A1" s="492" t="s">
        <v>854</v>
      </c>
      <c r="B1" s="492" t="s">
        <v>1117</v>
      </c>
      <c r="C1" s="492" t="s">
        <v>1118</v>
      </c>
      <c r="D1" s="492" t="s">
        <v>853</v>
      </c>
      <c r="E1" s="492" t="s">
        <v>1119</v>
      </c>
      <c r="F1" s="492" t="s">
        <v>1120</v>
      </c>
      <c r="G1" s="492" t="s">
        <v>1121</v>
      </c>
    </row>
    <row r="2" spans="1:7" x14ac:dyDescent="0.2">
      <c r="A2" t="s">
        <v>1122</v>
      </c>
      <c r="B2" t="s">
        <v>1123</v>
      </c>
      <c r="C2" t="s">
        <v>1124</v>
      </c>
      <c r="D2" t="s">
        <v>1125</v>
      </c>
      <c r="E2" t="s">
        <v>1126</v>
      </c>
      <c r="F2" t="s">
        <v>1127</v>
      </c>
      <c r="G2" t="s">
        <v>1128</v>
      </c>
    </row>
    <row r="3" spans="1:7" x14ac:dyDescent="0.2">
      <c r="A3" t="s">
        <v>1129</v>
      </c>
      <c r="B3" t="s">
        <v>1123</v>
      </c>
      <c r="C3" t="s">
        <v>1130</v>
      </c>
      <c r="D3" t="s">
        <v>1125</v>
      </c>
      <c r="E3" t="s">
        <v>1126</v>
      </c>
      <c r="F3" t="s">
        <v>1127</v>
      </c>
      <c r="G3" t="s">
        <v>1128</v>
      </c>
    </row>
    <row r="4" spans="1:7" x14ac:dyDescent="0.2">
      <c r="A4" t="s">
        <v>1131</v>
      </c>
      <c r="B4" t="s">
        <v>1123</v>
      </c>
      <c r="C4" t="s">
        <v>1132</v>
      </c>
      <c r="D4" t="s">
        <v>1125</v>
      </c>
      <c r="E4" t="s">
        <v>1126</v>
      </c>
      <c r="F4" t="s">
        <v>1127</v>
      </c>
      <c r="G4" t="s">
        <v>1128</v>
      </c>
    </row>
    <row r="5" spans="1:7" x14ac:dyDescent="0.2">
      <c r="A5" t="s">
        <v>1133</v>
      </c>
      <c r="B5" t="s">
        <v>1123</v>
      </c>
      <c r="C5" t="s">
        <v>1134</v>
      </c>
      <c r="D5" t="s">
        <v>1135</v>
      </c>
      <c r="E5" t="s">
        <v>1136</v>
      </c>
      <c r="F5" t="s">
        <v>1127</v>
      </c>
      <c r="G5" t="s">
        <v>1128</v>
      </c>
    </row>
    <row r="6" spans="1:7" x14ac:dyDescent="0.2">
      <c r="A6" t="s">
        <v>1137</v>
      </c>
      <c r="B6" t="s">
        <v>1123</v>
      </c>
      <c r="C6" t="s">
        <v>1138</v>
      </c>
      <c r="D6" t="s">
        <v>1125</v>
      </c>
      <c r="E6" t="s">
        <v>1126</v>
      </c>
      <c r="F6" t="s">
        <v>1127</v>
      </c>
      <c r="G6" t="s">
        <v>1128</v>
      </c>
    </row>
    <row r="7" spans="1:7" x14ac:dyDescent="0.2">
      <c r="A7" t="s">
        <v>1139</v>
      </c>
      <c r="B7" t="s">
        <v>1123</v>
      </c>
      <c r="C7" t="s">
        <v>1140</v>
      </c>
      <c r="D7" t="s">
        <v>1135</v>
      </c>
      <c r="E7" t="s">
        <v>1136</v>
      </c>
      <c r="F7" t="s">
        <v>1127</v>
      </c>
      <c r="G7" t="s">
        <v>1128</v>
      </c>
    </row>
    <row r="8" spans="1:7" x14ac:dyDescent="0.2">
      <c r="A8" t="s">
        <v>1141</v>
      </c>
      <c r="B8" t="s">
        <v>1123</v>
      </c>
      <c r="C8" t="s">
        <v>1142</v>
      </c>
      <c r="D8" t="s">
        <v>1143</v>
      </c>
      <c r="E8" t="s">
        <v>1144</v>
      </c>
      <c r="F8" t="s">
        <v>1127</v>
      </c>
      <c r="G8" t="s">
        <v>1128</v>
      </c>
    </row>
    <row r="9" spans="1:7" x14ac:dyDescent="0.2">
      <c r="A9" t="s">
        <v>1145</v>
      </c>
      <c r="B9" t="s">
        <v>1123</v>
      </c>
      <c r="C9" t="s">
        <v>1146</v>
      </c>
      <c r="D9" t="s">
        <v>1135</v>
      </c>
      <c r="E9" t="s">
        <v>1136</v>
      </c>
      <c r="F9" t="s">
        <v>1127</v>
      </c>
      <c r="G9" t="s">
        <v>1128</v>
      </c>
    </row>
    <row r="10" spans="1:7" x14ac:dyDescent="0.2">
      <c r="A10" t="s">
        <v>1147</v>
      </c>
      <c r="B10" t="s">
        <v>1123</v>
      </c>
      <c r="C10" t="s">
        <v>1148</v>
      </c>
      <c r="D10" t="s">
        <v>1149</v>
      </c>
      <c r="E10" t="s">
        <v>1150</v>
      </c>
      <c r="F10" t="s">
        <v>1127</v>
      </c>
      <c r="G10" t="s">
        <v>1128</v>
      </c>
    </row>
    <row r="11" spans="1:7" x14ac:dyDescent="0.2">
      <c r="A11" t="s">
        <v>1151</v>
      </c>
      <c r="B11" t="s">
        <v>1123</v>
      </c>
      <c r="C11" t="s">
        <v>1152</v>
      </c>
      <c r="D11" t="s">
        <v>1149</v>
      </c>
      <c r="E11" t="s">
        <v>1150</v>
      </c>
      <c r="F11" t="s">
        <v>1127</v>
      </c>
      <c r="G11" t="s">
        <v>1128</v>
      </c>
    </row>
    <row r="12" spans="1:7" x14ac:dyDescent="0.2">
      <c r="A12" t="s">
        <v>1153</v>
      </c>
      <c r="B12" t="s">
        <v>1123</v>
      </c>
      <c r="C12" t="s">
        <v>1154</v>
      </c>
      <c r="D12" t="s">
        <v>1143</v>
      </c>
      <c r="E12" t="s">
        <v>1144</v>
      </c>
      <c r="F12" t="s">
        <v>1127</v>
      </c>
      <c r="G12" t="s">
        <v>1128</v>
      </c>
    </row>
    <row r="13" spans="1:7" x14ac:dyDescent="0.2">
      <c r="A13" t="s">
        <v>1155</v>
      </c>
      <c r="B13" t="s">
        <v>1123</v>
      </c>
      <c r="C13" t="s">
        <v>1156</v>
      </c>
      <c r="D13" t="s">
        <v>1143</v>
      </c>
      <c r="E13" t="s">
        <v>1144</v>
      </c>
      <c r="F13" t="s">
        <v>1127</v>
      </c>
      <c r="G13" t="s">
        <v>1128</v>
      </c>
    </row>
    <row r="14" spans="1:7" x14ac:dyDescent="0.2">
      <c r="A14" t="s">
        <v>1157</v>
      </c>
      <c r="B14" t="s">
        <v>1123</v>
      </c>
      <c r="C14" t="s">
        <v>1158</v>
      </c>
      <c r="D14" t="s">
        <v>1143</v>
      </c>
      <c r="E14" t="s">
        <v>1144</v>
      </c>
      <c r="F14" t="s">
        <v>1127</v>
      </c>
      <c r="G14" t="s">
        <v>1128</v>
      </c>
    </row>
    <row r="15" spans="1:7" x14ac:dyDescent="0.2">
      <c r="A15" t="s">
        <v>1159</v>
      </c>
      <c r="B15" t="s">
        <v>1123</v>
      </c>
      <c r="C15" t="s">
        <v>1160</v>
      </c>
      <c r="D15" t="s">
        <v>1161</v>
      </c>
      <c r="E15" t="s">
        <v>1162</v>
      </c>
      <c r="F15" t="s">
        <v>1127</v>
      </c>
      <c r="G15" t="s">
        <v>1128</v>
      </c>
    </row>
    <row r="16" spans="1:7" x14ac:dyDescent="0.2">
      <c r="A16" t="s">
        <v>1163</v>
      </c>
      <c r="B16" t="s">
        <v>1123</v>
      </c>
      <c r="C16" t="s">
        <v>1164</v>
      </c>
      <c r="D16" t="s">
        <v>1161</v>
      </c>
      <c r="E16" t="s">
        <v>1162</v>
      </c>
      <c r="F16" t="s">
        <v>1127</v>
      </c>
      <c r="G16" t="s">
        <v>1128</v>
      </c>
    </row>
    <row r="17" spans="1:7" x14ac:dyDescent="0.2">
      <c r="A17" t="s">
        <v>1165</v>
      </c>
      <c r="B17" t="s">
        <v>1123</v>
      </c>
      <c r="C17" t="s">
        <v>1166</v>
      </c>
      <c r="D17" t="s">
        <v>1161</v>
      </c>
      <c r="E17" t="s">
        <v>1162</v>
      </c>
      <c r="F17" t="s">
        <v>1127</v>
      </c>
      <c r="G17" t="s">
        <v>1128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survey</vt:lpstr>
      <vt:lpstr>New Durations</vt:lpstr>
      <vt:lpstr>Crop list</vt:lpstr>
      <vt:lpstr>Additional information</vt:lpstr>
      <vt:lpstr>Admin 2 info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Lawi Analo</dc:creator>
  <cp:lastModifiedBy>Microsoft Office User</cp:lastModifiedBy>
  <dcterms:created xsi:type="dcterms:W3CDTF">2020-12-10T15:46:11Z</dcterms:created>
  <dcterms:modified xsi:type="dcterms:W3CDTF">2023-07-17T12:26:51Z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6ec50b2-b191-4ad7-ba82-7deb0436e358_Enabled">
    <vt:lpwstr>true</vt:lpwstr>
  </property>
  <property fmtid="{D5CDD505-2E9C-101B-9397-08002B2CF9AE}" pid="3" name="MSIP_Label_46ec50b2-b191-4ad7-ba82-7deb0436e358_SetDate">
    <vt:lpwstr>2023-07-17T12:23:47Z</vt:lpwstr>
  </property>
  <property fmtid="{D5CDD505-2E9C-101B-9397-08002B2CF9AE}" pid="4" name="MSIP_Label_46ec50b2-b191-4ad7-ba82-7deb0436e358_Method">
    <vt:lpwstr>Privileged</vt:lpwstr>
  </property>
  <property fmtid="{D5CDD505-2E9C-101B-9397-08002B2CF9AE}" pid="5" name="MSIP_Label_46ec50b2-b191-4ad7-ba82-7deb0436e358_Name">
    <vt:lpwstr>Public - 1</vt:lpwstr>
  </property>
  <property fmtid="{D5CDD505-2E9C-101B-9397-08002B2CF9AE}" pid="6" name="MSIP_Label_46ec50b2-b191-4ad7-ba82-7deb0436e358_SiteId">
    <vt:lpwstr>de3cd3a3-3b37-48aa-974f-a35e5efb5851</vt:lpwstr>
  </property>
  <property fmtid="{D5CDD505-2E9C-101B-9397-08002B2CF9AE}" pid="7" name="MSIP_Label_46ec50b2-b191-4ad7-ba82-7deb0436e358_ActionId">
    <vt:lpwstr>413388d3-6f21-4be5-ad2f-a70b1cc24a10</vt:lpwstr>
  </property>
  <property fmtid="{D5CDD505-2E9C-101B-9397-08002B2CF9AE}" pid="8" name="MSIP_Label_46ec50b2-b191-4ad7-ba82-7deb0436e358_ContentBits">
    <vt:lpwstr>0</vt:lpwstr>
  </property>
</Properties>
</file>